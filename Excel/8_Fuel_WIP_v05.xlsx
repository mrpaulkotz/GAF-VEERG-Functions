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E13208C-3484-42A6-9DE5-97F631C492A8}" xr6:coauthVersionLast="47" xr6:coauthVersionMax="47" xr10:uidLastSave="{00000000-0000-0000-0000-000000000000}"/>
  <bookViews>
    <workbookView xWindow="4680" yWindow="4680" windowWidth="28800" windowHeight="15345" firstSheet="8"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8"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8" l="1" a="1"/>
  <c r="E259" i="128" s="1"/>
  <c r="D259" i="128" a="1"/>
  <c r="D259" i="128" s="1"/>
  <c r="E258" i="128" a="1"/>
  <c r="E258" i="128" s="1"/>
  <c r="D258" i="128" a="1"/>
  <c r="D258" i="128" s="1"/>
  <c r="D256" i="128" a="1"/>
  <c r="D256" i="128" s="1"/>
  <c r="D255" i="128" a="1"/>
  <c r="D255" i="128" s="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a="1"/>
  <c r="D228" i="128" s="1"/>
  <c r="D227" i="128" a="1"/>
  <c r="D227" i="128" s="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c r="D203" i="128" a="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c r="D179" i="128" a="1"/>
  <c r="D178" i="128" a="1"/>
  <c r="D178" i="128" s="1"/>
  <c r="E175" i="128" a="1"/>
  <c r="E175" i="128" s="1"/>
  <c r="D175" i="128" a="1"/>
  <c r="D175" i="128" s="1"/>
  <c r="D174" i="128"/>
  <c r="D174" i="128" a="1"/>
  <c r="D173" i="128" a="1"/>
  <c r="D173" i="128" s="1"/>
  <c r="D170" i="128" a="1"/>
  <c r="D170" i="128" s="1"/>
  <c r="D169" i="128" a="1"/>
  <c r="D169" i="128" s="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a="1"/>
  <c r="D151" i="128" s="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a="1"/>
  <c r="D139" i="128" s="1"/>
  <c r="E136" i="128" a="1"/>
  <c r="E136" i="128" s="1"/>
  <c r="D136" i="128" a="1"/>
  <c r="D136" i="128" s="1"/>
  <c r="E135" i="128" a="1"/>
  <c r="E135" i="128" s="1"/>
  <c r="D135" i="128" a="1"/>
  <c r="D135" i="128" s="1"/>
  <c r="D133" i="128" a="1"/>
  <c r="D133" i="128" s="1"/>
  <c r="D132" i="128"/>
  <c r="D132" i="128" a="1"/>
  <c r="E129" i="128" a="1"/>
  <c r="E129" i="128" s="1"/>
  <c r="D129" i="128" a="1"/>
  <c r="D129" i="128" s="1"/>
  <c r="E128" i="128" a="1"/>
  <c r="E128" i="128" s="1"/>
  <c r="D128" i="128" a="1"/>
  <c r="D128" i="128" s="1"/>
  <c r="D125" i="128" a="1"/>
  <c r="D125" i="128" s="1"/>
  <c r="D124" i="128" a="1"/>
  <c r="D124" i="128" s="1"/>
  <c r="G121" i="128" a="1"/>
  <c r="G121" i="128" s="1"/>
  <c r="F121" i="128" a="1"/>
  <c r="F121" i="128" s="1"/>
  <c r="E121" i="128" a="1"/>
  <c r="E121" i="128" s="1"/>
  <c r="D121" i="128" a="1"/>
  <c r="D121" i="128" s="1"/>
  <c r="G120" i="128" a="1"/>
  <c r="G120" i="128" s="1"/>
  <c r="F120" i="128" a="1"/>
  <c r="F120" i="128" s="1"/>
  <c r="E120" i="128" a="1"/>
  <c r="E120" i="128" s="1"/>
  <c r="D120" i="128" a="1"/>
  <c r="D120" i="128" s="1"/>
  <c r="D117" i="128"/>
  <c r="D117" i="128" a="1"/>
  <c r="D116" i="128"/>
  <c r="D116" i="128" a="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c r="D107" i="128" a="1"/>
  <c r="D106" i="128" a="1"/>
  <c r="D106" i="128" s="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a="1"/>
  <c r="D82" i="128" s="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H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a="1"/>
  <c r="D35" i="128" s="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c r="D19" i="128" a="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A8" i="128"/>
  <c r="F7" i="128" a="1"/>
  <c r="F7" i="128" s="1"/>
  <c r="E7" i="128" a="1"/>
  <c r="E7" i="128" s="1"/>
  <c r="D7" i="128" a="1"/>
  <c r="D7" i="128" s="1"/>
  <c r="A7" i="128"/>
  <c r="D5" i="128" a="1"/>
  <c r="D5" i="128" s="1"/>
  <c r="A3" i="128"/>
  <c r="A8" i="71"/>
  <c r="A7" i="71"/>
  <c r="A3" i="71"/>
  <c r="E13" i="122"/>
  <c r="A20" i="110"/>
  <c r="A19" i="110"/>
  <c r="A15" i="110"/>
  <c r="A14" i="110"/>
  <c r="A10" i="110"/>
  <c r="A9" i="110"/>
  <c r="A5" i="110"/>
  <c r="A4" i="110"/>
  <c r="A3" i="110"/>
  <c r="A20" i="74"/>
  <c r="A19" i="74"/>
  <c r="A15" i="74"/>
  <c r="A14" i="74"/>
  <c r="A10" i="74"/>
  <c r="A9" i="74"/>
  <c r="A5" i="74"/>
  <c r="A4" i="74"/>
  <c r="A3" i="74"/>
  <c r="A20" i="69"/>
  <c r="A19" i="69"/>
  <c r="A15" i="69"/>
  <c r="A14" i="69"/>
  <c r="A10" i="69"/>
  <c r="A9" i="69"/>
  <c r="A5" i="69"/>
  <c r="A4" i="69"/>
  <c r="A3" i="69"/>
  <c r="A20" i="70"/>
  <c r="A19" i="70"/>
  <c r="A15" i="70"/>
  <c r="A14" i="70"/>
  <c r="A10" i="70"/>
  <c r="A9" i="70"/>
  <c r="A5" i="70"/>
  <c r="A4" i="70"/>
  <c r="A3" i="70"/>
  <c r="A20" i="122"/>
  <c r="A19" i="122"/>
  <c r="A15" i="122"/>
  <c r="A14" i="122"/>
  <c r="A10" i="122"/>
  <c r="A9" i="122"/>
  <c r="A5" i="122"/>
  <c r="A4" i="122"/>
  <c r="A3" i="122"/>
  <c r="A20" i="13"/>
  <c r="A19" i="13"/>
  <c r="A15" i="13"/>
  <c r="A14" i="13"/>
  <c r="A10" i="13"/>
  <c r="A9" i="13"/>
  <c r="A5" i="13"/>
  <c r="A4" i="13"/>
  <c r="A3" i="13"/>
  <c r="A20" i="118"/>
  <c r="A19" i="118"/>
  <c r="A15" i="118"/>
  <c r="A14" i="118"/>
  <c r="A10" i="118"/>
  <c r="A9" i="118"/>
  <c r="A5" i="118"/>
  <c r="A4" i="118"/>
  <c r="A3" i="118"/>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H53" i="128" l="1"/>
  <c r="H48" i="128"/>
  <c r="H49" i="128"/>
  <c r="H51" i="128"/>
  <c r="H54" i="128"/>
  <c r="H52" i="128"/>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D6" i="74" l="1"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29" i="69" l="1" a="1"/>
  <c r="J29" i="69" s="1"/>
  <c r="G29" i="69" a="1"/>
  <c r="G29" i="69" s="1"/>
  <c r="O29" i="69" s="1" a="1"/>
  <c r="O29" i="69" s="1"/>
  <c r="K37" i="69" a="1"/>
  <c r="K37" i="69" s="1"/>
  <c r="G37" i="69" a="1"/>
  <c r="G37" i="69" s="1"/>
  <c r="N37" i="69" s="1" a="1"/>
  <c r="N37" i="69" s="1"/>
  <c r="J32" i="69" a="1"/>
  <c r="J32" i="69" s="1"/>
  <c r="I30" i="69" a="1"/>
  <c r="I30" i="69" s="1"/>
  <c r="K29" i="69" a="1"/>
  <c r="K29" i="69" s="1"/>
  <c r="H29" i="69" a="1"/>
  <c r="H29" i="69" s="1"/>
  <c r="H30" i="69" a="1"/>
  <c r="H30" i="69" s="1"/>
  <c r="J37" i="69" a="1"/>
  <c r="J37" i="69" s="1"/>
  <c r="P37" i="69" s="1" a="1"/>
  <c r="P37" i="69" s="1"/>
  <c r="Q39" i="69" a="1"/>
  <c r="Q39" i="69" s="1"/>
  <c r="I37" i="69" a="1"/>
  <c r="I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E49" i="69" s="1"/>
  <c r="I33" i="69" a="1"/>
  <c r="I33" i="69" s="1"/>
  <c r="J33" i="69" a="1"/>
  <c r="J33" i="69" s="1"/>
  <c r="J25" i="69" a="1"/>
  <c r="J25" i="69" s="1"/>
  <c r="G26" i="69" a="1"/>
  <c r="G26" i="69" s="1"/>
  <c r="J26" i="69" a="1"/>
  <c r="J26" i="69" s="1"/>
  <c r="O34" i="69" a="1"/>
  <c r="O34" i="69" s="1"/>
  <c r="E56" i="69" s="1"/>
  <c r="P34" i="69" a="1"/>
  <c r="P34" i="69" s="1"/>
  <c r="O35" i="69" a="1"/>
  <c r="O35" i="69" s="1"/>
  <c r="N35" i="69" a="1"/>
  <c r="N35" i="69" s="1"/>
  <c r="N36" i="69" a="1"/>
  <c r="N36" i="69" s="1"/>
  <c r="O36" i="69" a="1"/>
  <c r="O36" i="69" s="1"/>
  <c r="P36" i="69" a="1"/>
  <c r="P36" i="69" s="1"/>
  <c r="P35" i="69" a="1"/>
  <c r="P35" i="69" s="1"/>
  <c r="N28" i="69" a="1"/>
  <c r="N28" i="69" s="1"/>
  <c r="O28" i="69" a="1"/>
  <c r="O28" i="69" s="1"/>
  <c r="P28" i="69" a="1"/>
  <c r="P28" i="69" s="1"/>
  <c r="E57" i="69" l="1"/>
  <c r="N29" i="69" a="1"/>
  <c r="N29" i="69" s="1"/>
  <c r="Q29" i="69" a="1"/>
  <c r="Q29" i="69" s="1"/>
  <c r="E58" i="69"/>
  <c r="Q37" i="69" a="1"/>
  <c r="Q37" i="69" s="1"/>
  <c r="P29" i="69" a="1"/>
  <c r="P29" i="69" s="1"/>
  <c r="E46" i="74"/>
  <c r="E52" i="74"/>
  <c r="E55" i="69"/>
  <c r="O27" i="69" a="1"/>
  <c r="O27" i="69" s="1"/>
  <c r="O37" i="69" a="1"/>
  <c r="O37" i="69" s="1"/>
  <c r="P27" i="69"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Q30" i="69" a="1"/>
  <c r="Q30" i="69" s="1"/>
  <c r="Q26" i="69" a="1"/>
  <c r="Q26" i="69" s="1"/>
  <c r="O25" i="69" a="1"/>
  <c r="O25" i="69" s="1"/>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1" i="74" l="1"/>
  <c r="E64" i="69"/>
  <c r="E63" i="69"/>
  <c r="E46" i="69"/>
  <c r="E70" i="69" s="1"/>
  <c r="E44" i="69"/>
  <c r="E50" i="74"/>
  <c r="E61" i="69"/>
  <c r="E49" i="74"/>
  <c r="E44" i="74"/>
  <c r="E56" i="74" s="1"/>
  <c r="E62" i="69"/>
  <c r="E45" i="69"/>
  <c r="E43" i="69"/>
  <c r="E58" i="74"/>
  <c r="E45" i="74"/>
  <c r="E57" i="74" s="1"/>
  <c r="E43" i="74"/>
  <c r="E67" i="69" l="1"/>
  <c r="E9" i="13" s="1"/>
  <c r="F9" i="13" s="1"/>
  <c r="E68" i="69"/>
  <c r="E69" i="69"/>
  <c r="E55" i="74"/>
  <c r="E12" i="13" l="1"/>
  <c r="F12" i="13" s="1"/>
  <c r="E14" i="13"/>
  <c r="F14" i="13" s="1"/>
  <c r="E13" i="13"/>
  <c r="F13" i="13" s="1"/>
  <c r="E11" i="13"/>
  <c r="F11" i="13" s="1"/>
  <c r="E10" i="13"/>
  <c r="F10" i="13" s="1"/>
  <c r="E15" i="13" l="1"/>
  <c r="F15"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<sst xmlns="http://schemas.openxmlformats.org/spreadsheetml/2006/main" count="416" uniqueCount="261">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</sst>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5"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0"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8" fillId="4" borderId="0">
      <alignment horizontal="left" vertical="center"/>
    </xf>
    <xf numFmtId="0" fontId="39" fillId="4" borderId="0">
      <alignment horizontal="left" vertical="center"/>
    </xf>
    <xf numFmtId="0" fontId="41" fillId="4" borderId="0">
      <alignment horizontal="left" vertical="center"/>
    </xf>
    <xf numFmtId="0" fontId="37" fillId="11" borderId="0">
      <alignment horizontal="center" vertical="center"/>
    </xf>
    <xf numFmtId="0" fontId="20" fillId="11" borderId="0">
      <alignment horizontal="left" vertical="center" indent="1"/>
    </xf>
    <xf numFmtId="0" fontId="43" fillId="14" borderId="2">
      <alignment horizontal="center" vertical="center"/>
    </xf>
    <xf numFmtId="0" fontId="42" fillId="15" borderId="2">
      <alignment horizontal="center" vertical="center"/>
    </xf>
    <xf numFmtId="0" fontId="46" fillId="4" borderId="2">
      <alignment horizontal="left" vertical="center"/>
    </xf>
    <xf numFmtId="0" fontId="26" fillId="4" borderId="2">
      <alignment horizontal="left" vertical="center"/>
    </xf>
    <xf numFmtId="0" fontId="47" fillId="0" borderId="0"/>
    <xf numFmtId="0" fontId="54"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58">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5"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10" fillId="0" borderId="0" xfId="32"/>
    <xf numFmtId="0" fontId="35" fillId="13" borderId="9" xfId="39" applyBorder="1">
      <alignment horizontal="left" vertical="center"/>
    </xf>
    <xf numFmtId="0" fontId="35" fillId="13" borderId="11" xfId="39" applyBorder="1">
      <alignment horizontal="left" vertical="center"/>
    </xf>
    <xf numFmtId="0" fontId="35" fillId="13" borderId="12" xfId="39" applyBorder="1">
      <alignment horizontal="left" vertical="center"/>
    </xf>
    <xf numFmtId="0" fontId="35" fillId="13" borderId="13" xfId="39" applyBorder="1">
      <alignment horizontal="left" vertical="center"/>
    </xf>
    <xf numFmtId="0" fontId="35" fillId="13" borderId="10" xfId="39" applyBorder="1">
      <alignment horizontal="left" vertical="center"/>
    </xf>
    <xf numFmtId="0" fontId="39" fillId="4" borderId="0" xfId="58">
      <alignment horizontal="left" vertical="center"/>
    </xf>
    <xf numFmtId="0" fontId="38" fillId="4" borderId="0" xfId="57">
      <alignment horizontal="left" vertical="center"/>
    </xf>
    <xf numFmtId="0" fontId="6" fillId="4" borderId="1" xfId="53" applyBorder="1">
      <alignment horizontal="left" vertical="center"/>
    </xf>
    <xf numFmtId="0" fontId="41" fillId="4" borderId="0" xfId="59">
      <alignment horizontal="left" vertical="center"/>
    </xf>
    <xf numFmtId="2" fontId="24" fillId="4" borderId="1" xfId="0" applyNumberFormat="1" applyFont="1" applyFill="1" applyBorder="1" applyAlignment="1">
      <alignment horizontal="center"/>
    </xf>
    <xf numFmtId="0" fontId="37" fillId="11" borderId="0" xfId="60">
      <alignment horizontal="center" vertical="center"/>
    </xf>
    <xf numFmtId="0" fontId="31" fillId="4" borderId="0" xfId="8" applyAlignment="1">
      <alignment horizontal="center" vertical="center"/>
    </xf>
    <xf numFmtId="0" fontId="35"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2" fillId="15" borderId="2" xfId="63">
      <alignment horizontal="center" vertical="center"/>
    </xf>
    <xf numFmtId="0" fontId="43"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46"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4" fontId="26" fillId="4" borderId="2" xfId="46">
      <alignment horizontal="center" vertical="center"/>
    </xf>
    <xf numFmtId="169" fontId="8" fillId="4" borderId="0" xfId="10" applyNumberFormat="1">
      <alignment horizontal="center" vertical="center"/>
    </xf>
    <xf numFmtId="0" fontId="48"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6"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49" fillId="0" borderId="0" xfId="0" applyFont="1" applyAlignment="1">
      <alignment vertical="center" wrapText="1"/>
    </xf>
    <xf numFmtId="0" fontId="50" fillId="0" borderId="0" xfId="0" applyFont="1" applyAlignment="1">
      <alignment horizontal="left" vertical="center"/>
    </xf>
    <xf numFmtId="0" fontId="49" fillId="0" borderId="0" xfId="0" applyFont="1" applyAlignment="1">
      <alignment vertical="center"/>
    </xf>
    <xf numFmtId="0" fontId="49" fillId="0" borderId="0" xfId="0" applyFont="1" applyAlignment="1">
      <alignment horizontal="left" vertical="center"/>
    </xf>
    <xf numFmtId="0" fontId="49"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1" fillId="4" borderId="0" xfId="0" applyFont="1" applyFill="1"/>
    <xf numFmtId="0" fontId="49" fillId="0" borderId="0" xfId="0" applyFont="1"/>
    <xf numFmtId="0" fontId="49" fillId="0" borderId="0" xfId="7" applyFont="1" applyFill="1">
      <alignment horizontal="left" vertical="center"/>
    </xf>
    <xf numFmtId="0" fontId="49" fillId="4" borderId="0" xfId="0" applyFont="1" applyFill="1"/>
    <xf numFmtId="0" fontId="49"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2"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3" fillId="4" borderId="14" xfId="0" applyNumberFormat="1" applyFont="1" applyFill="1" applyBorder="1" applyAlignment="1">
      <alignment vertical="center"/>
    </xf>
    <xf numFmtId="0" fontId="50"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2" fillId="4" borderId="2" xfId="52" applyNumberFormat="1" applyFont="1">
      <alignment horizontal="center" vertical="center"/>
    </xf>
    <xf numFmtId="170" fontId="52" fillId="4" borderId="15" xfId="52" applyNumberFormat="1" applyFont="1" applyBorder="1">
      <alignment horizontal="center" vertical="center"/>
    </xf>
    <xf numFmtId="170" fontId="52" fillId="4" borderId="16" xfId="52" applyNumberFormat="1" applyFont="1" applyBorder="1">
      <alignment horizontal="center" vertical="center"/>
    </xf>
    <xf numFmtId="168" fontId="52" fillId="4" borderId="2" xfId="46" applyNumberFormat="1" applyFont="1">
      <alignment horizontal="center" vertical="center"/>
    </xf>
    <xf numFmtId="168" fontId="52" fillId="4" borderId="15" xfId="46" applyNumberFormat="1" applyFont="1" applyBorder="1">
      <alignment horizontal="center" vertical="center"/>
    </xf>
    <xf numFmtId="168" fontId="52" fillId="4" borderId="16" xfId="46" applyNumberFormat="1" applyFont="1" applyBorder="1">
      <alignment horizontal="center" vertical="center"/>
    </xf>
    <xf numFmtId="0" fontId="26" fillId="4" borderId="18" xfId="52" applyBorder="1">
      <alignment horizontal="center" vertical="center"/>
    </xf>
    <xf numFmtId="170" fontId="52"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5" fillId="13" borderId="20" xfId="39" applyBorder="1">
      <alignment horizontal="left" vertical="center"/>
    </xf>
    <xf numFmtId="0" fontId="35" fillId="13" borderId="21" xfId="39" applyBorder="1">
      <alignment horizontal="left" vertical="center"/>
    </xf>
    <xf numFmtId="0" fontId="35" fillId="13" borderId="22" xfId="39" applyBorder="1">
      <alignment horizontal="left" vertical="center"/>
    </xf>
    <xf numFmtId="0" fontId="35" fillId="13" borderId="23" xfId="39" applyBorder="1">
      <alignment horizontal="left" vertical="center"/>
    </xf>
    <xf numFmtId="0" fontId="55"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6"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6" fillId="0" borderId="0" xfId="0" applyFont="1" applyAlignment="1" applyProtection="1">
      <alignment horizontal="center" vertical="center"/>
      <protection locked="0"/>
    </xf>
    <xf numFmtId="4" fontId="57" fillId="0" borderId="0" xfId="17" applyFont="1" applyBorder="1">
      <alignment horizontal="center" vertical="center"/>
    </xf>
    <xf numFmtId="164" fontId="8" fillId="4" borderId="0" xfId="26" applyBorder="1">
      <alignment horizontal="center" vertical="center"/>
    </xf>
    <xf numFmtId="4" fontId="57" fillId="4" borderId="0" xfId="17" applyFont="1" applyFill="1" applyBorder="1">
      <alignment horizontal="center" vertical="center"/>
    </xf>
    <xf numFmtId="0" fontId="57" fillId="4" borderId="0" xfId="12" applyFont="1" applyAlignment="1">
      <alignment horizontal="center" vertical="center"/>
    </xf>
    <xf numFmtId="0" fontId="57" fillId="4" borderId="0" xfId="8" applyFont="1" applyAlignment="1">
      <alignment horizontal="center" vertical="center"/>
    </xf>
    <xf numFmtId="166" fontId="57" fillId="4" borderId="0" xfId="8" applyNumberFormat="1" applyFont="1" applyAlignment="1">
      <alignment horizontal="center" vertical="center"/>
    </xf>
    <xf numFmtId="9" fontId="57" fillId="4" borderId="0" xfId="69" applyFont="1" applyFill="1" applyBorder="1" applyAlignment="1">
      <alignment horizontal="center" vertical="center"/>
    </xf>
    <xf numFmtId="0" fontId="58" fillId="4" borderId="0" xfId="0" applyFont="1" applyFill="1" applyAlignment="1">
      <alignment horizontal="center" vertical="center"/>
    </xf>
    <xf numFmtId="0" fontId="58" fillId="4" borderId="0" xfId="0" applyFont="1" applyFill="1"/>
    <xf numFmtId="0" fontId="57" fillId="4" borderId="0" xfId="0" applyFont="1" applyFill="1"/>
    <xf numFmtId="0" fontId="57" fillId="0" borderId="0" xfId="0" applyFont="1"/>
    <xf numFmtId="0" fontId="59" fillId="4" borderId="0" xfId="7" applyFont="1" applyAlignment="1">
      <alignment horizontal="center" vertical="center"/>
    </xf>
    <xf numFmtId="0" fontId="60" fillId="4" borderId="0" xfId="7" applyFont="1" applyAlignment="1">
      <alignment horizontal="center" vertical="center"/>
    </xf>
    <xf numFmtId="166" fontId="60" fillId="4" borderId="0" xfId="7" applyNumberFormat="1" applyFont="1" applyAlignment="1">
      <alignment horizontal="center" vertical="center"/>
    </xf>
    <xf numFmtId="0" fontId="60" fillId="4" borderId="0" xfId="0" applyFont="1" applyFill="1" applyAlignment="1">
      <alignment horizontal="center" vertical="center"/>
    </xf>
    <xf numFmtId="0" fontId="61" fillId="4" borderId="0" xfId="0" applyFont="1" applyFill="1" applyAlignment="1">
      <alignment horizontal="center" vertical="center"/>
    </xf>
    <xf numFmtId="0" fontId="61" fillId="4" borderId="0" xfId="0" applyFont="1" applyFill="1" applyAlignment="1">
      <alignment horizontal="left" vertical="center"/>
    </xf>
    <xf numFmtId="14" fontId="3" fillId="4" borderId="0" xfId="7" applyNumberFormat="1">
      <alignment horizontal="left" vertical="center"/>
    </xf>
    <xf numFmtId="0" fontId="54"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2"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xf numFmtId="0" fontId="63" fillId="9" borderId="4" xfId="34" applyFont="1">
      <alignment horizontal="left" vertical="center" indent="1"/>
    </xf>
    <xf numFmtId="0" fontId="54" fillId="0" borderId="0" xfId="67"/>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3"/>
      <tableStyleElement type="headerRow" dxfId="122"/>
      <tableStyleElement type="totalRow" dxfId="121"/>
      <tableStyleElement type="firstColumn" dxfId="120"/>
      <tableStyleElement type="firstRowStripe" dxfId="119"/>
      <tableStyleElement type="secondRowStripe" dxfId="118"/>
    </tableStyle>
    <tableStyle name="Equation table" pivot="0" count="6" xr9:uid="{B247698E-E41D-4CCD-AA0A-C14817E9DE65}">
      <tableStyleElement type="wholeTable" dxfId="117"/>
      <tableStyleElement type="headerRow" dxfId="116"/>
      <tableStyleElement type="totalRow" dxfId="115"/>
      <tableStyleElement type="firstColumn" dxfId="114"/>
      <tableStyleElement type="firstRowStripe" dxfId="113"/>
      <tableStyleElement type="secondRowStripe" dxfId="112"/>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10" dataCellStyle="Input select" totalsRowCellStyle="Input select"/>
    <tableColumn id="3" xr3:uid="{30909C53-73F3-46FE-93B7-F60E126CD84F}" name="Fuel type (select)" totalsRowDxfId="109" dataCellStyle="Input select" totalsRowCellStyle="Input select"/>
    <tableColumn id="4" xr3:uid="{9DFFE0DC-C289-47FB-8F0C-2D2F480EEE4C}" name="Amount purchased" totalsRowDxfId="108" totalsRowCellStyle="Content bold"/>
    <tableColumn id="6" xr3:uid="{29AE264C-132E-48F6-8BA3-262EAF9E4687}" name="Amount unit" totalsRowDxfId="107"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6" totalsRowCellStyle="Input percent">
      <calculatedColumnFormula>1</calculatedColumnFormula>
    </tableColumn>
    <tableColumn id="1" xr3:uid="{AE1D2D8C-400E-46F5-850E-2BBEDF1657F8}" name="Amount consumed" totalsRowFunction="custom" totalsRowDxfId="10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10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3" dataDxfId="102">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1">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100">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9">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8">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7">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6">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5">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3" dataDxfId="92">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1">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90">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9">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8">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7">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6">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5">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4">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2" dataDxfId="81">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80"/>
    <tableColumn id="2" xr3:uid="{6E069153-6950-4C63-9ADE-F4A2F0DF67AF}" name="Power standalone machinery or heating" dataDxfId="79"/>
    <tableColumn id="3" xr3:uid="{3917BF44-833D-42F1-B3B3-C62FEF76A321}" name="Aviation" dataDxfId="78"/>
    <tableColumn id="5" xr3:uid="{4F35E2A0-90CD-4AC1-B52F-870485779A73}" name="Cars and light commercial vehicles" dataDxfId="77"/>
    <tableColumn id="7" xr3:uid="{1651A844-7E2B-435C-A7B4-4B0FFD5577CE}" name="Off-road Agriculture and forestry equipment" dataDxfId="76" dataCellStyle="Content bold"/>
    <tableColumn id="8" xr3:uid="{FCED622E-3FDD-4E8D-B2D1-E4C99EF7323A}" name="Vessels" dataDxfId="75"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4" dataDxfId="73">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2">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1">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70">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9">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8">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7">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5" totalsRowDxfId="64">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3">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2">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60"/>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6930A51-87A7-48B0-BC39-F33CE0E0412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44AC350-1BE3-4B23-9EAD-F50FDF7E6C20}" name="State/Territory">
      <calculatedColumnFormula array="1">Common_InputFunctions.Utility_DisplayArrayInTable(Common_SourceData.Common_SourceData_AustralianStatesTerritories_Data(),Table_AustralianStates[[#Headers],[State/Territory]],0)</calculatedColumnFormula>
    </tableColumn>
    <tableColumn id="2" xr3:uid="{17C367B8-E127-494E-B7B5-8061F9A0EA7F}" name="Common Name">
      <calculatedColumnFormula array="1">Common_InputFunctions.Utility_DisplayArrayInTable(Common_SourceData.Common_SourceData_AustralianStatesTerritories_Data(),Table_AustralianStates[[#Headers],[State/Territory]],0)</calculatedColumnFormula>
    </tableColumn>
    <tableColumn id="3" xr3:uid="{30AC8941-A373-475D-BE40-E411C5F19A6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7240DF8-8F02-4316-8C09-2A4AED60AAD7}" name="Table_WASA4Areas" displayName="Table_WASA4Areas" ref="D20:D30" totalsRowShown="0">
  <autoFilter ref="D20:D30" xr:uid="{5FA81339-C6C8-4D36-BEEA-6C4AEDD9E676}">
    <filterColumn colId="0" hiddenButton="1"/>
  </autoFilter>
  <tableColumns count="1">
    <tableColumn id="1" xr3:uid="{F4A57DA3-7508-4DA2-B50F-04D3D69F6E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4C80A4F-A901-46AB-977F-479DCB950C78}" name="Table_GWPData" displayName="Table_GWPData" ref="D36:E43" totalsRowShown="0">
  <autoFilter ref="D36:E43" xr:uid="{B8E87A66-3E41-4AD3-925D-01EE21B43D7A}">
    <filterColumn colId="0" hiddenButton="1"/>
    <filterColumn colId="1" hiddenButton="1"/>
  </autoFilter>
  <tableColumns count="2">
    <tableColumn id="1" xr3:uid="{6749714A-D1B3-473A-B9E9-CB15AEEB1CE2}" name="Gas">
      <calculatedColumnFormula array="1">Common_InputFunctions.Utility_DisplayArrayInTable(Common_SourceData.Common_SourceData_GWP_Data(), Table_GWPData[[#Headers],[Gas]], 0)</calculatedColumnFormula>
    </tableColumn>
    <tableColumn id="2" xr3:uid="{35DD0AC1-051B-4F19-ABBA-6E987973C3E8}"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4854313-9687-4911-A6E7-6B186D5AF3B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739351-B7B2-416C-8401-5374B4D61859}" name="Gas">
      <calculatedColumnFormula array="1">Common_InputFunctions.Utility_DisplayArrayInTable(Common_SourceData.Common_SourceData_ConvertGasElementalToMolecular_Data(),Table_GasToMolecularConversionFactor[[#Headers],[Gas]], 0)</calculatedColumnFormula>
    </tableColumn>
    <tableColumn id="5" xr3:uid="{9CEEAAD1-7273-421A-A707-893B51237A3C}" name="Conversion factor">
      <calculatedColumnFormula array="1">Common_InputFunctions.Utility_DisplayArrayInTable(Common_SourceData.Common_SourceData_ConvertGasElementalToMolecular_Data(),Table_GasToMolecularConversionFactor[[#Headers],[Gas]], 0)</calculatedColumnFormula>
    </tableColumn>
    <tableColumn id="2" xr3:uid="{A4C836C7-CF46-4D13-868D-C511172CF2D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C7B5629-86A0-4FDF-A47B-6BEF23329F6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5437739-8539-4A60-A1C2-3E9A0806F77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D4BEA2B9-874E-4D44-A36C-8B40E47CDE8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25DA98-6042-40FD-A9B9-4D88B13A756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E5C9AEC5-7C95-47E3-BE16-74215CD7BBE1}"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9DEFD348-C2A9-4DAE-9855-F92562A420B3}"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3E8F2FE6-D88D-45FF-B090-84315BF1FBE4}"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F5C22134-6B16-479F-BDE0-77C4102799B8}"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A1A70262-C4DB-4C84-995B-2AC7305E35EC}"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473F0722-34BC-4A9D-B467-A60C4BEACF5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6855C577-E5D1-47C7-8229-A205C0B6828C}"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BDF1EBD-26D9-4B06-9CBD-6B9F881D3C4F}"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9A817EEB-6B44-4C5F-A5B6-D3814C5D8C4D}"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9ED848C1-4CCB-477E-BBA9-0270E6DE78DA}"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7D9AE109-08BF-429E-B5CB-AC7F49F1C320}"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ED2CF30F-6C18-413B-8280-953D4E54BF8F}"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2C77502A-299A-4CEF-8BA6-96F146E91C51}"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886CF054-47EB-4F9C-8439-C9E362234288}"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DCAB573-6C76-4586-B47F-B4C1D448FDF1}"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4A3A64C-88EA-4C14-B914-E8F9CA9F2BA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1BCDE89-4CAA-4AA3-BB1F-C6847A73118D}"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3CC083A-116F-4941-8911-2B141DA97BBB}"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F4B3C5D-4D81-4DC6-BFFB-8BB3633588C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B52D3FD2-E904-4F25-A7F0-AA75D9303539}" name="Temperature Zone">
      <calculatedColumnFormula array="1">Common_InputFunctions.Utility_DisplayArrayInTable(Common_SourceData.Common_SourceData_TemperatureZones_Data(),Table_SourceData_TemperatureZones[[#Headers],[Temperature Zone]],0)</calculatedColumnFormula>
    </tableColumn>
    <tableColumn id="2" xr3:uid="{32E15E94-4937-482D-BB51-9B60E59FF2BA}" name="MAT">
      <calculatedColumnFormula array="1">Common_InputFunctions.Utility_DisplayArrayInTable(Common_SourceData.Common_SourceData_TemperatureZones_Data(),Table_SourceData_TemperatureZones[[#Headers],[Temperature Zone]],0)</calculatedColumnFormula>
    </tableColumn>
    <tableColumn id="3" xr3:uid="{C1DB7587-C3FC-4DE9-B37C-FC8B9245F77D}" name="Min MAT">
      <calculatedColumnFormula array="1">Common_InputFunctions.Utility_DisplayArrayInTable(Common_SourceData.Common_SourceData_TemperatureZones_Data(),Table_SourceData_TemperatureZones[[#Headers],[Temperature Zone]],0)</calculatedColumnFormula>
    </tableColumn>
    <tableColumn id="4" xr3:uid="{FCA8519E-6A65-4F10-85E4-D7D5985E9E1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C47DFF7F-F619-4F30-906D-9AE46BB9274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65A75D3-0CE1-40F3-8BB7-54D64D9BC474}" name="Rainfall Zone">
      <calculatedColumnFormula array="1">Common_InputFunctions.Utility_DisplayArrayInTable(Common_SourceData.Common_SourceData_RainfallZones_Data(),Table_SourceData_RainfallZones[[#Headers],[Rainfall Zone]],0)</calculatedColumnFormula>
    </tableColumn>
    <tableColumn id="2" xr3:uid="{B3980326-B4F2-4E1A-969F-40A12E42ECBA}" name="Annual rainfall">
      <calculatedColumnFormula array="1">Common_InputFunctions.Utility_DisplayArrayInTable(Common_SourceData.Common_SourceData_RainfallZones_Data(),Table_SourceData_RainfallZones[[#Headers],[Rainfall Zone]],0)</calculatedColumnFormula>
    </tableColumn>
    <tableColumn id="3" xr3:uid="{7F78BEA1-FA39-4E2F-913A-2A60852ECD7D}" name="Min rainfall">
      <calculatedColumnFormula array="1">Common_InputFunctions.Utility_DisplayArrayInTable(Common_SourceData.Common_SourceData_RainfallZones_Data(),Table_SourceData_RainfallZones[[#Headers],[Rainfall Zone]],0)</calculatedColumnFormula>
    </tableColumn>
    <tableColumn id="4" xr3:uid="{65760D8E-9167-44AB-84F3-5CFEE90F35A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918853F-C1E8-495A-97EA-33AF5F43601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7FA4F86-C709-4A50-8B38-477625EBDD91}" name="Leaching Zone">
      <calculatedColumnFormula array="1">Common_InputFunctions.Utility_DisplayArrayInTable(Common_SourceData.Common_SourceData_LeachingZones_Data(), Table_SourceData_LeachingZones[[#Headers],[Leaching Zone]], 0)</calculatedColumnFormula>
    </tableColumn>
    <tableColumn id="2" xr3:uid="{73EACAA7-49B4-4506-88FB-CE9242FE49B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34BC70D-E4C2-4EC2-95D1-4FF3B7ED87FB}"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90E992F-0D33-4D4A-BF65-937AD3E201C4}" name="Data source">
      <calculatedColumnFormula array="1">Common_InputFunctions.Utility_DisplayArrayInTable(Common_SourceData.Common_SourceData_DataScores_Scope3_Data(), Table_SourceData_DataScores_Scope3[[#Headers],[Data source]], 0)</calculatedColumnFormula>
    </tableColumn>
    <tableColumn id="2" xr3:uid="{7001DE1C-AFE1-4EAF-AAF1-B321047A906E}"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0DBFFA6-E332-49F0-9231-B9B866F86ACB}" name="Table_SourceData_FracWET" displayName="Table_SourceData_FracWET" ref="D134:E136" totalsRowShown="0">
  <autoFilter ref="D134:E136" xr:uid="{308E99BE-FE1F-47A4-B2CA-97217277C4E9}">
    <filterColumn colId="0" hiddenButton="1"/>
    <filterColumn colId="1" hiddenButton="1"/>
  </autoFilter>
  <tableColumns count="2">
    <tableColumn id="1" xr3:uid="{B2956D74-90E3-4C03-ABB1-A91F34B0280B}" name="Is in leaching zone">
      <calculatedColumnFormula array="1">Common_InputFunctions.Utility_DisplayArrayInTable(Common_SourceData.Common_SourceData_FracWET_Data(),Table_SourceData_FracWET[[#Headers],[Is in leaching zone]],0)</calculatedColumnFormula>
    </tableColumn>
    <tableColumn id="2" xr3:uid="{C6E7EB2B-AFBD-493F-B286-BB75919DF27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4440D7D-DB9D-4331-BB22-D37F5CE7C6EE}"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1BF1978-6005-42E5-94FE-32B4668AFBF2}" name="Production system j">
      <calculatedColumnFormula array="1">Common_InputFunctions.Utility_DisplayArrayInTable(Common_SourceData.Common_SourceData_EFN2O_Data(), Table_SourceData_Common_EFN2O[[#Headers],[Production system j]], 0)</calculatedColumnFormula>
    </tableColumn>
    <tableColumn id="2" xr3:uid="{60C8BDD7-FDAF-4E78-8DCA-BC3B92EC9A0D}" name="EFN2O">
      <calculatedColumnFormula array="1">Common_InputFunctions.Utility_DisplayArrayInTable(Common_SourceData.Common_SourceData_EFN2O_Data(), Table_SourceData_Common_EFN2O[[#Headers],[Production system j]], 0)</calculatedColumnFormula>
    </tableColumn>
    <tableColumn id="3" xr3:uid="{FCE10F85-F5A2-4129-8ADF-739041374D0F}" name="Production system only">
      <calculatedColumnFormula array="1">Common_InputFunctions.Utility_DisplayArrayInTable(Common_SourceData.Common_SourceData_EFN2O_Data(), Table_SourceData_Common_EFN2O[[#Headers],[Production system j]], 0)</calculatedColumnFormula>
    </tableColumn>
    <tableColumn id="4" xr3:uid="{B9435BE3-C5D6-43C7-B6E4-BEE183BA974D}" name="Irrigation method">
      <calculatedColumnFormula array="1">Common_InputFunctions.Utility_DisplayArrayInTable(Common_SourceData.Common_SourceData_EFN2O_Data(), Table_SourceData_Common_EFN2O[[#Headers],[Production system j]], 0)</calculatedColumnFormula>
    </tableColumn>
    <tableColumn id="5" xr3:uid="{F2CA80D2-2487-4BFE-A7D8-2E2071E2B19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D3884C0-B520-47F4-8724-AEAB9F40283F}"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91C8C92-0AF5-4EAE-A58D-5E178FDD935C}" name="Irrigation type i">
      <calculatedColumnFormula array="1">Common_InputFunctions.Utility_DisplayArrayInTable(Common_SourceData.Common_SourceData_FracWETIrrigation_Data(), Table_SourceData_FracWETIrrigation[[#Headers],[Irrigation type i]], 0)</calculatedColumnFormula>
    </tableColumn>
    <tableColumn id="2" xr3:uid="{DD8A1D4C-A4AF-4DFC-A253-A154316EAC3F}"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F4FC964-4B89-419B-960D-4E7D35C9799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F888F62-1AE5-4429-9436-4F236D0427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E90AF7B-123D-47D6-AFF1-D0615791206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7CE51ADF-EE25-4C0B-ACFB-5EF8FFCF99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99BF9E3-E7EA-4B18-8C7C-2A976B6AE3FC}" name="Month">
      <calculatedColumnFormula array="1">Common_InputFunctions.Utility_DisplayArrayInTable(Common_SourceData.Common_SourceData_MonthsToSeasons_Data(), Table_SourceData_Common_MonthToSeason[[#Headers],[Month]], 0)</calculatedColumnFormula>
    </tableColumn>
    <tableColumn id="2" xr3:uid="{78FFB4FF-5B3B-4A32-9BEC-A488582A64A2}"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BB7CBA2-09DF-4C9D-AF19-6EB07ACCEC7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D446C7A-0960-42B6-AF95-8BEF3D5A7AE7}"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A0C1235-6EB0-42CA-9CB3-211D29123BDA}"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72EFCA0D-B0E1-4C8E-B3B5-4C2B6A9F8E86}"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9BE72B5B-9C44-4E4A-B559-8E67A6D35A2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195FA58-51AB-4308-AF5D-4DABF1281E1C}"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786F3A9-803D-4E0D-BF5C-B7B3D115CA98}"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7C6694F-F7FF-4127-963C-81F9A5EA926C}"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8F27C063-0B9E-4ED9-AE2E-B41509A9282A}"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B5B2B06-81A5-42C1-BF2E-7CB995763CF6}"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1C829D6-BDCF-4DBB-8EBB-922F6CC7978C}"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42B5F4DC-B998-482F-8274-DF03498B0368}"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0962E15-56F9-43FF-A019-C04B668E094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C4354B9-8FB1-4712-A9B5-F3A480382A5E}"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B1D6FBCE-CF51-4025-9D45-123DB0317B9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67D92C1-5D3E-4211-BE34-079B0E8B8862}"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2FA4AA6-A346-4078-BFDA-B7CBBCBDFB34}"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1BB2C928-C7B7-48A6-8972-19DB8442B4E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DC07B3C-C0B6-421F-8FB9-8E1D24C83599}"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9B1DC40-419B-41CB-9BA5-4FA6FABA5093}"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9DF45B1A-8198-4C42-84E0-4F09D942E35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B363554B-EB90-435F-9D83-AD748AE14CF9}" name="Description" dataDxfId="0" dataCellStyle="Content normal"/>
    <tableColumn id="1" xr3:uid="{88E19A77-06D1-49EB-AF08-85E55FCC998A}" name="ID"/>
    <tableColumn id="3" xr3:uid="{16C7083F-8A62-4BFB-94B6-55613C2B729A}"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00E87071-EF44-454B-9A82-22452C71B9A9}"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E0209DDE-69D9-42AD-8A7D-99DF2D99A067}" name="Description"/>
    <tableColumn id="2" xr3:uid="{1EFEC995-0C13-40B7-924A-6D4E1165693F}" name="ID"/>
    <tableColumn id="3" xr3:uid="{281C9B00-6D9D-4923-A12C-F3CB0CCC9998}"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FAC1D27-BAD4-4F23-AB13-4F19D92A6EB2}"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12CCECFF-30B5-4C75-8727-3A6061F8D52D}" name="Description"/>
    <tableColumn id="2" xr3:uid="{CCB4F3A0-F6D5-4626-8C0E-CFB35414E705}" name="ID"/>
    <tableColumn id="3" xr3:uid="{05B3C05F-B623-4818-95F3-08A7A7FC805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294C723-46A9-4B11-A962-CD2F4F87473D}"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37E49C9C-FB5E-4578-9DBC-20DDDECB368B}" name="Description"/>
    <tableColumn id="2" xr3:uid="{2F7048E5-14B4-47F3-A04D-DC6751352CFC}" name="ID"/>
    <tableColumn id="3" xr3:uid="{928DE98E-A942-4893-84A3-29580A7921DA}"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0" sqref="A20"/>
    </sheetView>
  </sheetViews>
  <sheetFormatPr defaultRowHeight="15" x14ac:dyDescent="0.25"/>
  <sheetData>
    <row r="1" spans="1:1" x14ac:dyDescent="0.25">
      <c r="A1" t="s">
        <v>212</v>
      </c>
    </row>
    <row r="3" spans="1:1" x14ac:dyDescent="0.25">
      <c r="A3" s="157" t="str">
        <f>HYPERLINK("#'Home'!A1", "Home")</f>
        <v>Home</v>
      </c>
    </row>
    <row r="6" spans="1:1" x14ac:dyDescent="0.25">
      <c r="A6" s="156" t="s">
        <v>1</v>
      </c>
    </row>
    <row r="7" spans="1:1" ht="15.75" x14ac:dyDescent="0.25">
      <c r="A7" s="14" t="str">
        <f>HYPERLINK("#'Constants - Common'!A1", "Constants - Common")</f>
        <v>Constants - Common</v>
      </c>
    </row>
    <row r="8" spans="1:1" ht="15.75" x14ac:dyDescent="0.25">
      <c r="A8" s="14"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62" t="s">
        <v>176</v>
      </c>
      <c r="D1" s="63"/>
      <c r="E1" s="63"/>
      <c r="F1" s="63"/>
      <c r="G1" s="63"/>
      <c r="H1" s="63"/>
      <c r="I1" s="63"/>
      <c r="J1" s="63"/>
      <c r="K1" s="63"/>
      <c r="L1" s="63"/>
      <c r="M1" s="63"/>
      <c r="N1" s="63"/>
      <c r="O1" s="63"/>
      <c r="P1" s="63"/>
    </row>
    <row r="2" spans="1:17" ht="20.100000000000001" customHeight="1" x14ac:dyDescent="0.25">
      <c r="C2" s="63"/>
      <c r="D2" s="63"/>
      <c r="E2" s="63"/>
      <c r="F2" s="63"/>
      <c r="G2" s="63"/>
      <c r="H2" s="63"/>
      <c r="I2" s="63"/>
      <c r="J2" s="63"/>
      <c r="K2" s="63"/>
      <c r="L2" s="63"/>
      <c r="M2" s="63"/>
      <c r="N2" s="63"/>
      <c r="O2" s="63"/>
      <c r="P2" s="63"/>
      <c r="Q2" s="64"/>
    </row>
    <row r="3" spans="1:17" ht="20.100000000000001" customHeight="1" x14ac:dyDescent="0.25">
      <c r="A3" s="14" t="str">
        <f>HYPERLINK("#'Home'!A1", "Home")</f>
        <v>Home</v>
      </c>
      <c r="C3" s="65"/>
      <c r="D3" s="65"/>
      <c r="E3" s="65"/>
      <c r="F3" s="65"/>
      <c r="G3" s="65"/>
      <c r="H3" s="65"/>
      <c r="I3" s="65"/>
      <c r="J3" s="65"/>
      <c r="K3" s="65"/>
      <c r="L3" s="65"/>
      <c r="M3" s="65"/>
      <c r="N3" s="65"/>
      <c r="O3" s="65"/>
      <c r="P3" s="65"/>
    </row>
    <row r="4" spans="1:17" ht="20.100000000000001" customHeight="1" x14ac:dyDescent="0.25">
      <c r="A4" s="49" t="str">
        <f>HYPERLINK("#'Overview'!A1", "Overview")</f>
        <v>Overview</v>
      </c>
    </row>
    <row r="5" spans="1:17" ht="20.100000000000001" customHeight="1" x14ac:dyDescent="0.25">
      <c r="A5" s="14" t="str">
        <f>HYPERLINK("#'Results'!A1", "Results")</f>
        <v>Results</v>
      </c>
      <c r="D5" s="47" t="s">
        <v>83</v>
      </c>
      <c r="E5" s="38"/>
      <c r="F5" s="38"/>
      <c r="G5" s="38"/>
      <c r="H5" s="38"/>
      <c r="I5" s="38"/>
      <c r="J5" s="38"/>
      <c r="K5" s="38"/>
      <c r="L5" s="38"/>
      <c r="M5" s="38"/>
      <c r="N5" s="38"/>
      <c r="O5" s="35"/>
    </row>
    <row r="6" spans="1:17" ht="20.100000000000001" customHeight="1" x14ac:dyDescent="0.25">
      <c r="D6" s="66" t="s">
        <v>84</v>
      </c>
      <c r="E6" s="37"/>
      <c r="F6" s="37"/>
      <c r="G6" s="37"/>
      <c r="H6" s="37"/>
      <c r="I6" s="37"/>
      <c r="J6" s="37"/>
      <c r="K6" s="37"/>
      <c r="L6" s="37"/>
      <c r="M6" s="37"/>
      <c r="N6" s="37"/>
      <c r="O6" s="36"/>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Fuel'!A1", "Fuel")</f>
        <v>Fuel</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HYPERLINK("#'8.1.1.1-2 Transport fuel'!A1", "8.1.1.1-2 Transport fuel")</f>
        <v>8.1.1.1-2 Transport fuel</v>
      </c>
      <c r="O14" s="1" t="s">
        <v>178</v>
      </c>
    </row>
    <row r="15" spans="1:17" ht="20.100000000000001" customHeight="1" x14ac:dyDescent="0.25">
      <c r="A15" s="14" t="str">
        <f>HYPERLINK("#'8.2.1.1-2 Stationary fuel'!A1", "8.2.1.1-2 Stationary fuel")</f>
        <v>8.2.1.1-2 Stationary fuel</v>
      </c>
    </row>
    <row r="16" spans="1:17" ht="20.100000000000001" customHeight="1" x14ac:dyDescent="0.25"/>
    <row r="17" spans="1:1" ht="20.100000000000001" customHeight="1" x14ac:dyDescent="0.25"/>
    <row r="18" spans="1:1" ht="20.100000000000001" customHeight="1" x14ac:dyDescent="0.25">
      <c r="A18" s="156" t="s">
        <v>1</v>
      </c>
    </row>
    <row r="19" spans="1:1" ht="20.100000000000001" customHeight="1" x14ac:dyDescent="0.25">
      <c r="A19" s="14" t="str">
        <f>HYPERLINK("#'Constants - Fuel'!A1", "Constants - Fuel")</f>
        <v>Constants - Fuel</v>
      </c>
    </row>
    <row r="20" spans="1:1" ht="20.100000000000001" customHeight="1" x14ac:dyDescent="0.25">
      <c r="A20" s="14" t="str">
        <f>HYPERLINK("#'Constants - Common'!A1", "Constants - Common")</f>
        <v>Constants - Common</v>
      </c>
    </row>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20" sqref="A2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62" t="s">
        <v>177</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9" t="str">
        <f>HYPERLINK("#'Results'!A1", "Results")</f>
        <v>Results</v>
      </c>
      <c r="C5" s="18"/>
      <c r="D5" s="21"/>
      <c r="E5" s="22"/>
      <c r="F5" s="22"/>
      <c r="G5" s="22"/>
      <c r="H5" s="18"/>
    </row>
    <row r="6" spans="1:8" ht="20.100000000000001" customHeight="1" x14ac:dyDescent="0.25">
      <c r="C6" s="18"/>
      <c r="D6" s="17" t="s">
        <v>80</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45" t="s">
        <v>49</v>
      </c>
      <c r="E8" s="45" t="s">
        <v>60</v>
      </c>
      <c r="F8" s="45" t="s">
        <v>61</v>
      </c>
      <c r="G8" s="45" t="s">
        <v>55</v>
      </c>
      <c r="H8" s="18"/>
    </row>
    <row r="9" spans="1:8" ht="20.100000000000001" customHeight="1" x14ac:dyDescent="0.25">
      <c r="A9" s="14" t="str">
        <f>HYPERLINK("#'Input - Site'!A1", "Site")</f>
        <v>Site</v>
      </c>
      <c r="C9" s="18"/>
      <c r="D9" s="1" t="s">
        <v>168</v>
      </c>
      <c r="E9" s="61">
        <f>VEERG_8_1_1_1__1_FuelCombustionTransport_Result_CO2</f>
        <v>83.182000000000002</v>
      </c>
      <c r="F9" s="61">
        <f>E9</f>
        <v>83.182000000000002</v>
      </c>
      <c r="G9" s="32" t="s">
        <v>58</v>
      </c>
      <c r="H9" s="18"/>
    </row>
    <row r="10" spans="1:8" ht="20.100000000000001" customHeight="1" x14ac:dyDescent="0.25">
      <c r="A10" s="14" t="str">
        <f>HYPERLINK("#'Input - Fuel'!A1", "Fuel")</f>
        <v>Fuel</v>
      </c>
      <c r="C10" s="18"/>
      <c r="D10" s="1" t="s">
        <v>169</v>
      </c>
      <c r="E10" s="61">
        <f>VEERG_8_1_1_1__1_FuelCombustionTransport_Result_CH4</f>
        <v>0.19906000000000001</v>
      </c>
      <c r="F10" s="61">
        <f t="shared" ref="F10:F14" si="0">E10</f>
        <v>0.19906000000000001</v>
      </c>
      <c r="G10" s="32" t="s">
        <v>58</v>
      </c>
      <c r="H10" s="18"/>
    </row>
    <row r="11" spans="1:8" ht="20.100000000000001" customHeight="1" x14ac:dyDescent="0.25">
      <c r="C11" s="18"/>
      <c r="D11" s="1" t="s">
        <v>170</v>
      </c>
      <c r="E11" s="61">
        <f>VEERG_8_1_1_1__1_FuelCombustionTransport_Result_N2O</f>
        <v>0.58450000000000002</v>
      </c>
      <c r="F11" s="61">
        <f t="shared" si="0"/>
        <v>0.58450000000000002</v>
      </c>
      <c r="G11" s="32" t="s">
        <v>58</v>
      </c>
      <c r="H11" s="18"/>
    </row>
    <row r="12" spans="1:8" ht="20.100000000000001" customHeight="1" x14ac:dyDescent="0.25">
      <c r="C12" s="18"/>
      <c r="D12" s="1" t="s">
        <v>171</v>
      </c>
      <c r="E12" s="61">
        <f>VEERG_8_2_1_1__1_FuelCombustionStationary_Result_CO2</f>
        <v>29.070800000000002</v>
      </c>
      <c r="F12" s="61">
        <f t="shared" si="0"/>
        <v>29.070800000000002</v>
      </c>
      <c r="G12" s="32" t="s">
        <v>58</v>
      </c>
      <c r="H12" s="18"/>
    </row>
    <row r="13" spans="1:8" ht="20.100000000000001" customHeight="1" x14ac:dyDescent="0.25">
      <c r="A13" s="15" t="s">
        <v>44</v>
      </c>
      <c r="C13" s="18"/>
      <c r="D13" s="1" t="s">
        <v>172</v>
      </c>
      <c r="E13" s="61">
        <f>VEERG_8_2_1_1__1_FuelCombustionStationary_Result_CH4</f>
        <v>7.2400000000000006E-2</v>
      </c>
      <c r="F13" s="61">
        <f t="shared" si="0"/>
        <v>7.2400000000000006E-2</v>
      </c>
      <c r="G13" s="32" t="s">
        <v>58</v>
      </c>
      <c r="H13" s="18"/>
    </row>
    <row r="14" spans="1:8" ht="20.100000000000001" customHeight="1" x14ac:dyDescent="0.25">
      <c r="A14" s="14" t="str">
        <f>HYPERLINK("#'8.1.1.1-2 Transport fuel'!A1", "8.1.1.1-2 Transport fuel")</f>
        <v>8.1.1.1-2 Transport fuel</v>
      </c>
      <c r="C14" s="18"/>
      <c r="D14" s="1" t="s">
        <v>173</v>
      </c>
      <c r="E14" s="61">
        <f>VEERG_8_2_1_1__1_FuelCombustionStationary_Result_N2O</f>
        <v>7.1400000000000005E-2</v>
      </c>
      <c r="F14" s="61">
        <f t="shared" si="0"/>
        <v>7.1400000000000005E-2</v>
      </c>
      <c r="G14" s="32" t="s">
        <v>58</v>
      </c>
      <c r="H14" s="18"/>
    </row>
    <row r="15" spans="1:8" ht="20.100000000000001" customHeight="1" x14ac:dyDescent="0.3">
      <c r="A15" s="14" t="str">
        <f>HYPERLINK("#'8.2.1.1-2 Stationary fuel'!A1", "8.2.1.1-2 Stationary fuel")</f>
        <v>8.2.1.1-2 Stationary fuel</v>
      </c>
      <c r="C15" s="18"/>
      <c r="D15" s="24" t="s">
        <v>54</v>
      </c>
      <c r="E15" s="44">
        <f>SUM(E9:E14)</f>
        <v>113.18016000000001</v>
      </c>
      <c r="F15" s="44">
        <f>SUM(F9:F14)</f>
        <v>113.18016000000001</v>
      </c>
      <c r="G15" s="42" t="s">
        <v>58</v>
      </c>
      <c r="H15" s="18"/>
    </row>
    <row r="16" spans="1:8" ht="20.100000000000001" customHeight="1" x14ac:dyDescent="0.25">
      <c r="C16" s="18"/>
      <c r="D16" s="1"/>
      <c r="E16" s="61"/>
      <c r="F16" s="61"/>
      <c r="G16" s="32"/>
      <c r="H16" s="18"/>
    </row>
    <row r="17" spans="1:8" ht="20.100000000000001" customHeight="1" x14ac:dyDescent="0.25">
      <c r="C17" s="18"/>
      <c r="D17" s="1"/>
      <c r="E17" s="61"/>
      <c r="F17" s="61"/>
      <c r="G17" s="32"/>
      <c r="H17" s="18"/>
    </row>
    <row r="18" spans="1:8" ht="20.100000000000001" customHeight="1" x14ac:dyDescent="0.25">
      <c r="A18" s="156" t="s">
        <v>1</v>
      </c>
      <c r="C18" s="18"/>
      <c r="D18" s="1"/>
      <c r="E18" s="1"/>
      <c r="F18" s="1"/>
      <c r="G18" s="1"/>
      <c r="H18" s="18"/>
    </row>
    <row r="19" spans="1:8" ht="20.100000000000001" customHeight="1" x14ac:dyDescent="0.25">
      <c r="A19" s="14" t="str">
        <f>HYPERLINK("#'Constants - Fuel'!A1", "Constants - Fuel")</f>
        <v>Constants - Fuel</v>
      </c>
      <c r="C19" s="18"/>
      <c r="D19" s="1"/>
      <c r="E19" s="1"/>
      <c r="F19" s="1"/>
      <c r="G19" s="1"/>
      <c r="H19" s="18"/>
    </row>
    <row r="20" spans="1:8" ht="20.100000000000001" customHeight="1" x14ac:dyDescent="0.25">
      <c r="A20" s="14" t="str">
        <f>HYPERLINK("#'Constants - Common'!A1", "Constants - Common")</f>
        <v>Constants - Common</v>
      </c>
      <c r="C20" s="18"/>
      <c r="D20" s="1"/>
      <c r="E20" s="1"/>
      <c r="F20" s="1"/>
      <c r="G20" s="1"/>
      <c r="H20" s="18"/>
    </row>
    <row r="21" spans="1:8" ht="20.100000000000001" customHeight="1" x14ac:dyDescent="0.25">
      <c r="C21" s="18"/>
      <c r="D21" s="1"/>
      <c r="E21" s="46"/>
      <c r="F21" s="32"/>
      <c r="G21" s="1"/>
      <c r="H21" s="18"/>
    </row>
    <row r="22" spans="1:8" ht="20.100000000000001" customHeight="1" x14ac:dyDescent="0.25">
      <c r="C22" s="18"/>
      <c r="D22" s="1"/>
      <c r="E22" s="46"/>
      <c r="F22" s="32"/>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60"/>
  <sheetViews>
    <sheetView showGridLines="0" zoomScaleNormal="100" workbookViewId="0">
      <selection activeCell="A20" sqref="A20"/>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110" t="s">
        <v>184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1"/>
      <c r="D4" s="111"/>
      <c r="E4" s="111"/>
      <c r="F4" s="111"/>
      <c r="G4" s="111"/>
      <c r="H4" s="111"/>
      <c r="I4" s="111"/>
      <c r="J4" s="111"/>
      <c r="K4" s="111"/>
    </row>
    <row r="5" spans="1:24" ht="20.100000000000001" customHeight="1" x14ac:dyDescent="0.25">
      <c r="A5" s="14" t="str">
        <f>HYPERLINK("#'Results'!A1", "Results")</f>
        <v>Results</v>
      </c>
      <c r="D5" s="6" t="s">
        <v>185</v>
      </c>
      <c r="N5" s="112"/>
    </row>
    <row r="6" spans="1:24" ht="20.100000000000001" customHeight="1" x14ac:dyDescent="0.25">
      <c r="A6"/>
      <c r="D6" s="113"/>
      <c r="N6" s="114"/>
    </row>
    <row r="7" spans="1:24" ht="20.100000000000001" customHeight="1" x14ac:dyDescent="0.25">
      <c r="A7"/>
      <c r="D7" s="1" t="s">
        <v>186</v>
      </c>
      <c r="E7" s="115" t="s">
        <v>187</v>
      </c>
      <c r="F7" s="2"/>
    </row>
    <row r="8" spans="1:24" ht="20.100000000000001" customHeight="1" x14ac:dyDescent="0.25">
      <c r="A8" s="16" t="s">
        <v>0</v>
      </c>
      <c r="D8" s="116" t="s">
        <v>188</v>
      </c>
      <c r="E8" s="115" t="s">
        <v>189</v>
      </c>
    </row>
    <row r="9" spans="1:24" ht="20.100000000000001" customHeight="1" x14ac:dyDescent="0.25">
      <c r="A9" s="48" t="str">
        <f>HYPERLINK("#'Input - Site'!A1", "Site")</f>
        <v>Site</v>
      </c>
      <c r="N9" s="117"/>
    </row>
    <row r="10" spans="1:24" ht="20.100000000000001" customHeight="1" x14ac:dyDescent="0.25">
      <c r="A10" s="14" t="str">
        <f>HYPERLINK("#'Input - Fuel'!A1", "Fuel")</f>
        <v>Fuel</v>
      </c>
      <c r="D10" s="118" t="s">
        <v>190</v>
      </c>
      <c r="E10" s="119"/>
      <c r="F10" s="120"/>
      <c r="G10" s="121"/>
      <c r="N10" s="117"/>
    </row>
    <row r="11" spans="1:24" ht="20.100000000000001" customHeight="1" x14ac:dyDescent="0.25">
      <c r="A11"/>
      <c r="N11" s="122"/>
    </row>
    <row r="12" spans="1:24" ht="20.100000000000001" customHeight="1" x14ac:dyDescent="0.25">
      <c r="A12"/>
      <c r="D12" s="116" t="s">
        <v>191</v>
      </c>
      <c r="E12" s="123">
        <v>45292</v>
      </c>
      <c r="F12" s="2" t="s">
        <v>192</v>
      </c>
    </row>
    <row r="13" spans="1:24" ht="20.100000000000001" customHeight="1" x14ac:dyDescent="0.25">
      <c r="A13" s="15" t="s">
        <v>44</v>
      </c>
      <c r="D13" s="116" t="s">
        <v>193</v>
      </c>
      <c r="E13" s="124">
        <f>DATE(YEAR(X_Cell_Site_StartDate)+1,MONTH(X_Cell_Site_StartDate),DAY(X_Cell_Site_StartDate))-1</f>
        <v>45657</v>
      </c>
      <c r="F13" s="2" t="s">
        <v>194</v>
      </c>
      <c r="N13" s="125"/>
      <c r="O13" s="125"/>
    </row>
    <row r="14" spans="1:24" ht="20.100000000000001" customHeight="1" x14ac:dyDescent="0.25">
      <c r="A14" s="14" t="str">
        <f>HYPERLINK("#'8.1.1.1-2 Transport fuel'!A1", "8.1.1.1-2 Transport fuel")</f>
        <v>8.1.1.1-2 Transport fuel</v>
      </c>
      <c r="N14" s="125"/>
      <c r="O14" s="125"/>
    </row>
    <row r="15" spans="1:24" ht="20.100000000000001" customHeight="1" x14ac:dyDescent="0.25">
      <c r="A15" s="14" t="str">
        <f>HYPERLINK("#'8.2.1.1-2 Stationary fuel'!A1", "8.2.1.1-2 Stationary fuel")</f>
        <v>8.2.1.1-2 Stationary fuel</v>
      </c>
      <c r="N15" s="125"/>
      <c r="O15" s="125"/>
    </row>
    <row r="16" spans="1:24" ht="20.100000000000001" customHeight="1" x14ac:dyDescent="0.25">
      <c r="A16"/>
      <c r="D16" s="6" t="s">
        <v>195</v>
      </c>
      <c r="N16" s="125"/>
      <c r="O16" s="125"/>
    </row>
    <row r="17" spans="1:25" ht="20.100000000000001" customHeight="1" x14ac:dyDescent="0.25">
      <c r="A17"/>
    </row>
    <row r="18" spans="1:25" ht="20.100000000000001" customHeight="1" x14ac:dyDescent="0.25">
      <c r="A18" s="156" t="s">
        <v>1</v>
      </c>
      <c r="D18" s="126" t="s">
        <v>196</v>
      </c>
      <c r="E18" s="38"/>
      <c r="F18" s="38"/>
      <c r="G18" s="35"/>
    </row>
    <row r="19" spans="1:25" ht="20.100000000000001" customHeight="1" x14ac:dyDescent="0.25">
      <c r="A19" s="14" t="str">
        <f>HYPERLINK("#'Constants - Fuel'!A1", "Constants - Fuel")</f>
        <v>Constants - Fuel</v>
      </c>
      <c r="D19" s="39" t="s">
        <v>197</v>
      </c>
      <c r="E19" s="37"/>
      <c r="F19" s="37"/>
      <c r="G19" s="36"/>
      <c r="N19" s="112"/>
    </row>
    <row r="20" spans="1:25" ht="20.100000000000001" customHeight="1" x14ac:dyDescent="0.25">
      <c r="A20" s="14" t="str">
        <f>HYPERLINK("#'Constants - Common'!A1", "Constants - Common")</f>
        <v>Constants - Common</v>
      </c>
      <c r="D20" s="1"/>
      <c r="E20" s="127"/>
      <c r="F20" s="2"/>
      <c r="N20" s="114"/>
    </row>
    <row r="21" spans="1:25" ht="20.100000000000001" customHeight="1" x14ac:dyDescent="0.25">
      <c r="A21"/>
      <c r="D21" s="1" t="s">
        <v>198</v>
      </c>
      <c r="E21" s="28" t="s">
        <v>199</v>
      </c>
      <c r="F21" s="2" t="s">
        <v>200</v>
      </c>
    </row>
    <row r="22" spans="1:25" ht="20.100000000000001" customHeight="1" x14ac:dyDescent="0.25">
      <c r="A22"/>
      <c r="D22" s="1" t="s">
        <v>201</v>
      </c>
      <c r="E22" s="28" t="s">
        <v>202</v>
      </c>
      <c r="F22" s="2" t="s">
        <v>200</v>
      </c>
      <c r="G22" s="1"/>
    </row>
    <row r="23" spans="1:25" ht="20.100000000000001" customHeight="1" x14ac:dyDescent="0.25">
      <c r="A23"/>
    </row>
    <row r="24" spans="1:25" ht="20.100000000000001" customHeight="1" x14ac:dyDescent="0.25">
      <c r="A24"/>
    </row>
    <row r="25" spans="1:25" ht="20.100000000000001" customHeight="1" x14ac:dyDescent="0.25">
      <c r="A25"/>
      <c r="N25" s="114"/>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28"/>
      <c r="L30" s="129"/>
      <c r="M30" s="129"/>
      <c r="N30" s="129"/>
      <c r="O30" s="129"/>
      <c r="P30" s="129"/>
      <c r="Q30" s="129"/>
      <c r="R30" s="129"/>
      <c r="S30" s="129"/>
      <c r="T30" s="129"/>
      <c r="U30" s="129"/>
      <c r="V30" s="129"/>
      <c r="W30" s="129"/>
      <c r="X30" s="129"/>
      <c r="Y30" s="129"/>
    </row>
    <row r="31" spans="1:25" ht="20.100000000000001" customHeight="1" x14ac:dyDescent="0.25">
      <c r="A31"/>
      <c r="G31" s="127"/>
      <c r="L31" s="130"/>
      <c r="M31" s="130"/>
      <c r="N31" s="130"/>
      <c r="O31" s="130"/>
      <c r="P31" s="130"/>
      <c r="Q31" s="130"/>
      <c r="R31" s="130"/>
      <c r="S31" s="130"/>
      <c r="T31" s="130"/>
      <c r="U31" s="130"/>
      <c r="V31" s="130"/>
      <c r="W31" s="130"/>
      <c r="X31" s="130"/>
      <c r="Y31" s="130"/>
    </row>
    <row r="32" spans="1:25" ht="20.100000000000001" customHeight="1" x14ac:dyDescent="0.25">
      <c r="A32"/>
      <c r="G32" s="127"/>
      <c r="L32" s="130"/>
      <c r="M32" s="130"/>
      <c r="N32" s="130"/>
      <c r="O32" s="130"/>
      <c r="P32" s="130"/>
      <c r="Q32" s="130"/>
      <c r="R32" s="130"/>
      <c r="S32" s="130"/>
      <c r="T32" s="130"/>
      <c r="U32" s="130"/>
      <c r="V32" s="130"/>
      <c r="W32" s="130"/>
      <c r="X32" s="130"/>
      <c r="Y32" s="130"/>
    </row>
    <row r="33" spans="1:25" ht="20.100000000000001" customHeight="1" x14ac:dyDescent="0.25">
      <c r="A33"/>
      <c r="G33" s="131"/>
      <c r="L33" s="130"/>
      <c r="M33" s="130"/>
      <c r="N33" s="130"/>
      <c r="O33" s="130"/>
      <c r="P33" s="130"/>
      <c r="Q33" s="130"/>
      <c r="R33" s="130"/>
      <c r="S33" s="130"/>
      <c r="T33" s="130"/>
      <c r="U33" s="130"/>
      <c r="V33" s="130"/>
      <c r="W33" s="130"/>
      <c r="X33" s="130"/>
      <c r="Y33" s="130"/>
    </row>
    <row r="34" spans="1:25" ht="20.100000000000001" customHeight="1" x14ac:dyDescent="0.25">
      <c r="A34"/>
      <c r="J34" s="132"/>
      <c r="K34" s="133"/>
      <c r="L34" s="130"/>
      <c r="M34" s="130"/>
      <c r="N34" s="130"/>
      <c r="O34" s="130"/>
      <c r="P34" s="130"/>
      <c r="Q34" s="130"/>
      <c r="R34" s="130"/>
      <c r="S34" s="130"/>
      <c r="T34" s="130"/>
      <c r="U34" s="130"/>
      <c r="V34" s="130"/>
      <c r="W34" s="130"/>
      <c r="X34" s="130"/>
      <c r="Y34" s="130"/>
    </row>
    <row r="35" spans="1:25" ht="20.100000000000001" customHeight="1" x14ac:dyDescent="0.25">
      <c r="A35"/>
      <c r="J35" s="132"/>
      <c r="K35" s="133"/>
      <c r="L35" s="130"/>
      <c r="M35" s="130"/>
      <c r="N35" s="130"/>
      <c r="O35" s="130"/>
      <c r="P35" s="130"/>
      <c r="Q35" s="130"/>
      <c r="R35" s="130"/>
      <c r="S35" s="130"/>
      <c r="T35" s="130"/>
      <c r="U35" s="130"/>
      <c r="V35" s="130"/>
      <c r="W35" s="130"/>
      <c r="X35" s="130"/>
      <c r="Y35" s="130"/>
    </row>
    <row r="36" spans="1:25" ht="20.100000000000001" customHeight="1" x14ac:dyDescent="0.25">
      <c r="A36"/>
      <c r="D36" s="134"/>
      <c r="E36" s="134"/>
      <c r="F36" s="135"/>
      <c r="G36" s="132"/>
      <c r="H36" s="132"/>
      <c r="I36" s="136"/>
      <c r="J36" s="132"/>
      <c r="K36" s="133"/>
      <c r="L36" s="130"/>
      <c r="M36" s="130"/>
      <c r="N36" s="130"/>
      <c r="O36" s="130"/>
      <c r="P36" s="130"/>
      <c r="Q36" s="130"/>
      <c r="R36" s="130"/>
      <c r="S36" s="130"/>
      <c r="T36" s="130"/>
      <c r="U36" s="130"/>
      <c r="V36" s="130"/>
      <c r="W36" s="130"/>
      <c r="X36" s="130"/>
      <c r="Y36" s="130"/>
    </row>
    <row r="37" spans="1:25" ht="20.100000000000001" customHeight="1" x14ac:dyDescent="0.25">
      <c r="A37"/>
      <c r="D37" s="134"/>
      <c r="E37" s="134"/>
      <c r="F37" s="135"/>
      <c r="G37" s="132"/>
      <c r="H37" s="132"/>
      <c r="I37" s="136"/>
      <c r="J37" s="132"/>
      <c r="K37" s="133"/>
      <c r="L37" s="130"/>
      <c r="M37" s="130"/>
      <c r="N37" s="130"/>
      <c r="O37" s="130"/>
      <c r="P37" s="130"/>
      <c r="Q37" s="130"/>
      <c r="R37" s="130"/>
      <c r="S37" s="130"/>
      <c r="T37" s="130"/>
      <c r="U37" s="130"/>
      <c r="V37" s="130"/>
      <c r="W37" s="130"/>
      <c r="X37" s="130"/>
      <c r="Y37" s="130"/>
    </row>
    <row r="38" spans="1:25" ht="20.100000000000001" customHeight="1" x14ac:dyDescent="0.25">
      <c r="A38"/>
      <c r="D38" s="134"/>
      <c r="E38" s="134"/>
      <c r="F38" s="135"/>
      <c r="G38" s="132"/>
      <c r="H38" s="132"/>
      <c r="I38" s="136"/>
      <c r="J38" s="132"/>
      <c r="K38" s="133"/>
      <c r="L38" s="130"/>
      <c r="M38" s="130"/>
      <c r="N38" s="130"/>
      <c r="O38" s="130"/>
      <c r="P38" s="130"/>
      <c r="Q38" s="130"/>
      <c r="R38" s="130"/>
      <c r="S38" s="130"/>
      <c r="T38" s="130"/>
      <c r="U38" s="130"/>
      <c r="V38" s="130"/>
      <c r="W38" s="130"/>
      <c r="X38" s="130"/>
      <c r="Y38" s="130"/>
    </row>
    <row r="39" spans="1:25" ht="20.100000000000001" customHeight="1" x14ac:dyDescent="0.25">
      <c r="A39"/>
      <c r="D39" s="134"/>
      <c r="E39" s="134"/>
      <c r="F39" s="135"/>
      <c r="G39" s="132"/>
      <c r="H39" s="132"/>
      <c r="I39" s="136"/>
      <c r="J39" s="132"/>
      <c r="K39" s="133"/>
      <c r="L39" s="130"/>
      <c r="M39" s="130"/>
      <c r="N39" s="130"/>
      <c r="O39" s="130"/>
      <c r="P39" s="130"/>
      <c r="Q39" s="130"/>
      <c r="R39" s="130"/>
      <c r="S39" s="130"/>
      <c r="T39" s="130"/>
      <c r="U39" s="130"/>
      <c r="V39" s="130"/>
      <c r="W39" s="130"/>
      <c r="X39" s="130"/>
      <c r="Y39" s="130"/>
    </row>
    <row r="40" spans="1:25" ht="20.100000000000001" customHeight="1" x14ac:dyDescent="0.25">
      <c r="A40"/>
      <c r="D40" s="137"/>
      <c r="E40" s="137"/>
      <c r="F40" s="137"/>
      <c r="G40" s="138"/>
      <c r="H40" s="139"/>
      <c r="I40" s="139"/>
      <c r="J40" s="139"/>
      <c r="K40" s="139"/>
      <c r="L40" s="140"/>
      <c r="M40" s="140"/>
      <c r="N40" s="140"/>
      <c r="O40" s="140"/>
      <c r="P40" s="140"/>
      <c r="Q40" s="140"/>
      <c r="R40" s="140"/>
      <c r="S40" s="140"/>
      <c r="T40" s="140"/>
      <c r="U40" s="140"/>
      <c r="V40" s="140"/>
      <c r="W40" s="140"/>
      <c r="X40" s="140"/>
      <c r="Y40" s="14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141"/>
      <c r="E47" s="141"/>
      <c r="F47" s="141"/>
      <c r="G47" s="141"/>
      <c r="H47" s="141"/>
    </row>
    <row r="48" spans="1:25" ht="20.100000000000001" customHeight="1" x14ac:dyDescent="0.25">
      <c r="A48"/>
      <c r="D48" s="142"/>
      <c r="E48" s="142"/>
      <c r="F48" s="143"/>
      <c r="G48" s="143"/>
      <c r="H48" s="142"/>
    </row>
    <row r="49" spans="1:8" ht="20.100000000000001" customHeight="1" x14ac:dyDescent="0.25">
      <c r="A49"/>
      <c r="D49" s="142"/>
      <c r="E49" s="142"/>
      <c r="F49" s="143"/>
      <c r="G49" s="143"/>
      <c r="H49" s="142"/>
    </row>
    <row r="50" spans="1:8" ht="20.100000000000001" customHeight="1" x14ac:dyDescent="0.25">
      <c r="A50"/>
      <c r="D50" s="142"/>
      <c r="E50" s="142"/>
      <c r="F50" s="143"/>
      <c r="G50" s="143"/>
      <c r="H50" s="142"/>
    </row>
    <row r="51" spans="1:8" ht="20.100000000000001" customHeight="1" x14ac:dyDescent="0.25">
      <c r="A51"/>
      <c r="D51" s="144"/>
      <c r="E51" s="145"/>
      <c r="F51" s="145"/>
      <c r="G51" s="145"/>
      <c r="H51" s="146"/>
    </row>
    <row r="52" spans="1:8" ht="20.100000000000001" customHeight="1" x14ac:dyDescent="0.25">
      <c r="A52"/>
    </row>
    <row r="53" spans="1:8" ht="20.100000000000001" customHeight="1" x14ac:dyDescent="0.25">
      <c r="A53"/>
    </row>
    <row r="54" spans="1:8" ht="20.100000000000001" customHeight="1" x14ac:dyDescent="0.25">
      <c r="A54"/>
      <c r="G54" s="147"/>
    </row>
    <row r="55" spans="1:8" ht="20.100000000000001" customHeight="1" x14ac:dyDescent="0.25">
      <c r="A55"/>
      <c r="D55" s="6"/>
    </row>
    <row r="56" spans="1:8" ht="20.100000000000001" customHeight="1" x14ac:dyDescent="0.25">
      <c r="A56"/>
    </row>
    <row r="57" spans="1:8" ht="20.100000000000001" customHeight="1" x14ac:dyDescent="0.25">
      <c r="A57"/>
      <c r="D57" s="17"/>
      <c r="F57" s="148"/>
    </row>
    <row r="58" spans="1:8" ht="20.100000000000001" customHeight="1" x14ac:dyDescent="0.25">
      <c r="A58"/>
      <c r="D58" s="1"/>
      <c r="E58" s="149"/>
    </row>
    <row r="59" spans="1:8" ht="20.100000000000001" customHeight="1" x14ac:dyDescent="0.25">
      <c r="A59"/>
      <c r="D59" s="1"/>
      <c r="E59" s="149"/>
    </row>
    <row r="60" spans="1:8" ht="20.100000000000001" customHeight="1" x14ac:dyDescent="0.25">
      <c r="A60"/>
      <c r="D60" s="1"/>
      <c r="E60" s="150"/>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49"/>
    </row>
    <row r="65" spans="1:9" ht="20.100000000000001" customHeight="1" x14ac:dyDescent="0.25">
      <c r="A65"/>
      <c r="D65" s="1"/>
      <c r="E65" s="149"/>
    </row>
    <row r="66" spans="1:9" ht="20.100000000000001" customHeight="1" x14ac:dyDescent="0.25">
      <c r="A66"/>
      <c r="D66" s="1"/>
      <c r="E66" s="150"/>
    </row>
    <row r="67" spans="1:9" ht="20.100000000000001" customHeight="1" x14ac:dyDescent="0.25">
      <c r="A67"/>
    </row>
    <row r="68" spans="1:9" ht="20.100000000000001" customHeight="1" x14ac:dyDescent="0.25">
      <c r="A68"/>
    </row>
    <row r="69" spans="1:9" ht="20.100000000000001" customHeight="1" x14ac:dyDescent="0.25">
      <c r="A69"/>
      <c r="D69" s="151"/>
      <c r="E69" s="151"/>
      <c r="F69" s="151"/>
      <c r="G69" s="151"/>
      <c r="H69" s="151"/>
      <c r="I69" s="151"/>
    </row>
    <row r="70" spans="1:9" ht="20.100000000000001" customHeight="1" x14ac:dyDescent="0.25">
      <c r="A70"/>
      <c r="D70" s="151"/>
      <c r="E70" s="151"/>
      <c r="F70" s="151"/>
      <c r="G70" s="151"/>
      <c r="H70" s="151"/>
      <c r="I70" s="151"/>
    </row>
    <row r="71" spans="1:9" ht="20.100000000000001" customHeight="1" x14ac:dyDescent="0.25">
      <c r="A71"/>
      <c r="D71" s="151"/>
      <c r="E71" s="151"/>
      <c r="F71" s="151"/>
      <c r="G71" s="151"/>
      <c r="H71" s="151"/>
      <c r="I71" s="151"/>
    </row>
    <row r="72" spans="1:9" ht="20.100000000000001" customHeight="1" x14ac:dyDescent="0.25">
      <c r="A72"/>
      <c r="D72" s="151"/>
      <c r="E72" s="151"/>
      <c r="F72" s="151"/>
      <c r="G72" s="151"/>
      <c r="H72" s="151"/>
      <c r="I72" s="15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52"/>
    </row>
    <row r="79" spans="1:9" ht="20.100000000000001" customHeight="1" x14ac:dyDescent="0.25">
      <c r="A79"/>
      <c r="D79" s="152"/>
    </row>
    <row r="80" spans="1:9" ht="20.100000000000001" customHeight="1" x14ac:dyDescent="0.25">
      <c r="A80"/>
      <c r="D80" s="152"/>
    </row>
    <row r="81" spans="1:4" ht="20.100000000000001" customHeight="1" x14ac:dyDescent="0.25">
      <c r="A81"/>
      <c r="D81" s="152"/>
    </row>
    <row r="82" spans="1:4" ht="20.100000000000001" customHeight="1" x14ac:dyDescent="0.25">
      <c r="A82"/>
      <c r="D82" s="15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4" customFormat="1" ht="30" customHeight="1" x14ac:dyDescent="0.35">
      <c r="A1" s="34" t="e" vm="1">
        <v>#VALUE!</v>
      </c>
      <c r="C1" s="34" t="s">
        <v>85</v>
      </c>
    </row>
    <row r="2" spans="1:11" s="9" customFormat="1" ht="20.100000000000001" customHeight="1" x14ac:dyDescent="0.25">
      <c r="A2"/>
    </row>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107</v>
      </c>
      <c r="E5" s="3"/>
      <c r="F5" s="3"/>
      <c r="G5" s="3"/>
      <c r="H5" s="3"/>
    </row>
    <row r="6" spans="1:11" ht="20.100000000000001" customHeight="1" x14ac:dyDescent="0.25">
      <c r="D6" s="18"/>
      <c r="E6" s="18"/>
      <c r="F6" s="18"/>
      <c r="G6" s="18"/>
      <c r="H6" s="18"/>
      <c r="I6" s="18"/>
      <c r="J6" s="18"/>
    </row>
    <row r="7" spans="1:11" ht="20.100000000000001" customHeight="1" x14ac:dyDescent="0.25">
      <c r="D7" s="1" t="s">
        <v>204</v>
      </c>
    </row>
    <row r="8" spans="1:11" ht="20.100000000000001" customHeight="1" x14ac:dyDescent="0.25">
      <c r="A8" s="16" t="s">
        <v>0</v>
      </c>
      <c r="D8" s="1" t="s">
        <v>203</v>
      </c>
    </row>
    <row r="9" spans="1:11" ht="20.100000000000001" customHeight="1" x14ac:dyDescent="0.25">
      <c r="A9" s="14" t="str">
        <f>HYPERLINK("#'Input - Site'!A1", "Site")</f>
        <v>Site</v>
      </c>
      <c r="D9" s="1" t="s">
        <v>205</v>
      </c>
    </row>
    <row r="10" spans="1:11" ht="20.100000000000001" customHeight="1" x14ac:dyDescent="0.25">
      <c r="A10" s="48" t="str">
        <f>HYPERLINK("#'Input - Fuel'!A1", "Fuel")</f>
        <v>Fuel</v>
      </c>
    </row>
    <row r="11" spans="1:11" ht="20.100000000000001" customHeight="1" x14ac:dyDescent="0.25">
      <c r="D11" s="1" t="s">
        <v>206</v>
      </c>
      <c r="E11" s="28" t="s">
        <v>207</v>
      </c>
      <c r="F11" s="2" t="s">
        <v>200</v>
      </c>
    </row>
    <row r="12" spans="1:11" ht="20.100000000000001" customHeight="1" x14ac:dyDescent="0.25"/>
    <row r="13" spans="1:11" ht="20.100000000000001" customHeight="1" x14ac:dyDescent="0.25">
      <c r="A13" s="15" t="s">
        <v>44</v>
      </c>
      <c r="D13" s="47" t="s">
        <v>86</v>
      </c>
      <c r="E13" s="38"/>
      <c r="F13" s="38"/>
      <c r="G13" s="38"/>
      <c r="H13" s="35"/>
    </row>
    <row r="14" spans="1:11" ht="20.100000000000001" customHeight="1" x14ac:dyDescent="0.25">
      <c r="A14" s="14" t="str">
        <f>HYPERLINK("#'8.1.1.1-2 Transport fuel'!A1", "8.1.1.1-2 Transport fuel")</f>
        <v>8.1.1.1-2 Transport fuel</v>
      </c>
      <c r="D14" s="39" t="s">
        <v>87</v>
      </c>
      <c r="E14" s="37"/>
      <c r="F14" s="37"/>
      <c r="G14" s="37"/>
      <c r="H14" s="36"/>
    </row>
    <row r="15" spans="1:11" ht="20.100000000000001" customHeight="1" x14ac:dyDescent="0.25">
      <c r="A15" s="14" t="str">
        <f>HYPERLINK("#'8.2.1.1-2 Stationary fuel'!A1", "8.2.1.1-2 Stationary fuel")</f>
        <v>8.2.1.1-2 Stationary fuel</v>
      </c>
      <c r="D15" s="18"/>
      <c r="E15" s="18"/>
      <c r="F15" s="18"/>
      <c r="G15" s="18"/>
      <c r="H15" s="18"/>
      <c r="I15" s="18"/>
      <c r="J15" s="18"/>
    </row>
    <row r="16" spans="1:11" ht="20.100000000000001" customHeight="1" x14ac:dyDescent="0.25">
      <c r="D16" s="51" t="s">
        <v>88</v>
      </c>
      <c r="E16" s="51" t="s">
        <v>89</v>
      </c>
      <c r="F16" s="51" t="s">
        <v>90</v>
      </c>
      <c r="G16" s="51" t="s">
        <v>91</v>
      </c>
      <c r="H16" s="51" t="s">
        <v>92</v>
      </c>
      <c r="I16" s="51" t="s">
        <v>93</v>
      </c>
      <c r="J16" s="51" t="s">
        <v>211</v>
      </c>
    </row>
    <row r="17" spans="1:10" ht="20.100000000000001" customHeight="1" x14ac:dyDescent="0.25">
      <c r="D17" s="28" t="s">
        <v>94</v>
      </c>
      <c r="E17" s="28" t="s">
        <v>106</v>
      </c>
      <c r="F17" s="69">
        <v>100</v>
      </c>
      <c r="G17" s="30" t="str" cm="1">
        <f t="array" ref="G17">Common_InputFunctions.Utility_LookupValueInTable(Table_Input_Fuel[[#This Row],[Fuel type (select)]],Table_FuelTypes_Units[Fuel type], Table_FuelTypes_Units[Input Unit])</f>
        <v>GJ</v>
      </c>
      <c r="H17" s="70">
        <f>1</f>
        <v>1</v>
      </c>
      <c r="I17" s="30">
        <f>Table_Input_Fuel[[#This Row],[Amount purchased]]*Table_Input_Fuel[[#This Row],[Percent consumed]]*IF(Table_Input_Fuel[[#This Row],[Amount unit]]="L", 10^-3, 1)</f>
        <v>100</v>
      </c>
      <c r="J17" s="30" t="str" cm="1">
        <f t="array" ref="J17">Common_InputFunctions.Utility_LookupValueInTable(Table_Input_Fuel[[#This Row],[Fuel type (select)]],Table_FuelTypes_Units[Fuel type], Table_FuelTypes_Units[Unit])</f>
        <v>GJ</v>
      </c>
    </row>
    <row r="18" spans="1:10" ht="20.100000000000001" customHeight="1" x14ac:dyDescent="0.25">
      <c r="A18" s="156" t="s">
        <v>1</v>
      </c>
      <c r="D18" s="28" t="s">
        <v>94</v>
      </c>
      <c r="E18" s="28" t="s">
        <v>97</v>
      </c>
      <c r="F18" s="69">
        <v>10000</v>
      </c>
      <c r="G18" s="30" t="str" cm="1">
        <f t="array" ref="G18">Common_InputFunctions.Utility_LookupValueInTable(Table_Input_Fuel[[#This Row],[Fuel type (select)]],Table_FuelTypes_Units[Fuel type], Table_FuelTypes_Units[Input Unit])</f>
        <v>L</v>
      </c>
      <c r="H18" s="153">
        <f>1</f>
        <v>1</v>
      </c>
      <c r="I18" s="30">
        <f>Table_Input_Fuel[[#This Row],[Amount purchased]]*Table_Input_Fuel[[#This Row],[Percent consumed]]*IF(Table_Input_Fuel[[#This Row],[Amount unit]]="L", 10^-3, 1)</f>
        <v>10</v>
      </c>
      <c r="J18" s="30" t="str" cm="1">
        <f t="array" ref="J18">Common_InputFunctions.Utility_LookupValueInTable(Table_Input_Fuel[[#This Row],[Fuel type (select)]],Table_FuelTypes_Units[Fuel type], Table_FuelTypes_Units[Unit])</f>
        <v>kL</v>
      </c>
    </row>
    <row r="19" spans="1:10" ht="20.100000000000001" customHeight="1" x14ac:dyDescent="0.25">
      <c r="A19" s="14" t="str">
        <f>HYPERLINK("#'Constants - Fuel'!A1", "Constants - Fuel")</f>
        <v>Constants - Fuel</v>
      </c>
      <c r="D19" s="28" t="s">
        <v>103</v>
      </c>
      <c r="E19" s="28" t="s">
        <v>104</v>
      </c>
      <c r="F19" s="69">
        <v>10000</v>
      </c>
      <c r="G19" s="30" t="str" cm="1">
        <f t="array" ref="G19">Common_InputFunctions.Utility_LookupValueInTable(Table_Input_Fuel[[#This Row],[Fuel type (select)]],Table_FuelTypes_Units[Fuel type], Table_FuelTypes_Units[Input Unit])</f>
        <v>L</v>
      </c>
      <c r="H19" s="153">
        <f>1</f>
        <v>1</v>
      </c>
      <c r="I19" s="30">
        <f>Table_Input_Fuel[[#This Row],[Amount purchased]]*Table_Input_Fuel[[#This Row],[Percent consumed]]*IF(Table_Input_Fuel[[#This Row],[Amount unit]]="L", 10^-3, 1)</f>
        <v>10</v>
      </c>
      <c r="J19" s="30" t="str" cm="1">
        <f t="array" ref="J19">Common_InputFunctions.Utility_LookupValueInTable(Table_Input_Fuel[[#This Row],[Fuel type (select)]],Table_FuelTypes_Units[Fuel type], Table_FuelTypes_Units[Unit])</f>
        <v>kL</v>
      </c>
    </row>
    <row r="20" spans="1:10" ht="20.100000000000001" customHeight="1" x14ac:dyDescent="0.25">
      <c r="A20" s="14" t="str">
        <f>HYPERLINK("#'Constants - Common'!A1", "Constants - Common")</f>
        <v>Constants - Common</v>
      </c>
      <c r="D20" s="28" t="s">
        <v>143</v>
      </c>
      <c r="E20" s="28" t="s">
        <v>104</v>
      </c>
      <c r="F20" s="69">
        <v>10000</v>
      </c>
      <c r="G20" s="30" t="str" cm="1">
        <f t="array" ref="G20">Common_InputFunctions.Utility_LookupValueInTable(Table_Input_Fuel[[#This Row],[Fuel type (select)]],Table_FuelTypes_Units[Fuel type], Table_FuelTypes_Units[Input Unit])</f>
        <v>L</v>
      </c>
      <c r="H20" s="153">
        <f>1</f>
        <v>1</v>
      </c>
      <c r="I20" s="30">
        <f>Table_Input_Fuel[[#This Row],[Amount purchased]]*Table_Input_Fuel[[#This Row],[Percent consumed]]*IF(Table_Input_Fuel[[#This Row],[Amount unit]]="L", 10^-3, 1)</f>
        <v>10</v>
      </c>
      <c r="J20" s="30" t="str" cm="1">
        <f t="array" ref="J20">Common_InputFunctions.Utility_LookupValueInTable(Table_Input_Fuel[[#This Row],[Fuel type (select)]],Table_FuelTypes_Units[Fuel type], Table_FuelTypes_Units[Unit])</f>
        <v>kL</v>
      </c>
    </row>
    <row r="21" spans="1:10" ht="20.100000000000001" customHeight="1" x14ac:dyDescent="0.25">
      <c r="D21" s="154" t="s">
        <v>144</v>
      </c>
      <c r="E21" s="154" t="s">
        <v>134</v>
      </c>
      <c r="F21" s="69">
        <v>10000</v>
      </c>
      <c r="G21" s="97" t="str" cm="1">
        <f t="array" ref="G21">Common_InputFunctions.Utility_LookupValueInTable(Table_Input_Fuel[[#This Row],[Fuel type (select)]],Table_FuelTypes_Units[Fuel type], Table_FuelTypes_Units[Input Unit])</f>
        <v>L</v>
      </c>
      <c r="H21" s="155">
        <f>1</f>
        <v>1</v>
      </c>
      <c r="I21" s="97">
        <f>Table_Input_Fuel[[#This Row],[Amount purchased]]*Table_Input_Fuel[[#This Row],[Percent consumed]]*IF(Table_Input_Fuel[[#This Row],[Amount unit]]="L", 10^-3, 1)</f>
        <v>10</v>
      </c>
      <c r="J21" s="30"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row r="30" spans="1:10" ht="20.100000000000001" customHeight="1" x14ac:dyDescent="0.25"/>
    <row r="31" spans="1:10" ht="20.100000000000001" customHeight="1" x14ac:dyDescent="0.25"/>
    <row r="32" spans="1:10" ht="20.100000000000001" customHeight="1" x14ac:dyDescent="0.25"/>
    <row r="33" spans="1:11" ht="20.100000000000001" customHeight="1" x14ac:dyDescent="0.25"/>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4"/>
      <c r="K38" s="54"/>
    </row>
    <row r="39" spans="1:11" ht="20.100000000000001" customHeight="1" x14ac:dyDescent="0.25">
      <c r="C39" s="54"/>
      <c r="K39" s="54"/>
    </row>
    <row r="40" spans="1:11" s="55" customFormat="1" ht="20.100000000000001" customHeight="1" x14ac:dyDescent="0.25">
      <c r="A40"/>
      <c r="C40" s="1"/>
      <c r="D40" s="1"/>
      <c r="E40" s="1"/>
      <c r="F40" s="1"/>
      <c r="G40" s="1"/>
      <c r="H40" s="1"/>
      <c r="I40" s="1"/>
      <c r="J40" s="1"/>
      <c r="K40" s="1"/>
    </row>
    <row r="41" spans="1:11" s="55" customFormat="1" ht="20.100000000000001" customHeight="1" x14ac:dyDescent="0.25">
      <c r="A41"/>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3"/>
    </row>
  </sheetData>
  <conditionalFormatting sqref="F32">
    <cfRule type="cellIs" dxfId="53" priority="62" operator="lessThan">
      <formula>0</formula>
    </cfRule>
  </conditionalFormatting>
  <conditionalFormatting sqref="F111:F112">
    <cfRule type="cellIs" dxfId="52" priority="21" operator="lessThan">
      <formula>0</formula>
    </cfRule>
  </conditionalFormatting>
  <conditionalFormatting sqref="F123:F124">
    <cfRule type="cellIs" dxfId="51" priority="20" operator="lessThan">
      <formula>0</formula>
    </cfRule>
  </conditionalFormatting>
  <conditionalFormatting sqref="F135:F136">
    <cfRule type="cellIs" dxfId="50" priority="19" operator="lessThan">
      <formula>0</formula>
    </cfRule>
  </conditionalFormatting>
  <conditionalFormatting sqref="F147:F148">
    <cfRule type="cellIs" dxfId="49" priority="18" operator="lessThan">
      <formula>0</formula>
    </cfRule>
  </conditionalFormatting>
  <conditionalFormatting sqref="F235:F236">
    <cfRule type="cellIs" dxfId="48" priority="93" operator="lessThan">
      <formula>0</formula>
    </cfRule>
  </conditionalFormatting>
  <conditionalFormatting sqref="F240:F241">
    <cfRule type="cellIs" dxfId="47" priority="92" operator="lessThan">
      <formula>0</formula>
    </cfRule>
  </conditionalFormatting>
  <conditionalFormatting sqref="F245:F246">
    <cfRule type="cellIs" dxfId="46" priority="91" operator="lessThan">
      <formula>0</formula>
    </cfRule>
  </conditionalFormatting>
  <conditionalFormatting sqref="F269:F270">
    <cfRule type="cellIs" dxfId="45" priority="85" operator="lessThan">
      <formula>0</formula>
    </cfRule>
  </conditionalFormatting>
  <conditionalFormatting sqref="F274:F275">
    <cfRule type="cellIs" dxfId="44" priority="84" operator="lessThan">
      <formula>0</formula>
    </cfRule>
  </conditionalFormatting>
  <conditionalFormatting sqref="F279:F280">
    <cfRule type="cellIs" dxfId="43" priority="83" operator="lessThan">
      <formula>0</formula>
    </cfRule>
  </conditionalFormatting>
  <conditionalFormatting sqref="I26:J27 H28:H30 I31:J31 I33:J35 I37:J38 I189:J189 E195:G195 I195:J195">
    <cfRule type="cellIs" dxfId="42" priority="79" operator="lessThan">
      <formula>0</formula>
    </cfRule>
  </conditionalFormatting>
  <conditionalFormatting sqref="I42:J46">
    <cfRule type="cellIs" dxfId="41" priority="5" operator="lessThan">
      <formula>0</formula>
    </cfRule>
  </conditionalFormatting>
  <conditionalFormatting sqref="I50:J50 I109:J109">
    <cfRule type="cellIs" dxfId="40" priority="74" operator="lessThan">
      <formula>0</formula>
    </cfRule>
  </conditionalFormatting>
  <conditionalFormatting sqref="I61:J63">
    <cfRule type="cellIs" dxfId="39" priority="4" operator="lessThan">
      <formula>0</formula>
    </cfRule>
  </conditionalFormatting>
  <conditionalFormatting sqref="I67:J70">
    <cfRule type="cellIs" dxfId="38" priority="3" operator="lessThan">
      <formula>0</formula>
    </cfRule>
  </conditionalFormatting>
  <conditionalFormatting sqref="I74:J78">
    <cfRule type="cellIs" dxfId="37"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E45" zoomScaleNormal="100"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4" t="e" vm="1">
        <v>#VALUE!</v>
      </c>
      <c r="C1" s="8" t="s">
        <v>108</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0"/>
      <c r="P5" s="50"/>
      <c r="Q5" s="50"/>
    </row>
    <row r="6" spans="1:18" ht="20.100000000000001" customHeight="1" x14ac:dyDescent="0.25">
      <c r="D6" s="5" t="str" cm="1">
        <f t="array" ref="D6">Fuel_Equations.VEERG_8_1_1_1__1_FuelCombustionTransport_Source()</f>
        <v>VEERG 2026: 8.1.1.1, Equation (1)</v>
      </c>
      <c r="K6" s="5" t="str" cm="1">
        <f t="array" ref="K6">Scope3_Equations.VEERG_15_11_1_1__2_UpstreamTransportFuelEmissions_Source()</f>
        <v>VEERG 2026: 15.11.1.1, Equation (2)</v>
      </c>
      <c r="O6" s="50"/>
      <c r="P6" s="50"/>
      <c r="Q6" s="50"/>
    </row>
    <row r="7" spans="1:18" ht="20.100000000000001" customHeight="1" x14ac:dyDescent="0.25">
      <c r="D7" s="11" t="s">
        <v>9</v>
      </c>
      <c r="E7" s="11" t="str" cm="1">
        <f t="array" aca="1" ref="E7" ca="1">Common_InputFunctions.Utility_DisplayFunctionName(N25)</f>
        <v>=Fuel_Equations.VEERG_8_1_1_1__1_FuelCombustionTransport</v>
      </c>
      <c r="K7" s="11" t="s">
        <v>9</v>
      </c>
      <c r="L7" s="11" t="str" cm="1">
        <f t="array" aca="1" ref="L7" ca="1">Common_InputFunctions.Utility_DisplayFunctionName(Q25)</f>
        <v>=Scope3_Equations.VEERG_15_11_1_1__2_UpstreamTransportFuelEmissions</v>
      </c>
      <c r="O7" s="50"/>
      <c r="P7" s="50"/>
      <c r="Q7" s="50"/>
    </row>
    <row r="8" spans="1:18" ht="20.100000000000001" customHeight="1" x14ac:dyDescent="0.25">
      <c r="A8" s="16" t="s">
        <v>0</v>
      </c>
      <c r="E8" s="11"/>
      <c r="L8" s="11"/>
      <c r="O8" s="50"/>
      <c r="P8" s="50"/>
      <c r="Q8" s="50"/>
    </row>
    <row r="9" spans="1:18" ht="20.100000000000001" customHeight="1" x14ac:dyDescent="0.25">
      <c r="A9" s="14" t="str">
        <f>HYPERLINK("#'Input - Site'!A1", "Site")</f>
        <v>Site</v>
      </c>
      <c r="G9" s="5"/>
      <c r="O9" s="50"/>
      <c r="P9" s="50"/>
      <c r="Q9" s="50"/>
    </row>
    <row r="10" spans="1:18" ht="20.100000000000001" customHeight="1" x14ac:dyDescent="0.25">
      <c r="A10" s="14" t="str">
        <f>HYPERLINK("#'Input - Fuel'!A1", "Fuel")</f>
        <v>Fuel</v>
      </c>
      <c r="O10" s="50"/>
      <c r="P10" s="50"/>
      <c r="Q10" s="50"/>
    </row>
    <row r="11" spans="1:18" ht="20.100000000000001" customHeight="1" x14ac:dyDescent="0.25">
      <c r="D11" s="31" t="s">
        <v>12</v>
      </c>
      <c r="E11" s="1" t="str" cm="1">
        <f t="array" ref="E11">Fuel_Equations.VEERG_8_1_1_1__1_FuelCombustionTransport_Variable()</f>
        <v>E_g</v>
      </c>
      <c r="K11" s="31" t="s">
        <v>12</v>
      </c>
      <c r="L11" s="1" t="str" cm="1">
        <f t="array" ref="L11">Scope3_Equations.VEERG_15_11_1_1__2_UpstreamTransportFuelEmissions_Variable()</f>
        <v>E_WTTtransq</v>
      </c>
      <c r="O11" s="50"/>
      <c r="P11" s="50"/>
      <c r="Q11" s="50"/>
    </row>
    <row r="12" spans="1:18" ht="20.100000000000001" customHeight="1" x14ac:dyDescent="0.25">
      <c r="D12" s="31" t="s">
        <v>4</v>
      </c>
      <c r="E12" s="32" t="str" cm="1">
        <f t="array" ref="E12">Fuel_Equations.VEERG_8_1_1_1__1_FuelCombustionTransport_Unit()</f>
        <v>t CO2-e</v>
      </c>
      <c r="K12" s="31" t="s">
        <v>4</v>
      </c>
      <c r="L12" s="32" t="str" cm="1">
        <f t="array" ref="L12">Scope3_Equations.VEERG_15_11_1_1__2_UpstreamTransportFuelEmissions_Unit()</f>
        <v>t CO2e</v>
      </c>
    </row>
    <row r="13" spans="1:18" ht="20.100000000000001" customHeight="1" x14ac:dyDescent="0.25">
      <c r="A13" s="15" t="s">
        <v>44</v>
      </c>
    </row>
    <row r="14" spans="1:18" ht="20.100000000000001" customHeight="1" x14ac:dyDescent="0.25">
      <c r="A14" s="67" t="str">
        <f>HYPERLINK("#'8.1.1.1-2 Transport fuel'!A1", "8.1.1.1-2 Transport fuel")</f>
        <v>8.1.1.1-2 Transport fuel</v>
      </c>
      <c r="D14" s="57" t="str" cm="1">
        <f t="array" ref="D14:E20">_xlfn.CHOOSECOLS(Fuel_Equations.VEERG_8_1_1_1__1_FuelCombustionTransport_Arguments(), 1,2)</f>
        <v>Q_Transtq</v>
      </c>
      <c r="E14" s="59" t="str">
        <v>Amount of fuel type q combusted for transport energy purposes</v>
      </c>
      <c r="F14" s="58"/>
      <c r="G14" s="57" t="str" cm="1">
        <f t="array" ref="G14:H20">_xlfn.CHOOSECOLS(Fuel_Equations.VEERG_8_1_1_1__1_FuelCombustionTransport_Arguments(), 3,4)</f>
        <v>Varies based on fuel type: kL, m3, GJ</v>
      </c>
      <c r="H14" s="53" t="str">
        <v>Input</v>
      </c>
      <c r="I14" s="56" t="str" cm="1">
        <f t="array" aca="1" ref="I14" ca="1">HYPERLINK(Common_InputFunctions.Utility_SourceHyperlink($D$22), $D$22)</f>
        <v>Table_E_g</v>
      </c>
      <c r="K14" s="57" t="str" cm="1">
        <f t="array" ref="K14:L16">_xlfn.CHOOSECOLS(Scope3_Equations.VEERG_15_11_1_1__2_UpstreamTransportFuelEmissions_Arguments(),1,2)</f>
        <v>Q_Transq</v>
      </c>
      <c r="L14" s="57" t="str">
        <v>amount of fuel q combusted for transport energy purposes</v>
      </c>
      <c r="M14" s="57"/>
      <c r="N14" s="57" t="str" cm="1">
        <f t="array" ref="N14:O16">_xlfn.CHOOSECOLS(Scope3_Equations.VEERG_15_11_1_1__2_UpstreamTransportFuelEmissions_Arguments(),3,4)</f>
        <v>kL</v>
      </c>
      <c r="O14" s="53" t="str">
        <v>Input</v>
      </c>
      <c r="P14" s="56" t="str" cm="1">
        <f t="array" aca="1" ref="P14" ca="1">HYPERLINK(Common_InputFunctions.Utility_SourceHyperlink($D$22), $D$22)</f>
        <v>Table_E_g</v>
      </c>
      <c r="Q14" s="50"/>
    </row>
    <row r="15" spans="1:18" ht="20.100000000000001" customHeight="1" x14ac:dyDescent="0.25">
      <c r="A15" s="14" t="str">
        <f>HYPERLINK("#'8.2.1.1-2 Stationary fuel'!A1", "8.2.1.1-2 Stationary fuel")</f>
        <v>8.2.1.1-2 Stationary fuel</v>
      </c>
      <c r="D15" s="57" t="str">
        <v>EC_Transq</v>
      </c>
      <c r="E15" s="59" t="str">
        <v>Energy content factor for transport energy purposes</v>
      </c>
      <c r="F15" s="58"/>
      <c r="G15" s="57" t="str">
        <v>GJ / unit of fuel</v>
      </c>
      <c r="H15" s="52" t="str">
        <v>Constant</v>
      </c>
      <c r="I15" s="56" t="str" cm="1">
        <f t="array" aca="1" ref="I15" ca="1">HYPERLINK(Common_InputFunctions.Utility_SourceHyperlink($D$22), $D$22)</f>
        <v>Table_E_g</v>
      </c>
      <c r="K15" s="57" t="str">
        <v>EC_Transq</v>
      </c>
      <c r="L15" s="57" t="str">
        <v>energy content factor for transport energy purposes</v>
      </c>
      <c r="M15" s="57"/>
      <c r="N15" s="57" t="str">
        <v>GJ/kL or GJ/m3</v>
      </c>
      <c r="O15" s="52" t="str">
        <v>Constant</v>
      </c>
      <c r="P15" s="56" t="str" cm="1">
        <f t="array" aca="1" ref="P15" ca="1">HYPERLINK(Common_InputFunctions.Utility_SourceHyperlink($D$22), $D$22)</f>
        <v>Table_E_g</v>
      </c>
      <c r="Q15" s="50"/>
    </row>
    <row r="16" spans="1:18" ht="20.100000000000001" customHeight="1" x14ac:dyDescent="0.25">
      <c r="D16" s="57" t="str">
        <v>EF_Trans1tqg</v>
      </c>
      <c r="E16" s="59" t="str">
        <v>Scope 1 emission factor for transport energy purposes for each greenhouse gas</v>
      </c>
      <c r="F16" s="58"/>
      <c r="G16" s="57" t="str">
        <v>kg CO2e / GJ</v>
      </c>
      <c r="H16" s="52" t="str">
        <v>Constant</v>
      </c>
      <c r="I16" s="56" t="str" cm="1">
        <f t="array" aca="1" ref="I16" ca="1">HYPERLINK(Common_InputFunctions.Utility_SourceHyperlink($D$22), $D$22)</f>
        <v>Table_E_g</v>
      </c>
      <c r="K16" s="57" t="str">
        <v>EF_Trans3q</v>
      </c>
      <c r="L16" s="57" t="str">
        <v>scope 3 emission factor for transport energy purposes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P17" s="50"/>
      <c r="Q17" s="50"/>
    </row>
    <row r="18" spans="1:17" ht="20.100000000000001" customHeight="1" x14ac:dyDescent="0.25">
      <c r="A18" s="156" t="s">
        <v>1</v>
      </c>
      <c r="D18" s="57" t="str">
        <v>Trans</v>
      </c>
      <c r="E18" s="59" t="str">
        <v>Transport combustion</v>
      </c>
      <c r="F18" s="58"/>
      <c r="G18" s="57" t="str">
        <v/>
      </c>
      <c r="H18" s="52" t="str">
        <v>Constant</v>
      </c>
      <c r="I18" s="56"/>
      <c r="J18" s="50"/>
      <c r="L18" s="50"/>
      <c r="M18" s="50"/>
      <c r="N18" s="50"/>
      <c r="O18" s="50"/>
      <c r="P18" s="50"/>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M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M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160</v>
      </c>
    </row>
    <row r="24" spans="1:17" ht="20.100000000000001" customHeight="1" x14ac:dyDescent="0.25">
      <c r="D24" s="29" t="s">
        <v>145</v>
      </c>
      <c r="E24" s="29" t="s">
        <v>158</v>
      </c>
      <c r="F24" s="29" t="s">
        <v>146</v>
      </c>
      <c r="G24" s="29" t="s">
        <v>147</v>
      </c>
      <c r="H24" s="29" t="s">
        <v>148</v>
      </c>
      <c r="I24" s="29" t="s">
        <v>149</v>
      </c>
      <c r="J24" s="29" t="s">
        <v>150</v>
      </c>
      <c r="K24" s="29" t="s">
        <v>179</v>
      </c>
      <c r="L24" s="51" t="s">
        <v>167</v>
      </c>
      <c r="M24" s="29" t="s">
        <v>151</v>
      </c>
      <c r="N24" s="29" t="s">
        <v>152</v>
      </c>
      <c r="O24" s="29" t="s">
        <v>153</v>
      </c>
      <c r="P24" s="29" t="s">
        <v>154</v>
      </c>
      <c r="Q24" s="29" t="s">
        <v>181</v>
      </c>
    </row>
    <row r="25" spans="1:17" ht="20.100000000000001" customHeight="1" x14ac:dyDescent="0.25">
      <c r="D25" s="3" t="str">
        <f>Table_FuelTypesPerUse[[#Headers],[Cars and light commercial vehicles]]</f>
        <v>Cars and light commercial vehicles</v>
      </c>
      <c r="E25" s="83" t="str">
        <f>'Constants - Fuel'!$E$10</f>
        <v>Gasoline</v>
      </c>
      <c r="F25" s="83" t="str">
        <f>'Constants - Fuel'!G131</f>
        <v>Petrol</v>
      </c>
      <c r="G25" s="30" cm="1">
        <f t="array" ref="G25">IFERROR(_xlfn.XLOOKUP(1, (Table_Fuel_EFs_Transport[Fuel combusted]=$E25)*(Table_Fuel_EFs_Transport[Transport type]=$D$25), Table_Fuel_EFs_Transport[Energy Content Factor (GJ per unit of fuel)]), 0)</f>
        <v>34.200000000000003</v>
      </c>
      <c r="H25" s="30" cm="1">
        <f t="array" ref="H25">IFERROR(_xlfn.XLOOKUP(1, (Table_Fuel_EFs_Transport[Fuel combusted]=$E25)*(Table_Fuel_EFs_Transport[Transport type]=$D$25), Table_Fuel_EFs_Transport[Scope 1 Emission Factor (kg CO2 - e / GJ) CO2]), 0)</f>
        <v>67.400000000000006</v>
      </c>
      <c r="I25" s="30" cm="1">
        <f t="array" ref="I25">IFERROR(_xlfn.XLOOKUP(1, (Table_Fuel_EFs_Transport[Fuel combusted]=$E25)*(Table_Fuel_EFs_Transport[Transport type]=$D$25), Table_Fuel_EFs_Transport[Scope 1 Emission Factor (kg CO2 - e / GJ) CH4]), 0)</f>
        <v>0.02</v>
      </c>
      <c r="J25" s="30" cm="1">
        <f t="array" ref="J25">IFERROR(_xlfn.XLOOKUP(1, (Table_Fuel_EFs_Transport[Fuel combusted]=$E25)*(Table_Fuel_EFs_Transport[Transport type]=$D$25), Table_Fuel_EFs_Transport[Scope 1 Emission Factor (kg CO2 - e / GJ) N2O]), 0)</f>
        <v>0.2</v>
      </c>
      <c r="K25" s="30" cm="1">
        <f t="array" ref="K25">IFERROR(_xlfn.XLOOKUP(1, (Table_Fuel_EFs_Transport[Fuel combusted]=$E25)*(Table_Fuel_EFs_Transport[Transport type]=$D$25), Table_Fuel_EFs_Transport[Scope 3 Emission Factor (kg CO2 - e / GJ)]), 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2" cm="1">
        <f t="array" ref="N25">Fuel_Equations.VEERG_8_1_1_1__1_FuelCombustionTransport($L25,$G25,$H25)</f>
        <v>0</v>
      </c>
      <c r="O25" s="102" cm="1">
        <f t="array" ref="O25">Fuel_Equations.VEERG_8_1_1_1__1_FuelCombustionTransport($L25,$G25,$I25)</f>
        <v>0</v>
      </c>
      <c r="P25" s="102" cm="1">
        <f t="array" ref="P25">Fuel_Equations.VEERG_8_1_1_1__1_FuelCombustionTransport($L25,$G25,$J25)</f>
        <v>0</v>
      </c>
      <c r="Q25" s="102" cm="1">
        <f t="array" ref="Q25">Scope3_Equations.VEERG_15_11_1_1__2_UpstreamTransportFuelEmissions(L25,G25,K25)</f>
        <v>0</v>
      </c>
    </row>
    <row r="26" spans="1:17" ht="20.100000000000001" customHeight="1" x14ac:dyDescent="0.25">
      <c r="D26" s="84" t="str">
        <f t="shared" ref="D26:D32" si="0">$D$25</f>
        <v>Cars and light commercial vehicles</v>
      </c>
      <c r="E26" s="83" t="str">
        <f>'Constants - Fuel'!$E$11</f>
        <v>Diesel oil</v>
      </c>
      <c r="F26" s="83" t="str">
        <f>'Constants - Fuel'!G132</f>
        <v>Diesel</v>
      </c>
      <c r="G26" s="30" cm="1">
        <f t="array" ref="G26">IFERROR(_xlfn.XLOOKUP(1, (Table_Fuel_EFs_Transport[Fuel combusted]=$E26)*(Table_Fuel_EFs_Transport[Transport type]=$D$25), Table_Fuel_EFs_Transport[Energy Content Factor (GJ per unit of fuel)]), 0)</f>
        <v>38.6</v>
      </c>
      <c r="H26" s="30" cm="1">
        <f t="array" ref="H26">IFERROR(_xlfn.XLOOKUP(1, (Table_Fuel_EFs_Transport[Fuel combusted]=$E26)*(Table_Fuel_EFs_Transport[Transport type]=$D$25), Table_Fuel_EFs_Transport[Scope 1 Emission Factor (kg CO2 - e / GJ) CO2]), 0)</f>
        <v>69.900000000000006</v>
      </c>
      <c r="I26" s="30" cm="1">
        <f t="array" ref="I26">IFERROR(_xlfn.XLOOKUP(1, (Table_Fuel_EFs_Transport[Fuel combusted]=$E26)*(Table_Fuel_EFs_Transport[Transport type]=$D$25), Table_Fuel_EFs_Transport[Scope 1 Emission Factor (kg CO2 - e / GJ) CH4]), 0)</f>
        <v>0.01</v>
      </c>
      <c r="J26" s="30" cm="1">
        <f t="array" ref="J26">IFERROR(_xlfn.XLOOKUP(1, (Table_Fuel_EFs_Transport[Fuel combusted]=$E26)*(Table_Fuel_EFs_Transport[Transport type]=$D$25), Table_Fuel_EFs_Transport[Scope 1 Emission Factor (kg CO2 - e / GJ) N2O]), 0)</f>
        <v>0.5</v>
      </c>
      <c r="K26" s="30" cm="1">
        <f t="array" ref="K26">IFERROR(_xlfn.XLOOKUP(1, (Table_Fuel_EFs_Transport[Fuel combusted]=$E26)*(Table_Fuel_EFs_Transport[Transport type]=$D$25), Table_Fuel_EFs_Transport[Scope 3 Emission Factor (kg CO2 - e / GJ)]), 0)</f>
        <v>17.3</v>
      </c>
      <c r="L26" s="60" cm="1">
        <f t="array" ref="L26">Fuel_InputFunctions.Fuel_TotalConsumption(Table_Input_Fuel[Amount consumed], Table_Input_Fuel[Fuel use (select)], D26, Table_Input_Fuel[Fuel type (select)],F26)</f>
        <v>10</v>
      </c>
      <c r="M26" s="60" t="str" cm="1">
        <f t="array" ref="M26">Common_InputFunctions.Utility_LookupValueInTable(F26,Table_FuelTypes_Units[Fuel type],Table_FuelTypes_Units[Unit])</f>
        <v>kL</v>
      </c>
      <c r="N26" s="102" cm="1">
        <f t="array" ref="N26">Fuel_Equations.VEERG_8_1_1_1__1_FuelCombustionTransport($L26,$G26,$H26)</f>
        <v>26.981400000000001</v>
      </c>
      <c r="O26" s="102" cm="1">
        <f t="array" ref="O26">Fuel_Equations.VEERG_8_1_1_1__1_FuelCombustionTransport($L26,$G26,$I26)</f>
        <v>3.8600000000000001E-3</v>
      </c>
      <c r="P26" s="102" cm="1">
        <f t="array" ref="P26">Fuel_Equations.VEERG_8_1_1_1__1_FuelCombustionTransport($L26,$G26,$J26)</f>
        <v>0.193</v>
      </c>
      <c r="Q26" s="102" cm="1">
        <f t="array" ref="Q26">Scope3_Equations.VEERG_15_11_1_1__2_UpstreamTransportFuelEmissions(L26,G26,K26)</f>
        <v>6.6778000000000004</v>
      </c>
    </row>
    <row r="27" spans="1:17" ht="20.100000000000001" customHeight="1" x14ac:dyDescent="0.25">
      <c r="D27" s="84" t="str">
        <f t="shared" si="0"/>
        <v>Cars and light commercial vehicles</v>
      </c>
      <c r="E27" s="83" t="str">
        <f>'Constants - Fuel'!$E$12</f>
        <v>Liquefied petroleum gas (LPG)</v>
      </c>
      <c r="F27" s="83" t="str">
        <f>'Constants - Fuel'!G133</f>
        <v>Liquefied petroleum gas (LPG)</v>
      </c>
      <c r="G27" s="30" cm="1">
        <f t="array" ref="G27">IFERROR(_xlfn.XLOOKUP(1, (Table_Fuel_EFs_Transport[Fuel combusted]=$E27)*(Table_Fuel_EFs_Transport[Transport type]=$D$25), Table_Fuel_EFs_Transport[Energy Content Factor (GJ per unit of fuel)]), 0)</f>
        <v>26.2</v>
      </c>
      <c r="H27" s="30" cm="1">
        <f t="array" ref="H27">IFERROR(_xlfn.XLOOKUP(1, (Table_Fuel_EFs_Transport[Fuel combusted]=$E27)*(Table_Fuel_EFs_Transport[Transport type]=$D$25), Table_Fuel_EFs_Transport[Scope 1 Emission Factor (kg CO2 - e / GJ) CO2]), 0)</f>
        <v>60.2</v>
      </c>
      <c r="I27" s="30" cm="1">
        <f t="array" ref="I27">IFERROR(_xlfn.XLOOKUP(1, (Table_Fuel_EFs_Transport[Fuel combusted]=$E27)*(Table_Fuel_EFs_Transport[Transport type]=$D$25), Table_Fuel_EFs_Transport[Scope 1 Emission Factor (kg CO2 - e / GJ) CH4]), 0)</f>
        <v>0.5</v>
      </c>
      <c r="J27" s="30" cm="1">
        <f t="array" ref="J27">IFERROR(_xlfn.XLOOKUP(1, (Table_Fuel_EFs_Transport[Fuel combusted]=$E27)*(Table_Fuel_EFs_Transport[Transport type]=$D$25), Table_Fuel_EFs_Transport[Scope 1 Emission Factor (kg CO2 - e / GJ) N2O]), 0)</f>
        <v>0.3</v>
      </c>
      <c r="K27" s="30" cm="1">
        <f t="array" ref="K27">IFERROR(_xlfn.XLOOKUP(1, (Table_Fuel_EFs_Transport[Fuel combusted]=$E27)*(Table_Fuel_EFs_Transport[Transport type]=$D$25), Table_Fuel_EFs_Transport[Scope 3 Emission Factor (kg CO2 - e / GJ)]), 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2" cm="1">
        <f t="array" ref="N27">Fuel_Equations.VEERG_8_1_1_1__1_FuelCombustionTransport($L27,$G27,$H27)</f>
        <v>0</v>
      </c>
      <c r="O27" s="102" cm="1">
        <f t="array" ref="O27">Fuel_Equations.VEERG_8_1_1_1__1_FuelCombustionTransport($L27,$G27,$I27)</f>
        <v>0</v>
      </c>
      <c r="P27" s="102" cm="1">
        <f t="array" ref="P27">Fuel_Equations.VEERG_8_1_1_1__1_FuelCombustionTransport($L27,$G27,$J27)</f>
        <v>0</v>
      </c>
      <c r="Q27" s="102" cm="1">
        <f t="array" ref="Q27">Scope3_Equations.VEERG_15_11_1_1__2_UpstreamTransportFuelEmissions(L27,G27,K27)</f>
        <v>0</v>
      </c>
    </row>
    <row r="28" spans="1:17" ht="20.100000000000001" customHeight="1" x14ac:dyDescent="0.25">
      <c r="D28" s="84" t="str">
        <f t="shared" si="0"/>
        <v>Cars and light commercial vehicles</v>
      </c>
      <c r="E28" s="83" t="str">
        <f>'Constants - Fuel'!$E$13</f>
        <v>Fuel oil</v>
      </c>
      <c r="F28" s="83" t="str">
        <f>'Constants - Fuel'!G134</f>
        <v>Fuel oil</v>
      </c>
      <c r="G28" s="30" cm="1">
        <f t="array" ref="G28">IFERROR(_xlfn.XLOOKUP(1, (Table_Fuel_EFs_Transport[Fuel combusted]=$E28)*(Table_Fuel_EFs_Transport[Transport type]=$D$25), Table_Fuel_EFs_Transport[Energy Content Factor (GJ per unit of fuel)]), 0)</f>
        <v>39.700000000000003</v>
      </c>
      <c r="H28" s="30" cm="1">
        <f t="array" ref="H28">IFERROR(_xlfn.XLOOKUP(1, (Table_Fuel_EFs_Transport[Fuel combusted]=$E28)*(Table_Fuel_EFs_Transport[Transport type]=$D$25), Table_Fuel_EFs_Transport[Scope 1 Emission Factor (kg CO2 - e / GJ) CO2]), 0)</f>
        <v>73.599999999999994</v>
      </c>
      <c r="I28" s="30" cm="1">
        <f t="array" ref="I28">IFERROR(_xlfn.XLOOKUP(1, (Table_Fuel_EFs_Transport[Fuel combusted]=$E28)*(Table_Fuel_EFs_Transport[Transport type]=$D$25), Table_Fuel_EFs_Transport[Scope 1 Emission Factor (kg CO2 - e / GJ) CH4]), 0)</f>
        <v>0.08</v>
      </c>
      <c r="J28" s="30" cm="1">
        <f t="array" ref="J28">IFERROR(_xlfn.XLOOKUP(1, (Table_Fuel_EFs_Transport[Fuel combusted]=$E28)*(Table_Fuel_EFs_Transport[Transport type]=$D$25), Table_Fuel_EFs_Transport[Scope 1 Emission Factor (kg CO2 - e / GJ) N2O]), 0)</f>
        <v>0.5</v>
      </c>
      <c r="K28" s="30" cm="1">
        <f t="array" ref="K28">IFERROR(_xlfn.XLOOKUP(1, (Table_Fuel_EFs_Transport[Fuel combusted]=$E28)*(Table_Fuel_EFs_Transport[Transport type]=$D$25), Table_Fuel_EFs_Transport[Scope 3 Emission Factor (kg CO2 - e / GJ)]), 0)</f>
        <v>18</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2" cm="1">
        <f t="array" ref="N28">Fuel_Equations.VEERG_8_1_1_1__1_FuelCombustionTransport($L28,$G28,$H28)</f>
        <v>0</v>
      </c>
      <c r="O28" s="102" cm="1">
        <f t="array" ref="O28">Fuel_Equations.VEERG_8_1_1_1__1_FuelCombustionTransport($L28,$G28,$I28)</f>
        <v>0</v>
      </c>
      <c r="P28" s="102" cm="1">
        <f t="array" ref="P28">Fuel_Equations.VEERG_8_1_1_1__1_FuelCombustionTransport($L28,$G28,$J28)</f>
        <v>0</v>
      </c>
      <c r="Q28" s="102" cm="1">
        <f t="array" ref="Q28">Scope3_Equations.VEERG_15_11_1_1__2_UpstreamTransportFuelEmissions(L28,G28,K28)</f>
        <v>0</v>
      </c>
    </row>
    <row r="29" spans="1:17" ht="20.100000000000001" customHeight="1" x14ac:dyDescent="0.25">
      <c r="D29" s="84" t="str">
        <f t="shared" si="0"/>
        <v>Cars and light commercial vehicles</v>
      </c>
      <c r="E29" s="83" t="str">
        <f>'Constants - Fuel'!$E$14</f>
        <v>Ethanol</v>
      </c>
      <c r="F29" s="83" t="str">
        <f>'Constants - Fuel'!G135</f>
        <v>Ethanol</v>
      </c>
      <c r="G29" s="30" cm="1">
        <f t="array" ref="G29">IFERROR(_xlfn.XLOOKUP(1, (Table_Fuel_EFs_Transport[Fuel combusted]=$E29)*(Table_Fuel_EFs_Transport[Transport type]=$D$25), Table_Fuel_EFs_Transport[Energy Content Factor (GJ per unit of fuel)]), 0)</f>
        <v>23.4</v>
      </c>
      <c r="H29" s="30" cm="1">
        <f t="array" ref="H29">IFERROR(_xlfn.XLOOKUP(1, (Table_Fuel_EFs_Transport[Fuel combusted]=$E29)*(Table_Fuel_EFs_Transport[Transport type]=$D$25), Table_Fuel_EFs_Transport[Scope 1 Emission Factor (kg CO2 - e / GJ) CO2]), 0)</f>
        <v>0</v>
      </c>
      <c r="I29" s="30" cm="1">
        <f t="array" ref="I29">IFERROR(_xlfn.XLOOKUP(1, (Table_Fuel_EFs_Transport[Fuel combusted]=$E29)*(Table_Fuel_EFs_Transport[Transport type]=$D$25), Table_Fuel_EFs_Transport[Scope 1 Emission Factor (kg CO2 - e / GJ) CH4]), 0)</f>
        <v>0.2</v>
      </c>
      <c r="J29" s="30" cm="1">
        <f t="array" ref="J29">IFERROR(_xlfn.XLOOKUP(1, (Table_Fuel_EFs_Transport[Fuel combusted]=$E29)*(Table_Fuel_EFs_Transport[Transport type]=$D$25), Table_Fuel_EFs_Transport[Scope 1 Emission Factor (kg CO2 - e / GJ) N2O]), 0)</f>
        <v>0.2</v>
      </c>
      <c r="K29" s="30" t="str" cm="1">
        <f t="array" ref="K29">IFERROR(_xlfn.XLOOKUP(1, (Table_Fuel_EFs_Transport[Fuel combusted]=$E29)*(Table_Fuel_EFs_Transport[Transport type]=$D$25), Table_Fuel_EFs_Transport[Scope 3 Emission Factor (kg CO2 - e / GJ)]), 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2" cm="1">
        <f t="array" ref="N29">Fuel_Equations.VEERG_8_1_1_1__1_FuelCombustionTransport($L29,$G29,$H29)</f>
        <v>0</v>
      </c>
      <c r="O29" s="102" cm="1">
        <f t="array" ref="O29">Fuel_Equations.VEERG_8_1_1_1__1_FuelCombustionTransport($L29,$G29,$I29)</f>
        <v>0</v>
      </c>
      <c r="P29" s="102" cm="1">
        <f t="array" ref="P29">Fuel_Equations.VEERG_8_1_1_1__1_FuelCombustionTransport($L29,$G29,$J29)</f>
        <v>0</v>
      </c>
      <c r="Q29" s="102" cm="1">
        <f t="array" ref="Q29">Scope3_Equations.VEERG_15_11_1_1__2_UpstreamTransportFuelEmissions(L29,G29,IF(ISNUMBER(K29),K29,0))</f>
        <v>0</v>
      </c>
    </row>
    <row r="30" spans="1:17" ht="20.100000000000001" customHeight="1" x14ac:dyDescent="0.25">
      <c r="D30" s="84" t="str">
        <f t="shared" si="0"/>
        <v>Cars and light commercial vehicles</v>
      </c>
      <c r="E30" s="83" t="str">
        <f>'Constants - Fuel'!$E$15</f>
        <v>Biodiesel</v>
      </c>
      <c r="F30" s="83" t="str">
        <f>'Constants - Fuel'!G136</f>
        <v>Biodiesel</v>
      </c>
      <c r="G30" s="30" cm="1">
        <f t="array" ref="G30">IFERROR(_xlfn.XLOOKUP(1, (Table_Fuel_EFs_Transport[Fuel combusted]=$E30)*(Table_Fuel_EFs_Transport[Transport type]=$D$25), Table_Fuel_EFs_Transport[Energy Content Factor (GJ per unit of fuel)]), 0)</f>
        <v>34.6</v>
      </c>
      <c r="H30" s="30" cm="1">
        <f t="array" ref="H30">IFERROR(_xlfn.XLOOKUP(1, (Table_Fuel_EFs_Transport[Fuel combusted]=$E30)*(Table_Fuel_EFs_Transport[Transport type]=$D$25), Table_Fuel_EFs_Transport[Scope 1 Emission Factor (kg CO2 - e / GJ) CO2]), 0)</f>
        <v>0</v>
      </c>
      <c r="I30" s="30" cm="1">
        <f t="array" ref="I30">IFERROR(_xlfn.XLOOKUP(1, (Table_Fuel_EFs_Transport[Fuel combusted]=$E30)*(Table_Fuel_EFs_Transport[Transport type]=$D$25), Table_Fuel_EFs_Transport[Scope 1 Emission Factor (kg CO2 - e / GJ) CH4]), 0)</f>
        <v>0.8</v>
      </c>
      <c r="J30" s="30" cm="1">
        <f t="array" ref="J30">IFERROR(_xlfn.XLOOKUP(1, (Table_Fuel_EFs_Transport[Fuel combusted]=$E30)*(Table_Fuel_EFs_Transport[Transport type]=$D$25), Table_Fuel_EFs_Transport[Scope 1 Emission Factor (kg CO2 - e / GJ) N2O]), 0)</f>
        <v>1.7</v>
      </c>
      <c r="K30" s="30" t="str" cm="1">
        <f t="array" ref="K30">IFERROR(_xlfn.XLOOKUP(1, (Table_Fuel_EFs_Transport[Fuel combusted]=$E30)*(Table_Fuel_EFs_Transport[Transport type]=$D$25), Table_Fuel_EFs_Transport[Scope 3 Emission Factor (kg CO2 - e / GJ)]), 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2" cm="1">
        <f t="array" ref="N30">Fuel_Equations.VEERG_8_1_1_1__1_FuelCombustionTransport($L30,$G30,$H30)</f>
        <v>0</v>
      </c>
      <c r="O30" s="102" cm="1">
        <f t="array" ref="O30">Fuel_Equations.VEERG_8_1_1_1__1_FuelCombustionTransport($L30,$G30,$I30)</f>
        <v>0</v>
      </c>
      <c r="P30" s="102" cm="1">
        <f t="array" ref="P30">Fuel_Equations.VEERG_8_1_1_1__1_FuelCombustionTransport($L30,$G30,$J30)</f>
        <v>0</v>
      </c>
      <c r="Q30" s="102" cm="1">
        <f t="array" ref="Q30">Scope3_Equations.VEERG_15_11_1_1__2_UpstreamTransportFuelEmissions(L30,G30,IF(ISNUMBER(K30),K30,0))</f>
        <v>0</v>
      </c>
    </row>
    <row r="31" spans="1:17" ht="20.100000000000001" customHeight="1" x14ac:dyDescent="0.25">
      <c r="D31" s="84" t="str">
        <f t="shared" si="0"/>
        <v>Cars and light commercial vehicles</v>
      </c>
      <c r="E31" s="83" t="str">
        <f>'Constants - Fuel'!$E$16</f>
        <v>Renewable diesel</v>
      </c>
      <c r="F31" s="83" t="str">
        <f>'Constants - Fuel'!G137</f>
        <v>Renewable diesel</v>
      </c>
      <c r="G31" s="30" cm="1">
        <f t="array" ref="G31">IFERROR(_xlfn.XLOOKUP(1, (Table_Fuel_EFs_Transport[Fuel combusted]=$E31)*(Table_Fuel_EFs_Transport[Transport type]=$D$25), Table_Fuel_EFs_Transport[Energy Content Factor (GJ per unit of fuel)]), 0)</f>
        <v>38.6</v>
      </c>
      <c r="H31" s="30" cm="1">
        <f t="array" ref="H31">IFERROR(_xlfn.XLOOKUP(1, (Table_Fuel_EFs_Transport[Fuel combusted]=$E31)*(Table_Fuel_EFs_Transport[Transport type]=$D$25), Table_Fuel_EFs_Transport[Scope 1 Emission Factor (kg CO2 - e / GJ) CO2]), 0)</f>
        <v>0</v>
      </c>
      <c r="I31" s="30" cm="1">
        <f t="array" ref="I31">IFERROR(_xlfn.XLOOKUP(1, (Table_Fuel_EFs_Transport[Fuel combusted]=$E31)*(Table_Fuel_EFs_Transport[Transport type]=$D$25), Table_Fuel_EFs_Transport[Scope 1 Emission Factor (kg CO2 - e / GJ) CH4]), 0)</f>
        <v>0.01</v>
      </c>
      <c r="J31" s="30" cm="1">
        <f t="array" ref="J31">IFERROR(_xlfn.XLOOKUP(1, (Table_Fuel_EFs_Transport[Fuel combusted]=$E31)*(Table_Fuel_EFs_Transport[Transport type]=$D$25), Table_Fuel_EFs_Transport[Scope 1 Emission Factor (kg CO2 - e / GJ) N2O]), 0)</f>
        <v>0.5</v>
      </c>
      <c r="K31" s="30" t="str" cm="1">
        <f t="array" ref="K31">IFERROR(_xlfn.XLOOKUP(1, (Table_Fuel_EFs_Transport[Fuel combusted]=$E31)*(Table_Fuel_EFs_Transport[Transport type]=$D$25), Table_Fuel_EFs_Transport[Scope 3 Emission Factor (kg CO2 - e / GJ)]), 0)</f>
        <v>NE</v>
      </c>
      <c r="L31" s="60" cm="1">
        <f t="array" ref="L31">Fuel_InputFunctions.Fuel_TotalConsumption(Table_Input_Fuel[Amount consumed], Table_Input_Fuel[Fuel use (select)], D31, Table_Input_Fuel[Fuel type (select)],F31)</f>
        <v>0</v>
      </c>
      <c r="M31" s="60" t="str" cm="1">
        <f t="array" ref="M31">Common_InputFunctions.Utility_LookupValueInTable(F31,Table_FuelTypes_Units[Fuel type],Table_FuelTypes_Units[Unit])</f>
        <v>kL</v>
      </c>
      <c r="N31" s="102" cm="1">
        <f t="array" ref="N31">Fuel_Equations.VEERG_8_1_1_1__1_FuelCombustionTransport($L31,$G31,$H31)</f>
        <v>0</v>
      </c>
      <c r="O31" s="102" cm="1">
        <f t="array" ref="O31">Fuel_Equations.VEERG_8_1_1_1__1_FuelCombustionTransport($L31,$G31,$I31)</f>
        <v>0</v>
      </c>
      <c r="P31" s="102" cm="1">
        <f t="array" ref="P31">Fuel_Equations.VEERG_8_1_1_1__1_FuelCombustionTransport($L31,$G31,$J31)</f>
        <v>0</v>
      </c>
      <c r="Q31" s="102" cm="1">
        <f t="array" ref="Q31">Scope3_Equations.VEERG_15_11_1_1__2_UpstreamTransportFuelEmissions(L31,G31,IF(ISNUMBER(K31),K31,0))</f>
        <v>0</v>
      </c>
    </row>
    <row r="32" spans="1:17" ht="20.100000000000001" customHeight="1" x14ac:dyDescent="0.25">
      <c r="D32" s="84" t="str">
        <f t="shared" si="0"/>
        <v>Cars and light commercial vehicles</v>
      </c>
      <c r="E32" s="83" t="str">
        <f>'Constants - Fuel'!$E$17</f>
        <v>Other biofuels</v>
      </c>
      <c r="F32" s="83" t="str">
        <f>'Constants - Fuel'!G138</f>
        <v>Other biofuels</v>
      </c>
      <c r="G32" s="30" cm="1">
        <f t="array" ref="G32">IFERROR(_xlfn.XLOOKUP(1, (Table_Fuel_EFs_Transport[Fuel combusted]=$E32)*(Table_Fuel_EFs_Transport[Transport type]=$D$25), Table_Fuel_EFs_Transport[Energy Content Factor (GJ per unit of fuel)]), 0)</f>
        <v>23.4</v>
      </c>
      <c r="H32" s="30" cm="1">
        <f t="array" ref="H32">IFERROR(_xlfn.XLOOKUP(1, (Table_Fuel_EFs_Transport[Fuel combusted]=$E32)*(Table_Fuel_EFs_Transport[Transport type]=$D$25), Table_Fuel_EFs_Transport[Scope 1 Emission Factor (kg CO2 - e / GJ) CO2]), 0)</f>
        <v>0</v>
      </c>
      <c r="I32" s="30" cm="1">
        <f t="array" ref="I32">IFERROR(_xlfn.XLOOKUP(1, (Table_Fuel_EFs_Transport[Fuel combusted]=$E32)*(Table_Fuel_EFs_Transport[Transport type]=$D$25), Table_Fuel_EFs_Transport[Scope 1 Emission Factor (kg CO2 - e / GJ) CH4]), 0)</f>
        <v>0.8</v>
      </c>
      <c r="J32" s="30" cm="1">
        <f t="array" ref="J32">IFERROR(_xlfn.XLOOKUP(1, (Table_Fuel_EFs_Transport[Fuel combusted]=$E32)*(Table_Fuel_EFs_Transport[Transport type]=$D$25), Table_Fuel_EFs_Transport[Scope 1 Emission Factor (kg CO2 - e / GJ) N2O]), 0)</f>
        <v>1.7</v>
      </c>
      <c r="K32" s="97" t="str" cm="1">
        <f t="array" ref="K32">IFERROR(_xlfn.XLOOKUP(1, (Table_Fuel_EFs_Transport[Fuel combusted]=$E32)*(Table_Fuel_EFs_Transport[Transport type]=$D$25), Table_Fuel_EFs_Transport[Scope 3 Emission Factor (kg CO2 - e / GJ)]), 0)</f>
        <v>NE</v>
      </c>
      <c r="L32" s="85" cm="1">
        <f t="array" ref="L32">Fuel_InputFunctions.Fuel_TotalConsumption(Table_Input_Fuel[Amount consumed], Table_Input_Fuel[Fuel use (select)], D32, Table_Input_Fuel[Fuel type (select)],F32)</f>
        <v>0</v>
      </c>
      <c r="M32" s="60" t="str" cm="1">
        <f t="array" ref="M32">Common_InputFunctions.Utility_LookupValueInTable(F32,Table_FuelTypes_Units[Fuel type],Table_FuelTypes_Units[Unit])</f>
        <v>kL</v>
      </c>
      <c r="N32" s="103" cm="1">
        <f t="array" ref="N32">Fuel_Equations.VEERG_8_1_1_1__1_FuelCombustionTransport($L32,$G32,$H32)</f>
        <v>0</v>
      </c>
      <c r="O32" s="103" cm="1">
        <f t="array" ref="O32">Fuel_Equations.VEERG_8_1_1_1__1_FuelCombustionTransport($L32,$G32,$I32)</f>
        <v>0</v>
      </c>
      <c r="P32" s="103" cm="1">
        <f t="array" ref="P32">Fuel_Equations.VEERG_8_1_1_1__1_FuelCombustionTransport($L32,$G32,$J32)</f>
        <v>0</v>
      </c>
      <c r="Q32" s="102" cm="1">
        <f t="array" ref="Q32">Scope3_Equations.VEERG_15_11_1_1__2_UpstreamTransportFuelEmissions(L32,G32,IF(ISNUMBER(K32),K32,0))</f>
        <v>0</v>
      </c>
    </row>
    <row r="33" spans="4:17" ht="20.100000000000001" customHeight="1" x14ac:dyDescent="0.25">
      <c r="D33" s="86" t="str">
        <f>Table_FuelTypesPerUse[[#Headers],[Off-road Agriculture and forestry equipment]]</f>
        <v>Off-road Agriculture and forestry equipment</v>
      </c>
      <c r="E33" s="87" t="str">
        <f>'Constants - Fuel'!$E$11</f>
        <v>Diesel oil</v>
      </c>
      <c r="F33" s="87" t="str">
        <f>'Constants - Fuel'!H131</f>
        <v>Diesel</v>
      </c>
      <c r="G33" s="98" cm="1">
        <f t="array" ref="G33">IFERROR(_xlfn.XLOOKUP(1, (Table_Fuel_EFs_Transport[Fuel combusted]=$E33)*(Table_Fuel_EFs_Transport[Transport type]=$D$33), Table_Fuel_EFs_Transport[Energy Content Factor (GJ per unit of fuel)]), 0)</f>
        <v>38.6</v>
      </c>
      <c r="H33" s="98" cm="1">
        <f t="array" ref="H33">IFERROR(_xlfn.XLOOKUP(1, (Table_Fuel_EFs_Transport[Fuel combusted]=$E33)*(Table_Fuel_EFs_Transport[Transport type]=$D$33), Table_Fuel_EFs_Transport[Scope 1 Emission Factor (kg CO2 - e / GJ) CO2]), 0)</f>
        <v>69.900000000000006</v>
      </c>
      <c r="I33" s="98" cm="1">
        <f t="array" ref="I33">IFERROR(_xlfn.XLOOKUP(1, (Table_Fuel_EFs_Transport[Fuel combusted]=$E33)*(Table_Fuel_EFs_Transport[Transport type]=$D$33), Table_Fuel_EFs_Transport[Scope 1 Emission Factor (kg CO2 - e / GJ) CH4]), 0)</f>
        <v>0.3</v>
      </c>
      <c r="J33" s="98" cm="1">
        <f t="array" ref="J33">IFERROR(_xlfn.XLOOKUP(1, (Table_Fuel_EFs_Transport[Fuel combusted]=$E33)*(Table_Fuel_EFs_Transport[Transport type]=$D$33), Table_Fuel_EFs_Transport[Scope 1 Emission Factor (kg CO2 - e / GJ) N2O]), 0)</f>
        <v>0.5</v>
      </c>
      <c r="K33" s="108" cm="1">
        <f t="array" ref="K33">IFERROR(_xlfn.XLOOKUP(1, (Table_Fuel_EFs_Transport[Fuel combusted]=$E33)*(Table_Fuel_EFs_Transport[Transport type]=$D$25), Table_Fuel_EFs_Transport[Scope 3 Emission Factor (kg CO2 - e / GJ)]), 0)</f>
        <v>17.3</v>
      </c>
      <c r="L33" s="100" cm="1">
        <f t="array" ref="L33">Fuel_InputFunctions.Fuel_TotalConsumption(Table_Input_Fuel[Amount consumed], Table_Input_Fuel[Fuel use (select)], D33, Table_Input_Fuel[Fuel type (select)],F33)</f>
        <v>10</v>
      </c>
      <c r="M33" s="88" t="str" cm="1">
        <f t="array" ref="M33">Common_InputFunctions.Utility_LookupValueInTable(F33,Table_FuelTypes_Units[Fuel type],Table_FuelTypes_Units[Unit])</f>
        <v>kL</v>
      </c>
      <c r="N33" s="104" cm="1">
        <f t="array" ref="N33">Fuel_Equations.VEERG_8_1_1_1__1_FuelCombustionTransport($L33,$G33,$H33)</f>
        <v>26.981400000000001</v>
      </c>
      <c r="O33" s="104" cm="1">
        <f t="array" ref="O33">Fuel_Equations.VEERG_8_1_1_1__1_FuelCombustionTransport($L33,$G33,$I33)</f>
        <v>0.1158</v>
      </c>
      <c r="P33" s="104" cm="1">
        <f t="array" ref="P33">Fuel_Equations.VEERG_8_1_1_1__1_FuelCombustionTransport($L33,$G33,$J33)</f>
        <v>0.193</v>
      </c>
      <c r="Q33" s="109" cm="1">
        <f t="array" ref="Q33">Scope3_Equations.VEERG_15_11_1_1__2_UpstreamTransportFuelEmissions(L33,G33,K33)</f>
        <v>6.6778000000000004</v>
      </c>
    </row>
    <row r="34" spans="4:17" ht="20.100000000000001" customHeight="1" x14ac:dyDescent="0.25">
      <c r="D34" s="86" t="str">
        <f>Table_FuelTypesPerUse[[#Headers],[Aviation]]</f>
        <v>Aviation</v>
      </c>
      <c r="E34" s="87" t="str">
        <f>'Constants - Fuel'!$E$28</f>
        <v>Gasoline for use as fuel in an aircraft</v>
      </c>
      <c r="F34" s="87" t="str">
        <f>'Constants - Fuel'!$F$131</f>
        <v>Avgas</v>
      </c>
      <c r="G34" s="99" cm="1">
        <f t="array" ref="G34">IFERROR(_xlfn.XLOOKUP(1, (Table_Fuel_EFs_Transport[Fuel combusted]=$E34)*(Table_Fuel_EFs_Transport[Transport type]=$D$34), Table_Fuel_EFs_Transport[Energy Content Factor (GJ per unit of fuel)]), 0)</f>
        <v>33.1</v>
      </c>
      <c r="H34" s="99" cm="1">
        <f t="array" ref="H34">IFERROR(_xlfn.XLOOKUP(1, (Table_Fuel_EFs_Transport[Fuel combusted]=$E34)*(Table_Fuel_EFs_Transport[Transport type]=$D$34), Table_Fuel_EFs_Transport[Scope 1 Emission Factor (kg CO2 - e / GJ) CO2]), 0)</f>
        <v>67</v>
      </c>
      <c r="I34" s="99" cm="1">
        <f t="array" ref="I34">IFERROR(_xlfn.XLOOKUP(1, (Table_Fuel_EFs_Transport[Fuel combusted]=$E34)*(Table_Fuel_EFs_Transport[Transport type]=$D$34), Table_Fuel_EFs_Transport[Scope 1 Emission Factor (kg CO2 - e / GJ) CH4]), 0)</f>
        <v>0.06</v>
      </c>
      <c r="J34" s="99" cm="1">
        <f t="array" ref="J34">IFERROR(_xlfn.XLOOKUP(1, (Table_Fuel_EFs_Transport[Fuel combusted]=$E34)*(Table_Fuel_EFs_Transport[Transport type]=$D$34), Table_Fuel_EFs_Transport[Scope 1 Emission Factor (kg CO2 - e / GJ) N2O]), 0)</f>
        <v>0.6</v>
      </c>
      <c r="K34" s="99" cm="1">
        <f t="array" ref="K34">IFERROR(_xlfn.XLOOKUP(1, (Table_Fuel_EFs_Transport[Fuel combusted]=$E34)*(Table_Fuel_EFs_Transport[Transport type]=$D$25), Table_Fuel_EFs_Transport[Scope 3 Emission Factor (kg CO2 - e / GJ)]), 0)</f>
        <v>0</v>
      </c>
      <c r="L34" s="88" cm="1">
        <f t="array" ref="L34">Fuel_InputFunctions.Fuel_TotalConsumption(Table_Input_Fuel[Amount consumed], Table_Input_Fuel[Fuel use (select)], D34, Table_Input_Fuel[Fuel type (select)],F34)</f>
        <v>0</v>
      </c>
      <c r="M34" s="88" t="str" cm="1">
        <f t="array" ref="M34">Common_InputFunctions.Utility_LookupValueInTable(F34,Table_FuelTypes_Units[Fuel type],Table_FuelTypes_Units[Unit])</f>
        <v>kL</v>
      </c>
      <c r="N34" s="104" cm="1">
        <f t="array" ref="N34">Fuel_Equations.VEERG_8_1_1_1__1_FuelCombustionTransport($L34,$G34,$H34)</f>
        <v>0</v>
      </c>
      <c r="O34" s="104" cm="1">
        <f t="array" ref="O34">Fuel_Equations.VEERG_8_1_1_1__1_FuelCombustionTransport($L34,$G34,$I34)</f>
        <v>0</v>
      </c>
      <c r="P34" s="104" cm="1">
        <f t="array" ref="P34">Fuel_Equations.VEERG_8_1_1_1__1_FuelCombustionTransport($L34,$G34,$J34)</f>
        <v>0</v>
      </c>
      <c r="Q34" s="104" cm="1">
        <f t="array" ref="Q34">Scope3_Equations.VEERG_15_11_1_1__2_UpstreamTransportFuelEmissions(L34,G34,K34)</f>
        <v>0</v>
      </c>
    </row>
    <row r="35" spans="4:17" ht="20.100000000000001" customHeight="1" x14ac:dyDescent="0.25">
      <c r="D35" s="84" t="str">
        <f>$D$34</f>
        <v>Aviation</v>
      </c>
      <c r="E35" s="83" t="str">
        <f>'Constants - Fuel'!$E$29</f>
        <v>Kerosene for use as fuel in an aircraft</v>
      </c>
      <c r="F35" s="83" t="str">
        <f>'Constants - Fuel'!$F$132</f>
        <v>Jet A1, Jet B</v>
      </c>
      <c r="G35" s="30" cm="1">
        <f t="array" ref="G35">IFERROR(_xlfn.XLOOKUP(1, (Table_Fuel_EFs_Transport[Fuel combusted]=$E35)*(Table_Fuel_EFs_Transport[Transport type]=$D$34), Table_Fuel_EFs_Transport[Energy Content Factor (GJ per unit of fuel)]), 0)</f>
        <v>36.799999999999997</v>
      </c>
      <c r="H35" s="30" cm="1">
        <f t="array" ref="H35">IFERROR(_xlfn.XLOOKUP(1, (Table_Fuel_EFs_Transport[Fuel combusted]=$E35)*(Table_Fuel_EFs_Transport[Transport type]=$D$34), Table_Fuel_EFs_Transport[Scope 1 Emission Factor (kg CO2 - e / GJ) CO2]), 0)</f>
        <v>69.599999999999994</v>
      </c>
      <c r="I35" s="30" cm="1">
        <f t="array" ref="I35">IFERROR(_xlfn.XLOOKUP(1, (Table_Fuel_EFs_Transport[Fuel combusted]=$E35)*(Table_Fuel_EFs_Transport[Transport type]=$D$34), Table_Fuel_EFs_Transport[Scope 1 Emission Factor (kg CO2 - e / GJ) CH4]), 0)</f>
        <v>0.01</v>
      </c>
      <c r="J35" s="30" cm="1">
        <f t="array" ref="J35">IFERROR(_xlfn.XLOOKUP(1, (Table_Fuel_EFs_Transport[Fuel combusted]=$E35)*(Table_Fuel_EFs_Transport[Transport type]=$D$34), Table_Fuel_EFs_Transport[Scope 1 Emission Factor (kg CO2 - e / GJ) N2O]), 0)</f>
        <v>0.6</v>
      </c>
      <c r="K35" s="30" cm="1">
        <f t="array" ref="K35">IFERROR(_xlfn.XLOOKUP(1, (Table_Fuel_EFs_Transport[Fuel combusted]=$E35)*(Table_Fuel_EFs_Transport[Transport type]=$D$25), Table_Fuel_EFs_Transport[Scope 3 Emission Factor (kg CO2 - e / GJ)]), 0)</f>
        <v>0</v>
      </c>
      <c r="L35" s="60" cm="1">
        <f t="array" ref="L35">Fuel_InputFunctions.Fuel_TotalConsumption(Table_Input_Fuel[Amount consumed], Table_Input_Fuel[Fuel use (select)], D35, Table_Input_Fuel[Fuel type (select)],F35)</f>
        <v>0</v>
      </c>
      <c r="M35" s="60" t="str" cm="1">
        <f t="array" ref="M35">Common_InputFunctions.Utility_LookupValueInTable(F35,Table_FuelTypes_Units[Fuel type],Table_FuelTypes_Units[Unit])</f>
        <v>kL</v>
      </c>
      <c r="N35" s="102" cm="1">
        <f t="array" ref="N35">Fuel_Equations.VEERG_8_1_1_1__1_FuelCombustionTransport($L35,$G35,$H35)</f>
        <v>0</v>
      </c>
      <c r="O35" s="102" cm="1">
        <f t="array" ref="O35">Fuel_Equations.VEERG_8_1_1_1__1_FuelCombustionTransport($L35,$G35,$I35)</f>
        <v>0</v>
      </c>
      <c r="P35" s="102" cm="1">
        <f t="array" ref="P35">Fuel_Equations.VEERG_8_1_1_1__1_FuelCombustionTransport($L35,$G35,$J35)</f>
        <v>0</v>
      </c>
      <c r="Q35" s="102" cm="1">
        <f t="array" ref="Q35">Scope3_Equations.VEERG_15_11_1_1__2_UpstreamTransportFuelEmissions(L35,G35,K35)</f>
        <v>0</v>
      </c>
    </row>
    <row r="36" spans="4:17" ht="20.100000000000001" customHeight="1" x14ac:dyDescent="0.25">
      <c r="D36" s="84" t="str">
        <f>$D$34</f>
        <v>Aviation</v>
      </c>
      <c r="E36" s="83" t="str">
        <f>'Constants - Fuel'!$E$30</f>
        <v>Renewable aviation kerosene</v>
      </c>
      <c r="F36" s="83" t="str">
        <f>'Constants - Fuel'!$F$133</f>
        <v>Renewable aviation kerosene</v>
      </c>
      <c r="G36" s="97" cm="1">
        <f t="array" ref="G36">IFERROR(_xlfn.XLOOKUP(1, (Table_Fuel_EFs_Transport[Fuel combusted]=$E36)*(Table_Fuel_EFs_Transport[Transport type]=$D$34), Table_Fuel_EFs_Transport[Energy Content Factor (GJ per unit of fuel)]), 0)</f>
        <v>36.799999999999997</v>
      </c>
      <c r="H36" s="97" cm="1">
        <f t="array" ref="H36">IFERROR(_xlfn.XLOOKUP(1, (Table_Fuel_EFs_Transport[Fuel combusted]=$E36)*(Table_Fuel_EFs_Transport[Transport type]=$D$34), Table_Fuel_EFs_Transport[Scope 1 Emission Factor (kg CO2 - e / GJ) CO2]), 0)</f>
        <v>0</v>
      </c>
      <c r="I36" s="97" cm="1">
        <f t="array" ref="I36">IFERROR(_xlfn.XLOOKUP(1, (Table_Fuel_EFs_Transport[Fuel combusted]=$E36)*(Table_Fuel_EFs_Transport[Transport type]=$D$34), Table_Fuel_EFs_Transport[Scope 1 Emission Factor (kg CO2 - e / GJ) CH4]), 0)</f>
        <v>0.01</v>
      </c>
      <c r="J36" s="97" cm="1">
        <f t="array" ref="J36">IFERROR(_xlfn.XLOOKUP(1, (Table_Fuel_EFs_Transport[Fuel combusted]=$E36)*(Table_Fuel_EFs_Transport[Transport type]=$D$34), Table_Fuel_EFs_Transport[Scope 1 Emission Factor (kg CO2 - e / GJ) N2O]), 0)</f>
        <v>0.6</v>
      </c>
      <c r="K36" s="97" cm="1">
        <f t="array" ref="K36">IFERROR(_xlfn.XLOOKUP(1, (Table_Fuel_EFs_Transport[Fuel combusted]=$E36)*(Table_Fuel_EFs_Transport[Transport type]=$D$25), Table_Fuel_EFs_Transport[Scope 3 Emission Factor (kg CO2 - e / GJ)]), 0)</f>
        <v>0</v>
      </c>
      <c r="L36" s="85" cm="1">
        <f t="array" ref="L36">Fuel_InputFunctions.Fuel_TotalConsumption(Table_Input_Fuel[Amount consumed], Table_Input_Fuel[Fuel use (select)], D36, Table_Input_Fuel[Fuel type (select)],F36)</f>
        <v>0</v>
      </c>
      <c r="M36" s="60" t="str" cm="1">
        <f t="array" ref="M36">Common_InputFunctions.Utility_LookupValueInTable(F36,Table_FuelTypes_Units[Fuel type],Table_FuelTypes_Units[Unit])</f>
        <v>kL</v>
      </c>
      <c r="N36" s="102" cm="1">
        <f t="array" ref="N36">Fuel_Equations.VEERG_8_1_1_1__1_FuelCombustionTransport($L36,$G36,$H36)</f>
        <v>0</v>
      </c>
      <c r="O36" s="102" cm="1">
        <f t="array" ref="O36">Fuel_Equations.VEERG_8_1_1_1__1_FuelCombustionTransport($L36,$G36,$I36)</f>
        <v>0</v>
      </c>
      <c r="P36" s="102" cm="1">
        <f t="array" ref="P36">Fuel_Equations.VEERG_8_1_1_1__1_FuelCombustionTransport($L36,$G36,$J36)</f>
        <v>0</v>
      </c>
      <c r="Q36" s="103" cm="1">
        <f t="array" ref="Q36">Scope3_Equations.VEERG_15_11_1_1__2_UpstreamTransportFuelEmissions(L36,G36,K36)</f>
        <v>0</v>
      </c>
    </row>
    <row r="37" spans="4:17" ht="20.100000000000001" customHeight="1" x14ac:dyDescent="0.25">
      <c r="D37" s="86" t="str">
        <f>Table_FuelTypesPerUse[[#Headers],[Vessels]]</f>
        <v>Vessels</v>
      </c>
      <c r="E37" s="87" t="str">
        <f>'Constants - Fuel'!$E$10</f>
        <v>Gasoline</v>
      </c>
      <c r="F37" s="87" t="str">
        <f>'Constants - Fuel'!$I$131</f>
        <v>Petrol</v>
      </c>
      <c r="G37" s="99" cm="1">
        <f t="array" ref="G37">IFERROR(_xlfn.XLOOKUP(1, (Table_Fuel_EFs_Transport[Fuel combusted]=$E37)*(Table_Fuel_EFs_Transport[Transport type]=$D$37), Table_Fuel_EFs_Transport[Energy Content Factor (GJ per unit of fuel)]), 0)</f>
        <v>34.200000000000003</v>
      </c>
      <c r="H37" s="99" cm="1">
        <f t="array" ref="H37">IFERROR(_xlfn.XLOOKUP(1, (Table_Fuel_EFs_Transport[Fuel combusted]=$E37)*(Table_Fuel_EFs_Transport[Transport type]=$D$37), Table_Fuel_EFs_Transport[Scope 1 Emission Factor (kg CO2 - e / GJ) CO2]), 0)</f>
        <v>67.400000000000006</v>
      </c>
      <c r="I37" s="99" cm="1">
        <f t="array" ref="I37">IFERROR(_xlfn.XLOOKUP(1, (Table_Fuel_EFs_Transport[Fuel combusted]=$E37)*(Table_Fuel_EFs_Transport[Transport type]=$D$37), Table_Fuel_EFs_Transport[Scope 1 Emission Factor (kg CO2 - e / GJ) CH4]), 0)</f>
        <v>10.1</v>
      </c>
      <c r="J37" s="99" cm="1">
        <f t="array" ref="J37">IFERROR(_xlfn.XLOOKUP(1, (Table_Fuel_EFs_Transport[Fuel combusted]=$E37)*(Table_Fuel_EFs_Transport[Transport type]=$D$37), Table_Fuel_EFs_Transport[Scope 1 Emission Factor (kg CO2 - e / GJ) N2O]), 0)</f>
        <v>0.3</v>
      </c>
      <c r="K37" s="99" cm="1">
        <f t="array" ref="K37">IFERROR(_xlfn.XLOOKUP(1, (Table_Fuel_EFs_Transport[Fuel combusted]=$E37)*(Table_Fuel_EFs_Transport[Transport type]=$D$25), Table_Fuel_EFs_Transport[Scope 3 Emission Factor (kg CO2 - e / GJ)]), 0)</f>
        <v>17.2</v>
      </c>
      <c r="L37" s="88" cm="1">
        <f t="array" ref="L37">Fuel_InputFunctions.Fuel_TotalConsumption(Table_Input_Fuel[Amount consumed], Table_Input_Fuel[Fuel use (select)], D37, Table_Input_Fuel[Fuel type (select)],F37)</f>
        <v>0</v>
      </c>
      <c r="M37" s="89" t="str" cm="1">
        <f t="array" ref="M37">Common_InputFunctions.Utility_LookupValueInTable(F37,Table_FuelTypes_Units[Fuel type],Table_FuelTypes_Units[Unit])</f>
        <v>kL</v>
      </c>
      <c r="N37" s="104" cm="1">
        <f t="array" ref="N37">Fuel_Equations.VEERG_8_1_1_1__1_FuelCombustionTransport($L37,$G37,$H37)</f>
        <v>0</v>
      </c>
      <c r="O37" s="104" cm="1">
        <f t="array" ref="O37">Fuel_Equations.VEERG_8_1_1_1__1_FuelCombustionTransport($L37,$G37,$I37)</f>
        <v>0</v>
      </c>
      <c r="P37" s="104" cm="1">
        <f t="array" ref="P37">Fuel_Equations.VEERG_8_1_1_1__1_FuelCombustionTransport($L37,$G37,$J37)</f>
        <v>0</v>
      </c>
      <c r="Q37" s="104" cm="1">
        <f t="array" ref="Q37">Scope3_Equations.VEERG_15_11_1_1__2_UpstreamTransportFuelEmissions(L37,G37,K37)</f>
        <v>0</v>
      </c>
    </row>
    <row r="38" spans="4:17" ht="20.100000000000001" customHeight="1" x14ac:dyDescent="0.25">
      <c r="D38" s="84" t="str">
        <f>$D$37</f>
        <v>Vessels</v>
      </c>
      <c r="E38" s="83" t="str">
        <f>'Constants - Fuel'!$E$11</f>
        <v>Diesel oil</v>
      </c>
      <c r="F38" s="83" t="str">
        <f>'Constants - Fuel'!$I$132</f>
        <v>Diesel</v>
      </c>
      <c r="G38" s="30" cm="1">
        <f t="array" ref="G38">IFERROR(_xlfn.XLOOKUP(1, (Table_Fuel_EFs_Transport[Fuel combusted]=$E38)*(Table_Fuel_EFs_Transport[Transport type]=$D$37), Table_Fuel_EFs_Transport[Energy Content Factor (GJ per unit of fuel)]), 0)</f>
        <v>38.6</v>
      </c>
      <c r="H38" s="30" cm="1">
        <f t="array" ref="H38">IFERROR(_xlfn.XLOOKUP(1, (Table_Fuel_EFs_Transport[Fuel combusted]=$E38)*(Table_Fuel_EFs_Transport[Transport type]=$D$37), Table_Fuel_EFs_Transport[Scope 1 Emission Factor (kg CO2 - e / GJ) CO2]), 0)</f>
        <v>69.900000000000006</v>
      </c>
      <c r="I38" s="30" cm="1">
        <f t="array" ref="I38">IFERROR(_xlfn.XLOOKUP(1, (Table_Fuel_EFs_Transport[Fuel combusted]=$E38)*(Table_Fuel_EFs_Transport[Transport type]=$D$37), Table_Fuel_EFs_Transport[Scope 1 Emission Factor (kg CO2 - e / GJ) CH4]), 0)</f>
        <v>0.2</v>
      </c>
      <c r="J38" s="30" cm="1">
        <f t="array" ref="J38">IFERROR(_xlfn.XLOOKUP(1, (Table_Fuel_EFs_Transport[Fuel combusted]=$E38)*(Table_Fuel_EFs_Transport[Transport type]=$D$37), Table_Fuel_EFs_Transport[Scope 1 Emission Factor (kg CO2 - e / GJ) N2O]), 0)</f>
        <v>0.5</v>
      </c>
      <c r="K38" s="30" cm="1">
        <f t="array" ref="K38">IFERROR(_xlfn.XLOOKUP(1, (Table_Fuel_EFs_Transport[Fuel combusted]=$E38)*(Table_Fuel_EFs_Transport[Transport type]=$D$25), Table_Fuel_EFs_Transport[Scope 3 Emission Factor (kg CO2 - e / GJ)]), 0)</f>
        <v>17.3</v>
      </c>
      <c r="L38" s="60" cm="1">
        <f t="array" ref="L38">Fuel_InputFunctions.Fuel_TotalConsumption(Table_Input_Fuel[Amount consumed], Table_Input_Fuel[Fuel use (select)], D38, Table_Input_Fuel[Fuel type (select)],F38)</f>
        <v>0</v>
      </c>
      <c r="M38" s="60" t="str" cm="1">
        <f t="array" ref="M38">Common_InputFunctions.Utility_LookupValueInTable(F38,Table_FuelTypes_Units[Fuel type],Table_FuelTypes_Units[Unit])</f>
        <v>kL</v>
      </c>
      <c r="N38" s="102" cm="1">
        <f t="array" ref="N38">Fuel_Equations.VEERG_8_1_1_1__1_FuelCombustionTransport($L38,$G38,$H38)</f>
        <v>0</v>
      </c>
      <c r="O38" s="102" cm="1">
        <f t="array" ref="O38">Fuel_Equations.VEERG_8_1_1_1__1_FuelCombustionTransport($L38,$G38,$I38)</f>
        <v>0</v>
      </c>
      <c r="P38" s="102" cm="1">
        <f t="array" ref="P38">Fuel_Equations.VEERG_8_1_1_1__1_FuelCombustionTransport($L38,$G38,$J38)</f>
        <v>0</v>
      </c>
      <c r="Q38" s="102" cm="1">
        <f t="array" ref="Q38">Scope3_Equations.VEERG_15_11_1_1__2_UpstreamTransportFuelEmissions(L38,G38,K38)</f>
        <v>0</v>
      </c>
    </row>
    <row r="39" spans="4:17" ht="20.100000000000001" customHeight="1" x14ac:dyDescent="0.25">
      <c r="D39" s="84" t="str">
        <f>$D$37</f>
        <v>Vessels</v>
      </c>
      <c r="E39" s="83" t="str">
        <f>'Constants - Fuel'!E33</f>
        <v>Fuel Oil</v>
      </c>
      <c r="F39" s="83" t="str">
        <f>'Constants - Fuel'!$I$133</f>
        <v>Fuel oil</v>
      </c>
      <c r="G39" s="30" cm="1">
        <f t="array" ref="G39">IFERROR(_xlfn.XLOOKUP(1, (Table_Fuel_EFs_Transport[Fuel combusted]=$E39)*(Table_Fuel_EFs_Transport[Transport type]=$D$37), Table_Fuel_EFs_Transport[Energy Content Factor (GJ per unit of fuel)]), 0)</f>
        <v>39.700000000000003</v>
      </c>
      <c r="H39" s="30" cm="1">
        <f t="array" ref="H39">IFERROR(_xlfn.XLOOKUP(1, (Table_Fuel_EFs_Transport[Fuel combusted]=$E39)*(Table_Fuel_EFs_Transport[Transport type]=$D$37), Table_Fuel_EFs_Transport[Scope 1 Emission Factor (kg CO2 - e / GJ) CO2]), 0)</f>
        <v>73.599999999999994</v>
      </c>
      <c r="I39" s="30" cm="1">
        <f t="array" ref="I39">IFERROR(_xlfn.XLOOKUP(1, (Table_Fuel_EFs_Transport[Fuel combusted]=$E39)*(Table_Fuel_EFs_Transport[Transport type]=$D$37), Table_Fuel_EFs_Transport[Scope 1 Emission Factor (kg CO2 - e / GJ) CH4]), 0)</f>
        <v>0.2</v>
      </c>
      <c r="J39" s="30" cm="1">
        <f t="array" ref="J39">IFERROR(_xlfn.XLOOKUP(1, (Table_Fuel_EFs_Transport[Fuel combusted]=$E39)*(Table_Fuel_EFs_Transport[Transport type]=$D$37), Table_Fuel_EFs_Transport[Scope 1 Emission Factor (kg CO2 - e / GJ) N2O]), 0)</f>
        <v>0.5</v>
      </c>
      <c r="K39" s="30" cm="1">
        <f t="array" ref="K39">IFERROR(_xlfn.XLOOKUP(1, (Table_Fuel_EFs_Transport[Fuel combusted]=$E39)*(Table_Fuel_EFs_Transport[Transport type]=$D$25), Table_Fuel_EFs_Transport[Scope 3 Emission Factor (kg CO2 - e / GJ)]), 0)</f>
        <v>18</v>
      </c>
      <c r="L39" s="60" cm="1">
        <f t="array" ref="L39">Fuel_InputFunctions.Fuel_TotalConsumption(Table_Input_Fuel[Amount consumed], Table_Input_Fuel[Fuel use (select)], D39, Table_Input_Fuel[Fuel type (select)],F39)</f>
        <v>10</v>
      </c>
      <c r="M39" s="60" t="str" cm="1">
        <f t="array" ref="M39">Common_InputFunctions.Utility_LookupValueInTable(F39,Table_FuelTypes_Units[Fuel type],Table_FuelTypes_Units[Unit])</f>
        <v>kL</v>
      </c>
      <c r="N39" s="102" cm="1">
        <f t="array" ref="N39">Fuel_Equations.VEERG_8_1_1_1__1_FuelCombustionTransport($L39,$G39,$H39)</f>
        <v>29.219199999999997</v>
      </c>
      <c r="O39" s="102" cm="1">
        <f t="array" ref="O39">Fuel_Equations.VEERG_8_1_1_1__1_FuelCombustionTransport($L39,$G39,$I39)</f>
        <v>7.9400000000000012E-2</v>
      </c>
      <c r="P39" s="102" cm="1">
        <f t="array" ref="P39">Fuel_Equations.VEERG_8_1_1_1__1_FuelCombustionTransport($L39,$G39,$J39)</f>
        <v>0.19850000000000001</v>
      </c>
      <c r="Q39" s="102" cm="1">
        <f t="array" ref="Q39">Scope3_Equations.VEERG_15_11_1_1__2_UpstreamTransportFuelEmissions(L39,G39,K39)</f>
        <v>7.1459999999999999</v>
      </c>
    </row>
    <row r="40" spans="4:17" ht="20.100000000000001" customHeight="1" x14ac:dyDescent="0.25">
      <c r="H40" s="50"/>
      <c r="I40" s="50"/>
      <c r="J40" s="50"/>
      <c r="L40" s="50"/>
      <c r="M40" s="50"/>
      <c r="N40" s="50"/>
      <c r="O40" s="50"/>
      <c r="P40" s="50"/>
      <c r="Q40" s="50"/>
    </row>
    <row r="41" spans="4:17" ht="20.100000000000001" customHeight="1" x14ac:dyDescent="0.25">
      <c r="H41" s="50"/>
      <c r="I41" s="50"/>
      <c r="J41" s="50"/>
      <c r="L41" s="50"/>
      <c r="M41" s="50"/>
      <c r="N41" s="50"/>
      <c r="O41" s="50"/>
      <c r="P41" s="50"/>
      <c r="Q41" s="50"/>
    </row>
    <row r="42" spans="4:17" ht="20.100000000000001" customHeight="1" x14ac:dyDescent="0.25">
      <c r="D42" s="90" t="str">
        <f>"Total scope 1 - " &amp; D25</f>
        <v>Total scope 1 - Cars and light commercial vehicles</v>
      </c>
      <c r="E42" s="91"/>
      <c r="F42" s="92"/>
    </row>
    <row r="43" spans="4:17" ht="20.100000000000001" customHeight="1" x14ac:dyDescent="0.25">
      <c r="D43" s="3" t="s">
        <v>155</v>
      </c>
      <c r="E43" s="101">
        <f>SUM(N25:N32)+N("Partial sum")</f>
        <v>26.981400000000001</v>
      </c>
      <c r="F43" s="2" t="str">
        <f>$E$12</f>
        <v>t CO2-e</v>
      </c>
    </row>
    <row r="44" spans="4:17" ht="20.100000000000001" customHeight="1" x14ac:dyDescent="0.25">
      <c r="D44" s="3" t="s">
        <v>156</v>
      </c>
      <c r="E44" s="101">
        <f>SUM(O25:O32)+N("Partial sum")</f>
        <v>3.8600000000000001E-3</v>
      </c>
      <c r="F44" s="2" t="str">
        <f t="shared" ref="F44:F46" si="1">$E$12</f>
        <v>t CO2-e</v>
      </c>
    </row>
    <row r="45" spans="4:17" ht="20.100000000000001" customHeight="1" x14ac:dyDescent="0.25">
      <c r="D45" s="3" t="s">
        <v>157</v>
      </c>
      <c r="E45" s="101">
        <f>SUM(P25:P32)+N("Partial sum")</f>
        <v>0.193</v>
      </c>
      <c r="F45" s="2" t="str">
        <f t="shared" si="1"/>
        <v>t CO2-e</v>
      </c>
    </row>
    <row r="46" spans="4:17" ht="20.100000000000001" customHeight="1" x14ac:dyDescent="0.25">
      <c r="D46" s="3" t="s">
        <v>180</v>
      </c>
      <c r="E46" s="101">
        <f>SUM(Q25:Q32)+N("Partial sum")</f>
        <v>6.6778000000000004</v>
      </c>
      <c r="F46" s="2" t="str">
        <f t="shared" si="1"/>
        <v>t CO2-e</v>
      </c>
    </row>
    <row r="47" spans="4:17" ht="20.100000000000001" customHeight="1" x14ac:dyDescent="0.25">
      <c r="D47" s="50"/>
      <c r="E47" s="50"/>
      <c r="F47" s="50"/>
    </row>
    <row r="48" spans="4:17" ht="20.100000000000001" customHeight="1" x14ac:dyDescent="0.25">
      <c r="D48" s="90" t="str">
        <f>"Total scope 1 - " &amp; D33</f>
        <v>Total scope 1 - Off-road Agriculture and forestry equipment</v>
      </c>
      <c r="E48" s="93"/>
      <c r="F48" s="92"/>
      <c r="H48" s="50"/>
      <c r="I48" s="50"/>
      <c r="J48" s="50"/>
      <c r="L48" s="50"/>
      <c r="M48" s="50"/>
      <c r="N48" s="50"/>
      <c r="O48" s="50"/>
      <c r="P48" s="50"/>
      <c r="Q48" s="50"/>
    </row>
    <row r="49" spans="4:17" ht="20.100000000000001" customHeight="1" x14ac:dyDescent="0.25">
      <c r="D49" s="3" t="s">
        <v>155</v>
      </c>
      <c r="E49" s="101">
        <f>SUM(N33:N33)+N("Partial sum")</f>
        <v>26.981400000000001</v>
      </c>
      <c r="F49" s="2" t="str">
        <f t="shared" ref="F49:F52" si="2">$E$12</f>
        <v>t CO2-e</v>
      </c>
      <c r="H49" s="50"/>
      <c r="I49" s="50"/>
      <c r="J49" s="50"/>
      <c r="L49" s="50"/>
      <c r="M49" s="50"/>
      <c r="N49" s="50"/>
      <c r="O49" s="50"/>
      <c r="P49" s="50"/>
      <c r="Q49" s="50"/>
    </row>
    <row r="50" spans="4:17" ht="20.100000000000001" customHeight="1" x14ac:dyDescent="0.25">
      <c r="D50" s="3" t="s">
        <v>156</v>
      </c>
      <c r="E50" s="101">
        <f>SUM(O33:O33)+N("Partial sum")</f>
        <v>0.1158</v>
      </c>
      <c r="F50" s="2" t="str">
        <f t="shared" si="2"/>
        <v>t CO2-e</v>
      </c>
      <c r="H50" s="50"/>
      <c r="I50" s="50"/>
      <c r="J50" s="50"/>
      <c r="L50" s="50"/>
      <c r="M50" s="50"/>
      <c r="N50" s="50"/>
      <c r="O50" s="50"/>
      <c r="P50" s="50"/>
      <c r="Q50" s="50"/>
    </row>
    <row r="51" spans="4:17" ht="20.100000000000001" customHeight="1" x14ac:dyDescent="0.25">
      <c r="D51" s="3" t="s">
        <v>157</v>
      </c>
      <c r="E51" s="101">
        <f>SUM(P33:P33)+N("Partial sum")</f>
        <v>0.193</v>
      </c>
      <c r="F51" s="2" t="str">
        <f t="shared" si="2"/>
        <v>t CO2-e</v>
      </c>
      <c r="H51" s="50"/>
      <c r="I51" s="50"/>
      <c r="J51" s="50"/>
      <c r="L51" s="50"/>
      <c r="M51" s="50"/>
      <c r="N51" s="50"/>
      <c r="O51" s="50"/>
      <c r="P51" s="50"/>
      <c r="Q51" s="50"/>
    </row>
    <row r="52" spans="4:17" ht="20.100000000000001" customHeight="1" x14ac:dyDescent="0.25">
      <c r="D52" s="3" t="s">
        <v>180</v>
      </c>
      <c r="E52" s="101">
        <f>SUM(Q33)+N("Partial sum")</f>
        <v>6.6778000000000004</v>
      </c>
      <c r="F52" s="2" t="str">
        <f t="shared" si="2"/>
        <v>t CO2-e</v>
      </c>
      <c r="H52" s="50"/>
      <c r="I52" s="50"/>
      <c r="J52" s="50"/>
      <c r="L52" s="50"/>
      <c r="M52" s="50"/>
      <c r="N52" s="50"/>
      <c r="O52" s="50"/>
      <c r="P52" s="50"/>
      <c r="Q52" s="50"/>
    </row>
    <row r="53" spans="4:17" ht="20.100000000000001" customHeight="1" x14ac:dyDescent="0.25">
      <c r="D53" s="50"/>
      <c r="E53" s="94"/>
      <c r="F53" s="50"/>
      <c r="G53" s="50"/>
      <c r="H53" s="50"/>
      <c r="I53" s="50"/>
      <c r="J53" s="50"/>
      <c r="L53" s="50"/>
      <c r="M53" s="50"/>
      <c r="N53" s="50"/>
      <c r="O53" s="50"/>
      <c r="P53" s="50"/>
      <c r="Q53" s="50"/>
    </row>
    <row r="54" spans="4:17" ht="20.100000000000001" customHeight="1" x14ac:dyDescent="0.25">
      <c r="D54" s="90" t="str">
        <f>"Total scope 1 - " &amp; D34</f>
        <v>Total scope 1 - Aviation</v>
      </c>
      <c r="E54" s="93"/>
      <c r="F54" s="92"/>
      <c r="G54" s="50"/>
      <c r="H54" s="50"/>
      <c r="I54" s="50"/>
      <c r="J54" s="50"/>
      <c r="L54" s="50"/>
      <c r="M54" s="50"/>
      <c r="N54" s="50"/>
      <c r="O54" s="50"/>
      <c r="P54" s="50"/>
      <c r="Q54" s="50"/>
    </row>
    <row r="55" spans="4:17" ht="20.100000000000001" customHeight="1" x14ac:dyDescent="0.25">
      <c r="D55" s="3" t="s">
        <v>155</v>
      </c>
      <c r="E55" s="101">
        <f>SUM(N34:N36)+N("Partial sum")</f>
        <v>0</v>
      </c>
      <c r="F55" s="2" t="str">
        <f t="shared" ref="F55:F58" si="3">$E$12</f>
        <v>t CO2-e</v>
      </c>
      <c r="G55" s="50"/>
      <c r="H55" s="50"/>
      <c r="I55" s="50"/>
      <c r="J55" s="50"/>
      <c r="L55" s="50"/>
      <c r="M55" s="50"/>
      <c r="N55" s="50"/>
      <c r="O55" s="50"/>
      <c r="P55" s="50"/>
      <c r="Q55" s="50"/>
    </row>
    <row r="56" spans="4:17" ht="20.100000000000001" customHeight="1" x14ac:dyDescent="0.25">
      <c r="D56" s="3" t="s">
        <v>156</v>
      </c>
      <c r="E56" s="101">
        <f>SUM(O34:O36)+N("Partial sum")</f>
        <v>0</v>
      </c>
      <c r="F56" s="2" t="str">
        <f t="shared" si="3"/>
        <v>t CO2-e</v>
      </c>
      <c r="G56" s="50"/>
      <c r="H56" s="50"/>
      <c r="I56" s="50"/>
      <c r="J56" s="50"/>
      <c r="L56" s="50"/>
      <c r="M56" s="50"/>
      <c r="N56" s="50"/>
      <c r="O56" s="50"/>
      <c r="P56" s="50"/>
      <c r="Q56" s="50"/>
    </row>
    <row r="57" spans="4:17" ht="20.100000000000001" customHeight="1" x14ac:dyDescent="0.25">
      <c r="D57" s="3" t="s">
        <v>157</v>
      </c>
      <c r="E57" s="101">
        <f>SUM(P34:P36)+N("Partial sum")</f>
        <v>0</v>
      </c>
      <c r="F57" s="2" t="str">
        <f t="shared" si="3"/>
        <v>t CO2-e</v>
      </c>
      <c r="G57" s="50"/>
      <c r="H57" s="50"/>
      <c r="I57" s="50"/>
      <c r="J57" s="50"/>
      <c r="L57" s="50"/>
      <c r="M57" s="50"/>
      <c r="N57" s="50"/>
      <c r="O57" s="50"/>
      <c r="P57" s="50"/>
      <c r="Q57" s="50"/>
    </row>
    <row r="58" spans="4:17" ht="20.100000000000001" customHeight="1" x14ac:dyDescent="0.25">
      <c r="D58" s="3" t="s">
        <v>180</v>
      </c>
      <c r="E58" s="101">
        <f>SUM(Q34:Q36)+N("Partial sum")</f>
        <v>0</v>
      </c>
      <c r="F58" s="2" t="str">
        <f t="shared" si="3"/>
        <v>t CO2-e</v>
      </c>
      <c r="G58" s="50"/>
      <c r="H58" s="50"/>
      <c r="I58" s="50"/>
      <c r="J58" s="50"/>
      <c r="L58" s="50"/>
      <c r="M58" s="50"/>
      <c r="N58" s="50"/>
      <c r="O58" s="50"/>
      <c r="P58" s="50"/>
      <c r="Q58" s="50"/>
    </row>
    <row r="59" spans="4:17" ht="20.100000000000001" customHeight="1" x14ac:dyDescent="0.25">
      <c r="D59" s="50"/>
      <c r="E59" s="94"/>
      <c r="F59" s="50"/>
      <c r="G59" s="50"/>
      <c r="H59" s="50"/>
      <c r="I59" s="50"/>
      <c r="J59" s="50"/>
      <c r="L59" s="50"/>
      <c r="M59" s="50"/>
      <c r="N59" s="50"/>
      <c r="O59" s="50"/>
      <c r="P59" s="50"/>
      <c r="Q59" s="50"/>
    </row>
    <row r="60" spans="4:17" ht="20.100000000000001" customHeight="1" x14ac:dyDescent="0.25">
      <c r="D60" s="90" t="str">
        <f>"Total scope 1 - " &amp; D37</f>
        <v>Total scope 1 - Vessels</v>
      </c>
      <c r="E60" s="93"/>
      <c r="F60" s="92"/>
      <c r="G60" s="50"/>
      <c r="H60" s="50"/>
      <c r="I60" s="50"/>
      <c r="J60" s="50"/>
      <c r="L60" s="50"/>
      <c r="M60" s="50"/>
      <c r="N60" s="50"/>
      <c r="O60" s="50"/>
      <c r="P60" s="50"/>
      <c r="Q60" s="50"/>
    </row>
    <row r="61" spans="4:17" ht="20.100000000000001" customHeight="1" x14ac:dyDescent="0.25">
      <c r="D61" s="3" t="s">
        <v>155</v>
      </c>
      <c r="E61" s="101">
        <f>SUM(N37:N39)+N("Partial sum")</f>
        <v>29.219199999999997</v>
      </c>
      <c r="F61" s="2" t="str">
        <f t="shared" ref="F61:F64" si="4">$E$12</f>
        <v>t CO2-e</v>
      </c>
      <c r="G61" s="50"/>
      <c r="H61" s="50"/>
      <c r="I61" s="50"/>
      <c r="J61" s="50"/>
      <c r="L61" s="50"/>
      <c r="M61" s="50"/>
      <c r="N61" s="50"/>
      <c r="O61" s="50"/>
      <c r="P61" s="50"/>
      <c r="Q61" s="50"/>
    </row>
    <row r="62" spans="4:17" ht="20.100000000000001" customHeight="1" x14ac:dyDescent="0.25">
      <c r="D62" s="3" t="s">
        <v>156</v>
      </c>
      <c r="E62" s="101">
        <f>SUM(O37:O39)+N("Partial sum")</f>
        <v>7.9400000000000012E-2</v>
      </c>
      <c r="F62" s="2" t="str">
        <f t="shared" si="4"/>
        <v>t CO2-e</v>
      </c>
      <c r="G62" s="50"/>
      <c r="H62" s="50"/>
      <c r="I62" s="50"/>
      <c r="J62" s="50"/>
      <c r="L62" s="50"/>
      <c r="M62" s="50"/>
      <c r="N62" s="50"/>
      <c r="O62" s="50"/>
      <c r="P62" s="50"/>
      <c r="Q62" s="50"/>
    </row>
    <row r="63" spans="4:17" ht="20.100000000000001" customHeight="1" x14ac:dyDescent="0.25">
      <c r="D63" s="3" t="s">
        <v>157</v>
      </c>
      <c r="E63" s="101">
        <f>SUM(P37:P39)+N("Partial sum")</f>
        <v>0.19850000000000001</v>
      </c>
      <c r="F63" s="2" t="str">
        <f t="shared" si="4"/>
        <v>t CO2-e</v>
      </c>
      <c r="G63" s="50"/>
      <c r="H63" s="50"/>
      <c r="I63" s="50"/>
      <c r="J63" s="50"/>
      <c r="L63" s="50"/>
      <c r="M63" s="50"/>
      <c r="N63" s="50"/>
      <c r="O63" s="50"/>
      <c r="P63" s="50"/>
      <c r="Q63" s="50"/>
    </row>
    <row r="64" spans="4:17" ht="20.100000000000001" customHeight="1" x14ac:dyDescent="0.25">
      <c r="D64" s="3" t="s">
        <v>180</v>
      </c>
      <c r="E64" s="101">
        <f>SUM(Q37:Q39)+N("Partial sum")</f>
        <v>7.1459999999999999</v>
      </c>
      <c r="F64" s="2" t="str">
        <f t="shared" si="4"/>
        <v>t CO2-e</v>
      </c>
      <c r="G64" s="50"/>
      <c r="H64" s="50"/>
      <c r="I64" s="50"/>
      <c r="J64" s="50"/>
      <c r="L64" s="50"/>
      <c r="M64" s="50"/>
      <c r="N64" s="50"/>
      <c r="O64" s="50"/>
      <c r="P64" s="50"/>
      <c r="Q64" s="50"/>
    </row>
    <row r="65" spans="4:17" ht="20.100000000000001" customHeight="1" x14ac:dyDescent="0.25">
      <c r="G65" s="50"/>
      <c r="H65" s="50"/>
      <c r="I65" s="50"/>
      <c r="J65" s="50"/>
      <c r="L65" s="50"/>
      <c r="M65" s="50"/>
      <c r="N65" s="50"/>
      <c r="O65" s="50"/>
      <c r="P65" s="50"/>
      <c r="Q65" s="50"/>
    </row>
    <row r="66" spans="4:17" ht="20.100000000000001" customHeight="1" x14ac:dyDescent="0.25">
      <c r="D66" s="90" t="s">
        <v>175</v>
      </c>
      <c r="E66" s="95"/>
      <c r="F66" s="92"/>
      <c r="G66" s="50"/>
      <c r="H66" s="50"/>
      <c r="I66" s="50"/>
      <c r="J66" s="50"/>
      <c r="L66" s="50"/>
      <c r="M66" s="50"/>
      <c r="N66" s="50"/>
      <c r="O66" s="50"/>
      <c r="P66" s="50"/>
      <c r="Q66" s="50"/>
    </row>
    <row r="67" spans="4:17" ht="20.100000000000001" customHeight="1" x14ac:dyDescent="0.25">
      <c r="D67" s="3" t="s">
        <v>155</v>
      </c>
      <c r="E67" s="101">
        <f>E43+E49+E55+E61</f>
        <v>83.182000000000002</v>
      </c>
      <c r="F67" s="2" t="str">
        <f t="shared" ref="F67:F70" si="5">$E$12</f>
        <v>t CO2-e</v>
      </c>
      <c r="G67" s="50"/>
    </row>
    <row r="68" spans="4:17" ht="20.100000000000001" customHeight="1" x14ac:dyDescent="0.25">
      <c r="D68" s="3" t="s">
        <v>156</v>
      </c>
      <c r="E68" s="101">
        <f t="shared" ref="E68:E70" si="6">E44+E50+E56+E62</f>
        <v>0.19906000000000001</v>
      </c>
      <c r="F68" s="2" t="str">
        <f t="shared" si="5"/>
        <v>t CO2-e</v>
      </c>
      <c r="G68" s="50"/>
    </row>
    <row r="69" spans="4:17" ht="20.100000000000001" customHeight="1" x14ac:dyDescent="0.25">
      <c r="D69" s="3" t="s">
        <v>157</v>
      </c>
      <c r="E69" s="101">
        <f t="shared" si="6"/>
        <v>0.58450000000000002</v>
      </c>
      <c r="F69" s="2" t="str">
        <f t="shared" si="5"/>
        <v>t CO2-e</v>
      </c>
      <c r="G69" s="50"/>
    </row>
    <row r="70" spans="4:17" ht="20.100000000000001" customHeight="1" x14ac:dyDescent="0.25">
      <c r="D70" s="3" t="s">
        <v>180</v>
      </c>
      <c r="E70" s="101">
        <f t="shared" si="6"/>
        <v>20.5016</v>
      </c>
      <c r="F70" s="2" t="str">
        <f t="shared" si="5"/>
        <v>t CO2-e</v>
      </c>
      <c r="G70" s="50"/>
    </row>
    <row r="71" spans="4:17" ht="20.100000000000001" customHeight="1" x14ac:dyDescent="0.25">
      <c r="G71" s="50"/>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6" zoomScaleNormal="100" workbookViewId="0">
      <selection activeCell="E55" sqref="E55"/>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34" t="e" vm="1">
        <v>#VALUE!</v>
      </c>
      <c r="C1" s="8" t="s">
        <v>109</v>
      </c>
    </row>
    <row r="2" spans="1:18" s="9" customFormat="1" ht="20.100000000000001" customHeight="1" x14ac:dyDescent="0.25">
      <c r="A2"/>
    </row>
    <row r="3" spans="1:18" ht="20.100000000000001" customHeight="1" x14ac:dyDescent="0.25">
      <c r="A3" s="14" t="str">
        <f>HYPERLINK("#'Home'!A1", "Home")</f>
        <v>Home</v>
      </c>
      <c r="C3" s="4"/>
      <c r="D3" s="4" t="s">
        <v>48</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0"/>
      <c r="P5" s="50"/>
      <c r="Q5" s="50"/>
      <c r="R5" s="50"/>
    </row>
    <row r="6" spans="1:18" ht="20.100000000000001" customHeight="1" x14ac:dyDescent="0.25">
      <c r="D6" s="5" t="str" cm="1">
        <f t="array" ref="D6">Fuel_Equations.VEERG_8_2_1_1__1_FuelCombustionStationary_Source()</f>
        <v>VEERG 2026: 8.2.1.1, Equation (1)</v>
      </c>
      <c r="K6" s="5" t="str" cm="1">
        <f t="array" ref="K6">Scope3_Equations.VEERG_15_11_1_1__3_UpstreamStationaryFuelEmissions_Source()</f>
        <v>VEERG 2026: 15.11.1.1, Equation (3)</v>
      </c>
      <c r="O6" s="50"/>
      <c r="P6" s="50"/>
      <c r="Q6" s="50"/>
      <c r="R6" s="50"/>
    </row>
    <row r="7" spans="1:18" ht="20.100000000000001" customHeight="1" x14ac:dyDescent="0.25">
      <c r="D7" s="11" t="s">
        <v>9</v>
      </c>
      <c r="E7" s="11" t="str" cm="1">
        <f t="array" aca="1" ref="E7" ca="1">Common_InputFunctions.Utility_DisplayFunctionName(N25)</f>
        <v>=Fuel_Equations.VEERG_8_2_1_1__1_FuelCombustionStationary</v>
      </c>
      <c r="K7" s="33" t="str" cm="1">
        <f t="array" ref="K7">Scope3_Equations.VEERG_15_11_1_1__3_UpstreamStationaryFuelEmissions_Variation()</f>
        <v>VARIATION ON SOURCE: Added 'state' and 'metro/non-metro' arguments as gaseous scope 3 EFs are state and metro/non-metro location-based.</v>
      </c>
      <c r="O7" s="50"/>
      <c r="P7" s="50"/>
      <c r="Q7" s="50"/>
      <c r="R7" s="50"/>
    </row>
    <row r="8" spans="1:18" ht="20.100000000000001" customHeight="1" x14ac:dyDescent="0.25">
      <c r="A8" s="16" t="s">
        <v>0</v>
      </c>
      <c r="K8" s="11" t="s">
        <v>9</v>
      </c>
      <c r="L8" s="11" t="str" cm="1">
        <f t="array" aca="1" ref="L8" ca="1">Common_InputFunctions.Utility_DisplayFunctionName(Q25)</f>
        <v>=Fuel_Equations.VEERG_8_2_1_1__1_FuelCombustionStationary</v>
      </c>
      <c r="O8" s="50"/>
      <c r="P8" s="50"/>
      <c r="Q8" s="50"/>
      <c r="R8" s="50"/>
    </row>
    <row r="9" spans="1:18" ht="20.100000000000001" customHeight="1" x14ac:dyDescent="0.25">
      <c r="A9" s="14" t="str">
        <f>HYPERLINK("#'Input - Site'!A1", "Site")</f>
        <v>Site</v>
      </c>
      <c r="G9" s="5"/>
      <c r="O9" s="50"/>
      <c r="P9" s="50"/>
      <c r="Q9" s="50"/>
      <c r="R9" s="50"/>
    </row>
    <row r="10" spans="1:18" ht="20.100000000000001" customHeight="1" x14ac:dyDescent="0.25">
      <c r="A10" s="14" t="str">
        <f>HYPERLINK("#'Input - Fuel'!A1", "Fuel")</f>
        <v>Fuel</v>
      </c>
      <c r="O10" s="50"/>
      <c r="P10" s="50"/>
      <c r="Q10" s="50"/>
      <c r="R10" s="50"/>
    </row>
    <row r="11" spans="1:18" ht="20.100000000000001" customHeight="1" x14ac:dyDescent="0.25">
      <c r="D11" s="31" t="s">
        <v>12</v>
      </c>
      <c r="E11" s="1" t="str" cm="1">
        <f t="array" ref="E11">Fuel_Equations.VEERG_8_2_1_1__1_FuelCombustionStationary_Variable()</f>
        <v>E_g</v>
      </c>
      <c r="K11" s="31" t="s">
        <v>12</v>
      </c>
      <c r="L11" s="1" t="str" cm="1">
        <f t="array" ref="L11">Scope3_Equations.VEERG_15_11_1_1__3_UpstreamStationaryFuelEmissions_Variable()</f>
        <v>E_WTTSCq</v>
      </c>
      <c r="O11" s="50"/>
      <c r="P11" s="50"/>
      <c r="Q11" s="50"/>
      <c r="R11" s="50"/>
    </row>
    <row r="12" spans="1:18" ht="20.100000000000001" customHeight="1" x14ac:dyDescent="0.25">
      <c r="D12" s="31" t="s">
        <v>4</v>
      </c>
      <c r="E12" s="32" t="str" cm="1">
        <f t="array" ref="E12">Fuel_Equations.VEERG_8_2_1_1__1_FuelCombustionStationary_Unit()</f>
        <v>t CO2-e</v>
      </c>
      <c r="K12" s="31" t="s">
        <v>4</v>
      </c>
      <c r="L12" s="32" t="str" cm="1">
        <f t="array" ref="L12">Scope3_Equations.VEERG_15_11_1_1__3_UpstreamStationaryFuelEmissions_Unit()</f>
        <v>t CO2e</v>
      </c>
    </row>
    <row r="13" spans="1:18" ht="20.100000000000001" customHeight="1" x14ac:dyDescent="0.25">
      <c r="A13" s="15" t="s">
        <v>44</v>
      </c>
    </row>
    <row r="14" spans="1:18" ht="20.100000000000001" customHeight="1" x14ac:dyDescent="0.25">
      <c r="A14" s="14" t="str">
        <f>HYPERLINK("#'8.1.1.1-2 Transport fuel'!A1", "8.1.1.1-2 Transport fuel")</f>
        <v>8.1.1.1-2 Transport fuel</v>
      </c>
      <c r="D14" s="57" t="str" cm="1">
        <f t="array" ref="D14:E20">_xlfn.CHOOSECOLS(Fuel_Equations.VEERG_8_2_1_1__1_FuelCombustionStationary_Arguments(), 1,2)</f>
        <v>Q_SCq</v>
      </c>
      <c r="E14" s="59" t="str">
        <v>Amount of fuel type q used for stationary combustion operations</v>
      </c>
      <c r="F14" s="58"/>
      <c r="G14" s="57" t="str" cm="1">
        <f t="array" ref="G14:H20">_xlfn.CHOOSECOLS(Fuel_Equations.VEERG_8_2_1_1__1_FuelCombustionStationary_Arguments(), 3,4)</f>
        <v>Varies based on fuel type: kL, m3, GJ</v>
      </c>
      <c r="H14" s="53" t="str">
        <v>Input</v>
      </c>
      <c r="I14" s="56" t="str" cm="1">
        <f t="array" aca="1" ref="I14" ca="1">HYPERLINK(Common_InputFunctions.Utility_SourceHyperlink($D$22), $D$22)</f>
        <v>Table_E_g</v>
      </c>
      <c r="K14" s="57" t="str" cm="1">
        <f t="array" ref="K14:L18">_xlfn.CHOOSECOLS(Scope3_Equations.VEERG_15_11_1_1__3_UpstreamStationaryFuelEmissions_Arguments(),1,2)</f>
        <v>Q_SCq</v>
      </c>
      <c r="L14" s="57" t="str">
        <v>amount of fuel q used for stationary combustion operations</v>
      </c>
      <c r="M14" s="57"/>
      <c r="N14" s="57" t="str" cm="1">
        <f t="array" ref="N14:O18">_xlfn.CHOOSECOLS(Scope3_Equations.VEERG_15_11_1_1__3_UpstreamStationaryFuelEmissions_Arguments(),3,4)</f>
        <v>kL</v>
      </c>
      <c r="O14" s="53" t="str">
        <v>Input</v>
      </c>
      <c r="P14" s="56" t="str" cm="1">
        <f t="array" aca="1" ref="P14" ca="1">HYPERLINK(Common_InputFunctions.Utility_SourceHyperlink($D$22), $D$22)</f>
        <v>Table_E_g</v>
      </c>
      <c r="Q14" s="50"/>
    </row>
    <row r="15" spans="1:18" ht="20.100000000000001" customHeight="1" x14ac:dyDescent="0.25">
      <c r="A15" s="67" t="str">
        <f>HYPERLINK("#'8.2.1.1-2 Stationary fuel'!A1", "8.2.1.1-2 Stationary fuel")</f>
        <v>8.2.1.1-2 Stationary fuel</v>
      </c>
      <c r="D15" s="57" t="str">
        <v>EC_SCq</v>
      </c>
      <c r="E15" s="59" t="str">
        <v>Energy content factor for stationary combustion operations</v>
      </c>
      <c r="F15" s="58"/>
      <c r="G15" s="57" t="str">
        <v>GJ / unit of fuel</v>
      </c>
      <c r="H15" s="52" t="str">
        <v>Constant</v>
      </c>
      <c r="I15" s="56" t="str" cm="1">
        <f t="array" aca="1" ref="I15" ca="1">HYPERLINK(Common_InputFunctions.Utility_SourceHyperlink($D$22), $D$22)</f>
        <v>Table_E_g</v>
      </c>
      <c r="K15" s="57" t="str">
        <v>EC_SCq</v>
      </c>
      <c r="L15" s="57" t="str">
        <v>energy content factor for stationary combustion operations</v>
      </c>
      <c r="M15" s="57"/>
      <c r="N15" s="57" t="str">
        <v>GJ/kL</v>
      </c>
      <c r="O15" s="52" t="str">
        <v>Constant</v>
      </c>
      <c r="P15" s="56" t="str" cm="1">
        <f t="array" aca="1" ref="P15" ca="1">HYPERLINK(Common_InputFunctions.Utility_SourceHyperlink($D$22), $D$22)</f>
        <v>Table_E_g</v>
      </c>
      <c r="Q15" s="50"/>
    </row>
    <row r="16" spans="1:18" ht="20.100000000000001" customHeight="1" x14ac:dyDescent="0.25">
      <c r="D16" s="57" t="str">
        <v>EF_SC1qg</v>
      </c>
      <c r="E16" s="59" t="str">
        <v>Scope 1 emission factor for stationary combustion for each greenhouse gas</v>
      </c>
      <c r="F16" s="58"/>
      <c r="G16" s="57" t="str">
        <v>kg CO2e / GJ</v>
      </c>
      <c r="H16" s="52" t="str">
        <v>Constant</v>
      </c>
      <c r="I16" s="56" t="str" cm="1">
        <f t="array" aca="1" ref="I16" ca="1">HYPERLINK(Common_InputFunctions.Utility_SourceHyperlink($D$22), $D$22)</f>
        <v>Table_E_g</v>
      </c>
      <c r="K16" s="57" t="str">
        <v>EF_SC3q</v>
      </c>
      <c r="L16" s="57" t="str">
        <v>scope 3 emission factor for stationary combustion operations</v>
      </c>
      <c r="M16" s="57"/>
      <c r="N16" s="57" t="str">
        <v>kg CO2e/GJ</v>
      </c>
      <c r="O16" s="52" t="str">
        <v>Constant</v>
      </c>
      <c r="P16" s="56" t="str" cm="1">
        <f t="array" aca="1" ref="P16" ca="1">HYPERLINK(Common_InputFunctions.Utility_SourceHyperlink($D$22), $D$22)</f>
        <v>Table_E_g</v>
      </c>
      <c r="Q16" s="50"/>
    </row>
    <row r="17" spans="1:17" ht="20.100000000000001" customHeight="1" x14ac:dyDescent="0.25">
      <c r="D17" s="57" t="str">
        <v>q</v>
      </c>
      <c r="E17" s="59" t="str">
        <v>Fuel type</v>
      </c>
      <c r="F17" s="58"/>
      <c r="G17" s="57" t="str">
        <v/>
      </c>
      <c r="H17" s="52" t="str">
        <v>Constant</v>
      </c>
      <c r="I17" s="56"/>
      <c r="J17" s="50"/>
      <c r="K17" s="57" t="str">
        <v>i</v>
      </c>
      <c r="L17" s="59" t="str">
        <v>state</v>
      </c>
      <c r="M17" s="58"/>
      <c r="N17" s="57" t="str">
        <v/>
      </c>
      <c r="O17" s="53" t="str">
        <v>Input</v>
      </c>
      <c r="P17" s="57" t="str">
        <f>X_Cell_Site_State</f>
        <v>Western Australia</v>
      </c>
      <c r="Q17" s="50"/>
    </row>
    <row r="18" spans="1:17" ht="20.100000000000001" customHeight="1" x14ac:dyDescent="0.25">
      <c r="A18" s="156" t="s">
        <v>1</v>
      </c>
      <c r="D18" s="57" t="str">
        <v>SC</v>
      </c>
      <c r="E18" s="59" t="str">
        <v>Stationary combustion</v>
      </c>
      <c r="F18" s="58"/>
      <c r="G18" s="57" t="str">
        <v/>
      </c>
      <c r="H18" s="52" t="str">
        <v>Constant</v>
      </c>
      <c r="I18" s="56"/>
      <c r="J18" s="50"/>
      <c r="K18" s="57" t="str">
        <v>m</v>
      </c>
      <c r="L18" s="59" t="str">
        <v>metropolitan/non-metropolitan location</v>
      </c>
      <c r="M18" s="58"/>
      <c r="N18" s="57" t="str">
        <v/>
      </c>
      <c r="O18" s="53" t="str">
        <v>Input</v>
      </c>
      <c r="P18" s="57" t="str">
        <f>X_Cell_Fuel_IsMetroLocation</f>
        <v>Metro</v>
      </c>
      <c r="Q18" s="50"/>
    </row>
    <row r="19" spans="1:17" ht="20.100000000000001" customHeight="1" x14ac:dyDescent="0.25">
      <c r="A19" s="14" t="str">
        <f>HYPERLINK("#'Constants - Fuel'!A1", "Constants - Fuel")</f>
        <v>Constants - Fuel</v>
      </c>
      <c r="D19" s="57" t="str">
        <v>g</v>
      </c>
      <c r="E19" s="59" t="str">
        <v>Greenhouse gas</v>
      </c>
      <c r="F19" s="58"/>
      <c r="G19" s="57" t="str">
        <v/>
      </c>
      <c r="H19" s="52" t="str">
        <v>Constant</v>
      </c>
      <c r="I19" s="56"/>
      <c r="J19" s="50"/>
      <c r="L19" s="50"/>
      <c r="N19" s="50"/>
      <c r="O19" s="50"/>
      <c r="P19" s="50"/>
      <c r="Q19" s="50"/>
    </row>
    <row r="20" spans="1:17" ht="20.100000000000001" customHeight="1" x14ac:dyDescent="0.25">
      <c r="A20" s="14" t="str">
        <f>HYPERLINK("#'Constants - Common'!A1", "Constants - Common")</f>
        <v>Constants - Common</v>
      </c>
      <c r="D20" s="57" t="str">
        <v>1</v>
      </c>
      <c r="E20" s="59" t="str">
        <v>Scope 1</v>
      </c>
      <c r="F20" s="58"/>
      <c r="G20" s="57" t="str">
        <v/>
      </c>
      <c r="H20" s="52" t="str">
        <v>Constant</v>
      </c>
      <c r="I20" s="56"/>
      <c r="J20" s="50"/>
      <c r="L20" s="50"/>
      <c r="N20" s="50"/>
      <c r="O20" s="50"/>
      <c r="P20" s="50"/>
      <c r="Q20" s="50"/>
    </row>
    <row r="21" spans="1:17" ht="20.100000000000001" customHeight="1" x14ac:dyDescent="0.25">
      <c r="O21" s="50"/>
      <c r="P21" s="50"/>
      <c r="Q21" s="50"/>
    </row>
    <row r="22" spans="1:17" ht="20.100000000000001" customHeight="1" x14ac:dyDescent="0.25">
      <c r="D22" s="41" t="s">
        <v>159</v>
      </c>
    </row>
    <row r="23" spans="1:17" ht="20.100000000000001" customHeight="1" x14ac:dyDescent="0.25">
      <c r="D23" s="40" t="s">
        <v>161</v>
      </c>
    </row>
    <row r="24" spans="1:17" ht="20.100000000000001" customHeight="1" x14ac:dyDescent="0.25">
      <c r="D24" s="29" t="s">
        <v>145</v>
      </c>
      <c r="E24" s="29" t="s">
        <v>158</v>
      </c>
      <c r="F24" s="29" t="s">
        <v>146</v>
      </c>
      <c r="G24" s="29" t="s">
        <v>162</v>
      </c>
      <c r="H24" s="29" t="s">
        <v>163</v>
      </c>
      <c r="I24" s="29" t="s">
        <v>164</v>
      </c>
      <c r="J24" s="29" t="s">
        <v>165</v>
      </c>
      <c r="K24" s="29" t="s">
        <v>182</v>
      </c>
      <c r="L24" s="51" t="s">
        <v>166</v>
      </c>
      <c r="M24" s="29" t="s">
        <v>151</v>
      </c>
      <c r="N24" s="29" t="s">
        <v>152</v>
      </c>
      <c r="O24" s="29" t="s">
        <v>153</v>
      </c>
      <c r="P24" s="29" t="s">
        <v>154</v>
      </c>
      <c r="Q24" s="29" t="s">
        <v>183</v>
      </c>
    </row>
    <row r="25" spans="1:17" ht="20.100000000000001" customHeight="1" x14ac:dyDescent="0.25">
      <c r="D25" s="3" t="str">
        <f>Table_FuelTypesPerUse[[#Headers],[Generators]]</f>
        <v>Generators</v>
      </c>
      <c r="E25" s="83" t="str">
        <f>'Constants - Fuel'!$D$58</f>
        <v>Automotive gasoline / petrol (other than for use as fuel in an aircraft)</v>
      </c>
      <c r="F25" s="83" t="str">
        <f>'Constants - Fuel'!D131</f>
        <v>Petrol</v>
      </c>
      <c r="G25" s="30">
        <f>IFERROR(_xlfn.XLOOKUP($E25, Table_Fuel_EFs_StationaryLiquid[Fuel combusted], Table_Fuel_EFs_StationaryLiquid[Energy Content Factor (GJ per unit of fuel)]),0)</f>
        <v>34.200000000000003</v>
      </c>
      <c r="H25" s="30">
        <f>IFERROR(_xlfn.XLOOKUP($E25, Table_Fuel_EFs_StationaryLiquid[Fuel combusted], Table_Fuel_EFs_StationaryLiquid[Scope 1 Emission Factor (kg CO2 - e / GJ) CO2]),0)</f>
        <v>67.400000000000006</v>
      </c>
      <c r="I25" s="30">
        <f>IFERROR(_xlfn.XLOOKUP($E25, Table_Fuel_EFs_StationaryLiquid[Fuel combusted], Table_Fuel_EFs_StationaryLiquid[Scope 1 Emission Factor (kg CO2 - e / GJ) CH4]),0)</f>
        <v>0.2</v>
      </c>
      <c r="J25" s="30">
        <f>IFERROR(_xlfn.XLOOKUP($E25, Table_Fuel_EFs_StationaryLiquid[Fuel combusted], Table_Fuel_EFs_StationaryLiquid[Scope 1 Emission Factor (kg CO2 - e / GJ) N2O]),0)</f>
        <v>0.2</v>
      </c>
      <c r="K25" s="30">
        <f>IFERROR(_xlfn.XLOOKUP($E25, Table_Fuel_EFs_StationaryLiquid[Fuel combusted], Table_Fuel_EFs_StationaryLiquid[Scope 3 Emission Factor (kg CO2 - e / GJ)]),0)</f>
        <v>17.2</v>
      </c>
      <c r="L25" s="60" cm="1">
        <f t="array" ref="L25">Fuel_InputFunctions.Fuel_TotalConsumption(Table_Input_Fuel[Amount consumed], Table_Input_Fuel[Fuel use (select)], D25, Table_Input_Fuel[Fuel type (select)],F25)</f>
        <v>0</v>
      </c>
      <c r="M25" s="60" t="str" cm="1">
        <f t="array" ref="M25">Common_InputFunctions.Utility_LookupValueInTable(F25,Table_FuelTypes_Units[Fuel type],Table_FuelTypes_Units[Unit])</f>
        <v>kL</v>
      </c>
      <c r="N25" s="105" cm="1">
        <f t="array" ref="N25">Fuel_Equations.VEERG_8_2_1_1__1_FuelCombustionStationary($L25,$G25,H25)</f>
        <v>0</v>
      </c>
      <c r="O25" s="105" cm="1">
        <f t="array" ref="O25">Fuel_Equations.VEERG_8_2_1_1__1_FuelCombustionStationary($L25,$G25,I25)</f>
        <v>0</v>
      </c>
      <c r="P25" s="105" cm="1">
        <f t="array" ref="P25">Fuel_Equations.VEERG_8_2_1_1__1_FuelCombustionStationary($L25,$G25,J25)</f>
        <v>0</v>
      </c>
      <c r="Q25" s="105" cm="1">
        <f t="array" ref="Q25">Fuel_Equations.VEERG_8_2_1_1__1_FuelCombustionStationary($L25,$G25,IF(ISNUMBER(K25), K25, 0))</f>
        <v>0</v>
      </c>
    </row>
    <row r="26" spans="1:17" ht="20.100000000000001" customHeight="1" x14ac:dyDescent="0.25">
      <c r="D26" s="84" t="str">
        <f t="shared" ref="D26:D31" si="0">$D$25</f>
        <v>Generators</v>
      </c>
      <c r="E26" s="83" t="str">
        <f>'Constants - Fuel'!$D$63</f>
        <v>Diesel oil</v>
      </c>
      <c r="F26" s="83" t="str">
        <f>'Constants - Fuel'!D132</f>
        <v>Diesel</v>
      </c>
      <c r="G26" s="30">
        <f>IFERROR(_xlfn.XLOOKUP($E26, Table_Fuel_EFs_StationaryLiquid[Fuel combusted], Table_Fuel_EFs_StationaryLiquid[Energy Content Factor (GJ per unit of fuel)]),0)</f>
        <v>38.6</v>
      </c>
      <c r="H26" s="30">
        <f>IFERROR(_xlfn.XLOOKUP($E26, Table_Fuel_EFs_StationaryLiquid[Fuel combusted], Table_Fuel_EFs_StationaryLiquid[Scope 1 Emission Factor (kg CO2 - e / GJ) CO2]),0)</f>
        <v>69.900000000000006</v>
      </c>
      <c r="I26" s="30">
        <f>IFERROR(_xlfn.XLOOKUP($E26, Table_Fuel_EFs_StationaryLiquid[Fuel combusted], Table_Fuel_EFs_StationaryLiquid[Scope 1 Emission Factor (kg CO2 - e / GJ) CH4]),0)</f>
        <v>0.1</v>
      </c>
      <c r="J26" s="30">
        <f>IFERROR(_xlfn.XLOOKUP($E26, Table_Fuel_EFs_StationaryLiquid[Fuel combusted], Table_Fuel_EFs_StationaryLiquid[Scope 1 Emission Factor (kg CO2 - e / GJ) N2O]),0)</f>
        <v>0.2</v>
      </c>
      <c r="K26" s="30">
        <f>IFERROR(_xlfn.XLOOKUP($E26, Table_Fuel_EFs_StationaryLiquid[Fuel combusted], Table_Fuel_EFs_StationaryLiquid[Scope 3 Emission Factor (kg CO2 - e / GJ)]),0)</f>
        <v>17.3</v>
      </c>
      <c r="L26" s="60" cm="1">
        <f t="array" ref="L26">Fuel_InputFunctions.Fuel_TotalConsumption(Table_Input_Fuel[Amount consumed], Table_Input_Fuel[Fuel use (select)], D26, Table_Input_Fuel[Fuel type (select)],F26)</f>
        <v>0</v>
      </c>
      <c r="M26" s="60" t="str" cm="1">
        <f t="array" ref="M26">Common_InputFunctions.Utility_LookupValueInTable(F26,Table_FuelTypes_Units[Fuel type],Table_FuelTypes_Units[Unit])</f>
        <v>kL</v>
      </c>
      <c r="N26" s="105" cm="1">
        <f t="array" ref="N26">Fuel_Equations.VEERG_8_2_1_1__1_FuelCombustionStationary($L26,$G26,H26)</f>
        <v>0</v>
      </c>
      <c r="O26" s="105" cm="1">
        <f t="array" ref="O26">Fuel_Equations.VEERG_8_2_1_1__1_FuelCombustionStationary($L26,$G26,I26)</f>
        <v>0</v>
      </c>
      <c r="P26" s="105" cm="1">
        <f t="array" ref="P26">Fuel_Equations.VEERG_8_2_1_1__1_FuelCombustionStationary($L26,$G26,J26)</f>
        <v>0</v>
      </c>
      <c r="Q26" s="105" cm="1">
        <f t="array" ref="Q26">Fuel_Equations.VEERG_8_2_1_1__1_FuelCombustionStationary($L26,$G26,IF(ISNUMBER(K26), K26, 0))</f>
        <v>0</v>
      </c>
    </row>
    <row r="27" spans="1:17" ht="20.100000000000001" customHeight="1" x14ac:dyDescent="0.25">
      <c r="D27" s="84" t="str">
        <f t="shared" si="0"/>
        <v>Generators</v>
      </c>
      <c r="E27" s="83" t="str">
        <f>'Constants - Fuel'!$D$67</f>
        <v>Liquefied petroleum gas (LPG)</v>
      </c>
      <c r="F27" s="83" t="str">
        <f>'Constants - Fuel'!D133</f>
        <v>Liquefied petroleum gas (LPG)</v>
      </c>
      <c r="G27" s="30">
        <f>IFERROR(_xlfn.XLOOKUP($E27, Table_Fuel_EFs_StationaryLiquid[Fuel combusted], Table_Fuel_EFs_StationaryLiquid[Energy Content Factor (GJ per unit of fuel)]),0)</f>
        <v>25.7</v>
      </c>
      <c r="H27" s="30">
        <f>IFERROR(_xlfn.XLOOKUP($E27, Table_Fuel_EFs_StationaryLiquid[Fuel combusted], Table_Fuel_EFs_StationaryLiquid[Scope 1 Emission Factor (kg CO2 - e / GJ) CO2]),0)</f>
        <v>60.2</v>
      </c>
      <c r="I27" s="30">
        <f>IFERROR(_xlfn.XLOOKUP($E27, Table_Fuel_EFs_StationaryLiquid[Fuel combusted], Table_Fuel_EFs_StationaryLiquid[Scope 1 Emission Factor (kg CO2 - e / GJ) CH4]),0)</f>
        <v>0.2</v>
      </c>
      <c r="J27" s="30">
        <f>IFERROR(_xlfn.XLOOKUP($E27, Table_Fuel_EFs_StationaryLiquid[Fuel combusted], Table_Fuel_EFs_StationaryLiquid[Scope 1 Emission Factor (kg CO2 - e / GJ) N2O]),0)</f>
        <v>0.2</v>
      </c>
      <c r="K27" s="30">
        <f>IFERROR(_xlfn.XLOOKUP($E27, Table_Fuel_EFs_StationaryLiquid[Fuel combusted], Table_Fuel_EFs_StationaryLiquid[Scope 3 Emission Factor (kg CO2 - e / GJ)]),0)</f>
        <v>20.2</v>
      </c>
      <c r="L27" s="60" cm="1">
        <f t="array" ref="L27">Fuel_InputFunctions.Fuel_TotalConsumption(Table_Input_Fuel[Amount consumed], Table_Input_Fuel[Fuel use (select)], D27, Table_Input_Fuel[Fuel type (select)],F27)</f>
        <v>0</v>
      </c>
      <c r="M27" s="60" t="str" cm="1">
        <f t="array" ref="M27">Common_InputFunctions.Utility_LookupValueInTable(F27,Table_FuelTypes_Units[Fuel type],Table_FuelTypes_Units[Unit])</f>
        <v>kL</v>
      </c>
      <c r="N27" s="105" cm="1">
        <f t="array" ref="N27">Fuel_Equations.VEERG_8_2_1_1__1_FuelCombustionStationary($L27,$G27,H27)</f>
        <v>0</v>
      </c>
      <c r="O27" s="105" cm="1">
        <f t="array" ref="O27">Fuel_Equations.VEERG_8_2_1_1__1_FuelCombustionStationary($L27,$G27,I27)</f>
        <v>0</v>
      </c>
      <c r="P27" s="105" cm="1">
        <f t="array" ref="P27">Fuel_Equations.VEERG_8_2_1_1__1_FuelCombustionStationary($L27,$G27,J27)</f>
        <v>0</v>
      </c>
      <c r="Q27" s="105" cm="1">
        <f t="array" ref="Q27">Fuel_Equations.VEERG_8_2_1_1__1_FuelCombustionStationary($L27,$G27,IF(ISNUMBER(K27), K27, 0))</f>
        <v>0</v>
      </c>
    </row>
    <row r="28" spans="1:17" ht="20.100000000000001" customHeight="1" x14ac:dyDescent="0.25">
      <c r="D28" s="84" t="str">
        <f t="shared" si="0"/>
        <v>Generators</v>
      </c>
      <c r="E28" s="83" t="str">
        <f>'Constants - Fuel'!$D$73</f>
        <v>Biodiesel</v>
      </c>
      <c r="F28" s="83" t="str">
        <f>'Constants - Fuel'!D134</f>
        <v>Biodiesel</v>
      </c>
      <c r="G28" s="30">
        <f>IFERROR(_xlfn.XLOOKUP($E28, Table_Fuel_EFs_StationaryLiquid[Fuel combusted], Table_Fuel_EFs_StationaryLiquid[Energy Content Factor (GJ per unit of fuel)]),0)</f>
        <v>34.6</v>
      </c>
      <c r="H28" s="30">
        <f>IFERROR(_xlfn.XLOOKUP($E28, Table_Fuel_EFs_StationaryLiquid[Fuel combusted], Table_Fuel_EFs_StationaryLiquid[Scope 1 Emission Factor (kg CO2 - e / GJ) CO2]),0)</f>
        <v>0</v>
      </c>
      <c r="I28" s="30">
        <f>IFERROR(_xlfn.XLOOKUP($E28, Table_Fuel_EFs_StationaryLiquid[Fuel combusted], Table_Fuel_EFs_StationaryLiquid[Scope 1 Emission Factor (kg CO2 - e / GJ) CH4]),0)</f>
        <v>0.08</v>
      </c>
      <c r="J28" s="30">
        <f>IFERROR(_xlfn.XLOOKUP($E28, Table_Fuel_EFs_StationaryLiquid[Fuel combusted], Table_Fuel_EFs_StationaryLiquid[Scope 1 Emission Factor (kg CO2 - e / GJ) N2O]),0)</f>
        <v>0.2</v>
      </c>
      <c r="K28" s="30" t="str">
        <f>IFERROR(_xlfn.XLOOKUP($E28, Table_Fuel_EFs_StationaryLiquid[Fuel combusted], Table_Fuel_EFs_StationaryLiquid[Scope 3 Emission Factor (kg CO2 - e / GJ)]),0)</f>
        <v>NE</v>
      </c>
      <c r="L28" s="60" cm="1">
        <f t="array" ref="L28">Fuel_InputFunctions.Fuel_TotalConsumption(Table_Input_Fuel[Amount consumed], Table_Input_Fuel[Fuel use (select)], D28, Table_Input_Fuel[Fuel type (select)],F28)</f>
        <v>0</v>
      </c>
      <c r="M28" s="60" t="str" cm="1">
        <f t="array" ref="M28">Common_InputFunctions.Utility_LookupValueInTable(F28,Table_FuelTypes_Units[Fuel type],Table_FuelTypes_Units[Unit])</f>
        <v>kL</v>
      </c>
      <c r="N28" s="105" cm="1">
        <f t="array" ref="N28">Fuel_Equations.VEERG_8_2_1_1__1_FuelCombustionStationary($L28,$G28,H28)</f>
        <v>0</v>
      </c>
      <c r="O28" s="105" cm="1">
        <f t="array" ref="O28">Fuel_Equations.VEERG_8_2_1_1__1_FuelCombustionStationary($L28,$G28,I28)</f>
        <v>0</v>
      </c>
      <c r="P28" s="105" cm="1">
        <f t="array" ref="P28">Fuel_Equations.VEERG_8_2_1_1__1_FuelCombustionStationary($L28,$G28,J28)</f>
        <v>0</v>
      </c>
      <c r="Q28" s="105" cm="1">
        <f t="array" ref="Q28">Fuel_Equations.VEERG_8_2_1_1__1_FuelCombustionStationary($L28,$G28,IF(ISNUMBER(K28), K28, 0))</f>
        <v>0</v>
      </c>
    </row>
    <row r="29" spans="1:17" ht="20.100000000000001" customHeight="1" x14ac:dyDescent="0.25">
      <c r="D29" s="84" t="str">
        <f t="shared" si="0"/>
        <v>Generators</v>
      </c>
      <c r="E29" s="83" t="str">
        <f>'Constants - Fuel'!$D$74</f>
        <v>Ethanol for use as a fuel in an internal combustion engine</v>
      </c>
      <c r="F29" s="83" t="str">
        <f>'Constants - Fuel'!D135</f>
        <v>Ethanol</v>
      </c>
      <c r="G29" s="30">
        <f>IFERROR(_xlfn.XLOOKUP($E29, Table_Fuel_EFs_StationaryLiquid[Fuel combusted], Table_Fuel_EFs_StationaryLiquid[Energy Content Factor (GJ per unit of fuel)]),0)</f>
        <v>23.4</v>
      </c>
      <c r="H29" s="30">
        <f>IFERROR(_xlfn.XLOOKUP($E29, Table_Fuel_EFs_StationaryLiquid[Fuel combusted], Table_Fuel_EFs_StationaryLiquid[Scope 1 Emission Factor (kg CO2 - e / GJ) CO2]),0)</f>
        <v>0</v>
      </c>
      <c r="I29" s="30">
        <f>IFERROR(_xlfn.XLOOKUP($E29, Table_Fuel_EFs_StationaryLiquid[Fuel combusted], Table_Fuel_EFs_StationaryLiquid[Scope 1 Emission Factor (kg CO2 - e / GJ) CH4]),0)</f>
        <v>0.08</v>
      </c>
      <c r="J29" s="30">
        <f>IFERROR(_xlfn.XLOOKUP($E29, Table_Fuel_EFs_StationaryLiquid[Fuel combusted], Table_Fuel_EFs_StationaryLiquid[Scope 1 Emission Factor (kg CO2 - e / GJ) N2O]),0)</f>
        <v>0.2</v>
      </c>
      <c r="K29" s="30" t="str">
        <f>IFERROR(_xlfn.XLOOKUP($E29, Table_Fuel_EFs_StationaryLiquid[Fuel combusted], Table_Fuel_EFs_StationaryLiquid[Scope 3 Emission Factor (kg CO2 - e / GJ)]),0)</f>
        <v>NE</v>
      </c>
      <c r="L29" s="60" cm="1">
        <f t="array" ref="L29">Fuel_InputFunctions.Fuel_TotalConsumption(Table_Input_Fuel[Amount consumed], Table_Input_Fuel[Fuel use (select)], D29, Table_Input_Fuel[Fuel type (select)],F29)</f>
        <v>0</v>
      </c>
      <c r="M29" s="60" t="str" cm="1">
        <f t="array" ref="M29">Common_InputFunctions.Utility_LookupValueInTable(F29,Table_FuelTypes_Units[Fuel type],Table_FuelTypes_Units[Unit])</f>
        <v>kL</v>
      </c>
      <c r="N29" s="105" cm="1">
        <f t="array" ref="N29">Fuel_Equations.VEERG_8_2_1_1__1_FuelCombustionStationary($L29,$G29,H29)</f>
        <v>0</v>
      </c>
      <c r="O29" s="105" cm="1">
        <f t="array" ref="O29">Fuel_Equations.VEERG_8_2_1_1__1_FuelCombustionStationary($L29,$G29,I29)</f>
        <v>0</v>
      </c>
      <c r="P29" s="105" cm="1">
        <f t="array" ref="P29">Fuel_Equations.VEERG_8_2_1_1__1_FuelCombustionStationary($L29,$G29,J29)</f>
        <v>0</v>
      </c>
      <c r="Q29" s="105" cm="1">
        <f t="array" ref="Q29">Fuel_Equations.VEERG_8_2_1_1__1_FuelCombustionStationary($L29,$G29,IF(ISNUMBER(K29), K29, 0))</f>
        <v>0</v>
      </c>
    </row>
    <row r="30" spans="1:17" ht="20.100000000000001" customHeight="1" x14ac:dyDescent="0.25">
      <c r="D30" s="84" t="str">
        <f t="shared" si="0"/>
        <v>Generators</v>
      </c>
      <c r="E30" s="83" t="str">
        <f>'Constants - Fuel'!$D$75</f>
        <v>Biofuels other than those mentioned in the items above and below</v>
      </c>
      <c r="F30" s="83" t="str">
        <f>'Constants - Fuel'!D136</f>
        <v>Other biofuels</v>
      </c>
      <c r="G30" s="30">
        <f>IFERROR(_xlfn.XLOOKUP($E30, Table_Fuel_EFs_StationaryLiquid[Fuel combusted], Table_Fuel_EFs_StationaryLiquid[Energy Content Factor (GJ per unit of fuel)]),0)</f>
        <v>23.4</v>
      </c>
      <c r="H30" s="30">
        <f>IFERROR(_xlfn.XLOOKUP($E30, Table_Fuel_EFs_StationaryLiquid[Fuel combusted], Table_Fuel_EFs_StationaryLiquid[Scope 1 Emission Factor (kg CO2 - e / GJ) CO2]),0)</f>
        <v>0</v>
      </c>
      <c r="I30" s="30">
        <f>IFERROR(_xlfn.XLOOKUP($E30, Table_Fuel_EFs_StationaryLiquid[Fuel combusted], Table_Fuel_EFs_StationaryLiquid[Scope 1 Emission Factor (kg CO2 - e / GJ) CH4]),0)</f>
        <v>0.08</v>
      </c>
      <c r="J30" s="30">
        <f>IFERROR(_xlfn.XLOOKUP($E30, Table_Fuel_EFs_StationaryLiquid[Fuel combusted], Table_Fuel_EFs_StationaryLiquid[Scope 1 Emission Factor (kg CO2 - e / GJ) N2O]),0)</f>
        <v>0.2</v>
      </c>
      <c r="K30" s="30" t="str">
        <f>IFERROR(_xlfn.XLOOKUP($E30, Table_Fuel_EFs_StationaryLiquid[Fuel combusted], Table_Fuel_EFs_StationaryLiquid[Scope 3 Emission Factor (kg CO2 - e / GJ)]),0)</f>
        <v>NE</v>
      </c>
      <c r="L30" s="60" cm="1">
        <f t="array" ref="L30">Fuel_InputFunctions.Fuel_TotalConsumption(Table_Input_Fuel[Amount consumed], Table_Input_Fuel[Fuel use (select)], D30, Table_Input_Fuel[Fuel type (select)],F30)</f>
        <v>0</v>
      </c>
      <c r="M30" s="60" t="str" cm="1">
        <f t="array" ref="M30">Common_InputFunctions.Utility_LookupValueInTable(F30,Table_FuelTypes_Units[Fuel type],Table_FuelTypes_Units[Unit])</f>
        <v>kL</v>
      </c>
      <c r="N30" s="105" cm="1">
        <f t="array" ref="N30">Fuel_Equations.VEERG_8_2_1_1__1_FuelCombustionStationary($L30,$G30,H30)</f>
        <v>0</v>
      </c>
      <c r="O30" s="105" cm="1">
        <f t="array" ref="O30">Fuel_Equations.VEERG_8_2_1_1__1_FuelCombustionStationary($L30,$G30,I30)</f>
        <v>0</v>
      </c>
      <c r="P30" s="105" cm="1">
        <f t="array" ref="P30">Fuel_Equations.VEERG_8_2_1_1__1_FuelCombustionStationary($L30,$G30,J30)</f>
        <v>0</v>
      </c>
      <c r="Q30" s="105" cm="1">
        <f t="array" ref="Q30">Fuel_Equations.VEERG_8_2_1_1__1_FuelCombustionStationary($L30,$G30,IF(ISNUMBER(K30), K30, 0))</f>
        <v>0</v>
      </c>
    </row>
    <row r="31" spans="1:17" ht="20.100000000000001" customHeight="1" x14ac:dyDescent="0.25">
      <c r="D31" s="84" t="str">
        <f t="shared" si="0"/>
        <v>Generators</v>
      </c>
      <c r="E31" s="83" t="str">
        <f>'Constants - Fuel'!$D$77</f>
        <v>Renewable diesel</v>
      </c>
      <c r="F31" s="83" t="str">
        <f>'Constants - Fuel'!D137</f>
        <v>Renewable diesel</v>
      </c>
      <c r="G31" s="97">
        <f>IFERROR(_xlfn.XLOOKUP($E31, Table_Fuel_EFs_StationaryLiquid[Fuel combusted], Table_Fuel_EFs_StationaryLiquid[Energy Content Factor (GJ per unit of fuel)]),0)</f>
        <v>38.6</v>
      </c>
      <c r="H31" s="97">
        <f>IFERROR(_xlfn.XLOOKUP($E31, Table_Fuel_EFs_StationaryLiquid[Fuel combusted], Table_Fuel_EFs_StationaryLiquid[Scope 1 Emission Factor (kg CO2 - e / GJ) CO2]),0)</f>
        <v>0</v>
      </c>
      <c r="I31" s="97">
        <f>IFERROR(_xlfn.XLOOKUP($E31, Table_Fuel_EFs_StationaryLiquid[Fuel combusted], Table_Fuel_EFs_StationaryLiquid[Scope 1 Emission Factor (kg CO2 - e / GJ) CH4]),0)</f>
        <v>0.1</v>
      </c>
      <c r="J31" s="97">
        <f>IFERROR(_xlfn.XLOOKUP($E31, Table_Fuel_EFs_StationaryLiquid[Fuel combusted], Table_Fuel_EFs_StationaryLiquid[Scope 1 Emission Factor (kg CO2 - e / GJ) N2O]),0)</f>
        <v>0.2</v>
      </c>
      <c r="K31" s="97" t="str">
        <f>IFERROR(_xlfn.XLOOKUP($E31, Table_Fuel_EFs_StationaryLiquid[Fuel combusted], Table_Fuel_EFs_StationaryLiquid[Scope 3 Emission Factor (kg CO2 - e / GJ)]),0)</f>
        <v>NE</v>
      </c>
      <c r="L31" s="85" cm="1">
        <f t="array" ref="L31">Fuel_InputFunctions.Fuel_TotalConsumption(Table_Input_Fuel[Amount consumed], Table_Input_Fuel[Fuel use (select)], D31, Table_Input_Fuel[Fuel type (select)],F31)</f>
        <v>0</v>
      </c>
      <c r="M31" s="85" t="str" cm="1">
        <f t="array" ref="M31">Common_InputFunctions.Utility_LookupValueInTable(F31,Table_FuelTypes_Units[Fuel type],Table_FuelTypes_Units[Unit])</f>
        <v>kL</v>
      </c>
      <c r="N31" s="106" cm="1">
        <f t="array" ref="N31">Fuel_Equations.VEERG_8_2_1_1__1_FuelCombustionStationary($L31,$G31,H31)</f>
        <v>0</v>
      </c>
      <c r="O31" s="106" cm="1">
        <f t="array" ref="O31">Fuel_Equations.VEERG_8_2_1_1__1_FuelCombustionStationary($L31,$G31,I31)</f>
        <v>0</v>
      </c>
      <c r="P31" s="106" cm="1">
        <f t="array" ref="P31">Fuel_Equations.VEERG_8_2_1_1__1_FuelCombustionStationary($L31,$G31,J31)</f>
        <v>0</v>
      </c>
      <c r="Q31" s="106" cm="1">
        <f t="array" ref="Q31">Fuel_Equations.VEERG_8_2_1_1__1_FuelCombustionStationary($L31,$G31,IF(ISNUMBER(K31), K31, 0))</f>
        <v>0</v>
      </c>
    </row>
    <row r="32" spans="1:17" ht="20.100000000000001" customHeight="1" x14ac:dyDescent="0.25">
      <c r="D32" s="86" t="str">
        <f>Table_FuelTypesPerUse[[#Headers],[Power standalone machinery or heating]]</f>
        <v>Power standalone machinery or heating</v>
      </c>
      <c r="E32" s="87" t="str">
        <f>'Constants - Fuel'!$D$58</f>
        <v>Automotive gasoline / petrol (other than for use as fuel in an aircraft)</v>
      </c>
      <c r="F32" s="87" t="str">
        <f>'Constants - Fuel'!E131</f>
        <v>Petrol</v>
      </c>
      <c r="G32" s="99">
        <f>IFERROR(_xlfn.XLOOKUP($E32, Table_Fuel_EFs_StationaryLiquid[Fuel combusted], Table_Fuel_EFs_StationaryLiquid[Energy Content Factor (GJ per unit of fuel)]),0)</f>
        <v>34.200000000000003</v>
      </c>
      <c r="H32" s="99">
        <f>IFERROR(_xlfn.XLOOKUP($E32, Table_Fuel_EFs_StationaryLiquid[Fuel combusted], Table_Fuel_EFs_StationaryLiquid[Scope 1 Emission Factor (kg CO2 - e / GJ) CO2]),0)</f>
        <v>67.400000000000006</v>
      </c>
      <c r="I32" s="99">
        <f>IFERROR(_xlfn.XLOOKUP($E32, Table_Fuel_EFs_StationaryLiquid[Fuel combusted], Table_Fuel_EFs_StationaryLiquid[Scope 1 Emission Factor (kg CO2 - e / GJ) CH4]),0)</f>
        <v>0.2</v>
      </c>
      <c r="J32" s="99">
        <f>IFERROR(_xlfn.XLOOKUP($E32, Table_Fuel_EFs_StationaryLiquid[Fuel combusted], Table_Fuel_EFs_StationaryLiquid[Scope 1 Emission Factor (kg CO2 - e / GJ) N2O]),0)</f>
        <v>0.2</v>
      </c>
      <c r="K32" s="99">
        <f>IFERROR(_xlfn.XLOOKUP($E32, Table_Fuel_EFs_StationaryLiquid[Fuel combusted], Table_Fuel_EFs_StationaryLiquid[Scope 3 Emission Factor (kg CO2 - e / GJ)]),0)</f>
        <v>17.2</v>
      </c>
      <c r="L32" s="100" cm="1">
        <f t="array" ref="L32">Fuel_InputFunctions.Fuel_TotalConsumption(Table_Input_Fuel[Amount consumed], Table_Input_Fuel[Fuel use (select)], D32, Table_Input_Fuel[Fuel type (select)],F32)</f>
        <v>10</v>
      </c>
      <c r="M32" s="88" t="str" cm="1">
        <f t="array" ref="M32">Common_InputFunctions.Utility_LookupValueInTable(F32,Table_FuelTypes_Units[Fuel type],Table_FuelTypes_Units[Unit])</f>
        <v>kL</v>
      </c>
      <c r="N32" s="107" cm="1">
        <f t="array" ref="N32">Fuel_Equations.VEERG_8_2_1_1__1_FuelCombustionStationary($L32,$G32,H32)</f>
        <v>23.050800000000002</v>
      </c>
      <c r="O32" s="107" cm="1">
        <f t="array" ref="O32">Fuel_Equations.VEERG_8_2_1_1__1_FuelCombustionStationary($L32,$G32,I32)</f>
        <v>6.8400000000000002E-2</v>
      </c>
      <c r="P32" s="107" cm="1">
        <f t="array" ref="P32">Fuel_Equations.VEERG_8_2_1_1__1_FuelCombustionStationary($L32,$G32,J32)</f>
        <v>6.8400000000000002E-2</v>
      </c>
      <c r="Q32" s="107" cm="1">
        <f t="array" ref="Q32">Fuel_Equations.VEERG_8_2_1_1__1_FuelCombustionStationary($L32,$G32,IF(ISNUMBER(K32), K32, 0))</f>
        <v>5.8823999999999996</v>
      </c>
    </row>
    <row r="33" spans="4:17" ht="20.100000000000001" customHeight="1" x14ac:dyDescent="0.25">
      <c r="D33" s="84" t="str">
        <f t="shared" ref="D33:D40" si="1">$D$32</f>
        <v>Power standalone machinery or heating</v>
      </c>
      <c r="E33" s="83" t="str">
        <f>'Constants - Fuel'!$D$63</f>
        <v>Diesel oil</v>
      </c>
      <c r="F33" s="83" t="str">
        <f>'Constants - Fuel'!E132</f>
        <v>Diesel</v>
      </c>
      <c r="G33" s="30">
        <f>IFERROR(_xlfn.XLOOKUP($E33, Table_Fuel_EFs_StationaryLiquid[Fuel combusted], Table_Fuel_EFs_StationaryLiquid[Energy Content Factor (GJ per unit of fuel)]),0)</f>
        <v>38.6</v>
      </c>
      <c r="H33" s="30">
        <f>IFERROR(_xlfn.XLOOKUP($E33, Table_Fuel_EFs_StationaryLiquid[Fuel combusted], Table_Fuel_EFs_StationaryLiquid[Scope 1 Emission Factor (kg CO2 - e / GJ) CO2]),0)</f>
        <v>69.900000000000006</v>
      </c>
      <c r="I33" s="30">
        <f>IFERROR(_xlfn.XLOOKUP($E33, Table_Fuel_EFs_StationaryLiquid[Fuel combusted], Table_Fuel_EFs_StationaryLiquid[Scope 1 Emission Factor (kg CO2 - e / GJ) CH4]),0)</f>
        <v>0.1</v>
      </c>
      <c r="J33" s="30">
        <f>IFERROR(_xlfn.XLOOKUP($E33, Table_Fuel_EFs_StationaryLiquid[Fuel combusted], Table_Fuel_EFs_StationaryLiquid[Scope 1 Emission Factor (kg CO2 - e / GJ) N2O]),0)</f>
        <v>0.2</v>
      </c>
      <c r="K33" s="30">
        <f>IFERROR(_xlfn.XLOOKUP($E33, Table_Fuel_EFs_StationaryLiquid[Fuel combusted], Table_Fuel_EFs_StationaryLiquid[Scope 3 Emission Factor (kg CO2 - e / GJ)]),0)</f>
        <v>17.3</v>
      </c>
      <c r="L33" s="30" cm="1">
        <f t="array" ref="L33">Fuel_InputFunctions.Fuel_TotalConsumption(Table_Input_Fuel[Amount consumed], Table_Input_Fuel[Fuel use (select)], D33, Table_Input_Fuel[Fuel type (select)],F33)</f>
        <v>0</v>
      </c>
      <c r="M33" s="30" t="str" cm="1">
        <f t="array" ref="M33">Common_InputFunctions.Utility_LookupValueInTable(F33,Table_FuelTypes_Units[Fuel type],Table_FuelTypes_Units[Unit])</f>
        <v>kL</v>
      </c>
      <c r="N33" s="105" cm="1">
        <f t="array" ref="N33">Fuel_Equations.VEERG_8_2_1_1__1_FuelCombustionStationary($L33,$G33,H33)</f>
        <v>0</v>
      </c>
      <c r="O33" s="105" cm="1">
        <f t="array" ref="O33">Fuel_Equations.VEERG_8_2_1_1__1_FuelCombustionStationary($L33,$G33,I33)</f>
        <v>0</v>
      </c>
      <c r="P33" s="105" cm="1">
        <f t="array" ref="P33">Fuel_Equations.VEERG_8_2_1_1__1_FuelCombustionStationary($L33,$G33,J33)</f>
        <v>0</v>
      </c>
      <c r="Q33" s="105" cm="1">
        <f t="array" ref="Q33">Fuel_Equations.VEERG_8_2_1_1__1_FuelCombustionStationary($L33,$G33,IF(ISNUMBER(K33), K33, 0))</f>
        <v>0</v>
      </c>
    </row>
    <row r="34" spans="4:17" ht="20.100000000000001" customHeight="1" x14ac:dyDescent="0.25">
      <c r="D34" s="84" t="str">
        <f t="shared" si="1"/>
        <v>Power standalone machinery or heating</v>
      </c>
      <c r="E34" s="83" t="str">
        <f>'Constants - Fuel'!$D$67</f>
        <v>Liquefied petroleum gas (LPG)</v>
      </c>
      <c r="F34" s="83" t="str">
        <f>'Constants - Fuel'!E133</f>
        <v>Liquefied petroleum gas (LPG)</v>
      </c>
      <c r="G34" s="30">
        <f>IFERROR(_xlfn.XLOOKUP($E34, Table_Fuel_EFs_StationaryLiquid[Fuel combusted], Table_Fuel_EFs_StationaryLiquid[Energy Content Factor (GJ per unit of fuel)]),0)</f>
        <v>25.7</v>
      </c>
      <c r="H34" s="30">
        <f>IFERROR(_xlfn.XLOOKUP($E34, Table_Fuel_EFs_StationaryLiquid[Fuel combusted], Table_Fuel_EFs_StationaryLiquid[Scope 1 Emission Factor (kg CO2 - e / GJ) CO2]),0)</f>
        <v>60.2</v>
      </c>
      <c r="I34" s="30">
        <f>IFERROR(_xlfn.XLOOKUP($E34, Table_Fuel_EFs_StationaryLiquid[Fuel combusted], Table_Fuel_EFs_StationaryLiquid[Scope 1 Emission Factor (kg CO2 - e / GJ) CH4]),0)</f>
        <v>0.2</v>
      </c>
      <c r="J34" s="30">
        <f>IFERROR(_xlfn.XLOOKUP($E34, Table_Fuel_EFs_StationaryLiquid[Fuel combusted], Table_Fuel_EFs_StationaryLiquid[Scope 1 Emission Factor (kg CO2 - e / GJ) N2O]),0)</f>
        <v>0.2</v>
      </c>
      <c r="K34" s="30">
        <f>IFERROR(_xlfn.XLOOKUP($E34, Table_Fuel_EFs_StationaryLiquid[Fuel combusted], Table_Fuel_EFs_StationaryLiquid[Scope 3 Emission Factor (kg CO2 - e / GJ)]),0)</f>
        <v>20.2</v>
      </c>
      <c r="L34" s="30" cm="1">
        <f t="array" ref="L34">Fuel_InputFunctions.Fuel_TotalConsumption(Table_Input_Fuel[Amount consumed], Table_Input_Fuel[Fuel use (select)], D34, Table_Input_Fuel[Fuel type (select)],F34)</f>
        <v>0</v>
      </c>
      <c r="M34" s="30" t="str" cm="1">
        <f t="array" ref="M34">Common_InputFunctions.Utility_LookupValueInTable(F34,Table_FuelTypes_Units[Fuel type],Table_FuelTypes_Units[Unit])</f>
        <v>kL</v>
      </c>
      <c r="N34" s="105" cm="1">
        <f t="array" ref="N34">Fuel_Equations.VEERG_8_2_1_1__1_FuelCombustionStationary($L34,$G34,H34)</f>
        <v>0</v>
      </c>
      <c r="O34" s="105" cm="1">
        <f t="array" ref="O34">Fuel_Equations.VEERG_8_2_1_1__1_FuelCombustionStationary($L34,$G34,I34)</f>
        <v>0</v>
      </c>
      <c r="P34" s="105" cm="1">
        <f t="array" ref="P34">Fuel_Equations.VEERG_8_2_1_1__1_FuelCombustionStationary($L34,$G34,J34)</f>
        <v>0</v>
      </c>
      <c r="Q34" s="105" cm="1">
        <f t="array" ref="Q34">Fuel_Equations.VEERG_8_2_1_1__1_FuelCombustionStationary($L34,$G34,IF(ISNUMBER(K34), K34, 0))</f>
        <v>0</v>
      </c>
    </row>
    <row r="35" spans="4:17" ht="20.100000000000001" customHeight="1" x14ac:dyDescent="0.25">
      <c r="D35" s="84" t="str">
        <f t="shared" si="1"/>
        <v>Power standalone machinery or heating</v>
      </c>
      <c r="E35" s="83" t="str">
        <f>'Constants - Fuel'!$D$73</f>
        <v>Biodiesel</v>
      </c>
      <c r="F35" s="83" t="str">
        <f>'Constants - Fuel'!E134</f>
        <v>Biodiesel</v>
      </c>
      <c r="G35" s="30">
        <f>IFERROR(_xlfn.XLOOKUP($E35, Table_Fuel_EFs_StationaryLiquid[Fuel combusted], Table_Fuel_EFs_StationaryLiquid[Energy Content Factor (GJ per unit of fuel)]),0)</f>
        <v>34.6</v>
      </c>
      <c r="H35" s="30">
        <f>IFERROR(_xlfn.XLOOKUP($E35, Table_Fuel_EFs_StationaryLiquid[Fuel combusted], Table_Fuel_EFs_StationaryLiquid[Scope 1 Emission Factor (kg CO2 - e / GJ) CO2]),0)</f>
        <v>0</v>
      </c>
      <c r="I35" s="30">
        <f>IFERROR(_xlfn.XLOOKUP($E35, Table_Fuel_EFs_StationaryLiquid[Fuel combusted], Table_Fuel_EFs_StationaryLiquid[Scope 1 Emission Factor (kg CO2 - e / GJ) CH4]),0)</f>
        <v>0.08</v>
      </c>
      <c r="J35" s="30">
        <f>IFERROR(_xlfn.XLOOKUP($E35, Table_Fuel_EFs_StationaryLiquid[Fuel combusted], Table_Fuel_EFs_StationaryLiquid[Scope 1 Emission Factor (kg CO2 - e / GJ) N2O]),0)</f>
        <v>0.2</v>
      </c>
      <c r="K35" s="30" t="str">
        <f>IFERROR(_xlfn.XLOOKUP($E35, Table_Fuel_EFs_StationaryLiquid[Fuel combusted], Table_Fuel_EFs_StationaryLiquid[Scope 3 Emission Factor (kg CO2 - e / GJ)]),0)</f>
        <v>NE</v>
      </c>
      <c r="L35" s="30" cm="1">
        <f t="array" ref="L35">Fuel_InputFunctions.Fuel_TotalConsumption(Table_Input_Fuel[Amount consumed], Table_Input_Fuel[Fuel use (select)], D35, Table_Input_Fuel[Fuel type (select)],F35)</f>
        <v>0</v>
      </c>
      <c r="M35" s="30" t="str" cm="1">
        <f t="array" ref="M35">Common_InputFunctions.Utility_LookupValueInTable(F35,Table_FuelTypes_Units[Fuel type],Table_FuelTypes_Units[Unit])</f>
        <v>kL</v>
      </c>
      <c r="N35" s="105" cm="1">
        <f t="array" ref="N35">Fuel_Equations.VEERG_8_2_1_1__1_FuelCombustionStationary($L35,$G35,H35)</f>
        <v>0</v>
      </c>
      <c r="O35" s="105" cm="1">
        <f t="array" ref="O35">Fuel_Equations.VEERG_8_2_1_1__1_FuelCombustionStationary($L35,$G35,I35)</f>
        <v>0</v>
      </c>
      <c r="P35" s="105" cm="1">
        <f t="array" ref="P35">Fuel_Equations.VEERG_8_2_1_1__1_FuelCombustionStationary($L35,$G35,J35)</f>
        <v>0</v>
      </c>
      <c r="Q35" s="105" cm="1">
        <f t="array" ref="Q35">Fuel_Equations.VEERG_8_2_1_1__1_FuelCombustionStationary($L35,$G35,IF(ISNUMBER(K35), K35, 0))</f>
        <v>0</v>
      </c>
    </row>
    <row r="36" spans="4:17" ht="20.100000000000001" customHeight="1" x14ac:dyDescent="0.25">
      <c r="D36" s="84" t="str">
        <f t="shared" si="1"/>
        <v>Power standalone machinery or heating</v>
      </c>
      <c r="E36" s="83" t="str">
        <f>'Constants - Fuel'!$D$74</f>
        <v>Ethanol for use as a fuel in an internal combustion engine</v>
      </c>
      <c r="F36" s="83" t="str">
        <f>'Constants - Fuel'!E135</f>
        <v>Ethanol</v>
      </c>
      <c r="G36" s="30">
        <f>IFERROR(_xlfn.XLOOKUP($E36, Table_Fuel_EFs_StationaryLiquid[Fuel combusted], Table_Fuel_EFs_StationaryLiquid[Energy Content Factor (GJ per unit of fuel)]),0)</f>
        <v>23.4</v>
      </c>
      <c r="H36" s="30">
        <f>IFERROR(_xlfn.XLOOKUP($E36, Table_Fuel_EFs_StationaryLiquid[Fuel combusted], Table_Fuel_EFs_StationaryLiquid[Scope 1 Emission Factor (kg CO2 - e / GJ) CO2]),0)</f>
        <v>0</v>
      </c>
      <c r="I36" s="30">
        <f>IFERROR(_xlfn.XLOOKUP($E36, Table_Fuel_EFs_StationaryLiquid[Fuel combusted], Table_Fuel_EFs_StationaryLiquid[Scope 1 Emission Factor (kg CO2 - e / GJ) CH4]),0)</f>
        <v>0.08</v>
      </c>
      <c r="J36" s="30">
        <f>IFERROR(_xlfn.XLOOKUP($E36, Table_Fuel_EFs_StationaryLiquid[Fuel combusted], Table_Fuel_EFs_StationaryLiquid[Scope 1 Emission Factor (kg CO2 - e / GJ) N2O]),0)</f>
        <v>0.2</v>
      </c>
      <c r="K36" s="30" t="str">
        <f>IFERROR(_xlfn.XLOOKUP($E36, Table_Fuel_EFs_StationaryLiquid[Fuel combusted], Table_Fuel_EFs_StationaryLiquid[Scope 3 Emission Factor (kg CO2 - e / GJ)]),0)</f>
        <v>NE</v>
      </c>
      <c r="L36" s="30" cm="1">
        <f t="array" ref="L36">Fuel_InputFunctions.Fuel_TotalConsumption(Table_Input_Fuel[Amount consumed], Table_Input_Fuel[Fuel use (select)], D36, Table_Input_Fuel[Fuel type (select)],F36)</f>
        <v>0</v>
      </c>
      <c r="M36" s="30" t="str" cm="1">
        <f t="array" ref="M36">Common_InputFunctions.Utility_LookupValueInTable(F36,Table_FuelTypes_Units[Fuel type],Table_FuelTypes_Units[Unit])</f>
        <v>kL</v>
      </c>
      <c r="N36" s="105" cm="1">
        <f t="array" ref="N36">Fuel_Equations.VEERG_8_2_1_1__1_FuelCombustionStationary($L36,$G36,H36)</f>
        <v>0</v>
      </c>
      <c r="O36" s="105" cm="1">
        <f t="array" ref="O36">Fuel_Equations.VEERG_8_2_1_1__1_FuelCombustionStationary($L36,$G36,I36)</f>
        <v>0</v>
      </c>
      <c r="P36" s="105" cm="1">
        <f t="array" ref="P36">Fuel_Equations.VEERG_8_2_1_1__1_FuelCombustionStationary($L36,$G36,J36)</f>
        <v>0</v>
      </c>
      <c r="Q36" s="105" cm="1">
        <f t="array" ref="Q36">Fuel_Equations.VEERG_8_2_1_1__1_FuelCombustionStationary($L36,$G36,IF(ISNUMBER(K36), K36, 0))</f>
        <v>0</v>
      </c>
    </row>
    <row r="37" spans="4:17" ht="20.100000000000001" customHeight="1" x14ac:dyDescent="0.25">
      <c r="D37" s="84" t="str">
        <f t="shared" si="1"/>
        <v>Power standalone machinery or heating</v>
      </c>
      <c r="E37" s="83" t="str">
        <f>'Constants - Fuel'!$D$75</f>
        <v>Biofuels other than those mentioned in the items above and below</v>
      </c>
      <c r="F37" s="83" t="str">
        <f>'Constants - Fuel'!E136</f>
        <v>Other biofuels</v>
      </c>
      <c r="G37" s="30">
        <f>IFERROR(_xlfn.XLOOKUP($E37, Table_Fuel_EFs_StationaryLiquid[Fuel combusted], Table_Fuel_EFs_StationaryLiquid[Energy Content Factor (GJ per unit of fuel)]),0)</f>
        <v>23.4</v>
      </c>
      <c r="H37" s="30">
        <f>IFERROR(_xlfn.XLOOKUP($E37, Table_Fuel_EFs_StationaryLiquid[Fuel combusted], Table_Fuel_EFs_StationaryLiquid[Scope 1 Emission Factor (kg CO2 - e / GJ) CO2]),0)</f>
        <v>0</v>
      </c>
      <c r="I37" s="30">
        <f>IFERROR(_xlfn.XLOOKUP($E37, Table_Fuel_EFs_StationaryLiquid[Fuel combusted], Table_Fuel_EFs_StationaryLiquid[Scope 1 Emission Factor (kg CO2 - e / GJ) CH4]),0)</f>
        <v>0.08</v>
      </c>
      <c r="J37" s="30">
        <f>IFERROR(_xlfn.XLOOKUP($E37, Table_Fuel_EFs_StationaryLiquid[Fuel combusted], Table_Fuel_EFs_StationaryLiquid[Scope 1 Emission Factor (kg CO2 - e / GJ) N2O]),0)</f>
        <v>0.2</v>
      </c>
      <c r="K37" s="30" t="str">
        <f>IFERROR(_xlfn.XLOOKUP($E37, Table_Fuel_EFs_StationaryLiquid[Fuel combusted], Table_Fuel_EFs_StationaryLiquid[Scope 3 Emission Factor (kg CO2 - e / GJ)]),0)</f>
        <v>NE</v>
      </c>
      <c r="L37" s="30" cm="1">
        <f t="array" ref="L37">Fuel_InputFunctions.Fuel_TotalConsumption(Table_Input_Fuel[Amount consumed], Table_Input_Fuel[Fuel use (select)], D37, Table_Input_Fuel[Fuel type (select)],F37)</f>
        <v>0</v>
      </c>
      <c r="M37" s="30" t="str" cm="1">
        <f t="array" ref="M37">Common_InputFunctions.Utility_LookupValueInTable(F37,Table_FuelTypes_Units[Fuel type],Table_FuelTypes_Units[Unit])</f>
        <v>kL</v>
      </c>
      <c r="N37" s="105" cm="1">
        <f t="array" ref="N37">Fuel_Equations.VEERG_8_2_1_1__1_FuelCombustionStationary($L37,$G37,H37)</f>
        <v>0</v>
      </c>
      <c r="O37" s="105" cm="1">
        <f t="array" ref="O37">Fuel_Equations.VEERG_8_2_1_1__1_FuelCombustionStationary($L37,$G37,I37)</f>
        <v>0</v>
      </c>
      <c r="P37" s="105" cm="1">
        <f t="array" ref="P37">Fuel_Equations.VEERG_8_2_1_1__1_FuelCombustionStationary($L37,$G37,J37)</f>
        <v>0</v>
      </c>
      <c r="Q37" s="105" cm="1">
        <f t="array" ref="Q37">Fuel_Equations.VEERG_8_2_1_1__1_FuelCombustionStationary($L37,$G37,IF(ISNUMBER(K37), K37, 0))</f>
        <v>0</v>
      </c>
    </row>
    <row r="38" spans="4:17" ht="20.100000000000001" customHeight="1" x14ac:dyDescent="0.25">
      <c r="D38" s="84" t="str">
        <f t="shared" si="1"/>
        <v>Power standalone machinery or heating</v>
      </c>
      <c r="E38" s="83" t="str">
        <f>'Constants - Fuel'!$D$77</f>
        <v>Renewable diesel</v>
      </c>
      <c r="F38" s="83" t="str">
        <f>'Constants - Fuel'!E137</f>
        <v>Renewable diesel</v>
      </c>
      <c r="G38" s="30">
        <f>IFERROR(_xlfn.XLOOKUP($E38, Table_Fuel_EFs_StationaryLiquid[Fuel combusted], Table_Fuel_EFs_StationaryLiquid[Energy Content Factor (GJ per unit of fuel)]),0)</f>
        <v>38.6</v>
      </c>
      <c r="H38" s="30">
        <f>IFERROR(_xlfn.XLOOKUP($E38, Table_Fuel_EFs_StationaryLiquid[Fuel combusted], Table_Fuel_EFs_StationaryLiquid[Scope 1 Emission Factor (kg CO2 - e / GJ) CO2]),0)</f>
        <v>0</v>
      </c>
      <c r="I38" s="30">
        <f>IFERROR(_xlfn.XLOOKUP($E38, Table_Fuel_EFs_StationaryLiquid[Fuel combusted], Table_Fuel_EFs_StationaryLiquid[Scope 1 Emission Factor (kg CO2 - e / GJ) CH4]),0)</f>
        <v>0.1</v>
      </c>
      <c r="J38" s="30">
        <f>IFERROR(_xlfn.XLOOKUP($E38, Table_Fuel_EFs_StationaryLiquid[Fuel combusted], Table_Fuel_EFs_StationaryLiquid[Scope 1 Emission Factor (kg CO2 - e / GJ) N2O]),0)</f>
        <v>0.2</v>
      </c>
      <c r="K38" s="30" t="str">
        <f>IFERROR(_xlfn.XLOOKUP($E38, Table_Fuel_EFs_StationaryLiquid[Fuel combusted], Table_Fuel_EFs_StationaryLiquid[Scope 3 Emission Factor (kg CO2 - e / GJ)]),0)</f>
        <v>NE</v>
      </c>
      <c r="L38" s="30" cm="1">
        <f t="array" ref="L38">Fuel_InputFunctions.Fuel_TotalConsumption(Table_Input_Fuel[Amount consumed], Table_Input_Fuel[Fuel use (select)], D38, Table_Input_Fuel[Fuel type (select)],F38)</f>
        <v>0</v>
      </c>
      <c r="M38" s="30" t="str" cm="1">
        <f t="array" ref="M38">Common_InputFunctions.Utility_LookupValueInTable(F38,Table_FuelTypes_Units[Fuel type],Table_FuelTypes_Units[Unit])</f>
        <v>kL</v>
      </c>
      <c r="N38" s="105" cm="1">
        <f t="array" ref="N38">Fuel_Equations.VEERG_8_2_1_1__1_FuelCombustionStationary($L38,$G38,H38)</f>
        <v>0</v>
      </c>
      <c r="O38" s="105" cm="1">
        <f t="array" ref="O38">Fuel_Equations.VEERG_8_2_1_1__1_FuelCombustionStationary($L38,$G38,I38)</f>
        <v>0</v>
      </c>
      <c r="P38" s="105" cm="1">
        <f t="array" ref="P38">Fuel_Equations.VEERG_8_2_1_1__1_FuelCombustionStationary($L38,$G38,J38)</f>
        <v>0</v>
      </c>
      <c r="Q38" s="105" cm="1">
        <f t="array" ref="Q38">Fuel_Equations.VEERG_8_2_1_1__1_FuelCombustionStationary($L38,$G38,IF(ISNUMBER(K38), K38, 0))</f>
        <v>0</v>
      </c>
    </row>
    <row r="39" spans="4:17" ht="20.100000000000001" customHeight="1" x14ac:dyDescent="0.25">
      <c r="D39" s="84" t="str">
        <f t="shared" si="1"/>
        <v>Power standalone machinery or heating</v>
      </c>
      <c r="E39" s="83" t="str">
        <f>'Constants - Fuel'!$D$103</f>
        <v>Natural gas distributed in a pipeline - Gigajoules</v>
      </c>
      <c r="F39" s="83" t="str">
        <f>'Constants - Fuel'!E138</f>
        <v>Natural gas (via pipeline) in GJ</v>
      </c>
      <c r="G39" s="30">
        <f>IFERROR(_xlfn.XLOOKUP($E39, Table_Fuel_EFs_StationaryGaseous[Fuel combusted], Table_Fuel_EFs_StationaryGaseous[Energy Content Factor (GJ per unit of fuel)]),0)</f>
        <v>1</v>
      </c>
      <c r="H39" s="30">
        <f>IFERROR(_xlfn.XLOOKUP($E39, Table_Fuel_EFs_StationaryGaseous[Fuel combusted], Table_Fuel_EFs_StationaryGaseous[Scope 1 Emission Factor (kg CO2 - e / GJ) CO2]),0)</f>
        <v>51.4</v>
      </c>
      <c r="I39" s="30">
        <f>IFERROR(_xlfn.XLOOKUP($E39, Table_Fuel_EFs_StationaryGaseous[Fuel combusted], Table_Fuel_EFs_StationaryGaseous[Scope 1 Emission Factor (kg CO2 - e / GJ) CH4]),0)</f>
        <v>0.1</v>
      </c>
      <c r="J39" s="30">
        <f>IFERROR(_xlfn.XLOOKUP($E39, Table_Fuel_EFs_StationaryGaseous[Fuel combusted], Table_Fuel_EFs_StationaryGaseous[Scope 1 Emission Factor (kg CO2 - e / GJ) N2O]),0)</f>
        <v>0.03</v>
      </c>
      <c r="K39" s="30" cm="1">
        <f t="array" ref="K39">IFERROR(Common_InputFunctions.Utility_LookupValueInTableOneColumnAndHeader($P$17,$P$18,Table_Fuel_EFs_StationaryGaseous34[State or territory],Table_Fuel_EFs_StationaryGaseous34[#Headers],Table_Fuel_EFs_StationaryGaseous34[]),0)</f>
        <v>4.0999999999999996</v>
      </c>
      <c r="L39" s="60" cm="1">
        <f t="array" ref="L39">Fuel_InputFunctions.Fuel_TotalConsumption(Table_Input_Fuel[Amount consumed], Table_Input_Fuel[Fuel use (select)], D39, Table_Input_Fuel[Fuel type (select)],F39)</f>
        <v>0</v>
      </c>
      <c r="M39" s="60" t="str" cm="1">
        <f t="array" ref="M39">Common_InputFunctions.Utility_LookupValueInTable(F39,Table_FuelTypes_Units[Fuel type],Table_FuelTypes_Units[Unit])</f>
        <v>GJ</v>
      </c>
      <c r="N39" s="105" cm="1">
        <f t="array" ref="N39">Fuel_Equations.VEERG_8_2_1_1__1_FuelCombustionStationary($L39,$G39,H39)</f>
        <v>0</v>
      </c>
      <c r="O39" s="105" cm="1">
        <f t="array" ref="O39">Fuel_Equations.VEERG_8_2_1_1__1_FuelCombustionStationary($L39,$G39,I39)</f>
        <v>0</v>
      </c>
      <c r="P39" s="105" cm="1">
        <f t="array" ref="P39">Fuel_Equations.VEERG_8_2_1_1__1_FuelCombustionStationary($L39,$G39,J39)</f>
        <v>0</v>
      </c>
      <c r="Q39" s="105" cm="1">
        <f t="array" ref="Q39">Fuel_Equations.VEERG_8_2_1_1__1_FuelCombustionStationary($L39,$G39,IF(ISNUMBER(K39), K39, 0))</f>
        <v>0</v>
      </c>
    </row>
    <row r="40" spans="4:17" ht="20.100000000000001" customHeight="1" x14ac:dyDescent="0.25">
      <c r="D40" s="84" t="str">
        <f t="shared" si="1"/>
        <v>Power standalone machinery or heating</v>
      </c>
      <c r="E40" s="83" t="str">
        <f>'Constants - Fuel'!$D$104</f>
        <v>Town gas - Gigajoules</v>
      </c>
      <c r="F40" s="83" t="str">
        <f>'Constants - Fuel'!E139</f>
        <v>Town gas in GJ</v>
      </c>
      <c r="G40" s="30">
        <f>IFERROR(_xlfn.XLOOKUP($E40, Table_Fuel_EFs_StationaryGaseous[Fuel combusted], Table_Fuel_EFs_StationaryGaseous[Energy Content Factor (GJ per unit of fuel)]),0)</f>
        <v>1</v>
      </c>
      <c r="H40" s="30">
        <f>IFERROR(_xlfn.XLOOKUP($E40, Table_Fuel_EFs_StationaryGaseous[Fuel combusted], Table_Fuel_EFs_StationaryGaseous[Scope 1 Emission Factor (kg CO2 - e / GJ) CO2]),0)</f>
        <v>60.2</v>
      </c>
      <c r="I40" s="30">
        <f>IFERROR(_xlfn.XLOOKUP($E40, Table_Fuel_EFs_StationaryGaseous[Fuel combusted], Table_Fuel_EFs_StationaryGaseous[Scope 1 Emission Factor (kg CO2 - e / GJ) CH4]),0)</f>
        <v>0.04</v>
      </c>
      <c r="J40" s="30">
        <f>IFERROR(_xlfn.XLOOKUP($E40, Table_Fuel_EFs_StationaryGaseous[Fuel combusted], Table_Fuel_EFs_StationaryGaseous[Scope 1 Emission Factor (kg CO2 - e / GJ) N2O]),0)</f>
        <v>0.03</v>
      </c>
      <c r="K40" s="30" cm="1">
        <f t="array" ref="K40">IFERROR(Common_InputFunctions.Utility_LookupValueInTableOneColumnAndHeader($P$17,$P$18,Table_Fuel_EFs_StationaryGaseous34[State or territory],Table_Fuel_EFs_StationaryGaseous34[#Headers],Table_Fuel_EFs_StationaryGaseous34[]),0)</f>
        <v>4.0999999999999996</v>
      </c>
      <c r="L40" s="60" cm="1">
        <f t="array" ref="L40">Fuel_InputFunctions.Fuel_TotalConsumption(Table_Input_Fuel[Amount consumed], Table_Input_Fuel[Fuel use (select)], D40, Table_Input_Fuel[Fuel type (select)],F40)</f>
        <v>100</v>
      </c>
      <c r="M40" s="60" t="str" cm="1">
        <f t="array" ref="M40">Common_InputFunctions.Utility_LookupValueInTable(F40,Table_FuelTypes_Units[Fuel type],Table_FuelTypes_Units[Unit])</f>
        <v>GJ</v>
      </c>
      <c r="N40" s="105" cm="1">
        <f t="array" ref="N40">Fuel_Equations.VEERG_8_2_1_1__1_FuelCombustionStationary($L40,$G40,H40)</f>
        <v>6.0200000000000005</v>
      </c>
      <c r="O40" s="105" cm="1">
        <f t="array" ref="O40">Fuel_Equations.VEERG_8_2_1_1__1_FuelCombustionStationary($L40,$G40,I40)</f>
        <v>4.0000000000000001E-3</v>
      </c>
      <c r="P40" s="105" cm="1">
        <f t="array" ref="P40">Fuel_Equations.VEERG_8_2_1_1__1_FuelCombustionStationary($L40,$G40,J40)</f>
        <v>3.0000000000000001E-3</v>
      </c>
      <c r="Q40" s="105" cm="1">
        <f t="array" ref="Q40">Fuel_Equations.VEERG_8_2_1_1__1_FuelCombustionStationary($L40,$G40,IF(ISNUMBER(K40), K40, 0))</f>
        <v>0.41</v>
      </c>
    </row>
    <row r="41" spans="4:17" ht="20.100000000000001" customHeight="1" x14ac:dyDescent="0.25"/>
    <row r="42" spans="4:17" ht="20.100000000000001" customHeight="1" x14ac:dyDescent="0.25">
      <c r="D42" s="90" t="str">
        <f>"Total scope 1 - " &amp; D25</f>
        <v>Total scope 1 - Generators</v>
      </c>
      <c r="E42" s="91"/>
      <c r="F42" s="92"/>
    </row>
    <row r="43" spans="4:17" ht="20.100000000000001" customHeight="1" x14ac:dyDescent="0.25">
      <c r="D43" s="3" t="s">
        <v>155</v>
      </c>
      <c r="E43" s="101">
        <f>SUM(N25:N31)+N("Partial sum")</f>
        <v>0</v>
      </c>
      <c r="F43" s="2" t="str">
        <f>$E$12</f>
        <v>t CO2-e</v>
      </c>
    </row>
    <row r="44" spans="4:17" ht="20.100000000000001" customHeight="1" x14ac:dyDescent="0.25">
      <c r="D44" s="3" t="s">
        <v>156</v>
      </c>
      <c r="E44" s="101">
        <f>SUM(O25:O31)+N("Partial sum")</f>
        <v>0</v>
      </c>
      <c r="F44" s="2" t="str">
        <f t="shared" ref="F44:F46" si="2">$E$12</f>
        <v>t CO2-e</v>
      </c>
    </row>
    <row r="45" spans="4:17" ht="20.100000000000001" customHeight="1" x14ac:dyDescent="0.25">
      <c r="D45" s="3" t="s">
        <v>157</v>
      </c>
      <c r="E45" s="101">
        <f>SUM(P25:P31)+N("Partial sum")</f>
        <v>0</v>
      </c>
      <c r="F45" s="2" t="str">
        <f t="shared" si="2"/>
        <v>t CO2-e</v>
      </c>
    </row>
    <row r="46" spans="4:17" ht="20.100000000000001" customHeight="1" x14ac:dyDescent="0.25">
      <c r="D46" s="3" t="s">
        <v>180</v>
      </c>
      <c r="E46" s="101">
        <f>SUM(Q25:Q31)+N("Partial sum")</f>
        <v>0</v>
      </c>
      <c r="F46" s="2" t="str">
        <f t="shared" si="2"/>
        <v>t CO2-e</v>
      </c>
    </row>
    <row r="47" spans="4:17" ht="20.100000000000001" customHeight="1" x14ac:dyDescent="0.25">
      <c r="H47" s="50"/>
      <c r="I47" s="50"/>
      <c r="J47" s="50"/>
      <c r="L47" s="50"/>
      <c r="N47" s="50"/>
      <c r="O47" s="50"/>
      <c r="P47" s="50"/>
      <c r="Q47" s="50"/>
    </row>
    <row r="48" spans="4:17" ht="20.100000000000001" customHeight="1" x14ac:dyDescent="0.25">
      <c r="D48" s="90" t="str">
        <f>"Total scope 1 - " &amp; D32</f>
        <v>Total scope 1 - Power standalone machinery or heating</v>
      </c>
      <c r="E48" s="93"/>
      <c r="F48" s="92"/>
      <c r="H48" s="50"/>
      <c r="I48" s="50"/>
      <c r="J48" s="50"/>
      <c r="L48" s="50"/>
      <c r="N48" s="50"/>
      <c r="O48" s="50"/>
      <c r="P48" s="50"/>
      <c r="Q48" s="50"/>
    </row>
    <row r="49" spans="4:17" ht="20.100000000000001" customHeight="1" x14ac:dyDescent="0.25">
      <c r="D49" s="3" t="s">
        <v>155</v>
      </c>
      <c r="E49" s="101">
        <f>SUM(N32:N40)+N("Partial sum")</f>
        <v>29.070800000000002</v>
      </c>
      <c r="F49" s="2" t="str">
        <f t="shared" ref="F49:F52" si="3">$E$12</f>
        <v>t CO2-e</v>
      </c>
      <c r="H49" s="50"/>
      <c r="I49" s="50"/>
      <c r="J49" s="50"/>
      <c r="L49" s="50"/>
      <c r="N49" s="50"/>
      <c r="O49" s="50"/>
      <c r="P49" s="50"/>
      <c r="Q49" s="50"/>
    </row>
    <row r="50" spans="4:17" ht="20.100000000000001" customHeight="1" x14ac:dyDescent="0.25">
      <c r="D50" s="3" t="s">
        <v>156</v>
      </c>
      <c r="E50" s="101">
        <f>SUM(O32:O40)+N("Partial sum")</f>
        <v>7.2400000000000006E-2</v>
      </c>
      <c r="F50" s="2" t="str">
        <f t="shared" si="3"/>
        <v>t CO2-e</v>
      </c>
      <c r="H50" s="50"/>
      <c r="I50" s="50"/>
      <c r="J50" s="50"/>
      <c r="L50" s="50"/>
      <c r="N50" s="50"/>
      <c r="O50" s="50"/>
      <c r="P50" s="50"/>
      <c r="Q50" s="50"/>
    </row>
    <row r="51" spans="4:17" ht="20.100000000000001" customHeight="1" x14ac:dyDescent="0.25">
      <c r="D51" s="3" t="s">
        <v>157</v>
      </c>
      <c r="E51" s="101">
        <f>SUM(P32:P40)+N("Partial sum")</f>
        <v>7.1400000000000005E-2</v>
      </c>
      <c r="F51" s="2" t="str">
        <f t="shared" si="3"/>
        <v>t CO2-e</v>
      </c>
      <c r="H51" s="50"/>
      <c r="I51" s="50"/>
      <c r="J51" s="50"/>
      <c r="L51" s="50"/>
      <c r="N51" s="50"/>
      <c r="O51" s="50"/>
      <c r="P51" s="50"/>
      <c r="Q51" s="50"/>
    </row>
    <row r="52" spans="4:17" ht="20.100000000000001" customHeight="1" x14ac:dyDescent="0.25">
      <c r="D52" s="3" t="s">
        <v>180</v>
      </c>
      <c r="E52" s="101">
        <f>SUM(Q32:Q40)+N("Partial sum")</f>
        <v>6.2923999999999998</v>
      </c>
      <c r="F52" s="2" t="str">
        <f t="shared" si="3"/>
        <v>t CO2-e</v>
      </c>
      <c r="G52" s="50"/>
      <c r="H52" s="50"/>
      <c r="I52" s="50"/>
      <c r="J52" s="50"/>
      <c r="L52" s="50"/>
      <c r="N52" s="50"/>
      <c r="O52" s="50"/>
      <c r="P52" s="50"/>
      <c r="Q52" s="50"/>
    </row>
    <row r="53" spans="4:17" ht="20.100000000000001" customHeight="1" x14ac:dyDescent="0.25">
      <c r="G53" s="50"/>
      <c r="H53" s="50"/>
      <c r="I53" s="50"/>
      <c r="J53" s="50"/>
      <c r="L53" s="50"/>
      <c r="N53" s="50"/>
      <c r="O53" s="50"/>
      <c r="P53" s="50"/>
      <c r="Q53" s="50"/>
    </row>
    <row r="54" spans="4:17" ht="20.100000000000001" customHeight="1" x14ac:dyDescent="0.25">
      <c r="D54" s="90" t="s">
        <v>174</v>
      </c>
      <c r="E54" s="93"/>
      <c r="F54" s="92"/>
      <c r="G54" s="50"/>
      <c r="H54" s="50"/>
      <c r="I54" s="50"/>
      <c r="J54" s="50"/>
      <c r="L54" s="50"/>
      <c r="N54" s="50"/>
      <c r="O54" s="50"/>
      <c r="P54" s="50"/>
      <c r="Q54" s="50"/>
    </row>
    <row r="55" spans="4:17" ht="20.100000000000001" customHeight="1" x14ac:dyDescent="0.25">
      <c r="D55" s="3" t="s">
        <v>155</v>
      </c>
      <c r="E55" s="101">
        <f>E43+E49</f>
        <v>29.070800000000002</v>
      </c>
      <c r="F55" s="2" t="str">
        <f t="shared" ref="F55:F58" si="4">$E$12</f>
        <v>t CO2-e</v>
      </c>
      <c r="G55" s="50"/>
      <c r="H55" s="50"/>
      <c r="I55" s="50"/>
      <c r="J55" s="50"/>
      <c r="L55" s="50"/>
      <c r="N55" s="50"/>
      <c r="O55" s="50"/>
      <c r="P55" s="50"/>
      <c r="Q55" s="50"/>
    </row>
    <row r="56" spans="4:17" ht="20.100000000000001" customHeight="1" x14ac:dyDescent="0.25">
      <c r="D56" s="3" t="s">
        <v>156</v>
      </c>
      <c r="E56" s="101">
        <f>E44+E50</f>
        <v>7.2400000000000006E-2</v>
      </c>
      <c r="F56" s="2" t="str">
        <f t="shared" si="4"/>
        <v>t CO2-e</v>
      </c>
      <c r="H56" s="50"/>
    </row>
    <row r="57" spans="4:17" ht="20.100000000000001" customHeight="1" x14ac:dyDescent="0.25">
      <c r="D57" s="3" t="s">
        <v>157</v>
      </c>
      <c r="E57" s="101">
        <f>E45+E51</f>
        <v>7.1400000000000005E-2</v>
      </c>
      <c r="F57" s="2" t="str">
        <f t="shared" si="4"/>
        <v>t CO2-e</v>
      </c>
      <c r="G57" s="50"/>
      <c r="H57" s="50"/>
      <c r="I57" s="50"/>
      <c r="J57" s="50"/>
      <c r="L57" s="50"/>
      <c r="N57" s="50"/>
      <c r="O57" s="50"/>
      <c r="P57" s="50"/>
      <c r="Q57" s="50"/>
    </row>
    <row r="58" spans="4:17" ht="20.100000000000001" customHeight="1" x14ac:dyDescent="0.25">
      <c r="D58" s="3" t="s">
        <v>180</v>
      </c>
      <c r="E58" s="101">
        <f>E46+E52</f>
        <v>6.2923999999999998</v>
      </c>
      <c r="F58" s="2" t="str">
        <f t="shared" si="4"/>
        <v>t CO2-e</v>
      </c>
      <c r="G58" s="50"/>
      <c r="H58" s="50"/>
      <c r="I58" s="50"/>
      <c r="J58" s="50"/>
      <c r="L58" s="50"/>
      <c r="N58" s="50"/>
      <c r="O58" s="50"/>
      <c r="P58" s="50"/>
      <c r="Q58" s="50"/>
    </row>
    <row r="59" spans="4:17" ht="20.100000000000001" customHeight="1" x14ac:dyDescent="0.25">
      <c r="G59" s="50"/>
      <c r="H59" s="50"/>
      <c r="I59" s="50"/>
      <c r="J59" s="50"/>
      <c r="L59" s="50"/>
      <c r="N59" s="50"/>
      <c r="O59" s="50"/>
      <c r="P59" s="50"/>
      <c r="Q59" s="50"/>
    </row>
    <row r="60" spans="4:17" ht="20.100000000000001" customHeight="1" x14ac:dyDescent="0.25">
      <c r="G60" s="50"/>
      <c r="H60" s="50"/>
      <c r="I60" s="50"/>
      <c r="J60" s="50"/>
      <c r="L60" s="50"/>
      <c r="N60" s="50"/>
      <c r="O60" s="50"/>
      <c r="P60" s="50"/>
      <c r="Q60" s="50"/>
    </row>
    <row r="61" spans="4:17" ht="20.100000000000001" customHeight="1" x14ac:dyDescent="0.25">
      <c r="G61" s="50"/>
      <c r="H61" s="50"/>
      <c r="I61" s="50"/>
      <c r="J61" s="50"/>
      <c r="L61" s="50"/>
      <c r="N61" s="50"/>
      <c r="O61" s="50"/>
      <c r="P61" s="50"/>
      <c r="Q61" s="50"/>
    </row>
    <row r="62" spans="4:17" ht="20.100000000000001" customHeight="1" x14ac:dyDescent="0.25">
      <c r="G62" s="50"/>
      <c r="H62" s="50"/>
      <c r="I62" s="50"/>
      <c r="J62" s="50"/>
      <c r="L62" s="50"/>
      <c r="N62" s="50"/>
      <c r="O62" s="50"/>
      <c r="P62" s="50"/>
      <c r="Q62" s="50"/>
    </row>
    <row r="63" spans="4:17" ht="20.100000000000001" customHeight="1" x14ac:dyDescent="0.25">
      <c r="G63" s="50"/>
      <c r="H63" s="50"/>
      <c r="I63" s="50"/>
      <c r="J63" s="50"/>
      <c r="L63" s="50"/>
      <c r="N63" s="50"/>
      <c r="O63" s="50"/>
      <c r="P63" s="50"/>
      <c r="Q63" s="50"/>
    </row>
    <row r="64" spans="4:17" ht="20.100000000000001" customHeight="1" x14ac:dyDescent="0.25">
      <c r="G64" s="50"/>
      <c r="H64" s="50"/>
      <c r="I64" s="50"/>
      <c r="J64" s="50"/>
      <c r="L64" s="50"/>
      <c r="N64" s="50"/>
      <c r="O64" s="50"/>
      <c r="P64" s="50"/>
      <c r="Q64" s="50"/>
    </row>
    <row r="65" spans="7:17" ht="20.100000000000001" customHeight="1" x14ac:dyDescent="0.25">
      <c r="G65" s="50"/>
      <c r="H65" s="50"/>
      <c r="I65" s="50"/>
      <c r="J65" s="50"/>
      <c r="L65" s="50"/>
      <c r="N65" s="50"/>
      <c r="O65" s="50"/>
      <c r="P65" s="50"/>
      <c r="Q65" s="50"/>
    </row>
    <row r="66" spans="7:17" ht="20.100000000000001" customHeight="1" x14ac:dyDescent="0.25">
      <c r="G66" s="50"/>
      <c r="H66" s="50"/>
      <c r="I66" s="50"/>
      <c r="J66" s="50"/>
      <c r="L66" s="50"/>
      <c r="N66" s="50"/>
      <c r="O66" s="50"/>
      <c r="P66" s="50"/>
      <c r="Q66" s="50"/>
    </row>
    <row r="67" spans="7:17" ht="20.100000000000001" customHeight="1" x14ac:dyDescent="0.25">
      <c r="G67" s="50"/>
    </row>
    <row r="68" spans="7:17" ht="20.100000000000001" customHeight="1" x14ac:dyDescent="0.25">
      <c r="G68" s="50"/>
    </row>
    <row r="69" spans="7:17" ht="20.100000000000001" customHeight="1" x14ac:dyDescent="0.25">
      <c r="G69" s="50"/>
    </row>
    <row r="70" spans="7:17" ht="20.100000000000001" customHeight="1" x14ac:dyDescent="0.25">
      <c r="G70" s="50"/>
    </row>
    <row r="71" spans="7:17" ht="20.100000000000001" customHeight="1" x14ac:dyDescent="0.25">
      <c r="G71" s="50"/>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A20" sqref="A20"/>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4" t="e" vm="1">
        <v>#VALUE!</v>
      </c>
      <c r="C1" s="8" t="s">
        <v>110</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0"/>
      <c r="F5" s="50"/>
      <c r="G5" s="50"/>
      <c r="H5" s="50"/>
      <c r="I5" s="50"/>
      <c r="J5" s="50"/>
      <c r="K5" s="50"/>
      <c r="L5" s="50"/>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50"/>
      <c r="F6" s="50"/>
      <c r="G6" s="50"/>
      <c r="H6" s="50"/>
      <c r="I6" s="50"/>
      <c r="J6" s="50"/>
      <c r="K6" s="50"/>
      <c r="L6" s="50"/>
    </row>
    <row r="7" spans="1:35" ht="20.100000000000001" customHeight="1" x14ac:dyDescent="0.25">
      <c r="D7" s="5" t="str" cm="1">
        <f t="array" ref="D7">Fuel_SourceData.Fuel_Scope1Scope3EmissionFactorsTransport_Source()</f>
        <v>Australian National Greenhouse Accounts Factors 2025 - Table 9</v>
      </c>
      <c r="E7" s="50"/>
      <c r="F7" s="50"/>
      <c r="G7" s="50"/>
      <c r="H7" s="50"/>
      <c r="I7" s="50"/>
      <c r="J7" s="50"/>
      <c r="K7" s="50"/>
      <c r="L7" s="50"/>
    </row>
    <row r="8" spans="1:35" ht="20.100000000000001" customHeight="1" x14ac:dyDescent="0.25">
      <c r="A8" s="16" t="s">
        <v>0</v>
      </c>
      <c r="D8" s="33" t="str" cm="1">
        <f t="array" ref="D8">"⚠️" &amp; Fuel_SourceData.Fuel_Scope1Scope3EmissionFactorsTransport_Variation()</f>
        <v>⚠️VARIATION OF SOURCE DATA: 'NE' values returned as zero for calculations.</v>
      </c>
      <c r="E8" s="50"/>
      <c r="F8" s="50"/>
      <c r="G8" s="50"/>
      <c r="H8" s="50"/>
      <c r="I8" s="50"/>
      <c r="J8" s="50"/>
      <c r="K8" s="50"/>
      <c r="L8" s="50"/>
    </row>
    <row r="9" spans="1:35" ht="20.100000000000001" customHeight="1" x14ac:dyDescent="0.25">
      <c r="A9" s="14" t="str">
        <f>HYPERLINK("#'Input - Site'!A1", "Site")</f>
        <v>Site</v>
      </c>
      <c r="D9" s="71" t="s">
        <v>111</v>
      </c>
      <c r="E9" s="71" t="s">
        <v>112</v>
      </c>
      <c r="F9" s="71" t="s">
        <v>113</v>
      </c>
      <c r="G9" s="71" t="s">
        <v>114</v>
      </c>
      <c r="H9" s="71" t="s">
        <v>115</v>
      </c>
      <c r="I9" s="71" t="s">
        <v>116</v>
      </c>
      <c r="J9" s="71" t="s">
        <v>117</v>
      </c>
      <c r="K9" s="71" t="s">
        <v>118</v>
      </c>
      <c r="L9" s="71" t="s">
        <v>119</v>
      </c>
    </row>
    <row r="10" spans="1:35" ht="20.100000000000001" customHeight="1" x14ac:dyDescent="0.25">
      <c r="A10" s="14" t="str">
        <f>HYPERLINK("#'Input - Fuel'!A1", "Fuel")</f>
        <v>Fuel</v>
      </c>
      <c r="D10" s="72" t="str" cm="1">
        <f t="array" ref="D10">Common_InputFunctions.Utility_DisplayArrayInTable(Fuel_SourceData.Fuel_Scope1Scope3EmissionFactorsTransport_Data(), Table_Fuel_EFs_Transport[[#Headers],[Transport type]], 0)</f>
        <v>Cars and light commercial vehicles</v>
      </c>
      <c r="E10" s="72" t="str" cm="1">
        <f t="array" ref="E10">Common_InputFunctions.Utility_DisplayArrayInTable(Fuel_SourceData.Fuel_Scope1Scope3EmissionFactorsTransport_Data(), Table_Fuel_EFs_Transport[[#Headers],[Transport type]], 0)</f>
        <v>Gasoline</v>
      </c>
      <c r="F10" s="72" cm="1">
        <f t="array" ref="F10">Common_InputFunctions.Utility_DisplayArrayInTable(Fuel_SourceData.Fuel_Scope1Scope3EmissionFactorsTransport_Data(), Table_Fuel_EFs_Transport[[#Headers],[Transport type]], 0)</f>
        <v>34.200000000000003</v>
      </c>
      <c r="G10" s="72" t="str" cm="1">
        <f t="array" ref="G10">Common_InputFunctions.Utility_DisplayArrayInTable(Fuel_SourceData.Fuel_Scope1Scope3EmissionFactorsTransport_Data(), Table_Fuel_EFs_Transport[[#Headers],[Transport type]], 0)</f>
        <v>kl</v>
      </c>
      <c r="H10" s="72" cm="1">
        <f t="array" ref="H10">Common_InputFunctions.Utility_DisplayArrayInTable(Fuel_SourceData.Fuel_Scope1Scope3EmissionFactorsTransport_Data(), Table_Fuel_EFs_Transport[[#Headers],[Transport type]], 0)</f>
        <v>67.400000000000006</v>
      </c>
      <c r="I10" s="72" cm="1">
        <f t="array" ref="I10">Common_InputFunctions.Utility_DisplayArrayInTable(Fuel_SourceData.Fuel_Scope1Scope3EmissionFactorsTransport_Data(), Table_Fuel_EFs_Transport[[#Headers],[Transport type]], 0)</f>
        <v>0.02</v>
      </c>
      <c r="J10" s="72" cm="1">
        <f t="array" ref="J10">Common_InputFunctions.Utility_DisplayArrayInTable(Fuel_SourceData.Fuel_Scope1Scope3EmissionFactorsTransport_Data(), Table_Fuel_EFs_Transport[[#Headers],[Transport type]], 0)</f>
        <v>0.2</v>
      </c>
      <c r="K10" s="72" cm="1">
        <f t="array" ref="K10">Common_InputFunctions.Utility_DisplayArrayInTable(Fuel_SourceData.Fuel_Scope1Scope3EmissionFactorsTransport_Data(), Table_Fuel_EFs_Transport[[#Headers],[Transport type]], 0)</f>
        <v>67.62</v>
      </c>
      <c r="L10" s="72" cm="1">
        <f t="array" ref="L10">Common_InputFunctions.Utility_DisplayArrayInTable(Fuel_SourceData.Fuel_Scope1Scope3EmissionFactorsTransport_Data(), Table_Fuel_EFs_Transport[[#Headers],[Transport type]], 0)</f>
        <v>17.2</v>
      </c>
    </row>
    <row r="11" spans="1:35" ht="20.100000000000001" customHeight="1" x14ac:dyDescent="0.25">
      <c r="D11" s="72" t="str" cm="1">
        <f t="array" ref="D11">Common_InputFunctions.Utility_DisplayArrayInTable(Fuel_SourceData.Fuel_Scope1Scope3EmissionFactorsTransport_Data(), Table_Fuel_EFs_Transport[[#Headers],[Transport type]], 0)</f>
        <v>Cars and light commercial vehicles</v>
      </c>
      <c r="E11" s="72" t="str" cm="1">
        <f t="array" ref="E11">Common_InputFunctions.Utility_DisplayArrayInTable(Fuel_SourceData.Fuel_Scope1Scope3EmissionFactorsTransport_Data(), Table_Fuel_EFs_Transport[[#Headers],[Transport type]], 0)</f>
        <v>Diesel oil</v>
      </c>
      <c r="F11" s="72" cm="1">
        <f t="array" ref="F11">Common_InputFunctions.Utility_DisplayArrayInTable(Fuel_SourceData.Fuel_Scope1Scope3EmissionFactorsTransport_Data(), Table_Fuel_EFs_Transport[[#Headers],[Transport type]], 0)</f>
        <v>38.6</v>
      </c>
      <c r="G11" s="72" t="str" cm="1">
        <f t="array" ref="G11">Common_InputFunctions.Utility_DisplayArrayInTable(Fuel_SourceData.Fuel_Scope1Scope3EmissionFactorsTransport_Data(), Table_Fuel_EFs_Transport[[#Headers],[Transport type]], 0)</f>
        <v>kl</v>
      </c>
      <c r="H11" s="72" cm="1">
        <f t="array" ref="H11">Common_InputFunctions.Utility_DisplayArrayInTable(Fuel_SourceData.Fuel_Scope1Scope3EmissionFactorsTransport_Data(), Table_Fuel_EFs_Transport[[#Headers],[Transport type]], 0)</f>
        <v>69.900000000000006</v>
      </c>
      <c r="I11" s="72" cm="1">
        <f t="array" ref="I11">Common_InputFunctions.Utility_DisplayArrayInTable(Fuel_SourceData.Fuel_Scope1Scope3EmissionFactorsTransport_Data(), Table_Fuel_EFs_Transport[[#Headers],[Transport type]], 0)</f>
        <v>0.01</v>
      </c>
      <c r="J11" s="72" cm="1">
        <f t="array" ref="J11">Common_InputFunctions.Utility_DisplayArrayInTable(Fuel_SourceData.Fuel_Scope1Scope3EmissionFactorsTransport_Data(), Table_Fuel_EFs_Transport[[#Headers],[Transport type]], 0)</f>
        <v>0.5</v>
      </c>
      <c r="K11" s="72" cm="1">
        <f t="array" ref="K11">Common_InputFunctions.Utility_DisplayArrayInTable(Fuel_SourceData.Fuel_Scope1Scope3EmissionFactorsTransport_Data(), Table_Fuel_EFs_Transport[[#Headers],[Transport type]], 0)</f>
        <v>70.41</v>
      </c>
      <c r="L11" s="72" cm="1">
        <f t="array" ref="L11">Common_InputFunctions.Utility_DisplayArrayInTable(Fuel_SourceData.Fuel_Scope1Scope3EmissionFactorsTransport_Data(), Table_Fuel_EFs_Transport[[#Headers],[Transport type]], 0)</f>
        <v>17.3</v>
      </c>
    </row>
    <row r="12" spans="1:35" ht="20.100000000000001" customHeight="1" x14ac:dyDescent="0.25">
      <c r="D12" s="72" t="str" cm="1">
        <f t="array" ref="D12">Common_InputFunctions.Utility_DisplayArrayInTable(Fuel_SourceData.Fuel_Scope1Scope3EmissionFactorsTransport_Data(), Table_Fuel_EFs_Transport[[#Headers],[Transport type]], 0)</f>
        <v>Cars and light commercial vehicles</v>
      </c>
      <c r="E12" s="72" t="str" cm="1">
        <f t="array" ref="E12">Common_InputFunctions.Utility_DisplayArrayInTable(Fuel_SourceData.Fuel_Scope1Scope3EmissionFactorsTransport_Data(), Table_Fuel_EFs_Transport[[#Headers],[Transport type]], 0)</f>
        <v>Liquefied petroleum gas (LPG)</v>
      </c>
      <c r="F12" s="72" cm="1">
        <f t="array" ref="F12">Common_InputFunctions.Utility_DisplayArrayInTable(Fuel_SourceData.Fuel_Scope1Scope3EmissionFactorsTransport_Data(), Table_Fuel_EFs_Transport[[#Headers],[Transport type]], 0)</f>
        <v>26.2</v>
      </c>
      <c r="G12" s="72" t="str" cm="1">
        <f t="array" ref="G12">Common_InputFunctions.Utility_DisplayArrayInTable(Fuel_SourceData.Fuel_Scope1Scope3EmissionFactorsTransport_Data(), Table_Fuel_EFs_Transport[[#Headers],[Transport type]], 0)</f>
        <v>kl</v>
      </c>
      <c r="H12" s="72" cm="1">
        <f t="array" ref="H12">Common_InputFunctions.Utility_DisplayArrayInTable(Fuel_SourceData.Fuel_Scope1Scope3EmissionFactorsTransport_Data(), Table_Fuel_EFs_Transport[[#Headers],[Transport type]], 0)</f>
        <v>60.2</v>
      </c>
      <c r="I12" s="72" cm="1">
        <f t="array" ref="I12">Common_InputFunctions.Utility_DisplayArrayInTable(Fuel_SourceData.Fuel_Scope1Scope3EmissionFactorsTransport_Data(), Table_Fuel_EFs_Transport[[#Headers],[Transport type]], 0)</f>
        <v>0.5</v>
      </c>
      <c r="J12" s="72" cm="1">
        <f t="array" ref="J12">Common_InputFunctions.Utility_DisplayArrayInTable(Fuel_SourceData.Fuel_Scope1Scope3EmissionFactorsTransport_Data(), Table_Fuel_EFs_Transport[[#Headers],[Transport type]], 0)</f>
        <v>0.3</v>
      </c>
      <c r="K12" s="72" cm="1">
        <f t="array" ref="K12">Common_InputFunctions.Utility_DisplayArrayInTable(Fuel_SourceData.Fuel_Scope1Scope3EmissionFactorsTransport_Data(), Table_Fuel_EFs_Transport[[#Headers],[Transport type]], 0)</f>
        <v>61</v>
      </c>
      <c r="L12" s="72" cm="1">
        <f t="array" ref="L12">Common_InputFunctions.Utility_DisplayArrayInTable(Fuel_SourceData.Fuel_Scope1Scope3EmissionFactorsTransport_Data(), Table_Fuel_EFs_Transport[[#Headers],[Transport type]], 0)</f>
        <v>20.2</v>
      </c>
    </row>
    <row r="13" spans="1:35" ht="20.100000000000001" customHeight="1" x14ac:dyDescent="0.25">
      <c r="A13" s="15" t="s">
        <v>44</v>
      </c>
      <c r="D13" s="72" t="str" cm="1">
        <f t="array" ref="D13">Common_InputFunctions.Utility_DisplayArrayInTable(Fuel_SourceData.Fuel_Scope1Scope3EmissionFactorsTransport_Data(), Table_Fuel_EFs_Transport[[#Headers],[Transport type]], 0)</f>
        <v>Cars and light commercial vehicles</v>
      </c>
      <c r="E13" s="72" t="str" cm="1">
        <f t="array" ref="E13">Common_InputFunctions.Utility_DisplayArrayInTable(Fuel_SourceData.Fuel_Scope1Scope3EmissionFactorsTransport_Data(), Table_Fuel_EFs_Transport[[#Headers],[Transport type]], 0)</f>
        <v>Fuel oil</v>
      </c>
      <c r="F13" s="72" cm="1">
        <f t="array" ref="F13">Common_InputFunctions.Utility_DisplayArrayInTable(Fuel_SourceData.Fuel_Scope1Scope3EmissionFactorsTransport_Data(), Table_Fuel_EFs_Transport[[#Headers],[Transport type]], 0)</f>
        <v>39.700000000000003</v>
      </c>
      <c r="G13" s="72" t="str" cm="1">
        <f t="array" ref="G13">Common_InputFunctions.Utility_DisplayArrayInTable(Fuel_SourceData.Fuel_Scope1Scope3EmissionFactorsTransport_Data(), Table_Fuel_EFs_Transport[[#Headers],[Transport type]], 0)</f>
        <v>kl</v>
      </c>
      <c r="H13" s="72" cm="1">
        <f t="array" ref="H13">Common_InputFunctions.Utility_DisplayArrayInTable(Fuel_SourceData.Fuel_Scope1Scope3EmissionFactorsTransport_Data(), Table_Fuel_EFs_Transport[[#Headers],[Transport type]], 0)</f>
        <v>73.599999999999994</v>
      </c>
      <c r="I13" s="72" cm="1">
        <f t="array" ref="I13">Common_InputFunctions.Utility_DisplayArrayInTable(Fuel_SourceData.Fuel_Scope1Scope3EmissionFactorsTransport_Data(), Table_Fuel_EFs_Transport[[#Headers],[Transport type]], 0)</f>
        <v>0.08</v>
      </c>
      <c r="J13" s="72" cm="1">
        <f t="array" ref="J13">Common_InputFunctions.Utility_DisplayArrayInTable(Fuel_SourceData.Fuel_Scope1Scope3EmissionFactorsTransport_Data(), Table_Fuel_EFs_Transport[[#Headers],[Transport type]], 0)</f>
        <v>0.5</v>
      </c>
      <c r="K13" s="72" cm="1">
        <f t="array" ref="K13">Common_InputFunctions.Utility_DisplayArrayInTable(Fuel_SourceData.Fuel_Scope1Scope3EmissionFactorsTransport_Data(), Table_Fuel_EFs_Transport[[#Headers],[Transport type]], 0)</f>
        <v>74.180000000000007</v>
      </c>
      <c r="L13" s="72" cm="1">
        <f t="array" ref="L13">Common_InputFunctions.Utility_DisplayArrayInTable(Fuel_SourceData.Fuel_Scope1Scope3EmissionFactorsTransport_Data(), Table_Fuel_EFs_Transport[[#Headers],[Transport type]], 0)</f>
        <v>18</v>
      </c>
    </row>
    <row r="14" spans="1:35" ht="20.100000000000001" customHeight="1" x14ac:dyDescent="0.25">
      <c r="A14" s="14" t="str">
        <f>HYPERLINK("#'8.1.1.1-2 Transport fuel'!A1", "8.1.1.1-2 Transport fuel")</f>
        <v>8.1.1.1-2 Transport fuel</v>
      </c>
      <c r="D14" s="72" t="str" cm="1">
        <f t="array" ref="D14">Common_InputFunctions.Utility_DisplayArrayInTable(Fuel_SourceData.Fuel_Scope1Scope3EmissionFactorsTransport_Data(), Table_Fuel_EFs_Transport[[#Headers],[Transport type]], 0)</f>
        <v>Cars and light commercial vehicles</v>
      </c>
      <c r="E14" s="72" t="str" cm="1">
        <f t="array" ref="E14">Common_InputFunctions.Utility_DisplayArrayInTable(Fuel_SourceData.Fuel_Scope1Scope3EmissionFactorsTransport_Data(), Table_Fuel_EFs_Transport[[#Headers],[Transport type]], 0)</f>
        <v>Ethanol</v>
      </c>
      <c r="F14" s="72" cm="1">
        <f t="array" ref="F14">Common_InputFunctions.Utility_DisplayArrayInTable(Fuel_SourceData.Fuel_Scope1Scope3EmissionFactorsTransport_Data(), Table_Fuel_EFs_Transport[[#Headers],[Transport type]], 0)</f>
        <v>23.4</v>
      </c>
      <c r="G14" s="72" t="str" cm="1">
        <f t="array" ref="G14">Common_InputFunctions.Utility_DisplayArrayInTable(Fuel_SourceData.Fuel_Scope1Scope3EmissionFactorsTransport_Data(), Table_Fuel_EFs_Transport[[#Headers],[Transport type]], 0)</f>
        <v>kl</v>
      </c>
      <c r="H14" s="72" cm="1">
        <f t="array" ref="H14">Common_InputFunctions.Utility_DisplayArrayInTable(Fuel_SourceData.Fuel_Scope1Scope3EmissionFactorsTransport_Data(), Table_Fuel_EFs_Transport[[#Headers],[Transport type]], 0)</f>
        <v>0</v>
      </c>
      <c r="I14" s="72" cm="1">
        <f t="array" ref="I14">Common_InputFunctions.Utility_DisplayArrayInTable(Fuel_SourceData.Fuel_Scope1Scope3EmissionFactorsTransport_Data(), Table_Fuel_EFs_Transport[[#Headers],[Transport type]], 0)</f>
        <v>0.2</v>
      </c>
      <c r="J14" s="72" cm="1">
        <f t="array" ref="J14">Common_InputFunctions.Utility_DisplayArrayInTable(Fuel_SourceData.Fuel_Scope1Scope3EmissionFactorsTransport_Data(), Table_Fuel_EFs_Transport[[#Headers],[Transport type]], 0)</f>
        <v>0.2</v>
      </c>
      <c r="K14" s="72" cm="1">
        <f t="array" ref="K14">Common_InputFunctions.Utility_DisplayArrayInTable(Fuel_SourceData.Fuel_Scope1Scope3EmissionFactorsTransport_Data(), Table_Fuel_EFs_Transport[[#Headers],[Transport type]], 0)</f>
        <v>0.4</v>
      </c>
      <c r="L14" s="72" t="str" cm="1">
        <f t="array" ref="L14">Common_InputFunctions.Utility_DisplayArrayInTable(Fuel_SourceData.Fuel_Scope1Scope3EmissionFactorsTransport_Data(), Table_Fuel_EFs_Transport[[#Headers],[Transport type]], 0)</f>
        <v>NE</v>
      </c>
    </row>
    <row r="15" spans="1:35" ht="20.100000000000001" customHeight="1" x14ac:dyDescent="0.25">
      <c r="A15" s="14" t="str">
        <f>HYPERLINK("#'8.2.1.1-2 Stationary fuel'!A1", "8.2.1.1-2 Stationary fuel")</f>
        <v>8.2.1.1-2 Stationary fuel</v>
      </c>
      <c r="D15" s="72" t="str" cm="1">
        <f t="array" ref="D15">Common_InputFunctions.Utility_DisplayArrayInTable(Fuel_SourceData.Fuel_Scope1Scope3EmissionFactorsTransport_Data(), Table_Fuel_EFs_Transport[[#Headers],[Transport type]], 0)</f>
        <v>Cars and light commercial vehicles</v>
      </c>
      <c r="E15" s="72" t="str" cm="1">
        <f t="array" ref="E15">Common_InputFunctions.Utility_DisplayArrayInTable(Fuel_SourceData.Fuel_Scope1Scope3EmissionFactorsTransport_Data(), Table_Fuel_EFs_Transport[[#Headers],[Transport type]], 0)</f>
        <v>Biodiesel</v>
      </c>
      <c r="F15" s="72" cm="1">
        <f t="array" ref="F15">Common_InputFunctions.Utility_DisplayArrayInTable(Fuel_SourceData.Fuel_Scope1Scope3EmissionFactorsTransport_Data(), Table_Fuel_EFs_Transport[[#Headers],[Transport type]], 0)</f>
        <v>34.6</v>
      </c>
      <c r="G15" s="72" t="str" cm="1">
        <f t="array" ref="G15">Common_InputFunctions.Utility_DisplayArrayInTable(Fuel_SourceData.Fuel_Scope1Scope3EmissionFactorsTransport_Data(), Table_Fuel_EFs_Transport[[#Headers],[Transport type]], 0)</f>
        <v>kl</v>
      </c>
      <c r="H15" s="72" cm="1">
        <f t="array" ref="H15">Common_InputFunctions.Utility_DisplayArrayInTable(Fuel_SourceData.Fuel_Scope1Scope3EmissionFactorsTransport_Data(), Table_Fuel_EFs_Transport[[#Headers],[Transport type]], 0)</f>
        <v>0</v>
      </c>
      <c r="I15" s="72" cm="1">
        <f t="array" ref="I15">Common_InputFunctions.Utility_DisplayArrayInTable(Fuel_SourceData.Fuel_Scope1Scope3EmissionFactorsTransport_Data(), Table_Fuel_EFs_Transport[[#Headers],[Transport type]], 0)</f>
        <v>0.8</v>
      </c>
      <c r="J15" s="72" cm="1">
        <f t="array" ref="J15">Common_InputFunctions.Utility_DisplayArrayInTable(Fuel_SourceData.Fuel_Scope1Scope3EmissionFactorsTransport_Data(), Table_Fuel_EFs_Transport[[#Headers],[Transport type]], 0)</f>
        <v>1.7</v>
      </c>
      <c r="K15" s="72" cm="1">
        <f t="array" ref="K15">Common_InputFunctions.Utility_DisplayArrayInTable(Fuel_SourceData.Fuel_Scope1Scope3EmissionFactorsTransport_Data(), Table_Fuel_EFs_Transport[[#Headers],[Transport type]], 0)</f>
        <v>2.5</v>
      </c>
      <c r="L15" s="72" t="str" cm="1">
        <f t="array" ref="L15">Common_InputFunctions.Utility_DisplayArrayInTable(Fuel_SourceData.Fuel_Scope1Scope3EmissionFactorsTransport_Data(), Table_Fuel_EFs_Transport[[#Headers],[Transport type]], 0)</f>
        <v>NE</v>
      </c>
    </row>
    <row r="16" spans="1:35" ht="20.100000000000001" customHeight="1" x14ac:dyDescent="0.25">
      <c r="D16" s="72" t="str" cm="1">
        <f t="array" ref="D16">Common_InputFunctions.Utility_DisplayArrayInTable(Fuel_SourceData.Fuel_Scope1Scope3EmissionFactorsTransport_Data(), Table_Fuel_EFs_Transport[[#Headers],[Transport type]], 0)</f>
        <v>Cars and light commercial vehicles</v>
      </c>
      <c r="E16" s="72" t="str" cm="1">
        <f t="array" ref="E16">Common_InputFunctions.Utility_DisplayArrayInTable(Fuel_SourceData.Fuel_Scope1Scope3EmissionFactorsTransport_Data(), Table_Fuel_EFs_Transport[[#Headers],[Transport type]], 0)</f>
        <v>Renewable diesel</v>
      </c>
      <c r="F16" s="72" cm="1">
        <f t="array" ref="F16">Common_InputFunctions.Utility_DisplayArrayInTable(Fuel_SourceData.Fuel_Scope1Scope3EmissionFactorsTransport_Data(), Table_Fuel_EFs_Transport[[#Headers],[Transport type]], 0)</f>
        <v>38.6</v>
      </c>
      <c r="G16" s="72" t="str" cm="1">
        <f t="array" ref="G16">Common_InputFunctions.Utility_DisplayArrayInTable(Fuel_SourceData.Fuel_Scope1Scope3EmissionFactorsTransport_Data(), Table_Fuel_EFs_Transport[[#Headers],[Transport type]], 0)</f>
        <v>kl</v>
      </c>
      <c r="H16" s="72" cm="1">
        <f t="array" ref="H16">Common_InputFunctions.Utility_DisplayArrayInTable(Fuel_SourceData.Fuel_Scope1Scope3EmissionFactorsTransport_Data(), Table_Fuel_EFs_Transport[[#Headers],[Transport type]], 0)</f>
        <v>0</v>
      </c>
      <c r="I16" s="72" cm="1">
        <f t="array" ref="I16">Common_InputFunctions.Utility_DisplayArrayInTable(Fuel_SourceData.Fuel_Scope1Scope3EmissionFactorsTransport_Data(), Table_Fuel_EFs_Transport[[#Headers],[Transport type]], 0)</f>
        <v>0.01</v>
      </c>
      <c r="J16" s="72" cm="1">
        <f t="array" ref="J16">Common_InputFunctions.Utility_DisplayArrayInTable(Fuel_SourceData.Fuel_Scope1Scope3EmissionFactorsTransport_Data(), Table_Fuel_EFs_Transport[[#Headers],[Transport type]], 0)</f>
        <v>0.5</v>
      </c>
      <c r="K16" s="72" cm="1">
        <f t="array" ref="K16">Common_InputFunctions.Utility_DisplayArrayInTable(Fuel_SourceData.Fuel_Scope1Scope3EmissionFactorsTransport_Data(), Table_Fuel_EFs_Transport[[#Headers],[Transport type]], 0)</f>
        <v>0.51</v>
      </c>
      <c r="L16" s="72" t="str" cm="1">
        <f t="array" ref="L16">Common_InputFunctions.Utility_DisplayArrayInTable(Fuel_SourceData.Fuel_Scope1Scope3EmissionFactorsTransport_Data(), Table_Fuel_EFs_Transport[[#Headers],[Transport type]], 0)</f>
        <v>NE</v>
      </c>
    </row>
    <row r="17" spans="1:12" ht="20.100000000000001" customHeight="1" x14ac:dyDescent="0.25">
      <c r="D17" s="72" t="str" cm="1">
        <f t="array" ref="D17">Common_InputFunctions.Utility_DisplayArrayInTable(Fuel_SourceData.Fuel_Scope1Scope3EmissionFactorsTransport_Data(), Table_Fuel_EFs_Transport[[#Headers],[Transport type]], 0)</f>
        <v>Cars and light commercial vehicles</v>
      </c>
      <c r="E17" s="72" t="str" cm="1">
        <f t="array" ref="E17">Common_InputFunctions.Utility_DisplayArrayInTable(Fuel_SourceData.Fuel_Scope1Scope3EmissionFactorsTransport_Data(), Table_Fuel_EFs_Transport[[#Headers],[Transport type]], 0)</f>
        <v>Other biofuels</v>
      </c>
      <c r="F17" s="72" cm="1">
        <f t="array" ref="F17">Common_InputFunctions.Utility_DisplayArrayInTable(Fuel_SourceData.Fuel_Scope1Scope3EmissionFactorsTransport_Data(), Table_Fuel_EFs_Transport[[#Headers],[Transport type]], 0)</f>
        <v>23.4</v>
      </c>
      <c r="G17" s="72" t="str" cm="1">
        <f t="array" ref="G17">Common_InputFunctions.Utility_DisplayArrayInTable(Fuel_SourceData.Fuel_Scope1Scope3EmissionFactorsTransport_Data(), Table_Fuel_EFs_Transport[[#Headers],[Transport type]], 0)</f>
        <v>kl</v>
      </c>
      <c r="H17" s="72" cm="1">
        <f t="array" ref="H17">Common_InputFunctions.Utility_DisplayArrayInTable(Fuel_SourceData.Fuel_Scope1Scope3EmissionFactorsTransport_Data(), Table_Fuel_EFs_Transport[[#Headers],[Transport type]], 0)</f>
        <v>0</v>
      </c>
      <c r="I17" s="72" cm="1">
        <f t="array" ref="I17">Common_InputFunctions.Utility_DisplayArrayInTable(Fuel_SourceData.Fuel_Scope1Scope3EmissionFactorsTransport_Data(), Table_Fuel_EFs_Transport[[#Headers],[Transport type]], 0)</f>
        <v>0.8</v>
      </c>
      <c r="J17" s="72" cm="1">
        <f t="array" ref="J17">Common_InputFunctions.Utility_DisplayArrayInTable(Fuel_SourceData.Fuel_Scope1Scope3EmissionFactorsTransport_Data(), Table_Fuel_EFs_Transport[[#Headers],[Transport type]], 0)</f>
        <v>1.7</v>
      </c>
      <c r="K17" s="72" cm="1">
        <f t="array" ref="K17">Common_InputFunctions.Utility_DisplayArrayInTable(Fuel_SourceData.Fuel_Scope1Scope3EmissionFactorsTransport_Data(), Table_Fuel_EFs_Transport[[#Headers],[Transport type]], 0)</f>
        <v>2.5</v>
      </c>
      <c r="L17" s="72" t="str" cm="1">
        <f t="array" ref="L17">Common_InputFunctions.Utility_DisplayArrayInTable(Fuel_SourceData.Fuel_Scope1Scope3EmissionFactorsTransport_Data(), Table_Fuel_EFs_Transport[[#Headers],[Transport type]], 0)</f>
        <v>NE</v>
      </c>
    </row>
    <row r="18" spans="1:12" ht="20.100000000000001" customHeight="1" x14ac:dyDescent="0.25">
      <c r="A18" s="156" t="s">
        <v>1</v>
      </c>
      <c r="D18" s="72" t="str" cm="1">
        <f t="array" ref="D18">Common_InputFunctions.Utility_DisplayArrayInTable(Fuel_SourceData.Fuel_Scope1Scope3EmissionFactorsTransport_Data(), Table_Fuel_EFs_Transport[[#Headers],[Transport type]], 0)</f>
        <v>Light duty vehicles</v>
      </c>
      <c r="E18" s="72" t="str" cm="1">
        <f t="array" ref="E18">Common_InputFunctions.Utility_DisplayArrayInTable(Fuel_SourceData.Fuel_Scope1Scope3EmissionFactorsTransport_Data(), Table_Fuel_EFs_Transport[[#Headers],[Transport type]], 0)</f>
        <v>Compressed natural gas</v>
      </c>
      <c r="F18" s="72" cm="1">
        <f t="array" ref="F18">Common_InputFunctions.Utility_DisplayArrayInTable(Fuel_SourceData.Fuel_Scope1Scope3EmissionFactorsTransport_Data(), Table_Fuel_EFs_Transport[[#Headers],[Transport type]], 0)</f>
        <v>3.9300000000000002E-2</v>
      </c>
      <c r="G18" s="72" t="str" cm="1">
        <f t="array" ref="G18">Common_InputFunctions.Utility_DisplayArrayInTable(Fuel_SourceData.Fuel_Scope1Scope3EmissionFactorsTransport_Data(), Table_Fuel_EFs_Transport[[#Headers],[Transport type]], 0)</f>
        <v>m3</v>
      </c>
      <c r="H18" s="72" cm="1">
        <f t="array" ref="H18">Common_InputFunctions.Utility_DisplayArrayInTable(Fuel_SourceData.Fuel_Scope1Scope3EmissionFactorsTransport_Data(), Table_Fuel_EFs_Transport[[#Headers],[Transport type]], 0)</f>
        <v>51.4</v>
      </c>
      <c r="I18" s="72" cm="1">
        <f t="array" ref="I18">Common_InputFunctions.Utility_DisplayArrayInTable(Fuel_SourceData.Fuel_Scope1Scope3EmissionFactorsTransport_Data(), Table_Fuel_EFs_Transport[[#Headers],[Transport type]], 0)</f>
        <v>7.3</v>
      </c>
      <c r="J18" s="72" cm="1">
        <f t="array" ref="J18">Common_InputFunctions.Utility_DisplayArrayInTable(Fuel_SourceData.Fuel_Scope1Scope3EmissionFactorsTransport_Data(), Table_Fuel_EFs_Transport[[#Headers],[Transport type]], 0)</f>
        <v>0.3</v>
      </c>
      <c r="K18" s="72" cm="1">
        <f t="array" ref="K18">Common_InputFunctions.Utility_DisplayArrayInTable(Fuel_SourceData.Fuel_Scope1Scope3EmissionFactorsTransport_Data(), Table_Fuel_EFs_Transport[[#Headers],[Transport type]], 0)</f>
        <v>59</v>
      </c>
      <c r="L18" s="72" cm="1">
        <f t="array" ref="L18">Common_InputFunctions.Utility_DisplayArrayInTable(Fuel_SourceData.Fuel_Scope1Scope3EmissionFactorsTransport_Data(), Table_Fuel_EFs_Transport[[#Headers],[Transport type]], 0)</f>
        <v>18</v>
      </c>
    </row>
    <row r="19" spans="1:12" ht="20.100000000000001" customHeight="1" x14ac:dyDescent="0.25">
      <c r="A19" s="68" t="str">
        <f>HYPERLINK("#'Constants - Fuel'!A1", "Constants - Fuel")</f>
        <v>Constants - Fuel</v>
      </c>
      <c r="D19" s="72" t="str" cm="1">
        <f t="array" ref="D19">Common_InputFunctions.Utility_DisplayArrayInTable(Fuel_SourceData.Fuel_Scope1Scope3EmissionFactorsTransport_Data(), Table_Fuel_EFs_Transport[[#Headers],[Transport type]], 0)</f>
        <v>Light duty vehicles</v>
      </c>
      <c r="E19" s="72" t="str" cm="1">
        <f t="array" ref="E19">Common_InputFunctions.Utility_DisplayArrayInTable(Fuel_SourceData.Fuel_Scope1Scope3EmissionFactorsTransport_Data(), Table_Fuel_EFs_Transport[[#Headers],[Transport type]], 0)</f>
        <v>Liquefied natural gas</v>
      </c>
      <c r="F19" s="72" cm="1">
        <f t="array" ref="F19">Common_InputFunctions.Utility_DisplayArrayInTable(Fuel_SourceData.Fuel_Scope1Scope3EmissionFactorsTransport_Data(), Table_Fuel_EFs_Transport[[#Headers],[Transport type]], 0)</f>
        <v>25.3</v>
      </c>
      <c r="G19" s="72" t="str" cm="1">
        <f t="array" ref="G19">Common_InputFunctions.Utility_DisplayArrayInTable(Fuel_SourceData.Fuel_Scope1Scope3EmissionFactorsTransport_Data(), Table_Fuel_EFs_Transport[[#Headers],[Transport type]], 0)</f>
        <v>kl</v>
      </c>
      <c r="H19" s="72" cm="1">
        <f t="array" ref="H19">Common_InputFunctions.Utility_DisplayArrayInTable(Fuel_SourceData.Fuel_Scope1Scope3EmissionFactorsTransport_Data(), Table_Fuel_EFs_Transport[[#Headers],[Transport type]], 0)</f>
        <v>51.4</v>
      </c>
      <c r="I19" s="72" cm="1">
        <f t="array" ref="I19">Common_InputFunctions.Utility_DisplayArrayInTable(Fuel_SourceData.Fuel_Scope1Scope3EmissionFactorsTransport_Data(), Table_Fuel_EFs_Transport[[#Headers],[Transport type]], 0)</f>
        <v>7.3</v>
      </c>
      <c r="J19" s="72" cm="1">
        <f t="array" ref="J19">Common_InputFunctions.Utility_DisplayArrayInTable(Fuel_SourceData.Fuel_Scope1Scope3EmissionFactorsTransport_Data(), Table_Fuel_EFs_Transport[[#Headers],[Transport type]], 0)</f>
        <v>0.3</v>
      </c>
      <c r="K19" s="72" cm="1">
        <f t="array" ref="K19">Common_InputFunctions.Utility_DisplayArrayInTable(Fuel_SourceData.Fuel_Scope1Scope3EmissionFactorsTransport_Data(), Table_Fuel_EFs_Transport[[#Headers],[Transport type]], 0)</f>
        <v>59</v>
      </c>
      <c r="L19" s="72" cm="1">
        <f t="array" ref="L19">Common_InputFunctions.Utility_DisplayArrayInTable(Fuel_SourceData.Fuel_Scope1Scope3EmissionFactorsTransport_Data(), Table_Fuel_EFs_Transport[[#Headers],[Transport type]], 0)</f>
        <v>18</v>
      </c>
    </row>
    <row r="20" spans="1:12" ht="20.100000000000001" customHeight="1" x14ac:dyDescent="0.25">
      <c r="A20" s="14" t="str">
        <f>HYPERLINK("#'Constants - Common'!A1", "Constants - Common")</f>
        <v>Constants - Common</v>
      </c>
      <c r="D20" s="72" t="str" cm="1">
        <f t="array" ref="D20">Common_InputFunctions.Utility_DisplayArrayInTable(Fuel_SourceData.Fuel_Scope1Scope3EmissionFactorsTransport_Data(), Table_Fuel_EFs_Transport[[#Headers],[Transport type]], 0)</f>
        <v>Heavy duty vehicles</v>
      </c>
      <c r="E20" s="72" t="str" cm="1">
        <f t="array" ref="E20">Common_InputFunctions.Utility_DisplayArrayInTable(Fuel_SourceData.Fuel_Scope1Scope3EmissionFactorsTransport_Data(), Table_Fuel_EFs_Transport[[#Headers],[Transport type]], 0)</f>
        <v>Compressed natural gas</v>
      </c>
      <c r="F20" s="72" cm="1">
        <f t="array" ref="F20">Common_InputFunctions.Utility_DisplayArrayInTable(Fuel_SourceData.Fuel_Scope1Scope3EmissionFactorsTransport_Data(), Table_Fuel_EFs_Transport[[#Headers],[Transport type]], 0)</f>
        <v>3.9300000000000002E-2</v>
      </c>
      <c r="G20" s="72" t="str" cm="1">
        <f t="array" ref="G20">Common_InputFunctions.Utility_DisplayArrayInTable(Fuel_SourceData.Fuel_Scope1Scope3EmissionFactorsTransport_Data(), Table_Fuel_EFs_Transport[[#Headers],[Transport type]], 0)</f>
        <v>m3</v>
      </c>
      <c r="H20" s="72" cm="1">
        <f t="array" ref="H20">Common_InputFunctions.Utility_DisplayArrayInTable(Fuel_SourceData.Fuel_Scope1Scope3EmissionFactorsTransport_Data(), Table_Fuel_EFs_Transport[[#Headers],[Transport type]], 0)</f>
        <v>51.4</v>
      </c>
      <c r="I20" s="72" cm="1">
        <f t="array" ref="I20">Common_InputFunctions.Utility_DisplayArrayInTable(Fuel_SourceData.Fuel_Scope1Scope3EmissionFactorsTransport_Data(), Table_Fuel_EFs_Transport[[#Headers],[Transport type]], 0)</f>
        <v>2.8</v>
      </c>
      <c r="J20" s="72" cm="1">
        <f t="array" ref="J20">Common_InputFunctions.Utility_DisplayArrayInTable(Fuel_SourceData.Fuel_Scope1Scope3EmissionFactorsTransport_Data(), Table_Fuel_EFs_Transport[[#Headers],[Transport type]], 0)</f>
        <v>0.3</v>
      </c>
      <c r="K20" s="72" cm="1">
        <f t="array" ref="K20">Common_InputFunctions.Utility_DisplayArrayInTable(Fuel_SourceData.Fuel_Scope1Scope3EmissionFactorsTransport_Data(), Table_Fuel_EFs_Transport[[#Headers],[Transport type]], 0)</f>
        <v>54.5</v>
      </c>
      <c r="L20" s="72" cm="1">
        <f t="array" ref="L20">Common_InputFunctions.Utility_DisplayArrayInTable(Fuel_SourceData.Fuel_Scope1Scope3EmissionFactorsTransport_Data(), Table_Fuel_EFs_Transport[[#Headers],[Transport type]], 0)</f>
        <v>18</v>
      </c>
    </row>
    <row r="21" spans="1:12" ht="20.100000000000001" customHeight="1" x14ac:dyDescent="0.25">
      <c r="D21" s="72" t="str" cm="1">
        <f t="array" ref="D21">Common_InputFunctions.Utility_DisplayArrayInTable(Fuel_SourceData.Fuel_Scope1Scope3EmissionFactorsTransport_Data(), Table_Fuel_EFs_Transport[[#Headers],[Transport type]], 0)</f>
        <v>Heavy duty vehicles</v>
      </c>
      <c r="E21" s="72" t="str" cm="1">
        <f t="array" ref="E21">Common_InputFunctions.Utility_DisplayArrayInTable(Fuel_SourceData.Fuel_Scope1Scope3EmissionFactorsTransport_Data(), Table_Fuel_EFs_Transport[[#Headers],[Transport type]], 0)</f>
        <v>Liquefied natural gas</v>
      </c>
      <c r="F21" s="72" cm="1">
        <f t="array" ref="F21">Common_InputFunctions.Utility_DisplayArrayInTable(Fuel_SourceData.Fuel_Scope1Scope3EmissionFactorsTransport_Data(), Table_Fuel_EFs_Transport[[#Headers],[Transport type]], 0)</f>
        <v>25.3</v>
      </c>
      <c r="G21" s="72" t="str" cm="1">
        <f t="array" ref="G21">Common_InputFunctions.Utility_DisplayArrayInTable(Fuel_SourceData.Fuel_Scope1Scope3EmissionFactorsTransport_Data(), Table_Fuel_EFs_Transport[[#Headers],[Transport type]], 0)</f>
        <v>kl</v>
      </c>
      <c r="H21" s="72" cm="1">
        <f t="array" ref="H21">Common_InputFunctions.Utility_DisplayArrayInTable(Fuel_SourceData.Fuel_Scope1Scope3EmissionFactorsTransport_Data(), Table_Fuel_EFs_Transport[[#Headers],[Transport type]], 0)</f>
        <v>51.4</v>
      </c>
      <c r="I21" s="72" cm="1">
        <f t="array" ref="I21">Common_InputFunctions.Utility_DisplayArrayInTable(Fuel_SourceData.Fuel_Scope1Scope3EmissionFactorsTransport_Data(), Table_Fuel_EFs_Transport[[#Headers],[Transport type]], 0)</f>
        <v>2.8</v>
      </c>
      <c r="J21" s="72" cm="1">
        <f t="array" ref="J21">Common_InputFunctions.Utility_DisplayArrayInTable(Fuel_SourceData.Fuel_Scope1Scope3EmissionFactorsTransport_Data(), Table_Fuel_EFs_Transport[[#Headers],[Transport type]], 0)</f>
        <v>0.3</v>
      </c>
      <c r="K21" s="72" cm="1">
        <f t="array" ref="K21">Common_InputFunctions.Utility_DisplayArrayInTable(Fuel_SourceData.Fuel_Scope1Scope3EmissionFactorsTransport_Data(), Table_Fuel_EFs_Transport[[#Headers],[Transport type]], 0)</f>
        <v>54.5</v>
      </c>
      <c r="L21" s="72" cm="1">
        <f t="array" ref="L21">Common_InputFunctions.Utility_DisplayArrayInTable(Fuel_SourceData.Fuel_Scope1Scope3EmissionFactorsTransport_Data(), Table_Fuel_EFs_Transport[[#Headers],[Transport type]], 0)</f>
        <v>18</v>
      </c>
    </row>
    <row r="22" spans="1:12" ht="20.100000000000001" customHeight="1" x14ac:dyDescent="0.25">
      <c r="D22" s="72" t="str" cm="1">
        <f t="array" ref="D22">Common_InputFunctions.Utility_DisplayArrayInTable(Fuel_SourceData.Fuel_Scope1Scope3EmissionFactorsTransport_Data(), Table_Fuel_EFs_Transport[[#Headers],[Transport type]], 0)</f>
        <v>Heavy duty vehicles</v>
      </c>
      <c r="E22" s="72" t="str" cm="1">
        <f t="array" ref="E22">Common_InputFunctions.Utility_DisplayArrayInTable(Fuel_SourceData.Fuel_Scope1Scope3EmissionFactorsTransport_Data(), Table_Fuel_EFs_Transport[[#Headers],[Transport type]], 0)</f>
        <v>Diesel oil - Euro iv or higher</v>
      </c>
      <c r="F22" s="72" cm="1">
        <f t="array" ref="F22">Common_InputFunctions.Utility_DisplayArrayInTable(Fuel_SourceData.Fuel_Scope1Scope3EmissionFactorsTransport_Data(), Table_Fuel_EFs_Transport[[#Headers],[Transport type]], 0)</f>
        <v>38.6</v>
      </c>
      <c r="G22" s="72" t="str" cm="1">
        <f t="array" ref="G22">Common_InputFunctions.Utility_DisplayArrayInTable(Fuel_SourceData.Fuel_Scope1Scope3EmissionFactorsTransport_Data(), Table_Fuel_EFs_Transport[[#Headers],[Transport type]], 0)</f>
        <v>kl</v>
      </c>
      <c r="H22" s="72" cm="1">
        <f t="array" ref="H22">Common_InputFunctions.Utility_DisplayArrayInTable(Fuel_SourceData.Fuel_Scope1Scope3EmissionFactorsTransport_Data(), Table_Fuel_EFs_Transport[[#Headers],[Transport type]], 0)</f>
        <v>69.900000000000006</v>
      </c>
      <c r="I22" s="72" cm="1">
        <f t="array" ref="I22">Common_InputFunctions.Utility_DisplayArrayInTable(Fuel_SourceData.Fuel_Scope1Scope3EmissionFactorsTransport_Data(), Table_Fuel_EFs_Transport[[#Headers],[Transport type]], 0)</f>
        <v>7.0000000000000007E-2</v>
      </c>
      <c r="J22" s="72" cm="1">
        <f t="array" ref="J22">Common_InputFunctions.Utility_DisplayArrayInTable(Fuel_SourceData.Fuel_Scope1Scope3EmissionFactorsTransport_Data(), Table_Fuel_EFs_Transport[[#Headers],[Transport type]], 0)</f>
        <v>0.4</v>
      </c>
      <c r="K22" s="72" cm="1">
        <f t="array" ref="K22">Common_InputFunctions.Utility_DisplayArrayInTable(Fuel_SourceData.Fuel_Scope1Scope3EmissionFactorsTransport_Data(), Table_Fuel_EFs_Transport[[#Headers],[Transport type]], 0)</f>
        <v>70.37</v>
      </c>
      <c r="L22" s="72" cm="1">
        <f t="array" ref="L22">Common_InputFunctions.Utility_DisplayArrayInTable(Fuel_SourceData.Fuel_Scope1Scope3EmissionFactorsTransport_Data(), Table_Fuel_EFs_Transport[[#Headers],[Transport type]], 0)</f>
        <v>17.3</v>
      </c>
    </row>
    <row r="23" spans="1:12" ht="20.100000000000001" customHeight="1" x14ac:dyDescent="0.25">
      <c r="D23" s="72" t="str" cm="1">
        <f t="array" ref="D23">Common_InputFunctions.Utility_DisplayArrayInTable(Fuel_SourceData.Fuel_Scope1Scope3EmissionFactorsTransport_Data(), Table_Fuel_EFs_Transport[[#Headers],[Transport type]], 0)</f>
        <v>Heavy duty vehicles</v>
      </c>
      <c r="E23" s="72" t="str" cm="1">
        <f t="array" ref="E23">Common_InputFunctions.Utility_DisplayArrayInTable(Fuel_SourceData.Fuel_Scope1Scope3EmissionFactorsTransport_Data(), Table_Fuel_EFs_Transport[[#Headers],[Transport type]], 0)</f>
        <v>Diesel oil - Euro iii</v>
      </c>
      <c r="F23" s="72" cm="1">
        <f t="array" ref="F23">Common_InputFunctions.Utility_DisplayArrayInTable(Fuel_SourceData.Fuel_Scope1Scope3EmissionFactorsTransport_Data(), Table_Fuel_EFs_Transport[[#Headers],[Transport type]], 0)</f>
        <v>38.6</v>
      </c>
      <c r="G23" s="72" t="str" cm="1">
        <f t="array" ref="G23">Common_InputFunctions.Utility_DisplayArrayInTable(Fuel_SourceData.Fuel_Scope1Scope3EmissionFactorsTransport_Data(), Table_Fuel_EFs_Transport[[#Headers],[Transport type]], 0)</f>
        <v>kl</v>
      </c>
      <c r="H23" s="72" cm="1">
        <f t="array" ref="H23">Common_InputFunctions.Utility_DisplayArrayInTable(Fuel_SourceData.Fuel_Scope1Scope3EmissionFactorsTransport_Data(), Table_Fuel_EFs_Transport[[#Headers],[Transport type]], 0)</f>
        <v>69.900000000000006</v>
      </c>
      <c r="I23" s="72" cm="1">
        <f t="array" ref="I23">Common_InputFunctions.Utility_DisplayArrayInTable(Fuel_SourceData.Fuel_Scope1Scope3EmissionFactorsTransport_Data(), Table_Fuel_EFs_Transport[[#Headers],[Transport type]], 0)</f>
        <v>0.1</v>
      </c>
      <c r="J23" s="72" cm="1">
        <f t="array" ref="J23">Common_InputFunctions.Utility_DisplayArrayInTable(Fuel_SourceData.Fuel_Scope1Scope3EmissionFactorsTransport_Data(), Table_Fuel_EFs_Transport[[#Headers],[Transport type]], 0)</f>
        <v>0.4</v>
      </c>
      <c r="K23" s="72" cm="1">
        <f t="array" ref="K23">Common_InputFunctions.Utility_DisplayArrayInTable(Fuel_SourceData.Fuel_Scope1Scope3EmissionFactorsTransport_Data(), Table_Fuel_EFs_Transport[[#Headers],[Transport type]], 0)</f>
        <v>70.400000000000006</v>
      </c>
      <c r="L23" s="72" cm="1">
        <f t="array" ref="L23">Common_InputFunctions.Utility_DisplayArrayInTable(Fuel_SourceData.Fuel_Scope1Scope3EmissionFactorsTransport_Data(), Table_Fuel_EFs_Transport[[#Headers],[Transport type]], 0)</f>
        <v>17.3</v>
      </c>
    </row>
    <row r="24" spans="1:12" ht="20.100000000000001" customHeight="1" x14ac:dyDescent="0.25">
      <c r="D24" s="72" t="str" cm="1">
        <f t="array" ref="D24">Common_InputFunctions.Utility_DisplayArrayInTable(Fuel_SourceData.Fuel_Scope1Scope3EmissionFactorsTransport_Data(), Table_Fuel_EFs_Transport[[#Headers],[Transport type]], 0)</f>
        <v>Heavy duty vehicles</v>
      </c>
      <c r="E24" s="72" t="str" cm="1">
        <f t="array" ref="E24">Common_InputFunctions.Utility_DisplayArrayInTable(Fuel_SourceData.Fuel_Scope1Scope3EmissionFactorsTransport_Data(), Table_Fuel_EFs_Transport[[#Headers],[Transport type]], 0)</f>
        <v>Diesel oil - Euro i</v>
      </c>
      <c r="F24" s="72" cm="1">
        <f t="array" ref="F24">Common_InputFunctions.Utility_DisplayArrayInTable(Fuel_SourceData.Fuel_Scope1Scope3EmissionFactorsTransport_Data(), Table_Fuel_EFs_Transport[[#Headers],[Transport type]], 0)</f>
        <v>38.6</v>
      </c>
      <c r="G24" s="72" t="str" cm="1">
        <f t="array" ref="G24">Common_InputFunctions.Utility_DisplayArrayInTable(Fuel_SourceData.Fuel_Scope1Scope3EmissionFactorsTransport_Data(), Table_Fuel_EFs_Transport[[#Headers],[Transport type]], 0)</f>
        <v>kl</v>
      </c>
      <c r="H24" s="72" cm="1">
        <f t="array" ref="H24">Common_InputFunctions.Utility_DisplayArrayInTable(Fuel_SourceData.Fuel_Scope1Scope3EmissionFactorsTransport_Data(), Table_Fuel_EFs_Transport[[#Headers],[Transport type]], 0)</f>
        <v>69.900000000000006</v>
      </c>
      <c r="I24" s="72" cm="1">
        <f t="array" ref="I24">Common_InputFunctions.Utility_DisplayArrayInTable(Fuel_SourceData.Fuel_Scope1Scope3EmissionFactorsTransport_Data(), Table_Fuel_EFs_Transport[[#Headers],[Transport type]], 0)</f>
        <v>0.2</v>
      </c>
      <c r="J24" s="72" cm="1">
        <f t="array" ref="J24">Common_InputFunctions.Utility_DisplayArrayInTable(Fuel_SourceData.Fuel_Scope1Scope3EmissionFactorsTransport_Data(), Table_Fuel_EFs_Transport[[#Headers],[Transport type]], 0)</f>
        <v>0.4</v>
      </c>
      <c r="K24" s="72" cm="1">
        <f t="array" ref="K24">Common_InputFunctions.Utility_DisplayArrayInTable(Fuel_SourceData.Fuel_Scope1Scope3EmissionFactorsTransport_Data(), Table_Fuel_EFs_Transport[[#Headers],[Transport type]], 0)</f>
        <v>70.5</v>
      </c>
      <c r="L24" s="72" cm="1">
        <f t="array" ref="L24">Common_InputFunctions.Utility_DisplayArrayInTable(Fuel_SourceData.Fuel_Scope1Scope3EmissionFactorsTransport_Data(), Table_Fuel_EFs_Transport[[#Headers],[Transport type]], 0)</f>
        <v>17.3</v>
      </c>
    </row>
    <row r="25" spans="1:12" ht="20.100000000000001" customHeight="1" x14ac:dyDescent="0.25">
      <c r="D25" s="72" t="str" cm="1">
        <f t="array" ref="D25">Common_InputFunctions.Utility_DisplayArrayInTable(Fuel_SourceData.Fuel_Scope1Scope3EmissionFactorsTransport_Data(), Table_Fuel_EFs_Transport[[#Headers],[Transport type]], 0)</f>
        <v>Heavy duty vehicles</v>
      </c>
      <c r="E25" s="72" t="str" cm="1">
        <f t="array" ref="E25">Common_InputFunctions.Utility_DisplayArrayInTable(Fuel_SourceData.Fuel_Scope1Scope3EmissionFactorsTransport_Data(), Table_Fuel_EFs_Transport[[#Headers],[Transport type]], 0)</f>
        <v>Renewable diesel – Euro iv or higher</v>
      </c>
      <c r="F25" s="72" cm="1">
        <f t="array" ref="F25">Common_InputFunctions.Utility_DisplayArrayInTable(Fuel_SourceData.Fuel_Scope1Scope3EmissionFactorsTransport_Data(), Table_Fuel_EFs_Transport[[#Headers],[Transport type]], 0)</f>
        <v>38.6</v>
      </c>
      <c r="G25" s="72" t="str" cm="1">
        <f t="array" ref="G25">Common_InputFunctions.Utility_DisplayArrayInTable(Fuel_SourceData.Fuel_Scope1Scope3EmissionFactorsTransport_Data(), Table_Fuel_EFs_Transport[[#Headers],[Transport type]], 0)</f>
        <v>kl</v>
      </c>
      <c r="H25" s="72" cm="1">
        <f t="array" ref="H25">Common_InputFunctions.Utility_DisplayArrayInTable(Fuel_SourceData.Fuel_Scope1Scope3EmissionFactorsTransport_Data(), Table_Fuel_EFs_Transport[[#Headers],[Transport type]], 0)</f>
        <v>0</v>
      </c>
      <c r="I25" s="72" cm="1">
        <f t="array" ref="I25">Common_InputFunctions.Utility_DisplayArrayInTable(Fuel_SourceData.Fuel_Scope1Scope3EmissionFactorsTransport_Data(), Table_Fuel_EFs_Transport[[#Headers],[Transport type]], 0)</f>
        <v>7.0000000000000007E-2</v>
      </c>
      <c r="J25" s="72" cm="1">
        <f t="array" ref="J25">Common_InputFunctions.Utility_DisplayArrayInTable(Fuel_SourceData.Fuel_Scope1Scope3EmissionFactorsTransport_Data(), Table_Fuel_EFs_Transport[[#Headers],[Transport type]], 0)</f>
        <v>0.4</v>
      </c>
      <c r="K25" s="72" cm="1">
        <f t="array" ref="K25">Common_InputFunctions.Utility_DisplayArrayInTable(Fuel_SourceData.Fuel_Scope1Scope3EmissionFactorsTransport_Data(), Table_Fuel_EFs_Transport[[#Headers],[Transport type]], 0)</f>
        <v>0.47</v>
      </c>
      <c r="L25" s="72" t="str" cm="1">
        <f t="array" ref="L25">Common_InputFunctions.Utility_DisplayArrayInTable(Fuel_SourceData.Fuel_Scope1Scope3EmissionFactorsTransport_Data(), Table_Fuel_EFs_Transport[[#Headers],[Transport type]], 0)</f>
        <v>NE</v>
      </c>
    </row>
    <row r="26" spans="1:12" ht="20.100000000000001" customHeight="1" x14ac:dyDescent="0.25">
      <c r="D26" s="72" t="str" cm="1">
        <f t="array" ref="D26">Common_InputFunctions.Utility_DisplayArrayInTable(Fuel_SourceData.Fuel_Scope1Scope3EmissionFactorsTransport_Data(), Table_Fuel_EFs_Transport[[#Headers],[Transport type]], 0)</f>
        <v>Heavy duty vehicles</v>
      </c>
      <c r="E26" s="72" t="str" cm="1">
        <f t="array" ref="E26">Common_InputFunctions.Utility_DisplayArrayInTable(Fuel_SourceData.Fuel_Scope1Scope3EmissionFactorsTransport_Data(), Table_Fuel_EFs_Transport[[#Headers],[Transport type]], 0)</f>
        <v>Renewable diesel – Euro iii</v>
      </c>
      <c r="F26" s="72" cm="1">
        <f t="array" ref="F26">Common_InputFunctions.Utility_DisplayArrayInTable(Fuel_SourceData.Fuel_Scope1Scope3EmissionFactorsTransport_Data(), Table_Fuel_EFs_Transport[[#Headers],[Transport type]], 0)</f>
        <v>38.6</v>
      </c>
      <c r="G26" s="72" t="str" cm="1">
        <f t="array" ref="G26">Common_InputFunctions.Utility_DisplayArrayInTable(Fuel_SourceData.Fuel_Scope1Scope3EmissionFactorsTransport_Data(), Table_Fuel_EFs_Transport[[#Headers],[Transport type]], 0)</f>
        <v>kl</v>
      </c>
      <c r="H26" s="72" cm="1">
        <f t="array" ref="H26">Common_InputFunctions.Utility_DisplayArrayInTable(Fuel_SourceData.Fuel_Scope1Scope3EmissionFactorsTransport_Data(), Table_Fuel_EFs_Transport[[#Headers],[Transport type]], 0)</f>
        <v>0</v>
      </c>
      <c r="I26" s="72" cm="1">
        <f t="array" ref="I26">Common_InputFunctions.Utility_DisplayArrayInTable(Fuel_SourceData.Fuel_Scope1Scope3EmissionFactorsTransport_Data(), Table_Fuel_EFs_Transport[[#Headers],[Transport type]], 0)</f>
        <v>0.1</v>
      </c>
      <c r="J26" s="72" cm="1">
        <f t="array" ref="J26">Common_InputFunctions.Utility_DisplayArrayInTable(Fuel_SourceData.Fuel_Scope1Scope3EmissionFactorsTransport_Data(), Table_Fuel_EFs_Transport[[#Headers],[Transport type]], 0)</f>
        <v>0.4</v>
      </c>
      <c r="K26" s="72" cm="1">
        <f t="array" ref="K26">Common_InputFunctions.Utility_DisplayArrayInTable(Fuel_SourceData.Fuel_Scope1Scope3EmissionFactorsTransport_Data(), Table_Fuel_EFs_Transport[[#Headers],[Transport type]], 0)</f>
        <v>0.5</v>
      </c>
      <c r="L26" s="72" t="str" cm="1">
        <f t="array" ref="L26">Common_InputFunctions.Utility_DisplayArrayInTable(Fuel_SourceData.Fuel_Scope1Scope3EmissionFactorsTransport_Data(), Table_Fuel_EFs_Transport[[#Headers],[Transport type]], 0)</f>
        <v>NE</v>
      </c>
    </row>
    <row r="27" spans="1:12" ht="20.100000000000001" customHeight="1" x14ac:dyDescent="0.25">
      <c r="D27" s="72" t="str" cm="1">
        <f t="array" ref="D27">Common_InputFunctions.Utility_DisplayArrayInTable(Fuel_SourceData.Fuel_Scope1Scope3EmissionFactorsTransport_Data(), Table_Fuel_EFs_Transport[[#Headers],[Transport type]], 0)</f>
        <v>Heavy duty vehicles</v>
      </c>
      <c r="E27" s="72" t="str" cm="1">
        <f t="array" ref="E27">Common_InputFunctions.Utility_DisplayArrayInTable(Fuel_SourceData.Fuel_Scope1Scope3EmissionFactorsTransport_Data(), Table_Fuel_EFs_Transport[[#Headers],[Transport type]], 0)</f>
        <v>Renewable diesel – Euro i</v>
      </c>
      <c r="F27" s="72" cm="1">
        <f t="array" ref="F27">Common_InputFunctions.Utility_DisplayArrayInTable(Fuel_SourceData.Fuel_Scope1Scope3EmissionFactorsTransport_Data(), Table_Fuel_EFs_Transport[[#Headers],[Transport type]], 0)</f>
        <v>38.6</v>
      </c>
      <c r="G27" s="72" t="str" cm="1">
        <f t="array" ref="G27">Common_InputFunctions.Utility_DisplayArrayInTable(Fuel_SourceData.Fuel_Scope1Scope3EmissionFactorsTransport_Data(), Table_Fuel_EFs_Transport[[#Headers],[Transport type]], 0)</f>
        <v>kl</v>
      </c>
      <c r="H27" s="72" cm="1">
        <f t="array" ref="H27">Common_InputFunctions.Utility_DisplayArrayInTable(Fuel_SourceData.Fuel_Scope1Scope3EmissionFactorsTransport_Data(), Table_Fuel_EFs_Transport[[#Headers],[Transport type]], 0)</f>
        <v>0</v>
      </c>
      <c r="I27" s="72" cm="1">
        <f t="array" ref="I27">Common_InputFunctions.Utility_DisplayArrayInTable(Fuel_SourceData.Fuel_Scope1Scope3EmissionFactorsTransport_Data(), Table_Fuel_EFs_Transport[[#Headers],[Transport type]], 0)</f>
        <v>0.2</v>
      </c>
      <c r="J27" s="72" cm="1">
        <f t="array" ref="J27">Common_InputFunctions.Utility_DisplayArrayInTable(Fuel_SourceData.Fuel_Scope1Scope3EmissionFactorsTransport_Data(), Table_Fuel_EFs_Transport[[#Headers],[Transport type]], 0)</f>
        <v>0.4</v>
      </c>
      <c r="K27" s="72" cm="1">
        <f t="array" ref="K27">Common_InputFunctions.Utility_DisplayArrayInTable(Fuel_SourceData.Fuel_Scope1Scope3EmissionFactorsTransport_Data(), Table_Fuel_EFs_Transport[[#Headers],[Transport type]], 0)</f>
        <v>0.6</v>
      </c>
      <c r="L27" s="72" t="str" cm="1">
        <f t="array" ref="L27">Common_InputFunctions.Utility_DisplayArrayInTable(Fuel_SourceData.Fuel_Scope1Scope3EmissionFactorsTransport_Data(), Table_Fuel_EFs_Transport[[#Headers],[Transport type]], 0)</f>
        <v>NE</v>
      </c>
    </row>
    <row r="28" spans="1:12" ht="20.100000000000001" customHeight="1" x14ac:dyDescent="0.25">
      <c r="D28" s="72" t="str" cm="1">
        <f t="array" ref="D28">Common_InputFunctions.Utility_DisplayArrayInTable(Fuel_SourceData.Fuel_Scope1Scope3EmissionFactorsTransport_Data(), Table_Fuel_EFs_Transport[[#Headers],[Transport type]], 0)</f>
        <v>Aviation</v>
      </c>
      <c r="E28" s="72" t="str" cm="1">
        <f t="array" ref="E28">Common_InputFunctions.Utility_DisplayArrayInTable(Fuel_SourceData.Fuel_Scope1Scope3EmissionFactorsTransport_Data(), Table_Fuel_EFs_Transport[[#Headers],[Transport type]], 0)</f>
        <v>Gasoline for use as fuel in an aircraft</v>
      </c>
      <c r="F28" s="72" cm="1">
        <f t="array" ref="F28">Common_InputFunctions.Utility_DisplayArrayInTable(Fuel_SourceData.Fuel_Scope1Scope3EmissionFactorsTransport_Data(), Table_Fuel_EFs_Transport[[#Headers],[Transport type]], 0)</f>
        <v>33.1</v>
      </c>
      <c r="G28" s="72" t="str" cm="1">
        <f t="array" ref="G28">Common_InputFunctions.Utility_DisplayArrayInTable(Fuel_SourceData.Fuel_Scope1Scope3EmissionFactorsTransport_Data(), Table_Fuel_EFs_Transport[[#Headers],[Transport type]], 0)</f>
        <v>kl</v>
      </c>
      <c r="H28" s="72" cm="1">
        <f t="array" ref="H28">Common_InputFunctions.Utility_DisplayArrayInTable(Fuel_SourceData.Fuel_Scope1Scope3EmissionFactorsTransport_Data(), Table_Fuel_EFs_Transport[[#Headers],[Transport type]], 0)</f>
        <v>67</v>
      </c>
      <c r="I28" s="72" cm="1">
        <f t="array" ref="I28">Common_InputFunctions.Utility_DisplayArrayInTable(Fuel_SourceData.Fuel_Scope1Scope3EmissionFactorsTransport_Data(), Table_Fuel_EFs_Transport[[#Headers],[Transport type]], 0)</f>
        <v>0.06</v>
      </c>
      <c r="J28" s="72" cm="1">
        <f t="array" ref="J28">Common_InputFunctions.Utility_DisplayArrayInTable(Fuel_SourceData.Fuel_Scope1Scope3EmissionFactorsTransport_Data(), Table_Fuel_EFs_Transport[[#Headers],[Transport type]], 0)</f>
        <v>0.6</v>
      </c>
      <c r="K28" s="72" cm="1">
        <f t="array" ref="K28">Common_InputFunctions.Utility_DisplayArrayInTable(Fuel_SourceData.Fuel_Scope1Scope3EmissionFactorsTransport_Data(), Table_Fuel_EFs_Transport[[#Headers],[Transport type]], 0)</f>
        <v>67.66</v>
      </c>
      <c r="L28" s="72" cm="1">
        <f t="array" ref="L28">Common_InputFunctions.Utility_DisplayArrayInTable(Fuel_SourceData.Fuel_Scope1Scope3EmissionFactorsTransport_Data(), Table_Fuel_EFs_Transport[[#Headers],[Transport type]], 0)</f>
        <v>18</v>
      </c>
    </row>
    <row r="29" spans="1:12" ht="20.100000000000001" customHeight="1" x14ac:dyDescent="0.25">
      <c r="D29" s="72" t="str" cm="1">
        <f t="array" ref="D29">Common_InputFunctions.Utility_DisplayArrayInTable(Fuel_SourceData.Fuel_Scope1Scope3EmissionFactorsTransport_Data(), Table_Fuel_EFs_Transport[[#Headers],[Transport type]], 0)</f>
        <v>Aviation</v>
      </c>
      <c r="E29" s="72" t="str" cm="1">
        <f t="array" ref="E29">Common_InputFunctions.Utility_DisplayArrayInTable(Fuel_SourceData.Fuel_Scope1Scope3EmissionFactorsTransport_Data(), Table_Fuel_EFs_Transport[[#Headers],[Transport type]], 0)</f>
        <v>Kerosene for use as fuel in an aircraft</v>
      </c>
      <c r="F29" s="72" cm="1">
        <f t="array" ref="F29">Common_InputFunctions.Utility_DisplayArrayInTable(Fuel_SourceData.Fuel_Scope1Scope3EmissionFactorsTransport_Data(), Table_Fuel_EFs_Transport[[#Headers],[Transport type]], 0)</f>
        <v>36.799999999999997</v>
      </c>
      <c r="G29" s="72" t="str" cm="1">
        <f t="array" ref="G29">Common_InputFunctions.Utility_DisplayArrayInTable(Fuel_SourceData.Fuel_Scope1Scope3EmissionFactorsTransport_Data(), Table_Fuel_EFs_Transport[[#Headers],[Transport type]], 0)</f>
        <v>kl</v>
      </c>
      <c r="H29" s="72" cm="1">
        <f t="array" ref="H29">Common_InputFunctions.Utility_DisplayArrayInTable(Fuel_SourceData.Fuel_Scope1Scope3EmissionFactorsTransport_Data(), Table_Fuel_EFs_Transport[[#Headers],[Transport type]], 0)</f>
        <v>69.599999999999994</v>
      </c>
      <c r="I29" s="72" cm="1">
        <f t="array" ref="I29">Common_InputFunctions.Utility_DisplayArrayInTable(Fuel_SourceData.Fuel_Scope1Scope3EmissionFactorsTransport_Data(), Table_Fuel_EFs_Transport[[#Headers],[Transport type]], 0)</f>
        <v>0.01</v>
      </c>
      <c r="J29" s="72" cm="1">
        <f t="array" ref="J29">Common_InputFunctions.Utility_DisplayArrayInTable(Fuel_SourceData.Fuel_Scope1Scope3EmissionFactorsTransport_Data(), Table_Fuel_EFs_Transport[[#Headers],[Transport type]], 0)</f>
        <v>0.6</v>
      </c>
      <c r="K29" s="72" cm="1">
        <f t="array" ref="K29">Common_InputFunctions.Utility_DisplayArrayInTable(Fuel_SourceData.Fuel_Scope1Scope3EmissionFactorsTransport_Data(), Table_Fuel_EFs_Transport[[#Headers],[Transport type]], 0)</f>
        <v>70.209999999999994</v>
      </c>
      <c r="L29" s="72" cm="1">
        <f t="array" ref="L29">Common_InputFunctions.Utility_DisplayArrayInTable(Fuel_SourceData.Fuel_Scope1Scope3EmissionFactorsTransport_Data(), Table_Fuel_EFs_Transport[[#Headers],[Transport type]], 0)</f>
        <v>18</v>
      </c>
    </row>
    <row r="30" spans="1:12" ht="20.100000000000001" customHeight="1" x14ac:dyDescent="0.25">
      <c r="D30" s="72" t="str" cm="1">
        <f t="array" ref="D30">Common_InputFunctions.Utility_DisplayArrayInTable(Fuel_SourceData.Fuel_Scope1Scope3EmissionFactorsTransport_Data(), Table_Fuel_EFs_Transport[[#Headers],[Transport type]], 0)</f>
        <v>Aviation</v>
      </c>
      <c r="E30" s="72" t="str" cm="1">
        <f t="array" ref="E30">Common_InputFunctions.Utility_DisplayArrayInTable(Fuel_SourceData.Fuel_Scope1Scope3EmissionFactorsTransport_Data(), Table_Fuel_EFs_Transport[[#Headers],[Transport type]], 0)</f>
        <v>Renewable aviation kerosene</v>
      </c>
      <c r="F30" s="72" cm="1">
        <f t="array" ref="F30">Common_InputFunctions.Utility_DisplayArrayInTable(Fuel_SourceData.Fuel_Scope1Scope3EmissionFactorsTransport_Data(), Table_Fuel_EFs_Transport[[#Headers],[Transport type]], 0)</f>
        <v>36.799999999999997</v>
      </c>
      <c r="G30" s="72" t="str" cm="1">
        <f t="array" ref="G30">Common_InputFunctions.Utility_DisplayArrayInTable(Fuel_SourceData.Fuel_Scope1Scope3EmissionFactorsTransport_Data(), Table_Fuel_EFs_Transport[[#Headers],[Transport type]], 0)</f>
        <v>kl</v>
      </c>
      <c r="H30" s="72" cm="1">
        <f t="array" ref="H30">Common_InputFunctions.Utility_DisplayArrayInTable(Fuel_SourceData.Fuel_Scope1Scope3EmissionFactorsTransport_Data(), Table_Fuel_EFs_Transport[[#Headers],[Transport type]], 0)</f>
        <v>0</v>
      </c>
      <c r="I30" s="72" cm="1">
        <f t="array" ref="I30">Common_InputFunctions.Utility_DisplayArrayInTable(Fuel_SourceData.Fuel_Scope1Scope3EmissionFactorsTransport_Data(), Table_Fuel_EFs_Transport[[#Headers],[Transport type]], 0)</f>
        <v>0.01</v>
      </c>
      <c r="J30" s="72" cm="1">
        <f t="array" ref="J30">Common_InputFunctions.Utility_DisplayArrayInTable(Fuel_SourceData.Fuel_Scope1Scope3EmissionFactorsTransport_Data(), Table_Fuel_EFs_Transport[[#Headers],[Transport type]], 0)</f>
        <v>0.6</v>
      </c>
      <c r="K30" s="72" cm="1">
        <f t="array" ref="K30">Common_InputFunctions.Utility_DisplayArrayInTable(Fuel_SourceData.Fuel_Scope1Scope3EmissionFactorsTransport_Data(), Table_Fuel_EFs_Transport[[#Headers],[Transport type]], 0)</f>
        <v>0.61</v>
      </c>
      <c r="L30" s="72" t="str" cm="1">
        <f t="array" ref="L30">Common_InputFunctions.Utility_DisplayArrayInTable(Fuel_SourceData.Fuel_Scope1Scope3EmissionFactorsTransport_Data(), Table_Fuel_EFs_Transport[[#Headers],[Transport type]], 0)</f>
        <v>NE</v>
      </c>
    </row>
    <row r="31" spans="1:12" ht="20.100000000000001" customHeight="1" x14ac:dyDescent="0.25">
      <c r="D31" s="72" t="str" cm="1">
        <f t="array" ref="D31">Common_InputFunctions.Utility_DisplayArrayInTable(Fuel_SourceData.Fuel_Scope1Scope3EmissionFactorsTransport_Data(), Table_Fuel_EFs_Transport[[#Headers],[Transport type]], 0)</f>
        <v>Vessels</v>
      </c>
      <c r="E31" s="72" t="str" cm="1">
        <f t="array" ref="E31">Common_InputFunctions.Utility_DisplayArrayInTable(Fuel_SourceData.Fuel_Scope1Scope3EmissionFactorsTransport_Data(), Table_Fuel_EFs_Transport[[#Headers],[Transport type]], 0)</f>
        <v>Gasoline</v>
      </c>
      <c r="F31" s="72" cm="1">
        <f t="array" ref="F31">Common_InputFunctions.Utility_DisplayArrayInTable(Fuel_SourceData.Fuel_Scope1Scope3EmissionFactorsTransport_Data(), Table_Fuel_EFs_Transport[[#Headers],[Transport type]], 0)</f>
        <v>34.200000000000003</v>
      </c>
      <c r="G31" s="72" t="str" cm="1">
        <f t="array" ref="G31">Common_InputFunctions.Utility_DisplayArrayInTable(Fuel_SourceData.Fuel_Scope1Scope3EmissionFactorsTransport_Data(), Table_Fuel_EFs_Transport[[#Headers],[Transport type]], 0)</f>
        <v>kL</v>
      </c>
      <c r="H31" s="72" cm="1">
        <f t="array" ref="H31">Common_InputFunctions.Utility_DisplayArrayInTable(Fuel_SourceData.Fuel_Scope1Scope3EmissionFactorsTransport_Data(), Table_Fuel_EFs_Transport[[#Headers],[Transport type]], 0)</f>
        <v>67.400000000000006</v>
      </c>
      <c r="I31" s="72" cm="1">
        <f t="array" ref="I31">Common_InputFunctions.Utility_DisplayArrayInTable(Fuel_SourceData.Fuel_Scope1Scope3EmissionFactorsTransport_Data(), Table_Fuel_EFs_Transport[[#Headers],[Transport type]], 0)</f>
        <v>10.1</v>
      </c>
      <c r="J31" s="72" cm="1">
        <f t="array" ref="J31">Common_InputFunctions.Utility_DisplayArrayInTable(Fuel_SourceData.Fuel_Scope1Scope3EmissionFactorsTransport_Data(), Table_Fuel_EFs_Transport[[#Headers],[Transport type]], 0)</f>
        <v>0.3</v>
      </c>
      <c r="K31" s="72" t="str" cm="1">
        <f t="array" ref="K31">Common_InputFunctions.Utility_DisplayArrayInTable(Fuel_SourceData.Fuel_Scope1Scope3EmissionFactorsTransport_Data(), Table_Fuel_EFs_Transport[[#Headers],[Transport type]], 0)</f>
        <v/>
      </c>
      <c r="L31" s="72" cm="1">
        <f t="array" ref="L31">Common_InputFunctions.Utility_DisplayArrayInTable(Fuel_SourceData.Fuel_Scope1Scope3EmissionFactorsTransport_Data(), Table_Fuel_EFs_Transport[[#Headers],[Transport type]], 0)</f>
        <v>17.2</v>
      </c>
    </row>
    <row r="32" spans="1:12" ht="20.100000000000001" customHeight="1" x14ac:dyDescent="0.25">
      <c r="D32" s="96" t="str" cm="1">
        <f t="array" ref="D32">Common_InputFunctions.Utility_DisplayArrayInTable(Fuel_SourceData.Fuel_Scope1Scope3EmissionFactorsTransport_Data(), Table_Fuel_EFs_Transport[[#Headers],[Transport type]], 0)</f>
        <v>Vessels</v>
      </c>
      <c r="E32" s="96" t="str" cm="1">
        <f t="array" ref="E32">Common_InputFunctions.Utility_DisplayArrayInTable(Fuel_SourceData.Fuel_Scope1Scope3EmissionFactorsTransport_Data(), Table_Fuel_EFs_Transport[[#Headers],[Transport type]], 0)</f>
        <v>Diesel oil</v>
      </c>
      <c r="F32" s="96" cm="1">
        <f t="array" ref="F32">Common_InputFunctions.Utility_DisplayArrayInTable(Fuel_SourceData.Fuel_Scope1Scope3EmissionFactorsTransport_Data(), Table_Fuel_EFs_Transport[[#Headers],[Transport type]], 0)</f>
        <v>38.6</v>
      </c>
      <c r="G32" s="96" t="str" cm="1">
        <f t="array" ref="G32">Common_InputFunctions.Utility_DisplayArrayInTable(Fuel_SourceData.Fuel_Scope1Scope3EmissionFactorsTransport_Data(), Table_Fuel_EFs_Transport[[#Headers],[Transport type]], 0)</f>
        <v>kL</v>
      </c>
      <c r="H32" s="96" cm="1">
        <f t="array" ref="H32">Common_InputFunctions.Utility_DisplayArrayInTable(Fuel_SourceData.Fuel_Scope1Scope3EmissionFactorsTransport_Data(), Table_Fuel_EFs_Transport[[#Headers],[Transport type]], 0)</f>
        <v>69.900000000000006</v>
      </c>
      <c r="I32" s="96" cm="1">
        <f t="array" ref="I32">Common_InputFunctions.Utility_DisplayArrayInTable(Fuel_SourceData.Fuel_Scope1Scope3EmissionFactorsTransport_Data(), Table_Fuel_EFs_Transport[[#Headers],[Transport type]], 0)</f>
        <v>0.2</v>
      </c>
      <c r="J32" s="96" cm="1">
        <f t="array" ref="J32">Common_InputFunctions.Utility_DisplayArrayInTable(Fuel_SourceData.Fuel_Scope1Scope3EmissionFactorsTransport_Data(), Table_Fuel_EFs_Transport[[#Headers],[Transport type]], 0)</f>
        <v>0.5</v>
      </c>
      <c r="K32" s="96" t="str" cm="1">
        <f t="array" ref="K32">Common_InputFunctions.Utility_DisplayArrayInTable(Fuel_SourceData.Fuel_Scope1Scope3EmissionFactorsTransport_Data(), Table_Fuel_EFs_Transport[[#Headers],[Transport type]], 0)</f>
        <v/>
      </c>
      <c r="L32" s="96" cm="1">
        <f t="array" ref="L32">Common_InputFunctions.Utility_DisplayArrayInTable(Fuel_SourceData.Fuel_Scope1Scope3EmissionFactorsTransport_Data(), Table_Fuel_EFs_Transport[[#Headers],[Transport type]], 0)</f>
        <v>17.3</v>
      </c>
    </row>
    <row r="33" spans="4:12" ht="20.100000000000001" customHeight="1" x14ac:dyDescent="0.25">
      <c r="D33" s="96" t="str" cm="1">
        <f t="array" ref="D33">Common_InputFunctions.Utility_DisplayArrayInTable(Fuel_SourceData.Fuel_Scope1Scope3EmissionFactorsTransport_Data(), Table_Fuel_EFs_Transport[[#Headers],[Transport type]], 0)</f>
        <v>Vessels</v>
      </c>
      <c r="E33" s="96" t="str" cm="1">
        <f t="array" ref="E33">Common_InputFunctions.Utility_DisplayArrayInTable(Fuel_SourceData.Fuel_Scope1Scope3EmissionFactorsTransport_Data(), Table_Fuel_EFs_Transport[[#Headers],[Transport type]], 0)</f>
        <v>Fuel Oil</v>
      </c>
      <c r="F33" s="96" cm="1">
        <f t="array" ref="F33">Common_InputFunctions.Utility_DisplayArrayInTable(Fuel_SourceData.Fuel_Scope1Scope3EmissionFactorsTransport_Data(), Table_Fuel_EFs_Transport[[#Headers],[Transport type]], 0)</f>
        <v>39.700000000000003</v>
      </c>
      <c r="G33" s="96" t="str" cm="1">
        <f t="array" ref="G33">Common_InputFunctions.Utility_DisplayArrayInTable(Fuel_SourceData.Fuel_Scope1Scope3EmissionFactorsTransport_Data(), Table_Fuel_EFs_Transport[[#Headers],[Transport type]], 0)</f>
        <v>kL</v>
      </c>
      <c r="H33" s="96" cm="1">
        <f t="array" ref="H33">Common_InputFunctions.Utility_DisplayArrayInTable(Fuel_SourceData.Fuel_Scope1Scope3EmissionFactorsTransport_Data(), Table_Fuel_EFs_Transport[[#Headers],[Transport type]], 0)</f>
        <v>73.599999999999994</v>
      </c>
      <c r="I33" s="96" cm="1">
        <f t="array" ref="I33">Common_InputFunctions.Utility_DisplayArrayInTable(Fuel_SourceData.Fuel_Scope1Scope3EmissionFactorsTransport_Data(), Table_Fuel_EFs_Transport[[#Headers],[Transport type]], 0)</f>
        <v>0.2</v>
      </c>
      <c r="J33" s="96" cm="1">
        <f t="array" ref="J33">Common_InputFunctions.Utility_DisplayArrayInTable(Fuel_SourceData.Fuel_Scope1Scope3EmissionFactorsTransport_Data(), Table_Fuel_EFs_Transport[[#Headers],[Transport type]], 0)</f>
        <v>0.5</v>
      </c>
      <c r="K33" s="96" t="str" cm="1">
        <f t="array" ref="K33">Common_InputFunctions.Utility_DisplayArrayInTable(Fuel_SourceData.Fuel_Scope1Scope3EmissionFactorsTransport_Data(), Table_Fuel_EFs_Transport[[#Headers],[Transport type]], 0)</f>
        <v/>
      </c>
      <c r="L33" s="96" cm="1">
        <f t="array" ref="L33">Common_InputFunctions.Utility_DisplayArrayInTable(Fuel_SourceData.Fuel_Scope1Scope3EmissionFactorsTransport_Data(), Table_Fuel_EFs_Transport[[#Headers],[Transport type]], 0)</f>
        <v>18</v>
      </c>
    </row>
    <row r="34" spans="4:12" ht="20.100000000000001" customHeight="1" x14ac:dyDescent="0.25">
      <c r="D34" s="96" t="str" cm="1">
        <f t="array" ref="D34">Common_InputFunctions.Utility_DisplayArrayInTable(Fuel_SourceData.Fuel_Scope1Scope3EmissionFactorsTransport_Data(), Table_Fuel_EFs_Transport[[#Headers],[Transport type]], 0)</f>
        <v>Off-road Agriculture and forestry equipment</v>
      </c>
      <c r="E34" s="96" t="str" cm="1">
        <f t="array" ref="E34">Common_InputFunctions.Utility_DisplayArrayInTable(Fuel_SourceData.Fuel_Scope1Scope3EmissionFactorsTransport_Data(), Table_Fuel_EFs_Transport[[#Headers],[Transport type]], 0)</f>
        <v>Diesel oil</v>
      </c>
      <c r="F34" s="96" cm="1">
        <f t="array" ref="F34">Common_InputFunctions.Utility_DisplayArrayInTable(Fuel_SourceData.Fuel_Scope1Scope3EmissionFactorsTransport_Data(), Table_Fuel_EFs_Transport[[#Headers],[Transport type]], 0)</f>
        <v>38.6</v>
      </c>
      <c r="G34" s="96" t="str" cm="1">
        <f t="array" ref="G34">Common_InputFunctions.Utility_DisplayArrayInTable(Fuel_SourceData.Fuel_Scope1Scope3EmissionFactorsTransport_Data(), Table_Fuel_EFs_Transport[[#Headers],[Transport type]], 0)</f>
        <v>kL</v>
      </c>
      <c r="H34" s="96" cm="1">
        <f t="array" ref="H34">Common_InputFunctions.Utility_DisplayArrayInTable(Fuel_SourceData.Fuel_Scope1Scope3EmissionFactorsTransport_Data(), Table_Fuel_EFs_Transport[[#Headers],[Transport type]], 0)</f>
        <v>69.900000000000006</v>
      </c>
      <c r="I34" s="96" cm="1">
        <f t="array" ref="I34">Common_InputFunctions.Utility_DisplayArrayInTable(Fuel_SourceData.Fuel_Scope1Scope3EmissionFactorsTransport_Data(), Table_Fuel_EFs_Transport[[#Headers],[Transport type]], 0)</f>
        <v>0.3</v>
      </c>
      <c r="J34" s="96" cm="1">
        <f t="array" ref="J34">Common_InputFunctions.Utility_DisplayArrayInTable(Fuel_SourceData.Fuel_Scope1Scope3EmissionFactorsTransport_Data(), Table_Fuel_EFs_Transport[[#Headers],[Transport type]], 0)</f>
        <v>0.5</v>
      </c>
      <c r="K34" s="96" t="str" cm="1">
        <f t="array" ref="K34">Common_InputFunctions.Utility_DisplayArrayInTable(Fuel_SourceData.Fuel_Scope1Scope3EmissionFactorsTransport_Data(), Table_Fuel_EFs_Transport[[#Headers],[Transport type]], 0)</f>
        <v/>
      </c>
      <c r="L34" s="96"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7" t="s">
        <v>136</v>
      </c>
      <c r="E39" s="27" t="s">
        <v>137</v>
      </c>
      <c r="F39" s="27" t="s">
        <v>138</v>
      </c>
      <c r="G39" s="27" t="s">
        <v>139</v>
      </c>
      <c r="H39" s="27" t="s">
        <v>140</v>
      </c>
      <c r="I39" s="27" t="s">
        <v>141</v>
      </c>
      <c r="J39" s="27" t="s">
        <v>142</v>
      </c>
    </row>
    <row r="40" spans="4:12" ht="20.100000000000001" customHeight="1" x14ac:dyDescent="0.25">
      <c r="D40" s="27" t="str" cm="1">
        <f t="array" ref="D40">Common_InputFunctions.Utility_DisplayArrayInTable(Fuel_SourceData.Fuel_Scope1Scope3EmissionFactorsTransportOffRoad_Data(), Table_SourceData_Fuel_TransportOffroad[[#Headers],[Transport type t]],0)</f>
        <v>Vessel</v>
      </c>
      <c r="E40" s="27" t="str" cm="1">
        <f t="array" ref="E40">Common_InputFunctions.Utility_DisplayArrayInTable(Fuel_SourceData.Fuel_Scope1Scope3EmissionFactorsTransportOffRoad_Data(), Table_SourceData_Fuel_TransportOffroad[[#Headers],[Transport type t]],0)</f>
        <v>Petrol</v>
      </c>
      <c r="F40" s="27" cm="1">
        <f t="array" ref="F40">Common_InputFunctions.Utility_DisplayArrayInTable(Fuel_SourceData.Fuel_Scope1Scope3EmissionFactorsTransportOffRoad_Data(), Table_SourceData_Fuel_TransportOffroad[[#Headers],[Transport type t]],0)</f>
        <v>34.200000000000003</v>
      </c>
      <c r="G40" s="27" cm="1">
        <f t="array" ref="G40">Common_InputFunctions.Utility_DisplayArrayInTable(Fuel_SourceData.Fuel_Scope1Scope3EmissionFactorsTransportOffRoad_Data(), Table_SourceData_Fuel_TransportOffroad[[#Headers],[Transport type t]],0)</f>
        <v>67.400000000000006</v>
      </c>
      <c r="H40" s="27" cm="1">
        <f t="array" ref="H40">Common_InputFunctions.Utility_DisplayArrayInTable(Fuel_SourceData.Fuel_Scope1Scope3EmissionFactorsTransportOffRoad_Data(), Table_SourceData_Fuel_TransportOffroad[[#Headers],[Transport type t]],0)</f>
        <v>10.1</v>
      </c>
      <c r="I40" s="27" cm="1">
        <f t="array" ref="I40">Common_InputFunctions.Utility_DisplayArrayInTable(Fuel_SourceData.Fuel_Scope1Scope3EmissionFactorsTransportOffRoad_Data(), Table_SourceData_Fuel_TransportOffroad[[#Headers],[Transport type t]],0)</f>
        <v>0.3</v>
      </c>
      <c r="J40" s="27"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7" t="str" cm="1">
        <f t="array" ref="E41">Common_InputFunctions.Utility_DisplayArrayInTable(Fuel_SourceData.Fuel_Scope1Scope3EmissionFactorsTransportOffRoad_Data(), Table_SourceData_Fuel_TransportOffroad[[#Headers],[Transport type t]],0)</f>
        <v>Diesel</v>
      </c>
      <c r="F41" s="27" cm="1">
        <f t="array" ref="F41">Common_InputFunctions.Utility_DisplayArrayInTable(Fuel_SourceData.Fuel_Scope1Scope3EmissionFactorsTransportOffRoad_Data(), Table_SourceData_Fuel_TransportOffroad[[#Headers],[Transport type t]],0)</f>
        <v>38.6</v>
      </c>
      <c r="G41" s="27" cm="1">
        <f t="array" ref="G41">Common_InputFunctions.Utility_DisplayArrayInTable(Fuel_SourceData.Fuel_Scope1Scope3EmissionFactorsTransportOffRoad_Data(), Table_SourceData_Fuel_TransportOffroad[[#Headers],[Transport type t]],0)</f>
        <v>69.900000000000006</v>
      </c>
      <c r="H41" s="27" cm="1">
        <f t="array" ref="H41">Common_InputFunctions.Utility_DisplayArrayInTable(Fuel_SourceData.Fuel_Scope1Scope3EmissionFactorsTransportOffRoad_Data(), Table_SourceData_Fuel_TransportOffroad[[#Headers],[Transport type t]],0)</f>
        <v>0.2</v>
      </c>
      <c r="I41" s="27" cm="1">
        <f t="array" ref="I41">Common_InputFunctions.Utility_DisplayArrayInTable(Fuel_SourceData.Fuel_Scope1Scope3EmissionFactorsTransportOffRoad_Data(), Table_SourceData_Fuel_TransportOffroad[[#Headers],[Transport type t]],0)</f>
        <v>0.5</v>
      </c>
      <c r="J41" s="27"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7" t="str" cm="1">
        <f t="array" ref="E42">Common_InputFunctions.Utility_DisplayArrayInTable(Fuel_SourceData.Fuel_Scope1Scope3EmissionFactorsTransportOffRoad_Data(), Table_SourceData_Fuel_TransportOffroad[[#Headers],[Transport type t]],0)</f>
        <v>Fuel Oil</v>
      </c>
      <c r="F42" s="27" cm="1">
        <f t="array" ref="F42">Common_InputFunctions.Utility_DisplayArrayInTable(Fuel_SourceData.Fuel_Scope1Scope3EmissionFactorsTransportOffRoad_Data(), Table_SourceData_Fuel_TransportOffroad[[#Headers],[Transport type t]],0)</f>
        <v>39.700000000000003</v>
      </c>
      <c r="G42" s="27" cm="1">
        <f t="array" ref="G42">Common_InputFunctions.Utility_DisplayArrayInTable(Fuel_SourceData.Fuel_Scope1Scope3EmissionFactorsTransportOffRoad_Data(), Table_SourceData_Fuel_TransportOffroad[[#Headers],[Transport type t]],0)</f>
        <v>73.599999999999994</v>
      </c>
      <c r="H42" s="27" cm="1">
        <f t="array" ref="H42">Common_InputFunctions.Utility_DisplayArrayInTable(Fuel_SourceData.Fuel_Scope1Scope3EmissionFactorsTransportOffRoad_Data(), Table_SourceData_Fuel_TransportOffroad[[#Headers],[Transport type t]],0)</f>
        <v>0.2</v>
      </c>
      <c r="I42" s="27" cm="1">
        <f t="array" ref="I42">Common_InputFunctions.Utility_DisplayArrayInTable(Fuel_SourceData.Fuel_Scope1Scope3EmissionFactorsTransportOffRoad_Data(), Table_SourceData_Fuel_TransportOffroad[[#Headers],[Transport type t]],0)</f>
        <v>0.5</v>
      </c>
      <c r="J42" s="27"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7" t="str" cm="1">
        <f t="array" ref="E43">Common_InputFunctions.Utility_DisplayArrayInTable(Fuel_SourceData.Fuel_Scope1Scope3EmissionFactorsTransportOffRoad_Data(), Table_SourceData_Fuel_TransportOffroad[[#Headers],[Transport type t]],0)</f>
        <v>Diesel</v>
      </c>
      <c r="F43" s="27" cm="1">
        <f t="array" ref="F43">Common_InputFunctions.Utility_DisplayArrayInTable(Fuel_SourceData.Fuel_Scope1Scope3EmissionFactorsTransportOffRoad_Data(), Table_SourceData_Fuel_TransportOffroad[[#Headers],[Transport type t]],0)</f>
        <v>38.6</v>
      </c>
      <c r="G43" s="27" cm="1">
        <f t="array" ref="G43">Common_InputFunctions.Utility_DisplayArrayInTable(Fuel_SourceData.Fuel_Scope1Scope3EmissionFactorsTransportOffRoad_Data(), Table_SourceData_Fuel_TransportOffroad[[#Headers],[Transport type t]],0)</f>
        <v>69.900000000000006</v>
      </c>
      <c r="H43" s="27" cm="1">
        <f t="array" ref="H43">Common_InputFunctions.Utility_DisplayArrayInTable(Fuel_SourceData.Fuel_Scope1Scope3EmissionFactorsTransportOffRoad_Data(), Table_SourceData_Fuel_TransportOffroad[[#Headers],[Transport type t]],0)</f>
        <v>0.3</v>
      </c>
      <c r="I43" s="27" cm="1">
        <f t="array" ref="I43">Common_InputFunctions.Utility_DisplayArrayInTable(Fuel_SourceData.Fuel_Scope1Scope3EmissionFactorsTransportOffRoad_Data(), Table_SourceData_Fuel_TransportOffroad[[#Headers],[Transport type t]],0)</f>
        <v>0.5</v>
      </c>
      <c r="J43" s="27"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0"/>
      <c r="F49" s="50"/>
      <c r="G49" s="50"/>
      <c r="H49" s="50"/>
      <c r="I49" s="50"/>
      <c r="J49" s="50"/>
      <c r="K49" s="50"/>
      <c r="L49" s="50"/>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0"/>
      <c r="F50" s="50"/>
      <c r="G50" s="50"/>
      <c r="H50" s="50"/>
      <c r="I50" s="50"/>
      <c r="J50" s="50"/>
      <c r="K50" s="50"/>
      <c r="L50" s="50"/>
    </row>
    <row r="51" spans="4:12" ht="20.100000000000001" customHeight="1" x14ac:dyDescent="0.25">
      <c r="D51" s="5" t="str" cm="1">
        <f t="array" ref="D51">Fuel_SourceData.Fuel_Scope1Scope3EmissionFactorsStationaryLiquid_Source()</f>
        <v>Australian National Greenhouse Accounts Factors 2025 - Table 8</v>
      </c>
      <c r="E51" s="50"/>
      <c r="F51" s="50"/>
      <c r="G51" s="50"/>
      <c r="H51" s="50"/>
      <c r="I51" s="50"/>
      <c r="J51" s="50"/>
      <c r="K51" s="50"/>
      <c r="L51" s="50"/>
    </row>
    <row r="52" spans="4:12" ht="20.100000000000001" customHeight="1" x14ac:dyDescent="0.25">
      <c r="D52" s="33" t="str" cm="1">
        <f t="array" ref="D52">"⚠️" &amp; Fuel_SourceData.Fuel_Scope1Scope3EmissionFactorsStationaryLiquid_Variation()</f>
        <v>⚠️VARIATION OF SOURCE DATA: 'NE' values returned as zero for calculations.</v>
      </c>
      <c r="E52" s="50"/>
      <c r="F52" s="50"/>
      <c r="G52" s="50"/>
      <c r="H52" s="50"/>
      <c r="I52" s="50"/>
      <c r="J52" s="50"/>
      <c r="K52" s="50"/>
      <c r="L52" s="50"/>
    </row>
    <row r="53" spans="4:12" ht="20.100000000000001" customHeight="1" x14ac:dyDescent="0.25">
      <c r="D53" s="73" t="s">
        <v>112</v>
      </c>
      <c r="E53" s="71" t="s">
        <v>113</v>
      </c>
      <c r="F53" s="73" t="s">
        <v>114</v>
      </c>
      <c r="G53" s="71" t="s">
        <v>115</v>
      </c>
      <c r="H53" s="71" t="s">
        <v>116</v>
      </c>
      <c r="I53" s="71" t="s">
        <v>117</v>
      </c>
      <c r="J53" s="71" t="s">
        <v>118</v>
      </c>
      <c r="K53" s="71" t="s">
        <v>119</v>
      </c>
      <c r="L53" s="50"/>
    </row>
    <row r="54" spans="4:12" ht="20.100000000000001" customHeight="1" x14ac:dyDescent="0.25">
      <c r="D54" s="7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4" cm="1">
        <f t="array" ref="E54">Common_InputFunctions.Utility_DisplayArrayInTable(Fuel_SourceData.Fuel_Scope1Scope3EmissionFactorsStationaryLiquid_Data(), Table_Fuel_EFs_StationaryLiquid[[#Headers],[Fuel combusted]],0)</f>
        <v>38.799999999999997</v>
      </c>
      <c r="F54" s="74" t="str" cm="1">
        <f t="array" ref="F54">Common_InputFunctions.Utility_DisplayArrayInTable(Fuel_SourceData.Fuel_Scope1Scope3EmissionFactorsStationaryLiquid_Data(), Table_Fuel_EFs_StationaryLiquid[[#Headers],[Fuel combusted]],0)</f>
        <v>kl</v>
      </c>
      <c r="G54" s="74" cm="1">
        <f t="array" ref="G54">Common_InputFunctions.Utility_DisplayArrayInTable(Fuel_SourceData.Fuel_Scope1Scope3EmissionFactorsStationaryLiquid_Data(), Table_Fuel_EFs_StationaryLiquid[[#Headers],[Fuel combusted]],0)</f>
        <v>13.9</v>
      </c>
      <c r="H54" s="74" cm="1">
        <f t="array" ref="H54">Common_InputFunctions.Utility_DisplayArrayInTable(Fuel_SourceData.Fuel_Scope1Scope3EmissionFactorsStationaryLiquid_Data(), Table_Fuel_EFs_StationaryLiquid[[#Headers],[Fuel combusted]],0)</f>
        <v>0</v>
      </c>
      <c r="I54" s="74" cm="1">
        <f t="array" ref="I54">Common_InputFunctions.Utility_DisplayArrayInTable(Fuel_SourceData.Fuel_Scope1Scope3EmissionFactorsStationaryLiquid_Data(), Table_Fuel_EFs_StationaryLiquid[[#Headers],[Fuel combusted]],0)</f>
        <v>0</v>
      </c>
      <c r="J54" s="74" cm="1">
        <f t="array" ref="J54">Common_InputFunctions.Utility_DisplayArrayInTable(Fuel_SourceData.Fuel_Scope1Scope3EmissionFactorsStationaryLiquid_Data(), Table_Fuel_EFs_StationaryLiquid[[#Headers],[Fuel combusted]],0)</f>
        <v>13.9</v>
      </c>
      <c r="K54" s="74" cm="1">
        <f t="array" ref="K54">Common_InputFunctions.Utility_DisplayArrayInTable(Fuel_SourceData.Fuel_Scope1Scope3EmissionFactorsStationaryLiquid_Data(), Table_Fuel_EFs_StationaryLiquid[[#Headers],[Fuel combusted]],0)</f>
        <v>18</v>
      </c>
      <c r="L54" s="50"/>
    </row>
    <row r="55" spans="4:12" ht="20.100000000000001" customHeight="1" x14ac:dyDescent="0.25">
      <c r="D55" s="74" t="str" cm="1">
        <f t="array" ref="D55">Common_InputFunctions.Utility_DisplayArrayInTable(Fuel_SourceData.Fuel_Scope1Scope3EmissionFactorsStationaryLiquid_Data(), Table_Fuel_EFs_StationaryLiquid[[#Headers],[Fuel combusted]],0)</f>
        <v>Petroleum based greases</v>
      </c>
      <c r="E55" s="74" cm="1">
        <f t="array" ref="E55">Common_InputFunctions.Utility_DisplayArrayInTable(Fuel_SourceData.Fuel_Scope1Scope3EmissionFactorsStationaryLiquid_Data(), Table_Fuel_EFs_StationaryLiquid[[#Headers],[Fuel combusted]],0)</f>
        <v>38.799999999999997</v>
      </c>
      <c r="F55" s="74" t="str" cm="1">
        <f t="array" ref="F55">Common_InputFunctions.Utility_DisplayArrayInTable(Fuel_SourceData.Fuel_Scope1Scope3EmissionFactorsStationaryLiquid_Data(), Table_Fuel_EFs_StationaryLiquid[[#Headers],[Fuel combusted]],0)</f>
        <v>kl</v>
      </c>
      <c r="G55" s="74" cm="1">
        <f t="array" ref="G55">Common_InputFunctions.Utility_DisplayArrayInTable(Fuel_SourceData.Fuel_Scope1Scope3EmissionFactorsStationaryLiquid_Data(), Table_Fuel_EFs_StationaryLiquid[[#Headers],[Fuel combusted]],0)</f>
        <v>3.5</v>
      </c>
      <c r="H55" s="74" cm="1">
        <f t="array" ref="H55">Common_InputFunctions.Utility_DisplayArrayInTable(Fuel_SourceData.Fuel_Scope1Scope3EmissionFactorsStationaryLiquid_Data(), Table_Fuel_EFs_StationaryLiquid[[#Headers],[Fuel combusted]],0)</f>
        <v>0</v>
      </c>
      <c r="I55" s="74" cm="1">
        <f t="array" ref="I55">Common_InputFunctions.Utility_DisplayArrayInTable(Fuel_SourceData.Fuel_Scope1Scope3EmissionFactorsStationaryLiquid_Data(), Table_Fuel_EFs_StationaryLiquid[[#Headers],[Fuel combusted]],0)</f>
        <v>0</v>
      </c>
      <c r="J55" s="74" cm="1">
        <f t="array" ref="J55">Common_InputFunctions.Utility_DisplayArrayInTable(Fuel_SourceData.Fuel_Scope1Scope3EmissionFactorsStationaryLiquid_Data(), Table_Fuel_EFs_StationaryLiquid[[#Headers],[Fuel combusted]],0)</f>
        <v>3.5</v>
      </c>
      <c r="K55" s="74" cm="1">
        <f t="array" ref="K55">Common_InputFunctions.Utility_DisplayArrayInTable(Fuel_SourceData.Fuel_Scope1Scope3EmissionFactorsStationaryLiquid_Data(), Table_Fuel_EFs_StationaryLiquid[[#Headers],[Fuel combusted]],0)</f>
        <v>18</v>
      </c>
      <c r="L55" s="50"/>
    </row>
    <row r="56" spans="4:12" ht="20.100000000000001" customHeight="1" x14ac:dyDescent="0.25">
      <c r="D56" s="74" t="str" cm="1">
        <f t="array" ref="D56">Common_InputFunctions.Utility_DisplayArrayInTable(Fuel_SourceData.Fuel_Scope1Scope3EmissionFactorsStationaryLiquid_Data(), Table_Fuel_EFs_StationaryLiquid[[#Headers],[Fuel combusted]],0)</f>
        <v>Crude oil including crude oil condensates</v>
      </c>
      <c r="E56" s="74" cm="1">
        <f t="array" ref="E56">Common_InputFunctions.Utility_DisplayArrayInTable(Fuel_SourceData.Fuel_Scope1Scope3EmissionFactorsStationaryLiquid_Data(), Table_Fuel_EFs_StationaryLiquid[[#Headers],[Fuel combusted]],0)</f>
        <v>45.3</v>
      </c>
      <c r="F56" s="74" t="str" cm="1">
        <f t="array" ref="F56">Common_InputFunctions.Utility_DisplayArrayInTable(Fuel_SourceData.Fuel_Scope1Scope3EmissionFactorsStationaryLiquid_Data(), Table_Fuel_EFs_StationaryLiquid[[#Headers],[Fuel combusted]],0)</f>
        <v>t</v>
      </c>
      <c r="G56" s="74" cm="1">
        <f t="array" ref="G56">Common_InputFunctions.Utility_DisplayArrayInTable(Fuel_SourceData.Fuel_Scope1Scope3EmissionFactorsStationaryLiquid_Data(), Table_Fuel_EFs_StationaryLiquid[[#Headers],[Fuel combusted]],0)</f>
        <v>69.599999999999994</v>
      </c>
      <c r="H56" s="74" cm="1">
        <f t="array" ref="H56">Common_InputFunctions.Utility_DisplayArrayInTable(Fuel_SourceData.Fuel_Scope1Scope3EmissionFactorsStationaryLiquid_Data(), Table_Fuel_EFs_StationaryLiquid[[#Headers],[Fuel combusted]],0)</f>
        <v>0.08</v>
      </c>
      <c r="I56" s="74" cm="1">
        <f t="array" ref="I56">Common_InputFunctions.Utility_DisplayArrayInTable(Fuel_SourceData.Fuel_Scope1Scope3EmissionFactorsStationaryLiquid_Data(), Table_Fuel_EFs_StationaryLiquid[[#Headers],[Fuel combusted]],0)</f>
        <v>0.2</v>
      </c>
      <c r="J56" s="74" cm="1">
        <f t="array" ref="J56">Common_InputFunctions.Utility_DisplayArrayInTable(Fuel_SourceData.Fuel_Scope1Scope3EmissionFactorsStationaryLiquid_Data(), Table_Fuel_EFs_StationaryLiquid[[#Headers],[Fuel combusted]],0)</f>
        <v>69.88</v>
      </c>
      <c r="K56" s="74" t="str" cm="1">
        <f t="array" ref="K56">Common_InputFunctions.Utility_DisplayArrayInTable(Fuel_SourceData.Fuel_Scope1Scope3EmissionFactorsStationaryLiquid_Data(), Table_Fuel_EFs_StationaryLiquid[[#Headers],[Fuel combusted]],0)</f>
        <v>NE</v>
      </c>
      <c r="L56" s="50"/>
    </row>
    <row r="57" spans="4:12" ht="20.100000000000001" customHeight="1" x14ac:dyDescent="0.25">
      <c r="D57" s="74" t="str" cm="1">
        <f t="array" ref="D57">Common_InputFunctions.Utility_DisplayArrayInTable(Fuel_SourceData.Fuel_Scope1Scope3EmissionFactorsStationaryLiquid_Data(), Table_Fuel_EFs_StationaryLiquid[[#Headers],[Fuel combusted]],0)</f>
        <v>Other natural gas liquids</v>
      </c>
      <c r="E57" s="74" cm="1">
        <f t="array" ref="E57">Common_InputFunctions.Utility_DisplayArrayInTable(Fuel_SourceData.Fuel_Scope1Scope3EmissionFactorsStationaryLiquid_Data(), Table_Fuel_EFs_StationaryLiquid[[#Headers],[Fuel combusted]],0)</f>
        <v>46.5</v>
      </c>
      <c r="F57" s="74" t="str" cm="1">
        <f t="array" ref="F57">Common_InputFunctions.Utility_DisplayArrayInTable(Fuel_SourceData.Fuel_Scope1Scope3EmissionFactorsStationaryLiquid_Data(), Table_Fuel_EFs_StationaryLiquid[[#Headers],[Fuel combusted]],0)</f>
        <v>t</v>
      </c>
      <c r="G57" s="74" cm="1">
        <f t="array" ref="G57">Common_InputFunctions.Utility_DisplayArrayInTable(Fuel_SourceData.Fuel_Scope1Scope3EmissionFactorsStationaryLiquid_Data(), Table_Fuel_EFs_StationaryLiquid[[#Headers],[Fuel combusted]],0)</f>
        <v>61</v>
      </c>
      <c r="H57" s="74" cm="1">
        <f t="array" ref="H57">Common_InputFunctions.Utility_DisplayArrayInTable(Fuel_SourceData.Fuel_Scope1Scope3EmissionFactorsStationaryLiquid_Data(), Table_Fuel_EFs_StationaryLiquid[[#Headers],[Fuel combusted]],0)</f>
        <v>0.08</v>
      </c>
      <c r="I57" s="74" cm="1">
        <f t="array" ref="I57">Common_InputFunctions.Utility_DisplayArrayInTable(Fuel_SourceData.Fuel_Scope1Scope3EmissionFactorsStationaryLiquid_Data(), Table_Fuel_EFs_StationaryLiquid[[#Headers],[Fuel combusted]],0)</f>
        <v>0.2</v>
      </c>
      <c r="J57" s="74" cm="1">
        <f t="array" ref="J57">Common_InputFunctions.Utility_DisplayArrayInTable(Fuel_SourceData.Fuel_Scope1Scope3EmissionFactorsStationaryLiquid_Data(), Table_Fuel_EFs_StationaryLiquid[[#Headers],[Fuel combusted]],0)</f>
        <v>61.28</v>
      </c>
      <c r="K57" s="74" t="str" cm="1">
        <f t="array" ref="K57">Common_InputFunctions.Utility_DisplayArrayInTable(Fuel_SourceData.Fuel_Scope1Scope3EmissionFactorsStationaryLiquid_Data(), Table_Fuel_EFs_StationaryLiquid[[#Headers],[Fuel combusted]],0)</f>
        <v>NE</v>
      </c>
      <c r="L57" s="50"/>
    </row>
    <row r="58" spans="4:12" ht="20.100000000000001" customHeight="1" x14ac:dyDescent="0.25">
      <c r="D58" s="7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4" cm="1">
        <f t="array" ref="E58">Common_InputFunctions.Utility_DisplayArrayInTable(Fuel_SourceData.Fuel_Scope1Scope3EmissionFactorsStationaryLiquid_Data(), Table_Fuel_EFs_StationaryLiquid[[#Headers],[Fuel combusted]],0)</f>
        <v>34.200000000000003</v>
      </c>
      <c r="F58" s="74" t="str" cm="1">
        <f t="array" ref="F58">Common_InputFunctions.Utility_DisplayArrayInTable(Fuel_SourceData.Fuel_Scope1Scope3EmissionFactorsStationaryLiquid_Data(), Table_Fuel_EFs_StationaryLiquid[[#Headers],[Fuel combusted]],0)</f>
        <v>kL</v>
      </c>
      <c r="G58" s="74" cm="1">
        <f t="array" ref="G58">Common_InputFunctions.Utility_DisplayArrayInTable(Fuel_SourceData.Fuel_Scope1Scope3EmissionFactorsStationaryLiquid_Data(), Table_Fuel_EFs_StationaryLiquid[[#Headers],[Fuel combusted]],0)</f>
        <v>67.400000000000006</v>
      </c>
      <c r="H58" s="74" cm="1">
        <f t="array" ref="H58">Common_InputFunctions.Utility_DisplayArrayInTable(Fuel_SourceData.Fuel_Scope1Scope3EmissionFactorsStationaryLiquid_Data(), Table_Fuel_EFs_StationaryLiquid[[#Headers],[Fuel combusted]],0)</f>
        <v>0.2</v>
      </c>
      <c r="I58" s="74" cm="1">
        <f t="array" ref="I58">Common_InputFunctions.Utility_DisplayArrayInTable(Fuel_SourceData.Fuel_Scope1Scope3EmissionFactorsStationaryLiquid_Data(), Table_Fuel_EFs_StationaryLiquid[[#Headers],[Fuel combusted]],0)</f>
        <v>0.2</v>
      </c>
      <c r="J58" s="74" cm="1">
        <f t="array" ref="J58">Common_InputFunctions.Utility_DisplayArrayInTable(Fuel_SourceData.Fuel_Scope1Scope3EmissionFactorsStationaryLiquid_Data(), Table_Fuel_EFs_StationaryLiquid[[#Headers],[Fuel combusted]],0)</f>
        <v>67.8</v>
      </c>
      <c r="K58" s="74" cm="1">
        <f t="array" ref="K58">Common_InputFunctions.Utility_DisplayArrayInTable(Fuel_SourceData.Fuel_Scope1Scope3EmissionFactorsStationaryLiquid_Data(), Table_Fuel_EFs_StationaryLiquid[[#Headers],[Fuel combusted]],0)</f>
        <v>17.2</v>
      </c>
      <c r="L58" s="50"/>
    </row>
    <row r="59" spans="4:12" ht="20.100000000000001" customHeight="1" x14ac:dyDescent="0.25">
      <c r="D59" s="74" t="str" cm="1">
        <f t="array" ref="D59">Common_InputFunctions.Utility_DisplayArrayInTable(Fuel_SourceData.Fuel_Scope1Scope3EmissionFactorsStationaryLiquid_Data(), Table_Fuel_EFs_StationaryLiquid[[#Headers],[Fuel combusted]],0)</f>
        <v>Aviation gasoline</v>
      </c>
      <c r="E59" s="74" cm="1">
        <f t="array" ref="E59">Common_InputFunctions.Utility_DisplayArrayInTable(Fuel_SourceData.Fuel_Scope1Scope3EmissionFactorsStationaryLiquid_Data(), Table_Fuel_EFs_StationaryLiquid[[#Headers],[Fuel combusted]],0)</f>
        <v>33.1</v>
      </c>
      <c r="F59" s="74" t="str" cm="1">
        <f t="array" ref="F59">Common_InputFunctions.Utility_DisplayArrayInTable(Fuel_SourceData.Fuel_Scope1Scope3EmissionFactorsStationaryLiquid_Data(), Table_Fuel_EFs_StationaryLiquid[[#Headers],[Fuel combusted]],0)</f>
        <v>kL</v>
      </c>
      <c r="G59" s="74" cm="1">
        <f t="array" ref="G59">Common_InputFunctions.Utility_DisplayArrayInTable(Fuel_SourceData.Fuel_Scope1Scope3EmissionFactorsStationaryLiquid_Data(), Table_Fuel_EFs_StationaryLiquid[[#Headers],[Fuel combusted]],0)</f>
        <v>67</v>
      </c>
      <c r="H59" s="74" cm="1">
        <f t="array" ref="H59">Common_InputFunctions.Utility_DisplayArrayInTable(Fuel_SourceData.Fuel_Scope1Scope3EmissionFactorsStationaryLiquid_Data(), Table_Fuel_EFs_StationaryLiquid[[#Headers],[Fuel combusted]],0)</f>
        <v>0.2</v>
      </c>
      <c r="I59" s="74" cm="1">
        <f t="array" ref="I59">Common_InputFunctions.Utility_DisplayArrayInTable(Fuel_SourceData.Fuel_Scope1Scope3EmissionFactorsStationaryLiquid_Data(), Table_Fuel_EFs_StationaryLiquid[[#Headers],[Fuel combusted]],0)</f>
        <v>0.2</v>
      </c>
      <c r="J59" s="74" cm="1">
        <f t="array" ref="J59">Common_InputFunctions.Utility_DisplayArrayInTable(Fuel_SourceData.Fuel_Scope1Scope3EmissionFactorsStationaryLiquid_Data(), Table_Fuel_EFs_StationaryLiquid[[#Headers],[Fuel combusted]],0)</f>
        <v>67.400000000000006</v>
      </c>
      <c r="K59" s="74" cm="1">
        <f t="array" ref="K59">Common_InputFunctions.Utility_DisplayArrayInTable(Fuel_SourceData.Fuel_Scope1Scope3EmissionFactorsStationaryLiquid_Data(), Table_Fuel_EFs_StationaryLiquid[[#Headers],[Fuel combusted]],0)</f>
        <v>18</v>
      </c>
      <c r="L59" s="50"/>
    </row>
    <row r="60" spans="4:12" ht="20.100000000000001" customHeight="1" x14ac:dyDescent="0.25">
      <c r="D60" s="74" t="str" cm="1">
        <f t="array" ref="D60">Common_InputFunctions.Utility_DisplayArrayInTable(Fuel_SourceData.Fuel_Scope1Scope3EmissionFactorsStationaryLiquid_Data(), Table_Fuel_EFs_StationaryLiquid[[#Headers],[Fuel combusted]],0)</f>
        <v>Kerosene (other than for use as fuel in an aircraft)</v>
      </c>
      <c r="E60" s="74" cm="1">
        <f t="array" ref="E60">Common_InputFunctions.Utility_DisplayArrayInTable(Fuel_SourceData.Fuel_Scope1Scope3EmissionFactorsStationaryLiquid_Data(), Table_Fuel_EFs_StationaryLiquid[[#Headers],[Fuel combusted]],0)</f>
        <v>37.5</v>
      </c>
      <c r="F60" s="74" t="str" cm="1">
        <f t="array" ref="F60">Common_InputFunctions.Utility_DisplayArrayInTable(Fuel_SourceData.Fuel_Scope1Scope3EmissionFactorsStationaryLiquid_Data(), Table_Fuel_EFs_StationaryLiquid[[#Headers],[Fuel combusted]],0)</f>
        <v>kL</v>
      </c>
      <c r="G60" s="74" cm="1">
        <f t="array" ref="G60">Common_InputFunctions.Utility_DisplayArrayInTable(Fuel_SourceData.Fuel_Scope1Scope3EmissionFactorsStationaryLiquid_Data(), Table_Fuel_EFs_StationaryLiquid[[#Headers],[Fuel combusted]],0)</f>
        <v>68.900000000000006</v>
      </c>
      <c r="H60" s="74" cm="1">
        <f t="array" ref="H60">Common_InputFunctions.Utility_DisplayArrayInTable(Fuel_SourceData.Fuel_Scope1Scope3EmissionFactorsStationaryLiquid_Data(), Table_Fuel_EFs_StationaryLiquid[[#Headers],[Fuel combusted]],0)</f>
        <v>0.01</v>
      </c>
      <c r="I60" s="74" cm="1">
        <f t="array" ref="I60">Common_InputFunctions.Utility_DisplayArrayInTable(Fuel_SourceData.Fuel_Scope1Scope3EmissionFactorsStationaryLiquid_Data(), Table_Fuel_EFs_StationaryLiquid[[#Headers],[Fuel combusted]],0)</f>
        <v>0.2</v>
      </c>
      <c r="J60" s="74" cm="1">
        <f t="array" ref="J60">Common_InputFunctions.Utility_DisplayArrayInTable(Fuel_SourceData.Fuel_Scope1Scope3EmissionFactorsStationaryLiquid_Data(), Table_Fuel_EFs_StationaryLiquid[[#Headers],[Fuel combusted]],0)</f>
        <v>69.11</v>
      </c>
      <c r="K60" s="74" cm="1">
        <f t="array" ref="K60">Common_InputFunctions.Utility_DisplayArrayInTable(Fuel_SourceData.Fuel_Scope1Scope3EmissionFactorsStationaryLiquid_Data(), Table_Fuel_EFs_StationaryLiquid[[#Headers],[Fuel combusted]],0)</f>
        <v>18</v>
      </c>
      <c r="L60" s="50"/>
    </row>
    <row r="61" spans="4:12" ht="20.100000000000001" customHeight="1" x14ac:dyDescent="0.25">
      <c r="D61" s="74" t="str" cm="1">
        <f t="array" ref="D61">Common_InputFunctions.Utility_DisplayArrayInTable(Fuel_SourceData.Fuel_Scope1Scope3EmissionFactorsStationaryLiquid_Data(), Table_Fuel_EFs_StationaryLiquid[[#Headers],[Fuel combusted]],0)</f>
        <v>Aviation turbine fuel / kerosene</v>
      </c>
      <c r="E61" s="74" cm="1">
        <f t="array" ref="E61">Common_InputFunctions.Utility_DisplayArrayInTable(Fuel_SourceData.Fuel_Scope1Scope3EmissionFactorsStationaryLiquid_Data(), Table_Fuel_EFs_StationaryLiquid[[#Headers],[Fuel combusted]],0)</f>
        <v>36.799999999999997</v>
      </c>
      <c r="F61" s="74" t="str" cm="1">
        <f t="array" ref="F61">Common_InputFunctions.Utility_DisplayArrayInTable(Fuel_SourceData.Fuel_Scope1Scope3EmissionFactorsStationaryLiquid_Data(), Table_Fuel_EFs_StationaryLiquid[[#Headers],[Fuel combusted]],0)</f>
        <v>kL</v>
      </c>
      <c r="G61" s="74" cm="1">
        <f t="array" ref="G61">Common_InputFunctions.Utility_DisplayArrayInTable(Fuel_SourceData.Fuel_Scope1Scope3EmissionFactorsStationaryLiquid_Data(), Table_Fuel_EFs_StationaryLiquid[[#Headers],[Fuel combusted]],0)</f>
        <v>69.599999999999994</v>
      </c>
      <c r="H61" s="74" cm="1">
        <f t="array" ref="H61">Common_InputFunctions.Utility_DisplayArrayInTable(Fuel_SourceData.Fuel_Scope1Scope3EmissionFactorsStationaryLiquid_Data(), Table_Fuel_EFs_StationaryLiquid[[#Headers],[Fuel combusted]],0)</f>
        <v>0.02</v>
      </c>
      <c r="I61" s="74" cm="1">
        <f t="array" ref="I61">Common_InputFunctions.Utility_DisplayArrayInTable(Fuel_SourceData.Fuel_Scope1Scope3EmissionFactorsStationaryLiquid_Data(), Table_Fuel_EFs_StationaryLiquid[[#Headers],[Fuel combusted]],0)</f>
        <v>0.2</v>
      </c>
      <c r="J61" s="74" cm="1">
        <f t="array" ref="J61">Common_InputFunctions.Utility_DisplayArrayInTable(Fuel_SourceData.Fuel_Scope1Scope3EmissionFactorsStationaryLiquid_Data(), Table_Fuel_EFs_StationaryLiquid[[#Headers],[Fuel combusted]],0)</f>
        <v>69.819999999999993</v>
      </c>
      <c r="K61" s="74" cm="1">
        <f t="array" ref="K61">Common_InputFunctions.Utility_DisplayArrayInTable(Fuel_SourceData.Fuel_Scope1Scope3EmissionFactorsStationaryLiquid_Data(), Table_Fuel_EFs_StationaryLiquid[[#Headers],[Fuel combusted]],0)</f>
        <v>18</v>
      </c>
      <c r="L61" s="50"/>
    </row>
    <row r="62" spans="4:12" ht="20.100000000000001" customHeight="1" x14ac:dyDescent="0.25">
      <c r="D62" s="74" t="str" cm="1">
        <f t="array" ref="D62">Common_InputFunctions.Utility_DisplayArrayInTable(Fuel_SourceData.Fuel_Scope1Scope3EmissionFactorsStationaryLiquid_Data(), Table_Fuel_EFs_StationaryLiquid[[#Headers],[Fuel combusted]],0)</f>
        <v>Heating oil</v>
      </c>
      <c r="E62" s="74" cm="1">
        <f t="array" ref="E62">Common_InputFunctions.Utility_DisplayArrayInTable(Fuel_SourceData.Fuel_Scope1Scope3EmissionFactorsStationaryLiquid_Data(), Table_Fuel_EFs_StationaryLiquid[[#Headers],[Fuel combusted]],0)</f>
        <v>37.299999999999997</v>
      </c>
      <c r="F62" s="74" t="str" cm="1">
        <f t="array" ref="F62">Common_InputFunctions.Utility_DisplayArrayInTable(Fuel_SourceData.Fuel_Scope1Scope3EmissionFactorsStationaryLiquid_Data(), Table_Fuel_EFs_StationaryLiquid[[#Headers],[Fuel combusted]],0)</f>
        <v>kL</v>
      </c>
      <c r="G62" s="74" cm="1">
        <f t="array" ref="G62">Common_InputFunctions.Utility_DisplayArrayInTable(Fuel_SourceData.Fuel_Scope1Scope3EmissionFactorsStationaryLiquid_Data(), Table_Fuel_EFs_StationaryLiquid[[#Headers],[Fuel combusted]],0)</f>
        <v>69.5</v>
      </c>
      <c r="H62" s="74" cm="1">
        <f t="array" ref="H62">Common_InputFunctions.Utility_DisplayArrayInTable(Fuel_SourceData.Fuel_Scope1Scope3EmissionFactorsStationaryLiquid_Data(), Table_Fuel_EFs_StationaryLiquid[[#Headers],[Fuel combusted]],0)</f>
        <v>0.03</v>
      </c>
      <c r="I62" s="74" cm="1">
        <f t="array" ref="I62">Common_InputFunctions.Utility_DisplayArrayInTable(Fuel_SourceData.Fuel_Scope1Scope3EmissionFactorsStationaryLiquid_Data(), Table_Fuel_EFs_StationaryLiquid[[#Headers],[Fuel combusted]],0)</f>
        <v>0.2</v>
      </c>
      <c r="J62" s="74" cm="1">
        <f t="array" ref="J62">Common_InputFunctions.Utility_DisplayArrayInTable(Fuel_SourceData.Fuel_Scope1Scope3EmissionFactorsStationaryLiquid_Data(), Table_Fuel_EFs_StationaryLiquid[[#Headers],[Fuel combusted]],0)</f>
        <v>69.73</v>
      </c>
      <c r="K62" s="74" cm="1">
        <f t="array" ref="K62">Common_InputFunctions.Utility_DisplayArrayInTable(Fuel_SourceData.Fuel_Scope1Scope3EmissionFactorsStationaryLiquid_Data(), Table_Fuel_EFs_StationaryLiquid[[#Headers],[Fuel combusted]],0)</f>
        <v>18</v>
      </c>
      <c r="L62" s="50"/>
    </row>
    <row r="63" spans="4:12" ht="20.100000000000001" customHeight="1" x14ac:dyDescent="0.25">
      <c r="D63" s="74" t="str" cm="1">
        <f t="array" ref="D63">Common_InputFunctions.Utility_DisplayArrayInTable(Fuel_SourceData.Fuel_Scope1Scope3EmissionFactorsStationaryLiquid_Data(), Table_Fuel_EFs_StationaryLiquid[[#Headers],[Fuel combusted]],0)</f>
        <v>Diesel oil</v>
      </c>
      <c r="E63" s="74" cm="1">
        <f t="array" ref="E63">Common_InputFunctions.Utility_DisplayArrayInTable(Fuel_SourceData.Fuel_Scope1Scope3EmissionFactorsStationaryLiquid_Data(), Table_Fuel_EFs_StationaryLiquid[[#Headers],[Fuel combusted]],0)</f>
        <v>38.6</v>
      </c>
      <c r="F63" s="74" t="str" cm="1">
        <f t="array" ref="F63">Common_InputFunctions.Utility_DisplayArrayInTable(Fuel_SourceData.Fuel_Scope1Scope3EmissionFactorsStationaryLiquid_Data(), Table_Fuel_EFs_StationaryLiquid[[#Headers],[Fuel combusted]],0)</f>
        <v>kL</v>
      </c>
      <c r="G63" s="74" cm="1">
        <f t="array" ref="G63">Common_InputFunctions.Utility_DisplayArrayInTable(Fuel_SourceData.Fuel_Scope1Scope3EmissionFactorsStationaryLiquid_Data(), Table_Fuel_EFs_StationaryLiquid[[#Headers],[Fuel combusted]],0)</f>
        <v>69.900000000000006</v>
      </c>
      <c r="H63" s="74" cm="1">
        <f t="array" ref="H63">Common_InputFunctions.Utility_DisplayArrayInTable(Fuel_SourceData.Fuel_Scope1Scope3EmissionFactorsStationaryLiquid_Data(), Table_Fuel_EFs_StationaryLiquid[[#Headers],[Fuel combusted]],0)</f>
        <v>0.1</v>
      </c>
      <c r="I63" s="74" cm="1">
        <f t="array" ref="I63">Common_InputFunctions.Utility_DisplayArrayInTable(Fuel_SourceData.Fuel_Scope1Scope3EmissionFactorsStationaryLiquid_Data(), Table_Fuel_EFs_StationaryLiquid[[#Headers],[Fuel combusted]],0)</f>
        <v>0.2</v>
      </c>
      <c r="J63" s="74" cm="1">
        <f t="array" ref="J63">Common_InputFunctions.Utility_DisplayArrayInTable(Fuel_SourceData.Fuel_Scope1Scope3EmissionFactorsStationaryLiquid_Data(), Table_Fuel_EFs_StationaryLiquid[[#Headers],[Fuel combusted]],0)</f>
        <v>70.2</v>
      </c>
      <c r="K63" s="74" cm="1">
        <f t="array" ref="K63">Common_InputFunctions.Utility_DisplayArrayInTable(Fuel_SourceData.Fuel_Scope1Scope3EmissionFactorsStationaryLiquid_Data(), Table_Fuel_EFs_StationaryLiquid[[#Headers],[Fuel combusted]],0)</f>
        <v>17.3</v>
      </c>
      <c r="L63" s="50"/>
    </row>
    <row r="64" spans="4:12" ht="20.100000000000001" customHeight="1" x14ac:dyDescent="0.25">
      <c r="D64" s="74" t="str" cm="1">
        <f t="array" ref="D64">Common_InputFunctions.Utility_DisplayArrayInTable(Fuel_SourceData.Fuel_Scope1Scope3EmissionFactorsStationaryLiquid_Data(), Table_Fuel_EFs_StationaryLiquid[[#Headers],[Fuel combusted]],0)</f>
        <v>Fuel oil</v>
      </c>
      <c r="E64" s="74" cm="1">
        <f t="array" ref="E64">Common_InputFunctions.Utility_DisplayArrayInTable(Fuel_SourceData.Fuel_Scope1Scope3EmissionFactorsStationaryLiquid_Data(), Table_Fuel_EFs_StationaryLiquid[[#Headers],[Fuel combusted]],0)</f>
        <v>39.700000000000003</v>
      </c>
      <c r="F64" s="74" t="str" cm="1">
        <f t="array" ref="F64">Common_InputFunctions.Utility_DisplayArrayInTable(Fuel_SourceData.Fuel_Scope1Scope3EmissionFactorsStationaryLiquid_Data(), Table_Fuel_EFs_StationaryLiquid[[#Headers],[Fuel combusted]],0)</f>
        <v>kL</v>
      </c>
      <c r="G64" s="74" cm="1">
        <f t="array" ref="G64">Common_InputFunctions.Utility_DisplayArrayInTable(Fuel_SourceData.Fuel_Scope1Scope3EmissionFactorsStationaryLiquid_Data(), Table_Fuel_EFs_StationaryLiquid[[#Headers],[Fuel combusted]],0)</f>
        <v>73.599999999999994</v>
      </c>
      <c r="H64" s="74" cm="1">
        <f t="array" ref="H64">Common_InputFunctions.Utility_DisplayArrayInTable(Fuel_SourceData.Fuel_Scope1Scope3EmissionFactorsStationaryLiquid_Data(), Table_Fuel_EFs_StationaryLiquid[[#Headers],[Fuel combusted]],0)</f>
        <v>0.04</v>
      </c>
      <c r="I64" s="74" cm="1">
        <f t="array" ref="I64">Common_InputFunctions.Utility_DisplayArrayInTable(Fuel_SourceData.Fuel_Scope1Scope3EmissionFactorsStationaryLiquid_Data(), Table_Fuel_EFs_StationaryLiquid[[#Headers],[Fuel combusted]],0)</f>
        <v>0.2</v>
      </c>
      <c r="J64" s="74" cm="1">
        <f t="array" ref="J64">Common_InputFunctions.Utility_DisplayArrayInTable(Fuel_SourceData.Fuel_Scope1Scope3EmissionFactorsStationaryLiquid_Data(), Table_Fuel_EFs_StationaryLiquid[[#Headers],[Fuel combusted]],0)</f>
        <v>73.84</v>
      </c>
      <c r="K64" s="74" cm="1">
        <f t="array" ref="K64">Common_InputFunctions.Utility_DisplayArrayInTable(Fuel_SourceData.Fuel_Scope1Scope3EmissionFactorsStationaryLiquid_Data(), Table_Fuel_EFs_StationaryLiquid[[#Headers],[Fuel combusted]],0)</f>
        <v>18</v>
      </c>
      <c r="L64" s="50"/>
    </row>
    <row r="65" spans="4:13" ht="20.100000000000001" customHeight="1" x14ac:dyDescent="0.25">
      <c r="D65" s="74" t="str" cm="1">
        <f t="array" ref="D65">Common_InputFunctions.Utility_DisplayArrayInTable(Fuel_SourceData.Fuel_Scope1Scope3EmissionFactorsStationaryLiquid_Data(), Table_Fuel_EFs_StationaryLiquid[[#Headers],[Fuel combusted]],0)</f>
        <v>Liquefied aromatic hydrocarbons</v>
      </c>
      <c r="E65" s="74" cm="1">
        <f t="array" ref="E65">Common_InputFunctions.Utility_DisplayArrayInTable(Fuel_SourceData.Fuel_Scope1Scope3EmissionFactorsStationaryLiquid_Data(), Table_Fuel_EFs_StationaryLiquid[[#Headers],[Fuel combusted]],0)</f>
        <v>34.4</v>
      </c>
      <c r="F65" s="74" t="str" cm="1">
        <f t="array" ref="F65">Common_InputFunctions.Utility_DisplayArrayInTable(Fuel_SourceData.Fuel_Scope1Scope3EmissionFactorsStationaryLiquid_Data(), Table_Fuel_EFs_StationaryLiquid[[#Headers],[Fuel combusted]],0)</f>
        <v>kL</v>
      </c>
      <c r="G65" s="74" cm="1">
        <f t="array" ref="G65">Common_InputFunctions.Utility_DisplayArrayInTable(Fuel_SourceData.Fuel_Scope1Scope3EmissionFactorsStationaryLiquid_Data(), Table_Fuel_EFs_StationaryLiquid[[#Headers],[Fuel combusted]],0)</f>
        <v>69.7</v>
      </c>
      <c r="H65" s="74" cm="1">
        <f t="array" ref="H65">Common_InputFunctions.Utility_DisplayArrayInTable(Fuel_SourceData.Fuel_Scope1Scope3EmissionFactorsStationaryLiquid_Data(), Table_Fuel_EFs_StationaryLiquid[[#Headers],[Fuel combusted]],0)</f>
        <v>0.03</v>
      </c>
      <c r="I65" s="74" cm="1">
        <f t="array" ref="I65">Common_InputFunctions.Utility_DisplayArrayInTable(Fuel_SourceData.Fuel_Scope1Scope3EmissionFactorsStationaryLiquid_Data(), Table_Fuel_EFs_StationaryLiquid[[#Headers],[Fuel combusted]],0)</f>
        <v>0.2</v>
      </c>
      <c r="J65" s="74" cm="1">
        <f t="array" ref="J65">Common_InputFunctions.Utility_DisplayArrayInTable(Fuel_SourceData.Fuel_Scope1Scope3EmissionFactorsStationaryLiquid_Data(), Table_Fuel_EFs_StationaryLiquid[[#Headers],[Fuel combusted]],0)</f>
        <v>69.930000000000007</v>
      </c>
      <c r="K65" s="74" cm="1">
        <f t="array" ref="K65">Common_InputFunctions.Utility_DisplayArrayInTable(Fuel_SourceData.Fuel_Scope1Scope3EmissionFactorsStationaryLiquid_Data(), Table_Fuel_EFs_StationaryLiquid[[#Headers],[Fuel combusted]],0)</f>
        <v>18</v>
      </c>
      <c r="L65" s="50"/>
    </row>
    <row r="66" spans="4:13" ht="20.100000000000001" customHeight="1" x14ac:dyDescent="0.25">
      <c r="D66" s="74" t="str" cm="1">
        <f t="array" ref="D66">Common_InputFunctions.Utility_DisplayArrayInTable(Fuel_SourceData.Fuel_Scope1Scope3EmissionFactorsStationaryLiquid_Data(), Table_Fuel_EFs_StationaryLiquid[[#Headers],[Fuel combusted]],0)</f>
        <v>Solvents: mineral turpentine or white spirits</v>
      </c>
      <c r="E66" s="74" cm="1">
        <f t="array" ref="E66">Common_InputFunctions.Utility_DisplayArrayInTable(Fuel_SourceData.Fuel_Scope1Scope3EmissionFactorsStationaryLiquid_Data(), Table_Fuel_EFs_StationaryLiquid[[#Headers],[Fuel combusted]],0)</f>
        <v>34.4</v>
      </c>
      <c r="F66" s="74" t="str" cm="1">
        <f t="array" ref="F66">Common_InputFunctions.Utility_DisplayArrayInTable(Fuel_SourceData.Fuel_Scope1Scope3EmissionFactorsStationaryLiquid_Data(), Table_Fuel_EFs_StationaryLiquid[[#Headers],[Fuel combusted]],0)</f>
        <v>kL</v>
      </c>
      <c r="G66" s="74" cm="1">
        <f t="array" ref="G66">Common_InputFunctions.Utility_DisplayArrayInTable(Fuel_SourceData.Fuel_Scope1Scope3EmissionFactorsStationaryLiquid_Data(), Table_Fuel_EFs_StationaryLiquid[[#Headers],[Fuel combusted]],0)</f>
        <v>69.7</v>
      </c>
      <c r="H66" s="74" cm="1">
        <f t="array" ref="H66">Common_InputFunctions.Utility_DisplayArrayInTable(Fuel_SourceData.Fuel_Scope1Scope3EmissionFactorsStationaryLiquid_Data(), Table_Fuel_EFs_StationaryLiquid[[#Headers],[Fuel combusted]],0)</f>
        <v>0.03</v>
      </c>
      <c r="I66" s="74" cm="1">
        <f t="array" ref="I66">Common_InputFunctions.Utility_DisplayArrayInTable(Fuel_SourceData.Fuel_Scope1Scope3EmissionFactorsStationaryLiquid_Data(), Table_Fuel_EFs_StationaryLiquid[[#Headers],[Fuel combusted]],0)</f>
        <v>0.2</v>
      </c>
      <c r="J66" s="74" cm="1">
        <f t="array" ref="J66">Common_InputFunctions.Utility_DisplayArrayInTable(Fuel_SourceData.Fuel_Scope1Scope3EmissionFactorsStationaryLiquid_Data(), Table_Fuel_EFs_StationaryLiquid[[#Headers],[Fuel combusted]],0)</f>
        <v>69.930000000000007</v>
      </c>
      <c r="K66" s="74" cm="1">
        <f t="array" ref="K66">Common_InputFunctions.Utility_DisplayArrayInTable(Fuel_SourceData.Fuel_Scope1Scope3EmissionFactorsStationaryLiquid_Data(), Table_Fuel_EFs_StationaryLiquid[[#Headers],[Fuel combusted]],0)</f>
        <v>18</v>
      </c>
      <c r="L66" s="50"/>
    </row>
    <row r="67" spans="4:13" ht="20.100000000000001" customHeight="1" x14ac:dyDescent="0.25">
      <c r="D67" s="74" t="str" cm="1">
        <f t="array" ref="D67">Common_InputFunctions.Utility_DisplayArrayInTable(Fuel_SourceData.Fuel_Scope1Scope3EmissionFactorsStationaryLiquid_Data(), Table_Fuel_EFs_StationaryLiquid[[#Headers],[Fuel combusted]],0)</f>
        <v>Liquefied petroleum gas (LPG)</v>
      </c>
      <c r="E67" s="74" cm="1">
        <f t="array" ref="E67">Common_InputFunctions.Utility_DisplayArrayInTable(Fuel_SourceData.Fuel_Scope1Scope3EmissionFactorsStationaryLiquid_Data(), Table_Fuel_EFs_StationaryLiquid[[#Headers],[Fuel combusted]],0)</f>
        <v>25.7</v>
      </c>
      <c r="F67" s="74" t="str" cm="1">
        <f t="array" ref="F67">Common_InputFunctions.Utility_DisplayArrayInTable(Fuel_SourceData.Fuel_Scope1Scope3EmissionFactorsStationaryLiquid_Data(), Table_Fuel_EFs_StationaryLiquid[[#Headers],[Fuel combusted]],0)</f>
        <v>kL</v>
      </c>
      <c r="G67" s="74" cm="1">
        <f t="array" ref="G67">Common_InputFunctions.Utility_DisplayArrayInTable(Fuel_SourceData.Fuel_Scope1Scope3EmissionFactorsStationaryLiquid_Data(), Table_Fuel_EFs_StationaryLiquid[[#Headers],[Fuel combusted]],0)</f>
        <v>60.2</v>
      </c>
      <c r="H67" s="74" cm="1">
        <f t="array" ref="H67">Common_InputFunctions.Utility_DisplayArrayInTable(Fuel_SourceData.Fuel_Scope1Scope3EmissionFactorsStationaryLiquid_Data(), Table_Fuel_EFs_StationaryLiquid[[#Headers],[Fuel combusted]],0)</f>
        <v>0.2</v>
      </c>
      <c r="I67" s="74" cm="1">
        <f t="array" ref="I67">Common_InputFunctions.Utility_DisplayArrayInTable(Fuel_SourceData.Fuel_Scope1Scope3EmissionFactorsStationaryLiquid_Data(), Table_Fuel_EFs_StationaryLiquid[[#Headers],[Fuel combusted]],0)</f>
        <v>0.2</v>
      </c>
      <c r="J67" s="74" cm="1">
        <f t="array" ref="J67">Common_InputFunctions.Utility_DisplayArrayInTable(Fuel_SourceData.Fuel_Scope1Scope3EmissionFactorsStationaryLiquid_Data(), Table_Fuel_EFs_StationaryLiquid[[#Headers],[Fuel combusted]],0)</f>
        <v>60.6</v>
      </c>
      <c r="K67" s="74" cm="1">
        <f t="array" ref="K67">Common_InputFunctions.Utility_DisplayArrayInTable(Fuel_SourceData.Fuel_Scope1Scope3EmissionFactorsStationaryLiquid_Data(), Table_Fuel_EFs_StationaryLiquid[[#Headers],[Fuel combusted]],0)</f>
        <v>20.2</v>
      </c>
      <c r="L67" s="50"/>
    </row>
    <row r="68" spans="4:13" ht="20.100000000000001" customHeight="1" x14ac:dyDescent="0.25">
      <c r="D68" s="74" t="str" cm="1">
        <f t="array" ref="D68">Common_InputFunctions.Utility_DisplayArrayInTable(Fuel_SourceData.Fuel_Scope1Scope3EmissionFactorsStationaryLiquid_Data(), Table_Fuel_EFs_StationaryLiquid[[#Headers],[Fuel combusted]],0)</f>
        <v>Naphtha</v>
      </c>
      <c r="E68" s="74" cm="1">
        <f t="array" ref="E68">Common_InputFunctions.Utility_DisplayArrayInTable(Fuel_SourceData.Fuel_Scope1Scope3EmissionFactorsStationaryLiquid_Data(), Table_Fuel_EFs_StationaryLiquid[[#Headers],[Fuel combusted]],0)</f>
        <v>31.4</v>
      </c>
      <c r="F68" s="74" t="str" cm="1">
        <f t="array" ref="F68">Common_InputFunctions.Utility_DisplayArrayInTable(Fuel_SourceData.Fuel_Scope1Scope3EmissionFactorsStationaryLiquid_Data(), Table_Fuel_EFs_StationaryLiquid[[#Headers],[Fuel combusted]],0)</f>
        <v>kL</v>
      </c>
      <c r="G68" s="74" cm="1">
        <f t="array" ref="G68">Common_InputFunctions.Utility_DisplayArrayInTable(Fuel_SourceData.Fuel_Scope1Scope3EmissionFactorsStationaryLiquid_Data(), Table_Fuel_EFs_StationaryLiquid[[#Headers],[Fuel combusted]],0)</f>
        <v>69.8</v>
      </c>
      <c r="H68" s="74" cm="1">
        <f t="array" ref="H68">Common_InputFunctions.Utility_DisplayArrayInTable(Fuel_SourceData.Fuel_Scope1Scope3EmissionFactorsStationaryLiquid_Data(), Table_Fuel_EFs_StationaryLiquid[[#Headers],[Fuel combusted]],0)</f>
        <v>0.01</v>
      </c>
      <c r="I68" s="74" cm="1">
        <f t="array" ref="I68">Common_InputFunctions.Utility_DisplayArrayInTable(Fuel_SourceData.Fuel_Scope1Scope3EmissionFactorsStationaryLiquid_Data(), Table_Fuel_EFs_StationaryLiquid[[#Headers],[Fuel combusted]],0)</f>
        <v>0.01</v>
      </c>
      <c r="J68" s="74" cm="1">
        <f t="array" ref="J68">Common_InputFunctions.Utility_DisplayArrayInTable(Fuel_SourceData.Fuel_Scope1Scope3EmissionFactorsStationaryLiquid_Data(), Table_Fuel_EFs_StationaryLiquid[[#Headers],[Fuel combusted]],0)</f>
        <v>69.819999999999993</v>
      </c>
      <c r="K68" s="74" cm="1">
        <f t="array" ref="K68">Common_InputFunctions.Utility_DisplayArrayInTable(Fuel_SourceData.Fuel_Scope1Scope3EmissionFactorsStationaryLiquid_Data(), Table_Fuel_EFs_StationaryLiquid[[#Headers],[Fuel combusted]],0)</f>
        <v>18</v>
      </c>
      <c r="L68" s="50"/>
    </row>
    <row r="69" spans="4:13" ht="20.100000000000001" customHeight="1" x14ac:dyDescent="0.25">
      <c r="D69" s="74" t="str" cm="1">
        <f t="array" ref="D69">Common_InputFunctions.Utility_DisplayArrayInTable(Fuel_SourceData.Fuel_Scope1Scope3EmissionFactorsStationaryLiquid_Data(), Table_Fuel_EFs_StationaryLiquid[[#Headers],[Fuel combusted]],0)</f>
        <v>Petroleum coke</v>
      </c>
      <c r="E69" s="74" cm="1">
        <f t="array" ref="E69">Common_InputFunctions.Utility_DisplayArrayInTable(Fuel_SourceData.Fuel_Scope1Scope3EmissionFactorsStationaryLiquid_Data(), Table_Fuel_EFs_StationaryLiquid[[#Headers],[Fuel combusted]],0)</f>
        <v>34.200000000000003</v>
      </c>
      <c r="F69" s="74" t="str" cm="1">
        <f t="array" ref="F69">Common_InputFunctions.Utility_DisplayArrayInTable(Fuel_SourceData.Fuel_Scope1Scope3EmissionFactorsStationaryLiquid_Data(), Table_Fuel_EFs_StationaryLiquid[[#Headers],[Fuel combusted]],0)</f>
        <v>t</v>
      </c>
      <c r="G69" s="74" cm="1">
        <f t="array" ref="G69">Common_InputFunctions.Utility_DisplayArrayInTable(Fuel_SourceData.Fuel_Scope1Scope3EmissionFactorsStationaryLiquid_Data(), Table_Fuel_EFs_StationaryLiquid[[#Headers],[Fuel combusted]],0)</f>
        <v>92.6</v>
      </c>
      <c r="H69" s="74" cm="1">
        <f t="array" ref="H69">Common_InputFunctions.Utility_DisplayArrayInTable(Fuel_SourceData.Fuel_Scope1Scope3EmissionFactorsStationaryLiquid_Data(), Table_Fuel_EFs_StationaryLiquid[[#Headers],[Fuel combusted]],0)</f>
        <v>0.08</v>
      </c>
      <c r="I69" s="74" cm="1">
        <f t="array" ref="I69">Common_InputFunctions.Utility_DisplayArrayInTable(Fuel_SourceData.Fuel_Scope1Scope3EmissionFactorsStationaryLiquid_Data(), Table_Fuel_EFs_StationaryLiquid[[#Headers],[Fuel combusted]],0)</f>
        <v>0.2</v>
      </c>
      <c r="J69" s="74" cm="1">
        <f t="array" ref="J69">Common_InputFunctions.Utility_DisplayArrayInTable(Fuel_SourceData.Fuel_Scope1Scope3EmissionFactorsStationaryLiquid_Data(), Table_Fuel_EFs_StationaryLiquid[[#Headers],[Fuel combusted]],0)</f>
        <v>92.88</v>
      </c>
      <c r="K69" s="74" cm="1">
        <f t="array" ref="K69">Common_InputFunctions.Utility_DisplayArrayInTable(Fuel_SourceData.Fuel_Scope1Scope3EmissionFactorsStationaryLiquid_Data(), Table_Fuel_EFs_StationaryLiquid[[#Headers],[Fuel combusted]],0)</f>
        <v>18</v>
      </c>
      <c r="L69" s="50"/>
    </row>
    <row r="70" spans="4:13" ht="20.100000000000001" customHeight="1" x14ac:dyDescent="0.25">
      <c r="D70" s="74" t="str" cm="1">
        <f t="array" ref="D70">Common_InputFunctions.Utility_DisplayArrayInTable(Fuel_SourceData.Fuel_Scope1Scope3EmissionFactorsStationaryLiquid_Data(), Table_Fuel_EFs_StationaryLiquid[[#Headers],[Fuel combusted]],0)</f>
        <v>Refinery gas and liquids</v>
      </c>
      <c r="E70" s="74" cm="1">
        <f t="array" ref="E70">Common_InputFunctions.Utility_DisplayArrayInTable(Fuel_SourceData.Fuel_Scope1Scope3EmissionFactorsStationaryLiquid_Data(), Table_Fuel_EFs_StationaryLiquid[[#Headers],[Fuel combusted]],0)</f>
        <v>42.9</v>
      </c>
      <c r="F70" s="74" t="str" cm="1">
        <f t="array" ref="F70">Common_InputFunctions.Utility_DisplayArrayInTable(Fuel_SourceData.Fuel_Scope1Scope3EmissionFactorsStationaryLiquid_Data(), Table_Fuel_EFs_StationaryLiquid[[#Headers],[Fuel combusted]],0)</f>
        <v>t</v>
      </c>
      <c r="G70" s="74" cm="1">
        <f t="array" ref="G70">Common_InputFunctions.Utility_DisplayArrayInTable(Fuel_SourceData.Fuel_Scope1Scope3EmissionFactorsStationaryLiquid_Data(), Table_Fuel_EFs_StationaryLiquid[[#Headers],[Fuel combusted]],0)</f>
        <v>54.7</v>
      </c>
      <c r="H70" s="74" cm="1">
        <f t="array" ref="H70">Common_InputFunctions.Utility_DisplayArrayInTable(Fuel_SourceData.Fuel_Scope1Scope3EmissionFactorsStationaryLiquid_Data(), Table_Fuel_EFs_StationaryLiquid[[#Headers],[Fuel combusted]],0)</f>
        <v>0.03</v>
      </c>
      <c r="I70" s="74" cm="1">
        <f t="array" ref="I70">Common_InputFunctions.Utility_DisplayArrayInTable(Fuel_SourceData.Fuel_Scope1Scope3EmissionFactorsStationaryLiquid_Data(), Table_Fuel_EFs_StationaryLiquid[[#Headers],[Fuel combusted]],0)</f>
        <v>0.03</v>
      </c>
      <c r="J70" s="74" cm="1">
        <f t="array" ref="J70">Common_InputFunctions.Utility_DisplayArrayInTable(Fuel_SourceData.Fuel_Scope1Scope3EmissionFactorsStationaryLiquid_Data(), Table_Fuel_EFs_StationaryLiquid[[#Headers],[Fuel combusted]],0)</f>
        <v>54.76</v>
      </c>
      <c r="K70" s="74" cm="1">
        <f t="array" ref="K70">Common_InputFunctions.Utility_DisplayArrayInTable(Fuel_SourceData.Fuel_Scope1Scope3EmissionFactorsStationaryLiquid_Data(), Table_Fuel_EFs_StationaryLiquid[[#Headers],[Fuel combusted]],0)</f>
        <v>18</v>
      </c>
      <c r="L70" s="50"/>
    </row>
    <row r="71" spans="4:13" ht="20.100000000000001" customHeight="1" x14ac:dyDescent="0.25">
      <c r="D71" s="74" t="str" cm="1">
        <f t="array" ref="D71">Common_InputFunctions.Utility_DisplayArrayInTable(Fuel_SourceData.Fuel_Scope1Scope3EmissionFactorsStationaryLiquid_Data(), Table_Fuel_EFs_StationaryLiquid[[#Headers],[Fuel combusted]],0)</f>
        <v>Refinery coke</v>
      </c>
      <c r="E71" s="74" cm="1">
        <f t="array" ref="E71">Common_InputFunctions.Utility_DisplayArrayInTable(Fuel_SourceData.Fuel_Scope1Scope3EmissionFactorsStationaryLiquid_Data(), Table_Fuel_EFs_StationaryLiquid[[#Headers],[Fuel combusted]],0)</f>
        <v>34.200000000000003</v>
      </c>
      <c r="F71" s="74" t="str" cm="1">
        <f t="array" ref="F71">Common_InputFunctions.Utility_DisplayArrayInTable(Fuel_SourceData.Fuel_Scope1Scope3EmissionFactorsStationaryLiquid_Data(), Table_Fuel_EFs_StationaryLiquid[[#Headers],[Fuel combusted]],0)</f>
        <v>t</v>
      </c>
      <c r="G71" s="74" cm="1">
        <f t="array" ref="G71">Common_InputFunctions.Utility_DisplayArrayInTable(Fuel_SourceData.Fuel_Scope1Scope3EmissionFactorsStationaryLiquid_Data(), Table_Fuel_EFs_StationaryLiquid[[#Headers],[Fuel combusted]],0)</f>
        <v>92.6</v>
      </c>
      <c r="H71" s="74" cm="1">
        <f t="array" ref="H71">Common_InputFunctions.Utility_DisplayArrayInTable(Fuel_SourceData.Fuel_Scope1Scope3EmissionFactorsStationaryLiquid_Data(), Table_Fuel_EFs_StationaryLiquid[[#Headers],[Fuel combusted]],0)</f>
        <v>0.08</v>
      </c>
      <c r="I71" s="74" cm="1">
        <f t="array" ref="I71">Common_InputFunctions.Utility_DisplayArrayInTable(Fuel_SourceData.Fuel_Scope1Scope3EmissionFactorsStationaryLiquid_Data(), Table_Fuel_EFs_StationaryLiquid[[#Headers],[Fuel combusted]],0)</f>
        <v>0.2</v>
      </c>
      <c r="J71" s="74" cm="1">
        <f t="array" ref="J71">Common_InputFunctions.Utility_DisplayArrayInTable(Fuel_SourceData.Fuel_Scope1Scope3EmissionFactorsStationaryLiquid_Data(), Table_Fuel_EFs_StationaryLiquid[[#Headers],[Fuel combusted]],0)</f>
        <v>92.88</v>
      </c>
      <c r="K71" s="74" cm="1">
        <f t="array" ref="K71">Common_InputFunctions.Utility_DisplayArrayInTable(Fuel_SourceData.Fuel_Scope1Scope3EmissionFactorsStationaryLiquid_Data(), Table_Fuel_EFs_StationaryLiquid[[#Headers],[Fuel combusted]],0)</f>
        <v>18</v>
      </c>
      <c r="L71" s="50"/>
    </row>
    <row r="72" spans="4:13" ht="20.100000000000001" customHeight="1" x14ac:dyDescent="0.25">
      <c r="D72" s="74" t="str" cm="1">
        <f t="array" ref="D72">Common_InputFunctions.Utility_DisplayArrayInTable(Fuel_SourceData.Fuel_Scope1Scope3EmissionFactorsStationaryLiquid_Data(), Table_Fuel_EFs_StationaryLiquid[[#Headers],[Fuel combusted]],0)</f>
        <v>Petroleum based products other than mentioned in the items above</v>
      </c>
      <c r="E72" s="74" cm="1">
        <f t="array" ref="E72">Common_InputFunctions.Utility_DisplayArrayInTable(Fuel_SourceData.Fuel_Scope1Scope3EmissionFactorsStationaryLiquid_Data(), Table_Fuel_EFs_StationaryLiquid[[#Headers],[Fuel combusted]],0)</f>
        <v>34.4</v>
      </c>
      <c r="F72" s="74" t="str" cm="1">
        <f t="array" ref="F72">Common_InputFunctions.Utility_DisplayArrayInTable(Fuel_SourceData.Fuel_Scope1Scope3EmissionFactorsStationaryLiquid_Data(), Table_Fuel_EFs_StationaryLiquid[[#Headers],[Fuel combusted]],0)</f>
        <v>kL</v>
      </c>
      <c r="G72" s="74" cm="1">
        <f t="array" ref="G72">Common_InputFunctions.Utility_DisplayArrayInTable(Fuel_SourceData.Fuel_Scope1Scope3EmissionFactorsStationaryLiquid_Data(), Table_Fuel_EFs_StationaryLiquid[[#Headers],[Fuel combusted]],0)</f>
        <v>69.8</v>
      </c>
      <c r="H72" s="74" cm="1">
        <f t="array" ref="H72">Common_InputFunctions.Utility_DisplayArrayInTable(Fuel_SourceData.Fuel_Scope1Scope3EmissionFactorsStationaryLiquid_Data(), Table_Fuel_EFs_StationaryLiquid[[#Headers],[Fuel combusted]],0)</f>
        <v>0.02</v>
      </c>
      <c r="I72" s="74" cm="1">
        <f t="array" ref="I72">Common_InputFunctions.Utility_DisplayArrayInTable(Fuel_SourceData.Fuel_Scope1Scope3EmissionFactorsStationaryLiquid_Data(), Table_Fuel_EFs_StationaryLiquid[[#Headers],[Fuel combusted]],0)</f>
        <v>0.1</v>
      </c>
      <c r="J72" s="74" cm="1">
        <f t="array" ref="J72">Common_InputFunctions.Utility_DisplayArrayInTable(Fuel_SourceData.Fuel_Scope1Scope3EmissionFactorsStationaryLiquid_Data(), Table_Fuel_EFs_StationaryLiquid[[#Headers],[Fuel combusted]],0)</f>
        <v>69.92</v>
      </c>
      <c r="K72" s="74" cm="1">
        <f t="array" ref="K72">Common_InputFunctions.Utility_DisplayArrayInTable(Fuel_SourceData.Fuel_Scope1Scope3EmissionFactorsStationaryLiquid_Data(), Table_Fuel_EFs_StationaryLiquid[[#Headers],[Fuel combusted]],0)</f>
        <v>18</v>
      </c>
      <c r="L72" s="50"/>
    </row>
    <row r="73" spans="4:13" ht="20.100000000000001" customHeight="1" x14ac:dyDescent="0.25">
      <c r="D73" s="74" t="str" cm="1">
        <f t="array" ref="D73">Common_InputFunctions.Utility_DisplayArrayInTable(Fuel_SourceData.Fuel_Scope1Scope3EmissionFactorsStationaryLiquid_Data(), Table_Fuel_EFs_StationaryLiquid[[#Headers],[Fuel combusted]],0)</f>
        <v>Biodiesel</v>
      </c>
      <c r="E73" s="74" cm="1">
        <f t="array" ref="E73">Common_InputFunctions.Utility_DisplayArrayInTable(Fuel_SourceData.Fuel_Scope1Scope3EmissionFactorsStationaryLiquid_Data(), Table_Fuel_EFs_StationaryLiquid[[#Headers],[Fuel combusted]],0)</f>
        <v>34.6</v>
      </c>
      <c r="F73" s="74" t="str" cm="1">
        <f t="array" ref="F73">Common_InputFunctions.Utility_DisplayArrayInTable(Fuel_SourceData.Fuel_Scope1Scope3EmissionFactorsStationaryLiquid_Data(), Table_Fuel_EFs_StationaryLiquid[[#Headers],[Fuel combusted]],0)</f>
        <v>kL</v>
      </c>
      <c r="G73" s="74" cm="1">
        <f t="array" ref="G73">Common_InputFunctions.Utility_DisplayArrayInTable(Fuel_SourceData.Fuel_Scope1Scope3EmissionFactorsStationaryLiquid_Data(), Table_Fuel_EFs_StationaryLiquid[[#Headers],[Fuel combusted]],0)</f>
        <v>0</v>
      </c>
      <c r="H73" s="74" cm="1">
        <f t="array" ref="H73">Common_InputFunctions.Utility_DisplayArrayInTable(Fuel_SourceData.Fuel_Scope1Scope3EmissionFactorsStationaryLiquid_Data(), Table_Fuel_EFs_StationaryLiquid[[#Headers],[Fuel combusted]],0)</f>
        <v>0.08</v>
      </c>
      <c r="I73" s="74" cm="1">
        <f t="array" ref="I73">Common_InputFunctions.Utility_DisplayArrayInTable(Fuel_SourceData.Fuel_Scope1Scope3EmissionFactorsStationaryLiquid_Data(), Table_Fuel_EFs_StationaryLiquid[[#Headers],[Fuel combusted]],0)</f>
        <v>0.2</v>
      </c>
      <c r="J73" s="74" cm="1">
        <f t="array" ref="J73">Common_InputFunctions.Utility_DisplayArrayInTable(Fuel_SourceData.Fuel_Scope1Scope3EmissionFactorsStationaryLiquid_Data(), Table_Fuel_EFs_StationaryLiquid[[#Headers],[Fuel combusted]],0)</f>
        <v>0.28000000000000003</v>
      </c>
      <c r="K73" s="74" t="str" cm="1">
        <f t="array" ref="K73">Common_InputFunctions.Utility_DisplayArrayInTable(Fuel_SourceData.Fuel_Scope1Scope3EmissionFactorsStationaryLiquid_Data(), Table_Fuel_EFs_StationaryLiquid[[#Headers],[Fuel combusted]],0)</f>
        <v>NE</v>
      </c>
      <c r="L73" s="50"/>
    </row>
    <row r="74" spans="4:13" ht="20.100000000000001" customHeight="1" x14ac:dyDescent="0.25">
      <c r="D74" s="74" t="str" cm="1">
        <f t="array" ref="D74">Common_InputFunctions.Utility_DisplayArrayInTable(Fuel_SourceData.Fuel_Scope1Scope3EmissionFactorsStationaryLiquid_Data(), Table_Fuel_EFs_StationaryLiquid[[#Headers],[Fuel combusted]],0)</f>
        <v>Ethanol for use as a fuel in an internal combustion engine</v>
      </c>
      <c r="E74" s="74" cm="1">
        <f t="array" ref="E74">Common_InputFunctions.Utility_DisplayArrayInTable(Fuel_SourceData.Fuel_Scope1Scope3EmissionFactorsStationaryLiquid_Data(), Table_Fuel_EFs_StationaryLiquid[[#Headers],[Fuel combusted]],0)</f>
        <v>23.4</v>
      </c>
      <c r="F74" s="74" t="str" cm="1">
        <f t="array" ref="F74">Common_InputFunctions.Utility_DisplayArrayInTable(Fuel_SourceData.Fuel_Scope1Scope3EmissionFactorsStationaryLiquid_Data(), Table_Fuel_EFs_StationaryLiquid[[#Headers],[Fuel combusted]],0)</f>
        <v>kL</v>
      </c>
      <c r="G74" s="74" cm="1">
        <f t="array" ref="G74">Common_InputFunctions.Utility_DisplayArrayInTable(Fuel_SourceData.Fuel_Scope1Scope3EmissionFactorsStationaryLiquid_Data(), Table_Fuel_EFs_StationaryLiquid[[#Headers],[Fuel combusted]],0)</f>
        <v>0</v>
      </c>
      <c r="H74" s="74" cm="1">
        <f t="array" ref="H74">Common_InputFunctions.Utility_DisplayArrayInTable(Fuel_SourceData.Fuel_Scope1Scope3EmissionFactorsStationaryLiquid_Data(), Table_Fuel_EFs_StationaryLiquid[[#Headers],[Fuel combusted]],0)</f>
        <v>0.08</v>
      </c>
      <c r="I74" s="74" cm="1">
        <f t="array" ref="I74">Common_InputFunctions.Utility_DisplayArrayInTable(Fuel_SourceData.Fuel_Scope1Scope3EmissionFactorsStationaryLiquid_Data(), Table_Fuel_EFs_StationaryLiquid[[#Headers],[Fuel combusted]],0)</f>
        <v>0.2</v>
      </c>
      <c r="J74" s="74" cm="1">
        <f t="array" ref="J74">Common_InputFunctions.Utility_DisplayArrayInTable(Fuel_SourceData.Fuel_Scope1Scope3EmissionFactorsStationaryLiquid_Data(), Table_Fuel_EFs_StationaryLiquid[[#Headers],[Fuel combusted]],0)</f>
        <v>0.28000000000000003</v>
      </c>
      <c r="K74" s="74" t="str" cm="1">
        <f t="array" ref="K74">Common_InputFunctions.Utility_DisplayArrayInTable(Fuel_SourceData.Fuel_Scope1Scope3EmissionFactorsStationaryLiquid_Data(), Table_Fuel_EFs_StationaryLiquid[[#Headers],[Fuel combusted]],0)</f>
        <v>NE</v>
      </c>
      <c r="L74" s="50"/>
    </row>
    <row r="75" spans="4:13" ht="20.100000000000001" customHeight="1" x14ac:dyDescent="0.25">
      <c r="D75" s="74" t="str" cm="1">
        <f t="array" ref="D75">Common_InputFunctions.Utility_DisplayArrayInTable(Fuel_SourceData.Fuel_Scope1Scope3EmissionFactorsStationaryLiquid_Data(), Table_Fuel_EFs_StationaryLiquid[[#Headers],[Fuel combusted]],0)</f>
        <v>Biofuels other than those mentioned in the items above and below</v>
      </c>
      <c r="E75" s="74" cm="1">
        <f t="array" ref="E75">Common_InputFunctions.Utility_DisplayArrayInTable(Fuel_SourceData.Fuel_Scope1Scope3EmissionFactorsStationaryLiquid_Data(), Table_Fuel_EFs_StationaryLiquid[[#Headers],[Fuel combusted]],0)</f>
        <v>23.4</v>
      </c>
      <c r="F75" s="74" t="str" cm="1">
        <f t="array" ref="F75">Common_InputFunctions.Utility_DisplayArrayInTable(Fuel_SourceData.Fuel_Scope1Scope3EmissionFactorsStationaryLiquid_Data(), Table_Fuel_EFs_StationaryLiquid[[#Headers],[Fuel combusted]],0)</f>
        <v>kL</v>
      </c>
      <c r="G75" s="74" cm="1">
        <f t="array" ref="G75">Common_InputFunctions.Utility_DisplayArrayInTable(Fuel_SourceData.Fuel_Scope1Scope3EmissionFactorsStationaryLiquid_Data(), Table_Fuel_EFs_StationaryLiquid[[#Headers],[Fuel combusted]],0)</f>
        <v>0</v>
      </c>
      <c r="H75" s="74" cm="1">
        <f t="array" ref="H75">Common_InputFunctions.Utility_DisplayArrayInTable(Fuel_SourceData.Fuel_Scope1Scope3EmissionFactorsStationaryLiquid_Data(), Table_Fuel_EFs_StationaryLiquid[[#Headers],[Fuel combusted]],0)</f>
        <v>0.08</v>
      </c>
      <c r="I75" s="74" cm="1">
        <f t="array" ref="I75">Common_InputFunctions.Utility_DisplayArrayInTable(Fuel_SourceData.Fuel_Scope1Scope3EmissionFactorsStationaryLiquid_Data(), Table_Fuel_EFs_StationaryLiquid[[#Headers],[Fuel combusted]],0)</f>
        <v>0.2</v>
      </c>
      <c r="J75" s="74" cm="1">
        <f t="array" ref="J75">Common_InputFunctions.Utility_DisplayArrayInTable(Fuel_SourceData.Fuel_Scope1Scope3EmissionFactorsStationaryLiquid_Data(), Table_Fuel_EFs_StationaryLiquid[[#Headers],[Fuel combusted]],0)</f>
        <v>0.28000000000000003</v>
      </c>
      <c r="K75" s="74" t="str" cm="1">
        <f t="array" ref="K75">Common_InputFunctions.Utility_DisplayArrayInTable(Fuel_SourceData.Fuel_Scope1Scope3EmissionFactorsStationaryLiquid_Data(), Table_Fuel_EFs_StationaryLiquid[[#Headers],[Fuel combusted]],0)</f>
        <v>NE</v>
      </c>
      <c r="L75" s="50"/>
    </row>
    <row r="76" spans="4:13" ht="20.100000000000001" customHeight="1" x14ac:dyDescent="0.25">
      <c r="D76" s="74" t="str" cm="1">
        <f t="array" ref="D76">Common_InputFunctions.Utility_DisplayArrayInTable(Fuel_SourceData.Fuel_Scope1Scope3EmissionFactorsStationaryLiquid_Data(), Table_Fuel_EFs_StationaryLiquid[[#Headers],[Fuel combusted]],0)</f>
        <v>Renewable aviation kerosene</v>
      </c>
      <c r="E76" s="74" cm="1">
        <f t="array" ref="E76">Common_InputFunctions.Utility_DisplayArrayInTable(Fuel_SourceData.Fuel_Scope1Scope3EmissionFactorsStationaryLiquid_Data(), Table_Fuel_EFs_StationaryLiquid[[#Headers],[Fuel combusted]],0)</f>
        <v>36.799999999999997</v>
      </c>
      <c r="F76" s="74" t="str" cm="1">
        <f t="array" ref="F76">Common_InputFunctions.Utility_DisplayArrayInTable(Fuel_SourceData.Fuel_Scope1Scope3EmissionFactorsStationaryLiquid_Data(), Table_Fuel_EFs_StationaryLiquid[[#Headers],[Fuel combusted]],0)</f>
        <v>kL</v>
      </c>
      <c r="G76" s="74" cm="1">
        <f t="array" ref="G76">Common_InputFunctions.Utility_DisplayArrayInTable(Fuel_SourceData.Fuel_Scope1Scope3EmissionFactorsStationaryLiquid_Data(), Table_Fuel_EFs_StationaryLiquid[[#Headers],[Fuel combusted]],0)</f>
        <v>0</v>
      </c>
      <c r="H76" s="74" cm="1">
        <f t="array" ref="H76">Common_InputFunctions.Utility_DisplayArrayInTable(Fuel_SourceData.Fuel_Scope1Scope3EmissionFactorsStationaryLiquid_Data(), Table_Fuel_EFs_StationaryLiquid[[#Headers],[Fuel combusted]],0)</f>
        <v>0.02</v>
      </c>
      <c r="I76" s="74" cm="1">
        <f t="array" ref="I76">Common_InputFunctions.Utility_DisplayArrayInTable(Fuel_SourceData.Fuel_Scope1Scope3EmissionFactorsStationaryLiquid_Data(), Table_Fuel_EFs_StationaryLiquid[[#Headers],[Fuel combusted]],0)</f>
        <v>0.2</v>
      </c>
      <c r="J76" s="74" cm="1">
        <f t="array" ref="J76">Common_InputFunctions.Utility_DisplayArrayInTable(Fuel_SourceData.Fuel_Scope1Scope3EmissionFactorsStationaryLiquid_Data(), Table_Fuel_EFs_StationaryLiquid[[#Headers],[Fuel combusted]],0)</f>
        <v>0.22</v>
      </c>
      <c r="K76" s="74" t="str" cm="1">
        <f t="array" ref="K76">Common_InputFunctions.Utility_DisplayArrayInTable(Fuel_SourceData.Fuel_Scope1Scope3EmissionFactorsStationaryLiquid_Data(), Table_Fuel_EFs_StationaryLiquid[[#Headers],[Fuel combusted]],0)</f>
        <v>NE</v>
      </c>
      <c r="L76" s="50"/>
    </row>
    <row r="77" spans="4:13" ht="20.100000000000001" customHeight="1" x14ac:dyDescent="0.25">
      <c r="D77" s="74" t="str" cm="1">
        <f t="array" ref="D77">Common_InputFunctions.Utility_DisplayArrayInTable(Fuel_SourceData.Fuel_Scope1Scope3EmissionFactorsStationaryLiquid_Data(), Table_Fuel_EFs_StationaryLiquid[[#Headers],[Fuel combusted]],0)</f>
        <v>Renewable diesel</v>
      </c>
      <c r="E77" s="74" cm="1">
        <f t="array" ref="E77">Common_InputFunctions.Utility_DisplayArrayInTable(Fuel_SourceData.Fuel_Scope1Scope3EmissionFactorsStationaryLiquid_Data(), Table_Fuel_EFs_StationaryLiquid[[#Headers],[Fuel combusted]],0)</f>
        <v>38.6</v>
      </c>
      <c r="F77" s="74" t="str" cm="1">
        <f t="array" ref="F77">Common_InputFunctions.Utility_DisplayArrayInTable(Fuel_SourceData.Fuel_Scope1Scope3EmissionFactorsStationaryLiquid_Data(), Table_Fuel_EFs_StationaryLiquid[[#Headers],[Fuel combusted]],0)</f>
        <v>kL</v>
      </c>
      <c r="G77" s="74" cm="1">
        <f t="array" ref="G77">Common_InputFunctions.Utility_DisplayArrayInTable(Fuel_SourceData.Fuel_Scope1Scope3EmissionFactorsStationaryLiquid_Data(), Table_Fuel_EFs_StationaryLiquid[[#Headers],[Fuel combusted]],0)</f>
        <v>0</v>
      </c>
      <c r="H77" s="74" cm="1">
        <f t="array" ref="H77">Common_InputFunctions.Utility_DisplayArrayInTable(Fuel_SourceData.Fuel_Scope1Scope3EmissionFactorsStationaryLiquid_Data(), Table_Fuel_EFs_StationaryLiquid[[#Headers],[Fuel combusted]],0)</f>
        <v>0.1</v>
      </c>
      <c r="I77" s="74" cm="1">
        <f t="array" ref="I77">Common_InputFunctions.Utility_DisplayArrayInTable(Fuel_SourceData.Fuel_Scope1Scope3EmissionFactorsStationaryLiquid_Data(), Table_Fuel_EFs_StationaryLiquid[[#Headers],[Fuel combusted]],0)</f>
        <v>0.2</v>
      </c>
      <c r="J77" s="74" cm="1">
        <f t="array" ref="J77">Common_InputFunctions.Utility_DisplayArrayInTable(Fuel_SourceData.Fuel_Scope1Scope3EmissionFactorsStationaryLiquid_Data(), Table_Fuel_EFs_StationaryLiquid[[#Headers],[Fuel combusted]],0)</f>
        <v>0.3</v>
      </c>
      <c r="K77" s="74" t="str" cm="1">
        <f t="array" ref="K77">Common_InputFunctions.Utility_DisplayArrayInTable(Fuel_SourceData.Fuel_Scope1Scope3EmissionFactorsStationaryLiquid_Data(), Table_Fuel_EFs_StationaryLiquid[[#Headers],[Fuel combusted]],0)</f>
        <v>NE</v>
      </c>
      <c r="L77" s="50"/>
    </row>
    <row r="78" spans="4:13" ht="20.100000000000001" customHeight="1" x14ac:dyDescent="0.25">
      <c r="D78" s="50"/>
      <c r="E78" s="50"/>
      <c r="F78" s="50"/>
      <c r="G78" s="50"/>
      <c r="H78" s="50"/>
      <c r="I78" s="50"/>
      <c r="J78" s="50"/>
      <c r="K78" s="50"/>
      <c r="L78" s="50"/>
    </row>
    <row r="79" spans="4:13" ht="20.100000000000001" customHeight="1" x14ac:dyDescent="0.25">
      <c r="D79" s="50"/>
      <c r="E79" s="50"/>
      <c r="F79" s="50"/>
      <c r="G79" s="50"/>
      <c r="H79" s="50"/>
      <c r="I79" s="50"/>
      <c r="J79" s="50"/>
      <c r="K79" s="50"/>
      <c r="L79" s="50"/>
      <c r="M79" s="50"/>
    </row>
    <row r="80" spans="4:13" ht="20.100000000000001" customHeight="1" x14ac:dyDescent="0.25">
      <c r="D80" s="50"/>
      <c r="E80" s="50"/>
      <c r="F80" s="50"/>
      <c r="G80" s="50"/>
      <c r="H80" s="50"/>
      <c r="I80" s="50"/>
      <c r="J80" s="50"/>
      <c r="K80" s="50"/>
      <c r="L80" s="50"/>
      <c r="M80" s="50"/>
    </row>
    <row r="81" spans="4:12" ht="20.100000000000001" customHeight="1" x14ac:dyDescent="0.25">
      <c r="D81" s="6" t="str" cm="1">
        <f t="array" ref="D81">Fuel_SourceData.Fuel_Scope1EmissionFactorsStationaryGaseous_Title()</f>
        <v>Fuel scope 1 emission factors - Stationary gaseous fuels</v>
      </c>
      <c r="E81" s="50"/>
      <c r="F81" s="50"/>
      <c r="G81" s="50"/>
      <c r="H81" s="50"/>
      <c r="I81" s="50"/>
      <c r="J81" s="50"/>
      <c r="K81" s="50"/>
      <c r="L81" s="50"/>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0"/>
      <c r="F82" s="50"/>
      <c r="G82" s="50"/>
      <c r="H82" s="50"/>
      <c r="I82" s="50"/>
      <c r="J82" s="50"/>
      <c r="K82" s="50"/>
      <c r="L82" s="50"/>
    </row>
    <row r="83" spans="4:12" ht="20.100000000000001" customHeight="1" x14ac:dyDescent="0.25">
      <c r="D83" s="5" t="str" cm="1">
        <f t="array" ref="D83">Fuel_SourceData.Fuel_Scope1EmissionFactorsStationaryGaseous_Source()</f>
        <v>Australian National Greenhouse Accounts Factors 2025 - Table 5</v>
      </c>
      <c r="E83" s="50"/>
      <c r="F83" s="50"/>
      <c r="G83" s="50"/>
      <c r="H83" s="50"/>
      <c r="I83" s="50"/>
      <c r="J83" s="50"/>
      <c r="K83" s="50"/>
      <c r="L83" s="50"/>
    </row>
    <row r="84" spans="4:12" ht="20.100000000000001" customHeight="1" x14ac:dyDescent="0.25">
      <c r="D84" s="33"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0"/>
      <c r="F84" s="50"/>
      <c r="G84" s="50"/>
      <c r="H84" s="50"/>
      <c r="I84" s="50"/>
      <c r="J84" s="50"/>
      <c r="K84" s="50"/>
      <c r="L84" s="50"/>
    </row>
    <row r="85" spans="4:12" ht="20.100000000000001" customHeight="1" x14ac:dyDescent="0.25">
      <c r="D85" s="50"/>
      <c r="E85" s="50"/>
      <c r="F85" s="50"/>
      <c r="G85" s="50"/>
      <c r="H85" s="50"/>
      <c r="I85" s="50"/>
      <c r="J85" s="50"/>
      <c r="K85" s="50"/>
      <c r="L85" s="50"/>
    </row>
    <row r="86" spans="4:12" ht="20.100000000000001" customHeight="1" x14ac:dyDescent="0.25">
      <c r="D86" s="73" t="s">
        <v>112</v>
      </c>
      <c r="E86" s="71" t="s">
        <v>113</v>
      </c>
      <c r="F86" s="73" t="s">
        <v>114</v>
      </c>
      <c r="G86" s="71" t="s">
        <v>115</v>
      </c>
      <c r="H86" s="71" t="s">
        <v>116</v>
      </c>
      <c r="I86" s="71" t="s">
        <v>117</v>
      </c>
      <c r="J86" s="71" t="s">
        <v>118</v>
      </c>
      <c r="K86" s="50"/>
      <c r="L86" s="50"/>
    </row>
    <row r="87" spans="4:12" ht="20.100000000000001" customHeight="1" x14ac:dyDescent="0.25">
      <c r="D87" s="74" t="str" cm="1">
        <f t="array" ref="D87">Common_InputFunctions.Utility_DisplayArrayInTable(Fuel_SourceData.Fuel_Scope1EmissionFactorsStationaryGaseous_Data(), Table_Fuel_EFs_StationaryGaseous[[#Headers],[Fuel combusted]],0)</f>
        <v>Natural gas distributed in a pipeline</v>
      </c>
      <c r="E87" s="74" cm="1">
        <f t="array" ref="E87">Common_InputFunctions.Utility_DisplayArrayInTable(Fuel_SourceData.Fuel_Scope1EmissionFactorsStationaryGaseous_Data(), Table_Fuel_EFs_StationaryGaseous[[#Headers],[Fuel combusted]],0)</f>
        <v>3.9300000000000002E-2</v>
      </c>
      <c r="F87" s="74" t="str" cm="1">
        <f t="array" ref="F87">Common_InputFunctions.Utility_DisplayArrayInTable(Fuel_SourceData.Fuel_Scope1EmissionFactorsStationaryGaseous_Data(), Table_Fuel_EFs_StationaryGaseous[[#Headers],[Fuel combusted]],0)</f>
        <v>m3</v>
      </c>
      <c r="G87" s="74" cm="1">
        <f t="array" ref="G87">Common_InputFunctions.Utility_DisplayArrayInTable(Fuel_SourceData.Fuel_Scope1EmissionFactorsStationaryGaseous_Data(), Table_Fuel_EFs_StationaryGaseous[[#Headers],[Fuel combusted]],0)</f>
        <v>51.4</v>
      </c>
      <c r="H87" s="74" cm="1">
        <f t="array" ref="H87">Common_InputFunctions.Utility_DisplayArrayInTable(Fuel_SourceData.Fuel_Scope1EmissionFactorsStationaryGaseous_Data(), Table_Fuel_EFs_StationaryGaseous[[#Headers],[Fuel combusted]],0)</f>
        <v>0.1</v>
      </c>
      <c r="I87" s="74" cm="1">
        <f t="array" ref="I87">Common_InputFunctions.Utility_DisplayArrayInTable(Fuel_SourceData.Fuel_Scope1EmissionFactorsStationaryGaseous_Data(), Table_Fuel_EFs_StationaryGaseous[[#Headers],[Fuel combusted]],0)</f>
        <v>0.03</v>
      </c>
      <c r="J87" s="74" cm="1">
        <f t="array" ref="J87">Common_InputFunctions.Utility_DisplayArrayInTable(Fuel_SourceData.Fuel_Scope1EmissionFactorsStationaryGaseous_Data(), Table_Fuel_EFs_StationaryGaseous[[#Headers],[Fuel combusted]],0)</f>
        <v>51.53</v>
      </c>
      <c r="K87" s="50"/>
      <c r="L87" s="50"/>
    </row>
    <row r="88" spans="4:12" ht="20.100000000000001" customHeight="1" x14ac:dyDescent="0.25">
      <c r="D88" s="74" t="str" cm="1">
        <f t="array" ref="D88">Common_InputFunctions.Utility_DisplayArrayInTable(Fuel_SourceData.Fuel_Scope1EmissionFactorsStationaryGaseous_Data(), Table_Fuel_EFs_StationaryGaseous[[#Headers],[Fuel combusted]],0)</f>
        <v>Coal seam methane that is captured for combustion</v>
      </c>
      <c r="E88" s="74" cm="1">
        <f t="array" ref="E88">Common_InputFunctions.Utility_DisplayArrayInTable(Fuel_SourceData.Fuel_Scope1EmissionFactorsStationaryGaseous_Data(), Table_Fuel_EFs_StationaryGaseous[[#Headers],[Fuel combusted]],0)</f>
        <v>3.7699999999999997E-2</v>
      </c>
      <c r="F88" s="74" t="str" cm="1">
        <f t="array" ref="F88">Common_InputFunctions.Utility_DisplayArrayInTable(Fuel_SourceData.Fuel_Scope1EmissionFactorsStationaryGaseous_Data(), Table_Fuel_EFs_StationaryGaseous[[#Headers],[Fuel combusted]],0)</f>
        <v>m3</v>
      </c>
      <c r="G88" s="74" cm="1">
        <f t="array" ref="G88">Common_InputFunctions.Utility_DisplayArrayInTable(Fuel_SourceData.Fuel_Scope1EmissionFactorsStationaryGaseous_Data(), Table_Fuel_EFs_StationaryGaseous[[#Headers],[Fuel combusted]],0)</f>
        <v>51.4</v>
      </c>
      <c r="H88" s="74" cm="1">
        <f t="array" ref="H88">Common_InputFunctions.Utility_DisplayArrayInTable(Fuel_SourceData.Fuel_Scope1EmissionFactorsStationaryGaseous_Data(), Table_Fuel_EFs_StationaryGaseous[[#Headers],[Fuel combusted]],0)</f>
        <v>0.2</v>
      </c>
      <c r="I88" s="74" cm="1">
        <f t="array" ref="I88">Common_InputFunctions.Utility_DisplayArrayInTable(Fuel_SourceData.Fuel_Scope1EmissionFactorsStationaryGaseous_Data(), Table_Fuel_EFs_StationaryGaseous[[#Headers],[Fuel combusted]],0)</f>
        <v>0.03</v>
      </c>
      <c r="J88" s="74" cm="1">
        <f t="array" ref="J88">Common_InputFunctions.Utility_DisplayArrayInTable(Fuel_SourceData.Fuel_Scope1EmissionFactorsStationaryGaseous_Data(), Table_Fuel_EFs_StationaryGaseous[[#Headers],[Fuel combusted]],0)</f>
        <v>51.63</v>
      </c>
      <c r="K88" s="50"/>
      <c r="L88" s="50"/>
    </row>
    <row r="89" spans="4:12" ht="20.100000000000001" customHeight="1" x14ac:dyDescent="0.25">
      <c r="D89" s="74" t="str" cm="1">
        <f t="array" ref="D89">Common_InputFunctions.Utility_DisplayArrayInTable(Fuel_SourceData.Fuel_Scope1EmissionFactorsStationaryGaseous_Data(), Table_Fuel_EFs_StationaryGaseous[[#Headers],[Fuel combusted]],0)</f>
        <v>Coal mine waste gas that is captured for combustion</v>
      </c>
      <c r="E89" s="74" cm="1">
        <f t="array" ref="E89">Common_InputFunctions.Utility_DisplayArrayInTable(Fuel_SourceData.Fuel_Scope1EmissionFactorsStationaryGaseous_Data(), Table_Fuel_EFs_StationaryGaseous[[#Headers],[Fuel combusted]],0)</f>
        <v>3.7699999999999997E-2</v>
      </c>
      <c r="F89" s="74" t="str" cm="1">
        <f t="array" ref="F89">Common_InputFunctions.Utility_DisplayArrayInTable(Fuel_SourceData.Fuel_Scope1EmissionFactorsStationaryGaseous_Data(), Table_Fuel_EFs_StationaryGaseous[[#Headers],[Fuel combusted]],0)</f>
        <v>m3</v>
      </c>
      <c r="G89" s="74" cm="1">
        <f t="array" ref="G89">Common_InputFunctions.Utility_DisplayArrayInTable(Fuel_SourceData.Fuel_Scope1EmissionFactorsStationaryGaseous_Data(), Table_Fuel_EFs_StationaryGaseous[[#Headers],[Fuel combusted]],0)</f>
        <v>51.9</v>
      </c>
      <c r="H89" s="74" cm="1">
        <f t="array" ref="H89">Common_InputFunctions.Utility_DisplayArrayInTable(Fuel_SourceData.Fuel_Scope1EmissionFactorsStationaryGaseous_Data(), Table_Fuel_EFs_StationaryGaseous[[#Headers],[Fuel combusted]],0)</f>
        <v>4.5999999999999996</v>
      </c>
      <c r="I89" s="74" cm="1">
        <f t="array" ref="I89">Common_InputFunctions.Utility_DisplayArrayInTable(Fuel_SourceData.Fuel_Scope1EmissionFactorsStationaryGaseous_Data(), Table_Fuel_EFs_StationaryGaseous[[#Headers],[Fuel combusted]],0)</f>
        <v>0.3</v>
      </c>
      <c r="J89" s="74" cm="1">
        <f t="array" ref="J89">Common_InputFunctions.Utility_DisplayArrayInTable(Fuel_SourceData.Fuel_Scope1EmissionFactorsStationaryGaseous_Data(), Table_Fuel_EFs_StationaryGaseous[[#Headers],[Fuel combusted]],0)</f>
        <v>56.8</v>
      </c>
      <c r="K89" s="50"/>
      <c r="L89" s="50"/>
    </row>
    <row r="90" spans="4:12" ht="20.100000000000001" customHeight="1" x14ac:dyDescent="0.25">
      <c r="D90" s="74" t="str" cm="1">
        <f t="array" ref="D90">Common_InputFunctions.Utility_DisplayArrayInTable(Fuel_SourceData.Fuel_Scope1EmissionFactorsStationaryGaseous_Data(), Table_Fuel_EFs_StationaryGaseous[[#Headers],[Fuel combusted]],0)</f>
        <v>Compressed natural gas(reverting to standard conditions)</v>
      </c>
      <c r="E90" s="74" cm="1">
        <f t="array" ref="E90">Common_InputFunctions.Utility_DisplayArrayInTable(Fuel_SourceData.Fuel_Scope1EmissionFactorsStationaryGaseous_Data(), Table_Fuel_EFs_StationaryGaseous[[#Headers],[Fuel combusted]],0)</f>
        <v>3.9300000000000002E-2</v>
      </c>
      <c r="F90" s="74" t="str" cm="1">
        <f t="array" ref="F90">Common_InputFunctions.Utility_DisplayArrayInTable(Fuel_SourceData.Fuel_Scope1EmissionFactorsStationaryGaseous_Data(), Table_Fuel_EFs_StationaryGaseous[[#Headers],[Fuel combusted]],0)</f>
        <v>m3</v>
      </c>
      <c r="G90" s="74" cm="1">
        <f t="array" ref="G90">Common_InputFunctions.Utility_DisplayArrayInTable(Fuel_SourceData.Fuel_Scope1EmissionFactorsStationaryGaseous_Data(), Table_Fuel_EFs_StationaryGaseous[[#Headers],[Fuel combusted]],0)</f>
        <v>51.4</v>
      </c>
      <c r="H90" s="74" cm="1">
        <f t="array" ref="H90">Common_InputFunctions.Utility_DisplayArrayInTable(Fuel_SourceData.Fuel_Scope1EmissionFactorsStationaryGaseous_Data(), Table_Fuel_EFs_StationaryGaseous[[#Headers],[Fuel combusted]],0)</f>
        <v>0.1</v>
      </c>
      <c r="I90" s="74" cm="1">
        <f t="array" ref="I90">Common_InputFunctions.Utility_DisplayArrayInTable(Fuel_SourceData.Fuel_Scope1EmissionFactorsStationaryGaseous_Data(), Table_Fuel_EFs_StationaryGaseous[[#Headers],[Fuel combusted]],0)</f>
        <v>0.03</v>
      </c>
      <c r="J90" s="74" cm="1">
        <f t="array" ref="J90">Common_InputFunctions.Utility_DisplayArrayInTable(Fuel_SourceData.Fuel_Scope1EmissionFactorsStationaryGaseous_Data(), Table_Fuel_EFs_StationaryGaseous[[#Headers],[Fuel combusted]],0)</f>
        <v>51.53</v>
      </c>
      <c r="K90" s="50"/>
      <c r="L90" s="50"/>
    </row>
    <row r="91" spans="4:12" ht="20.100000000000001" customHeight="1" x14ac:dyDescent="0.25">
      <c r="D91" s="74" t="str" cm="1">
        <f t="array" ref="D91">Common_InputFunctions.Utility_DisplayArrayInTable(Fuel_SourceData.Fuel_Scope1EmissionFactorsStationaryGaseous_Data(), Table_Fuel_EFs_StationaryGaseous[[#Headers],[Fuel combusted]],0)</f>
        <v>Unprocessed natural gas</v>
      </c>
      <c r="E91" s="74" cm="1">
        <f t="array" ref="E91">Common_InputFunctions.Utility_DisplayArrayInTable(Fuel_SourceData.Fuel_Scope1EmissionFactorsStationaryGaseous_Data(), Table_Fuel_EFs_StationaryGaseous[[#Headers],[Fuel combusted]],0)</f>
        <v>3.9300000000000002E-2</v>
      </c>
      <c r="F91" s="74" t="str" cm="1">
        <f t="array" ref="F91">Common_InputFunctions.Utility_DisplayArrayInTable(Fuel_SourceData.Fuel_Scope1EmissionFactorsStationaryGaseous_Data(), Table_Fuel_EFs_StationaryGaseous[[#Headers],[Fuel combusted]],0)</f>
        <v>m3</v>
      </c>
      <c r="G91" s="74" cm="1">
        <f t="array" ref="G91">Common_InputFunctions.Utility_DisplayArrayInTable(Fuel_SourceData.Fuel_Scope1EmissionFactorsStationaryGaseous_Data(), Table_Fuel_EFs_StationaryGaseous[[#Headers],[Fuel combusted]],0)</f>
        <v>51.4</v>
      </c>
      <c r="H91" s="74" cm="1">
        <f t="array" ref="H91">Common_InputFunctions.Utility_DisplayArrayInTable(Fuel_SourceData.Fuel_Scope1EmissionFactorsStationaryGaseous_Data(), Table_Fuel_EFs_StationaryGaseous[[#Headers],[Fuel combusted]],0)</f>
        <v>0.1</v>
      </c>
      <c r="I91" s="74" cm="1">
        <f t="array" ref="I91">Common_InputFunctions.Utility_DisplayArrayInTable(Fuel_SourceData.Fuel_Scope1EmissionFactorsStationaryGaseous_Data(), Table_Fuel_EFs_StationaryGaseous[[#Headers],[Fuel combusted]],0)</f>
        <v>0.03</v>
      </c>
      <c r="J91" s="74" cm="1">
        <f t="array" ref="J91">Common_InputFunctions.Utility_DisplayArrayInTable(Fuel_SourceData.Fuel_Scope1EmissionFactorsStationaryGaseous_Data(), Table_Fuel_EFs_StationaryGaseous[[#Headers],[Fuel combusted]],0)</f>
        <v>51.53</v>
      </c>
      <c r="K91" s="50"/>
      <c r="L91" s="50"/>
    </row>
    <row r="92" spans="4:12" ht="20.100000000000001" customHeight="1" x14ac:dyDescent="0.25">
      <c r="D92" s="74" t="str" cm="1">
        <f t="array" ref="D92">Common_InputFunctions.Utility_DisplayArrayInTable(Fuel_SourceData.Fuel_Scope1EmissionFactorsStationaryGaseous_Data(), Table_Fuel_EFs_StationaryGaseous[[#Headers],[Fuel combusted]],0)</f>
        <v>Ethane</v>
      </c>
      <c r="E92" s="74" cm="1">
        <f t="array" ref="E92">Common_InputFunctions.Utility_DisplayArrayInTable(Fuel_SourceData.Fuel_Scope1EmissionFactorsStationaryGaseous_Data(), Table_Fuel_EFs_StationaryGaseous[[#Headers],[Fuel combusted]],0)</f>
        <v>6.2899999999999998E-2</v>
      </c>
      <c r="F92" s="74" t="str" cm="1">
        <f t="array" ref="F92">Common_InputFunctions.Utility_DisplayArrayInTable(Fuel_SourceData.Fuel_Scope1EmissionFactorsStationaryGaseous_Data(), Table_Fuel_EFs_StationaryGaseous[[#Headers],[Fuel combusted]],0)</f>
        <v>m3</v>
      </c>
      <c r="G92" s="74" cm="1">
        <f t="array" ref="G92">Common_InputFunctions.Utility_DisplayArrayInTable(Fuel_SourceData.Fuel_Scope1EmissionFactorsStationaryGaseous_Data(), Table_Fuel_EFs_StationaryGaseous[[#Headers],[Fuel combusted]],0)</f>
        <v>56.5</v>
      </c>
      <c r="H92" s="74" cm="1">
        <f t="array" ref="H92">Common_InputFunctions.Utility_DisplayArrayInTable(Fuel_SourceData.Fuel_Scope1EmissionFactorsStationaryGaseous_Data(), Table_Fuel_EFs_StationaryGaseous[[#Headers],[Fuel combusted]],0)</f>
        <v>0.03</v>
      </c>
      <c r="I92" s="74" cm="1">
        <f t="array" ref="I92">Common_InputFunctions.Utility_DisplayArrayInTable(Fuel_SourceData.Fuel_Scope1EmissionFactorsStationaryGaseous_Data(), Table_Fuel_EFs_StationaryGaseous[[#Headers],[Fuel combusted]],0)</f>
        <v>0.03</v>
      </c>
      <c r="J92" s="74" cm="1">
        <f t="array" ref="J92">Common_InputFunctions.Utility_DisplayArrayInTable(Fuel_SourceData.Fuel_Scope1EmissionFactorsStationaryGaseous_Data(), Table_Fuel_EFs_StationaryGaseous[[#Headers],[Fuel combusted]],0)</f>
        <v>56.56</v>
      </c>
      <c r="K92" s="50"/>
      <c r="L92" s="50"/>
    </row>
    <row r="93" spans="4:12" ht="20.100000000000001" customHeight="1" x14ac:dyDescent="0.25">
      <c r="D93" s="74" t="str" cm="1">
        <f t="array" ref="D93">Common_InputFunctions.Utility_DisplayArrayInTable(Fuel_SourceData.Fuel_Scope1EmissionFactorsStationaryGaseous_Data(), Table_Fuel_EFs_StationaryGaseous[[#Headers],[Fuel combusted]],0)</f>
        <v>Coke oven gas</v>
      </c>
      <c r="E93" s="74" cm="1">
        <f t="array" ref="E93">Common_InputFunctions.Utility_DisplayArrayInTable(Fuel_SourceData.Fuel_Scope1EmissionFactorsStationaryGaseous_Data(), Table_Fuel_EFs_StationaryGaseous[[#Headers],[Fuel combusted]],0)</f>
        <v>1.8100000000000002E-2</v>
      </c>
      <c r="F93" s="74" t="str" cm="1">
        <f t="array" ref="F93">Common_InputFunctions.Utility_DisplayArrayInTable(Fuel_SourceData.Fuel_Scope1EmissionFactorsStationaryGaseous_Data(), Table_Fuel_EFs_StationaryGaseous[[#Headers],[Fuel combusted]],0)</f>
        <v>m3</v>
      </c>
      <c r="G93" s="74" cm="1">
        <f t="array" ref="G93">Common_InputFunctions.Utility_DisplayArrayInTable(Fuel_SourceData.Fuel_Scope1EmissionFactorsStationaryGaseous_Data(), Table_Fuel_EFs_StationaryGaseous[[#Headers],[Fuel combusted]],0)</f>
        <v>37</v>
      </c>
      <c r="H93" s="74" cm="1">
        <f t="array" ref="H93">Common_InputFunctions.Utility_DisplayArrayInTable(Fuel_SourceData.Fuel_Scope1EmissionFactorsStationaryGaseous_Data(), Table_Fuel_EFs_StationaryGaseous[[#Headers],[Fuel combusted]],0)</f>
        <v>0.03</v>
      </c>
      <c r="I93" s="74" cm="1">
        <f t="array" ref="I93">Common_InputFunctions.Utility_DisplayArrayInTable(Fuel_SourceData.Fuel_Scope1EmissionFactorsStationaryGaseous_Data(), Table_Fuel_EFs_StationaryGaseous[[#Headers],[Fuel combusted]],0)</f>
        <v>0.05</v>
      </c>
      <c r="J93" s="74" cm="1">
        <f t="array" ref="J93">Common_InputFunctions.Utility_DisplayArrayInTable(Fuel_SourceData.Fuel_Scope1EmissionFactorsStationaryGaseous_Data(), Table_Fuel_EFs_StationaryGaseous[[#Headers],[Fuel combusted]],0)</f>
        <v>37.08</v>
      </c>
      <c r="K93" s="50"/>
      <c r="L93" s="50"/>
    </row>
    <row r="94" spans="4:12" ht="20.100000000000001" customHeight="1" x14ac:dyDescent="0.25">
      <c r="D94" s="74" t="str" cm="1">
        <f t="array" ref="D94">Common_InputFunctions.Utility_DisplayArrayInTable(Fuel_SourceData.Fuel_Scope1EmissionFactorsStationaryGaseous_Data(), Table_Fuel_EFs_StationaryGaseous[[#Headers],[Fuel combusted]],0)</f>
        <v>Blast furnace gas</v>
      </c>
      <c r="E94" s="74" cm="1">
        <f t="array" ref="E94">Common_InputFunctions.Utility_DisplayArrayInTable(Fuel_SourceData.Fuel_Scope1EmissionFactorsStationaryGaseous_Data(), Table_Fuel_EFs_StationaryGaseous[[#Headers],[Fuel combusted]],0)</f>
        <v>4.0000000000000001E-3</v>
      </c>
      <c r="F94" s="74" t="str" cm="1">
        <f t="array" ref="F94">Common_InputFunctions.Utility_DisplayArrayInTable(Fuel_SourceData.Fuel_Scope1EmissionFactorsStationaryGaseous_Data(), Table_Fuel_EFs_StationaryGaseous[[#Headers],[Fuel combusted]],0)</f>
        <v>m3</v>
      </c>
      <c r="G94" s="74" cm="1">
        <f t="array" ref="G94">Common_InputFunctions.Utility_DisplayArrayInTable(Fuel_SourceData.Fuel_Scope1EmissionFactorsStationaryGaseous_Data(), Table_Fuel_EFs_StationaryGaseous[[#Headers],[Fuel combusted]],0)</f>
        <v>234</v>
      </c>
      <c r="H94" s="74" cm="1">
        <f t="array" ref="H94">Common_InputFunctions.Utility_DisplayArrayInTable(Fuel_SourceData.Fuel_Scope1EmissionFactorsStationaryGaseous_Data(), Table_Fuel_EFs_StationaryGaseous[[#Headers],[Fuel combusted]],0)</f>
        <v>0.03</v>
      </c>
      <c r="I94" s="74" cm="1">
        <f t="array" ref="I94">Common_InputFunctions.Utility_DisplayArrayInTable(Fuel_SourceData.Fuel_Scope1EmissionFactorsStationaryGaseous_Data(), Table_Fuel_EFs_StationaryGaseous[[#Headers],[Fuel combusted]],0)</f>
        <v>0.02</v>
      </c>
      <c r="J94" s="74" cm="1">
        <f t="array" ref="J94">Common_InputFunctions.Utility_DisplayArrayInTable(Fuel_SourceData.Fuel_Scope1EmissionFactorsStationaryGaseous_Data(), Table_Fuel_EFs_StationaryGaseous[[#Headers],[Fuel combusted]],0)</f>
        <v>234.05</v>
      </c>
      <c r="K94" s="50"/>
      <c r="L94" s="50"/>
    </row>
    <row r="95" spans="4:12" ht="20.100000000000001" customHeight="1" x14ac:dyDescent="0.25">
      <c r="D95" s="74" t="str" cm="1">
        <f t="array" ref="D95">Common_InputFunctions.Utility_DisplayArrayInTable(Fuel_SourceData.Fuel_Scope1EmissionFactorsStationaryGaseous_Data(), Table_Fuel_EFs_StationaryGaseous[[#Headers],[Fuel combusted]],0)</f>
        <v>Town gas</v>
      </c>
      <c r="E95" s="74" cm="1">
        <f t="array" ref="E95">Common_InputFunctions.Utility_DisplayArrayInTable(Fuel_SourceData.Fuel_Scope1EmissionFactorsStationaryGaseous_Data(), Table_Fuel_EFs_StationaryGaseous[[#Headers],[Fuel combusted]],0)</f>
        <v>3.9E-2</v>
      </c>
      <c r="F95" s="74" t="str" cm="1">
        <f t="array" ref="F95">Common_InputFunctions.Utility_DisplayArrayInTable(Fuel_SourceData.Fuel_Scope1EmissionFactorsStationaryGaseous_Data(), Table_Fuel_EFs_StationaryGaseous[[#Headers],[Fuel combusted]],0)</f>
        <v>m3</v>
      </c>
      <c r="G95" s="74" cm="1">
        <f t="array" ref="G95">Common_InputFunctions.Utility_DisplayArrayInTable(Fuel_SourceData.Fuel_Scope1EmissionFactorsStationaryGaseous_Data(), Table_Fuel_EFs_StationaryGaseous[[#Headers],[Fuel combusted]],0)</f>
        <v>60.2</v>
      </c>
      <c r="H95" s="74" cm="1">
        <f t="array" ref="H95">Common_InputFunctions.Utility_DisplayArrayInTable(Fuel_SourceData.Fuel_Scope1EmissionFactorsStationaryGaseous_Data(), Table_Fuel_EFs_StationaryGaseous[[#Headers],[Fuel combusted]],0)</f>
        <v>0.04</v>
      </c>
      <c r="I95" s="74" cm="1">
        <f t="array" ref="I95">Common_InputFunctions.Utility_DisplayArrayInTable(Fuel_SourceData.Fuel_Scope1EmissionFactorsStationaryGaseous_Data(), Table_Fuel_EFs_StationaryGaseous[[#Headers],[Fuel combusted]],0)</f>
        <v>0.03</v>
      </c>
      <c r="J95" s="74" cm="1">
        <f t="array" ref="J95">Common_InputFunctions.Utility_DisplayArrayInTable(Fuel_SourceData.Fuel_Scope1EmissionFactorsStationaryGaseous_Data(), Table_Fuel_EFs_StationaryGaseous[[#Headers],[Fuel combusted]],0)</f>
        <v>60.27</v>
      </c>
      <c r="K95" s="50"/>
      <c r="L95" s="50"/>
    </row>
    <row r="96" spans="4:12" ht="20.100000000000001" customHeight="1" x14ac:dyDescent="0.25">
      <c r="D96" s="74" t="str" cm="1">
        <f t="array" ref="D96">Common_InputFunctions.Utility_DisplayArrayInTable(Fuel_SourceData.Fuel_Scope1EmissionFactorsStationaryGaseous_Data(), Table_Fuel_EFs_StationaryGaseous[[#Headers],[Fuel combusted]],0)</f>
        <v>Liquefied natural gas</v>
      </c>
      <c r="E96" s="74" cm="1">
        <f t="array" ref="E96">Common_InputFunctions.Utility_DisplayArrayInTable(Fuel_SourceData.Fuel_Scope1EmissionFactorsStationaryGaseous_Data(), Table_Fuel_EFs_StationaryGaseous[[#Headers],[Fuel combusted]],0)</f>
        <v>25.3</v>
      </c>
      <c r="F96" s="74" t="str" cm="1">
        <f t="array" ref="F96">Common_InputFunctions.Utility_DisplayArrayInTable(Fuel_SourceData.Fuel_Scope1EmissionFactorsStationaryGaseous_Data(), Table_Fuel_EFs_StationaryGaseous[[#Headers],[Fuel combusted]],0)</f>
        <v>kL</v>
      </c>
      <c r="G96" s="74" cm="1">
        <f t="array" ref="G96">Common_InputFunctions.Utility_DisplayArrayInTable(Fuel_SourceData.Fuel_Scope1EmissionFactorsStationaryGaseous_Data(), Table_Fuel_EFs_StationaryGaseous[[#Headers],[Fuel combusted]],0)</f>
        <v>51.4</v>
      </c>
      <c r="H96" s="74" cm="1">
        <f t="array" ref="H96">Common_InputFunctions.Utility_DisplayArrayInTable(Fuel_SourceData.Fuel_Scope1EmissionFactorsStationaryGaseous_Data(), Table_Fuel_EFs_StationaryGaseous[[#Headers],[Fuel combusted]],0)</f>
        <v>0.1</v>
      </c>
      <c r="I96" s="74" cm="1">
        <f t="array" ref="I96">Common_InputFunctions.Utility_DisplayArrayInTable(Fuel_SourceData.Fuel_Scope1EmissionFactorsStationaryGaseous_Data(), Table_Fuel_EFs_StationaryGaseous[[#Headers],[Fuel combusted]],0)</f>
        <v>0.03</v>
      </c>
      <c r="J96" s="74" cm="1">
        <f t="array" ref="J96">Common_InputFunctions.Utility_DisplayArrayInTable(Fuel_SourceData.Fuel_Scope1EmissionFactorsStationaryGaseous_Data(), Table_Fuel_EFs_StationaryGaseous[[#Headers],[Fuel combusted]],0)</f>
        <v>51.53</v>
      </c>
      <c r="K96" s="50"/>
      <c r="L96" s="50"/>
    </row>
    <row r="97" spans="4:13" ht="20.100000000000001" customHeight="1" x14ac:dyDescent="0.25">
      <c r="D97" s="74" t="str" cm="1">
        <f t="array" ref="D97">Common_InputFunctions.Utility_DisplayArrayInTable(Fuel_SourceData.Fuel_Scope1EmissionFactorsStationaryGaseous_Data(), Table_Fuel_EFs_StationaryGaseous[[#Headers],[Fuel combusted]],0)</f>
        <v>Gaseous fossil fuels other than those mentioned in the items above</v>
      </c>
      <c r="E97" s="74" cm="1">
        <f t="array" ref="E97">Common_InputFunctions.Utility_DisplayArrayInTable(Fuel_SourceData.Fuel_Scope1EmissionFactorsStationaryGaseous_Data(), Table_Fuel_EFs_StationaryGaseous[[#Headers],[Fuel combusted]],0)</f>
        <v>3.9E-2</v>
      </c>
      <c r="F97" s="74" t="str" cm="1">
        <f t="array" ref="F97">Common_InputFunctions.Utility_DisplayArrayInTable(Fuel_SourceData.Fuel_Scope1EmissionFactorsStationaryGaseous_Data(), Table_Fuel_EFs_StationaryGaseous[[#Headers],[Fuel combusted]],0)</f>
        <v>m3</v>
      </c>
      <c r="G97" s="74" cm="1">
        <f t="array" ref="G97">Common_InputFunctions.Utility_DisplayArrayInTable(Fuel_SourceData.Fuel_Scope1EmissionFactorsStationaryGaseous_Data(), Table_Fuel_EFs_StationaryGaseous[[#Headers],[Fuel combusted]],0)</f>
        <v>51.4</v>
      </c>
      <c r="H97" s="74" cm="1">
        <f t="array" ref="H97">Common_InputFunctions.Utility_DisplayArrayInTable(Fuel_SourceData.Fuel_Scope1EmissionFactorsStationaryGaseous_Data(), Table_Fuel_EFs_StationaryGaseous[[#Headers],[Fuel combusted]],0)</f>
        <v>0.1</v>
      </c>
      <c r="I97" s="74" cm="1">
        <f t="array" ref="I97">Common_InputFunctions.Utility_DisplayArrayInTable(Fuel_SourceData.Fuel_Scope1EmissionFactorsStationaryGaseous_Data(), Table_Fuel_EFs_StationaryGaseous[[#Headers],[Fuel combusted]],0)</f>
        <v>0.03</v>
      </c>
      <c r="J97" s="74" cm="1">
        <f t="array" ref="J97">Common_InputFunctions.Utility_DisplayArrayInTable(Fuel_SourceData.Fuel_Scope1EmissionFactorsStationaryGaseous_Data(), Table_Fuel_EFs_StationaryGaseous[[#Headers],[Fuel combusted]],0)</f>
        <v>51.53</v>
      </c>
      <c r="K97" s="50"/>
      <c r="L97" s="50"/>
    </row>
    <row r="98" spans="4:13" ht="20.100000000000001" customHeight="1" x14ac:dyDescent="0.25">
      <c r="D98" s="74" t="str" cm="1">
        <f t="array" ref="D98">Common_InputFunctions.Utility_DisplayArrayInTable(Fuel_SourceData.Fuel_Scope1EmissionFactorsStationaryGaseous_Data(), Table_Fuel_EFs_StationaryGaseous[[#Headers],[Fuel combusted]],0)</f>
        <v>Landfill biogas that is captured for combustion (methane only)</v>
      </c>
      <c r="E98" s="74" cm="1">
        <f t="array" ref="E98">Common_InputFunctions.Utility_DisplayArrayInTable(Fuel_SourceData.Fuel_Scope1EmissionFactorsStationaryGaseous_Data(), Table_Fuel_EFs_StationaryGaseous[[#Headers],[Fuel combusted]],0)</f>
        <v>3.7699999999999997E-2</v>
      </c>
      <c r="F98" s="74" t="str" cm="1">
        <f t="array" ref="F98">Common_InputFunctions.Utility_DisplayArrayInTable(Fuel_SourceData.Fuel_Scope1EmissionFactorsStationaryGaseous_Data(), Table_Fuel_EFs_StationaryGaseous[[#Headers],[Fuel combusted]],0)</f>
        <v>m3</v>
      </c>
      <c r="G98" s="74" cm="1">
        <f t="array" ref="G98">Common_InputFunctions.Utility_DisplayArrayInTable(Fuel_SourceData.Fuel_Scope1EmissionFactorsStationaryGaseous_Data(), Table_Fuel_EFs_StationaryGaseous[[#Headers],[Fuel combusted]],0)</f>
        <v>0</v>
      </c>
      <c r="H98" s="74" cm="1">
        <f t="array" ref="H98">Common_InputFunctions.Utility_DisplayArrayInTable(Fuel_SourceData.Fuel_Scope1EmissionFactorsStationaryGaseous_Data(), Table_Fuel_EFs_StationaryGaseous[[#Headers],[Fuel combusted]],0)</f>
        <v>6.4</v>
      </c>
      <c r="I98" s="74" cm="1">
        <f t="array" ref="I98">Common_InputFunctions.Utility_DisplayArrayInTable(Fuel_SourceData.Fuel_Scope1EmissionFactorsStationaryGaseous_Data(), Table_Fuel_EFs_StationaryGaseous[[#Headers],[Fuel combusted]],0)</f>
        <v>0.03</v>
      </c>
      <c r="J98" s="74" cm="1">
        <f t="array" ref="J98">Common_InputFunctions.Utility_DisplayArrayInTable(Fuel_SourceData.Fuel_Scope1EmissionFactorsStationaryGaseous_Data(), Table_Fuel_EFs_StationaryGaseous[[#Headers],[Fuel combusted]],0)</f>
        <v>6.43</v>
      </c>
      <c r="K98" s="50"/>
      <c r="L98" s="50"/>
    </row>
    <row r="99" spans="4:13" ht="20.100000000000001" customHeight="1" x14ac:dyDescent="0.25">
      <c r="D99" s="74" t="str" cm="1">
        <f t="array" ref="D99">Common_InputFunctions.Utility_DisplayArrayInTable(Fuel_SourceData.Fuel_Scope1EmissionFactorsStationaryGaseous_Data(), Table_Fuel_EFs_StationaryGaseous[[#Headers],[Fuel combusted]],0)</f>
        <v>Sludge biogas that is captured for combustion (methane only)</v>
      </c>
      <c r="E99" s="74" cm="1">
        <f t="array" ref="E99">Common_InputFunctions.Utility_DisplayArrayInTable(Fuel_SourceData.Fuel_Scope1EmissionFactorsStationaryGaseous_Data(), Table_Fuel_EFs_StationaryGaseous[[#Headers],[Fuel combusted]],0)</f>
        <v>3.7699999999999997E-2</v>
      </c>
      <c r="F99" s="74" t="str" cm="1">
        <f t="array" ref="F99">Common_InputFunctions.Utility_DisplayArrayInTable(Fuel_SourceData.Fuel_Scope1EmissionFactorsStationaryGaseous_Data(), Table_Fuel_EFs_StationaryGaseous[[#Headers],[Fuel combusted]],0)</f>
        <v>m3</v>
      </c>
      <c r="G99" s="74" cm="1">
        <f t="array" ref="G99">Common_InputFunctions.Utility_DisplayArrayInTable(Fuel_SourceData.Fuel_Scope1EmissionFactorsStationaryGaseous_Data(), Table_Fuel_EFs_StationaryGaseous[[#Headers],[Fuel combusted]],0)</f>
        <v>0</v>
      </c>
      <c r="H99" s="74" cm="1">
        <f t="array" ref="H99">Common_InputFunctions.Utility_DisplayArrayInTable(Fuel_SourceData.Fuel_Scope1EmissionFactorsStationaryGaseous_Data(), Table_Fuel_EFs_StationaryGaseous[[#Headers],[Fuel combusted]],0)</f>
        <v>6.4</v>
      </c>
      <c r="I99" s="74" cm="1">
        <f t="array" ref="I99">Common_InputFunctions.Utility_DisplayArrayInTable(Fuel_SourceData.Fuel_Scope1EmissionFactorsStationaryGaseous_Data(), Table_Fuel_EFs_StationaryGaseous[[#Headers],[Fuel combusted]],0)</f>
        <v>0.03</v>
      </c>
      <c r="J99" s="74" cm="1">
        <f t="array" ref="J99">Common_InputFunctions.Utility_DisplayArrayInTable(Fuel_SourceData.Fuel_Scope1EmissionFactorsStationaryGaseous_Data(), Table_Fuel_EFs_StationaryGaseous[[#Headers],[Fuel combusted]],0)</f>
        <v>6.43</v>
      </c>
      <c r="K99" s="50"/>
      <c r="L99" s="50"/>
    </row>
    <row r="100" spans="4:13" ht="20.100000000000001" customHeight="1" x14ac:dyDescent="0.25">
      <c r="D100" s="7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4" cm="1">
        <f t="array" ref="E100">Common_InputFunctions.Utility_DisplayArrayInTable(Fuel_SourceData.Fuel_Scope1EmissionFactorsStationaryGaseous_Data(), Table_Fuel_EFs_StationaryGaseous[[#Headers],[Fuel combusted]],0)</f>
        <v>3.6999999999999998E-2</v>
      </c>
      <c r="F100" s="74" t="str" cm="1">
        <f t="array" ref="F100">Common_InputFunctions.Utility_DisplayArrayInTable(Fuel_SourceData.Fuel_Scope1EmissionFactorsStationaryGaseous_Data(), Table_Fuel_EFs_StationaryGaseous[[#Headers],[Fuel combusted]],0)</f>
        <v>m3</v>
      </c>
      <c r="G100" s="74" cm="1">
        <f t="array" ref="G100">Common_InputFunctions.Utility_DisplayArrayInTable(Fuel_SourceData.Fuel_Scope1EmissionFactorsStationaryGaseous_Data(), Table_Fuel_EFs_StationaryGaseous[[#Headers],[Fuel combusted]],0)</f>
        <v>0</v>
      </c>
      <c r="H100" s="74" cm="1">
        <f t="array" ref="H100">Common_InputFunctions.Utility_DisplayArrayInTable(Fuel_SourceData.Fuel_Scope1EmissionFactorsStationaryGaseous_Data(), Table_Fuel_EFs_StationaryGaseous[[#Headers],[Fuel combusted]],0)</f>
        <v>6.4</v>
      </c>
      <c r="I100" s="74" cm="1">
        <f t="array" ref="I100">Common_InputFunctions.Utility_DisplayArrayInTable(Fuel_SourceData.Fuel_Scope1EmissionFactorsStationaryGaseous_Data(), Table_Fuel_EFs_StationaryGaseous[[#Headers],[Fuel combusted]],0)</f>
        <v>0.03</v>
      </c>
      <c r="J100" s="74" cm="1">
        <f t="array" ref="J100">Common_InputFunctions.Utility_DisplayArrayInTable(Fuel_SourceData.Fuel_Scope1EmissionFactorsStationaryGaseous_Data(), Table_Fuel_EFs_StationaryGaseous[[#Headers],[Fuel combusted]],0)</f>
        <v>6.43</v>
      </c>
      <c r="K100" s="50"/>
      <c r="L100" s="50"/>
    </row>
    <row r="101" spans="4:13" ht="20.100000000000001" customHeight="1" x14ac:dyDescent="0.25">
      <c r="D101" s="74" t="str" cm="1">
        <f t="array" ref="D101">Common_InputFunctions.Utility_DisplayArrayInTable(Fuel_SourceData.Fuel_Scope1EmissionFactorsStationaryGaseous_Data(), Table_Fuel_EFs_StationaryGaseous[[#Headers],[Fuel combusted]],0)</f>
        <v>Biomethane</v>
      </c>
      <c r="E101" s="74" cm="1">
        <f t="array" ref="E101">Common_InputFunctions.Utility_DisplayArrayInTable(Fuel_SourceData.Fuel_Scope1EmissionFactorsStationaryGaseous_Data(), Table_Fuel_EFs_StationaryGaseous[[#Headers],[Fuel combusted]],0)</f>
        <v>3.9300000000000002E-2</v>
      </c>
      <c r="F101" s="74" t="str" cm="1">
        <f t="array" ref="F101">Common_InputFunctions.Utility_DisplayArrayInTable(Fuel_SourceData.Fuel_Scope1EmissionFactorsStationaryGaseous_Data(), Table_Fuel_EFs_StationaryGaseous[[#Headers],[Fuel combusted]],0)</f>
        <v>m3</v>
      </c>
      <c r="G101" s="74" cm="1">
        <f t="array" ref="G101">Common_InputFunctions.Utility_DisplayArrayInTable(Fuel_SourceData.Fuel_Scope1EmissionFactorsStationaryGaseous_Data(), Table_Fuel_EFs_StationaryGaseous[[#Headers],[Fuel combusted]],0)</f>
        <v>0</v>
      </c>
      <c r="H101" s="74" cm="1">
        <f t="array" ref="H101">Common_InputFunctions.Utility_DisplayArrayInTable(Fuel_SourceData.Fuel_Scope1EmissionFactorsStationaryGaseous_Data(), Table_Fuel_EFs_StationaryGaseous[[#Headers],[Fuel combusted]],0)</f>
        <v>0.1</v>
      </c>
      <c r="I101" s="74" cm="1">
        <f t="array" ref="I101">Common_InputFunctions.Utility_DisplayArrayInTable(Fuel_SourceData.Fuel_Scope1EmissionFactorsStationaryGaseous_Data(), Table_Fuel_EFs_StationaryGaseous[[#Headers],[Fuel combusted]],0)</f>
        <v>0.03</v>
      </c>
      <c r="J101" s="74" cm="1">
        <f t="array" ref="J101">Common_InputFunctions.Utility_DisplayArrayInTable(Fuel_SourceData.Fuel_Scope1EmissionFactorsStationaryGaseous_Data(), Table_Fuel_EFs_StationaryGaseous[[#Headers],[Fuel combusted]],0)</f>
        <v>0.13</v>
      </c>
      <c r="K101" s="50"/>
      <c r="L101" s="50"/>
    </row>
    <row r="102" spans="4:13" ht="20.100000000000001" customHeight="1" x14ac:dyDescent="0.25">
      <c r="D102" s="74" t="str" cm="1">
        <f t="array" ref="D102">Common_InputFunctions.Utility_DisplayArrayInTable(Fuel_SourceData.Fuel_Scope1EmissionFactorsStationaryGaseous_Data(), Table_Fuel_EFs_StationaryGaseous[[#Headers],[Fuel combusted]],0)</f>
        <v>Hydrogen</v>
      </c>
      <c r="E102" s="74" cm="1">
        <f t="array" ref="E102">Common_InputFunctions.Utility_DisplayArrayInTable(Fuel_SourceData.Fuel_Scope1EmissionFactorsStationaryGaseous_Data(), Table_Fuel_EFs_StationaryGaseous[[#Headers],[Fuel combusted]],0)</f>
        <v>1.2200000000000001E-2</v>
      </c>
      <c r="F102" s="74" t="str" cm="1">
        <f t="array" ref="F102">Common_InputFunctions.Utility_DisplayArrayInTable(Fuel_SourceData.Fuel_Scope1EmissionFactorsStationaryGaseous_Data(), Table_Fuel_EFs_StationaryGaseous[[#Headers],[Fuel combusted]],0)</f>
        <v>m3</v>
      </c>
      <c r="G102" s="74" cm="1">
        <f t="array" ref="G102">Common_InputFunctions.Utility_DisplayArrayInTable(Fuel_SourceData.Fuel_Scope1EmissionFactorsStationaryGaseous_Data(), Table_Fuel_EFs_StationaryGaseous[[#Headers],[Fuel combusted]],0)</f>
        <v>0</v>
      </c>
      <c r="H102" s="74" cm="1">
        <f t="array" ref="H102">Common_InputFunctions.Utility_DisplayArrayInTable(Fuel_SourceData.Fuel_Scope1EmissionFactorsStationaryGaseous_Data(), Table_Fuel_EFs_StationaryGaseous[[#Headers],[Fuel combusted]],0)</f>
        <v>0</v>
      </c>
      <c r="I102" s="74" cm="1">
        <f t="array" ref="I102">Common_InputFunctions.Utility_DisplayArrayInTable(Fuel_SourceData.Fuel_Scope1EmissionFactorsStationaryGaseous_Data(), Table_Fuel_EFs_StationaryGaseous[[#Headers],[Fuel combusted]],0)</f>
        <v>0.5</v>
      </c>
      <c r="J102" s="74" cm="1">
        <f t="array" ref="J102">Common_InputFunctions.Utility_DisplayArrayInTable(Fuel_SourceData.Fuel_Scope1EmissionFactorsStationaryGaseous_Data(), Table_Fuel_EFs_StationaryGaseous[[#Headers],[Fuel combusted]],0)</f>
        <v>0.5</v>
      </c>
      <c r="K102" s="50"/>
      <c r="L102" s="50"/>
    </row>
    <row r="103" spans="4:13" ht="20.100000000000001" customHeight="1" x14ac:dyDescent="0.25">
      <c r="D103" s="74" t="str" cm="1">
        <f t="array" ref="D103">Common_InputFunctions.Utility_DisplayArrayInTable(Fuel_SourceData.Fuel_Scope1EmissionFactorsStationaryGaseous_Data(), Table_Fuel_EFs_StationaryGaseous[[#Headers],[Fuel combusted]],0)</f>
        <v>Natural gas distributed in a pipeline - Gigajoules</v>
      </c>
      <c r="E103" s="74" cm="1">
        <f t="array" ref="E103">Common_InputFunctions.Utility_DisplayArrayInTable(Fuel_SourceData.Fuel_Scope1EmissionFactorsStationaryGaseous_Data(), Table_Fuel_EFs_StationaryGaseous[[#Headers],[Fuel combusted]],0)</f>
        <v>1</v>
      </c>
      <c r="F103" s="74" t="str" cm="1">
        <f t="array" ref="F103">Common_InputFunctions.Utility_DisplayArrayInTable(Fuel_SourceData.Fuel_Scope1EmissionFactorsStationaryGaseous_Data(), Table_Fuel_EFs_StationaryGaseous[[#Headers],[Fuel combusted]],0)</f>
        <v>GJ</v>
      </c>
      <c r="G103" s="74" cm="1">
        <f t="array" ref="G103">Common_InputFunctions.Utility_DisplayArrayInTable(Fuel_SourceData.Fuel_Scope1EmissionFactorsStationaryGaseous_Data(), Table_Fuel_EFs_StationaryGaseous[[#Headers],[Fuel combusted]],0)</f>
        <v>51.4</v>
      </c>
      <c r="H103" s="74" cm="1">
        <f t="array" ref="H103">Common_InputFunctions.Utility_DisplayArrayInTable(Fuel_SourceData.Fuel_Scope1EmissionFactorsStationaryGaseous_Data(), Table_Fuel_EFs_StationaryGaseous[[#Headers],[Fuel combusted]],0)</f>
        <v>0.1</v>
      </c>
      <c r="I103" s="74" cm="1">
        <f t="array" ref="I103">Common_InputFunctions.Utility_DisplayArrayInTable(Fuel_SourceData.Fuel_Scope1EmissionFactorsStationaryGaseous_Data(), Table_Fuel_EFs_StationaryGaseous[[#Headers],[Fuel combusted]],0)</f>
        <v>0.03</v>
      </c>
      <c r="J103" s="74" cm="1">
        <f t="array" ref="J103">Common_InputFunctions.Utility_DisplayArrayInTable(Fuel_SourceData.Fuel_Scope1EmissionFactorsStationaryGaseous_Data(), Table_Fuel_EFs_StationaryGaseous[[#Headers],[Fuel combusted]],0)</f>
        <v>51.53</v>
      </c>
      <c r="K103" s="50"/>
      <c r="L103" s="50"/>
    </row>
    <row r="104" spans="4:13" ht="20.100000000000001" customHeight="1" x14ac:dyDescent="0.25">
      <c r="D104" s="74" t="str" cm="1">
        <f t="array" ref="D104">Common_InputFunctions.Utility_DisplayArrayInTable(Fuel_SourceData.Fuel_Scope1EmissionFactorsStationaryGaseous_Data(), Table_Fuel_EFs_StationaryGaseous[[#Headers],[Fuel combusted]],0)</f>
        <v>Town gas - Gigajoules</v>
      </c>
      <c r="E104" s="74" cm="1">
        <f t="array" ref="E104">Common_InputFunctions.Utility_DisplayArrayInTable(Fuel_SourceData.Fuel_Scope1EmissionFactorsStationaryGaseous_Data(), Table_Fuel_EFs_StationaryGaseous[[#Headers],[Fuel combusted]],0)</f>
        <v>1</v>
      </c>
      <c r="F104" s="74" t="str" cm="1">
        <f t="array" ref="F104">Common_InputFunctions.Utility_DisplayArrayInTable(Fuel_SourceData.Fuel_Scope1EmissionFactorsStationaryGaseous_Data(), Table_Fuel_EFs_StationaryGaseous[[#Headers],[Fuel combusted]],0)</f>
        <v>GJ</v>
      </c>
      <c r="G104" s="74" cm="1">
        <f t="array" ref="G104">Common_InputFunctions.Utility_DisplayArrayInTable(Fuel_SourceData.Fuel_Scope1EmissionFactorsStationaryGaseous_Data(), Table_Fuel_EFs_StationaryGaseous[[#Headers],[Fuel combusted]],0)</f>
        <v>60.2</v>
      </c>
      <c r="H104" s="74" cm="1">
        <f t="array" ref="H104">Common_InputFunctions.Utility_DisplayArrayInTable(Fuel_SourceData.Fuel_Scope1EmissionFactorsStationaryGaseous_Data(), Table_Fuel_EFs_StationaryGaseous[[#Headers],[Fuel combusted]],0)</f>
        <v>0.04</v>
      </c>
      <c r="I104" s="74" cm="1">
        <f t="array" ref="I104">Common_InputFunctions.Utility_DisplayArrayInTable(Fuel_SourceData.Fuel_Scope1EmissionFactorsStationaryGaseous_Data(), Table_Fuel_EFs_StationaryGaseous[[#Headers],[Fuel combusted]],0)</f>
        <v>0.03</v>
      </c>
      <c r="J104" s="74" cm="1">
        <f t="array" ref="J104">Common_InputFunctions.Utility_DisplayArrayInTable(Fuel_SourceData.Fuel_Scope1EmissionFactorsStationaryGaseous_Data(), Table_Fuel_EFs_StationaryGaseous[[#Headers],[Fuel combusted]],0)</f>
        <v>60.27</v>
      </c>
      <c r="K104" s="50"/>
      <c r="L104" s="50"/>
    </row>
    <row r="105" spans="4:13" ht="20.100000000000001" customHeight="1" x14ac:dyDescent="0.25">
      <c r="D105" s="50"/>
      <c r="E105" s="50"/>
      <c r="F105" s="50"/>
      <c r="G105" s="50"/>
      <c r="H105" s="50"/>
      <c r="I105" s="50"/>
      <c r="J105" s="50"/>
      <c r="K105" s="50"/>
      <c r="L105" s="50"/>
      <c r="M105" s="50"/>
    </row>
    <row r="106" spans="4:13" ht="20.100000000000001" customHeight="1" x14ac:dyDescent="0.25">
      <c r="D106" s="50"/>
      <c r="E106" s="50"/>
      <c r="F106" s="50"/>
      <c r="G106" s="50"/>
      <c r="H106" s="50"/>
      <c r="I106" s="50"/>
      <c r="J106" s="50"/>
      <c r="K106" s="50"/>
      <c r="L106" s="50"/>
      <c r="M106" s="50"/>
    </row>
    <row r="107" spans="4:13" ht="20.100000000000001" customHeight="1" x14ac:dyDescent="0.25">
      <c r="D107" s="6" t="str" cm="1">
        <f t="array" ref="D107">Fuel_SourceData.Fuel_Scope3EmissionFactorsStationaryGaseous_Title()</f>
        <v>Fuel scope 3 emission factors - Stationary gaseous fuels</v>
      </c>
      <c r="E107" s="50"/>
      <c r="F107" s="50"/>
      <c r="G107" s="50"/>
      <c r="H107" s="50"/>
      <c r="I107" s="50"/>
      <c r="J107" s="50"/>
      <c r="K107" s="50"/>
      <c r="L107" s="50"/>
    </row>
    <row r="108" spans="4:13" ht="20.100000000000001" customHeight="1" x14ac:dyDescent="0.25">
      <c r="D108" s="1" t="str" cm="1">
        <f t="array" ref="D108">Fuel_SourceData.Fuel_Scope3EmissionFactorsStationaryGaseous_Description()</f>
        <v>Indirect (Scope 3) emission factors for the consumption of natural gas.</v>
      </c>
      <c r="E108" s="50"/>
      <c r="F108" s="50"/>
      <c r="G108" s="50"/>
      <c r="H108" s="50"/>
      <c r="I108" s="50"/>
      <c r="J108" s="50"/>
      <c r="K108" s="50"/>
      <c r="L108" s="50"/>
    </row>
    <row r="109" spans="4:13" ht="20.100000000000001" customHeight="1" x14ac:dyDescent="0.25">
      <c r="D109" s="5" t="str" cm="1">
        <f t="array" ref="D109">Fuel_SourceData.Fuel_Scope3EmissionFactorsStationaryGaseous_Source()</f>
        <v>Australian National Greenhouse Accounts Factors 2025 - Table 6</v>
      </c>
      <c r="E109" s="50"/>
      <c r="F109" s="50"/>
      <c r="G109" s="50"/>
      <c r="H109" s="50"/>
      <c r="I109" s="50"/>
      <c r="J109" s="50"/>
      <c r="K109" s="50"/>
      <c r="L109" s="50"/>
    </row>
    <row r="110" spans="4:13" ht="20.100000000000001" customHeight="1" x14ac:dyDescent="0.25">
      <c r="D110" s="33"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0"/>
      <c r="F110" s="50"/>
      <c r="G110" s="50"/>
      <c r="H110" s="50"/>
      <c r="I110" s="50"/>
      <c r="J110" s="50"/>
      <c r="K110" s="50"/>
      <c r="L110" s="50"/>
    </row>
    <row r="111" spans="4:13" ht="20.100000000000001" customHeight="1" x14ac:dyDescent="0.25">
      <c r="D111" s="50"/>
      <c r="E111" s="50"/>
      <c r="F111" s="50"/>
      <c r="G111" s="50"/>
      <c r="H111" s="50"/>
      <c r="I111" s="50"/>
      <c r="J111" s="50"/>
      <c r="K111" s="50"/>
      <c r="L111" s="50"/>
    </row>
    <row r="112" spans="4:13" ht="20.100000000000001" customHeight="1" x14ac:dyDescent="0.25">
      <c r="D112" s="73" t="s">
        <v>120</v>
      </c>
      <c r="E112" s="71" t="s">
        <v>207</v>
      </c>
      <c r="F112" s="71" t="s">
        <v>208</v>
      </c>
      <c r="G112" s="50"/>
      <c r="H112" s="31" t="s">
        <v>121</v>
      </c>
      <c r="I112" s="50"/>
      <c r="J112" s="50"/>
      <c r="K112" s="50"/>
      <c r="L112" s="50"/>
    </row>
    <row r="113" spans="4:13" ht="20.100000000000001" customHeight="1" x14ac:dyDescent="0.25">
      <c r="D113" s="76" t="str" cm="1">
        <f t="array" ref="D113">Common_InputFunctions.Utility_DisplayArrayInTable(Fuel_SourceData.Fuel_Scope3EmissionFactorsStationaryGaseous_Data(), Table_Fuel_EFs_StationaryGaseous34[[#Headers],[State or territory]],0)</f>
        <v>New South Wales</v>
      </c>
      <c r="E113" s="76" cm="1">
        <f t="array" ref="E113">Common_InputFunctions.Utility_DisplayArrayInTable(Fuel_SourceData.Fuel_Scope3EmissionFactorsStationaryGaseous_Data(), Table_Fuel_EFs_StationaryGaseous34[[#Headers],[State or territory]],0)</f>
        <v>13.1</v>
      </c>
      <c r="F113" s="76" cm="1">
        <f t="array" ref="F113">Common_InputFunctions.Utility_DisplayArrayInTable(Fuel_SourceData.Fuel_Scope3EmissionFactorsStationaryGaseous_Data(), Table_Fuel_EFs_StationaryGaseous34[[#Headers],[State or territory]],0)</f>
        <v>14</v>
      </c>
      <c r="G113" s="2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0"/>
      <c r="J113" s="50"/>
      <c r="K113" s="50"/>
      <c r="L113" s="50"/>
    </row>
    <row r="114" spans="4:13" ht="20.100000000000001" customHeight="1" x14ac:dyDescent="0.25">
      <c r="D114" s="76" t="str" cm="1">
        <f t="array" ref="D114">Common_InputFunctions.Utility_DisplayArrayInTable(Fuel_SourceData.Fuel_Scope3EmissionFactorsStationaryGaseous_Data(), Table_Fuel_EFs_StationaryGaseous34[[#Headers],[State or territory]],0)</f>
        <v>ACT</v>
      </c>
      <c r="E114" s="76" cm="1">
        <f t="array" ref="E114">Common_InputFunctions.Utility_DisplayArrayInTable(Fuel_SourceData.Fuel_Scope3EmissionFactorsStationaryGaseous_Data(), Table_Fuel_EFs_StationaryGaseous34[[#Headers],[State or territory]],0)</f>
        <v>13.1</v>
      </c>
      <c r="F114" s="76" cm="1">
        <f t="array" ref="F114">Common_InputFunctions.Utility_DisplayArrayInTable(Fuel_SourceData.Fuel_Scope3EmissionFactorsStationaryGaseous_Data(), Table_Fuel_EFs_StationaryGaseous34[[#Headers],[State or territory]],0)</f>
        <v>14</v>
      </c>
      <c r="G114" s="25" t="str">
        <v/>
      </c>
      <c r="H114" s="1" t="str">
        <v>Gas reaches end users either from the metro distribution networks or direct from the high - pressure distribution pipelines.</v>
      </c>
      <c r="I114" s="50"/>
      <c r="J114" s="50"/>
      <c r="K114" s="50"/>
      <c r="L114" s="50"/>
    </row>
    <row r="115" spans="4:13" ht="20.100000000000001" customHeight="1" x14ac:dyDescent="0.25">
      <c r="D115" s="76" t="str" cm="1">
        <f t="array" ref="D115">Common_InputFunctions.Utility_DisplayArrayInTable(Fuel_SourceData.Fuel_Scope3EmissionFactorsStationaryGaseous_Data(), Table_Fuel_EFs_StationaryGaseous34[[#Headers],[State or territory]],0)</f>
        <v>Victoria</v>
      </c>
      <c r="E115" s="76" cm="1">
        <f t="array" ref="E115">Common_InputFunctions.Utility_DisplayArrayInTable(Fuel_SourceData.Fuel_Scope3EmissionFactorsStationaryGaseous_Data(), Table_Fuel_EFs_StationaryGaseous34[[#Headers],[State or territory]],0)</f>
        <v>4</v>
      </c>
      <c r="F115" s="76" cm="1">
        <f t="array" ref="F115">Common_InputFunctions.Utility_DisplayArrayInTable(Fuel_SourceData.Fuel_Scope3EmissionFactorsStationaryGaseous_Data(), Table_Fuel_EFs_StationaryGaseous34[[#Headers],[State or territory]],0)</f>
        <v>4</v>
      </c>
      <c r="G115" s="25" t="str">
        <v/>
      </c>
      <c r="H115" s="1" t="str">
        <v>Households and commercial users tend to be served by the former, and electricity generators and large industrial plants from the latter.</v>
      </c>
      <c r="I115" s="50"/>
      <c r="J115" s="50"/>
      <c r="K115" s="50"/>
      <c r="L115" s="50"/>
    </row>
    <row r="116" spans="4:13" ht="20.100000000000001" customHeight="1" x14ac:dyDescent="0.25">
      <c r="D116" s="76" t="str" cm="1">
        <f t="array" ref="D116">Common_InputFunctions.Utility_DisplayArrayInTable(Fuel_SourceData.Fuel_Scope3EmissionFactorsStationaryGaseous_Data(), Table_Fuel_EFs_StationaryGaseous34[[#Headers],[State or territory]],0)</f>
        <v>Queensland</v>
      </c>
      <c r="E116" s="76" cm="1">
        <f t="array" ref="E116">Common_InputFunctions.Utility_DisplayArrayInTable(Fuel_SourceData.Fuel_Scope3EmissionFactorsStationaryGaseous_Data(), Table_Fuel_EFs_StationaryGaseous34[[#Headers],[State or territory]],0)</f>
        <v>8.8000000000000007</v>
      </c>
      <c r="F116" s="76" cm="1">
        <f t="array" ref="F116">Common_InputFunctions.Utility_DisplayArrayInTable(Fuel_SourceData.Fuel_Scope3EmissionFactorsStationaryGaseous_Data(), Table_Fuel_EFs_StationaryGaseous34[[#Headers],[State or territory]],0)</f>
        <v>7.9</v>
      </c>
      <c r="G116" s="25" t="str">
        <v>-</v>
      </c>
      <c r="H116" s="1" t="str">
        <v>Metro is defined as located on or east of the dividing range in NSW, including Canberra and Queanbeyan, Melbourne, Brisbane, Adelaide or Perth.</v>
      </c>
      <c r="I116" s="50"/>
      <c r="J116" s="50"/>
      <c r="K116" s="50"/>
      <c r="L116" s="50"/>
    </row>
    <row r="117" spans="4:13" ht="20.100000000000001" customHeight="1" x14ac:dyDescent="0.25">
      <c r="D117" s="76" t="str" cm="1">
        <f t="array" ref="D117">Common_InputFunctions.Utility_DisplayArrayInTable(Fuel_SourceData.Fuel_Scope3EmissionFactorsStationaryGaseous_Data(), Table_Fuel_EFs_StationaryGaseous34[[#Headers],[State or territory]],0)</f>
        <v>South Australia</v>
      </c>
      <c r="E117" s="76" cm="1">
        <f t="array" ref="E117">Common_InputFunctions.Utility_DisplayArrayInTable(Fuel_SourceData.Fuel_Scope3EmissionFactorsStationaryGaseous_Data(), Table_Fuel_EFs_StationaryGaseous34[[#Headers],[State or territory]],0)</f>
        <v>10.7</v>
      </c>
      <c r="F117" s="76" cm="1">
        <f t="array" ref="F117">Common_InputFunctions.Utility_DisplayArrayInTable(Fuel_SourceData.Fuel_Scope3EmissionFactorsStationaryGaseous_Data(), Table_Fuel_EFs_StationaryGaseous34[[#Headers],[State or territory]],0)</f>
        <v>10.6</v>
      </c>
      <c r="G117" s="25" t="str">
        <v/>
      </c>
      <c r="H117" s="1" t="str">
        <v>Otherwise, the non - metro factor should be used.</v>
      </c>
      <c r="I117" s="50"/>
      <c r="J117" s="50"/>
      <c r="K117" s="50"/>
      <c r="L117" s="50"/>
    </row>
    <row r="118" spans="4:13" ht="20.100000000000001" customHeight="1" x14ac:dyDescent="0.25">
      <c r="D118" s="76" t="str" cm="1">
        <f t="array" ref="D118">Common_InputFunctions.Utility_DisplayArrayInTable(Fuel_SourceData.Fuel_Scope3EmissionFactorsStationaryGaseous_Data(), Table_Fuel_EFs_StationaryGaseous34[[#Headers],[State or territory]],0)</f>
        <v>Western Australia</v>
      </c>
      <c r="E118" s="76" cm="1">
        <f t="array" ref="E118">Common_InputFunctions.Utility_DisplayArrayInTable(Fuel_SourceData.Fuel_Scope3EmissionFactorsStationaryGaseous_Data(), Table_Fuel_EFs_StationaryGaseous34[[#Headers],[State or territory]],0)</f>
        <v>4.0999999999999996</v>
      </c>
      <c r="F118" s="76" cm="1">
        <f t="array" ref="F118">Common_InputFunctions.Utility_DisplayArrayInTable(Fuel_SourceData.Fuel_Scope3EmissionFactorsStationaryGaseous_Data(), Table_Fuel_EFs_StationaryGaseous34[[#Headers],[State or territory]],0)</f>
        <v>4</v>
      </c>
      <c r="G118" s="25" t="str">
        <v>-</v>
      </c>
      <c r="H118" s="1" t="str">
        <v>Factors are calculated for all natural gas distributed in a pipeline which may include coal seam methane.</v>
      </c>
      <c r="I118" s="50"/>
      <c r="J118" s="50"/>
      <c r="K118" s="50"/>
      <c r="L118" s="50"/>
    </row>
    <row r="119" spans="4:13" ht="20.100000000000001" customHeight="1" x14ac:dyDescent="0.25">
      <c r="D119" s="76" t="str" cm="1">
        <f t="array" ref="D119">Common_InputFunctions.Utility_DisplayArrayInTable(Fuel_SourceData.Fuel_Scope3EmissionFactorsStationaryGaseous_Data(), Table_Fuel_EFs_StationaryGaseous34[[#Headers],[State or territory]],0)</f>
        <v>Tasmania</v>
      </c>
      <c r="E119" s="76" cm="1">
        <f t="array" ref="E119">Common_InputFunctions.Utility_DisplayArrayInTable(Fuel_SourceData.Fuel_Scope3EmissionFactorsStationaryGaseous_Data(), Table_Fuel_EFs_StationaryGaseous34[[#Headers],[State or territory]],0)</f>
        <v>4</v>
      </c>
      <c r="F119" s="76" cm="1">
        <f t="array" ref="F119">Common_InputFunctions.Utility_DisplayArrayInTable(Fuel_SourceData.Fuel_Scope3EmissionFactorsStationaryGaseous_Data(), Table_Fuel_EFs_StationaryGaseous34[[#Headers],[State or territory]],0)</f>
        <v>4</v>
      </c>
      <c r="G119" s="25" t="str">
        <v>-</v>
      </c>
      <c r="H119" s="1" t="str">
        <v>Table 6 is not applicable to ethane. See Table 7 Indirect (Scope 3) emissions from the consumption of ethane.</v>
      </c>
      <c r="I119" s="50"/>
      <c r="J119" s="50"/>
      <c r="K119" s="50"/>
      <c r="L119" s="50"/>
    </row>
    <row r="120" spans="4:13" ht="20.100000000000001" customHeight="1" x14ac:dyDescent="0.25">
      <c r="D120" s="76" t="str" cm="1">
        <f t="array" ref="D120">Common_InputFunctions.Utility_DisplayArrayInTable(Fuel_SourceData.Fuel_Scope3EmissionFactorsStationaryGaseous_Data(), Table_Fuel_EFs_StationaryGaseous34[[#Headers],[State or territory]],0)</f>
        <v>Northern Territory</v>
      </c>
      <c r="E120" s="76" cm="1">
        <f t="array" ref="E120">Common_InputFunctions.Utility_DisplayArrayInTable(Fuel_SourceData.Fuel_Scope3EmissionFactorsStationaryGaseous_Data(), Table_Fuel_EFs_StationaryGaseous34[[#Headers],[State or territory]],0)</f>
        <v>4.0999999999999996</v>
      </c>
      <c r="F120" s="76" cm="1">
        <f t="array" ref="F120">Common_InputFunctions.Utility_DisplayArrayInTable(Fuel_SourceData.Fuel_Scope3EmissionFactorsStationaryGaseous_Data(), Table_Fuel_EFs_StationaryGaseous34[[#Headers],[State or territory]],0)</f>
        <v>4</v>
      </c>
      <c r="G120" s="25" t="str">
        <v>-</v>
      </c>
      <c r="H120" s="1" t="str">
        <v>C = Confidential. Scope 3 emission factors for Tasmania and the Northern Territory are not available due to confidentiality constraints that arise</v>
      </c>
      <c r="I120" s="50"/>
      <c r="J120" s="50"/>
      <c r="K120" s="50"/>
      <c r="L120" s="50"/>
    </row>
    <row r="121" spans="4:13" ht="20.100000000000001" customHeight="1" x14ac:dyDescent="0.25">
      <c r="D121" s="18"/>
      <c r="E121" s="18"/>
      <c r="F121" s="18"/>
      <c r="G121" s="25" t="str">
        <v/>
      </c>
      <c r="H121" s="1" t="str">
        <v>from the use of a limited number of NGER data inputs. It is suggested that for Tasmania the use of the Victorian emission factors is appropriate,</v>
      </c>
      <c r="I121" s="50"/>
      <c r="J121" s="50"/>
      <c r="K121" s="50"/>
      <c r="L121" s="50"/>
    </row>
    <row r="122" spans="4:13" ht="20.100000000000001" customHeight="1" x14ac:dyDescent="0.25">
      <c r="D122" s="50"/>
      <c r="F122" s="75"/>
      <c r="G122" s="25" t="str">
        <v/>
      </c>
      <c r="H122" s="1" t="str">
        <v>while for Northern Territory the use of the Western Australian emission factors is appropriate.</v>
      </c>
      <c r="I122" s="50"/>
      <c r="J122" s="50"/>
      <c r="K122" s="50"/>
      <c r="L122" s="50"/>
    </row>
    <row r="123" spans="4:13" ht="20.100000000000001" customHeight="1" x14ac:dyDescent="0.25">
      <c r="D123" s="77"/>
      <c r="F123" s="75"/>
      <c r="G123" s="25" t="str">
        <v>-</v>
      </c>
      <c r="H123" s="1" t="str">
        <v>Scope 3 emission factors do not include fugitive emission leakage from low pressure natural gas distribution pipeline networks while those from high pressure</v>
      </c>
      <c r="I123" s="50"/>
      <c r="J123" s="50"/>
      <c r="K123" s="50"/>
      <c r="L123" s="50"/>
    </row>
    <row r="124" spans="4:13" ht="20.100000000000001" customHeight="1" x14ac:dyDescent="0.25">
      <c r="D124" s="77"/>
      <c r="F124" s="75"/>
      <c r="G124" s="50" t="str">
        <v/>
      </c>
      <c r="H124" s="1" t="str">
        <v>gas networks are considered negligible.</v>
      </c>
      <c r="I124" s="50"/>
      <c r="J124" s="50"/>
      <c r="K124" s="50"/>
      <c r="L124" s="50"/>
    </row>
    <row r="125" spans="4:13" ht="20.100000000000001" customHeight="1" x14ac:dyDescent="0.25">
      <c r="D125" s="77"/>
      <c r="F125" s="75"/>
      <c r="G125" s="50"/>
      <c r="H125" s="50"/>
      <c r="I125" s="50"/>
      <c r="J125" s="50"/>
      <c r="K125" s="50"/>
      <c r="L125" s="50"/>
    </row>
    <row r="126" spans="4:13" ht="20.100000000000001" customHeight="1" x14ac:dyDescent="0.25">
      <c r="D126" s="50"/>
      <c r="E126" s="50"/>
      <c r="F126" s="50"/>
      <c r="G126" s="50"/>
      <c r="H126" s="50"/>
      <c r="I126" s="50"/>
      <c r="J126" s="50"/>
      <c r="K126" s="50"/>
      <c r="L126" s="50"/>
      <c r="M126" s="50"/>
    </row>
    <row r="127" spans="4:13" ht="20.100000000000001" customHeight="1" x14ac:dyDescent="0.25">
      <c r="D127" s="50"/>
      <c r="E127" s="50"/>
      <c r="F127" s="50"/>
      <c r="G127" s="50"/>
      <c r="H127" s="50"/>
      <c r="I127" s="50"/>
      <c r="J127" s="50"/>
      <c r="K127" s="50"/>
      <c r="L127" s="50"/>
      <c r="M127" s="50"/>
    </row>
    <row r="128" spans="4:13" ht="20.100000000000001" customHeight="1" x14ac:dyDescent="0.25">
      <c r="D128" s="50"/>
      <c r="E128" s="50"/>
      <c r="F128" s="50"/>
      <c r="G128" s="50"/>
      <c r="H128" s="50"/>
      <c r="I128" s="50"/>
      <c r="J128" s="50"/>
      <c r="K128" s="50"/>
      <c r="L128" s="50"/>
      <c r="M128" s="50"/>
    </row>
    <row r="129" spans="4:33" ht="20.100000000000001" customHeight="1" x14ac:dyDescent="0.25">
      <c r="D129" s="78"/>
      <c r="E129" s="50"/>
      <c r="F129" s="50"/>
      <c r="G129" s="50"/>
      <c r="H129" s="50"/>
      <c r="I129" s="50"/>
      <c r="J129" s="50"/>
      <c r="K129" s="50"/>
      <c r="L129" s="50"/>
    </row>
    <row r="130" spans="4:33" ht="20.100000000000001" customHeight="1" x14ac:dyDescent="0.25">
      <c r="D130" s="79" t="s">
        <v>96</v>
      </c>
      <c r="E130" s="79" t="s">
        <v>94</v>
      </c>
      <c r="F130" s="79" t="s">
        <v>99</v>
      </c>
      <c r="G130" s="79" t="s">
        <v>103</v>
      </c>
      <c r="H130" s="79" t="s">
        <v>143</v>
      </c>
      <c r="I130" s="79" t="s">
        <v>144</v>
      </c>
      <c r="J130" s="50"/>
      <c r="K130" s="50"/>
      <c r="L130" s="50"/>
    </row>
    <row r="131" spans="4:33" ht="20.100000000000001" customHeight="1" x14ac:dyDescent="0.25">
      <c r="D131" s="80" t="str">
        <f>$D$143</f>
        <v>Petrol</v>
      </c>
      <c r="E131" s="80" t="str">
        <f>$D$143</f>
        <v>Petrol</v>
      </c>
      <c r="F131" s="80" t="str">
        <f>$D$150</f>
        <v>Avgas</v>
      </c>
      <c r="G131" s="80" t="str">
        <f>$D$143</f>
        <v>Petrol</v>
      </c>
      <c r="H131" s="80" t="str">
        <f>$D$144</f>
        <v>Diesel</v>
      </c>
      <c r="I131" s="80" t="str">
        <f>$D$143</f>
        <v>Petrol</v>
      </c>
      <c r="J131" s="50"/>
      <c r="K131" s="50"/>
      <c r="L131" s="50"/>
    </row>
    <row r="132" spans="4:33" ht="20.100000000000001" customHeight="1" x14ac:dyDescent="0.25">
      <c r="D132" s="80" t="str">
        <f>$D$144</f>
        <v>Diesel</v>
      </c>
      <c r="E132" s="80" t="str">
        <f>$D$144</f>
        <v>Diesel</v>
      </c>
      <c r="F132" s="80" t="str">
        <f>$D$151</f>
        <v>Jet A1, Jet B</v>
      </c>
      <c r="G132" s="80" t="str">
        <f>$D$144</f>
        <v>Diesel</v>
      </c>
      <c r="H132" s="80"/>
      <c r="I132" s="80" t="str">
        <f>$D$144</f>
        <v>Diesel</v>
      </c>
      <c r="J132" s="50"/>
      <c r="K132" s="50"/>
      <c r="L132" s="50"/>
    </row>
    <row r="133" spans="4:33" ht="20.100000000000001" customHeight="1" x14ac:dyDescent="0.25">
      <c r="D133" s="80" t="str">
        <f>$D$145</f>
        <v>Liquefied petroleum gas (LPG)</v>
      </c>
      <c r="E133" s="80" t="str">
        <f>$D$145</f>
        <v>Liquefied petroleum gas (LPG)</v>
      </c>
      <c r="F133" s="80" t="str">
        <f>$D$152</f>
        <v>Renewable aviation kerosene</v>
      </c>
      <c r="G133" s="80" t="str">
        <f>$D$145</f>
        <v>Liquefied petroleum gas (LPG)</v>
      </c>
      <c r="H133" s="80"/>
      <c r="I133" s="80" t="s">
        <v>134</v>
      </c>
      <c r="J133" s="50"/>
      <c r="K133" s="50"/>
      <c r="L133" s="50"/>
    </row>
    <row r="134" spans="4:33" ht="20.100000000000001" customHeight="1" x14ac:dyDescent="0.25">
      <c r="D134" s="80" t="str">
        <f>$D$146</f>
        <v>Biodiesel</v>
      </c>
      <c r="E134" s="80" t="str">
        <f>$D$146</f>
        <v>Biodiesel</v>
      </c>
      <c r="F134" s="79"/>
      <c r="G134" s="80" t="str">
        <f>$D$160</f>
        <v>Fuel oil</v>
      </c>
      <c r="H134" s="80"/>
      <c r="I134" s="80"/>
      <c r="J134" s="50"/>
      <c r="K134" s="50"/>
      <c r="L134" s="50"/>
    </row>
    <row r="135" spans="4:33" ht="20.100000000000001" customHeight="1" x14ac:dyDescent="0.25">
      <c r="D135" s="80" t="str">
        <f>$D$147</f>
        <v>Ethanol</v>
      </c>
      <c r="E135" s="80" t="str">
        <f>$D$147</f>
        <v>Ethanol</v>
      </c>
      <c r="F135" s="79"/>
      <c r="G135" s="80" t="str">
        <f>$D$147</f>
        <v>Ethanol</v>
      </c>
      <c r="H135" s="80"/>
      <c r="I135" s="80"/>
      <c r="J135" s="50"/>
      <c r="K135" s="50"/>
      <c r="L135" s="50"/>
    </row>
    <row r="136" spans="4:33" ht="20.100000000000001" customHeight="1" x14ac:dyDescent="0.25">
      <c r="D136" s="80" t="str">
        <f>$D$148</f>
        <v>Other biofuels</v>
      </c>
      <c r="E136" s="80" t="str">
        <f>$D$148</f>
        <v>Other biofuels</v>
      </c>
      <c r="F136" s="79"/>
      <c r="G136" s="80" t="str">
        <f>$D$146</f>
        <v>Biodiesel</v>
      </c>
      <c r="H136" s="80"/>
      <c r="I136" s="80"/>
      <c r="J136" s="50"/>
      <c r="K136" s="50"/>
      <c r="L136" s="50"/>
    </row>
    <row r="137" spans="4:33" ht="20.100000000000001" customHeight="1" x14ac:dyDescent="0.25">
      <c r="D137" s="80" t="str">
        <f>$D$149</f>
        <v>Renewable diesel</v>
      </c>
      <c r="E137" s="80" t="str">
        <f>$D$149</f>
        <v>Renewable diesel</v>
      </c>
      <c r="F137" s="79"/>
      <c r="G137" s="80" t="str">
        <f>$D$149</f>
        <v>Renewable diesel</v>
      </c>
      <c r="H137" s="80"/>
      <c r="I137" s="80"/>
      <c r="J137" s="50"/>
      <c r="K137" s="50"/>
      <c r="L137" s="50"/>
    </row>
    <row r="138" spans="4:33" ht="20.100000000000001" customHeight="1" x14ac:dyDescent="0.25">
      <c r="D138" s="79"/>
      <c r="E138" s="81" t="str">
        <f>$D$161</f>
        <v>Natural gas (via pipeline) in GJ</v>
      </c>
      <c r="F138" s="81"/>
      <c r="G138" s="80" t="str">
        <f>$D$148</f>
        <v>Other biofuels</v>
      </c>
      <c r="H138" s="80"/>
      <c r="I138" s="80"/>
      <c r="J138" s="50"/>
      <c r="K138" s="50"/>
      <c r="L138" s="50"/>
    </row>
    <row r="139" spans="4:33" ht="20.100000000000001" customHeight="1" x14ac:dyDescent="0.25">
      <c r="D139" s="81"/>
      <c r="E139" s="81" t="str">
        <f>$D$162</f>
        <v>Town gas in GJ</v>
      </c>
      <c r="F139" s="81"/>
      <c r="G139" s="81"/>
      <c r="H139" s="81"/>
      <c r="I139" s="81"/>
      <c r="J139" s="50"/>
      <c r="K139" s="50"/>
      <c r="L139" s="50"/>
    </row>
    <row r="140" spans="4:33" ht="20.100000000000001" customHeight="1" x14ac:dyDescent="0.25">
      <c r="D140" s="50"/>
      <c r="E140" s="50"/>
      <c r="F140" s="50"/>
      <c r="G140" s="50"/>
      <c r="H140" s="50"/>
      <c r="I140" s="50"/>
      <c r="J140" s="50"/>
      <c r="K140" s="50"/>
      <c r="L140" s="50"/>
    </row>
    <row r="141" spans="4:33" ht="20.100000000000001" customHeight="1" x14ac:dyDescent="0.25">
      <c r="D141" s="50"/>
      <c r="E141" s="50"/>
      <c r="F141" s="50"/>
      <c r="G141" s="50"/>
      <c r="H141" s="50"/>
      <c r="I141" s="50"/>
      <c r="J141" s="50"/>
      <c r="K141" s="50"/>
      <c r="L141" s="50"/>
    </row>
    <row r="142" spans="4:33" ht="20.100000000000001" customHeight="1" x14ac:dyDescent="0.25">
      <c r="D142" t="s">
        <v>122</v>
      </c>
      <c r="E142" t="s">
        <v>4</v>
      </c>
      <c r="F142" t="s">
        <v>210</v>
      </c>
      <c r="G142" s="50"/>
      <c r="H142" s="50"/>
      <c r="I142" s="50"/>
      <c r="J142" s="50"/>
      <c r="K142" s="50"/>
      <c r="L142" s="50"/>
      <c r="M142" s="50"/>
      <c r="AG142" s="1"/>
    </row>
    <row r="143" spans="4:33" ht="20.100000000000001" customHeight="1" x14ac:dyDescent="0.25">
      <c r="D143" s="80" t="s">
        <v>97</v>
      </c>
      <c r="E143" t="s">
        <v>123</v>
      </c>
      <c r="F143" t="s">
        <v>209</v>
      </c>
      <c r="G143" s="50"/>
      <c r="H143" s="50"/>
      <c r="I143" s="50"/>
      <c r="J143" s="50"/>
      <c r="K143" s="50"/>
      <c r="L143" s="50"/>
      <c r="M143" s="50"/>
      <c r="AG143" s="1"/>
    </row>
    <row r="144" spans="4:33" ht="20.100000000000001" customHeight="1" x14ac:dyDescent="0.25">
      <c r="D144" s="80" t="s">
        <v>104</v>
      </c>
      <c r="E144" t="s">
        <v>123</v>
      </c>
      <c r="F144" t="s">
        <v>209</v>
      </c>
      <c r="G144" s="50"/>
      <c r="H144" s="50"/>
      <c r="I144" s="50"/>
      <c r="J144" s="50"/>
      <c r="K144" s="50"/>
      <c r="L144" s="50"/>
      <c r="M144" s="50"/>
      <c r="AG144" s="1"/>
    </row>
    <row r="145" spans="4:33" ht="20.100000000000001" customHeight="1" x14ac:dyDescent="0.25">
      <c r="D145" s="80" t="s">
        <v>105</v>
      </c>
      <c r="E145" t="s">
        <v>123</v>
      </c>
      <c r="F145" t="s">
        <v>209</v>
      </c>
      <c r="G145" s="50"/>
      <c r="H145" s="50"/>
      <c r="I145" s="50"/>
      <c r="J145" s="50"/>
      <c r="K145" s="50"/>
      <c r="L145" s="50"/>
      <c r="M145" s="50"/>
      <c r="AG145" s="1"/>
    </row>
    <row r="146" spans="4:33" ht="20.100000000000001" customHeight="1" x14ac:dyDescent="0.25">
      <c r="D146" s="80" t="s">
        <v>124</v>
      </c>
      <c r="E146" t="s">
        <v>123</v>
      </c>
      <c r="F146" t="s">
        <v>209</v>
      </c>
      <c r="G146" s="50"/>
      <c r="H146" s="50"/>
      <c r="I146" s="50"/>
      <c r="J146" s="50"/>
      <c r="K146" s="50"/>
      <c r="L146" s="50"/>
      <c r="M146" s="50"/>
      <c r="AG146" s="1"/>
    </row>
    <row r="147" spans="4:33" ht="20.100000000000001" customHeight="1" x14ac:dyDescent="0.25">
      <c r="D147" s="80" t="s">
        <v>95</v>
      </c>
      <c r="E147" t="s">
        <v>123</v>
      </c>
      <c r="F147" t="s">
        <v>209</v>
      </c>
      <c r="G147" s="50"/>
      <c r="H147" s="50"/>
      <c r="I147" s="50"/>
      <c r="J147" s="50"/>
      <c r="K147" s="50"/>
      <c r="L147" s="50"/>
      <c r="M147" s="50"/>
      <c r="AG147" s="1"/>
    </row>
    <row r="148" spans="4:33" ht="20.100000000000001" customHeight="1" x14ac:dyDescent="0.25">
      <c r="D148" s="80" t="s">
        <v>125</v>
      </c>
      <c r="E148" t="s">
        <v>123</v>
      </c>
      <c r="F148" t="s">
        <v>209</v>
      </c>
      <c r="G148" s="50"/>
      <c r="H148" s="50"/>
      <c r="I148" s="50"/>
      <c r="J148" s="50"/>
      <c r="K148" s="50"/>
      <c r="L148" s="50"/>
      <c r="M148" s="50"/>
      <c r="AG148" s="1"/>
    </row>
    <row r="149" spans="4:33" ht="20.100000000000001" customHeight="1" x14ac:dyDescent="0.25">
      <c r="D149" s="80" t="s">
        <v>126</v>
      </c>
      <c r="E149" t="s">
        <v>123</v>
      </c>
      <c r="F149" t="s">
        <v>209</v>
      </c>
      <c r="G149" s="50"/>
      <c r="H149" s="50"/>
      <c r="I149" s="50"/>
      <c r="J149" s="50"/>
      <c r="K149" s="50"/>
      <c r="L149" s="50"/>
      <c r="M149" s="50"/>
      <c r="AG149" s="1"/>
    </row>
    <row r="150" spans="4:33" ht="20.100000000000001" customHeight="1" x14ac:dyDescent="0.25">
      <c r="D150" s="80" t="s">
        <v>127</v>
      </c>
      <c r="E150" t="s">
        <v>123</v>
      </c>
      <c r="F150" t="s">
        <v>209</v>
      </c>
      <c r="G150" s="50"/>
      <c r="H150" s="50"/>
      <c r="I150" s="50"/>
      <c r="J150" s="50"/>
      <c r="K150" s="50"/>
      <c r="L150" s="50"/>
      <c r="M150" s="50"/>
      <c r="AG150" s="1"/>
    </row>
    <row r="151" spans="4:33" ht="20.100000000000001" customHeight="1" x14ac:dyDescent="0.25">
      <c r="D151" s="80" t="s">
        <v>100</v>
      </c>
      <c r="E151" t="s">
        <v>123</v>
      </c>
      <c r="F151" t="s">
        <v>209</v>
      </c>
      <c r="G151" s="50"/>
      <c r="H151" s="50"/>
      <c r="I151" s="50"/>
      <c r="J151" s="50"/>
      <c r="K151" s="50"/>
      <c r="L151" s="50"/>
      <c r="M151" s="50"/>
      <c r="AG151" s="1"/>
    </row>
    <row r="152" spans="4:33" ht="20.100000000000001" customHeight="1" x14ac:dyDescent="0.25">
      <c r="D152" s="82" t="s">
        <v>128</v>
      </c>
      <c r="E152" s="18" t="s">
        <v>123</v>
      </c>
      <c r="F152" t="s">
        <v>209</v>
      </c>
      <c r="G152" s="50"/>
      <c r="H152" s="50"/>
      <c r="I152" s="50"/>
      <c r="J152" s="50"/>
      <c r="K152" s="50"/>
      <c r="L152" s="50"/>
      <c r="M152" s="50"/>
      <c r="AG152" s="1"/>
    </row>
    <row r="153" spans="4:33" ht="20.100000000000001" customHeight="1" x14ac:dyDescent="0.25">
      <c r="D153" s="82" t="s">
        <v>101</v>
      </c>
      <c r="E153" s="18" t="s">
        <v>123</v>
      </c>
      <c r="F153" t="s">
        <v>209</v>
      </c>
      <c r="G153" s="50"/>
      <c r="H153" s="50"/>
      <c r="I153" s="50"/>
      <c r="J153" s="50"/>
      <c r="K153" s="50"/>
      <c r="L153" s="50"/>
      <c r="M153" s="50"/>
      <c r="AG153" s="1"/>
    </row>
    <row r="154" spans="4:33" ht="20.100000000000001" customHeight="1" x14ac:dyDescent="0.25">
      <c r="D154" s="82" t="s">
        <v>102</v>
      </c>
      <c r="E154" s="18" t="s">
        <v>123</v>
      </c>
      <c r="F154" t="s">
        <v>209</v>
      </c>
      <c r="G154" s="50"/>
      <c r="H154" s="50"/>
      <c r="I154" s="50"/>
      <c r="J154" s="50"/>
      <c r="K154" s="50"/>
      <c r="L154" s="50"/>
      <c r="M154" s="50"/>
      <c r="AG154" s="1"/>
    </row>
    <row r="155" spans="4:33" ht="20.100000000000001" customHeight="1" x14ac:dyDescent="0.25">
      <c r="D155" s="82" t="s">
        <v>129</v>
      </c>
      <c r="E155" s="18" t="s">
        <v>123</v>
      </c>
      <c r="F155" t="s">
        <v>209</v>
      </c>
      <c r="G155" s="50"/>
      <c r="H155" s="50"/>
      <c r="I155" s="50"/>
      <c r="J155" s="50"/>
      <c r="K155" s="50"/>
      <c r="L155" s="50"/>
      <c r="M155" s="50"/>
      <c r="AG155" s="1"/>
    </row>
    <row r="156" spans="4:33" ht="20.100000000000001" customHeight="1" x14ac:dyDescent="0.25">
      <c r="D156" s="82" t="s">
        <v>130</v>
      </c>
      <c r="E156" s="18" t="s">
        <v>123</v>
      </c>
      <c r="F156" t="s">
        <v>209</v>
      </c>
      <c r="G156" s="50"/>
      <c r="H156" s="50"/>
      <c r="I156" s="50"/>
      <c r="J156" s="50"/>
      <c r="K156" s="50"/>
      <c r="L156" s="50"/>
      <c r="M156" s="50"/>
      <c r="AG156" s="1"/>
    </row>
    <row r="157" spans="4:33" ht="20.100000000000001" customHeight="1" x14ac:dyDescent="0.25">
      <c r="D157" s="82" t="s">
        <v>131</v>
      </c>
      <c r="E157" s="18" t="s">
        <v>123</v>
      </c>
      <c r="F157" t="s">
        <v>209</v>
      </c>
      <c r="G157" s="50"/>
      <c r="H157" s="50"/>
      <c r="I157" s="50"/>
      <c r="J157" s="50"/>
      <c r="K157" s="50"/>
      <c r="L157" s="50"/>
      <c r="M157" s="50"/>
      <c r="AG157" s="1"/>
    </row>
    <row r="158" spans="4:33" ht="20.100000000000001" customHeight="1" x14ac:dyDescent="0.25">
      <c r="D158" s="82" t="s">
        <v>132</v>
      </c>
      <c r="E158" s="18" t="s">
        <v>123</v>
      </c>
      <c r="F158" t="s">
        <v>209</v>
      </c>
      <c r="G158" s="50"/>
      <c r="H158" s="50"/>
      <c r="I158" s="50"/>
      <c r="J158" s="50"/>
      <c r="K158" s="50"/>
      <c r="L158" s="50"/>
      <c r="M158" s="50"/>
      <c r="AG158" s="1"/>
    </row>
    <row r="159" spans="4:33" ht="20.100000000000001" customHeight="1" x14ac:dyDescent="0.25">
      <c r="D159" s="82" t="s">
        <v>133</v>
      </c>
      <c r="E159" s="18" t="s">
        <v>123</v>
      </c>
      <c r="F159" t="s">
        <v>209</v>
      </c>
      <c r="G159" s="50"/>
      <c r="H159" s="50"/>
      <c r="I159" s="50"/>
      <c r="J159" s="50"/>
      <c r="K159" s="50"/>
      <c r="L159" s="50"/>
      <c r="M159" s="50"/>
      <c r="AG159" s="1"/>
    </row>
    <row r="160" spans="4:33" ht="20.100000000000001" customHeight="1" x14ac:dyDescent="0.25">
      <c r="D160" s="82" t="s">
        <v>134</v>
      </c>
      <c r="E160" s="18" t="s">
        <v>123</v>
      </c>
      <c r="F160" t="s">
        <v>209</v>
      </c>
      <c r="G160" s="50"/>
      <c r="H160" s="50"/>
      <c r="I160" s="50"/>
      <c r="J160" s="50"/>
      <c r="K160" s="50"/>
      <c r="L160" s="50"/>
      <c r="M160" s="50"/>
      <c r="AG160" s="1"/>
    </row>
    <row r="161" spans="4:33" ht="20.100000000000001" customHeight="1" x14ac:dyDescent="0.25">
      <c r="D161" s="81" t="s">
        <v>98</v>
      </c>
      <c r="E161" s="50" t="s">
        <v>135</v>
      </c>
      <c r="F161" s="50" t="s">
        <v>135</v>
      </c>
      <c r="G161" s="50"/>
      <c r="H161" s="50"/>
      <c r="I161" s="50"/>
      <c r="J161" s="50"/>
      <c r="K161" s="50"/>
      <c r="L161" s="50"/>
      <c r="M161" s="50"/>
      <c r="AG161" s="1"/>
    </row>
    <row r="162" spans="4:33" ht="20.100000000000001" customHeight="1" x14ac:dyDescent="0.25">
      <c r="D162" s="50" t="s">
        <v>106</v>
      </c>
      <c r="E162" s="50" t="s">
        <v>135</v>
      </c>
      <c r="F162" s="50" t="s">
        <v>135</v>
      </c>
      <c r="G162" s="50"/>
      <c r="H162" s="50"/>
      <c r="I162" s="50"/>
      <c r="J162" s="50"/>
      <c r="K162" s="50"/>
      <c r="L162" s="50"/>
      <c r="M162" s="50"/>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C5D95-E421-4D53-BDED-7D380D691681}">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56" t="s">
        <v>1</v>
      </c>
      <c r="D6" s="27" t="s">
        <v>5</v>
      </c>
      <c r="E6" s="27" t="s">
        <v>6</v>
      </c>
      <c r="F6" s="27" t="s">
        <v>7</v>
      </c>
    </row>
    <row r="7" spans="1:65" ht="20.100000000000001" customHeight="1" x14ac:dyDescent="0.25">
      <c r="A7" s="68" t="str">
        <f>HYPERLINK("#'Constants - Common'!A1", "Constants - Common")</f>
        <v>Constants - Common</v>
      </c>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s="14" t="str">
        <f>HYPERLINK("#'Acknowledgements'!A1", "Acknowledgements")</f>
        <v>Acknowledgements</v>
      </c>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8</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10</v>
      </c>
      <c r="E36" s="27" t="s">
        <v>11</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A42"/>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A43"/>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7" t="s">
        <v>10</v>
      </c>
      <c r="E47" s="27" t="s">
        <v>13</v>
      </c>
      <c r="F47" s="27" t="s">
        <v>14</v>
      </c>
      <c r="G47" s="27" t="s">
        <v>15</v>
      </c>
      <c r="H47" s="27" t="s">
        <v>16</v>
      </c>
    </row>
    <row r="48" spans="1:8" ht="20.100000000000001" customHeight="1" x14ac:dyDescent="0.25">
      <c r="A48"/>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1:8" ht="20.100000000000001" customHeight="1" x14ac:dyDescent="0.25">
      <c r="A49"/>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1:8" ht="20.100000000000001" customHeight="1" x14ac:dyDescent="0.25">
      <c r="A50"/>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1:8" ht="20.100000000000001" customHeight="1" x14ac:dyDescent="0.25">
      <c r="A51"/>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1:8" ht="20.100000000000001" customHeight="1" x14ac:dyDescent="0.25">
      <c r="A52"/>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1:8" ht="20.100000000000001" customHeight="1" x14ac:dyDescent="0.25">
      <c r="A53"/>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1:8" ht="20.100000000000001" customHeight="1" x14ac:dyDescent="0.25">
      <c r="A54"/>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3" t="str" cm="1">
        <f t="array" ref="D59:D61">"⚠️" &amp; Common_SourceData.Common_SourceData_WetAndDryZones_Variation()</f>
        <v>⚠️VARIATION OF SOURCE DATA:</v>
      </c>
    </row>
    <row r="60" spans="1:8" ht="20.100000000000001" customHeight="1" x14ac:dyDescent="0.25">
      <c r="A60"/>
      <c r="D60" s="33" t="str">
        <v>⚠️Added warm / cool temperate moist / dry - low frost and high temp classes to accommodate climate scenarios excluded by VEERG criteria.</v>
      </c>
    </row>
    <row r="61" spans="1:8" ht="20.100000000000001" customHeight="1" x14ac:dyDescent="0.25">
      <c r="A61"/>
      <c r="D61" s="33" t="str">
        <v>⚠️Fixed typo - Changed 'Fry' to 'Dry'.</v>
      </c>
    </row>
    <row r="62" spans="1:8" ht="20.100000000000001" customHeight="1" x14ac:dyDescent="0.25">
      <c r="A62"/>
    </row>
    <row r="63" spans="1:8" ht="20.100000000000001" customHeight="1" x14ac:dyDescent="0.25">
      <c r="A63"/>
      <c r="D63" s="27" t="s">
        <v>3</v>
      </c>
      <c r="E63" s="27" t="s">
        <v>30</v>
      </c>
    </row>
    <row r="64" spans="1:8" ht="20.100000000000001" customHeight="1" x14ac:dyDescent="0.25">
      <c r="A64"/>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3" t="str" cm="1">
        <f t="array" ref="D83:D87">"⚠️" &amp; Common_SourceData.Common_SourceData_ClimateZones_Variation()</f>
        <v>⚠️VARIATION OF SOURCE DATA:</v>
      </c>
    </row>
    <row r="84" spans="1:20" ht="20.100000000000001" customHeight="1" x14ac:dyDescent="0.25">
      <c r="A84"/>
      <c r="D84" s="33" t="str">
        <v>⚠️Added warm / cool temperate moist / dry - low frost and high temp classes to accommodate climate scenarios excluded by VEERG criteria.</v>
      </c>
    </row>
    <row r="85" spans="1:20" ht="20.100000000000001" customHeight="1" x14ac:dyDescent="0.25">
      <c r="A85"/>
      <c r="D85" s="33" t="str">
        <v>⚠️Fixed typo in MAT value for warm temperate dry - changed 10 to 11.</v>
      </c>
    </row>
    <row r="86" spans="1:20" ht="20.100000000000001" customHeight="1" x14ac:dyDescent="0.25">
      <c r="A86"/>
      <c r="D86" s="33" t="str">
        <v>⚠️Added min and max columns for MAT, MAP, frost days per year, elevation, MAP:PET to calculate zones from real climate data.</v>
      </c>
    </row>
    <row r="87" spans="1:20" ht="20.100000000000001" customHeight="1" x14ac:dyDescent="0.25">
      <c r="A87"/>
      <c r="D87" s="33" t="str">
        <v>⚠️GAF accepts rainfall as a proxy for precipitation.</v>
      </c>
    </row>
    <row r="88" spans="1:20" ht="20.100000000000001" customHeight="1" x14ac:dyDescent="0.25">
      <c r="A88"/>
    </row>
    <row r="89" spans="1:20" ht="20.100000000000001" customHeight="1" x14ac:dyDescent="0.25">
      <c r="A89"/>
      <c r="D89" s="27" t="s">
        <v>3</v>
      </c>
      <c r="E89" s="27" t="s">
        <v>18</v>
      </c>
      <c r="F89" s="27" t="s">
        <v>19</v>
      </c>
      <c r="G89" s="27" t="s">
        <v>20</v>
      </c>
      <c r="H89" s="27" t="s">
        <v>21</v>
      </c>
      <c r="I89" s="27" t="s">
        <v>22</v>
      </c>
      <c r="J89" s="27" t="s">
        <v>23</v>
      </c>
      <c r="K89" s="27" t="s">
        <v>24</v>
      </c>
      <c r="L89" s="27" t="s">
        <v>25</v>
      </c>
      <c r="M89" s="27" t="s">
        <v>26</v>
      </c>
      <c r="N89" s="27" t="s">
        <v>27</v>
      </c>
      <c r="O89" s="27" t="s">
        <v>31</v>
      </c>
      <c r="P89" s="27" t="s">
        <v>28</v>
      </c>
      <c r="Q89" s="27" t="s">
        <v>32</v>
      </c>
      <c r="R89" s="27" t="s">
        <v>29</v>
      </c>
      <c r="S89" s="27" t="s">
        <v>33</v>
      </c>
      <c r="T89" s="27"/>
    </row>
    <row r="90" spans="1:20" ht="20.100000000000001" customHeight="1" x14ac:dyDescent="0.25">
      <c r="A90"/>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1:20" ht="20.100000000000001" customHeight="1" x14ac:dyDescent="0.25">
      <c r="A91"/>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1:20" ht="20.100000000000001" customHeight="1" x14ac:dyDescent="0.25">
      <c r="A92"/>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1:20" ht="20.100000000000001" customHeight="1" x14ac:dyDescent="0.25">
      <c r="A93"/>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1:20" ht="20.100000000000001" customHeight="1" x14ac:dyDescent="0.25">
      <c r="A94"/>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1:20" ht="20.100000000000001" customHeight="1" x14ac:dyDescent="0.25">
      <c r="A9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1:20" ht="20.100000000000001" customHeight="1" x14ac:dyDescent="0.25">
      <c r="A96"/>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1:20" ht="20.100000000000001" customHeight="1" x14ac:dyDescent="0.25">
      <c r="A97"/>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1:20" ht="20.100000000000001" customHeight="1" x14ac:dyDescent="0.25">
      <c r="A98"/>
    </row>
    <row r="99" spans="1:20" ht="20.100000000000001" customHeight="1" x14ac:dyDescent="0.25">
      <c r="A99"/>
      <c r="D99" s="32" t="str" cm="1">
        <f t="array" ref="D99:D102">Common_SourceData.Common_SourceData_ClimateZones_Appendices()</f>
        <v>Note:</v>
      </c>
    </row>
    <row r="100" spans="1:20" ht="20.100000000000001" customHeight="1" x14ac:dyDescent="0.25">
      <c r="A100"/>
      <c r="D100" s="32" t="str">
        <v>MAT = mean annual temperature</v>
      </c>
    </row>
    <row r="101" spans="1:20" ht="20.100000000000001" customHeight="1" x14ac:dyDescent="0.25">
      <c r="A101"/>
      <c r="D101" s="32" t="str">
        <v>MAP = mean annual precipitation</v>
      </c>
    </row>
    <row r="102" spans="1:20" ht="20.100000000000001" customHeight="1" x14ac:dyDescent="0.25">
      <c r="A102"/>
      <c r="D102" s="32" t="str">
        <v>PET = potential evapotranspiration</v>
      </c>
    </row>
    <row r="103" spans="1:20" ht="20.100000000000001" customHeight="1" x14ac:dyDescent="0.25">
      <c r="A103"/>
      <c r="D103" s="3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7" t="s">
        <v>35</v>
      </c>
      <c r="E109" s="27" t="s">
        <v>18</v>
      </c>
      <c r="F109" s="27" t="s">
        <v>36</v>
      </c>
      <c r="G109" s="27" t="s">
        <v>37</v>
      </c>
    </row>
    <row r="110" spans="1:20" ht="20.100000000000001" customHeight="1" x14ac:dyDescent="0.25">
      <c r="A110"/>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7" t="s">
        <v>38</v>
      </c>
      <c r="E119" s="27" t="s">
        <v>39</v>
      </c>
      <c r="F119" s="27" t="s">
        <v>25</v>
      </c>
      <c r="G119" s="27" t="s">
        <v>26</v>
      </c>
      <c r="BN119" s="7"/>
    </row>
    <row r="120" spans="1:66" ht="20.100000000000001" customHeight="1" x14ac:dyDescent="0.25">
      <c r="A120"/>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7" t="s">
        <v>40</v>
      </c>
      <c r="E127" s="27" t="s">
        <v>41</v>
      </c>
    </row>
    <row r="128" spans="1:66" ht="20.100000000000001" customHeight="1" x14ac:dyDescent="0.25">
      <c r="A128"/>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7" t="s">
        <v>57</v>
      </c>
      <c r="E142" s="27" t="s">
        <v>47</v>
      </c>
      <c r="BN142" s="7"/>
    </row>
    <row r="143" spans="1:77" ht="20.100000000000001" customHeight="1" x14ac:dyDescent="0.25">
      <c r="A143"/>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7" t="s">
        <v>42</v>
      </c>
      <c r="E153" s="27" t="s">
        <v>43</v>
      </c>
      <c r="BC153" s="3"/>
      <c r="BD153" s="3"/>
      <c r="BE153" s="3"/>
      <c r="BF153" s="3"/>
      <c r="BG153" s="3"/>
      <c r="BH153" s="3"/>
      <c r="BI153" s="3"/>
      <c r="BJ153" s="3"/>
      <c r="BK153" s="3"/>
      <c r="BL153" s="3"/>
      <c r="BM153" s="3"/>
    </row>
    <row r="154" spans="1:66" ht="20.100000000000001" customHeight="1" x14ac:dyDescent="0.25">
      <c r="A154"/>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2" t="str" cm="1">
        <f t="array" ref="D180">Common_SourceData.Common_SourceData_EFN2O_Unit()</f>
        <v>(kg N2O-N / kg N</v>
      </c>
    </row>
    <row r="181" spans="4:68" ht="20.100000000000001" customHeight="1" x14ac:dyDescent="0.25">
      <c r="D181" s="33" t="str" cm="1">
        <f t="array" ref="D181:D185">Common_SourceData.Common_SourceData_EFN2O_Variation()</f>
        <v>VARIATION OF SOURCE DATA:</v>
      </c>
    </row>
    <row r="182" spans="4:68" ht="20.100000000000001" customHeight="1" x14ac:dyDescent="0.25">
      <c r="D182" s="33" t="str">
        <v>Removed duplicate 'Aquaculture' row.</v>
      </c>
    </row>
    <row r="183" spans="4:68" ht="20.100000000000001" customHeight="1" x14ac:dyDescent="0.25">
      <c r="D183" s="33" t="str">
        <v>Removed asterisks to aid lookup.</v>
      </c>
    </row>
    <row r="184" spans="4:68" ht="20.100000000000001" customHeight="1" x14ac:dyDescent="0.25">
      <c r="D184" s="33" t="str">
        <v>Added 'production system only', 'rainfall zone' and 'irrigation method' columns to aid lookup.</v>
      </c>
    </row>
    <row r="185" spans="4:68" ht="20.100000000000001" customHeight="1" x14ac:dyDescent="0.25">
      <c r="D185" s="33" t="str">
        <v>Duplicated 'non-irrigated pasture' row with same EF for low and high rainfall zones to aid lookup.</v>
      </c>
    </row>
    <row r="186" spans="4:68" ht="20.100000000000001" customHeight="1" x14ac:dyDescent="0.25">
      <c r="D186" s="27" t="s">
        <v>50</v>
      </c>
      <c r="E186" s="27" t="s">
        <v>51</v>
      </c>
      <c r="F186" s="27" t="s">
        <v>52</v>
      </c>
      <c r="G186" s="27" t="s">
        <v>53</v>
      </c>
      <c r="H186" s="27" t="s">
        <v>17</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3" t="str" cm="1">
        <f t="array" ref="D204">Common_SourceData.Common_SourceData_EFPastureRangeAndPaddock_Variation()</f>
        <v>VARIATION FROM SOURCE DATA: Changed 'Dry climate zones' to singular 'Dry climate zone' to aid lookup.</v>
      </c>
    </row>
    <row r="205" spans="4:8" x14ac:dyDescent="0.25">
      <c r="D205" s="32" t="str" cm="1">
        <f t="array" ref="D205">Common_SourceData.Common_SourceData_EFPastureRangeAndPaddock_Unit()</f>
        <v>kg N2O - N / kg N</v>
      </c>
    </row>
    <row r="206" spans="4:8" x14ac:dyDescent="0.25">
      <c r="D206" s="27" t="s">
        <v>3</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34</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2" t="str" cm="1">
        <f t="array" ref="D256">Common_SourceData.Common_SourceData_EFOrganicFertiliserAndCropResidues_Unit()</f>
        <v>kg N2O - N / kg N</v>
      </c>
    </row>
    <row r="257" spans="4:6" x14ac:dyDescent="0.25">
      <c r="D257" s="27" t="s">
        <v>78</v>
      </c>
      <c r="E257" s="27" t="s">
        <v>79</v>
      </c>
    </row>
    <row r="258" spans="4:6"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213</v>
      </c>
    </row>
    <row r="264" spans="4:6" x14ac:dyDescent="0.25">
      <c r="D264" s="1" t="s">
        <v>214</v>
      </c>
    </row>
    <row r="265" spans="4:6" x14ac:dyDescent="0.25">
      <c r="D265" s="27" t="s">
        <v>215</v>
      </c>
      <c r="E265" s="27" t="s">
        <v>216</v>
      </c>
      <c r="F265" s="27" t="s">
        <v>217</v>
      </c>
    </row>
    <row r="266" spans="4:6" x14ac:dyDescent="0.25">
      <c r="D266" s="27" t="s">
        <v>218</v>
      </c>
      <c r="E266" s="27" t="s">
        <v>219</v>
      </c>
      <c r="F266" s="27">
        <v>5</v>
      </c>
    </row>
    <row r="267" spans="4:6" x14ac:dyDescent="0.25">
      <c r="D267" s="27" t="s">
        <v>220</v>
      </c>
      <c r="E267" s="27" t="s">
        <v>221</v>
      </c>
      <c r="F267" s="27">
        <v>4</v>
      </c>
    </row>
    <row r="268" spans="4:6" x14ac:dyDescent="0.25">
      <c r="D268" s="27" t="s">
        <v>222</v>
      </c>
      <c r="E268" s="27" t="s">
        <v>223</v>
      </c>
      <c r="F268" s="27">
        <v>3</v>
      </c>
    </row>
    <row r="269" spans="4:6" x14ac:dyDescent="0.25">
      <c r="D269" s="27" t="s">
        <v>224</v>
      </c>
      <c r="E269" s="27" t="s">
        <v>225</v>
      </c>
      <c r="F269" s="27">
        <v>2</v>
      </c>
    </row>
    <row r="270" spans="4:6" x14ac:dyDescent="0.25">
      <c r="D270" s="27" t="s">
        <v>226</v>
      </c>
      <c r="E270" s="27" t="s">
        <v>227</v>
      </c>
      <c r="F270" s="27">
        <v>1</v>
      </c>
    </row>
    <row r="273" spans="4:6" x14ac:dyDescent="0.25">
      <c r="D273" s="1" t="s">
        <v>228</v>
      </c>
    </row>
    <row r="274" spans="4:6" x14ac:dyDescent="0.25">
      <c r="D274" s="27" t="s">
        <v>215</v>
      </c>
      <c r="E274" s="27" t="s">
        <v>216</v>
      </c>
      <c r="F274" s="27" t="s">
        <v>217</v>
      </c>
    </row>
    <row r="275" spans="4:6" x14ac:dyDescent="0.25">
      <c r="D275" s="27" t="s">
        <v>229</v>
      </c>
      <c r="E275" s="27" t="s">
        <v>230</v>
      </c>
      <c r="F275" s="27">
        <v>5</v>
      </c>
    </row>
    <row r="276" spans="4:6" x14ac:dyDescent="0.25">
      <c r="D276" s="27" t="s">
        <v>231</v>
      </c>
      <c r="E276" s="27" t="s">
        <v>232</v>
      </c>
      <c r="F276" s="27">
        <v>4</v>
      </c>
    </row>
    <row r="277" spans="4:6" x14ac:dyDescent="0.25">
      <c r="D277" s="27" t="s">
        <v>233</v>
      </c>
      <c r="E277" s="27" t="s">
        <v>234</v>
      </c>
      <c r="F277" s="27">
        <v>3</v>
      </c>
    </row>
    <row r="278" spans="4:6" x14ac:dyDescent="0.25">
      <c r="D278" s="27" t="s">
        <v>235</v>
      </c>
      <c r="E278" s="27" t="s">
        <v>236</v>
      </c>
      <c r="F278" s="27">
        <v>2</v>
      </c>
    </row>
    <row r="279" spans="4:6" x14ac:dyDescent="0.25">
      <c r="D279" s="27" t="s">
        <v>237</v>
      </c>
      <c r="E279" s="27" t="s">
        <v>238</v>
      </c>
      <c r="F279" s="27">
        <v>1</v>
      </c>
    </row>
    <row r="282" spans="4:6" x14ac:dyDescent="0.25">
      <c r="D282" s="1" t="s">
        <v>239</v>
      </c>
    </row>
    <row r="283" spans="4:6" x14ac:dyDescent="0.25">
      <c r="D283" s="27" t="s">
        <v>215</v>
      </c>
      <c r="E283" s="27" t="s">
        <v>216</v>
      </c>
      <c r="F283" s="27" t="s">
        <v>217</v>
      </c>
    </row>
    <row r="284" spans="4:6" x14ac:dyDescent="0.25">
      <c r="D284" s="27" t="s">
        <v>240</v>
      </c>
      <c r="E284" s="27" t="s">
        <v>241</v>
      </c>
      <c r="F284" s="27">
        <v>5</v>
      </c>
    </row>
    <row r="285" spans="4:6" x14ac:dyDescent="0.25">
      <c r="D285" s="27" t="s">
        <v>242</v>
      </c>
      <c r="E285" s="27" t="s">
        <v>243</v>
      </c>
      <c r="F285" s="27">
        <v>4</v>
      </c>
    </row>
    <row r="286" spans="4:6" x14ac:dyDescent="0.25">
      <c r="D286" s="27" t="s">
        <v>244</v>
      </c>
      <c r="E286" s="27" t="s">
        <v>245</v>
      </c>
      <c r="F286" s="27">
        <v>3</v>
      </c>
    </row>
    <row r="287" spans="4:6" x14ac:dyDescent="0.25">
      <c r="D287" s="27" t="s">
        <v>246</v>
      </c>
      <c r="E287" s="27" t="s">
        <v>247</v>
      </c>
      <c r="F287" s="27">
        <v>2</v>
      </c>
    </row>
    <row r="288" spans="4:6" x14ac:dyDescent="0.25">
      <c r="D288" s="27" t="s">
        <v>248</v>
      </c>
      <c r="E288" s="27" t="s">
        <v>249</v>
      </c>
      <c r="F288" s="27">
        <v>1</v>
      </c>
    </row>
    <row r="291" spans="4:6" x14ac:dyDescent="0.25">
      <c r="D291" s="1" t="s">
        <v>250</v>
      </c>
    </row>
    <row r="292" spans="4:6" x14ac:dyDescent="0.25">
      <c r="D292" s="27" t="s">
        <v>215</v>
      </c>
      <c r="E292" s="27" t="s">
        <v>216</v>
      </c>
      <c r="F292" s="27" t="s">
        <v>217</v>
      </c>
    </row>
    <row r="293" spans="4:6" x14ac:dyDescent="0.25">
      <c r="D293" s="27" t="s">
        <v>251</v>
      </c>
      <c r="E293" s="27" t="s">
        <v>252</v>
      </c>
      <c r="F293" s="27">
        <v>5</v>
      </c>
    </row>
    <row r="294" spans="4:6" x14ac:dyDescent="0.25">
      <c r="D294" s="27" t="s">
        <v>253</v>
      </c>
      <c r="E294" s="27" t="s">
        <v>254</v>
      </c>
      <c r="F294" s="27">
        <v>4</v>
      </c>
    </row>
    <row r="295" spans="4:6" x14ac:dyDescent="0.25">
      <c r="D295" s="27" t="s">
        <v>255</v>
      </c>
      <c r="E295" s="27" t="s">
        <v>256</v>
      </c>
      <c r="F295" s="27">
        <v>3</v>
      </c>
    </row>
    <row r="296" spans="4:6" x14ac:dyDescent="0.25">
      <c r="D296" s="27" t="s">
        <v>257</v>
      </c>
      <c r="E296" s="27" t="s">
        <v>258</v>
      </c>
      <c r="F296" s="27">
        <v>2</v>
      </c>
    </row>
    <row r="297" spans="4:6" x14ac:dyDescent="0.25">
      <c r="D297" s="27" t="s">
        <v>259</v>
      </c>
      <c r="E297" s="27" t="s">
        <v>260</v>
      </c>
      <c r="F297" s="27">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2026-08-10T06:23:27Z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