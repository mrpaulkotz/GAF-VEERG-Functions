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20FA688-7D09-43CB-BBE6-368B9F7E4757}" xr6:coauthVersionLast="47" xr6:coauthVersionMax="47" xr10:uidLastSave="{00000000-0000-0000-0000-000000000000}"/>
  <bookViews>
    <workbookView xWindow="3120" yWindow="3120" windowWidth="28800" windowHeight="15345" firstSheet="8"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6"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22" l="1"/>
  <c r="A20" i="126"/>
  <c r="A19" i="126"/>
  <c r="A15" i="126"/>
  <c r="A14" i="126"/>
  <c r="A10" i="126"/>
  <c r="A9" i="126"/>
  <c r="A5" i="126"/>
  <c r="A4" i="126"/>
  <c r="A3" i="126"/>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A20" i="71"/>
  <c r="A19" i="71"/>
  <c r="A15" i="71"/>
  <c r="A14" i="71"/>
  <c r="A10" i="71"/>
  <c r="A9" i="71"/>
  <c r="A5" i="71"/>
  <c r="A4" i="71"/>
  <c r="A3" i="71"/>
  <c r="E259" i="126"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a="1"/>
  <c r="N236" i="126" s="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a="1"/>
  <c r="D133" i="126" s="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c r="G50" i="126" a="1"/>
  <c r="F50" i="126" a="1"/>
  <c r="F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c r="D46" i="126" a="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c r="D19" i="126" a="1"/>
  <c r="D18" i="126" a="1"/>
  <c r="D18" i="126" s="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a="1"/>
  <c r="D5" i="126"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49" i="126" l="1"/>
  <c r="H48" i="126"/>
  <c r="H50" i="126"/>
  <c r="H53" i="126"/>
  <c r="H54" i="126"/>
  <c r="H52" i="126"/>
  <c r="H51" i="126"/>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P29" i="69" s="1" a="1"/>
  <c r="P29" i="69" s="1"/>
  <c r="G29" i="69" a="1"/>
  <c r="G29" i="69" s="1"/>
  <c r="K37" i="69" a="1"/>
  <c r="K37" i="69" s="1"/>
  <c r="Q37" i="69" s="1" a="1"/>
  <c r="Q37" i="69" s="1"/>
  <c r="G37" i="69" a="1"/>
  <c r="G37" i="69" s="1"/>
  <c r="N37" i="69" s="1" a="1"/>
  <c r="N37" i="69" s="1"/>
  <c r="J32" i="69" a="1"/>
  <c r="J32" i="69" s="1"/>
  <c r="I30" i="69" a="1"/>
  <c r="I30" i="69" s="1"/>
  <c r="K29" i="69" a="1"/>
  <c r="K29" i="69" s="1"/>
  <c r="Q29" i="69" s="1" a="1"/>
  <c r="Q29" i="69" s="1"/>
  <c r="H29" i="69" a="1"/>
  <c r="H29" i="69" s="1"/>
  <c r="N29" i="69" s="1" a="1"/>
  <c r="N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O27" i="69" l="1"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l="1"/>
  <c r="E9" i="13" s="1"/>
  <c r="F9" i="13" s="1"/>
  <c r="E68" i="69"/>
  <c r="E69" i="69"/>
  <c r="E56" i="74"/>
  <c r="E55" i="74"/>
  <c r="E57"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<sst xmlns="http://schemas.openxmlformats.org/spreadsheetml/2006/main" count="362" uniqueCount="212">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</sst>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7">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1D22FD-AB47-485C-9660-FA061BEA3C2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532C364-285F-4224-A64B-CF42CF97E28F}" name="State/Territory">
      <calculatedColumnFormula array="1">Common_InputFunctions.Utility_DisplayArrayInTable(Common_SourceData.Common_SourceData_AustralianStatesTerritories_Data(),Table_AustralianStates[[#Headers],[State/Territory]],0)</calculatedColumnFormula>
    </tableColumn>
    <tableColumn id="2" xr3:uid="{E947C910-8AD0-4818-AE78-C13B17404428}" name="Common Name">
      <calculatedColumnFormula array="1">Common_InputFunctions.Utility_DisplayArrayInTable(Common_SourceData.Common_SourceData_AustralianStatesTerritories_Data(),Table_AustralianStates[[#Headers],[State/Territory]],0)</calculatedColumnFormula>
    </tableColumn>
    <tableColumn id="3" xr3:uid="{F6FA1870-0A68-44F3-86ED-F22EEB28089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57D403-A2C6-45D2-9C2C-F1438CF3E6E5}" name="Table_WASA4Areas" displayName="Table_WASA4Areas" ref="D20:D30" totalsRowShown="0">
  <autoFilter ref="D20:D30" xr:uid="{5FA81339-C6C8-4D36-BEEA-6C4AEDD9E676}">
    <filterColumn colId="0" hiddenButton="1"/>
  </autoFilter>
  <tableColumns count="1">
    <tableColumn id="1" xr3:uid="{59802F0C-E518-47FD-94F8-74D6BB2A659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AC4F3DD-F01C-4F7D-9CC2-C8F0A7E272E1}" name="Table_GWPData" displayName="Table_GWPData" ref="D36:E43" totalsRowShown="0">
  <autoFilter ref="D36:E43" xr:uid="{B8E87A66-3E41-4AD3-925D-01EE21B43D7A}">
    <filterColumn colId="0" hiddenButton="1"/>
    <filterColumn colId="1" hiddenButton="1"/>
  </autoFilter>
  <tableColumns count="2">
    <tableColumn id="1" xr3:uid="{98D2B950-61A8-4634-8F10-F7CE9D945996}" name="Gas">
      <calculatedColumnFormula array="1">Common_InputFunctions.Utility_DisplayArrayInTable(Common_SourceData.Common_SourceData_GWP_Data(), Table_GWPData[[#Headers],[Gas]], 0)</calculatedColumnFormula>
    </tableColumn>
    <tableColumn id="2" xr3:uid="{A5B85DAC-AA43-412E-9D8A-B71395DE1B2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F7CB2D6-2DA1-4FB0-B0C5-F8D8359706E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19C6C9E-458D-46C6-93DD-18CB1870EA1B}" name="Gas">
      <calculatedColumnFormula array="1">Common_InputFunctions.Utility_DisplayArrayInTable(Common_SourceData.Common_SourceData_ConvertGasElementalToMolecular_Data(),Table_GasToMolecularConversionFactor[[#Headers],[Gas]], 0)</calculatedColumnFormula>
    </tableColumn>
    <tableColumn id="5" xr3:uid="{832C0E8B-15C1-46CF-A39A-052329FAD3FD}" name="Conversion factor">
      <calculatedColumnFormula array="1">Common_InputFunctions.Utility_DisplayArrayInTable(Common_SourceData.Common_SourceData_ConvertGasElementalToMolecular_Data(),Table_GasToMolecularConversionFactor[[#Headers],[Gas]], 0)</calculatedColumnFormula>
    </tableColumn>
    <tableColumn id="2" xr3:uid="{0405FE88-C64F-45BD-8A9E-A62A13D6F2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B4F34AD-C956-49D1-A0B3-E6453656182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B22E6D4-A658-4CC0-AB65-8E8E434ADC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ECBA559-6C43-4602-8316-09BEFE30941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A9BF4FE-2A1F-4C8D-99AE-22E4FC152B5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C1D06CF-46C1-42BA-8DB8-8470D1F59267}"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377B007A-F154-47A2-841A-EF802E343929}"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D8910BD6-2FD3-4CC8-94E1-1D9F99041136}"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3E0283FD-CB23-487B-AE1E-B5DC131144E1}"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224FBD98-C351-4D9C-B48F-48C8CC4B5FE0}"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4A76F4B9-D42A-429A-A88F-D59DEE6DC641}"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E2EB9EDC-585E-47CB-984E-0DCFC41573DC}"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D9DEFFE3-3A39-4336-8CB4-51825A9E328B}"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6BB47876-ABBD-477D-8F4E-7CCAE78444D9}"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1FB818D0-4810-4C4D-A1BC-0E193B21CF0B}"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62D80BC6-D77E-4D40-AA57-55E1DAEED2AE}"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2F5A59BB-0556-466D-A82F-E7B1FBF38128}"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0D198020-B399-4D91-AD30-A56664DB73D1}"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E86B1E6D-14C3-4FDF-B95B-0A4D1811D515}"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3864ACA0-C925-4635-A904-26DC9C95850E}"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B0E0773-88CC-4C17-9FCF-2007264696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BD73402-EC65-4707-BAAB-71365988512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2C0D770-B578-4FE4-9DF7-F0D918F05A39}"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B8FF039-602B-4DF5-B678-0F52D0DE2BB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E87C66A-48DA-4703-A88E-199FCE76F75D}" name="Temperature Zone">
      <calculatedColumnFormula array="1">Common_InputFunctions.Utility_DisplayArrayInTable(Common_SourceData.Common_SourceData_TemperatureZones_Data(),Table_SourceData_TemperatureZones[[#Headers],[Temperature Zone]],0)</calculatedColumnFormula>
    </tableColumn>
    <tableColumn id="2" xr3:uid="{C126B51F-5B92-4442-A350-D7903070C0E5}" name="MAT">
      <calculatedColumnFormula array="1">Common_InputFunctions.Utility_DisplayArrayInTable(Common_SourceData.Common_SourceData_TemperatureZones_Data(),Table_SourceData_TemperatureZones[[#Headers],[Temperature Zone]],0)</calculatedColumnFormula>
    </tableColumn>
    <tableColumn id="3" xr3:uid="{F225AB90-0A33-4E04-923F-30B284EFB3A1}" name="Min MAT">
      <calculatedColumnFormula array="1">Common_InputFunctions.Utility_DisplayArrayInTable(Common_SourceData.Common_SourceData_TemperatureZones_Data(),Table_SourceData_TemperatureZones[[#Headers],[Temperature Zone]],0)</calculatedColumnFormula>
    </tableColumn>
    <tableColumn id="4" xr3:uid="{1355A322-1436-473E-8FEF-57B41D14AF2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59C94B-8575-423C-9AEB-5C51C136434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1D665D6-2741-42A3-ABC7-320BC7256BC2}" name="Rainfall Zone">
      <calculatedColumnFormula array="1">Common_InputFunctions.Utility_DisplayArrayInTable(Common_SourceData.Common_SourceData_RainfallZones_Data(),Table_SourceData_RainfallZones[[#Headers],[Rainfall Zone]],0)</calculatedColumnFormula>
    </tableColumn>
    <tableColumn id="2" xr3:uid="{2C6A3538-A0FD-4AD0-8172-00692C010137}" name="Annual rainfall">
      <calculatedColumnFormula array="1">Common_InputFunctions.Utility_DisplayArrayInTable(Common_SourceData.Common_SourceData_RainfallZones_Data(),Table_SourceData_RainfallZones[[#Headers],[Rainfall Zone]],0)</calculatedColumnFormula>
    </tableColumn>
    <tableColumn id="3" xr3:uid="{1FD9792D-F8B4-40BE-B76A-B666D4C65524}" name="Min rainfall">
      <calculatedColumnFormula array="1">Common_InputFunctions.Utility_DisplayArrayInTable(Common_SourceData.Common_SourceData_RainfallZones_Data(),Table_SourceData_RainfallZones[[#Headers],[Rainfall Zone]],0)</calculatedColumnFormula>
    </tableColumn>
    <tableColumn id="4" xr3:uid="{6B39F36E-040A-4D73-A397-0A8104EF93C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CBCCAA9-7A3E-4026-B802-929D113F6C2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6FF46B7-5940-4165-9CB2-94EEEE9A3C5C}" name="Leaching Zone">
      <calculatedColumnFormula array="1">Common_InputFunctions.Utility_DisplayArrayInTable(Common_SourceData.Common_SourceData_LeachingZones_Data(), Table_SourceData_LeachingZones[[#Headers],[Leaching Zone]], 0)</calculatedColumnFormula>
    </tableColumn>
    <tableColumn id="2" xr3:uid="{37A7485A-59F2-4752-812A-8CB3439BC9B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64E8FB9-ECEA-462B-9F31-88CFCAB5523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50160AD-4F2A-4BF1-9F3C-0099DCBF0FD5}" name="Data source">
      <calculatedColumnFormula array="1">Common_InputFunctions.Utility_DisplayArrayInTable(Common_SourceData.Common_SourceData_DataScores_Scope3_Data(), Table_SourceData_DataScores_Scope3[[#Headers],[Data source]], 0)</calculatedColumnFormula>
    </tableColumn>
    <tableColumn id="2" xr3:uid="{6C4A57C9-5D95-415D-8B9B-29340F926F6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41D71C3-B2BB-40EF-A966-C8A0AF0F5788}" name="Table_SourceData_FracWET" displayName="Table_SourceData_FracWET" ref="D134:E136" totalsRowShown="0">
  <autoFilter ref="D134:E136" xr:uid="{308E99BE-FE1F-47A4-B2CA-97217277C4E9}">
    <filterColumn colId="0" hiddenButton="1"/>
    <filterColumn colId="1" hiddenButton="1"/>
  </autoFilter>
  <tableColumns count="2">
    <tableColumn id="1" xr3:uid="{9A90214D-318B-44AC-8E56-1B449368C576}" name="Is in leaching zone">
      <calculatedColumnFormula array="1">Common_InputFunctions.Utility_DisplayArrayInTable(Common_SourceData.Common_SourceData_FracWET_Data(),Table_SourceData_FracWET[[#Headers],[Is in leaching zone]],0)</calculatedColumnFormula>
    </tableColumn>
    <tableColumn id="2" xr3:uid="{B7291420-A43D-48B1-B7E2-6BBE6CA5457D}"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649E5C7-1E59-4380-A637-3C9940F765D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8CF0840-0122-4B53-8B2A-D7D474AF434C}" name="Production system j">
      <calculatedColumnFormula array="1">Common_InputFunctions.Utility_DisplayArrayInTable(Common_SourceData.Common_SourceData_EFN2O_Data(), Table_SourceData_Common_EFN2O[[#Headers],[Production system j]], 0)</calculatedColumnFormula>
    </tableColumn>
    <tableColumn id="2" xr3:uid="{5DAFB8B5-722F-4F69-9235-CFED0D3DDC98}" name="EFN2O">
      <calculatedColumnFormula array="1">Common_InputFunctions.Utility_DisplayArrayInTable(Common_SourceData.Common_SourceData_EFN2O_Data(), Table_SourceData_Common_EFN2O[[#Headers],[Production system j]], 0)</calculatedColumnFormula>
    </tableColumn>
    <tableColumn id="3" xr3:uid="{1A6155F3-B412-447F-861D-EB6CD889903D}" name="Production system only">
      <calculatedColumnFormula array="1">Common_InputFunctions.Utility_DisplayArrayInTable(Common_SourceData.Common_SourceData_EFN2O_Data(), Table_SourceData_Common_EFN2O[[#Headers],[Production system j]], 0)</calculatedColumnFormula>
    </tableColumn>
    <tableColumn id="4" xr3:uid="{ECDB81BC-6D31-43F7-A98B-1D9893D29F15}" name="Irrigation method">
      <calculatedColumnFormula array="1">Common_InputFunctions.Utility_DisplayArrayInTable(Common_SourceData.Common_SourceData_EFN2O_Data(), Table_SourceData_Common_EFN2O[[#Headers],[Production system j]], 0)</calculatedColumnFormula>
    </tableColumn>
    <tableColumn id="5" xr3:uid="{A39B38D6-4B56-4897-9794-FFDDB8DFA6A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AD47958-A32F-49D7-8729-FAFC6575CA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4C4CD73-B771-440A-ADD4-694837C569FB}" name="Irrigation type i">
      <calculatedColumnFormula array="1">Common_InputFunctions.Utility_DisplayArrayInTable(Common_SourceData.Common_SourceData_FracWETIrrigation_Data(), Table_SourceData_FracWETIrrigation[[#Headers],[Irrigation type i]], 0)</calculatedColumnFormula>
    </tableColumn>
    <tableColumn id="2" xr3:uid="{EC73372B-3925-4549-BCD5-C1DA093D6FDA}"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061D10A-74E4-41F4-B685-A82C9F96F4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C204593-6120-4452-A926-A2FEB7450B1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1F4E27F-481E-4695-9A8E-ABA0A4FF65DF}"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8295439-3FCB-4FA8-8301-FFEA9EA8B43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8C19766-2DE4-400F-BC2F-831A70B6E86F}" name="Month">
      <calculatedColumnFormula array="1">Common_InputFunctions.Utility_DisplayArrayInTable(Common_SourceData.Common_SourceData_MonthsToSeasons_Data(), Table_SourceData_Common_MonthToSeason[[#Headers],[Month]], 0)</calculatedColumnFormula>
    </tableColumn>
    <tableColumn id="2" xr3:uid="{282980A5-BFAC-43BC-AF89-14E4D5BBDFF4}"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C065DF3-28F9-4123-8AD4-5F6B28521E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B7C79-C385-43DC-91C7-40CB1E6561E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465C42C-56F5-4F11-ADA2-59EBD9749D38}"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218116D-D2A6-4677-B2D2-242A3E81B6FD}"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FF76E66-56B8-44F1-AF26-263BA4A446B7}"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6BE72C8-71BB-4853-97B8-F833DB393C41}"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A0A228E-F34B-442E-88E2-204AEA95D824}"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DF0D056-7D30-471E-A8BE-B6C843A0E98D}"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E490FD-D96D-41CD-9C2B-783E4046BE7A}"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7797E43-E691-472A-942D-02181CF9331D}"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388B0E2-6935-4217-8D53-11BEC7427CE7}"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D79B7D-EBAB-4B00-B8B9-1FA69F34CB88}"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67F51B8-E059-44D7-8151-45A016301BD6}"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0A58CEA-9D8C-414A-8840-A846B570D5D3}"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F975EF7-7421-4CBF-97DE-89229EC7925D}"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37ADA7-5BF5-454F-991A-AA2AD530B78A}"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32F8268-4E92-466F-94C5-2835D9C0ED0B}"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E6895A-7897-45BD-B14E-29E21674A3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32D008-9CD4-4807-A26D-076448D69A0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9B2DBCB-7F1A-42F8-ACEE-A2004D3DC23F}"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34" t="e" vm="1">
        <v>#VALUE!</v>
      </c>
    </row>
    <row r="3" spans="1:1" ht="15.75" x14ac:dyDescent="0.25">
      <c r="A3" s="49" t="str">
        <f>HYPERLINK("#'Home'!A1", "Home")</f>
        <v>Home</v>
      </c>
    </row>
    <row r="4" spans="1:1" ht="15.75" x14ac:dyDescent="0.25">
      <c r="A4" s="14" t="str">
        <f>HYPERLINK("#'Overview'!A1", "Overview")</f>
        <v>Overview</v>
      </c>
    </row>
    <row r="5" spans="1:1" ht="15.75" x14ac:dyDescent="0.25">
      <c r="A5" s="14" t="str">
        <f>HYPERLINK("#'Results'!A1", "Results")</f>
        <v>Results</v>
      </c>
    </row>
    <row r="8" spans="1:1" x14ac:dyDescent="0.25">
      <c r="A8" s="16" t="s">
        <v>0</v>
      </c>
    </row>
    <row r="9" spans="1:1" ht="15.75" x14ac:dyDescent="0.25">
      <c r="A9" s="14" t="str">
        <f>HYPERLINK("#'Input - Site'!A1", "Site")</f>
        <v>Site</v>
      </c>
    </row>
    <row r="10" spans="1:1" ht="15.75" x14ac:dyDescent="0.25">
      <c r="A10" s="14" t="str">
        <f>HYPERLINK("#'Input - Fuel'!A1", "Fuel")</f>
        <v>Fuel</v>
      </c>
    </row>
    <row r="13" spans="1:1" x14ac:dyDescent="0.25">
      <c r="A13" s="15" t="s">
        <v>44</v>
      </c>
    </row>
    <row r="14" spans="1:1" ht="15.75" x14ac:dyDescent="0.25">
      <c r="A14" s="14" t="str">
        <f>HYPERLINK("#'8.1.1.1-2 Transport fuel'!A1", "8.1.1.1-2 Transport fuel")</f>
        <v>8.1.1.1-2 Transport fuel</v>
      </c>
    </row>
    <row r="15" spans="1:1" ht="15.75" x14ac:dyDescent="0.25">
      <c r="A15" s="14" t="str">
        <f>HYPERLINK("#'8.2.1.1-2 Stationary fuel'!A1", "8.2.1.1-2 Stationary fuel")</f>
        <v>8.2.1.1-2 Stationary fuel</v>
      </c>
    </row>
    <row r="18" spans="1:1" x14ac:dyDescent="0.25">
      <c r="A18" s="156" t="s">
        <v>1</v>
      </c>
    </row>
    <row r="19" spans="1:1" ht="15.75" x14ac:dyDescent="0.25">
      <c r="A19" s="14" t="str">
        <f>HYPERLINK("#'Constants - Fuel'!A1", "Constants - Fuel")</f>
        <v>Constants - Fuel</v>
      </c>
    </row>
    <row r="20" spans="1:1" ht="15.75" x14ac:dyDescent="0.25">
      <c r="A20" s="14"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60"/>
  <sheetViews>
    <sheetView showGridLines="0" zoomScaleNormal="100" workbookViewId="0">
      <selection activeCell="A20" sqref="A20"/>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f>
        <v>26.981400000000001</v>
      </c>
      <c r="F43" s="2" t="str">
        <f>$E$12</f>
        <v>t CO2-e</v>
      </c>
    </row>
    <row r="44" spans="4:17" ht="20.100000000000001" customHeight="1" x14ac:dyDescent="0.25">
      <c r="D44" s="3" t="s">
        <v>156</v>
      </c>
      <c r="E44" s="101">
        <f>SUM(O25:O32)</f>
        <v>3.8600000000000001E-3</v>
      </c>
      <c r="F44" s="2" t="str">
        <f t="shared" ref="F44:F46" si="1">$E$12</f>
        <v>t CO2-e</v>
      </c>
    </row>
    <row r="45" spans="4:17" ht="20.100000000000001" customHeight="1" x14ac:dyDescent="0.25">
      <c r="D45" s="3" t="s">
        <v>157</v>
      </c>
      <c r="E45" s="101">
        <f>SUM(P25:P32)</f>
        <v>0.193</v>
      </c>
      <c r="F45" s="2" t="str">
        <f t="shared" si="1"/>
        <v>t CO2-e</v>
      </c>
    </row>
    <row r="46" spans="4:17" ht="20.100000000000001" customHeight="1" x14ac:dyDescent="0.25">
      <c r="D46" s="3" t="s">
        <v>180</v>
      </c>
      <c r="E46" s="101">
        <f>SUM(Q25:Q32)</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f>
        <v>0.1158</v>
      </c>
      <c r="F50" s="2" t="str">
        <f t="shared" si="2"/>
        <v>t CO2-e</v>
      </c>
      <c r="H50" s="50"/>
      <c r="I50" s="50"/>
      <c r="J50" s="50"/>
      <c r="L50" s="50"/>
      <c r="M50" s="50"/>
      <c r="N50" s="50"/>
      <c r="O50" s="50"/>
      <c r="P50" s="50"/>
      <c r="Q50" s="50"/>
    </row>
    <row r="51" spans="4:17" ht="20.100000000000001" customHeight="1" x14ac:dyDescent="0.25">
      <c r="D51" s="3" t="s">
        <v>157</v>
      </c>
      <c r="E51" s="101">
        <f>SUM(P33:P33)</f>
        <v>0.193</v>
      </c>
      <c r="F51" s="2" t="str">
        <f t="shared" si="2"/>
        <v>t CO2-e</v>
      </c>
      <c r="H51" s="50"/>
      <c r="I51" s="50"/>
      <c r="J51" s="50"/>
      <c r="L51" s="50"/>
      <c r="M51" s="50"/>
      <c r="N51" s="50"/>
      <c r="O51" s="50"/>
      <c r="P51" s="50"/>
      <c r="Q51" s="50"/>
    </row>
    <row r="52" spans="4:17" ht="20.100000000000001" customHeight="1" x14ac:dyDescent="0.25">
      <c r="D52" s="3" t="s">
        <v>180</v>
      </c>
      <c r="E52" s="101">
        <f>SUM(Q33)</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f>
        <v>0</v>
      </c>
      <c r="F56" s="2" t="str">
        <f t="shared" si="3"/>
        <v>t CO2-e</v>
      </c>
      <c r="G56" s="50"/>
      <c r="H56" s="50"/>
      <c r="I56" s="50"/>
      <c r="J56" s="50"/>
      <c r="L56" s="50"/>
      <c r="M56" s="50"/>
      <c r="N56" s="50"/>
      <c r="O56" s="50"/>
      <c r="P56" s="50"/>
      <c r="Q56" s="50"/>
    </row>
    <row r="57" spans="4:17" ht="20.100000000000001" customHeight="1" x14ac:dyDescent="0.25">
      <c r="D57" s="3" t="s">
        <v>157</v>
      </c>
      <c r="E57" s="101">
        <f>SUM(P34:P36)</f>
        <v>0</v>
      </c>
      <c r="F57" s="2" t="str">
        <f t="shared" si="3"/>
        <v>t CO2-e</v>
      </c>
      <c r="G57" s="50"/>
      <c r="H57" s="50"/>
      <c r="I57" s="50"/>
      <c r="J57" s="50"/>
      <c r="L57" s="50"/>
      <c r="M57" s="50"/>
      <c r="N57" s="50"/>
      <c r="O57" s="50"/>
      <c r="P57" s="50"/>
      <c r="Q57" s="50"/>
    </row>
    <row r="58" spans="4:17" ht="20.100000000000001" customHeight="1" x14ac:dyDescent="0.25">
      <c r="D58" s="3" t="s">
        <v>180</v>
      </c>
      <c r="E58" s="101">
        <f>SUM(Q34:Q36)</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3"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f>
        <v>0</v>
      </c>
      <c r="F43" s="2" t="str">
        <f>$E$12</f>
        <v>t CO2-e</v>
      </c>
    </row>
    <row r="44" spans="4:17" ht="20.100000000000001" customHeight="1" x14ac:dyDescent="0.25">
      <c r="D44" s="3" t="s">
        <v>156</v>
      </c>
      <c r="E44" s="101">
        <f>SUM(O25:O31)</f>
        <v>0</v>
      </c>
      <c r="F44" s="2" t="str">
        <f t="shared" ref="F44:F46" si="2">$E$12</f>
        <v>t CO2-e</v>
      </c>
    </row>
    <row r="45" spans="4:17" ht="20.100000000000001" customHeight="1" x14ac:dyDescent="0.25">
      <c r="D45" s="3" t="s">
        <v>157</v>
      </c>
      <c r="E45" s="101">
        <f>SUM(P25:P31)</f>
        <v>0</v>
      </c>
      <c r="F45" s="2" t="str">
        <f t="shared" si="2"/>
        <v>t CO2-e</v>
      </c>
    </row>
    <row r="46" spans="4:17" ht="20.100000000000001" customHeight="1" x14ac:dyDescent="0.25">
      <c r="D46" s="3" t="s">
        <v>180</v>
      </c>
      <c r="E46" s="101">
        <f>SUM(Q25:Q31)</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f>
        <v>7.2400000000000006E-2</v>
      </c>
      <c r="F50" s="2" t="str">
        <f t="shared" si="3"/>
        <v>t CO2-e</v>
      </c>
      <c r="H50" s="50"/>
      <c r="I50" s="50"/>
      <c r="J50" s="50"/>
      <c r="L50" s="50"/>
      <c r="N50" s="50"/>
      <c r="O50" s="50"/>
      <c r="P50" s="50"/>
      <c r="Q50" s="50"/>
    </row>
    <row r="51" spans="4:17" ht="20.100000000000001" customHeight="1" x14ac:dyDescent="0.25">
      <c r="D51" s="3" t="s">
        <v>157</v>
      </c>
      <c r="E51" s="101">
        <f>SUM(P32:P40)</f>
        <v>7.1400000000000005E-2</v>
      </c>
      <c r="F51" s="2" t="str">
        <f t="shared" si="3"/>
        <v>t CO2-e</v>
      </c>
      <c r="H51" s="50"/>
      <c r="I51" s="50"/>
      <c r="J51" s="50"/>
      <c r="L51" s="50"/>
      <c r="N51" s="50"/>
      <c r="O51" s="50"/>
      <c r="P51" s="50"/>
      <c r="Q51" s="50"/>
    </row>
    <row r="52" spans="4:17" ht="20.100000000000001" customHeight="1" x14ac:dyDescent="0.25">
      <c r="D52" s="3" t="s">
        <v>180</v>
      </c>
      <c r="E52" s="101">
        <f>SUM(Q32:Q40)</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8A6B2-E4B3-4752-9168-42AEFE81D059}">
  <dimension ref="A1:BY259"/>
  <sheetViews>
    <sheetView showGridLines="0" tabSelected="1" topLeftCell="A86"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34"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s="14" t="str">
        <f>HYPERLINK("#'Overview'!A1", "Overview")</f>
        <v>Overview</v>
      </c>
      <c r="BM4" s="3"/>
    </row>
    <row r="5" spans="1:65" ht="20.100000000000001" customHeight="1" x14ac:dyDescent="0.25">
      <c r="A5" s="14"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27" t="s">
        <v>5</v>
      </c>
      <c r="E6" s="27" t="s">
        <v>6</v>
      </c>
      <c r="F6" s="27" t="s">
        <v>7</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6" t="s">
        <v>0</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s="14" t="str">
        <f>HYPERLINK("#'Input - Site'!A1", "Site")</f>
        <v>Site</v>
      </c>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s="14" t="str">
        <f>HYPERLINK("#'Input - Fuel'!A1", "Fuel")</f>
        <v>Fuel</v>
      </c>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5" t="s">
        <v>44</v>
      </c>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s="14" t="str">
        <f>HYPERLINK("#'8.1.1.1-2 Transport fuel'!A1", "8.1.1.1-2 Transport fuel")</f>
        <v>8.1.1.1-2 Transport fuel</v>
      </c>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s="14" t="str">
        <f>HYPERLINK("#'8.2.1.1-2 Stationary fuel'!A1", "8.2.1.1-2 Stationary fuel")</f>
        <v>8.2.1.1-2 Stationary fuel</v>
      </c>
    </row>
    <row r="16" spans="1:65" ht="20.100000000000001" customHeight="1" x14ac:dyDescent="0.25">
      <c r="A16"/>
    </row>
    <row r="17" spans="1:4" ht="20.100000000000001" customHeight="1" x14ac:dyDescent="0.25">
      <c r="A17"/>
    </row>
    <row r="18" spans="1:4" ht="20.100000000000001" customHeight="1" x14ac:dyDescent="0.25">
      <c r="A18" s="156" t="s">
        <v>1</v>
      </c>
      <c r="D18" s="6" t="str" cm="1">
        <f t="array" ref="D18">Common_SourceData.Common_SourceData_WASA4Areas_Title()</f>
        <v>ABS Statistcal Areas Level 4 - Western Australia</v>
      </c>
    </row>
    <row r="19" spans="1:4" ht="20.100000000000001" customHeight="1" x14ac:dyDescent="0.25">
      <c r="A19" s="14" t="str">
        <f>HYPERLINK("#'Constants - Fuel'!A1", "Constants - Fuel")</f>
        <v>Constants - Fuel</v>
      </c>
      <c r="D19" s="5" t="str" cm="1">
        <f t="array" ref="D19">Common_SourceData.Common_SourceData_WASA4Areas_Source()</f>
        <v>Australian Bureau of Statistics (ABS) - Statistical Areas Level 2 - 2021 - Shapefile</v>
      </c>
    </row>
    <row r="20" spans="1:4" ht="20.100000000000001" customHeight="1" x14ac:dyDescent="0.25">
      <c r="A20" s="68" t="str">
        <f>HYPERLINK("#'Constants - Common'!A1", "Constants - Common")</f>
        <v>Constants - Common</v>
      </c>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2026-07-31T06:34:22Z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