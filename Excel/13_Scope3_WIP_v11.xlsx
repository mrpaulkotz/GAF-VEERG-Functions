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F8798C5-9255-40F2-AF14-58B4DA263E88}" xr6:coauthVersionLast="47" xr6:coauthVersionMax="47" xr10:uidLastSave="{00000000-0000-0000-0000-000000000000}"/>
  <bookViews>
    <workbookView xWindow="1560" yWindow="1560" windowWidth="21600" windowHeight="12645" firstSheet="24" activeTab="24"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5"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22" l="1"/>
  <c r="D8" i="22"/>
  <c r="G9" i="23"/>
  <c r="G8" i="23"/>
  <c r="J14" i="34"/>
  <c r="I68" i="34"/>
  <c r="I49" i="34"/>
  <c r="E30" i="10"/>
  <c r="E33" i="10"/>
  <c r="E32" i="10"/>
  <c r="E31" i="10"/>
  <c r="J88" i="34"/>
  <c r="I50" i="34"/>
  <c r="J15" i="34"/>
  <c r="G574" i="19"/>
  <c r="E259" i="45" a="1"/>
  <c r="E259" i="45" s="1"/>
  <c r="D259" i="45" a="1"/>
  <c r="D259" i="45" s="1"/>
  <c r="E258" i="45" a="1"/>
  <c r="E258" i="45" s="1"/>
  <c r="D258" i="45" a="1"/>
  <c r="D258" i="45" s="1"/>
  <c r="D256" i="45" a="1"/>
  <c r="D256" i="45" s="1"/>
  <c r="D255" i="45" a="1"/>
  <c r="D255" i="45" s="1"/>
  <c r="D254" i="45" a="1"/>
  <c r="D254" i="45" s="1"/>
  <c r="D253" i="45" a="1"/>
  <c r="D253" i="45" s="1"/>
  <c r="S250" i="45" a="1"/>
  <c r="S250" i="45" s="1"/>
  <c r="R250" i="45" a="1"/>
  <c r="R250" i="45" s="1"/>
  <c r="Q250" i="45" a="1"/>
  <c r="Q250" i="45" s="1"/>
  <c r="P250" i="45" a="1"/>
  <c r="P250" i="45" s="1"/>
  <c r="O250" i="45" a="1"/>
  <c r="O250" i="45" s="1"/>
  <c r="N250" i="45" a="1"/>
  <c r="N250" i="45" s="1"/>
  <c r="M250" i="45" a="1"/>
  <c r="M250" i="45" s="1"/>
  <c r="L250" i="45" a="1"/>
  <c r="L250" i="45" s="1"/>
  <c r="K250" i="45" a="1"/>
  <c r="K250" i="45" s="1"/>
  <c r="J250" i="45" a="1"/>
  <c r="J250" i="45" s="1"/>
  <c r="I250" i="45" a="1"/>
  <c r="I250" i="45" s="1"/>
  <c r="H250" i="45" a="1"/>
  <c r="H250" i="45" s="1"/>
  <c r="G250" i="45" a="1"/>
  <c r="G250" i="45" s="1"/>
  <c r="F250" i="45" a="1"/>
  <c r="F250" i="45" s="1"/>
  <c r="E250" i="45" a="1"/>
  <c r="E250" i="45" s="1"/>
  <c r="D250" i="45" a="1"/>
  <c r="D250" i="45" s="1"/>
  <c r="S249" i="45" a="1"/>
  <c r="S249" i="45" s="1"/>
  <c r="R249" i="45" a="1"/>
  <c r="R249" i="45" s="1"/>
  <c r="Q249" i="45" a="1"/>
  <c r="Q249" i="45" s="1"/>
  <c r="P249" i="45" a="1"/>
  <c r="P249" i="45" s="1"/>
  <c r="O249" i="45" a="1"/>
  <c r="O249" i="45" s="1"/>
  <c r="N249" i="45" a="1"/>
  <c r="N249" i="45" s="1"/>
  <c r="M249" i="45" a="1"/>
  <c r="M249" i="45" s="1"/>
  <c r="L249" i="45" a="1"/>
  <c r="L249" i="45" s="1"/>
  <c r="K249" i="45" a="1"/>
  <c r="K249" i="45" s="1"/>
  <c r="J249" i="45" a="1"/>
  <c r="J249" i="45" s="1"/>
  <c r="I249" i="45" a="1"/>
  <c r="I249" i="45" s="1"/>
  <c r="H249" i="45" a="1"/>
  <c r="H249" i="45" s="1"/>
  <c r="G249" i="45" a="1"/>
  <c r="G249" i="45" s="1"/>
  <c r="F249" i="45" a="1"/>
  <c r="F249" i="45" s="1"/>
  <c r="E249" i="45" a="1"/>
  <c r="E249" i="45" s="1"/>
  <c r="D249" i="45" a="1"/>
  <c r="D249" i="45" s="1"/>
  <c r="S248" i="45" a="1"/>
  <c r="S248" i="45" s="1"/>
  <c r="R248" i="45" a="1"/>
  <c r="R248" i="45" s="1"/>
  <c r="Q248" i="45" a="1"/>
  <c r="Q248" i="45" s="1"/>
  <c r="P248" i="45" a="1"/>
  <c r="P248" i="45" s="1"/>
  <c r="O248" i="45" a="1"/>
  <c r="O248" i="45" s="1"/>
  <c r="N248" i="45" a="1"/>
  <c r="N248" i="45" s="1"/>
  <c r="M248" i="45" a="1"/>
  <c r="M248" i="45" s="1"/>
  <c r="L248" i="45" a="1"/>
  <c r="L248" i="45" s="1"/>
  <c r="K248" i="45" a="1"/>
  <c r="K248" i="45" s="1"/>
  <c r="J248" i="45" a="1"/>
  <c r="J248" i="45" s="1"/>
  <c r="I248" i="45" a="1"/>
  <c r="I248" i="45" s="1"/>
  <c r="H248" i="45" a="1"/>
  <c r="H248" i="45" s="1"/>
  <c r="G248" i="45" a="1"/>
  <c r="G248" i="45" s="1"/>
  <c r="F248" i="45" a="1"/>
  <c r="F248" i="45" s="1"/>
  <c r="E248" i="45" a="1"/>
  <c r="E248" i="45" s="1"/>
  <c r="D248" i="45" a="1"/>
  <c r="D248" i="45" s="1"/>
  <c r="S247" i="45" a="1"/>
  <c r="S247" i="45" s="1"/>
  <c r="R247" i="45" a="1"/>
  <c r="R247" i="45" s="1"/>
  <c r="Q247" i="45" a="1"/>
  <c r="Q247" i="45" s="1"/>
  <c r="P247" i="45" a="1"/>
  <c r="P247" i="45" s="1"/>
  <c r="O247" i="45" a="1"/>
  <c r="O247" i="45" s="1"/>
  <c r="N247" i="45" a="1"/>
  <c r="N247" i="45" s="1"/>
  <c r="M247" i="45" a="1"/>
  <c r="M247" i="45" s="1"/>
  <c r="L247" i="45" a="1"/>
  <c r="L247" i="45" s="1"/>
  <c r="K247" i="45" a="1"/>
  <c r="K247" i="45" s="1"/>
  <c r="J247" i="45" a="1"/>
  <c r="J247" i="45" s="1"/>
  <c r="I247" i="45" a="1"/>
  <c r="I247" i="45" s="1"/>
  <c r="H247" i="45" a="1"/>
  <c r="H247" i="45" s="1"/>
  <c r="G247" i="45" a="1"/>
  <c r="G247" i="45" s="1"/>
  <c r="F247" i="45" a="1"/>
  <c r="F247" i="45" s="1"/>
  <c r="E247" i="45" a="1"/>
  <c r="E247" i="45" s="1"/>
  <c r="D247" i="45" a="1"/>
  <c r="D247" i="45" s="1"/>
  <c r="S246" i="45" a="1"/>
  <c r="S246" i="45" s="1"/>
  <c r="R246" i="45" a="1"/>
  <c r="R246" i="45" s="1"/>
  <c r="Q246" i="45" a="1"/>
  <c r="Q246" i="45" s="1"/>
  <c r="P246" i="45" a="1"/>
  <c r="P246" i="45" s="1"/>
  <c r="O246" i="45" a="1"/>
  <c r="O246" i="45" s="1"/>
  <c r="N246" i="45" a="1"/>
  <c r="N246" i="45" s="1"/>
  <c r="M246" i="45" a="1"/>
  <c r="M246" i="45" s="1"/>
  <c r="L246" i="45" a="1"/>
  <c r="L246" i="45" s="1"/>
  <c r="K246" i="45" a="1"/>
  <c r="K246" i="45" s="1"/>
  <c r="J246" i="45" a="1"/>
  <c r="J246" i="45" s="1"/>
  <c r="I246" i="45" a="1"/>
  <c r="I246" i="45" s="1"/>
  <c r="H246" i="45" a="1"/>
  <c r="H246" i="45" s="1"/>
  <c r="G246" i="45" a="1"/>
  <c r="G246" i="45" s="1"/>
  <c r="F246" i="45" a="1"/>
  <c r="F246" i="45" s="1"/>
  <c r="E246" i="45" a="1"/>
  <c r="E246" i="45" s="1"/>
  <c r="D246" i="45" a="1"/>
  <c r="D246" i="45" s="1"/>
  <c r="S245" i="45" a="1"/>
  <c r="S245" i="45" s="1"/>
  <c r="R245" i="45" a="1"/>
  <c r="R245" i="45" s="1"/>
  <c r="Q245" i="45" a="1"/>
  <c r="Q245" i="45" s="1"/>
  <c r="P245" i="45" a="1"/>
  <c r="P245" i="45" s="1"/>
  <c r="O245" i="45" a="1"/>
  <c r="O245" i="45" s="1"/>
  <c r="N245" i="45" a="1"/>
  <c r="N245" i="45" s="1"/>
  <c r="M245" i="45" a="1"/>
  <c r="M245" i="45" s="1"/>
  <c r="L245" i="45" a="1"/>
  <c r="L245" i="45" s="1"/>
  <c r="K245" i="45" a="1"/>
  <c r="K245" i="45" s="1"/>
  <c r="J245" i="45" a="1"/>
  <c r="J245" i="45" s="1"/>
  <c r="I245" i="45" a="1"/>
  <c r="I245" i="45" s="1"/>
  <c r="H245" i="45" a="1"/>
  <c r="H245" i="45" s="1"/>
  <c r="G245" i="45" a="1"/>
  <c r="G245" i="45" s="1"/>
  <c r="F245" i="45" a="1"/>
  <c r="F245" i="45" s="1"/>
  <c r="E245" i="45" a="1"/>
  <c r="E245" i="45" s="1"/>
  <c r="D245" i="45" a="1"/>
  <c r="D245" i="45" s="1"/>
  <c r="S244" i="45" a="1"/>
  <c r="S244" i="45" s="1"/>
  <c r="R244" i="45" a="1"/>
  <c r="R244" i="45" s="1"/>
  <c r="Q244" i="45" a="1"/>
  <c r="Q244" i="45" s="1"/>
  <c r="P244" i="45" a="1"/>
  <c r="P244" i="45" s="1"/>
  <c r="O244" i="45" a="1"/>
  <c r="O244" i="45" s="1"/>
  <c r="N244" i="45" a="1"/>
  <c r="N244" i="45" s="1"/>
  <c r="M244" i="45" a="1"/>
  <c r="M244" i="45" s="1"/>
  <c r="L244" i="45" a="1"/>
  <c r="L244" i="45" s="1"/>
  <c r="K244" i="45" a="1"/>
  <c r="K244" i="45" s="1"/>
  <c r="J244" i="45" a="1"/>
  <c r="J244" i="45" s="1"/>
  <c r="I244" i="45" a="1"/>
  <c r="I244" i="45" s="1"/>
  <c r="H244" i="45" a="1"/>
  <c r="H244" i="45" s="1"/>
  <c r="G244" i="45" a="1"/>
  <c r="G244" i="45" s="1"/>
  <c r="F244" i="45" a="1"/>
  <c r="F244" i="45" s="1"/>
  <c r="E244" i="45" a="1"/>
  <c r="E244" i="45" s="1"/>
  <c r="D244" i="45" a="1"/>
  <c r="D244" i="45" s="1"/>
  <c r="S243" i="45" a="1"/>
  <c r="S243" i="45" s="1"/>
  <c r="R243" i="45" a="1"/>
  <c r="R243" i="45" s="1"/>
  <c r="Q243" i="45" a="1"/>
  <c r="Q243" i="45" s="1"/>
  <c r="P243" i="45" a="1"/>
  <c r="P243" i="45" s="1"/>
  <c r="O243" i="45" a="1"/>
  <c r="O243" i="45" s="1"/>
  <c r="N243" i="45" a="1"/>
  <c r="N243" i="45" s="1"/>
  <c r="M243" i="45" a="1"/>
  <c r="M243" i="45" s="1"/>
  <c r="L243" i="45" a="1"/>
  <c r="L243" i="45" s="1"/>
  <c r="K243" i="45" a="1"/>
  <c r="K243" i="45" s="1"/>
  <c r="J243" i="45" a="1"/>
  <c r="J243" i="45" s="1"/>
  <c r="I243" i="45" a="1"/>
  <c r="I243" i="45" s="1"/>
  <c r="H243" i="45" a="1"/>
  <c r="H243" i="45" s="1"/>
  <c r="G243" i="45" a="1"/>
  <c r="G243" i="45" s="1"/>
  <c r="F243" i="45" a="1"/>
  <c r="F243" i="45" s="1"/>
  <c r="E243" i="45" a="1"/>
  <c r="E243" i="45" s="1"/>
  <c r="D243" i="45" a="1"/>
  <c r="D243" i="45" s="1"/>
  <c r="S242" i="45" a="1"/>
  <c r="S242" i="45" s="1"/>
  <c r="R242" i="45" a="1"/>
  <c r="R242" i="45" s="1"/>
  <c r="Q242" i="45" a="1"/>
  <c r="Q242" i="45" s="1"/>
  <c r="P242" i="45" a="1"/>
  <c r="P242" i="45" s="1"/>
  <c r="O242" i="45" a="1"/>
  <c r="O242" i="45" s="1"/>
  <c r="N242" i="45" a="1"/>
  <c r="N242" i="45" s="1"/>
  <c r="M242" i="45" a="1"/>
  <c r="M242" i="45" s="1"/>
  <c r="L242" i="45" a="1"/>
  <c r="L242" i="45" s="1"/>
  <c r="K242" i="45" a="1"/>
  <c r="K242" i="45" s="1"/>
  <c r="J242" i="45" a="1"/>
  <c r="J242" i="45" s="1"/>
  <c r="I242" i="45" a="1"/>
  <c r="I242" i="45" s="1"/>
  <c r="H242" i="45" a="1"/>
  <c r="H242" i="45" s="1"/>
  <c r="G242" i="45" a="1"/>
  <c r="G242" i="45" s="1"/>
  <c r="F242" i="45" a="1"/>
  <c r="F242" i="45" s="1"/>
  <c r="E242" i="45" a="1"/>
  <c r="E242" i="45" s="1"/>
  <c r="D242" i="45" a="1"/>
  <c r="D242" i="45" s="1"/>
  <c r="S241" i="45" a="1"/>
  <c r="S241" i="45" s="1"/>
  <c r="R241" i="45" a="1"/>
  <c r="R241" i="45" s="1"/>
  <c r="Q241" i="45" a="1"/>
  <c r="Q241" i="45" s="1"/>
  <c r="P241" i="45" a="1"/>
  <c r="P241" i="45" s="1"/>
  <c r="O241" i="45" a="1"/>
  <c r="O241" i="45" s="1"/>
  <c r="N241" i="45" a="1"/>
  <c r="N241" i="45" s="1"/>
  <c r="M241" i="45" a="1"/>
  <c r="M241" i="45" s="1"/>
  <c r="L241" i="45" a="1"/>
  <c r="L241" i="45" s="1"/>
  <c r="K241" i="45" a="1"/>
  <c r="K241" i="45" s="1"/>
  <c r="J241" i="45" a="1"/>
  <c r="J241" i="45" s="1"/>
  <c r="I241" i="45" a="1"/>
  <c r="I241" i="45" s="1"/>
  <c r="H241" i="45" a="1"/>
  <c r="H241" i="45" s="1"/>
  <c r="G241" i="45" a="1"/>
  <c r="G241" i="45" s="1"/>
  <c r="F241" i="45" a="1"/>
  <c r="F241" i="45" s="1"/>
  <c r="E241" i="45" a="1"/>
  <c r="E241" i="45" s="1"/>
  <c r="D241" i="45" a="1"/>
  <c r="D241" i="45" s="1"/>
  <c r="S240" i="45" a="1"/>
  <c r="S240" i="45" s="1"/>
  <c r="R240" i="45" a="1"/>
  <c r="R240" i="45" s="1"/>
  <c r="Q240" i="45" a="1"/>
  <c r="Q240" i="45" s="1"/>
  <c r="P240" i="45" a="1"/>
  <c r="P240" i="45" s="1"/>
  <c r="O240" i="45" a="1"/>
  <c r="O240" i="45" s="1"/>
  <c r="N240" i="45" a="1"/>
  <c r="N240" i="45" s="1"/>
  <c r="M240" i="45" a="1"/>
  <c r="M240" i="45" s="1"/>
  <c r="L240" i="45" a="1"/>
  <c r="L240" i="45" s="1"/>
  <c r="K240" i="45" a="1"/>
  <c r="K240" i="45" s="1"/>
  <c r="J240" i="45" a="1"/>
  <c r="J240" i="45" s="1"/>
  <c r="I240" i="45" a="1"/>
  <c r="I240" i="45" s="1"/>
  <c r="H240" i="45" a="1"/>
  <c r="H240" i="45" s="1"/>
  <c r="G240" i="45" a="1"/>
  <c r="G240" i="45" s="1"/>
  <c r="F240" i="45" a="1"/>
  <c r="F240" i="45" s="1"/>
  <c r="E240" i="45" a="1"/>
  <c r="E240" i="45" s="1"/>
  <c r="D240" i="45" a="1"/>
  <c r="D240" i="45" s="1"/>
  <c r="S239" i="45" a="1"/>
  <c r="S239" i="45" s="1"/>
  <c r="R239" i="45" a="1"/>
  <c r="R239" i="45" s="1"/>
  <c r="Q239" i="45" a="1"/>
  <c r="Q239" i="45" s="1"/>
  <c r="P239" i="45" a="1"/>
  <c r="P239" i="45" s="1"/>
  <c r="O239" i="45" a="1"/>
  <c r="O239" i="45" s="1"/>
  <c r="N239" i="45" a="1"/>
  <c r="N239" i="45" s="1"/>
  <c r="M239" i="45" a="1"/>
  <c r="M239" i="45" s="1"/>
  <c r="L239" i="45" a="1"/>
  <c r="L239" i="45" s="1"/>
  <c r="K239" i="45" a="1"/>
  <c r="K239" i="45" s="1"/>
  <c r="J239" i="45" a="1"/>
  <c r="J239" i="45" s="1"/>
  <c r="I239" i="45" a="1"/>
  <c r="I239" i="45" s="1"/>
  <c r="H239" i="45" a="1"/>
  <c r="H239" i="45" s="1"/>
  <c r="G239" i="45" a="1"/>
  <c r="G239" i="45" s="1"/>
  <c r="F239" i="45" a="1"/>
  <c r="F239" i="45" s="1"/>
  <c r="E239" i="45" a="1"/>
  <c r="E239" i="45" s="1"/>
  <c r="D239" i="45" a="1"/>
  <c r="D239" i="45" s="1"/>
  <c r="S238" i="45" a="1"/>
  <c r="S238" i="45" s="1"/>
  <c r="R238" i="45" a="1"/>
  <c r="R238" i="45" s="1"/>
  <c r="Q238" i="45" a="1"/>
  <c r="Q238" i="45" s="1"/>
  <c r="P238" i="45" a="1"/>
  <c r="P238" i="45" s="1"/>
  <c r="O238" i="45" a="1"/>
  <c r="O238" i="45" s="1"/>
  <c r="N238" i="45" a="1"/>
  <c r="N238" i="45" s="1"/>
  <c r="M238" i="45" a="1"/>
  <c r="M238" i="45" s="1"/>
  <c r="L238" i="45" a="1"/>
  <c r="L238" i="45" s="1"/>
  <c r="K238" i="45" a="1"/>
  <c r="K238" i="45" s="1"/>
  <c r="J238" i="45" a="1"/>
  <c r="J238" i="45" s="1"/>
  <c r="I238" i="45" a="1"/>
  <c r="I238" i="45" s="1"/>
  <c r="H238" i="45" a="1"/>
  <c r="H238" i="45" s="1"/>
  <c r="G238" i="45" a="1"/>
  <c r="G238" i="45" s="1"/>
  <c r="F238" i="45" a="1"/>
  <c r="F238" i="45" s="1"/>
  <c r="E238" i="45" a="1"/>
  <c r="E238" i="45" s="1"/>
  <c r="D238" i="45" a="1"/>
  <c r="D238" i="45" s="1"/>
  <c r="S237" i="45" a="1"/>
  <c r="S237" i="45" s="1"/>
  <c r="R237" i="45" a="1"/>
  <c r="R237" i="45" s="1"/>
  <c r="Q237" i="45" a="1"/>
  <c r="Q237" i="45" s="1"/>
  <c r="P237" i="45" a="1"/>
  <c r="P237" i="45" s="1"/>
  <c r="O237" i="45" a="1"/>
  <c r="O237" i="45" s="1"/>
  <c r="N237" i="45" a="1"/>
  <c r="N237" i="45" s="1"/>
  <c r="M237" i="45" a="1"/>
  <c r="M237" i="45" s="1"/>
  <c r="L237" i="45" a="1"/>
  <c r="L237" i="45" s="1"/>
  <c r="K237" i="45" a="1"/>
  <c r="K237" i="45" s="1"/>
  <c r="J237" i="45" a="1"/>
  <c r="J237" i="45" s="1"/>
  <c r="I237" i="45" a="1"/>
  <c r="I237" i="45" s="1"/>
  <c r="H237" i="45" a="1"/>
  <c r="H237" i="45" s="1"/>
  <c r="G237" i="45" a="1"/>
  <c r="G237" i="45" s="1"/>
  <c r="F237" i="45" a="1"/>
  <c r="F237" i="45" s="1"/>
  <c r="E237" i="45" a="1"/>
  <c r="E237" i="45" s="1"/>
  <c r="D237" i="45" a="1"/>
  <c r="D237" i="45" s="1"/>
  <c r="S236" i="45" a="1"/>
  <c r="S236" i="45" s="1"/>
  <c r="R236" i="45" a="1"/>
  <c r="R236" i="45" s="1"/>
  <c r="Q236" i="45" a="1"/>
  <c r="Q236" i="45" s="1"/>
  <c r="P236" i="45" a="1"/>
  <c r="P236" i="45" s="1"/>
  <c r="O236" i="45" a="1"/>
  <c r="O236" i="45" s="1"/>
  <c r="N236" i="45" a="1"/>
  <c r="N236" i="45" s="1"/>
  <c r="M236" i="45" a="1"/>
  <c r="M236" i="45" s="1"/>
  <c r="L236" i="45" a="1"/>
  <c r="L236" i="45" s="1"/>
  <c r="K236" i="45" a="1"/>
  <c r="K236" i="45" s="1"/>
  <c r="J236" i="45" a="1"/>
  <c r="J236" i="45" s="1"/>
  <c r="I236" i="45" a="1"/>
  <c r="I236" i="45" s="1"/>
  <c r="H236" i="45" a="1"/>
  <c r="H236" i="45" s="1"/>
  <c r="G236" i="45" a="1"/>
  <c r="G236" i="45" s="1"/>
  <c r="F236" i="45" a="1"/>
  <c r="F236" i="45" s="1"/>
  <c r="E236" i="45" a="1"/>
  <c r="E236" i="45" s="1"/>
  <c r="D236" i="45" a="1"/>
  <c r="D236" i="45" s="1"/>
  <c r="S235" i="45" a="1"/>
  <c r="S235" i="45" s="1"/>
  <c r="R235" i="45" a="1"/>
  <c r="R235" i="45" s="1"/>
  <c r="Q235" i="45" a="1"/>
  <c r="Q235" i="45" s="1"/>
  <c r="P235" i="45" a="1"/>
  <c r="P235" i="45" s="1"/>
  <c r="O235" i="45" a="1"/>
  <c r="O235" i="45" s="1"/>
  <c r="N235" i="45" a="1"/>
  <c r="N235" i="45" s="1"/>
  <c r="M235" i="45" a="1"/>
  <c r="M235" i="45" s="1"/>
  <c r="L235" i="45" a="1"/>
  <c r="L235" i="45" s="1"/>
  <c r="K235" i="45" a="1"/>
  <c r="K235" i="45" s="1"/>
  <c r="J235" i="45" a="1"/>
  <c r="J235" i="45" s="1"/>
  <c r="I235" i="45" a="1"/>
  <c r="I235" i="45" s="1"/>
  <c r="H235" i="45" a="1"/>
  <c r="H235" i="45" s="1"/>
  <c r="G235" i="45" a="1"/>
  <c r="G235" i="45" s="1"/>
  <c r="F235" i="45" a="1"/>
  <c r="F235" i="45" s="1"/>
  <c r="E235" i="45" a="1"/>
  <c r="E235" i="45" s="1"/>
  <c r="D235" i="45" a="1"/>
  <c r="D235" i="45" s="1"/>
  <c r="S234" i="45" a="1"/>
  <c r="S234" i="45" s="1"/>
  <c r="R234" i="45" a="1"/>
  <c r="R234" i="45" s="1"/>
  <c r="Q234" i="45" a="1"/>
  <c r="Q234" i="45" s="1"/>
  <c r="P234" i="45" a="1"/>
  <c r="P234" i="45" s="1"/>
  <c r="O234" i="45" a="1"/>
  <c r="O234" i="45" s="1"/>
  <c r="N234" i="45" a="1"/>
  <c r="N234" i="45" s="1"/>
  <c r="M234" i="45" a="1"/>
  <c r="M234" i="45" s="1"/>
  <c r="L234" i="45" a="1"/>
  <c r="L234" i="45" s="1"/>
  <c r="K234" i="45" a="1"/>
  <c r="K234" i="45" s="1"/>
  <c r="J234" i="45" a="1"/>
  <c r="J234" i="45" s="1"/>
  <c r="I234" i="45" a="1"/>
  <c r="I234" i="45" s="1"/>
  <c r="H234" i="45" a="1"/>
  <c r="H234" i="45" s="1"/>
  <c r="G234" i="45" a="1"/>
  <c r="G234" i="45" s="1"/>
  <c r="F234" i="45" a="1"/>
  <c r="F234" i="45" s="1"/>
  <c r="E234" i="45" a="1"/>
  <c r="E234" i="45" s="1"/>
  <c r="D234" i="45" a="1"/>
  <c r="D234" i="45" s="1"/>
  <c r="S233" i="45" a="1"/>
  <c r="S233" i="45" s="1"/>
  <c r="R233" i="45" a="1"/>
  <c r="R233" i="45" s="1"/>
  <c r="Q233" i="45" a="1"/>
  <c r="Q233" i="45" s="1"/>
  <c r="P233" i="45" a="1"/>
  <c r="P233" i="45" s="1"/>
  <c r="O233" i="45" a="1"/>
  <c r="O233" i="45" s="1"/>
  <c r="N233" i="45" a="1"/>
  <c r="N233" i="45" s="1"/>
  <c r="M233" i="45" a="1"/>
  <c r="M233" i="45" s="1"/>
  <c r="L233" i="45" a="1"/>
  <c r="L233" i="45" s="1"/>
  <c r="K233" i="45" a="1"/>
  <c r="K233" i="45" s="1"/>
  <c r="J233" i="45" a="1"/>
  <c r="J233" i="45" s="1"/>
  <c r="I233" i="45" a="1"/>
  <c r="I233" i="45" s="1"/>
  <c r="H233" i="45" a="1"/>
  <c r="H233" i="45" s="1"/>
  <c r="G233" i="45" a="1"/>
  <c r="G233" i="45" s="1"/>
  <c r="F233" i="45" a="1"/>
  <c r="F233" i="45" s="1"/>
  <c r="E233" i="45" a="1"/>
  <c r="E233" i="45" s="1"/>
  <c r="D233" i="45" a="1"/>
  <c r="D233" i="45" s="1"/>
  <c r="S232" i="45" a="1"/>
  <c r="S232" i="45" s="1"/>
  <c r="R232" i="45" a="1"/>
  <c r="R232" i="45" s="1"/>
  <c r="Q232" i="45" a="1"/>
  <c r="Q232" i="45" s="1"/>
  <c r="P232" i="45" a="1"/>
  <c r="P232" i="45" s="1"/>
  <c r="O232" i="45" a="1"/>
  <c r="O232" i="45" s="1"/>
  <c r="N232" i="45" a="1"/>
  <c r="N232" i="45" s="1"/>
  <c r="M232" i="45" a="1"/>
  <c r="M232" i="45" s="1"/>
  <c r="L232" i="45" a="1"/>
  <c r="L232" i="45" s="1"/>
  <c r="K232" i="45" a="1"/>
  <c r="K232" i="45" s="1"/>
  <c r="J232" i="45" a="1"/>
  <c r="J232" i="45" s="1"/>
  <c r="I232" i="45" a="1"/>
  <c r="I232" i="45" s="1"/>
  <c r="H232" i="45" a="1"/>
  <c r="H232" i="45" s="1"/>
  <c r="G232" i="45" a="1"/>
  <c r="G232" i="45" s="1"/>
  <c r="F232" i="45" a="1"/>
  <c r="F232" i="45" s="1"/>
  <c r="E232" i="45" a="1"/>
  <c r="E232" i="45" s="1"/>
  <c r="D232" i="45" a="1"/>
  <c r="D232" i="45" s="1"/>
  <c r="D229" i="45" a="1"/>
  <c r="D229" i="45" s="1"/>
  <c r="D228" i="45" a="1"/>
  <c r="D228" i="45" s="1"/>
  <c r="D227" i="45" a="1"/>
  <c r="D227" i="45" s="1"/>
  <c r="E224" i="45" a="1"/>
  <c r="E224" i="45" s="1"/>
  <c r="D224" i="45" a="1"/>
  <c r="D224" i="45" s="1"/>
  <c r="E223" i="45" a="1"/>
  <c r="E223" i="45" s="1"/>
  <c r="D223" i="45" a="1"/>
  <c r="D223" i="45" s="1"/>
  <c r="E222" i="45" a="1"/>
  <c r="E222" i="45" s="1"/>
  <c r="D222" i="45" a="1"/>
  <c r="D222" i="45" s="1"/>
  <c r="E221" i="45" a="1"/>
  <c r="E221" i="45" s="1"/>
  <c r="D221" i="45" a="1"/>
  <c r="D221" i="45" s="1"/>
  <c r="E220" i="45" a="1"/>
  <c r="E220" i="45" s="1"/>
  <c r="D220" i="45" a="1"/>
  <c r="D220" i="45" s="1"/>
  <c r="E219" i="45" a="1"/>
  <c r="E219" i="45" s="1"/>
  <c r="D219" i="45" a="1"/>
  <c r="D219" i="45" s="1"/>
  <c r="E218" i="45" a="1"/>
  <c r="E218" i="45" s="1"/>
  <c r="D218" i="45" a="1"/>
  <c r="D218" i="45" s="1"/>
  <c r="E217" i="45" a="1"/>
  <c r="E217" i="45" s="1"/>
  <c r="D217" i="45" a="1"/>
  <c r="D217" i="45" s="1"/>
  <c r="E216" i="45" a="1"/>
  <c r="E216" i="45" s="1"/>
  <c r="D216" i="45" a="1"/>
  <c r="D216" i="45" s="1"/>
  <c r="E215" i="45" a="1"/>
  <c r="E215" i="45" s="1"/>
  <c r="D215" i="45" a="1"/>
  <c r="D215" i="45" s="1"/>
  <c r="E214" i="45" a="1"/>
  <c r="E214" i="45" s="1"/>
  <c r="D214" i="45" a="1"/>
  <c r="D214" i="45" s="1"/>
  <c r="E213" i="45" a="1"/>
  <c r="E213" i="45" s="1"/>
  <c r="D213" i="45" a="1"/>
  <c r="D213" i="45" s="1"/>
  <c r="D211" i="45"/>
  <c r="D211" i="45" a="1"/>
  <c r="E208" i="45" a="1"/>
  <c r="E208" i="45" s="1"/>
  <c r="D208" i="45" a="1"/>
  <c r="D208" i="45" s="1"/>
  <c r="E207" i="45" a="1"/>
  <c r="E207" i="45" s="1"/>
  <c r="D207" i="45" a="1"/>
  <c r="D207" i="45" s="1"/>
  <c r="D205" i="45" a="1"/>
  <c r="D205" i="45" s="1"/>
  <c r="D204" i="45"/>
  <c r="D204" i="45" a="1"/>
  <c r="D203" i="45" a="1"/>
  <c r="D203" i="45" s="1"/>
  <c r="D202" i="45" a="1"/>
  <c r="D202" i="45" s="1"/>
  <c r="H199" i="45" a="1"/>
  <c r="H199" i="45" s="1"/>
  <c r="G199" i="45" a="1"/>
  <c r="G199" i="45" s="1"/>
  <c r="F199" i="45" a="1"/>
  <c r="F199" i="45" s="1"/>
  <c r="E199" i="45" a="1"/>
  <c r="E199" i="45" s="1"/>
  <c r="D199" i="45" a="1"/>
  <c r="D199" i="45" s="1"/>
  <c r="H198" i="45" a="1"/>
  <c r="H198" i="45" s="1"/>
  <c r="G198" i="45" a="1"/>
  <c r="G198" i="45" s="1"/>
  <c r="F198" i="45" a="1"/>
  <c r="F198" i="45" s="1"/>
  <c r="E198" i="45" a="1"/>
  <c r="E198" i="45" s="1"/>
  <c r="D198" i="45" a="1"/>
  <c r="D198" i="45" s="1"/>
  <c r="H197" i="45" a="1"/>
  <c r="H197" i="45" s="1"/>
  <c r="G197" i="45" a="1"/>
  <c r="G197" i="45" s="1"/>
  <c r="F197" i="45" a="1"/>
  <c r="F197" i="45" s="1"/>
  <c r="E197" i="45" a="1"/>
  <c r="E197" i="45" s="1"/>
  <c r="D197" i="45" a="1"/>
  <c r="D197" i="45" s="1"/>
  <c r="H196" i="45" a="1"/>
  <c r="H196" i="45" s="1"/>
  <c r="G196" i="45" a="1"/>
  <c r="G196" i="45" s="1"/>
  <c r="F196" i="45" a="1"/>
  <c r="F196" i="45" s="1"/>
  <c r="E196" i="45" a="1"/>
  <c r="E196" i="45" s="1"/>
  <c r="D196" i="45" a="1"/>
  <c r="D196" i="45" s="1"/>
  <c r="H195" i="45" a="1"/>
  <c r="H195" i="45" s="1"/>
  <c r="G195" i="45" a="1"/>
  <c r="G195" i="45" s="1"/>
  <c r="F195" i="45" a="1"/>
  <c r="F195" i="45" s="1"/>
  <c r="E195" i="45" a="1"/>
  <c r="E195" i="45" s="1"/>
  <c r="D195" i="45" a="1"/>
  <c r="D195" i="45" s="1"/>
  <c r="H194" i="45" a="1"/>
  <c r="H194" i="45" s="1"/>
  <c r="G194" i="45" a="1"/>
  <c r="G194" i="45" s="1"/>
  <c r="F194" i="45" a="1"/>
  <c r="F194" i="45" s="1"/>
  <c r="E194" i="45" a="1"/>
  <c r="E194" i="45" s="1"/>
  <c r="D194" i="45" a="1"/>
  <c r="D194" i="45" s="1"/>
  <c r="H193" i="45" a="1"/>
  <c r="H193" i="45" s="1"/>
  <c r="G193" i="45" a="1"/>
  <c r="G193" i="45" s="1"/>
  <c r="F193" i="45" a="1"/>
  <c r="F193" i="45" s="1"/>
  <c r="E193" i="45" a="1"/>
  <c r="E193" i="45" s="1"/>
  <c r="D193" i="45" a="1"/>
  <c r="D193" i="45" s="1"/>
  <c r="H192" i="45" a="1"/>
  <c r="H192" i="45" s="1"/>
  <c r="G192" i="45" a="1"/>
  <c r="G192" i="45" s="1"/>
  <c r="F192" i="45" a="1"/>
  <c r="F192" i="45" s="1"/>
  <c r="E192" i="45" a="1"/>
  <c r="E192" i="45" s="1"/>
  <c r="D192" i="45" a="1"/>
  <c r="D192" i="45" s="1"/>
  <c r="H191" i="45" a="1"/>
  <c r="H191" i="45" s="1"/>
  <c r="G191" i="45" a="1"/>
  <c r="G191" i="45" s="1"/>
  <c r="F191" i="45" a="1"/>
  <c r="F191" i="45" s="1"/>
  <c r="E191" i="45" a="1"/>
  <c r="E191" i="45" s="1"/>
  <c r="D191" i="45" a="1"/>
  <c r="D191" i="45" s="1"/>
  <c r="H190" i="45" a="1"/>
  <c r="H190" i="45" s="1"/>
  <c r="G190" i="45" a="1"/>
  <c r="G190" i="45" s="1"/>
  <c r="F190" i="45" a="1"/>
  <c r="F190" i="45" s="1"/>
  <c r="E190" i="45" a="1"/>
  <c r="E190" i="45" s="1"/>
  <c r="D190" i="45" a="1"/>
  <c r="D190" i="45" s="1"/>
  <c r="H189" i="45" a="1"/>
  <c r="H189" i="45" s="1"/>
  <c r="G189" i="45" a="1"/>
  <c r="G189" i="45" s="1"/>
  <c r="F189" i="45" a="1"/>
  <c r="F189" i="45" s="1"/>
  <c r="E189" i="45" a="1"/>
  <c r="E189" i="45" s="1"/>
  <c r="D189" i="45" a="1"/>
  <c r="D189" i="45" s="1"/>
  <c r="H188" i="45" a="1"/>
  <c r="H188" i="45" s="1"/>
  <c r="G188" i="45" a="1"/>
  <c r="G188" i="45" s="1"/>
  <c r="F188" i="45" a="1"/>
  <c r="F188" i="45" s="1"/>
  <c r="E188" i="45" a="1"/>
  <c r="E188" i="45" s="1"/>
  <c r="D188" i="45" a="1"/>
  <c r="D188" i="45" s="1"/>
  <c r="H187" i="45" a="1"/>
  <c r="H187" i="45" s="1"/>
  <c r="G187" i="45" a="1"/>
  <c r="G187" i="45" s="1"/>
  <c r="F187" i="45" a="1"/>
  <c r="F187" i="45" s="1"/>
  <c r="E187" i="45" a="1"/>
  <c r="E187" i="45" s="1"/>
  <c r="D187" i="45" a="1"/>
  <c r="D187" i="45" s="1"/>
  <c r="D181" i="45" a="1"/>
  <c r="D181" i="45" s="1"/>
  <c r="D180" i="45" a="1"/>
  <c r="D180" i="45" s="1"/>
  <c r="D179" i="45" a="1"/>
  <c r="D179" i="45" s="1"/>
  <c r="D178" i="45" a="1"/>
  <c r="D178" i="45" s="1"/>
  <c r="E175" i="45" a="1"/>
  <c r="E175" i="45" s="1"/>
  <c r="D175" i="45"/>
  <c r="D175" i="45" a="1"/>
  <c r="D174" i="45"/>
  <c r="D174" i="45" a="1"/>
  <c r="D173" i="45" a="1"/>
  <c r="D173" i="45" s="1"/>
  <c r="D170" i="45" a="1"/>
  <c r="D170" i="45" s="1"/>
  <c r="D169" i="45"/>
  <c r="D169" i="45" a="1"/>
  <c r="D168" i="45" a="1"/>
  <c r="D168" i="45" s="1"/>
  <c r="D167" i="45" a="1"/>
  <c r="D167" i="45" s="1"/>
  <c r="D164" i="45" a="1"/>
  <c r="D164" i="45" s="1"/>
  <c r="D163" i="45" a="1"/>
  <c r="D163" i="45" s="1"/>
  <c r="D162" i="45"/>
  <c r="D162" i="45" a="1"/>
  <c r="D161" i="45" a="1"/>
  <c r="D161" i="45" s="1"/>
  <c r="E158" i="45" a="1"/>
  <c r="E158" i="45" s="1"/>
  <c r="D158" i="45" a="1"/>
  <c r="D158" i="45" s="1"/>
  <c r="E157" i="45" a="1"/>
  <c r="E157" i="45" s="1"/>
  <c r="D157" i="45" a="1"/>
  <c r="D157" i="45" s="1"/>
  <c r="E156" i="45" a="1"/>
  <c r="E156" i="45" s="1"/>
  <c r="D156" i="45" a="1"/>
  <c r="D156" i="45" s="1"/>
  <c r="E155" i="45" a="1"/>
  <c r="E155" i="45" s="1"/>
  <c r="D155" i="45" a="1"/>
  <c r="D155" i="45" s="1"/>
  <c r="E154" i="45" a="1"/>
  <c r="E154" i="45" s="1"/>
  <c r="D154" i="45" a="1"/>
  <c r="D154" i="45" s="1"/>
  <c r="D151" i="45" a="1"/>
  <c r="D151" i="45" s="1"/>
  <c r="D150" i="45" a="1"/>
  <c r="D150" i="45" s="1"/>
  <c r="E147" i="45" a="1"/>
  <c r="E147" i="45" s="1"/>
  <c r="D147" i="45" a="1"/>
  <c r="D147" i="45" s="1"/>
  <c r="E146" i="45" a="1"/>
  <c r="E146" i="45" s="1"/>
  <c r="D146" i="45" a="1"/>
  <c r="D146" i="45" s="1"/>
  <c r="E145" i="45" a="1"/>
  <c r="E145" i="45" s="1"/>
  <c r="D145" i="45" a="1"/>
  <c r="D145" i="45" s="1"/>
  <c r="E144" i="45" a="1"/>
  <c r="E144" i="45" s="1"/>
  <c r="D144" i="45" a="1"/>
  <c r="D144" i="45" s="1"/>
  <c r="E143" i="45" a="1"/>
  <c r="E143" i="45" s="1"/>
  <c r="D143" i="45" a="1"/>
  <c r="D143" i="45" s="1"/>
  <c r="D141" i="45" a="1"/>
  <c r="D141" i="45" s="1"/>
  <c r="D140" i="45"/>
  <c r="D140" i="45" a="1"/>
  <c r="D139" i="45" a="1"/>
  <c r="D139" i="45" s="1"/>
  <c r="E136" i="45" a="1"/>
  <c r="E136" i="45" s="1"/>
  <c r="D136" i="45" a="1"/>
  <c r="D136" i="45" s="1"/>
  <c r="E135" i="45" a="1"/>
  <c r="E135" i="45" s="1"/>
  <c r="D135" i="45" a="1"/>
  <c r="D135" i="45" s="1"/>
  <c r="D133" i="45" a="1"/>
  <c r="D133" i="45" s="1"/>
  <c r="D132" i="45" a="1"/>
  <c r="D132" i="45" s="1"/>
  <c r="E129" i="45" a="1"/>
  <c r="E129" i="45" s="1"/>
  <c r="D129" i="45" a="1"/>
  <c r="D129" i="45" s="1"/>
  <c r="E128" i="45" a="1"/>
  <c r="E128" i="45" s="1"/>
  <c r="D128" i="45" a="1"/>
  <c r="D128" i="45" s="1"/>
  <c r="D125" i="45" a="1"/>
  <c r="D125" i="45" s="1"/>
  <c r="D124" i="45" a="1"/>
  <c r="D124" i="45" s="1"/>
  <c r="G121" i="45" a="1"/>
  <c r="G121" i="45" s="1"/>
  <c r="F121" i="45" a="1"/>
  <c r="F121" i="45" s="1"/>
  <c r="E121" i="45" a="1"/>
  <c r="E121" i="45" s="1"/>
  <c r="D121" i="45" a="1"/>
  <c r="D121" i="45" s="1"/>
  <c r="G120" i="45" a="1"/>
  <c r="G120" i="45" s="1"/>
  <c r="F120" i="45" a="1"/>
  <c r="F120" i="45" s="1"/>
  <c r="E120" i="45" a="1"/>
  <c r="E120" i="45" s="1"/>
  <c r="D120" i="45" a="1"/>
  <c r="D120" i="45" s="1"/>
  <c r="D117" i="45" a="1"/>
  <c r="D117" i="45" s="1"/>
  <c r="D116" i="45" a="1"/>
  <c r="D116" i="45" s="1"/>
  <c r="D115" i="45" a="1"/>
  <c r="D115" i="45" s="1"/>
  <c r="G112" i="45" a="1"/>
  <c r="G112" i="45" s="1"/>
  <c r="F112" i="45" a="1"/>
  <c r="F112" i="45" s="1"/>
  <c r="E112" i="45" a="1"/>
  <c r="E112" i="45" s="1"/>
  <c r="D112" i="45" a="1"/>
  <c r="D112" i="45" s="1"/>
  <c r="G111" i="45" a="1"/>
  <c r="G111" i="45" s="1"/>
  <c r="F111" i="45" a="1"/>
  <c r="F111" i="45" s="1"/>
  <c r="E111" i="45" a="1"/>
  <c r="E111" i="45" s="1"/>
  <c r="D111" i="45" a="1"/>
  <c r="D111" i="45" s="1"/>
  <c r="G110" i="45" a="1"/>
  <c r="G110" i="45" s="1"/>
  <c r="F110" i="45" a="1"/>
  <c r="F110" i="45" s="1"/>
  <c r="E110" i="45" a="1"/>
  <c r="E110" i="45" s="1"/>
  <c r="D110" i="45" a="1"/>
  <c r="D110" i="45" s="1"/>
  <c r="D107" i="45" a="1"/>
  <c r="D107" i="45" s="1"/>
  <c r="D106" i="45" a="1"/>
  <c r="D106" i="45" s="1"/>
  <c r="D105" i="45" a="1"/>
  <c r="D105" i="45" s="1"/>
  <c r="D99" i="45" a="1"/>
  <c r="D99" i="45" s="1"/>
  <c r="S97" i="45" a="1"/>
  <c r="S97" i="45" s="1"/>
  <c r="R97" i="45" a="1"/>
  <c r="R97" i="45" s="1"/>
  <c r="Q97" i="45" a="1"/>
  <c r="Q97" i="45" s="1"/>
  <c r="P97" i="45" a="1"/>
  <c r="P97" i="45" s="1"/>
  <c r="O97" i="45" a="1"/>
  <c r="O97" i="45" s="1"/>
  <c r="N97" i="45" a="1"/>
  <c r="N97" i="45" s="1"/>
  <c r="M97" i="45" a="1"/>
  <c r="M97" i="45" s="1"/>
  <c r="L97" i="45" a="1"/>
  <c r="L97" i="45" s="1"/>
  <c r="K97" i="45" a="1"/>
  <c r="K97" i="45" s="1"/>
  <c r="J97" i="45" a="1"/>
  <c r="J97" i="45" s="1"/>
  <c r="I97" i="45" a="1"/>
  <c r="I97" i="45" s="1"/>
  <c r="H97" i="45" a="1"/>
  <c r="H97" i="45" s="1"/>
  <c r="G97" i="45" a="1"/>
  <c r="G97" i="45" s="1"/>
  <c r="F97" i="45" a="1"/>
  <c r="F97" i="45" s="1"/>
  <c r="E97" i="45" a="1"/>
  <c r="E97" i="45" s="1"/>
  <c r="D97" i="45" a="1"/>
  <c r="D97" i="45" s="1"/>
  <c r="S96" i="45" a="1"/>
  <c r="S96" i="45" s="1"/>
  <c r="R96" i="45" a="1"/>
  <c r="R96" i="45" s="1"/>
  <c r="Q96" i="45" a="1"/>
  <c r="Q96" i="45" s="1"/>
  <c r="P96" i="45" a="1"/>
  <c r="P96" i="45" s="1"/>
  <c r="O96" i="45" a="1"/>
  <c r="O96" i="45" s="1"/>
  <c r="N96" i="45" a="1"/>
  <c r="N96" i="45" s="1"/>
  <c r="M96" i="45" a="1"/>
  <c r="M96" i="45" s="1"/>
  <c r="L96" i="45" a="1"/>
  <c r="L96" i="45" s="1"/>
  <c r="K96" i="45" a="1"/>
  <c r="K96" i="45" s="1"/>
  <c r="J96" i="45" a="1"/>
  <c r="J96" i="45" s="1"/>
  <c r="I96" i="45" a="1"/>
  <c r="I96" i="45" s="1"/>
  <c r="H96" i="45" a="1"/>
  <c r="H96" i="45" s="1"/>
  <c r="G96" i="45" a="1"/>
  <c r="G96" i="45" s="1"/>
  <c r="F96" i="45" a="1"/>
  <c r="F96" i="45" s="1"/>
  <c r="E96" i="45" a="1"/>
  <c r="E96" i="45" s="1"/>
  <c r="D96" i="45" a="1"/>
  <c r="D96" i="45" s="1"/>
  <c r="S95" i="45" a="1"/>
  <c r="S95" i="45" s="1"/>
  <c r="R95" i="45" a="1"/>
  <c r="R95" i="45" s="1"/>
  <c r="Q95" i="45" a="1"/>
  <c r="Q95" i="45" s="1"/>
  <c r="P95" i="45" a="1"/>
  <c r="P95" i="45" s="1"/>
  <c r="O95" i="45" a="1"/>
  <c r="O95" i="45" s="1"/>
  <c r="N95" i="45" a="1"/>
  <c r="N95" i="45" s="1"/>
  <c r="M95" i="45" a="1"/>
  <c r="M95" i="45" s="1"/>
  <c r="L95" i="45" a="1"/>
  <c r="L95" i="45" s="1"/>
  <c r="K95" i="45" a="1"/>
  <c r="K95" i="45" s="1"/>
  <c r="J95" i="45" a="1"/>
  <c r="J95" i="45" s="1"/>
  <c r="I95" i="45" a="1"/>
  <c r="I95" i="45" s="1"/>
  <c r="H95" i="45" a="1"/>
  <c r="H95" i="45" s="1"/>
  <c r="G95" i="45" a="1"/>
  <c r="G95" i="45" s="1"/>
  <c r="F95" i="45" a="1"/>
  <c r="F95" i="45" s="1"/>
  <c r="E95" i="45" a="1"/>
  <c r="E95" i="45" s="1"/>
  <c r="D95" i="45" a="1"/>
  <c r="D95" i="45" s="1"/>
  <c r="S94" i="45" a="1"/>
  <c r="S94" i="45" s="1"/>
  <c r="R94" i="45" a="1"/>
  <c r="R94" i="45" s="1"/>
  <c r="Q94" i="45" a="1"/>
  <c r="Q94" i="45" s="1"/>
  <c r="P94" i="45" a="1"/>
  <c r="P94" i="45" s="1"/>
  <c r="O94" i="45" a="1"/>
  <c r="O94" i="45" s="1"/>
  <c r="N94" i="45" a="1"/>
  <c r="N94" i="45" s="1"/>
  <c r="M94" i="45" a="1"/>
  <c r="M94" i="45" s="1"/>
  <c r="L94" i="45" a="1"/>
  <c r="L94" i="45" s="1"/>
  <c r="K94" i="45" a="1"/>
  <c r="K94" i="45" s="1"/>
  <c r="J94" i="45" a="1"/>
  <c r="J94" i="45" s="1"/>
  <c r="I94" i="45" a="1"/>
  <c r="I94" i="45" s="1"/>
  <c r="H94" i="45" a="1"/>
  <c r="H94" i="45" s="1"/>
  <c r="G94" i="45" a="1"/>
  <c r="G94" i="45" s="1"/>
  <c r="F94" i="45" a="1"/>
  <c r="F94" i="45" s="1"/>
  <c r="E94" i="45" a="1"/>
  <c r="E94" i="45" s="1"/>
  <c r="D94" i="45" a="1"/>
  <c r="D94" i="45" s="1"/>
  <c r="S93" i="45" a="1"/>
  <c r="S93" i="45" s="1"/>
  <c r="R93" i="45" a="1"/>
  <c r="R93" i="45" s="1"/>
  <c r="Q93" i="45" a="1"/>
  <c r="Q93" i="45" s="1"/>
  <c r="P93" i="45" a="1"/>
  <c r="P93" i="45" s="1"/>
  <c r="O93" i="45" a="1"/>
  <c r="O93" i="45" s="1"/>
  <c r="N93" i="45" a="1"/>
  <c r="N93" i="45" s="1"/>
  <c r="M93" i="45" a="1"/>
  <c r="M93" i="45" s="1"/>
  <c r="L93" i="45" a="1"/>
  <c r="L93" i="45" s="1"/>
  <c r="K93" i="45" a="1"/>
  <c r="K93" i="45" s="1"/>
  <c r="J93" i="45" a="1"/>
  <c r="J93" i="45" s="1"/>
  <c r="I93" i="45" a="1"/>
  <c r="I93" i="45" s="1"/>
  <c r="H93" i="45" a="1"/>
  <c r="H93" i="45" s="1"/>
  <c r="G93" i="45" a="1"/>
  <c r="G93" i="45" s="1"/>
  <c r="F93" i="45" a="1"/>
  <c r="F93" i="45" s="1"/>
  <c r="E93" i="45" a="1"/>
  <c r="E93" i="45" s="1"/>
  <c r="D93" i="45" a="1"/>
  <c r="D93" i="45" s="1"/>
  <c r="S92" i="45" a="1"/>
  <c r="S92" i="45" s="1"/>
  <c r="R92" i="45" a="1"/>
  <c r="R92" i="45" s="1"/>
  <c r="Q92" i="45" a="1"/>
  <c r="Q92" i="45" s="1"/>
  <c r="P92" i="45" a="1"/>
  <c r="P92" i="45" s="1"/>
  <c r="O92" i="45" a="1"/>
  <c r="O92" i="45" s="1"/>
  <c r="N92" i="45" a="1"/>
  <c r="N92" i="45" s="1"/>
  <c r="M92" i="45" a="1"/>
  <c r="M92" i="45" s="1"/>
  <c r="L92" i="45" a="1"/>
  <c r="L92" i="45" s="1"/>
  <c r="K92" i="45" a="1"/>
  <c r="K92" i="45" s="1"/>
  <c r="J92" i="45" a="1"/>
  <c r="J92" i="45" s="1"/>
  <c r="I92" i="45" a="1"/>
  <c r="I92" i="45" s="1"/>
  <c r="H92" i="45" a="1"/>
  <c r="H92" i="45" s="1"/>
  <c r="G92" i="45" a="1"/>
  <c r="G92" i="45" s="1"/>
  <c r="F92" i="45" a="1"/>
  <c r="F92" i="45" s="1"/>
  <c r="E92" i="45" a="1"/>
  <c r="E92" i="45" s="1"/>
  <c r="D92" i="45" a="1"/>
  <c r="D92" i="45" s="1"/>
  <c r="S91" i="45" a="1"/>
  <c r="S91" i="45" s="1"/>
  <c r="R91" i="45" a="1"/>
  <c r="R91" i="45" s="1"/>
  <c r="Q91" i="45" a="1"/>
  <c r="Q91" i="45" s="1"/>
  <c r="P91" i="45" a="1"/>
  <c r="P91" i="45" s="1"/>
  <c r="O91" i="45" a="1"/>
  <c r="O91" i="45" s="1"/>
  <c r="N91" i="45" a="1"/>
  <c r="N91" i="45" s="1"/>
  <c r="M91" i="45" a="1"/>
  <c r="M91" i="45" s="1"/>
  <c r="L91" i="45" a="1"/>
  <c r="L91" i="45" s="1"/>
  <c r="K91" i="45" a="1"/>
  <c r="K91" i="45" s="1"/>
  <c r="J91" i="45" a="1"/>
  <c r="J91" i="45" s="1"/>
  <c r="I91" i="45" a="1"/>
  <c r="I91" i="45" s="1"/>
  <c r="H91" i="45" a="1"/>
  <c r="H91" i="45" s="1"/>
  <c r="G91" i="45" a="1"/>
  <c r="G91" i="45" s="1"/>
  <c r="F91" i="45" a="1"/>
  <c r="F91" i="45" s="1"/>
  <c r="E91" i="45" a="1"/>
  <c r="E91" i="45" s="1"/>
  <c r="D91" i="45" a="1"/>
  <c r="D91" i="45" s="1"/>
  <c r="S90" i="45" a="1"/>
  <c r="S90" i="45" s="1"/>
  <c r="R90" i="45" a="1"/>
  <c r="R90" i="45" s="1"/>
  <c r="Q90" i="45" a="1"/>
  <c r="Q90" i="45" s="1"/>
  <c r="P90" i="45" a="1"/>
  <c r="P90" i="45" s="1"/>
  <c r="O90" i="45" a="1"/>
  <c r="O90" i="45" s="1"/>
  <c r="N90" i="45" a="1"/>
  <c r="N90" i="45" s="1"/>
  <c r="M90" i="45" a="1"/>
  <c r="M90" i="45" s="1"/>
  <c r="L90" i="45" a="1"/>
  <c r="L90" i="45" s="1"/>
  <c r="K90" i="45" a="1"/>
  <c r="K90" i="45" s="1"/>
  <c r="J90" i="45" a="1"/>
  <c r="J90" i="45" s="1"/>
  <c r="I90" i="45" a="1"/>
  <c r="I90" i="45" s="1"/>
  <c r="H90" i="45" a="1"/>
  <c r="H90" i="45" s="1"/>
  <c r="G90" i="45" a="1"/>
  <c r="G90" i="45" s="1"/>
  <c r="F90" i="45" a="1"/>
  <c r="F90" i="45" s="1"/>
  <c r="E90" i="45" a="1"/>
  <c r="E90" i="45" s="1"/>
  <c r="D90" i="45" a="1"/>
  <c r="D90" i="45" s="1"/>
  <c r="D83" i="45" a="1"/>
  <c r="D83" i="45" s="1"/>
  <c r="D82" i="45" a="1"/>
  <c r="D82" i="45" s="1"/>
  <c r="D81" i="45"/>
  <c r="D81" i="45" a="1"/>
  <c r="E77" i="45" a="1"/>
  <c r="E77" i="45" s="1"/>
  <c r="D77" i="45" a="1"/>
  <c r="D77" i="45" s="1"/>
  <c r="E76" i="45" a="1"/>
  <c r="E76" i="45" s="1"/>
  <c r="D76" i="45" a="1"/>
  <c r="D76" i="45" s="1"/>
  <c r="E75" i="45" a="1"/>
  <c r="E75" i="45" s="1"/>
  <c r="D75" i="45" a="1"/>
  <c r="D75" i="45" s="1"/>
  <c r="E74" i="45" a="1"/>
  <c r="E74" i="45" s="1"/>
  <c r="D74" i="45" a="1"/>
  <c r="D74" i="45" s="1"/>
  <c r="E73" i="45" a="1"/>
  <c r="E73" i="45" s="1"/>
  <c r="D73" i="45" a="1"/>
  <c r="D73" i="45" s="1"/>
  <c r="E72" i="45" a="1"/>
  <c r="E72" i="45" s="1"/>
  <c r="D72" i="45" a="1"/>
  <c r="D72" i="45" s="1"/>
  <c r="E71" i="45" a="1"/>
  <c r="E71" i="45" s="1"/>
  <c r="D71" i="45" a="1"/>
  <c r="D71" i="45" s="1"/>
  <c r="E70" i="45" a="1"/>
  <c r="E70" i="45" s="1"/>
  <c r="D70" i="45" a="1"/>
  <c r="D70" i="45" s="1"/>
  <c r="E69" i="45" a="1"/>
  <c r="E69" i="45" s="1"/>
  <c r="D69" i="45" a="1"/>
  <c r="D69" i="45" s="1"/>
  <c r="E68" i="45" a="1"/>
  <c r="E68" i="45" s="1"/>
  <c r="D68" i="45" a="1"/>
  <c r="D68" i="45" s="1"/>
  <c r="E67" i="45" a="1"/>
  <c r="E67" i="45" s="1"/>
  <c r="D67" i="45" a="1"/>
  <c r="D67" i="45" s="1"/>
  <c r="E66" i="45" a="1"/>
  <c r="E66" i="45" s="1"/>
  <c r="D66" i="45" a="1"/>
  <c r="D66" i="45" s="1"/>
  <c r="E65" i="45" a="1"/>
  <c r="E65" i="45" s="1"/>
  <c r="D65" i="45" a="1"/>
  <c r="D65" i="45" s="1"/>
  <c r="E64" i="45" a="1"/>
  <c r="E64" i="45" s="1"/>
  <c r="D64" i="45" a="1"/>
  <c r="D64" i="45" s="1"/>
  <c r="D59" i="45" a="1"/>
  <c r="D59" i="45" s="1"/>
  <c r="D58" i="45" a="1"/>
  <c r="D58" i="45" s="1"/>
  <c r="D57" i="45"/>
  <c r="D57" i="45" a="1"/>
  <c r="G54" i="45" a="1"/>
  <c r="G54" i="45" s="1"/>
  <c r="F54" i="45" a="1"/>
  <c r="F54" i="45" s="1"/>
  <c r="E54" i="45" a="1"/>
  <c r="E54" i="45" s="1"/>
  <c r="D54" i="45" a="1"/>
  <c r="D54" i="45" s="1"/>
  <c r="G53" i="45" a="1"/>
  <c r="G53" i="45" s="1"/>
  <c r="F53" i="45" a="1"/>
  <c r="F53" i="45" s="1"/>
  <c r="E53" i="45" a="1"/>
  <c r="E53" i="45" s="1"/>
  <c r="D53" i="45" a="1"/>
  <c r="D53" i="45" s="1"/>
  <c r="G52" i="45" a="1"/>
  <c r="G52" i="45" s="1"/>
  <c r="F52" i="45" a="1"/>
  <c r="F52" i="45" s="1"/>
  <c r="E52" i="45" a="1"/>
  <c r="E52" i="45" s="1"/>
  <c r="D52" i="45" a="1"/>
  <c r="D52" i="45" s="1"/>
  <c r="G51" i="45" a="1"/>
  <c r="G51" i="45" s="1"/>
  <c r="F51" i="45" a="1"/>
  <c r="F51" i="45" s="1"/>
  <c r="E51" i="45" a="1"/>
  <c r="E51" i="45" s="1"/>
  <c r="D51" i="45" a="1"/>
  <c r="D51" i="45" s="1"/>
  <c r="G50" i="45" a="1"/>
  <c r="G50" i="45" s="1"/>
  <c r="F50" i="45" a="1"/>
  <c r="F50" i="45" s="1"/>
  <c r="E50" i="45" a="1"/>
  <c r="E50" i="45" s="1"/>
  <c r="D50" i="45" a="1"/>
  <c r="D50" i="45" s="1"/>
  <c r="G49" i="45" a="1"/>
  <c r="G49" i="45" s="1"/>
  <c r="F49" i="45" a="1"/>
  <c r="F49" i="45" s="1"/>
  <c r="E49" i="45" a="1"/>
  <c r="E49" i="45" s="1"/>
  <c r="D49" i="45" a="1"/>
  <c r="D49" i="45" s="1"/>
  <c r="G48" i="45" a="1"/>
  <c r="G48" i="45" s="1"/>
  <c r="F48" i="45" a="1"/>
  <c r="F48" i="45" s="1"/>
  <c r="E48" i="45" a="1"/>
  <c r="E48" i="45" s="1"/>
  <c r="D48" i="45" a="1"/>
  <c r="D48" i="45" s="1"/>
  <c r="D46" i="45" a="1"/>
  <c r="D46" i="45" s="1"/>
  <c r="D45" i="45" a="1"/>
  <c r="D45" i="45" s="1"/>
  <c r="E43" i="45" a="1"/>
  <c r="E43" i="45" s="1"/>
  <c r="D43" i="45" a="1"/>
  <c r="D43" i="45" s="1"/>
  <c r="E42" i="45" a="1"/>
  <c r="E42" i="45" s="1"/>
  <c r="D42" i="45" a="1"/>
  <c r="D42" i="45" s="1"/>
  <c r="E41" i="45" a="1"/>
  <c r="E41" i="45" s="1"/>
  <c r="D41" i="45" a="1"/>
  <c r="D41" i="45" s="1"/>
  <c r="E40" i="45" a="1"/>
  <c r="E40" i="45" s="1"/>
  <c r="D40" i="45" a="1"/>
  <c r="D40" i="45" s="1"/>
  <c r="E39" i="45" a="1"/>
  <c r="E39" i="45" s="1"/>
  <c r="D39" i="45" a="1"/>
  <c r="D39" i="45" s="1"/>
  <c r="E38" i="45" a="1"/>
  <c r="E38" i="45" s="1"/>
  <c r="D38" i="45" a="1"/>
  <c r="D38" i="45" s="1"/>
  <c r="E37" i="45" a="1"/>
  <c r="E37" i="45" s="1"/>
  <c r="D37" i="45" a="1"/>
  <c r="D37" i="45" s="1"/>
  <c r="D35" i="45" a="1"/>
  <c r="D35" i="45" s="1"/>
  <c r="D34" i="45" a="1"/>
  <c r="D34"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19" i="45" a="1"/>
  <c r="D19" i="45" s="1"/>
  <c r="D18" i="45" a="1"/>
  <c r="D18" i="45" s="1"/>
  <c r="F14" i="45" a="1"/>
  <c r="F14" i="45" s="1"/>
  <c r="E14" i="45" a="1"/>
  <c r="E14" i="45" s="1"/>
  <c r="D14" i="45" a="1"/>
  <c r="D14" i="45" s="1"/>
  <c r="F13" i="45" a="1"/>
  <c r="F13" i="45" s="1"/>
  <c r="E13" i="45" a="1"/>
  <c r="E13" i="45" s="1"/>
  <c r="D13" i="45" a="1"/>
  <c r="D13" i="45" s="1"/>
  <c r="F12" i="45" a="1"/>
  <c r="F12" i="45" s="1"/>
  <c r="E12" i="45" a="1"/>
  <c r="E12" i="45" s="1"/>
  <c r="D12" i="45" a="1"/>
  <c r="D12" i="45" s="1"/>
  <c r="F11" i="45" a="1"/>
  <c r="F11" i="45" s="1"/>
  <c r="E11" i="45" a="1"/>
  <c r="E11" i="45" s="1"/>
  <c r="D11" i="45" a="1"/>
  <c r="D11" i="45" s="1"/>
  <c r="F10" i="45" a="1"/>
  <c r="F10" i="45" s="1"/>
  <c r="E10" i="45" a="1"/>
  <c r="E10" i="45" s="1"/>
  <c r="D10" i="45" a="1"/>
  <c r="D10" i="45" s="1"/>
  <c r="F9" i="45" a="1"/>
  <c r="F9" i="45" s="1"/>
  <c r="E9" i="45" a="1"/>
  <c r="E9" i="45" s="1"/>
  <c r="D9" i="45" a="1"/>
  <c r="D9" i="45" s="1"/>
  <c r="F8" i="45" a="1"/>
  <c r="F8" i="45" s="1"/>
  <c r="E8" i="45" a="1"/>
  <c r="E8" i="45" s="1"/>
  <c r="D8" i="45" a="1"/>
  <c r="D8" i="45" s="1"/>
  <c r="F7" i="45" a="1"/>
  <c r="F7" i="45" s="1"/>
  <c r="E7" i="45" a="1"/>
  <c r="E7" i="45" s="1"/>
  <c r="D7" i="45" a="1"/>
  <c r="D7" i="45" s="1"/>
  <c r="D5" i="45" a="1"/>
  <c r="D5" i="45" s="1"/>
  <c r="E36" i="41"/>
  <c r="D36" i="41"/>
  <c r="E35" i="41"/>
  <c r="D35" i="41"/>
  <c r="E28" i="41"/>
  <c r="D28" i="41"/>
  <c r="D27" i="41"/>
  <c r="D26" i="41"/>
  <c r="D25" i="41"/>
  <c r="D24" i="41"/>
  <c r="E22" i="41"/>
  <c r="D14" i="41"/>
  <c r="D13" i="41"/>
  <c r="D12" i="41"/>
  <c r="D11" i="41"/>
  <c r="H20" i="41" a="1"/>
  <c r="H50" i="45" l="1"/>
  <c r="H53" i="45"/>
  <c r="H51" i="45"/>
  <c r="H49" i="45"/>
  <c r="H54" i="45"/>
  <c r="H52" i="45"/>
  <c r="H48" i="45"/>
  <c r="H20" i="41"/>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1" i="38" a="1"/>
  <c r="E7"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7" i="34" a="1"/>
  <c r="E26" i="34" a="1"/>
  <c r="E42" i="34" a="1"/>
  <c r="E561" i="19" a="1"/>
  <c r="E61" i="34"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31" i="41" s="1" a="1"/>
  <c r="D31" i="41" s="1"/>
  <c r="D537" i="19" a="1"/>
  <c r="D537" i="19" s="1"/>
  <c r="I531" i="19"/>
  <c r="I529" i="19"/>
  <c r="G529" i="19" a="1"/>
  <c r="G529" i="19" s="1"/>
  <c r="D529" i="19" a="1"/>
  <c r="D529" i="19" s="1"/>
  <c r="E527" i="19" a="1"/>
  <c r="E527" i="19" s="1"/>
  <c r="E526" i="19" a="1"/>
  <c r="E526" i="19" s="1"/>
  <c r="D522" i="19" a="1"/>
  <c r="D522" i="19" s="1"/>
  <c r="D521" i="19" a="1"/>
  <c r="D521" i="19" s="1"/>
  <c r="E523" i="19" a="1"/>
  <c r="E540"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E508" i="19" a="1"/>
  <c r="E7" i="32" a="1"/>
  <c r="L8" i="32" a="1"/>
  <c r="E7" i="31" a="1"/>
  <c r="L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23" i="19" a="1"/>
  <c r="E258" i="19" a="1"/>
  <c r="E355" i="19" a="1"/>
  <c r="E418" i="19" a="1"/>
  <c r="E100" i="19" a="1"/>
  <c r="E188" i="19" a="1"/>
  <c r="E174" i="19" a="1"/>
  <c r="E385" i="19" a="1"/>
  <c r="E290" i="19" a="1"/>
  <c r="E203"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5" i="41" a="1"/>
  <c r="D10"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K62" i="20"/>
  <c r="K61" i="20"/>
  <c r="K60" i="20"/>
  <c r="K59" i="20"/>
  <c r="K58" i="20"/>
  <c r="K57" i="20"/>
  <c r="K56" i="20"/>
  <c r="K55" i="20"/>
  <c r="K54" i="20"/>
  <c r="K53" i="20"/>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E31" i="41" s="1"/>
  <c r="F31" i="41"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I53" i="34"/>
  <c r="E74" i="34" a="1"/>
  <c r="E74" i="34" s="1"/>
  <c r="J86" i="34" s="1"/>
  <c r="J17" i="34"/>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<sst xmlns="http://schemas.openxmlformats.org/spreadsheetml/2006/main" count="2201" uniqueCount="862">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</sst>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7">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79" fillId="2" borderId="10" xfId="0" applyFont="1" applyFill="1" applyBorder="1"/>
    <xf numFmtId="2" fontId="79" fillId="2" borderId="10" xfId="0" applyNumberFormat="1" applyFont="1" applyFill="1" applyBorder="1" applyAlignment="1">
      <alignment horizontal="center"/>
    </xf>
    <xf numFmtId="0" fontId="6" fillId="2" borderId="0" xfId="6" applyAlignment="1">
      <alignment horizontal="left" vertical="center" indent="2"/>
    </xf>
    <xf numFmtId="0" fontId="76" fillId="2" borderId="0" xfId="55" applyFill="1" applyAlignment="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491"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490" dataCellStyle="Input select" totalsRowCellStyle="Input select"/>
    <tableColumn id="3" xr3:uid="{E03C244F-B016-4373-8F29-F863250A309B}" name="Fuel type (select)" totalsRowDxfId="489" dataCellStyle="Input select" totalsRowCellStyle="Input select"/>
    <tableColumn id="4" xr3:uid="{70536E5B-E617-4814-BA37-CAE5E35162C6}" name="Amount purchased" totalsRowDxfId="488" totalsRowCellStyle="Content bold"/>
    <tableColumn id="6" xr3:uid="{9F12A1DD-B701-47BF-A99D-DAA4D26B1EB3}" name="Amount unit" totalsRowDxfId="487"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486" totalsRowCellStyle="Input percent">
      <calculatedColumnFormula>1</calculatedColumnFormula>
    </tableColumn>
    <tableColumn id="1" xr3:uid="{54C850E9-3FE0-4B86-92C1-58D2275B9FA5}" name="Amount consumed" totalsRowFunction="custom" totalsRowDxfId="485"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484" dataDxfId="483" totalsRowDxfId="482">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481" totalsRowDxfId="480" dataCellStyle="Input select"/>
    <tableColumn id="23" xr3:uid="{F727E370-72E8-46CC-9F10-18494CAC017E}" name="Amount applied per hectare" totalsRowFunction="custom" dataDxfId="479" totalsRowDxfId="478">
      <totalsRowFormula>SUM(Table_Input_InorganicFertiliser_Brands[[#Headers],[#Data],[Amount applied per hectare]])</totalsRowFormula>
    </tableColumn>
    <tableColumn id="18" xr3:uid="{2253738D-C34B-45FC-A347-3594DD12A0FD}" name="Application unit" totalsRowDxfId="477"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76"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75" totalsRowDxfId="474">
      <calculatedColumnFormula>$E$9</calculatedColumnFormula>
    </tableColumn>
    <tableColumn id="1" xr3:uid="{DE25213C-DDD2-412A-85A4-29987D633B72}" name="Total applied (kg)" dataDxfId="473" totalsRowDxfId="47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71" totalsRowDxfId="47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69" totalsRowDxfId="46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6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66" totalsRowDxfId="46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64" totalsRowDxfId="46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62" totalsRowDxfId="46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60" totalsRowDxfId="45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5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5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5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5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5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53" totalsRowDxfId="452"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51" totalsRowDxfId="450"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49" totalsRowDxfId="448"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47" dataDxfId="446">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45"/>
    <tableColumn id="3" xr3:uid="{9EAF254B-17DE-4675-8AF9-F68B80BF582C}" name="Application area (ha)" dataDxfId="444" dataCellStyle="Input number 2 decimal places">
      <calculatedColumnFormula>$E$9</calculatedColumnFormula>
    </tableColumn>
    <tableColumn id="4" xr3:uid="{CFA5CCED-3BC5-4DD2-AC3F-E4DC58D9B605}" name="Total applied (kg)" dataDxfId="443"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42" dataCellStyle="Input select"/>
    <tableColumn id="6" xr3:uid="{3F30B499-2152-42DE-8F13-8F97800C0F82}" name="Ingredient 1 percent" dataDxfId="441"/>
    <tableColumn id="8" xr3:uid="{81DBD2AF-CE79-4DFA-ABE1-18247069D1B2}" name="Ingredient 2" dataDxfId="440" dataCellStyle="Input select"/>
    <tableColumn id="9" xr3:uid="{1CF7EE6F-57DF-414D-AEE5-FBCA6348094D}" name="Ingredient 2 percent" dataDxfId="439"/>
    <tableColumn id="11" xr3:uid="{A18D28AA-C181-4552-8786-2ECF509C16C8}" name="Ingredient 3" dataDxfId="438" dataCellStyle="Input select"/>
    <tableColumn id="12" xr3:uid="{B6A6831A-C9EE-4F80-B87F-A0C4C20DFCFD}" name="Ingredient 3 percent" dataDxfId="437"/>
    <tableColumn id="14" xr3:uid="{4467B432-BBEC-488F-912D-5D7123AE260A}" name="Ingredient 4" dataDxfId="436" dataCellStyle="Input select"/>
    <tableColumn id="15" xr3:uid="{0FA01265-32D2-4FC6-BCD7-17164873ADC9}" name="Ingredient 4 percent" dataCellStyle="Input percent"/>
    <tableColumn id="7" xr3:uid="{BF8B607F-8C2E-4E2B-B89D-E699723F771C}" name="N application rate (kg/ha)" dataDxfId="435"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34"/>
    <tableColumn id="13" xr3:uid="{CA785B69-1D00-4D4E-954C-77FAF8F67EDB}" name="Ammonia source" dataDxfId="433"/>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32" dataDxfId="431"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30"/>
    <tableColumn id="2" xr3:uid="{BBD9A28E-9144-4A75-B4E2-101A86320BD7}" name="Amount applied (t/hectare)" dataDxfId="429"/>
    <tableColumn id="4" xr3:uid="{28D6DB55-F183-4018-A8CF-F5EECD3B6F14}" name="Application area (ha)" dataDxfId="428">
      <calculatedColumnFormula>$E$9</calculatedColumnFormula>
    </tableColumn>
    <tableColumn id="3" xr3:uid="{A873C277-F431-4770-984D-50E37F5B322A}" name="Total amount applied (t)" dataDxfId="427"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26">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25"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24"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23">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22" dataCellStyle="Input select"/>
    <tableColumn id="2" xr3:uid="{5B0AEBA4-AB33-4382-8634-3F4C8D3B2A9B}" name="Number of head treated" dataDxfId="421"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20" dataCellStyle="Input select"/>
    <tableColumn id="2" xr3:uid="{FA43F52A-7609-4014-A6D3-CAC2C970F57C}" name="Purchase class (select)" dataDxfId="419" dataCellStyle="Input select"/>
    <tableColumn id="6" xr3:uid="{41EDEC1E-1793-4BBD-B0C8-66DE9A0925D5}" name="Source region (Select)" dataDxfId="418"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17">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16"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15">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14"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13"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12"/>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411"/>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10"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09"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08"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07"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06"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0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04"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03"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02"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01"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00"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39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39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397"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396"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395"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394"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393"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39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39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39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389"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388"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387"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386"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385"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38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8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82"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81"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80"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79"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78"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7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7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75"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74"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73"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72"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71"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7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6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68"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67"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66"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65"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64"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6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6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6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6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5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5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5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5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5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54"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53"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52"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51"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50"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4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4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47"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46"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45"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44"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43"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4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41"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40"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39"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38"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K52:K62" totalsRowShown="0">
  <autoFilter ref="K52:K62"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3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3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3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34"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33"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32"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31"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30" dataDxfId="3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28">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27">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26">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25">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24">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23">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22">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20" dataDxfId="3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18">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17">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16">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15">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14">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13">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12">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11">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09" dataDxfId="308">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07"/>
    <tableColumn id="2" xr3:uid="{3CFB3B0E-6A3D-4336-A2F5-7D46AE54C335}" name="Power standalone machinery or heating" dataDxfId="306"/>
    <tableColumn id="3" xr3:uid="{5AAA1831-5C5E-4C84-BCC2-2E78A9B5258B}" name="Aviation" dataDxfId="305"/>
    <tableColumn id="5" xr3:uid="{F1BD91A4-832F-462E-8EB0-A84767662BE4}" name="Cars and light commercial vehicles" dataDxfId="304"/>
    <tableColumn id="7" xr3:uid="{E9B8BAAB-717E-44AB-B2F8-3E5C76D4FFB0}" name="Off-road Agriculture and forestry equipment" dataDxfId="303" dataCellStyle="Content bold"/>
    <tableColumn id="8" xr3:uid="{63E9DB80-5FD4-4E13-BBFC-A35B40E9C88C}" name="Vessels" dataDxfId="302" dataCellStyle="Content bold"/>
    <tableColumn id="6" xr3:uid="{EF6CDD99-C67B-4B96-AB3B-8313822AD3CF}" name="General use" dataDxfId="301"/>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00" dataDxfId="2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298">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297">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296">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295">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294">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293">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2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291" totalsRowDxfId="290">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289">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288">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2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2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2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2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2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2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2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28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27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27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27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27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27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274"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273"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272"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271"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270"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269"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268"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267"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266"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26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26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6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62"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6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60"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5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58"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5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5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5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54"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53"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52"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51"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50"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49"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48"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47"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4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45" dataCellStyle="Content norma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44" dataCellStyle="Content normal"/>
    <tableColumn id="2" xr3:uid="{3C9E3AB6-C1FA-4D37-B176-5BB0B449AAD7}" name="VS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43"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42"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41"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40"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3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38" dataCellStyle="Content normal">
  <autoFilter ref="D78:E82" xr:uid="{E34928EB-73E5-43B2-830B-089F30DA4EF0}">
    <filterColumn colId="0" hiddenButton="1"/>
    <filterColumn colId="1" hiddenButton="1"/>
  </autoFilter>
  <tableColumns count="2">
    <tableColumn id="1" xr3:uid="{CAD0F086-96AD-478F-9F97-BB910BCF2E2C}" name="Class" dataDxfId="237"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3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35"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34"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33"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3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3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30"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29"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28"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2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26"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2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24"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23"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22"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2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2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19"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18"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17"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16"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1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14"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13"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12"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11"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10"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09"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08"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07"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0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05"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04"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0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0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0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0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19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19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197"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19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195"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19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193"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192"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191"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190"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189"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188"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187"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186"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185"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1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1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1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1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1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1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1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1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1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1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1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173"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O22</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1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1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1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1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1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1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1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1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164"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5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4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4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3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28" dataCellStyle="Content normal">
      <calculatedColumnFormula>D351</calculatedColumnFormula>
    </tableColumn>
    <tableColumn id="2" xr3:uid="{3A500914-DEBE-4A5B-9EFF-C566204ADAFE}" name="Bulls &lt; 1 year" dataDxfId="127" dataCellStyle="Content normal">
      <calculatedColumnFormula>E351</calculatedColumnFormula>
    </tableColumn>
    <tableColumn id="3" xr3:uid="{B874FEE3-562E-454F-BDBC-45043393C99C}" name="Bulls &gt; 1 year" dataDxfId="126" dataCellStyle="Content normal">
      <calculatedColumnFormula>F351</calculatedColumnFormula>
    </tableColumn>
    <tableColumn id="4" xr3:uid="{B5355347-A1F0-4973-A512-0D2CAACA96EE}" name="Cows &lt; 1 year" dataDxfId="125" dataCellStyle="Content normal">
      <calculatedColumnFormula>G351</calculatedColumnFormula>
    </tableColumn>
    <tableColumn id="5" xr3:uid="{77A191F8-38C3-4F24-9EFF-980D069BC04A}" name="Cows 1-2 years" dataDxfId="124" dataCellStyle="Content normal">
      <calculatedColumnFormula>H351</calculatedColumnFormula>
    </tableColumn>
    <tableColumn id="6" xr3:uid="{C27A0FE8-EB36-45AD-85CC-54422EECF9D4}" name="Cows 2-3 years" dataDxfId="123" dataCellStyle="Content normal">
      <calculatedColumnFormula>I351</calculatedColumnFormula>
    </tableColumn>
    <tableColumn id="7" xr3:uid="{E45A02BC-2BD9-40C3-AA1C-086EE1B3CF4E}" name="Cows &gt; 3 years" dataDxfId="122" dataCellStyle="Content normal">
      <calculatedColumnFormula>I351</calculatedColumnFormula>
    </tableColumn>
    <tableColumn id="8" xr3:uid="{64BCADE5-A30C-422D-95A6-F7AB897FB775}" name="Steers &lt; 1 year" dataDxfId="121" dataCellStyle="Content normal">
      <calculatedColumnFormula>J351</calculatedColumnFormula>
    </tableColumn>
    <tableColumn id="9" xr3:uid="{A3AA722E-C9A8-476C-9FE8-DC46C3A6D9FA}" name="Steers 1-2 years" dataDxfId="120" dataCellStyle="Content normal">
      <calculatedColumnFormula>K351</calculatedColumnFormula>
    </tableColumn>
    <tableColumn id="10" xr3:uid="{CC7AE6BD-32DE-43F2-B3D8-F334FC0BA640}" name="Steers 2-3 years" dataDxfId="119" dataCellStyle="Content normal">
      <calculatedColumnFormula>K351</calculatedColumnFormula>
    </tableColumn>
    <tableColumn id="11" xr3:uid="{B364C281-70AB-4253-BEE3-56EAB88390C8}" name="Steers &gt;3 years" dataDxfId="118" dataCellStyle="Content normal">
      <calculatedColumnFormula>K351</calculatedColumnFormula>
    </tableColumn>
    <tableColumn id="12" xr3:uid="{1B567087-DFFB-45A9-97B9-5D55DA59D657}" name="State abbreviation" dataDxfId="117" dataCellStyle="Content normal">
      <calculatedColumnFormula>L351</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1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1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1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0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0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04" dataCellStyle="Content normal">
  <autoFilter ref="D40:E47" xr:uid="{879A0650-599F-46E3-BDCA-CF804D191F3B}">
    <filterColumn colId="0" hiddenButton="1"/>
    <filterColumn colId="1" hiddenButton="1"/>
  </autoFilter>
  <tableColumns count="2">
    <tableColumn id="1" xr3:uid="{F237F8B2-5CE9-4094-A201-E708B82BA8BF}" name="Product" dataDxfId="10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0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01" dataCellStyle="Content normal">
  <autoFilter ref="D51:E52" xr:uid="{5D161BB1-95E1-405D-861A-B4883D49A51C}">
    <filterColumn colId="0" hiddenButton="1"/>
    <filterColumn colId="1" hiddenButton="1"/>
  </autoFilter>
  <tableColumns count="2">
    <tableColumn id="1" xr3:uid="{44557688-3D5A-45A6-818D-F1328BB9ECC9}" name="Product" dataDxfId="100"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99"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98" dataCellStyle="Content normal">
  <autoFilter ref="D56:E57" xr:uid="{91542D18-4304-4E66-85EA-4F5A2B9391FE}">
    <filterColumn colId="0" hiddenButton="1"/>
    <filterColumn colId="1" hiddenButton="1"/>
  </autoFilter>
  <tableColumns count="2">
    <tableColumn id="1" xr3:uid="{B414FDE1-8B5E-4532-8C69-A9C006972E91}" name="Product" dataDxfId="9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9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95" dataCellStyle="Content normal">
  <autoFilter ref="D61:E62" xr:uid="{4B96D517-47DA-49C8-8030-0D501D458198}">
    <filterColumn colId="0" hiddenButton="1"/>
    <filterColumn colId="1" hiddenButton="1"/>
  </autoFilter>
  <tableColumns count="2">
    <tableColumn id="1" xr3:uid="{20B25AB9-804F-4D21-9C93-F44C0DAF008F}" name="Product" dataDxfId="9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9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92"/>
    <tableColumn id="2" xr3:uid="{B4717C55-1B95-4E74-B4A0-5CE7A609A36B}" name="Notes" totalsRowDxfId="91"/>
    <tableColumn id="3" xr3:uid="{D976AB1A-52FF-4FBD-9860-B9717ABA5514}" name="Company" totalsRowDxfId="90"/>
    <tableColumn id="4" xr3:uid="{D8F5EA32-4865-44AD-B9C7-F91CA2638E8B}" name="Product name" totalsRowDxfId="89"/>
    <tableColumn id="5" xr3:uid="{D241BEEC-C636-4A92-9BDB-FA8FAA1CAFB2}" name="Unit" totalsRowDxfId="88"/>
    <tableColumn id="6" xr3:uid="{78DBDBE9-27C7-4A0D-B9DA-9F57440C9DE9}" name="Density / gravity" totalsRowDxfId="87"/>
    <tableColumn id="7" xr3:uid="{A50CBE27-EC38-4A34-A2CE-1002E6BA3DD3}" name="Urea source" totalsRowDxfId="86"/>
    <tableColumn id="8" xr3:uid="{16B5D74A-9810-4E92-A540-3E051DC2151D}" name="Ammonia source" totalsRowDxfId="85"/>
    <tableColumn id="9" xr3:uid="{DA7A3BF5-8B40-4495-AD97-6B95B429B465}" name="Ingredient 1" totalsRowDxfId="84"/>
    <tableColumn id="10" xr3:uid="{2A0B8472-D8FF-4086-BE70-2E8BCA80080B}" name="Ingredient 1 percent" totalsRowDxfId="83"/>
    <tableColumn id="11" xr3:uid="{F12415FE-ED65-47A4-AFBE-CEA738CED011}" name="Ingredient 2" totalsRowDxfId="82"/>
    <tableColumn id="12" xr3:uid="{26500CB3-2A36-4020-8DCD-96905995028A}" name="Ingredient 2 percent" totalsRowDxfId="81"/>
    <tableColumn id="13" xr3:uid="{8F8E6FFC-24C1-4EC1-A491-92E852D1C21B}" name="Ingredient 3" totalsRowDxfId="80"/>
    <tableColumn id="14" xr3:uid="{0D08C50E-A1D4-4D59-8D20-E9C72FE59C88}" name="Ingredient 3 percent" totalsRowDxfId="79"/>
    <tableColumn id="15" xr3:uid="{E71FD370-71A1-4861-8573-8E095564A6C6}" name="Ingredient 4" totalsRowDxfId="78"/>
    <tableColumn id="16" xr3:uid="{05524065-59E0-4732-9D5C-80182402ACED}" name="Ingredient 4 percent" totalsRowDxfId="77"/>
    <tableColumn id="17" xr3:uid="{E73E9DAE-88FE-451C-83BB-46CE2CD11EAC}" name="Ingredient 5" totalsRowDxfId="76"/>
    <tableColumn id="18" xr3:uid="{E43B92CC-872A-4D81-AE03-F2A3A1AA9B65}" name="Ingredient 5 percent" totalsRowDxfId="75"/>
    <tableColumn id="19" xr3:uid="{877362A6-7696-4C2B-9AC9-A50CEF0951B6}" name="Ingredient 6" totalsRowDxfId="74"/>
    <tableColumn id="37" xr3:uid="{22756E59-4033-405C-B6C2-0A2E122D072F}" name="Ingredient 6 percent" totalsRowDxfId="73"/>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69" dataCellStyle="Content normal">
  <autoFilter ref="K19:L28" xr:uid="{27B93029-EB1F-4C4A-A946-CD673A8A6C46}">
    <filterColumn colId="0" hiddenButton="1"/>
    <filterColumn colId="1" hiddenButton="1"/>
  </autoFilter>
  <tableColumns count="2">
    <tableColumn id="1" xr3:uid="{D0F0FE53-48EF-4C1D-923D-46B182A1D219}"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66" dataCellStyle="Content normal">
  <autoFilter ref="Q19:R28" xr:uid="{791CEA59-796C-47AB-86BC-41E8F699030C}">
    <filterColumn colId="0" hiddenButton="1"/>
    <filterColumn colId="1" hiddenButton="1"/>
  </autoFilter>
  <tableColumns count="2">
    <tableColumn id="1" xr3:uid="{8D461AD8-9C85-4218-9322-36C1AD6A4022}"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63">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15B15F-4789-439B-8459-21C4B87158B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EC89E0-5C88-409C-B9B8-B275A1252901}" name="State/Territory">
      <calculatedColumnFormula array="1">Common_InputFunctions.Utility_DisplayArrayInTable(Common_SourceData.Common_SourceData_AustralianStatesTerritories_Data(),Table_AustralianStates[[#Headers],[State/Territory]],0)</calculatedColumnFormula>
    </tableColumn>
    <tableColumn id="2" xr3:uid="{95CAFEE4-0D98-417B-A353-D425528AF35F}" name="Common Name">
      <calculatedColumnFormula array="1">Common_InputFunctions.Utility_DisplayArrayInTable(Common_SourceData.Common_SourceData_AustralianStatesTerritories_Data(),Table_AustralianStates[[#Headers],[State/Territory]],0)</calculatedColumnFormula>
    </tableColumn>
    <tableColumn id="3" xr3:uid="{4DF8F1ED-ABE5-451B-BFC4-4A13715555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088F3-5718-4748-9EFF-7ABEF305328C}" name="Table_WASA4Areas" displayName="Table_WASA4Areas" ref="D20:D30" totalsRowShown="0">
  <autoFilter ref="D20:D30" xr:uid="{5FA81339-C6C8-4D36-BEEA-6C4AEDD9E676}">
    <filterColumn colId="0" hiddenButton="1"/>
  </autoFilter>
  <tableColumns count="1">
    <tableColumn id="1" xr3:uid="{AEC38D28-0805-4F40-9378-4204E1F8C1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205E2D-3FCB-4528-8709-D79FE1C61154}" name="Table_GWPData" displayName="Table_GWPData" ref="D36:E43" totalsRowShown="0">
  <autoFilter ref="D36:E43" xr:uid="{B8E87A66-3E41-4AD3-925D-01EE21B43D7A}">
    <filterColumn colId="0" hiddenButton="1"/>
    <filterColumn colId="1" hiddenButton="1"/>
  </autoFilter>
  <tableColumns count="2">
    <tableColumn id="1" xr3:uid="{8D09899D-B00D-42D4-B7F9-A8DDA69D9930}" name="Gas">
      <calculatedColumnFormula array="1">Common_InputFunctions.Utility_DisplayArrayInTable(Common_SourceData.Common_SourceData_GWP_Data(), Table_GWPData[[#Headers],[Gas]], 0)</calculatedColumnFormula>
    </tableColumn>
    <tableColumn id="2" xr3:uid="{363B8932-1BA0-4163-97E8-5F9E3DB153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74858A-0B40-4736-9994-233E62DCE42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F123607-A967-4932-BA15-33723C238978}" name="Gas">
      <calculatedColumnFormula array="1">Common_InputFunctions.Utility_DisplayArrayInTable(Common_SourceData.Common_SourceData_ConvertGasElementalToMolecular_Data(),Table_GasToMolecularConversionFactor[[#Headers],[Gas]], 0)</calculatedColumnFormula>
    </tableColumn>
    <tableColumn id="5" xr3:uid="{A76D0020-1FAF-4079-BC00-2858BADCC52A}"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3DF57-2749-4275-A29F-DE74DBEE1F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5B7BF30-CFCA-4E10-91FE-91069559A0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84546C-632C-4E9D-B59C-8A51890A0EA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E98829-F416-4CBD-964C-1A8519C4C3F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8532FA2-E5E7-41B8-A7AA-9D007421AAE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66DE1B-CCBE-481A-9599-4163121B1727}" name="MAT" totalsRowDxfId="527" totalsRowCellStyle="Content bold">
      <calculatedColumnFormula array="1">Common_InputFunctions.Utility_DisplayArrayInTable(Common_SourceData.Common_SourceData_ClimateZones_Data(), Table_SourceData_ClimateZones[[#Headers],[Climate zone]], 0)</calculatedColumnFormula>
    </tableColumn>
    <tableColumn id="3" xr3:uid="{8FDA33C3-2D94-4EF5-A88F-177E44BE28A1}" name="MAP" totalsRowDxfId="526" totalsRowCellStyle="Content bold">
      <calculatedColumnFormula array="1">Common_InputFunctions.Utility_DisplayArrayInTable(Common_SourceData.Common_SourceData_ClimateZones_Data(), Table_SourceData_ClimateZones[[#Headers],[Climate zone]], 0)</calculatedColumnFormula>
    </tableColumn>
    <tableColumn id="4" xr3:uid="{AFF89688-4F7D-47D7-B1FD-CC20FB42C7E8}" name="Frost days per year" totalsRowDxfId="525" totalsRowCellStyle="Content bold">
      <calculatedColumnFormula array="1">Common_InputFunctions.Utility_DisplayArrayInTable(Common_SourceData.Common_SourceData_ClimateZones_Data(), Table_SourceData_ClimateZones[[#Headers],[Climate zone]], 0)</calculatedColumnFormula>
    </tableColumn>
    <tableColumn id="5" xr3:uid="{417EADD7-F104-477A-9BEE-42A28663C457}" name="Elevation" totalsRowDxfId="524" totalsRowCellStyle="Content bold">
      <calculatedColumnFormula array="1">Common_InputFunctions.Utility_DisplayArrayInTable(Common_SourceData.Common_SourceData_ClimateZones_Data(), Table_SourceData_ClimateZones[[#Headers],[Climate zone]], 0)</calculatedColumnFormula>
    </tableColumn>
    <tableColumn id="6" xr3:uid="{E0C38FB6-4819-4C5F-877F-B112E11A2353}" name="MAP:PET" totalsRowDxfId="523" totalsRowCellStyle="Content bold">
      <calculatedColumnFormula array="1">Common_InputFunctions.Utility_DisplayArrayInTable(Common_SourceData.Common_SourceData_ClimateZones_Data(), Table_SourceData_ClimateZones[[#Headers],[Climate zone]], 0)</calculatedColumnFormula>
    </tableColumn>
    <tableColumn id="7" xr3:uid="{BD6C7770-6A7F-458C-A92A-1F0B7E9B51E3}" name="Min temp" totalsRowDxfId="522" totalsRowCellStyle="Content bold">
      <calculatedColumnFormula array="1">Common_InputFunctions.Utility_DisplayArrayInTable(Common_SourceData.Common_SourceData_ClimateZones_Data(), Table_SourceData_ClimateZones[[#Headers],[Climate zone]], 0)</calculatedColumnFormula>
    </tableColumn>
    <tableColumn id="8" xr3:uid="{21F7B52A-B6C0-415F-A401-601B91F61992}" name="Max temp" totalsRowDxfId="521" totalsRowCellStyle="Content bold">
      <calculatedColumnFormula array="1">Common_InputFunctions.Utility_DisplayArrayInTable(Common_SourceData.Common_SourceData_ClimateZones_Data(), Table_SourceData_ClimateZones[[#Headers],[Climate zone]], 0)</calculatedColumnFormula>
    </tableColumn>
    <tableColumn id="9" xr3:uid="{4429DD81-062C-41FF-B818-D7F6A4D629C9}" name="Min rainfall" totalsRowDxfId="520" totalsRowCellStyle="Content bold">
      <calculatedColumnFormula array="1">Common_InputFunctions.Utility_DisplayArrayInTable(Common_SourceData.Common_SourceData_ClimateZones_Data(), Table_SourceData_ClimateZones[[#Headers],[Climate zone]], 0)</calculatedColumnFormula>
    </tableColumn>
    <tableColumn id="10" xr3:uid="{01BF97FB-EB58-46DF-9D38-CA4C756D54D9}" name="Max rainfall" totalsRowDxfId="519" totalsRowCellStyle="Content bold">
      <calculatedColumnFormula array="1">Common_InputFunctions.Utility_DisplayArrayInTable(Common_SourceData.Common_SourceData_ClimateZones_Data(), Table_SourceData_ClimateZones[[#Headers],[Climate zone]], 0)</calculatedColumnFormula>
    </tableColumn>
    <tableColumn id="11" xr3:uid="{91A088CD-B67A-4A6B-9E96-2AF9327217A8}" name="Min frost days" totalsRowDxfId="518" totalsRowCellStyle="Content bold">
      <calculatedColumnFormula array="1">Common_InputFunctions.Utility_DisplayArrayInTable(Common_SourceData.Common_SourceData_ClimateZones_Data(), Table_SourceData_ClimateZones[[#Headers],[Climate zone]], 0)</calculatedColumnFormula>
    </tableColumn>
    <tableColumn id="15" xr3:uid="{442CDA34-723E-4A7A-B552-539380A2F9A3}" name="Max frost days" totalsRowDxfId="517" totalsRowCellStyle="Content bold">
      <calculatedColumnFormula array="1">Common_InputFunctions.Utility_DisplayArrayInTable(Common_SourceData.Common_SourceData_ClimateZones_Data(), Table_SourceData_ClimateZones[[#Headers],[Climate zone]], 0)</calculatedColumnFormula>
    </tableColumn>
    <tableColumn id="12" xr3:uid="{C526D8E8-BA00-41CF-91E3-A0E6BEE6D40D}" name="Min elevation" totalsRowDxfId="516" totalsRowCellStyle="Content bold">
      <calculatedColumnFormula array="1">Common_InputFunctions.Utility_DisplayArrayInTable(Common_SourceData.Common_SourceData_ClimateZones_Data(), Table_SourceData_ClimateZones[[#Headers],[Climate zone]], 0)</calculatedColumnFormula>
    </tableColumn>
    <tableColumn id="16" xr3:uid="{033767DA-F8E2-4C65-9943-6B5932BF6623}" name="Max elevation" totalsRowDxfId="515" totalsRowCellStyle="Content bold">
      <calculatedColumnFormula array="1">Common_InputFunctions.Utility_DisplayArrayInTable(Common_SourceData.Common_SourceData_ClimateZones_Data(), Table_SourceData_ClimateZones[[#Headers],[Climate zone]], 0)</calculatedColumnFormula>
    </tableColumn>
    <tableColumn id="13" xr3:uid="{CC11E781-6740-44F0-8E56-92474BDB622E}" name="Min MAP:PET" totalsRowDxfId="514" totalsRowCellStyle="Content bold">
      <calculatedColumnFormula array="1">Common_InputFunctions.Utility_DisplayArrayInTable(Common_SourceData.Common_SourceData_ClimateZones_Data(), Table_SourceData_ClimateZones[[#Headers],[Climate zone]], 0)</calculatedColumnFormula>
    </tableColumn>
    <tableColumn id="17" xr3:uid="{D487D136-489F-42E5-9A8D-01EC5BADE055}" name="Max MAP:PET" totalsRowDxfId="51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C6CAC7-104E-4F9C-BE41-A87DC5291E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BBB6B1-D087-4CA0-8FBF-2F85A26E3C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F36A35-DF4B-476B-B0AE-2E4F9DFD8F54}" name="Wet or Dry Zone" totalsRowDxfId="51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C22326-5593-458B-913D-7357C04254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8BB2F60-DBF5-4808-AB13-4A551B9CE969}" name="Temperature Zone">
      <calculatedColumnFormula array="1">Common_InputFunctions.Utility_DisplayArrayInTable(Common_SourceData.Common_SourceData_TemperatureZones_Data(),Table_SourceData_TemperatureZones[[#Headers],[Temperature Zone]],0)</calculatedColumnFormula>
    </tableColumn>
    <tableColumn id="2" xr3:uid="{92C57346-3DDD-4E68-96A7-CB7F3105AA9C}" name="MAT">
      <calculatedColumnFormula array="1">Common_InputFunctions.Utility_DisplayArrayInTable(Common_SourceData.Common_SourceData_TemperatureZones_Data(),Table_SourceData_TemperatureZones[[#Headers],[Temperature Zone]],0)</calculatedColumnFormula>
    </tableColumn>
    <tableColumn id="3" xr3:uid="{C245C5B5-CE51-445C-A68C-180C5B8C78EE}" name="Min MAT">
      <calculatedColumnFormula array="1">Common_InputFunctions.Utility_DisplayArrayInTable(Common_SourceData.Common_SourceData_TemperatureZones_Data(),Table_SourceData_TemperatureZones[[#Headers],[Temperature Zone]],0)</calculatedColumnFormula>
    </tableColumn>
    <tableColumn id="4" xr3:uid="{34CA3FA1-F43C-4DB3-864C-51B135074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B739F55-C8AC-4502-9DA8-797DAD5AA8D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45587B-0AB3-4814-8D68-F36B5523E0E6}" name="Rainfall Zone">
      <calculatedColumnFormula array="1">Common_InputFunctions.Utility_DisplayArrayInTable(Common_SourceData.Common_SourceData_RainfallZones_Data(),Table_SourceData_RainfallZones[[#Headers],[Rainfall Zone]],0)</calculatedColumnFormula>
    </tableColumn>
    <tableColumn id="2" xr3:uid="{F3046930-DD00-4896-BE8C-720AA35F9A67}" name="Annual rainfall">
      <calculatedColumnFormula array="1">Common_InputFunctions.Utility_DisplayArrayInTable(Common_SourceData.Common_SourceData_RainfallZones_Data(),Table_SourceData_RainfallZones[[#Headers],[Rainfall Zone]],0)</calculatedColumnFormula>
    </tableColumn>
    <tableColumn id="3" xr3:uid="{BE26C532-A63D-4B15-A4E5-C983B019E3D2}" name="Min rainfall">
      <calculatedColumnFormula array="1">Common_InputFunctions.Utility_DisplayArrayInTable(Common_SourceData.Common_SourceData_RainfallZones_Data(),Table_SourceData_RainfallZones[[#Headers],[Rainfall Zone]],0)</calculatedColumnFormula>
    </tableColumn>
    <tableColumn id="4" xr3:uid="{DB8DADF2-E3F4-40D0-BC55-CE26512973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997F058-4A05-4304-92D8-A312163014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8724587-46D0-4895-A1FB-2B91B9875F11}" name="Leaching Zone">
      <calculatedColumnFormula array="1">Common_InputFunctions.Utility_DisplayArrayInTable(Common_SourceData.Common_SourceData_LeachingZones_Data(), Table_SourceData_LeachingZones[[#Headers],[Leaching Zone]], 0)</calculatedColumnFormula>
    </tableColumn>
    <tableColumn id="2" xr3:uid="{F94C6400-DD50-4146-A1FC-E21E6A9D8E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E2B6FF-ED3D-44DF-9365-2D78C8D93F9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D92F28-FDF8-4D29-A027-5CE853565E89}" name="Data source">
      <calculatedColumnFormula array="1">Common_InputFunctions.Utility_DisplayArrayInTable(Common_SourceData.Common_SourceData_DataScores_Scope3_Data(), Table_SourceData_DataScores_Scope3[[#Headers],[Data source]], 0)</calculatedColumnFormula>
    </tableColumn>
    <tableColumn id="2" xr3:uid="{FC5AF7B2-A6A9-4FFE-8A47-F9C2804A1F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3F8CD-12DF-4375-96FB-F99A0E02CFFA}" name="Table_SourceData_FracWET" displayName="Table_SourceData_FracWET" ref="D134:E136" totalsRowShown="0">
  <autoFilter ref="D134:E136" xr:uid="{308E99BE-FE1F-47A4-B2CA-97217277C4E9}">
    <filterColumn colId="0" hiddenButton="1"/>
    <filterColumn colId="1" hiddenButton="1"/>
  </autoFilter>
  <tableColumns count="2">
    <tableColumn id="1" xr3:uid="{EC51B66F-AF4F-423C-B743-AFC891D7017E}" name="Is in leaching zone">
      <calculatedColumnFormula array="1">Common_InputFunctions.Utility_DisplayArrayInTable(Common_SourceData.Common_SourceData_FracWET_Data(),Table_SourceData_FracWET[[#Headers],[Is in leaching zone]],0)</calculatedColumnFormula>
    </tableColumn>
    <tableColumn id="2" xr3:uid="{9126573D-3333-4096-A32F-FBC651764A8C}" name="FracWET" dataDxfId="51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74A52FB-D2A1-4AF5-9A94-20D7C6A2EFB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BAAB6D2-2B5C-4DDE-BA8E-58FAFBB97563}" name="Production system j">
      <calculatedColumnFormula array="1">Common_InputFunctions.Utility_DisplayArrayInTable(Common_SourceData.Common_SourceData_EFN2O_Data(), Table_SourceData_Common_EFN2O[[#Headers],[Production system j]], 0)</calculatedColumnFormula>
    </tableColumn>
    <tableColumn id="2" xr3:uid="{AC2459AD-5F89-4C94-A444-CA88889BD9F1}" name="EFN2O">
      <calculatedColumnFormula array="1">Common_InputFunctions.Utility_DisplayArrayInTable(Common_SourceData.Common_SourceData_EFN2O_Data(), Table_SourceData_Common_EFN2O[[#Headers],[Production system j]], 0)</calculatedColumnFormula>
    </tableColumn>
    <tableColumn id="3" xr3:uid="{FB3F9D8E-F84A-478E-95C1-E0D7AE22DD17}" name="Production system only">
      <calculatedColumnFormula array="1">Common_InputFunctions.Utility_DisplayArrayInTable(Common_SourceData.Common_SourceData_EFN2O_Data(), Table_SourceData_Common_EFN2O[[#Headers],[Production system j]], 0)</calculatedColumnFormula>
    </tableColumn>
    <tableColumn id="4" xr3:uid="{144A79BC-D64C-4A6E-9F19-FEE59BCCB76B}" name="Irrigation method">
      <calculatedColumnFormula array="1">Common_InputFunctions.Utility_DisplayArrayInTable(Common_SourceData.Common_SourceData_EFN2O_Data(), Table_SourceData_Common_EFN2O[[#Headers],[Production system j]], 0)</calculatedColumnFormula>
    </tableColumn>
    <tableColumn id="5" xr3:uid="{479D1EC8-A3DB-4067-86B6-89376E09F66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BF4681-A4D7-403D-8E02-BA3DEB3947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148B61B-60CC-48C0-8FBD-63E8617E5A82}" name="Irrigation type i">
      <calculatedColumnFormula array="1">Common_InputFunctions.Utility_DisplayArrayInTable(Common_SourceData.Common_SourceData_FracWETIrrigation_Data(), Table_SourceData_FracWETIrrigation[[#Headers],[Irrigation type i]], 0)</calculatedColumnFormula>
    </tableColumn>
    <tableColumn id="2" xr3:uid="{30D30194-73BF-4762-A67F-87AFFA79AD7D}" name="FracWET" dataDxfId="51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AB55E7-79E4-4354-8EEB-5D50F45969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2A27C0E-7383-4029-8246-9C226AFCDC6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94B839-16A9-477F-B7EA-F2BE40CB1F4F}" name="EFPRP" dataDxfId="50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87446E5-6DD5-4502-9D68-2470042FDF7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0F4963-419B-4520-A92C-72E9F6322351}" name="Month">
      <calculatedColumnFormula array="1">Common_InputFunctions.Utility_DisplayArrayInTable(Common_SourceData.Common_SourceData_MonthsToSeasons_Data(), Table_SourceData_Common_MonthToSeason[[#Headers],[Month]], 0)</calculatedColumnFormula>
    </tableColumn>
    <tableColumn id="2" xr3:uid="{A27CC605-0910-4EA1-B083-DD2C970E9ECD}" name="Season" dataDxfId="50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04342A-878F-4C36-8448-100A4B2E64A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AB4C84-7352-492E-A482-F24766C41D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1B0A925-E4B9-4544-88B7-DD04E2FB58F1}" name="MAT (ºC)" dataDxfId="5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DA5C7A-79D6-409E-8E8C-39E37DEE3362}" name="Anaerobic lagoon" dataDxfId="5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56CAA63-AEF8-4391-BE05-1DF3B8F3F637}" name="Digester / covered lagoons" dataDxfId="5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04E06E-D129-4B79-A3B7-3759E5FD71BB}" name="Liquid systems" dataDxfId="5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83F92F-7046-4677-ADC2-386F42043D71}" name="Daily spread" dataDxfId="5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C767C2-06FE-46B8-BA5D-FC22C9618A64}" name="Composting (passive windrow)" dataDxfId="5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EEC261-E5DD-42C5-9B1F-C3DB9FC5C5D5}" name="Solid storage" dataDxfId="5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0DCC47D-B37C-4EFF-8970-A037A95A00EB}" name="Pit storage" dataDxfId="5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0EC4341-7DE5-4DE9-8BC5-D38EEDC6776F}" name="Deep litter" dataDxfId="4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C07132-E7BD-44AC-B472-204A8A0342DA}" name="Poultry manure with bedding" dataDxfId="4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1CD0A79-5068-46D7-920D-F43251D7BA03}" name="Poultry manure without bedding" dataDxfId="4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85E6B26-D152-4C2E-B5B0-A4B2C555A253}" name="Direct processing" dataDxfId="4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21408B8-9642-48AA-A5CF-E96F5CB33415}" name="Direct application" dataDxfId="4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B5D497-34A5-4A32-9CF3-3215455B52C8}" name="Pasture range and paddock" dataDxfId="4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67AB098-A04C-4883-80DE-73B63FCB5DC5}" name="MAT raw" dataDxfId="4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F2DD1E-5362-41D4-AAA9-853C46C0DD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84BDA5E-7080-4DAB-9ED0-03BE230953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7FEBB6A-38B0-400B-8302-2CA80BA95E66}" name="EFNi &amp; EFN2Oi" dataDxfId="49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31" Type="http://schemas.openxmlformats.org/officeDocument/2006/relationships/table" Target="../tables/table52.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8.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2.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9.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2" Type="http://schemas.openxmlformats.org/officeDocument/2006/relationships/table" Target="../tables/table78.xml"/><Relationship Id="rId1" Type="http://schemas.openxmlformats.org/officeDocument/2006/relationships/table" Target="../tables/table77.xml"/><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8.xml"/><Relationship Id="rId13" Type="http://schemas.openxmlformats.org/officeDocument/2006/relationships/table" Target="../tables/table103.xml"/><Relationship Id="rId3" Type="http://schemas.openxmlformats.org/officeDocument/2006/relationships/table" Target="../tables/table93.xml"/><Relationship Id="rId7" Type="http://schemas.openxmlformats.org/officeDocument/2006/relationships/table" Target="../tables/table97.xml"/><Relationship Id="rId12" Type="http://schemas.openxmlformats.org/officeDocument/2006/relationships/table" Target="../tables/table102.xml"/><Relationship Id="rId2" Type="http://schemas.openxmlformats.org/officeDocument/2006/relationships/table" Target="../tables/table92.xml"/><Relationship Id="rId1" Type="http://schemas.openxmlformats.org/officeDocument/2006/relationships/table" Target="../tables/table91.xml"/><Relationship Id="rId6" Type="http://schemas.openxmlformats.org/officeDocument/2006/relationships/table" Target="../tables/table96.xml"/><Relationship Id="rId11" Type="http://schemas.openxmlformats.org/officeDocument/2006/relationships/table" Target="../tables/table101.xml"/><Relationship Id="rId5" Type="http://schemas.openxmlformats.org/officeDocument/2006/relationships/table" Target="../tables/table95.xml"/><Relationship Id="rId15" Type="http://schemas.openxmlformats.org/officeDocument/2006/relationships/table" Target="../tables/table105.xml"/><Relationship Id="rId10" Type="http://schemas.openxmlformats.org/officeDocument/2006/relationships/table" Target="../tables/table100.xml"/><Relationship Id="rId4" Type="http://schemas.openxmlformats.org/officeDocument/2006/relationships/table" Target="../tables/table94.xml"/><Relationship Id="rId9" Type="http://schemas.openxmlformats.org/officeDocument/2006/relationships/table" Target="../tables/table99.xml"/><Relationship Id="rId14" Type="http://schemas.openxmlformats.org/officeDocument/2006/relationships/table" Target="../tables/table104.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3.xml"/><Relationship Id="rId13" Type="http://schemas.openxmlformats.org/officeDocument/2006/relationships/table" Target="../tables/table118.xml"/><Relationship Id="rId18" Type="http://schemas.openxmlformats.org/officeDocument/2006/relationships/table" Target="../tables/table123.xml"/><Relationship Id="rId3" Type="http://schemas.openxmlformats.org/officeDocument/2006/relationships/table" Target="../tables/table108.xml"/><Relationship Id="rId21" Type="http://schemas.openxmlformats.org/officeDocument/2006/relationships/table" Target="../tables/table126.xml"/><Relationship Id="rId7" Type="http://schemas.openxmlformats.org/officeDocument/2006/relationships/table" Target="../tables/table112.xml"/><Relationship Id="rId12" Type="http://schemas.openxmlformats.org/officeDocument/2006/relationships/table" Target="../tables/table117.xml"/><Relationship Id="rId17" Type="http://schemas.openxmlformats.org/officeDocument/2006/relationships/table" Target="../tables/table122.xml"/><Relationship Id="rId2" Type="http://schemas.openxmlformats.org/officeDocument/2006/relationships/table" Target="../tables/table107.xml"/><Relationship Id="rId16" Type="http://schemas.openxmlformats.org/officeDocument/2006/relationships/table" Target="../tables/table121.xml"/><Relationship Id="rId20" Type="http://schemas.openxmlformats.org/officeDocument/2006/relationships/table" Target="../tables/table125.xml"/><Relationship Id="rId1" Type="http://schemas.openxmlformats.org/officeDocument/2006/relationships/table" Target="../tables/table106.xml"/><Relationship Id="rId6" Type="http://schemas.openxmlformats.org/officeDocument/2006/relationships/table" Target="../tables/table111.xml"/><Relationship Id="rId11" Type="http://schemas.openxmlformats.org/officeDocument/2006/relationships/table" Target="../tables/table116.xml"/><Relationship Id="rId24" Type="http://schemas.openxmlformats.org/officeDocument/2006/relationships/table" Target="../tables/table129.xml"/><Relationship Id="rId5" Type="http://schemas.openxmlformats.org/officeDocument/2006/relationships/table" Target="../tables/table110.xml"/><Relationship Id="rId15" Type="http://schemas.openxmlformats.org/officeDocument/2006/relationships/table" Target="../tables/table120.xml"/><Relationship Id="rId23" Type="http://schemas.openxmlformats.org/officeDocument/2006/relationships/table" Target="../tables/table128.xml"/><Relationship Id="rId10" Type="http://schemas.openxmlformats.org/officeDocument/2006/relationships/table" Target="../tables/table115.xml"/><Relationship Id="rId19" Type="http://schemas.openxmlformats.org/officeDocument/2006/relationships/table" Target="../tables/table124.xml"/><Relationship Id="rId4" Type="http://schemas.openxmlformats.org/officeDocument/2006/relationships/table" Target="../tables/table109.xml"/><Relationship Id="rId9" Type="http://schemas.openxmlformats.org/officeDocument/2006/relationships/table" Target="../tables/table114.xml"/><Relationship Id="rId14" Type="http://schemas.openxmlformats.org/officeDocument/2006/relationships/table" Target="../tables/table119.xml"/><Relationship Id="rId22"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6" t="s">
        <v>854</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workbookViewId="0">
      <selection activeCell="D15" sqref="D15"/>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6" t="s">
        <v>855</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c r="D5" s="9" t="s">
        <v>856</v>
      </c>
      <c r="E5" s="218"/>
      <c r="F5" s="218"/>
      <c r="G5" s="218"/>
      <c r="H5" s="9"/>
      <c r="I5" s="9"/>
      <c r="J5" s="9"/>
    </row>
    <row r="6" spans="3:12" ht="20.100000000000001" customHeight="1" x14ac:dyDescent="0.3">
      <c r="D6" s="219"/>
      <c r="E6" s="220"/>
      <c r="F6" s="220"/>
      <c r="G6" s="220"/>
      <c r="H6" s="218"/>
      <c r="I6" s="153"/>
      <c r="J6" s="153"/>
    </row>
    <row r="7" spans="3:12" ht="20.100000000000001" customHeight="1" x14ac:dyDescent="0.25">
      <c r="D7" s="99" t="s">
        <v>857</v>
      </c>
      <c r="E7" s="115"/>
      <c r="F7" s="100"/>
      <c r="G7" s="153"/>
      <c r="H7" s="153"/>
      <c r="I7" s="153"/>
      <c r="J7" s="153"/>
    </row>
    <row r="8" spans="3:12" ht="20.100000000000001" customHeight="1" x14ac:dyDescent="0.25">
      <c r="D8" s="153"/>
      <c r="E8" s="153"/>
      <c r="F8" s="153"/>
      <c r="G8" s="153"/>
      <c r="H8" s="153"/>
      <c r="I8" s="153"/>
      <c r="J8" s="153"/>
    </row>
    <row r="9" spans="3:12" ht="20.100000000000001" customHeight="1" x14ac:dyDescent="0.25">
      <c r="D9" s="221" t="s">
        <v>858</v>
      </c>
      <c r="E9" s="221" t="s">
        <v>859</v>
      </c>
      <c r="F9" s="221" t="s">
        <v>860</v>
      </c>
      <c r="G9" s="221"/>
    </row>
    <row r="10" spans="3:12" ht="20.100000000000001" customHeight="1" x14ac:dyDescent="0.25">
      <c r="C10" s="8" t="str" cm="1">
        <f t="array" ref="C10">Common_InputFunctions.Utility_ResultsItemFromEquationTitleAndSource('15 Scope 3'!D5,'15 Scope 3'!D6)</f>
        <v>15.1.1.1 Total emissions from purchased livestock</v>
      </c>
      <c r="D10" s="226" t="str" cm="1">
        <f t="array" aca="1" ref="D10" ca="1">HYPERLINK(Common_InputFunctions.Utility_SourceHyperlinkDifferentSheet('15 Scope 3'!D5), C10)</f>
        <v>15.1.1.1 Total emissions from purchased livestock</v>
      </c>
      <c r="E10" s="222"/>
      <c r="F10" s="222"/>
      <c r="G10" s="13" t="s">
        <v>861</v>
      </c>
    </row>
    <row r="11" spans="3:12" ht="20.100000000000001" customHeight="1" x14ac:dyDescent="0.25">
      <c r="D11" s="225" t="str">
        <f>'15 Scope 3'!D21</f>
        <v>Beef cattle</v>
      </c>
      <c r="E11" s="222">
        <f>'15 Scope 3'!E34</f>
        <v>1052.5</v>
      </c>
      <c r="F11" s="222">
        <f>'15 Scope 3'!E35</f>
        <v>1014.5</v>
      </c>
      <c r="G11" s="13" t="s">
        <v>861</v>
      </c>
    </row>
    <row r="12" spans="3:12" ht="20.100000000000001" customHeight="1" x14ac:dyDescent="0.25">
      <c r="D12" s="225" t="str">
        <f>'15 Scope 3'!D38</f>
        <v>Dairy cattle</v>
      </c>
      <c r="E12" s="222">
        <f>'15 Scope 3'!E53</f>
        <v>441</v>
      </c>
      <c r="F12" s="222">
        <f>'15 Scope 3'!E54</f>
        <v>415.625</v>
      </c>
      <c r="G12" s="13" t="s">
        <v>861</v>
      </c>
    </row>
    <row r="13" spans="3:12" ht="20.100000000000001" customHeight="1" x14ac:dyDescent="0.25">
      <c r="D13" s="225" t="str">
        <f>'15 Scope 3'!D57</f>
        <v>Pigs</v>
      </c>
      <c r="E13" s="222">
        <f>'15 Scope 3'!E72</f>
        <v>76.725999999999999</v>
      </c>
      <c r="F13" s="222">
        <f>'15 Scope 3'!E73</f>
        <v>73.38000000000001</v>
      </c>
      <c r="G13" s="13" t="s">
        <v>861</v>
      </c>
    </row>
    <row r="14" spans="3:12" ht="20.100000000000001" customHeight="1" x14ac:dyDescent="0.25">
      <c r="D14" s="225" t="str">
        <f>'15 Scope 3'!D75</f>
        <v>Poultry</v>
      </c>
      <c r="E14" s="222">
        <f>'15 Scope 3'!E90</f>
        <v>0.36720000000000003</v>
      </c>
      <c r="F14" s="222">
        <f>'15 Scope 3'!E91</f>
        <v>0.35940000000000005</v>
      </c>
      <c r="G14" s="13" t="s">
        <v>861</v>
      </c>
    </row>
    <row r="15" spans="3:12" ht="20.100000000000001" customHeight="1" x14ac:dyDescent="0.25">
      <c r="C15" s="226" t="str" cm="1">
        <f t="array" ref="C15">Common_InputFunctions.Utility_ResultsItemFromEquationTitleAndSource('15 Scope 3'!D98,'15 Scope 3'!D99)</f>
        <v>15.2.1.1 Emissions from purchased feed</v>
      </c>
      <c r="D15" s="226" t="str" cm="1">
        <f t="array" aca="1" ref="D15" ca="1">HYPERLINK(Common_InputFunctions.Utility_SourceHyperlinkDifferentSheet('15 Scope 3'!D98), C15)</f>
        <v>15.2.1.1 Emissions from purchased feed</v>
      </c>
      <c r="E15" s="222">
        <f>'15 Scope 3'!E144</f>
        <v>523.19680000000005</v>
      </c>
      <c r="F15" s="222">
        <f>'15 Scope 3'!E145</f>
        <v>512.78</v>
      </c>
      <c r="G15" s="13" t="s">
        <v>861</v>
      </c>
    </row>
    <row r="16" spans="3:12" ht="20.100000000000001" customHeight="1" x14ac:dyDescent="0.25">
      <c r="C16" s="226" t="str" cm="1">
        <f t="array" ref="C16">Common_InputFunctions.Utility_ResultsItemFromEquationTitleAndSource('15 Scope 3'!D149,'15 Scope 3'!D150)</f>
        <v>15.3.1.1 Total emissions from purchased mineral supplements</v>
      </c>
      <c r="D16" s="226" t="str" cm="1">
        <f t="array" aca="1" ref="D16" ca="1">HYPERLINK(Common_InputFunctions.Utility_SourceHyperlinkDifferentSheet('15 Scope 3'!D149), C16)</f>
        <v>15.3.1.1 Total emissions from purchased mineral supplements</v>
      </c>
      <c r="E16" s="222">
        <f>'15 Scope 3'!E166</f>
        <v>178.9</v>
      </c>
      <c r="F16" s="222">
        <f>'15 Scope 3'!E167</f>
        <v>160</v>
      </c>
      <c r="G16" s="13" t="s">
        <v>861</v>
      </c>
    </row>
    <row r="17" spans="4:8" ht="20.100000000000001" customHeight="1" x14ac:dyDescent="0.25">
      <c r="D17" s="226" t="str" cm="1">
        <f t="array" ref="D17">HYPERLINK('15 Scope 3'!D171, Common_InputFunctions.Utility_ResultsItemFromEquationTitleAndSource('15 Scope 3'!D186,'15 Scope 3'!D187))</f>
        <v>15.4.1.1 Emissions from purchased fertiliser</v>
      </c>
      <c r="E17" s="222">
        <f>'15 Scope 3'!E251</f>
        <v>53.822548254497605</v>
      </c>
      <c r="F17" s="222">
        <f>'15 Scope 3'!E252</f>
        <v>50.728065428338802</v>
      </c>
      <c r="G17" s="13" t="s">
        <v>861</v>
      </c>
    </row>
    <row r="18" spans="4:8" ht="20.100000000000001" customHeight="1" x14ac:dyDescent="0.25">
      <c r="D18" s="8" t="str" cm="1">
        <f t="array" ref="D18">Common_InputFunctions.Utility_ResultsItemFromEquationTitleAndSource('15 Scope 3'!D256,'15 Scope 3'!D257)</f>
        <v>15.5.1.1 Total emissions from purchased agrichemicals</v>
      </c>
      <c r="E18" s="222">
        <f>'15 Scope 3'!E283</f>
        <v>7.5159999999999991</v>
      </c>
      <c r="F18" s="222">
        <f>'15 Scope 3'!E284</f>
        <v>7.4959999999999996</v>
      </c>
      <c r="G18" s="13" t="s">
        <v>861</v>
      </c>
    </row>
    <row r="19" spans="4:8" ht="20.100000000000001" customHeight="1" x14ac:dyDescent="0.25">
      <c r="D19" s="8" t="str" cm="1">
        <f t="array" ref="D19">Common_InputFunctions.Utility_ResultsItemFromEquationTitleAndSource('15 Scope 3'!D288,'15 Scope 3'!D289)</f>
        <v>15.6.1.1 Embedded emissions for purchased lime</v>
      </c>
      <c r="E19" s="222">
        <f>'15 Scope 3'!E316</f>
        <v>1.0375999999999999</v>
      </c>
      <c r="F19" s="222">
        <f>'15 Scope 3'!E317</f>
        <v>0.89</v>
      </c>
      <c r="G19" s="13" t="s">
        <v>861</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2" t="s">
        <v>843</v>
      </c>
      <c r="F20" s="222">
        <f>'15 Scope 3'!E348</f>
        <v>42</v>
      </c>
      <c r="G20" s="13" t="s">
        <v>861</v>
      </c>
      <c r="H20" s="226" t="str" cm="1">
        <f t="array" aca="1" ref="H20" ca="1">HYPERLINK(Common_InputFunctions.Utility_SourceHyperlinkDifferentSheet('15 Scope 3'!D149), "test")</f>
        <v>test</v>
      </c>
    </row>
    <row r="21" spans="4:8" ht="20.100000000000001" customHeight="1" x14ac:dyDescent="0.25">
      <c r="D21" s="8" t="str" cm="1">
        <f t="array" ref="D21">Common_InputFunctions.Utility_ResultsItemFromEquationTitleAndSource('15 Scope 3'!D352,'15 Scope 3'!D353)</f>
        <v>15.8.1.1 Embedded emissions from use of packaging materials</v>
      </c>
      <c r="E21" s="222">
        <f>'15 Scope 3'!E378</f>
        <v>7.44</v>
      </c>
      <c r="F21" s="222">
        <f>'15 Scope 3'!E379</f>
        <v>6</v>
      </c>
      <c r="G21" s="13" t="s">
        <v>861</v>
      </c>
    </row>
    <row r="22" spans="4:8" ht="20.100000000000001" customHeight="1" x14ac:dyDescent="0.25">
      <c r="D22" s="8" t="str" cm="1">
        <f t="array" ref="D22">Common_InputFunctions.Utility_ResultsItemFromEquationTitleAndSource('15 Scope 3'!D383,'15 Scope 3'!D384)</f>
        <v>15.9.1.1 Embedded emissions from use of grow media products</v>
      </c>
      <c r="E22" s="222" t="str">
        <f>'15 Scope 3'!E410</f>
        <v>No data</v>
      </c>
      <c r="F22" s="222">
        <f>'15 Scope 3'!E411</f>
        <v>40.200000000000003</v>
      </c>
      <c r="G22" s="13" t="s">
        <v>861</v>
      </c>
    </row>
    <row r="23" spans="4:8" ht="20.100000000000001" customHeight="1" x14ac:dyDescent="0.25">
      <c r="D23" s="8" t="str" cm="1">
        <f t="array" ref="D23">Common_InputFunctions.Utility_ResultsItemFromEquationTitleAndSource('15 Scope 3'!D415,'15 Scope 3'!D416)</f>
        <v>15.10 Other purchased goods and services generic estimate</v>
      </c>
      <c r="E23" s="222"/>
      <c r="F23" s="222"/>
      <c r="G23" s="13" t="s">
        <v>861</v>
      </c>
    </row>
    <row r="24" spans="4:8" ht="20.100000000000001" customHeight="1" x14ac:dyDescent="0.25">
      <c r="D24" s="225" t="str">
        <f>'15 Scope 3'!D427</f>
        <v>Cleaning chemical purchases</v>
      </c>
      <c r="E24" s="222">
        <f>'15 Scope 3'!E441</f>
        <v>0.50509999999999999</v>
      </c>
      <c r="F24" s="222">
        <f>'15 Scope 3'!E442</f>
        <v>2.73</v>
      </c>
      <c r="G24" s="13" t="s">
        <v>861</v>
      </c>
    </row>
    <row r="25" spans="4:8" ht="20.100000000000001" customHeight="1" x14ac:dyDescent="0.25">
      <c r="D25" s="225" t="str">
        <f>'15 Scope 3'!D445</f>
        <v>Pharmacy chemical purchases</v>
      </c>
      <c r="E25" s="222">
        <f>'15 Scope 3'!E459</f>
        <v>1.5636000000000001E-2</v>
      </c>
      <c r="F25" s="222">
        <f>'15 Scope 3'!E460</f>
        <v>1.3400000000000002E-2</v>
      </c>
      <c r="G25" s="13" t="s">
        <v>861</v>
      </c>
    </row>
    <row r="26" spans="4:8" ht="20.100000000000001" customHeight="1" x14ac:dyDescent="0.25">
      <c r="D26" s="225" t="str">
        <f>'15 Scope 3'!D463</f>
        <v>Seed</v>
      </c>
      <c r="E26" s="222">
        <f>'15 Scope 3'!E472</f>
        <v>0.84389999999999998</v>
      </c>
      <c r="F26" s="222">
        <f>'15 Scope 3'!E473</f>
        <v>0.71420000000000006</v>
      </c>
      <c r="G26" s="13" t="s">
        <v>861</v>
      </c>
    </row>
    <row r="27" spans="4:8" ht="20.100000000000001" customHeight="1" x14ac:dyDescent="0.25">
      <c r="D27" s="225" t="str">
        <f>'15 Scope 3'!D476</f>
        <v>Miscellaneous Inputs</v>
      </c>
      <c r="E27" s="222">
        <f>'15 Scope 3'!E483</f>
        <v>2.9531000000000005</v>
      </c>
      <c r="F27" s="222">
        <f>'15 Scope 3'!E484</f>
        <v>8.5860000000000006E-2</v>
      </c>
      <c r="G27" s="13" t="s">
        <v>861</v>
      </c>
    </row>
    <row r="28" spans="4:8" ht="20.100000000000001" customHeight="1" x14ac:dyDescent="0.25">
      <c r="D28" s="225" t="str">
        <f>'15 Scope 3'!D487</f>
        <v>Uncategorised products with no Method 1 EF data</v>
      </c>
      <c r="E28" s="222" t="str">
        <f>'15 Scope 3'!E501</f>
        <v>No data</v>
      </c>
      <c r="F28" s="222">
        <f>'15 Scope 3'!E502</f>
        <v>4000</v>
      </c>
      <c r="G28" s="13" t="s">
        <v>861</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2">
        <f>'15 Scope 3'!E518</f>
        <v>0.13617600000000002</v>
      </c>
      <c r="F29" s="222">
        <f>E29</f>
        <v>0.13617600000000002</v>
      </c>
      <c r="G29" s="13" t="s">
        <v>861</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2">
        <f>'15 Scope 3'!E533</f>
        <v>0.03</v>
      </c>
      <c r="F30" s="222">
        <f>E30</f>
        <v>0.03</v>
      </c>
      <c r="G30" s="13" t="s">
        <v>861</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2">
        <f>'15 Scope 3'!E555</f>
        <v>12.15</v>
      </c>
      <c r="F31" s="222">
        <f>E31</f>
        <v>12.15</v>
      </c>
      <c r="G31" s="13" t="s">
        <v>861</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2">
        <f>'15 Scope 3'!E576</f>
        <v>3.7936642857142857</v>
      </c>
      <c r="F32" s="222">
        <f>E32</f>
        <v>3.7936642857142857</v>
      </c>
      <c r="G32" s="13" t="s">
        <v>861</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2">
        <f>'15 Scope 3'!E586</f>
        <v>330.84210000000002</v>
      </c>
      <c r="F33" s="222">
        <f>E33</f>
        <v>330.84210000000002</v>
      </c>
      <c r="G33" s="13" t="s">
        <v>861</v>
      </c>
    </row>
    <row r="34" spans="4:7" ht="20.100000000000001" customHeight="1" x14ac:dyDescent="0.25">
      <c r="D34" s="8" t="str" cm="1">
        <f t="array" ref="D34">Common_InputFunctions.Utility_ResultsItemFromEquationTitleAndSource('15 Scope 3'!D590,'15 Scope 3'!D591)</f>
        <v>15.14.1.1 Embedded emissions from upstream freight</v>
      </c>
      <c r="E34" s="222"/>
      <c r="F34" s="222"/>
      <c r="G34" s="13" t="s">
        <v>861</v>
      </c>
    </row>
    <row r="35" spans="4:7" ht="20.100000000000001" customHeight="1" x14ac:dyDescent="0.25">
      <c r="D35" s="225" t="str">
        <f>'15 Scope 3'!D604</f>
        <v>Incoming freight</v>
      </c>
      <c r="E35" s="222" t="str">
        <f>'15 Scope 3'!E618</f>
        <v>No data</v>
      </c>
      <c r="F35" s="222">
        <f>'15 Scope 3'!E619</f>
        <v>5146700</v>
      </c>
      <c r="G35" s="13" t="s">
        <v>861</v>
      </c>
    </row>
    <row r="36" spans="4:7" ht="20.100000000000001" customHeight="1" x14ac:dyDescent="0.25">
      <c r="D36" s="225" t="str">
        <f>'15 Scope 3'!D622</f>
        <v>Outgoing freight</v>
      </c>
      <c r="E36" s="222" t="str">
        <f>'15 Scope 3'!E636</f>
        <v>No data</v>
      </c>
      <c r="F36" s="222">
        <f>'15 Scope 3'!E637</f>
        <v>432640</v>
      </c>
      <c r="G36" s="13" t="s">
        <v>861</v>
      </c>
    </row>
    <row r="37" spans="4:7" ht="20.100000000000001" customHeight="1" x14ac:dyDescent="0.3">
      <c r="D37" s="223" t="s">
        <v>224</v>
      </c>
      <c r="E37" s="224">
        <f>SUM(E10:E36)</f>
        <v>2693.7758245402124</v>
      </c>
      <c r="F37" s="224">
        <f>SUM(F10:F36)</f>
        <v>5586014.4538657144</v>
      </c>
      <c r="G37" s="181" t="s">
        <v>861</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zoomScaleNormal="100" workbookViewId="0"/>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79" t="s">
        <v>303</v>
      </c>
      <c r="E7" s="179"/>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68" t="s">
        <v>309</v>
      </c>
      <c r="L10" s="168" t="s">
        <v>427</v>
      </c>
      <c r="M10" s="168" t="s">
        <v>310</v>
      </c>
      <c r="N10" s="168" t="s">
        <v>311</v>
      </c>
      <c r="O10" s="168" t="s">
        <v>428</v>
      </c>
      <c r="P10" s="168" t="s">
        <v>312</v>
      </c>
      <c r="Q10" s="168" t="s">
        <v>313</v>
      </c>
      <c r="R10" s="168"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86"/>
      <c r="E30" s="48"/>
      <c r="F30" s="69"/>
    </row>
    <row r="31" spans="3:18" ht="20.100000000000001" customHeight="1" x14ac:dyDescent="0.25">
      <c r="D31" s="86"/>
      <c r="E31" s="48"/>
      <c r="F31" s="69"/>
    </row>
    <row r="32" spans="3:18" ht="20.100000000000001" customHeight="1" x14ac:dyDescent="0.25">
      <c r="D32" s="86"/>
      <c r="E32" s="48"/>
      <c r="F32" s="69"/>
    </row>
    <row r="33" spans="3:6" ht="20.100000000000001" customHeight="1" x14ac:dyDescent="0.25">
      <c r="D33" s="86"/>
      <c r="E33" s="48"/>
      <c r="F33" s="69"/>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69" t="s">
        <v>377</v>
      </c>
      <c r="F38" s="156">
        <v>100</v>
      </c>
    </row>
    <row r="39" spans="3:6" ht="20.100000000000001" customHeight="1" x14ac:dyDescent="0.25">
      <c r="D39" s="86" t="s">
        <v>386</v>
      </c>
      <c r="E39" s="169" t="s">
        <v>378</v>
      </c>
      <c r="F39" s="156">
        <v>100</v>
      </c>
    </row>
    <row r="40" spans="3:6" ht="20.100000000000001" customHeight="1" x14ac:dyDescent="0.25">
      <c r="D40" s="86" t="s">
        <v>387</v>
      </c>
      <c r="E40" s="169" t="s">
        <v>379</v>
      </c>
      <c r="F40" s="156">
        <v>100</v>
      </c>
    </row>
    <row r="41" spans="3:6" ht="20.100000000000001" customHeight="1" x14ac:dyDescent="0.25">
      <c r="D41" s="86" t="s">
        <v>384</v>
      </c>
      <c r="E41" s="169" t="s">
        <v>376</v>
      </c>
      <c r="F41" s="156">
        <v>100</v>
      </c>
    </row>
    <row r="42" spans="3:6" ht="20.100000000000001" customHeight="1" x14ac:dyDescent="0.25">
      <c r="D42" s="86" t="s">
        <v>385</v>
      </c>
      <c r="E42" s="169" t="s">
        <v>377</v>
      </c>
      <c r="F42" s="156">
        <v>100</v>
      </c>
    </row>
    <row r="43" spans="3:6" ht="20.100000000000001" customHeight="1" x14ac:dyDescent="0.25">
      <c r="D43" s="86"/>
      <c r="E43" s="76"/>
      <c r="F43" s="69"/>
    </row>
    <row r="44" spans="3:6" ht="20.100000000000001" customHeight="1" x14ac:dyDescent="0.25">
      <c r="C44" s="8"/>
      <c r="D44" s="86"/>
      <c r="E44" s="76"/>
      <c r="F44" s="69"/>
    </row>
    <row r="45" spans="3:6" ht="20.100000000000001" customHeight="1" x14ac:dyDescent="0.25">
      <c r="C45" s="8"/>
      <c r="D45" s="86"/>
      <c r="E45" s="76"/>
      <c r="F45" s="69"/>
    </row>
    <row r="46" spans="3:6" ht="20.100000000000001" customHeight="1" x14ac:dyDescent="0.25">
      <c r="C46" s="8"/>
      <c r="D46" s="86"/>
      <c r="E46" s="76"/>
      <c r="F46" s="69"/>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68" t="s">
        <v>436</v>
      </c>
      <c r="K77" s="168"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6"/>
      <c r="E80" s="86"/>
      <c r="F80" s="155"/>
      <c r="G80" s="76"/>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6"/>
      <c r="E81" s="86"/>
      <c r="F81" s="155"/>
      <c r="G81" s="76"/>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6"/>
      <c r="E82" s="86"/>
      <c r="F82" s="155"/>
      <c r="G82" s="76"/>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6"/>
      <c r="E83" s="86"/>
      <c r="F83" s="155"/>
      <c r="G83" s="76"/>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6"/>
      <c r="E84" s="86"/>
      <c r="F84" s="155"/>
      <c r="G84" s="76"/>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6"/>
      <c r="E85" s="86"/>
      <c r="F85" s="155"/>
      <c r="G85" s="76"/>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6"/>
      <c r="E86" s="86"/>
      <c r="F86" s="155"/>
      <c r="G86" s="76"/>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6"/>
      <c r="E87" s="86"/>
      <c r="F87" s="155"/>
      <c r="G87" s="76"/>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50" t="s">
        <v>344</v>
      </c>
    </row>
    <row r="90" spans="4:11" ht="20.100000000000001" customHeight="1" x14ac:dyDescent="0.25">
      <c r="D90" s="168" t="s">
        <v>363</v>
      </c>
      <c r="E90" s="168" t="s">
        <v>326</v>
      </c>
      <c r="F90" s="168" t="s">
        <v>528</v>
      </c>
      <c r="G90" s="168" t="s">
        <v>327</v>
      </c>
      <c r="H90" s="168" t="s">
        <v>436</v>
      </c>
      <c r="I90" s="168"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6"/>
      <c r="E92" s="155" t="s">
        <v>524</v>
      </c>
      <c r="F92" s="48" t="s">
        <v>553</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6"/>
      <c r="E93" s="155" t="s">
        <v>524</v>
      </c>
      <c r="F93" s="48" t="s">
        <v>631</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6"/>
      <c r="E94" s="155"/>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6"/>
      <c r="E95" s="155"/>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6"/>
      <c r="E96" s="155"/>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6"/>
      <c r="E97" s="155"/>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6"/>
      <c r="E98" s="155"/>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6"/>
      <c r="E99" s="155"/>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6"/>
      <c r="E100" s="155"/>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50" t="s">
        <v>552</v>
      </c>
    </row>
    <row r="103" spans="4:9" ht="20.100000000000001" customHeight="1" x14ac:dyDescent="0.25">
      <c r="D103" s="168" t="s">
        <v>363</v>
      </c>
      <c r="E103" s="168" t="s">
        <v>326</v>
      </c>
      <c r="F103" s="168" t="s">
        <v>327</v>
      </c>
      <c r="G103" s="168" t="s">
        <v>436</v>
      </c>
      <c r="H103" s="168"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6" t="s">
        <v>578</v>
      </c>
      <c r="E105" s="155" t="s">
        <v>577</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6"/>
      <c r="E106" s="155"/>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6"/>
      <c r="E107" s="155"/>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6"/>
      <c r="E108" s="155"/>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6"/>
      <c r="E109" s="155"/>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6"/>
      <c r="E110" s="155"/>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6"/>
      <c r="E111" s="155"/>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6"/>
      <c r="E112" s="155"/>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6"/>
      <c r="E113" s="155"/>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68" t="s">
        <v>363</v>
      </c>
      <c r="E116" s="168" t="s">
        <v>326</v>
      </c>
      <c r="F116" s="168" t="s">
        <v>327</v>
      </c>
      <c r="G116" s="168" t="s">
        <v>436</v>
      </c>
      <c r="H116" s="168"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6" t="s">
        <v>582</v>
      </c>
      <c r="E118" s="155" t="s">
        <v>610</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6"/>
      <c r="E119" s="155"/>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3"/>
    </row>
    <row r="120" spans="4:16" ht="20.100000000000001" customHeight="1" x14ac:dyDescent="0.25">
      <c r="D120" s="86"/>
      <c r="E120" s="155"/>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3"/>
    </row>
    <row r="121" spans="4:16" ht="20.100000000000001" customHeight="1" x14ac:dyDescent="0.25">
      <c r="D121" s="86"/>
      <c r="E121" s="155"/>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3"/>
    </row>
    <row r="122" spans="4:16" ht="20.100000000000001" customHeight="1" x14ac:dyDescent="0.25">
      <c r="D122" s="86"/>
      <c r="E122" s="155"/>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3"/>
    </row>
    <row r="123" spans="4:16" ht="20.100000000000001" customHeight="1" x14ac:dyDescent="0.25">
      <c r="D123" s="86"/>
      <c r="E123" s="155"/>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3"/>
    </row>
    <row r="124" spans="4:16" ht="20.100000000000001" customHeight="1" x14ac:dyDescent="0.25">
      <c r="D124" s="86"/>
      <c r="E124" s="155"/>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6"/>
      <c r="E125" s="155"/>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6"/>
      <c r="E126" s="155"/>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0" t="s">
        <v>619</v>
      </c>
      <c r="E150" s="170" t="s">
        <v>629</v>
      </c>
      <c r="F150" s="170" t="s">
        <v>624</v>
      </c>
      <c r="G150" s="170" t="s">
        <v>126</v>
      </c>
    </row>
    <row r="151" spans="4:7" ht="20.100000000000001" customHeight="1" x14ac:dyDescent="0.25">
      <c r="D151" s="86" t="s">
        <v>620</v>
      </c>
      <c r="E151" s="86" t="s">
        <v>621</v>
      </c>
      <c r="F151" s="69">
        <v>10000</v>
      </c>
      <c r="G151" s="48" t="s">
        <v>626</v>
      </c>
    </row>
    <row r="152" spans="4:7" ht="20.100000000000001" customHeight="1" x14ac:dyDescent="0.25">
      <c r="D152" s="86" t="s">
        <v>622</v>
      </c>
      <c r="E152" s="86" t="s">
        <v>628</v>
      </c>
      <c r="F152" s="69">
        <v>1000</v>
      </c>
      <c r="G152" s="48" t="s">
        <v>627</v>
      </c>
    </row>
    <row r="153" spans="4:7" ht="20.100000000000001" customHeight="1" x14ac:dyDescent="0.25">
      <c r="D153" s="86"/>
      <c r="E153" s="86"/>
      <c r="F153" s="69"/>
      <c r="G153" s="48"/>
    </row>
    <row r="154" spans="4:7" ht="20.100000000000001" customHeight="1" x14ac:dyDescent="0.25">
      <c r="D154" s="86"/>
      <c r="E154" s="86"/>
      <c r="F154" s="69"/>
      <c r="G154" s="48"/>
    </row>
    <row r="155" spans="4:7" ht="20.100000000000001" customHeight="1" x14ac:dyDescent="0.25">
      <c r="D155" s="86"/>
      <c r="E155" s="86"/>
      <c r="F155" s="69"/>
      <c r="G155" s="48"/>
    </row>
    <row r="156" spans="4:7" ht="20.100000000000001" customHeight="1" x14ac:dyDescent="0.25">
      <c r="D156" s="86"/>
      <c r="E156" s="86"/>
      <c r="F156" s="69"/>
      <c r="G156" s="48"/>
    </row>
    <row r="157" spans="4:7" ht="20.100000000000001" customHeight="1" x14ac:dyDescent="0.25">
      <c r="D157" s="86"/>
      <c r="E157" s="86"/>
      <c r="F157" s="69"/>
      <c r="G157" s="48"/>
    </row>
    <row r="158" spans="4:7" ht="20.100000000000001" customHeight="1" x14ac:dyDescent="0.25">
      <c r="D158" s="86"/>
      <c r="E158" s="86"/>
      <c r="F158" s="69"/>
      <c r="G158" s="48"/>
    </row>
    <row r="159" spans="4:7" ht="20.100000000000001" customHeight="1" x14ac:dyDescent="0.25">
      <c r="D159" s="86"/>
      <c r="E159" s="86"/>
      <c r="F159" s="69"/>
      <c r="G159" s="48"/>
    </row>
    <row r="160" spans="4:7" ht="20.100000000000001" customHeight="1" x14ac:dyDescent="0.25">
      <c r="D160" s="86"/>
      <c r="E160" s="86"/>
      <c r="F160" s="69"/>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1"/>
      <c r="F167" s="48"/>
      <c r="G167" s="69"/>
      <c r="H167" s="50">
        <f>Table_Input_Packaging[[#This Row],[Quantity purchased]]*Table_Input_Packaging[[#This Row],[Weight per unit (kg)]]</f>
        <v>0</v>
      </c>
      <c r="J167" s="7"/>
      <c r="S167" s="3"/>
    </row>
    <row r="168" spans="4:19" ht="20.100000000000001" customHeight="1" x14ac:dyDescent="0.25">
      <c r="D168" s="149"/>
      <c r="E168" s="171"/>
      <c r="F168" s="48"/>
      <c r="G168" s="69"/>
      <c r="H168" s="50">
        <f>Table_Input_Packaging[[#This Row],[Quantity purchased]]*Table_Input_Packaging[[#This Row],[Weight per unit (kg)]]</f>
        <v>0</v>
      </c>
      <c r="J168" s="7"/>
      <c r="S168" s="3"/>
    </row>
    <row r="169" spans="4:19" ht="20.100000000000001" customHeight="1" x14ac:dyDescent="0.25">
      <c r="D169" s="149"/>
      <c r="E169" s="171"/>
      <c r="F169" s="48"/>
      <c r="G169" s="69"/>
      <c r="H169" s="50">
        <f>Table_Input_Packaging[[#This Row],[Quantity purchased]]*Table_Input_Packaging[[#This Row],[Weight per unit (kg)]]</f>
        <v>0</v>
      </c>
      <c r="J169" s="7"/>
      <c r="S169" s="3"/>
    </row>
    <row r="170" spans="4:19" ht="20.100000000000001" customHeight="1" x14ac:dyDescent="0.25">
      <c r="D170" s="149"/>
      <c r="E170" s="171"/>
      <c r="F170" s="48"/>
      <c r="G170" s="69"/>
      <c r="H170" s="50">
        <f>Table_Input_Packaging[[#This Row],[Quantity purchased]]*Table_Input_Packaging[[#This Row],[Weight per unit (kg)]]</f>
        <v>0</v>
      </c>
      <c r="J170" s="9"/>
      <c r="S170" s="3"/>
    </row>
    <row r="171" spans="4:19" ht="20.100000000000001" customHeight="1" x14ac:dyDescent="0.25">
      <c r="D171" s="149"/>
      <c r="E171" s="171"/>
      <c r="F171" s="48"/>
      <c r="G171" s="69"/>
      <c r="H171" s="50">
        <f>Table_Input_Packaging[[#This Row],[Quantity purchased]]*Table_Input_Packaging[[#This Row],[Weight per unit (kg)]]</f>
        <v>0</v>
      </c>
      <c r="J171" s="8"/>
      <c r="S171" s="3"/>
    </row>
    <row r="172" spans="4:19" ht="20.100000000000001" customHeight="1" x14ac:dyDescent="0.25">
      <c r="D172" s="149"/>
      <c r="E172" s="171"/>
      <c r="F172" s="48"/>
      <c r="G172" s="69"/>
      <c r="H172" s="50">
        <f>Table_Input_Packaging[[#This Row],[Quantity purchased]]*Table_Input_Packaging[[#This Row],[Weight per unit (kg)]]</f>
        <v>0</v>
      </c>
      <c r="J172" s="8"/>
      <c r="S172" s="3"/>
    </row>
    <row r="173" spans="4:19" ht="20.100000000000001" customHeight="1" x14ac:dyDescent="0.25">
      <c r="D173" s="149"/>
      <c r="E173" s="171"/>
      <c r="F173" s="48"/>
      <c r="G173" s="69"/>
      <c r="H173" s="50">
        <f>Table_Input_Packaging[[#This Row],[Quantity purchased]]*Table_Input_Packaging[[#This Row],[Weight per unit (kg)]]</f>
        <v>0</v>
      </c>
      <c r="J173" s="8"/>
      <c r="S173" s="3"/>
    </row>
    <row r="174" spans="4:19" ht="20.100000000000001" customHeight="1" x14ac:dyDescent="0.25">
      <c r="D174" s="149"/>
      <c r="E174" s="171"/>
      <c r="F174" s="48"/>
      <c r="G174" s="69"/>
      <c r="H174" s="50">
        <f>Table_Input_Packaging[[#This Row],[Quantity purchased]]*Table_Input_Packaging[[#This Row],[Weight per unit (kg)]]</f>
        <v>0</v>
      </c>
      <c r="J174" s="8"/>
      <c r="S174" s="3"/>
    </row>
    <row r="175" spans="4:19" ht="20.100000000000001" customHeight="1" x14ac:dyDescent="0.25">
      <c r="D175" s="149"/>
      <c r="E175" s="171"/>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0" t="s">
        <v>711</v>
      </c>
      <c r="E180" s="170" t="s">
        <v>624</v>
      </c>
      <c r="F180" s="170"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86" t="s">
        <v>714</v>
      </c>
      <c r="E182" s="69">
        <v>100</v>
      </c>
      <c r="F182" s="48" t="s">
        <v>712</v>
      </c>
      <c r="J182" s="8"/>
      <c r="S182" s="3"/>
    </row>
    <row r="183" spans="4:19" ht="20.100000000000001" customHeight="1" x14ac:dyDescent="0.25">
      <c r="D183" s="86" t="s">
        <v>715</v>
      </c>
      <c r="E183" s="69">
        <v>10000</v>
      </c>
      <c r="F183" s="48" t="s">
        <v>354</v>
      </c>
      <c r="J183" s="8"/>
      <c r="S183" s="3"/>
    </row>
    <row r="184" spans="4:19" ht="20.100000000000001" customHeight="1" x14ac:dyDescent="0.25">
      <c r="D184" s="86"/>
      <c r="E184" s="69"/>
      <c r="F184" s="48"/>
      <c r="J184" s="8"/>
      <c r="S184" s="3"/>
    </row>
    <row r="185" spans="4:19" ht="20.100000000000001" customHeight="1" x14ac:dyDescent="0.25">
      <c r="D185" s="86"/>
      <c r="E185" s="69"/>
      <c r="F185" s="48"/>
      <c r="J185" s="8"/>
      <c r="S185" s="3"/>
    </row>
    <row r="186" spans="4:19" ht="20.100000000000001" customHeight="1" x14ac:dyDescent="0.25">
      <c r="D186" s="86"/>
      <c r="E186" s="69"/>
      <c r="F186" s="48"/>
      <c r="J186" s="8"/>
      <c r="S186" s="3"/>
    </row>
    <row r="187" spans="4:19" ht="20.100000000000001" customHeight="1" x14ac:dyDescent="0.25">
      <c r="D187" s="86"/>
      <c r="E187" s="69"/>
      <c r="F187" s="48"/>
      <c r="J187" s="8"/>
      <c r="S187" s="3"/>
    </row>
    <row r="188" spans="4:19" ht="20.100000000000001" customHeight="1" x14ac:dyDescent="0.25">
      <c r="D188" s="86"/>
      <c r="E188" s="69"/>
      <c r="F188" s="48"/>
      <c r="J188" s="8"/>
      <c r="S188" s="3"/>
    </row>
    <row r="189" spans="4:19" ht="20.100000000000001" customHeight="1" x14ac:dyDescent="0.25">
      <c r="D189" s="86"/>
      <c r="E189" s="69"/>
      <c r="F189" s="48"/>
      <c r="I189" s="7"/>
      <c r="J189" s="8"/>
      <c r="S189" s="3"/>
    </row>
    <row r="190" spans="4:19" ht="20.100000000000001" customHeight="1" x14ac:dyDescent="0.25">
      <c r="D190" s="86"/>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86"/>
      <c r="E210" s="69"/>
      <c r="F210" s="86"/>
      <c r="I210" s="7"/>
    </row>
    <row r="211" spans="4:9" ht="20.100000000000001" customHeight="1" x14ac:dyDescent="0.25">
      <c r="D211" s="86"/>
      <c r="E211" s="69"/>
      <c r="F211" s="86"/>
    </row>
    <row r="212" spans="4:9" ht="20.100000000000001" customHeight="1" x14ac:dyDescent="0.25">
      <c r="D212" s="86"/>
      <c r="E212" s="69"/>
      <c r="F212" s="86"/>
    </row>
    <row r="213" spans="4:9" ht="20.100000000000001" customHeight="1" x14ac:dyDescent="0.25">
      <c r="D213" s="86"/>
      <c r="E213" s="69"/>
      <c r="F213" s="86"/>
    </row>
    <row r="214" spans="4:9" ht="20.100000000000001" customHeight="1" x14ac:dyDescent="0.25">
      <c r="D214" s="86"/>
      <c r="E214" s="69"/>
      <c r="F214" s="86"/>
    </row>
    <row r="215" spans="4:9" ht="20.100000000000001" customHeight="1" x14ac:dyDescent="0.25">
      <c r="D215" s="86"/>
      <c r="E215" s="69"/>
      <c r="F215" s="86"/>
    </row>
    <row r="216" spans="4:9" ht="20.100000000000001" customHeight="1" x14ac:dyDescent="0.25">
      <c r="D216" s="86"/>
      <c r="E216" s="69"/>
      <c r="F216" s="86"/>
    </row>
    <row r="217" spans="4:9" ht="20.100000000000001" customHeight="1" x14ac:dyDescent="0.25">
      <c r="D217" s="86"/>
      <c r="E217" s="69"/>
      <c r="F217" s="86"/>
    </row>
    <row r="218" spans="4:9" ht="20.100000000000001" customHeight="1" x14ac:dyDescent="0.25">
      <c r="D218" s="86"/>
      <c r="E218" s="69"/>
      <c r="F218" s="86"/>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0" t="s">
        <v>829</v>
      </c>
      <c r="E8" s="10" t="s">
        <v>832</v>
      </c>
      <c r="F8" s="10" t="s">
        <v>833</v>
      </c>
      <c r="G8" s="10" t="s">
        <v>830</v>
      </c>
      <c r="H8" s="10" t="s">
        <v>831</v>
      </c>
    </row>
    <row r="9" spans="3:10" ht="20.100000000000001" customHeight="1" x14ac:dyDescent="0.25">
      <c r="D9" s="10" t="s">
        <v>836</v>
      </c>
      <c r="E9" s="48" t="s">
        <v>834</v>
      </c>
      <c r="F9" s="10">
        <v>986</v>
      </c>
      <c r="G9" s="10">
        <v>10</v>
      </c>
      <c r="H9" s="10">
        <v>52</v>
      </c>
    </row>
    <row r="10" spans="3:10" ht="20.100000000000001" customHeight="1" x14ac:dyDescent="0.25">
      <c r="D10" s="10" t="s">
        <v>838</v>
      </c>
      <c r="E10" s="48" t="s">
        <v>839</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0" t="s">
        <v>829</v>
      </c>
      <c r="E24" s="10" t="s">
        <v>832</v>
      </c>
      <c r="F24" s="10" t="s">
        <v>833</v>
      </c>
      <c r="G24" s="10" t="s">
        <v>830</v>
      </c>
      <c r="H24" s="10" t="s">
        <v>831</v>
      </c>
    </row>
    <row r="25" spans="4:8" ht="20.100000000000001" customHeight="1" x14ac:dyDescent="0.25">
      <c r="D25" s="10" t="s">
        <v>837</v>
      </c>
      <c r="E25" s="48" t="s">
        <v>834</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opLeftCell="A93" zoomScaleNormal="100" workbookViewId="0">
      <selection activeCell="G100" sqref="G10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853</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8" t="s">
        <v>641</v>
      </c>
      <c r="E7" s="178"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8"/>
    </row>
    <row r="10" spans="3:41" ht="20.100000000000001" customHeight="1" x14ac:dyDescent="0.25">
      <c r="D10" s="28" t="s">
        <v>642</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3" t="str" cm="1">
        <f t="array" ref="D13:E17">_xlfn.CHOOSECOLS(Scope3_Equations.VEERG_15_1_1_1__1_EmissionsFromPurchasedLivestock_Arguments(),1,2)</f>
        <v>N_co</v>
      </c>
      <c r="E13" s="177" t="str">
        <v>number of animals purchased in livestock type c from origin o</v>
      </c>
      <c r="F13" s="172"/>
      <c r="G13" s="173" t="str" cm="1">
        <f t="array" ref="G13:H17">_xlfn.CHOOSECOLS(Scope3_Equations.VEERG_15_1_1_1__1_EmissionsFromPurchasedLivestock_Arguments(),3,4)</f>
        <v>head</v>
      </c>
      <c r="H13" s="174" t="str">
        <v>Input</v>
      </c>
    </row>
    <row r="14" spans="3:41" ht="20.100000000000001" customHeight="1" x14ac:dyDescent="0.25">
      <c r="D14" s="173" t="str">
        <v>W_co</v>
      </c>
      <c r="E14" s="177" t="str">
        <v>average liveweight of purchased livestock at point of purchase</v>
      </c>
      <c r="F14" s="172"/>
      <c r="G14" s="173" t="str">
        <v>kg/head</v>
      </c>
      <c r="H14" s="174" t="str">
        <v>Input</v>
      </c>
    </row>
    <row r="15" spans="3:41" ht="20.100000000000001" customHeight="1" x14ac:dyDescent="0.25">
      <c r="D15" s="173" t="str">
        <v>EF_co</v>
      </c>
      <c r="E15" s="177" t="str">
        <v>emission factor per livestock type and origin</v>
      </c>
      <c r="F15" s="172"/>
      <c r="G15" s="173" t="str">
        <v>kg CO2e/kg</v>
      </c>
      <c r="H15" s="175" t="str">
        <v>Constant</v>
      </c>
    </row>
    <row r="16" spans="3:41" ht="20.100000000000001" customHeight="1" x14ac:dyDescent="0.25">
      <c r="D16" s="173" t="str">
        <v>c</v>
      </c>
      <c r="E16" s="177" t="str">
        <v>livestock type</v>
      </c>
      <c r="F16" s="172"/>
      <c r="G16" s="173" t="str">
        <v/>
      </c>
      <c r="H16" s="174" t="str">
        <v>Input</v>
      </c>
    </row>
    <row r="17" spans="4:16" ht="20.100000000000001" customHeight="1" x14ac:dyDescent="0.25">
      <c r="D17" s="173" t="str">
        <v>o</v>
      </c>
      <c r="E17" s="177" t="str">
        <v>origin</v>
      </c>
      <c r="F17" s="172"/>
      <c r="G17" s="173" t="str">
        <v/>
      </c>
      <c r="H17" s="174"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0" t="s">
        <v>664</v>
      </c>
      <c r="E34" s="102">
        <f>SUM(J23:J32)</f>
        <v>1052.5</v>
      </c>
      <c r="F34" s="181" t="str">
        <f>$E$11</f>
        <v>t CO2e</v>
      </c>
    </row>
    <row r="35" spans="4:13" ht="20.100000000000001" customHeight="1" x14ac:dyDescent="0.25">
      <c r="D35" s="180" t="s">
        <v>665</v>
      </c>
      <c r="E35" s="102">
        <f>SUM(M23:M32)</f>
        <v>1014.5</v>
      </c>
      <c r="F35" s="181"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3"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0" t="s">
        <v>662</v>
      </c>
      <c r="E53" s="102">
        <f>SUM(G42:G51)</f>
        <v>441</v>
      </c>
      <c r="F53" s="181" t="str">
        <f>$E$11</f>
        <v>t CO2e</v>
      </c>
    </row>
    <row r="54" spans="4:13" ht="20.100000000000001" customHeight="1" x14ac:dyDescent="0.25">
      <c r="D54" s="180" t="s">
        <v>663</v>
      </c>
      <c r="E54" s="102">
        <f>SUM(J42:J51)</f>
        <v>415.625</v>
      </c>
      <c r="F54" s="181"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3"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0" t="s">
        <v>660</v>
      </c>
      <c r="E72" s="102">
        <f>SUM(G61:G70)</f>
        <v>76.725999999999999</v>
      </c>
      <c r="F72" s="181" t="str">
        <f>$E$11</f>
        <v>t CO2e</v>
      </c>
    </row>
    <row r="73" spans="4:13" ht="20.100000000000001" customHeight="1" x14ac:dyDescent="0.25">
      <c r="D73" s="180" t="s">
        <v>661</v>
      </c>
      <c r="E73" s="102">
        <f>SUM(J61:J70)</f>
        <v>73.38000000000001</v>
      </c>
      <c r="F73" s="181" t="str">
        <f>$E$11</f>
        <v>t CO2e</v>
      </c>
    </row>
    <row r="74" spans="4:13" ht="20.100000000000001" customHeight="1" x14ac:dyDescent="0.25"/>
    <row r="75" spans="4:13" ht="20.100000000000001" customHeight="1" x14ac:dyDescent="0.25">
      <c r="D75" s="150" t="s">
        <v>580</v>
      </c>
    </row>
    <row r="76" spans="4:13" ht="20.100000000000001" customHeight="1" x14ac:dyDescent="0.25">
      <c r="D76" s="173"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0" t="s">
        <v>658</v>
      </c>
      <c r="E90" s="102">
        <f>SUM(G79:G88)</f>
        <v>0.36720000000000003</v>
      </c>
      <c r="F90" s="181" t="str">
        <f>$E$11</f>
        <v>t CO2e</v>
      </c>
    </row>
    <row r="91" spans="4:13" ht="20.100000000000001" customHeight="1" x14ac:dyDescent="0.25">
      <c r="D91" s="180" t="s">
        <v>659</v>
      </c>
      <c r="E91" s="102">
        <f>SUM(J79:J88)</f>
        <v>0.35940000000000005</v>
      </c>
      <c r="F91" s="181" t="str">
        <f>$E$11</f>
        <v>t CO2e</v>
      </c>
    </row>
    <row r="92" spans="4:13" ht="20.100000000000001" customHeight="1" x14ac:dyDescent="0.25"/>
    <row r="93" spans="4:13" ht="20.100000000000001" customHeight="1" x14ac:dyDescent="0.25">
      <c r="D93" s="182" t="s">
        <v>648</v>
      </c>
      <c r="E93" s="183">
        <f>E34+E53+E72+E90</f>
        <v>1570.5932</v>
      </c>
      <c r="F93" s="184" t="str">
        <f>$E$11</f>
        <v>t CO2e</v>
      </c>
    </row>
    <row r="94" spans="4:13" ht="20.100000000000001" customHeight="1" x14ac:dyDescent="0.25">
      <c r="D94" s="182" t="s">
        <v>650</v>
      </c>
      <c r="E94" s="183">
        <f>E35+E54+E73+E91</f>
        <v>1503.8644000000002</v>
      </c>
      <c r="F94" s="184"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8" t="s">
        <v>641</v>
      </c>
      <c r="E100" s="178"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8"/>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3" t="str" cm="1">
        <f t="array" ref="D106:E108">_xlfn.CHOOSECOLS(Scope3_Equations.VEERG_15_2_1_1__1_EmissionsFromPurchasedFeed_Arguments(),1,2)</f>
        <v>Q_j</v>
      </c>
      <c r="E106" s="177" t="str">
        <v>quantity of feed type j purchased</v>
      </c>
      <c r="F106" s="172"/>
      <c r="G106" s="173" t="str" cm="1">
        <f t="array" ref="G106:H108">_xlfn.CHOOSECOLS(Scope3_Equations.VEERG_15_2_1_1__1_EmissionsFromPurchasedFeed_Arguments(),3,4)</f>
        <v>t</v>
      </c>
      <c r="H106" s="174" t="str">
        <v>Input</v>
      </c>
    </row>
    <row r="107" spans="3:41" ht="20.100000000000001" customHeight="1" x14ac:dyDescent="0.25">
      <c r="D107" s="173" t="str">
        <v>EF_j</v>
      </c>
      <c r="E107" s="177" t="str">
        <v>emission factor of purchased feed</v>
      </c>
      <c r="F107" s="172"/>
      <c r="G107" s="173" t="str">
        <v>kg CO2e/kg</v>
      </c>
      <c r="H107" s="174" t="str">
        <v>Constant</v>
      </c>
    </row>
    <row r="108" spans="3:41" ht="20.100000000000001" customHeight="1" x14ac:dyDescent="0.25">
      <c r="D108" s="173" t="str">
        <v>j</v>
      </c>
      <c r="E108" s="177" t="str">
        <v>feed type</v>
      </c>
      <c r="F108" s="172"/>
      <c r="G108" s="173" t="str">
        <v/>
      </c>
      <c r="H108" s="175"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0" t="s">
        <v>658</v>
      </c>
      <c r="E130" s="102">
        <f>SUM(G119:G128)</f>
        <v>348.29680000000002</v>
      </c>
      <c r="F130" s="181" t="str">
        <f>$E$104</f>
        <v>t CO2e</v>
      </c>
    </row>
    <row r="131" spans="4:12" ht="20.100000000000001" customHeight="1" x14ac:dyDescent="0.25">
      <c r="D131" s="180" t="s">
        <v>659</v>
      </c>
      <c r="E131" s="102">
        <f>SUM(I119:I128)</f>
        <v>349.18</v>
      </c>
      <c r="F131" s="181"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0" t="s">
        <v>658</v>
      </c>
      <c r="E141" s="102">
        <f>SUM(G136:G139)</f>
        <v>174.9</v>
      </c>
      <c r="F141" s="181" t="str">
        <f>$E$104</f>
        <v>t CO2e</v>
      </c>
    </row>
    <row r="142" spans="4:12" ht="20.100000000000001" customHeight="1" x14ac:dyDescent="0.25">
      <c r="D142" s="180" t="s">
        <v>659</v>
      </c>
      <c r="E142" s="102">
        <f>SUM(I136:I139)</f>
        <v>163.60000000000002</v>
      </c>
      <c r="F142" s="181" t="str">
        <f>$E$104</f>
        <v>t CO2e</v>
      </c>
    </row>
    <row r="143" spans="4:12" ht="20.100000000000001" customHeight="1" x14ac:dyDescent="0.25"/>
    <row r="144" spans="4:12" ht="20.100000000000001" customHeight="1" x14ac:dyDescent="0.25">
      <c r="D144" s="182" t="s">
        <v>648</v>
      </c>
      <c r="E144" s="183">
        <f>E130+E141</f>
        <v>523.19680000000005</v>
      </c>
      <c r="F144" s="184" t="str">
        <f>$E$104</f>
        <v>t CO2e</v>
      </c>
    </row>
    <row r="145" spans="3:41" ht="20.100000000000001" customHeight="1" x14ac:dyDescent="0.25">
      <c r="D145" s="182" t="s">
        <v>650</v>
      </c>
      <c r="E145" s="183">
        <f>E131+E142</f>
        <v>512.78</v>
      </c>
      <c r="F145" s="184"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8" t="s">
        <v>641</v>
      </c>
      <c r="E151" s="178"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8"/>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3" t="str" cm="1">
        <f t="array" ref="D157:E159">_xlfn.CHOOSECOLS(Scope3_Equations.VEERG_15_3_1_1__1_EmissionsFromPurchasedMineralSupplements_Arguments(),1,2)</f>
        <v>Q_m</v>
      </c>
      <c r="E157" s="177" t="str">
        <v>total quantity of mineral supplement type m used</v>
      </c>
      <c r="F157" s="172"/>
      <c r="G157" s="173" t="str" cm="1">
        <f t="array" ref="G157:H159">_xlfn.CHOOSECOLS(Scope3_Equations.VEERG_15_3_1_1__1_EmissionsFromPurchasedMineralSupplements_Arguments(),3,4)</f>
        <v>t</v>
      </c>
      <c r="H157" s="174" t="str">
        <v>Input</v>
      </c>
    </row>
    <row r="158" spans="3:41" ht="20.100000000000001" customHeight="1" x14ac:dyDescent="0.25">
      <c r="D158" s="173" t="str">
        <v>EF_m</v>
      </c>
      <c r="E158" s="177" t="str">
        <v>emission factor of purchased mineral supplement</v>
      </c>
      <c r="F158" s="172"/>
      <c r="G158" s="173" t="str">
        <v>kg CO2e/kg</v>
      </c>
      <c r="H158" s="174" t="str">
        <v>Constant</v>
      </c>
    </row>
    <row r="159" spans="3:41" ht="20.100000000000001" customHeight="1" x14ac:dyDescent="0.25">
      <c r="D159" s="173" t="str">
        <v>m</v>
      </c>
      <c r="E159" s="177" t="str">
        <v>mineral supplement type</v>
      </c>
      <c r="F159" s="172"/>
      <c r="G159" s="173" t="str">
        <v/>
      </c>
      <c r="H159" s="175"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2" t="s">
        <v>648</v>
      </c>
      <c r="E166" s="183">
        <f>SUM(G162:G164)</f>
        <v>178.9</v>
      </c>
      <c r="F166" s="184" t="str">
        <f>$E$155</f>
        <v>t CO2e</v>
      </c>
    </row>
    <row r="167" spans="3:41" ht="20.100000000000001" customHeight="1" x14ac:dyDescent="0.25">
      <c r="D167" s="182" t="s">
        <v>650</v>
      </c>
      <c r="E167" s="183">
        <f>SUM(I162:I164)</f>
        <v>160</v>
      </c>
      <c r="F167" s="184"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8" t="s">
        <v>641</v>
      </c>
      <c r="E174" s="17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3" t="str" cm="1">
        <f t="array" ref="D180:E183">_xlfn.CHOOSECOLS(Scope3_Equations.VEERG_15_4_1_1__X_EmissionFactorFromPurchasedFertiliserComponents_Arguments(),1,2)</f>
        <v>F_cf</v>
      </c>
      <c r="E180" s="177" t="str">
        <v>fraction of component c contained within the inorganic fertiliser f</v>
      </c>
      <c r="F180" s="172"/>
      <c r="G180" s="173" t="str" cm="1">
        <f t="array" ref="G180:H183">_xlfn.CHOOSECOLS(Scope3_Equations.VEERG_15_4_1_1__X_EmissionFactorFromPurchasedFertiliserComponents_Arguments(),3,4)</f>
        <v>wt%</v>
      </c>
      <c r="H180" s="174" t="str">
        <v>Input</v>
      </c>
    </row>
    <row r="181" spans="4:8" ht="20.100000000000001" customHeight="1" x14ac:dyDescent="0.25">
      <c r="D181" s="173" t="str">
        <v>EF_c</v>
      </c>
      <c r="E181" s="177" t="str">
        <v>emission factor for the production of component c</v>
      </c>
      <c r="F181" s="172"/>
      <c r="G181" s="173" t="str">
        <v>kg CO2e/kg component</v>
      </c>
      <c r="H181" s="175" t="str">
        <v>Constant</v>
      </c>
    </row>
    <row r="182" spans="4:8" ht="20.100000000000001" customHeight="1" x14ac:dyDescent="0.25">
      <c r="D182" s="173" t="str">
        <v>c</v>
      </c>
      <c r="E182" s="177" t="str">
        <v>fertiliser component</v>
      </c>
      <c r="F182" s="172"/>
      <c r="G182" s="173" t="str">
        <v/>
      </c>
      <c r="H182" s="174" t="str">
        <v>Input</v>
      </c>
    </row>
    <row r="183" spans="4:8" ht="20.100000000000001" customHeight="1" x14ac:dyDescent="0.25">
      <c r="D183" s="173" t="str">
        <v>f</v>
      </c>
      <c r="E183" s="177" t="str">
        <v>inorganic fertiliser type</v>
      </c>
      <c r="F183" s="172"/>
      <c r="G183" s="173" t="str">
        <v/>
      </c>
      <c r="H183" s="174"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8" t="s">
        <v>641</v>
      </c>
      <c r="E188" s="17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3" t="str" cm="1">
        <f t="array" ref="D194:E197">_xlfn.CHOOSECOLS(Scope3_Equations.VEERG_15_4_1_1__1_EmissionsFromPurchasedFertiliser_Arguments(),1,2)</f>
        <v>TM_jf</v>
      </c>
      <c r="E194" s="173" t="str">
        <v>quantity of inorganic fertiliser type f purchased and applied to production system j</v>
      </c>
      <c r="F194" s="173"/>
      <c r="G194" s="173" t="str" cm="1">
        <f t="array" ref="G194:H197">_xlfn.CHOOSECOLS(Scope3_Equations.VEERG_15_4_1_1__1_EmissionsFromPurchasedFertiliser_Arguments(),3,4)</f>
        <v>kg</v>
      </c>
      <c r="H194" s="174" t="str">
        <v>Input</v>
      </c>
    </row>
    <row r="195" spans="4:8" ht="20.100000000000001" customHeight="1" x14ac:dyDescent="0.25">
      <c r="D195" s="173" t="str">
        <v>EF_f</v>
      </c>
      <c r="E195" s="173" t="str">
        <v>emission factor of purchased inorganic fertiliser</v>
      </c>
      <c r="F195" s="173"/>
      <c r="G195" s="173" t="str">
        <v>kg CO2e/kg</v>
      </c>
      <c r="H195" s="175" t="str">
        <v>Constant</v>
      </c>
    </row>
    <row r="196" spans="4:8" ht="20.100000000000001" customHeight="1" x14ac:dyDescent="0.25">
      <c r="D196" s="173" t="str">
        <v>j</v>
      </c>
      <c r="E196" s="173" t="str">
        <v>production system</v>
      </c>
      <c r="F196" s="173"/>
      <c r="G196" s="173" t="str">
        <v/>
      </c>
      <c r="H196" s="174" t="str">
        <v>Input</v>
      </c>
    </row>
    <row r="197" spans="4:8" ht="20.100000000000001" customHeight="1" x14ac:dyDescent="0.25">
      <c r="D197" s="173" t="str">
        <v>f</v>
      </c>
      <c r="E197" s="173" t="str">
        <v>inorganic fertiliser type</v>
      </c>
      <c r="F197" s="173"/>
      <c r="G197" s="173" t="str">
        <v/>
      </c>
      <c r="H197" s="174"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8" t="s">
        <v>641</v>
      </c>
      <c r="E203" s="17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3" t="str" cm="1">
        <f t="array" ref="D209:E214">_xlfn.CHOOSECOLS(Scope3_Equations.VEERG_15_4_1_1__2_EmissionsFromPurchasedFertiliserComponents_Arguments(),1,2)</f>
        <v>F_cf</v>
      </c>
      <c r="E209" s="177" t="str">
        <v>fraction of component c contained within the inorganic fertiliser f</v>
      </c>
      <c r="F209" s="172"/>
      <c r="G209" s="173" t="str" cm="1">
        <f t="array" ref="G209:H214">_xlfn.CHOOSECOLS(Scope3_Equations.VEERG_15_4_1_1__2_EmissionsFromPurchasedFertiliserComponents_Arguments(),3,4)</f>
        <v>wt%</v>
      </c>
      <c r="H209" s="174" t="str">
        <v>Input</v>
      </c>
    </row>
    <row r="210" spans="4:40" ht="20.100000000000001" customHeight="1" x14ac:dyDescent="0.25">
      <c r="D210" s="173" t="str">
        <v>TM_jf</v>
      </c>
      <c r="E210" s="177" t="str">
        <v>quantity of inorganic fertiliser type f purchased and applied to production system j</v>
      </c>
      <c r="F210" s="172"/>
      <c r="G210" s="173" t="str">
        <v>kg</v>
      </c>
      <c r="H210" s="175" t="str">
        <v>Input</v>
      </c>
    </row>
    <row r="211" spans="4:40" ht="20.100000000000001" customHeight="1" x14ac:dyDescent="0.25">
      <c r="D211" s="173" t="str">
        <v>EF_c</v>
      </c>
      <c r="E211" s="177" t="str">
        <v>emission factor for the production of component c</v>
      </c>
      <c r="F211" s="172"/>
      <c r="G211" s="173" t="str">
        <v>kg CO2e/kg component</v>
      </c>
      <c r="H211" s="175" t="str">
        <v>Constant</v>
      </c>
    </row>
    <row r="212" spans="4:40" ht="20.100000000000001" customHeight="1" x14ac:dyDescent="0.25">
      <c r="D212" s="173" t="str">
        <v>c</v>
      </c>
      <c r="E212" s="177" t="str">
        <v>fertiliser component</v>
      </c>
      <c r="F212" s="172"/>
      <c r="G212" s="173" t="str">
        <v/>
      </c>
      <c r="H212" s="174" t="str">
        <v>Input</v>
      </c>
    </row>
    <row r="213" spans="4:40" ht="20.100000000000001" customHeight="1" x14ac:dyDescent="0.25">
      <c r="D213" s="173" t="str">
        <v>f</v>
      </c>
      <c r="E213" s="177" t="str">
        <v>inorganic fertiliser type</v>
      </c>
      <c r="F213" s="172"/>
      <c r="G213" s="173" t="str">
        <v/>
      </c>
      <c r="H213" s="174" t="str">
        <v>Input</v>
      </c>
    </row>
    <row r="214" spans="4:40" ht="20.100000000000001" customHeight="1" x14ac:dyDescent="0.25">
      <c r="D214" s="173" t="str">
        <v>j</v>
      </c>
      <c r="E214" s="177" t="str">
        <v>production system</v>
      </c>
      <c r="F214" s="172"/>
      <c r="G214" s="173" t="str">
        <v/>
      </c>
      <c r="H214" s="174"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5" t="s">
        <v>686</v>
      </c>
      <c r="E248" s="183">
        <f>SUM(G221:G230)+SUM(G237:G246)</f>
        <v>53.822548254497605</v>
      </c>
      <c r="F248" s="184" t="str">
        <f>$E$155</f>
        <v>t CO2e</v>
      </c>
    </row>
    <row r="249" spans="3:41" ht="20.100000000000001" customHeight="1" x14ac:dyDescent="0.25">
      <c r="D249" s="185" t="s">
        <v>687</v>
      </c>
      <c r="E249" s="183">
        <f>SUM(J221:J230)+SUM(J237:J246)</f>
        <v>40.72</v>
      </c>
      <c r="F249" s="184" t="str">
        <f>$E$155</f>
        <v>t CO2e</v>
      </c>
    </row>
    <row r="250" spans="3:41" ht="20.100000000000001" customHeight="1" x14ac:dyDescent="0.25"/>
    <row r="251" spans="3:41" ht="20.100000000000001" customHeight="1" x14ac:dyDescent="0.25">
      <c r="D251" s="185" t="s">
        <v>688</v>
      </c>
      <c r="E251" s="183">
        <f>SUM(H221:H230)+SUM(H237:H246)</f>
        <v>53.822548254497605</v>
      </c>
      <c r="F251" s="184" t="str">
        <f>$E$155</f>
        <v>t CO2e</v>
      </c>
    </row>
    <row r="252" spans="3:41" ht="20.100000000000001" customHeight="1" x14ac:dyDescent="0.25">
      <c r="D252" s="185" t="s">
        <v>689</v>
      </c>
      <c r="E252" s="183">
        <f>SUM(K221:K230)+SUM(K237:K246)</f>
        <v>50.728065428338802</v>
      </c>
      <c r="F252" s="184"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8" t="s">
        <v>641</v>
      </c>
      <c r="E258" s="17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3" t="str" cm="1">
        <f t="array" ref="D265:E267">_xlfn.CHOOSECOLS(Scope3_Equations.VEERG_15_5_1_1__1_EmissionsFromPurchasedAgrichemicals_Arguments(),1,2)</f>
        <v>Q_h</v>
      </c>
      <c r="E265" s="177" t="str">
        <v>quantity of active ingredients in agrichemical type h purchased and applied to soils</v>
      </c>
      <c r="F265" s="172"/>
      <c r="G265" s="173" t="str" cm="1">
        <f t="array" ref="G265:H267">_xlfn.CHOOSECOLS(Scope3_Equations.VEERG_15_5_1_1__1_EmissionsFromPurchasedAgrichemicals_Arguments(),3,4)</f>
        <v>kg ai</v>
      </c>
      <c r="H265" s="174" t="str">
        <v>Input</v>
      </c>
    </row>
    <row r="266" spans="4:9" x14ac:dyDescent="0.25">
      <c r="D266" s="173" t="str">
        <v>EF_h</v>
      </c>
      <c r="E266" s="177" t="str">
        <v>emission factor for purchased agrichemical active ingredient</v>
      </c>
      <c r="F266" s="172"/>
      <c r="G266" s="173" t="str">
        <v>kg CO2e/kg ai</v>
      </c>
      <c r="H266" s="175" t="str">
        <v>Constant</v>
      </c>
    </row>
    <row r="267" spans="4:9" x14ac:dyDescent="0.25">
      <c r="D267" s="173" t="str">
        <v>h</v>
      </c>
      <c r="E267" s="177" t="str">
        <v>agrichemical type</v>
      </c>
      <c r="F267" s="172"/>
      <c r="G267" s="173" t="str">
        <v/>
      </c>
      <c r="H267" s="174"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5" t="s">
        <v>648</v>
      </c>
      <c r="E283" s="183">
        <f>SUM(G270:G281)</f>
        <v>7.5159999999999991</v>
      </c>
      <c r="F283" s="184" t="str">
        <f>$E$155</f>
        <v>t CO2e</v>
      </c>
    </row>
    <row r="284" spans="3:41" ht="20.25" x14ac:dyDescent="0.25">
      <c r="D284" s="185" t="s">
        <v>650</v>
      </c>
      <c r="E284" s="183">
        <f>SUM(I270:I281)</f>
        <v>7.4959999999999996</v>
      </c>
      <c r="F284" s="184"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8" t="s">
        <v>641</v>
      </c>
      <c r="E290" s="178"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3" t="str" cm="1">
        <f t="array" ref="D296:E297">_xlfn.CHOOSECOLS(Scope3_Equations.VEERG_15_6_1_1__1_EmissionsFromPurchasedLime_Arguments(),1,2)</f>
        <v>M_lime</v>
      </c>
      <c r="E296" s="173" t="str">
        <v>total quantity of lime applied to soils</v>
      </c>
      <c r="F296" s="173" t="str" cm="1">
        <f t="array" ref="F296:G297">_xlfn.CHOOSECOLS(Scope3_Equations.VEERG_15_6_1_1__1_EmissionsFromPurchasedLime_Arguments(),3,4)</f>
        <v>t</v>
      </c>
      <c r="G296" s="174" t="str">
        <v>Input</v>
      </c>
    </row>
    <row r="297" spans="4:13" x14ac:dyDescent="0.25">
      <c r="D297" s="173" t="str">
        <v>EF_l</v>
      </c>
      <c r="E297" s="173" t="str">
        <v>emission factor for purchased lime</v>
      </c>
      <c r="F297" s="173" t="str">
        <v>t CO2e/t</v>
      </c>
      <c r="G297" s="175"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85" t="s">
        <v>648</v>
      </c>
      <c r="E316" s="183">
        <f>SUM(I305:I314)</f>
        <v>1.0375999999999999</v>
      </c>
      <c r="F316" s="184" t="str">
        <f>$E$155</f>
        <v>t CO2e</v>
      </c>
    </row>
    <row r="317" spans="3:41" ht="20.25" x14ac:dyDescent="0.25">
      <c r="D317" s="185" t="s">
        <v>650</v>
      </c>
      <c r="E317" s="183">
        <f>SUM(J305:J314)</f>
        <v>0.89</v>
      </c>
      <c r="F317" s="184"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8" t="s">
        <v>641</v>
      </c>
      <c r="E323" s="178" t="str" cm="1">
        <f t="array" aca="1" ref="E323" ca="1">Common_InputFunctions.Utility_DisplayFunctionName(K336)</f>
        <v>=Scope3_Equations.VEERG_15_7_1_1__1_EmissionsFromPurchasedServices</v>
      </c>
    </row>
    <row r="326" spans="4:15" x14ac:dyDescent="0.25">
      <c r="D326" s="28" t="s">
        <v>642</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3" t="str" cm="1">
        <f t="array" ref="D329:E331">_xlfn.CHOOSECOLS(Scope3_Equations.VEERG_15_7_1_1__1_EmissionsFromPurchasedServices_Arguments(),1,2)</f>
        <v>A_p</v>
      </c>
      <c r="E329" s="177" t="str">
        <v>activity data of the service that was purchased</v>
      </c>
      <c r="F329" s="172"/>
      <c r="G329" s="173" t="str" cm="1">
        <f t="array" ref="G329:H331">_xlfn.CHOOSECOLS(Scope3_Equations.VEERG_15_7_1_1__1_EmissionsFromPurchasedServices_Arguments(),3,4)</f>
        <v>ha or h</v>
      </c>
      <c r="H329" s="174" t="str">
        <v>Input</v>
      </c>
    </row>
    <row r="330" spans="4:15" x14ac:dyDescent="0.25">
      <c r="D330" s="173" t="str">
        <v>EF_p</v>
      </c>
      <c r="E330" s="177" t="str">
        <v>life cycle emission factor for the purchased service</v>
      </c>
      <c r="F330" s="172"/>
      <c r="G330" s="173" t="str">
        <v>kg CO2e/ha or kg CO2e/h</v>
      </c>
      <c r="H330" s="175" t="str">
        <v>Constant</v>
      </c>
    </row>
    <row r="331" spans="4:15" x14ac:dyDescent="0.25">
      <c r="D331" s="173" t="str">
        <v>p</v>
      </c>
      <c r="E331" s="177" t="str">
        <v>service type</v>
      </c>
      <c r="F331" s="172"/>
      <c r="G331" s="173" t="str">
        <v/>
      </c>
      <c r="H331" s="174" t="str">
        <v>Input</v>
      </c>
    </row>
    <row r="333" spans="4:15" x14ac:dyDescent="0.25">
      <c r="D333" s="12" t="s">
        <v>706</v>
      </c>
    </row>
    <row r="335" spans="4:15"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1">"t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1"/>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1"/>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1"/>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1"/>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1"/>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1"/>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1"/>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1"/>
        <v>t CO2e / 0</v>
      </c>
      <c r="M345" s="86"/>
      <c r="N345" s="48"/>
      <c r="O345" s="86"/>
    </row>
    <row r="347" spans="3:41" ht="20.25" x14ac:dyDescent="0.25">
      <c r="D347" s="185" t="s">
        <v>648</v>
      </c>
      <c r="E347" s="183" t="s">
        <v>843</v>
      </c>
      <c r="F347" s="184" t="str">
        <f>$E$155</f>
        <v>t CO2e</v>
      </c>
    </row>
    <row r="348" spans="3:41" ht="20.25" x14ac:dyDescent="0.25">
      <c r="D348" s="185" t="s">
        <v>650</v>
      </c>
      <c r="E348" s="183">
        <f>SUM(K336:K345)</f>
        <v>42</v>
      </c>
      <c r="F348" s="184"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8" t="s">
        <v>641</v>
      </c>
      <c r="E355" s="178"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3" t="str" cm="1">
        <f t="array" ref="D362:E364">_xlfn.CHOOSECOLS(Scope3_Equations.VEERG_15_8_1_1__1_EmissionsFromPurchasedPackaging_Arguments(),1,2)</f>
        <v>Q_p</v>
      </c>
      <c r="E362" s="173" t="str">
        <v>units of packaging type p</v>
      </c>
      <c r="F362" s="173" t="str" cm="1">
        <f t="array" ref="F362:G364">_xlfn.CHOOSECOLS(Scope3_Equations.VEERG_15_8_1_1__1_EmissionsFromPurchasedPackaging_Arguments(),3,4)</f>
        <v>units</v>
      </c>
      <c r="G362" s="174" t="str">
        <v>Input</v>
      </c>
    </row>
    <row r="363" spans="4:13" x14ac:dyDescent="0.25">
      <c r="D363" s="173" t="str">
        <v>EF_p</v>
      </c>
      <c r="E363" s="173" t="str">
        <v>emission factor for packaging type p</v>
      </c>
      <c r="F363" s="173" t="str">
        <v>kg CO2e/unit</v>
      </c>
      <c r="G363" s="175" t="str">
        <v>Constant</v>
      </c>
    </row>
    <row r="364" spans="4:13" x14ac:dyDescent="0.25">
      <c r="D364" s="173" t="str">
        <v>p</v>
      </c>
      <c r="E364" s="173" t="str">
        <v>packaging type</v>
      </c>
      <c r="F364" s="173" t="str">
        <v/>
      </c>
      <c r="G364" s="174"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85" t="s">
        <v>648</v>
      </c>
      <c r="E378" s="183">
        <f>SUM(H367:H376)</f>
        <v>7.44</v>
      </c>
      <c r="F378" s="184" t="str">
        <f>$E$155</f>
        <v>t CO2e</v>
      </c>
    </row>
    <row r="379" spans="3:41" ht="20.25" x14ac:dyDescent="0.25">
      <c r="D379" s="185" t="s">
        <v>650</v>
      </c>
      <c r="E379" s="183">
        <f>SUM(J367:J376)</f>
        <v>6</v>
      </c>
      <c r="F379" s="184"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8" t="s">
        <v>641</v>
      </c>
      <c r="E385" s="178" t="str" cm="1">
        <f t="array" aca="1" ref="E385" ca="1">Common_InputFunctions.Utility_DisplayFunctionName(J399)</f>
        <v>=Scope3_Equations.VEERG_15_9_1_1__1_EmissionsFromPurchasedGrowMedia</v>
      </c>
    </row>
    <row r="389" spans="4:14" x14ac:dyDescent="0.25">
      <c r="D389" s="28" t="s">
        <v>642</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3" t="str" cm="1">
        <f t="array" ref="D392:E394">_xlfn.CHOOSECOLS(Scope3_Equations.VEERG_15_9_1_1__1_EmissionsFromPurchasedGrowMedia_Arguments(),1,2)</f>
        <v>Q_g</v>
      </c>
      <c r="E392" s="173" t="str">
        <v>total quantity of grow media type g</v>
      </c>
      <c r="F392" s="173" t="str" cm="1">
        <f t="array" ref="F392:G394">_xlfn.CHOOSECOLS(Scope3_Equations.VEERG_15_9_1_1__1_EmissionsFromPurchasedGrowMedia_Arguments(),3,4)</f>
        <v>kg or m3</v>
      </c>
      <c r="G392" s="174" t="str">
        <v>Input</v>
      </c>
    </row>
    <row r="393" spans="4:14" x14ac:dyDescent="0.25">
      <c r="D393" s="173" t="str">
        <v>EF_g</v>
      </c>
      <c r="E393" s="173" t="str">
        <v>emission factor for grow media type g</v>
      </c>
      <c r="F393" s="173" t="str">
        <v>kg CO2e/kg or kg CO2e/m3</v>
      </c>
      <c r="G393" s="175" t="str">
        <v>Constant</v>
      </c>
    </row>
    <row r="394" spans="4:14" x14ac:dyDescent="0.25">
      <c r="D394" s="173" t="str">
        <v>g</v>
      </c>
      <c r="E394" s="173" t="str">
        <v>grow media type</v>
      </c>
      <c r="F394" s="173" t="str">
        <v/>
      </c>
      <c r="G394" s="174" t="str">
        <v>Input</v>
      </c>
    </row>
    <row r="396" spans="4:14" x14ac:dyDescent="0.25">
      <c r="D396" s="12" t="s">
        <v>706</v>
      </c>
    </row>
    <row r="398" spans="4:14"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4:14"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2">"t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2"/>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2"/>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2"/>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2"/>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2"/>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2"/>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2"/>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2"/>
        <v>t CO2e / 0</v>
      </c>
      <c r="L408" s="86"/>
      <c r="M408" s="48"/>
      <c r="N408" s="86"/>
    </row>
    <row r="410" spans="3:41" ht="20.25" x14ac:dyDescent="0.25">
      <c r="D410" s="185" t="s">
        <v>648</v>
      </c>
      <c r="E410" s="183" t="s">
        <v>843</v>
      </c>
      <c r="F410" s="184" t="str">
        <f>$E$155</f>
        <v>t CO2e</v>
      </c>
    </row>
    <row r="411" spans="3:41" ht="20.25" x14ac:dyDescent="0.25">
      <c r="D411" s="185" t="s">
        <v>650</v>
      </c>
      <c r="E411" s="183">
        <f>SUM(J399:J408)</f>
        <v>40.200000000000003</v>
      </c>
      <c r="F411" s="184"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719</v>
      </c>
    </row>
    <row r="418" spans="4:13" x14ac:dyDescent="0.25">
      <c r="D418" s="178" t="s">
        <v>641</v>
      </c>
      <c r="E418" s="178"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3" t="str" cm="1">
        <f t="array" ref="D424:E425">_xlfn.CHOOSECOLS(Scope3_Equations.VEERG_15_10_1_1__1_OtherPurchasedGoodsAndServices_Arguments(),1,2)</f>
        <v>activity_data</v>
      </c>
      <c r="E424" s="177" t="str">
        <v>measured activity for the purchased good or service</v>
      </c>
      <c r="F424" s="172"/>
      <c r="G424" s="173" t="str" cm="1">
        <f t="array" ref="G424:H425">_xlfn.CHOOSECOLS(Scope3_Equations.VEERG_15_10_1_1__1_OtherPurchasedGoodsAndServices_Arguments(),3,4)</f>
        <v>varies</v>
      </c>
      <c r="H424" s="174" t="str">
        <v>Input</v>
      </c>
    </row>
    <row r="425" spans="4:13" x14ac:dyDescent="0.25">
      <c r="D425" s="173" t="str">
        <v>emission_factor</v>
      </c>
      <c r="E425" s="177" t="str">
        <v>lifecycle emissions per unit of activity</v>
      </c>
      <c r="F425" s="172"/>
      <c r="G425" s="173" t="str">
        <v>varies</v>
      </c>
      <c r="H425" s="175"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85" t="s">
        <v>648</v>
      </c>
      <c r="E441" s="183">
        <f>SUM(H430:H439)</f>
        <v>0.50509999999999999</v>
      </c>
      <c r="F441" s="184" t="str">
        <f>$E$155</f>
        <v>t CO2e</v>
      </c>
    </row>
    <row r="442" spans="4:13" ht="20.25" x14ac:dyDescent="0.25">
      <c r="D442" s="185" t="s">
        <v>650</v>
      </c>
      <c r="E442" s="183">
        <f>SUM(J430:J439)</f>
        <v>2.73</v>
      </c>
      <c r="F442" s="184"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85" t="s">
        <v>648</v>
      </c>
      <c r="E459" s="183">
        <f>SUM(H448:H457)</f>
        <v>1.5636000000000001E-2</v>
      </c>
      <c r="F459" s="184" t="str">
        <f>$E$155</f>
        <v>t CO2e</v>
      </c>
    </row>
    <row r="460" spans="4:13" ht="20.25" x14ac:dyDescent="0.25">
      <c r="D460" s="185" t="s">
        <v>650</v>
      </c>
      <c r="E460" s="183">
        <f>SUM(J448:J457)</f>
        <v>1.3400000000000002E-2</v>
      </c>
      <c r="F460" s="184"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85" t="s">
        <v>648</v>
      </c>
      <c r="E472" s="183">
        <f>SUM(G466:G470)</f>
        <v>0.84389999999999998</v>
      </c>
      <c r="F472" s="184" t="str">
        <f>$E$155</f>
        <v>t CO2e</v>
      </c>
    </row>
    <row r="473" spans="4:12" ht="20.25" x14ac:dyDescent="0.25">
      <c r="D473" s="185" t="s">
        <v>650</v>
      </c>
      <c r="E473" s="183">
        <f>SUM(I466:I470)</f>
        <v>0.71420000000000006</v>
      </c>
      <c r="F473" s="184"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85" t="s">
        <v>648</v>
      </c>
      <c r="E483" s="183">
        <f>SUM(G479:G481)</f>
        <v>2.9531000000000005</v>
      </c>
      <c r="F483" s="184" t="str">
        <f>$E$155</f>
        <v>t CO2e</v>
      </c>
    </row>
    <row r="484" spans="4:14" ht="20.25" x14ac:dyDescent="0.25">
      <c r="D484" s="185" t="s">
        <v>650</v>
      </c>
      <c r="E484" s="183">
        <f>SUM(I479:I481)</f>
        <v>8.5860000000000006E-2</v>
      </c>
      <c r="F484" s="184"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85" t="s">
        <v>648</v>
      </c>
      <c r="E501" s="183" t="s">
        <v>843</v>
      </c>
      <c r="F501" s="184" t="str">
        <f>$E$155</f>
        <v>t CO2e</v>
      </c>
    </row>
    <row r="502" spans="3:41" ht="20.25" x14ac:dyDescent="0.25">
      <c r="D502" s="185" t="s">
        <v>650</v>
      </c>
      <c r="E502" s="183">
        <f>SUM(K490:K499)</f>
        <v>4000</v>
      </c>
      <c r="F502" s="184"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8" t="s">
        <v>641</v>
      </c>
      <c r="E508" s="178"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3" t="str" cm="1">
        <f t="array" ref="D515:E516">_xlfn.CHOOSECOLS(Scope3_Equations.VEERG_15_11_1_1__1_TotalUpstreamEmissionsFromFuel_Arguments(),1,2)</f>
        <v>E_WTTtransq</v>
      </c>
      <c r="E515" s="177" t="str">
        <v>upstream emissions from scope 1 transport fuel use</v>
      </c>
      <c r="F515" s="172"/>
      <c r="G515" s="173" t="str" cm="1">
        <f t="array" ref="G515:H516">_xlfn.CHOOSECOLS(Scope3_Equations.VEERG_15_11_1_1__1_TotalUpstreamEmissionsFromFuel_Arguments(),3,4)</f>
        <v>t CO2e</v>
      </c>
      <c r="H515" s="175" t="str">
        <v>Calculated by 15.11.1.1 (2)</v>
      </c>
      <c r="I515" s="173">
        <f>'8.1.1.1-2 Transport fuel'!E70</f>
        <v>0.13355600000000001</v>
      </c>
    </row>
    <row r="516" spans="3:41" x14ac:dyDescent="0.25">
      <c r="D516" s="173" t="str">
        <v>E_WTTSCq</v>
      </c>
      <c r="E516" s="177" t="str">
        <v>upstream emissions from scope 1 stationary combustion fuel use</v>
      </c>
      <c r="F516" s="172"/>
      <c r="G516" s="173" t="str">
        <v>t CO2e</v>
      </c>
      <c r="H516" s="175" t="str">
        <v>Calculated by 15.11.1.1 (3)</v>
      </c>
      <c r="I516" s="173">
        <f>'8.2.1.1-2 Stationary fuel'!E58</f>
        <v>2.6200000000000004E-3</v>
      </c>
    </row>
    <row r="518" spans="3:41" ht="20.25" x14ac:dyDescent="0.25">
      <c r="D518" s="185" t="s">
        <v>756</v>
      </c>
      <c r="E518" s="183" cm="1">
        <f t="array" ref="E518">Scope3_Equations.VEERG_15_11_1_1__1_TotalUpstreamEmissionsFromFuel(I515,I516)</f>
        <v>0.13617600000000002</v>
      </c>
      <c r="F518" s="184"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8" t="s">
        <v>641</v>
      </c>
      <c r="E523" s="178"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3" t="str" cm="1">
        <f t="array" ref="D529:E531">_xlfn.CHOOSECOLS(Scope3_Equations.VEERG_15_12_1_1__1_UpstreamPurchasedElectricityLocationBased_Arguments(),1,2)</f>
        <v>Q_elec</v>
      </c>
      <c r="E529" s="173" t="str">
        <v>amount of electricity purchased from the grid</v>
      </c>
      <c r="F529" s="173"/>
      <c r="G529" s="173" t="str" cm="1">
        <f t="array" ref="G529:H531">_xlfn.CHOOSECOLS(Scope3_Equations.VEERG_15_12_1_1__1_UpstreamPurchasedElectricityLocationBased_Arguments(),3,4)</f>
        <v>kWh</v>
      </c>
      <c r="H529" s="174" t="str">
        <v>Input</v>
      </c>
      <c r="I529" s="177">
        <f>'Input - Electricity'!E11</f>
        <v>500</v>
      </c>
      <c r="J529" s="172"/>
    </row>
    <row r="530" spans="3:41" x14ac:dyDescent="0.25">
      <c r="D530" s="173" t="str">
        <v>EF_3elec</v>
      </c>
      <c r="E530" s="173" t="str">
        <v>scope 3 emission factor for purchased electricity</v>
      </c>
      <c r="F530" s="173"/>
      <c r="G530" s="173" t="str">
        <v>kg CO2e/kWh</v>
      </c>
      <c r="H530" s="175" t="str">
        <v>Constant</v>
      </c>
      <c r="I530" s="177" cm="1">
        <f t="array" ref="I530">Common_InputFunctions.Utility_LookupValueInTableNumber(I531,Table_SourceData_ElectricityEFs[State, Territory or grid description],Table_SourceData_ElectricityEFs[Scope 3 Emission Factors (kg CO2-e/kWh)])</f>
        <v>0.06</v>
      </c>
      <c r="J530" s="172"/>
    </row>
    <row r="531" spans="3:41" x14ac:dyDescent="0.25">
      <c r="D531" s="173" t="str">
        <v>g</v>
      </c>
      <c r="E531" s="177" t="str">
        <v>grid electricity was purchased from</v>
      </c>
      <c r="F531" s="172"/>
      <c r="G531" s="173" t="str">
        <v/>
      </c>
      <c r="H531" s="174" t="str">
        <v>Input</v>
      </c>
      <c r="I531" s="177" t="str">
        <f>'Input - Electricity'!E13</f>
        <v>Western Australia - South West Interconnected System (SWIS)</v>
      </c>
      <c r="J531" s="172"/>
    </row>
    <row r="533" spans="3:41" ht="20.25" x14ac:dyDescent="0.25">
      <c r="D533" s="185" t="s">
        <v>757</v>
      </c>
      <c r="E533" s="183" cm="1">
        <f t="array" ref="E533">Scope3_Equations.VEERG_15_12_1_1__1_UpstreamPurchasedElectricityLocationBased(I529,I530)</f>
        <v>0.03</v>
      </c>
      <c r="F533" s="184"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8" t="s">
        <v>641</v>
      </c>
      <c r="E540" s="178"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3" t="str" cm="1">
        <f t="array" ref="D547:E553">_xlfn.CHOOSECOLS(Scope3_Equations.VEERG_15_12_1_2__1_UpstreamPurchasedElectricityMarketBased_Arguments(),1,2)</f>
        <v>Q_elec</v>
      </c>
      <c r="E547" s="177" t="str">
        <v>amount of electricity purchased from the grid</v>
      </c>
      <c r="F547" s="172"/>
      <c r="G547" s="173" t="str" cm="1">
        <f t="array" ref="G547:H553">_xlfn.CHOOSECOLS(Scope3_Equations.VEERG_15_12_1_2__1_UpstreamPurchasedElectricityMarketBased_Arguments(),3,4)</f>
        <v>kWh</v>
      </c>
      <c r="H547" s="174" t="str">
        <v>Input</v>
      </c>
      <c r="I547" s="210">
        <f>'Input - Electricity'!E19</f>
        <v>30000</v>
      </c>
    </row>
    <row r="548" spans="3:41" x14ac:dyDescent="0.25">
      <c r="D548" s="173" t="str">
        <v>RPP</v>
      </c>
      <c r="E548" s="177" t="str">
        <v>renewable power percentage under LRET for the applicable period</v>
      </c>
      <c r="F548" s="172"/>
      <c r="G548" s="173" t="str">
        <v>fraction</v>
      </c>
      <c r="H548" s="174" t="str">
        <v>Input</v>
      </c>
      <c r="I548" s="209">
        <f>'Input - Electricity'!E20</f>
        <v>0.1</v>
      </c>
    </row>
    <row r="549" spans="3:41" x14ac:dyDescent="0.25">
      <c r="D549" s="173" t="str">
        <v>JRPP</v>
      </c>
      <c r="E549" s="177" t="str">
        <v>jurisdictional renewable power percentage for the applicable period</v>
      </c>
      <c r="F549" s="172"/>
      <c r="G549" s="173" t="str">
        <v>fraction</v>
      </c>
      <c r="H549" s="174" t="str">
        <v>Input</v>
      </c>
      <c r="I549" s="209">
        <f>IF(I553="ACT", 'Input - Electricity'!E21, "N/A")</f>
        <v>0.1</v>
      </c>
    </row>
    <row r="550" spans="3:41" x14ac:dyDescent="0.25">
      <c r="D550" s="173" t="str">
        <v>REC_surrendered</v>
      </c>
      <c r="E550" s="177" t="str">
        <v>eligible renewable energy certificates voluntarily surrendered</v>
      </c>
      <c r="F550" s="172"/>
      <c r="G550" s="173" t="str">
        <v>MWh</v>
      </c>
      <c r="H550" s="174" t="str">
        <v>Input</v>
      </c>
      <c r="I550" s="173">
        <f>('Input - Electricity'!E23*10^-3)+'Input - Electricity'!$E$37</f>
        <v>20</v>
      </c>
    </row>
    <row r="551" spans="3:41" x14ac:dyDescent="0.25">
      <c r="D551" s="173" t="str">
        <v>REC_onsite</v>
      </c>
      <c r="E551" s="177" t="str">
        <v>eligible renewable energy certificates issued for onsite generated electricity</v>
      </c>
      <c r="F551" s="172"/>
      <c r="G551" s="173" t="str">
        <v>MWh</v>
      </c>
      <c r="H551" s="174" t="str">
        <v>Input</v>
      </c>
      <c r="I551" s="173">
        <f>'Input - Electricity'!E46</f>
        <v>11</v>
      </c>
    </row>
    <row r="552" spans="3:41" x14ac:dyDescent="0.25">
      <c r="D552" s="173" t="str">
        <v>EF_RMF3elec</v>
      </c>
      <c r="E552" s="177" t="str">
        <v>scope 3 residual mix emission factor for electricity</v>
      </c>
      <c r="F552" s="172"/>
      <c r="G552" s="173" t="str">
        <v>kg CO2e/kWh</v>
      </c>
      <c r="H552" s="175" t="str">
        <v>Constant</v>
      </c>
      <c r="I552" s="173" cm="1">
        <f t="array" ref="I552">Table_SourceData_ElectricityEFsMarketBased[Scope 2 EF (kg CO2-e/kWh)]</f>
        <v>0.81</v>
      </c>
    </row>
    <row r="553" spans="3:41" x14ac:dyDescent="0.25">
      <c r="D553" s="173" t="str">
        <v>i</v>
      </c>
      <c r="E553" s="177" t="str">
        <v>state</v>
      </c>
      <c r="F553" s="172"/>
      <c r="G553" s="173" t="str">
        <v/>
      </c>
      <c r="H553" s="174" t="str">
        <v>Input</v>
      </c>
      <c r="I553" s="173" t="str">
        <f>'Input - Electricity'!E12</f>
        <v>ACT</v>
      </c>
    </row>
    <row r="555" spans="3:41" ht="20.25" x14ac:dyDescent="0.25">
      <c r="D555" s="185" t="s">
        <v>757</v>
      </c>
      <c r="E555" s="183" cm="1">
        <f t="array" ref="E555">Scope3_Equations.VEERG_15_12_1_2__1_UpstreamPurchasedElectricityMarketBasedVariation(I547,I548,I549,I550,I551,I552)</f>
        <v>12.15</v>
      </c>
      <c r="F555" s="184"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8" t="s">
        <v>641</v>
      </c>
      <c r="E561" s="178"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3" t="str" cm="1">
        <f t="array" ref="D567:E569">_xlfn.CHOOSECOLS(Scope3_Equations.VEERG_15_13_1_1__1_EmissionsFromManureSentOffSite_Arguments(),1,2)</f>
        <v>E_N2O</v>
      </c>
      <c r="E567" s="177" t="str">
        <v>direct nitrous oxide emissions from application of manure to soils outside of scope 1 boundary</v>
      </c>
      <c r="F567" s="211"/>
      <c r="G567" s="172"/>
      <c r="H567" s="173" t="str" cm="1">
        <f t="array" ref="H567:I569">_xlfn.CHOOSECOLS(Scope3_Equations.VEERG_15_13_1_1__1_EmissionsFromManureSentOffSite_Arguments(),3,4)</f>
        <v>t N2O</v>
      </c>
      <c r="I567" s="175" t="str">
        <v>Calculated</v>
      </c>
      <c r="J567" s="173">
        <f>'Calcs - Manure sent off-site'!E19</f>
        <v>7.8571428571428577E-3</v>
      </c>
    </row>
    <row r="568" spans="4:10" x14ac:dyDescent="0.25">
      <c r="D568" s="173" t="str">
        <v>E_ad</v>
      </c>
      <c r="E568" s="177" t="str">
        <v>nitrous oxide emissions from atmospheric deposition of manure to soils</v>
      </c>
      <c r="F568" s="211"/>
      <c r="G568" s="172"/>
      <c r="H568" s="173" t="str">
        <v>t N2O</v>
      </c>
      <c r="I568" s="175" t="str">
        <v>Calculated</v>
      </c>
      <c r="J568" s="173">
        <f>'Calcs - Manure sent off-site'!E55</f>
        <v>2.31E-3</v>
      </c>
    </row>
    <row r="569" spans="4:10" x14ac:dyDescent="0.25">
      <c r="D569" s="173" t="str">
        <v>E_leach</v>
      </c>
      <c r="E569" s="177" t="str">
        <v>nitrous oxide emissions from nitrogen leaching and runoff of manure to soils</v>
      </c>
      <c r="F569" s="211"/>
      <c r="G569" s="172"/>
      <c r="H569" s="173" t="str">
        <v>t N2O</v>
      </c>
      <c r="I569" s="175" t="str">
        <v>Calculated</v>
      </c>
      <c r="J569" s="173">
        <f>'Calcs - Manure sent off-site'!E90</f>
        <v>4.1485714285714277E-3</v>
      </c>
    </row>
    <row r="571" spans="4:10" ht="20.25" x14ac:dyDescent="0.25">
      <c r="D571" s="185" t="s">
        <v>757</v>
      </c>
      <c r="E571" s="183" cm="1">
        <f t="array" ref="E571">Scope3_Equations.VEERG_15_13_1_1__1_EmissionsFromManureSentOffSite(J567,J568,J569)</f>
        <v>1.4315714285714286E-2</v>
      </c>
      <c r="F571" s="184" t="str">
        <f>$E$565</f>
        <v>t N2O</v>
      </c>
    </row>
    <row r="573" spans="4:10" x14ac:dyDescent="0.25">
      <c r="D573" s="212" t="str" cm="1">
        <f t="array" ref="D573:E574">Common_Equations.Common_ConvertN2OToCO2e_Arguments()</f>
        <v>EN2O</v>
      </c>
      <c r="E573" s="213" t="str">
        <v>Nitrous oxide emissions (t N2O)</v>
      </c>
      <c r="F573" s="214"/>
      <c r="G573" s="50">
        <f>E571</f>
        <v>1.4315714285714286E-2</v>
      </c>
    </row>
    <row r="574" spans="4:10" x14ac:dyDescent="0.25">
      <c r="D574" s="212" t="str">
        <v>GWPN2O</v>
      </c>
      <c r="E574" s="213" t="str">
        <v>Global warming potential for nitrous oxide (t CO2-e / t N2O)</v>
      </c>
      <c r="F574" s="21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1"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5" t="s">
        <v>757</v>
      </c>
      <c r="E586" s="183">
        <f>'10.1.1-2 Solid waste treatment'!E136</f>
        <v>330.84210000000002</v>
      </c>
      <c r="F586" s="184"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8" t="s">
        <v>641</v>
      </c>
      <c r="E592" s="178" t="str" cm="1">
        <f t="array" aca="1" ref="E592" ca="1">Common_InputFunctions.Utility_DisplayFunctionName(J607)</f>
        <v>=Scope3_Equations.VEERG_15_14_1_1__1_EmbeddedEmissionsFromUpstreamFreight</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3" t="str" cm="1">
        <f t="array" ref="D599:E602">_xlfn.CHOOSECOLS(Scope3_Equations.VEERG_15_14_1_1__1_EmbeddedEmissionsFromUpstreamFreight_Arguments(),1,2)</f>
        <v>W_f</v>
      </c>
      <c r="E599" s="177" t="str">
        <v>total mass of goods transported per freight type f</v>
      </c>
      <c r="F599" s="172"/>
      <c r="G599" s="173" t="str" cm="1">
        <f t="array" ref="G599:H602">_xlfn.CHOOSECOLS(Scope3_Equations.VEERG_15_14_1_1__1_EmbeddedEmissionsFromUpstreamFreight_Arguments(),3,4)</f>
        <v>t</v>
      </c>
      <c r="H599" s="174" t="str">
        <v>Input</v>
      </c>
    </row>
    <row r="600" spans="4:13" x14ac:dyDescent="0.25">
      <c r="D600" s="173" t="str">
        <v>D_f</v>
      </c>
      <c r="E600" s="177" t="str">
        <v>total distance transported per freight type f</v>
      </c>
      <c r="F600" s="172"/>
      <c r="G600" s="173" t="str">
        <v>km</v>
      </c>
      <c r="H600" s="174" t="str">
        <v>Input</v>
      </c>
    </row>
    <row r="601" spans="4:13" x14ac:dyDescent="0.25">
      <c r="D601" s="173" t="str">
        <v>EF_f</v>
      </c>
      <c r="E601" s="177" t="str">
        <v>emission factor for freight type f</v>
      </c>
      <c r="F601" s="172"/>
      <c r="G601" s="173" t="str">
        <v>t CO2e/(t km)</v>
      </c>
      <c r="H601" s="175" t="str">
        <v>Constant</v>
      </c>
    </row>
    <row r="602" spans="4:13" x14ac:dyDescent="0.25">
      <c r="D602" s="173" t="str">
        <v>f</v>
      </c>
      <c r="E602" s="177" t="str">
        <v>freight type</v>
      </c>
      <c r="F602" s="172"/>
      <c r="G602" s="173" t="str">
        <v/>
      </c>
      <c r="H602" s="174"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0" t="s">
        <v>846</v>
      </c>
      <c r="E618" s="102" t="s">
        <v>843</v>
      </c>
      <c r="F618" s="181" t="str">
        <f>$E$104</f>
        <v>t CO2e</v>
      </c>
    </row>
    <row r="619" spans="4:13" x14ac:dyDescent="0.25">
      <c r="D619" s="180" t="s">
        <v>847</v>
      </c>
      <c r="E619" s="102">
        <f>SUM(J607:J616)</f>
        <v>5146700</v>
      </c>
      <c r="F619" s="181"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0" t="s">
        <v>844</v>
      </c>
      <c r="E636" s="102" t="s">
        <v>843</v>
      </c>
      <c r="F636" s="181" t="str">
        <f>$E$104</f>
        <v>t CO2e</v>
      </c>
    </row>
    <row r="637" spans="4:13" x14ac:dyDescent="0.25">
      <c r="D637" s="180" t="s">
        <v>845</v>
      </c>
      <c r="E637" s="102">
        <f>SUM(J625:J634)</f>
        <v>432640</v>
      </c>
      <c r="F637" s="181" t="str">
        <f>$E$104</f>
        <v>t CO2e</v>
      </c>
    </row>
    <row r="639" spans="4:13" ht="20.25" x14ac:dyDescent="0.25">
      <c r="D639" s="182" t="s">
        <v>648</v>
      </c>
      <c r="E639" s="183" t="s">
        <v>843</v>
      </c>
      <c r="F639" s="184" t="str">
        <f>$E$104</f>
        <v>t CO2e</v>
      </c>
    </row>
    <row r="640" spans="4:13" ht="20.25" x14ac:dyDescent="0.25">
      <c r="D640" s="182" t="s">
        <v>650</v>
      </c>
      <c r="E640" s="183">
        <f>E619+E637</f>
        <v>5579340</v>
      </c>
      <c r="F640" s="184"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8" t="s">
        <v>641</v>
      </c>
      <c r="E7" s="178"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8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3" t="str" cm="1">
        <f t="array" ref="D13:E16">_xlfn.CHOOSECOLS(WasteSolid_Equations.VEERG_10_1_1_1__2_MassOfWasteFromVolume_Arguments(),1,2)</f>
        <v>V_wt</v>
      </c>
      <c r="E13" s="177" t="str">
        <v>volume of solid waste type w being sent to treatment facility t</v>
      </c>
      <c r="F13" s="172"/>
      <c r="G13" s="173" t="str" cm="1">
        <f t="array" ref="G13:H16">_xlfn.CHOOSECOLS(WasteSolid_Equations.VEERG_10_1_1_1__2_MassOfWasteFromVolume_Arguments(),3,4)</f>
        <v>m3</v>
      </c>
      <c r="H13" s="174" t="str">
        <v>Input</v>
      </c>
      <c r="I13" s="176" t="str" cm="1">
        <f t="array" aca="1" ref="I13" ca="1">HYPERLINK(Common_InputFunctions.Utility_SourceHyperlink($D$18),$D$18)</f>
        <v>Table_V_w_t_onsite</v>
      </c>
      <c r="J13" s="176"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3" t="str">
        <v>VTM_w</v>
      </c>
      <c r="E14" s="177" t="str">
        <v>conversion factor of volume to mass for waste type w</v>
      </c>
      <c r="F14" s="172"/>
      <c r="G14" s="173" t="str">
        <v>t/m3</v>
      </c>
      <c r="H14" s="175" t="str">
        <v>Constant</v>
      </c>
      <c r="I14" s="176" t="str" cm="1">
        <f t="array" aca="1" ref="I14" ca="1">HYPERLINK(Common_InputFunctions.Utility_SourceHyperlink($D$18),$D$18)</f>
        <v>Table_V_w_t_onsite</v>
      </c>
      <c r="J14" s="176"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3" t="str">
        <v>w</v>
      </c>
      <c r="E15" s="177" t="str">
        <v>waste type</v>
      </c>
      <c r="F15" s="172"/>
      <c r="G15" s="173" t="str">
        <v/>
      </c>
      <c r="H15" s="174" t="str">
        <v>Input</v>
      </c>
      <c r="I15" s="176" t="str" cm="1">
        <f t="array" aca="1" ref="I15" ca="1">HYPERLINK(Common_InputFunctions.Utility_SourceHyperlink($D$18),$D$18)</f>
        <v>Table_V_w_t_onsite</v>
      </c>
      <c r="J15" s="176" t="str" cm="1">
        <f t="array" aca="1" ref="J15" ca="1">HYPERLINK(Common_InputFunctions.Utility_SourceHyperlink($D$42),$D$42)</f>
        <v>Table_V_w_t_offsite</v>
      </c>
    </row>
    <row r="16" spans="1:12" ht="20.100000000000001" customHeight="1" x14ac:dyDescent="0.25">
      <c r="D16" s="173" t="str">
        <v>t</v>
      </c>
      <c r="E16" s="177" t="str">
        <v>treatment facility</v>
      </c>
      <c r="F16" s="172"/>
      <c r="G16" s="173" t="str">
        <v/>
      </c>
      <c r="H16" s="174" t="str">
        <v>Input</v>
      </c>
      <c r="I16" s="176" t="str" cm="1">
        <f t="array" aca="1" ref="I16" ca="1">HYPERLINK(Common_InputFunctions.Utility_SourceHyperlink($D$18),$D$18)</f>
        <v>Table_V_w_t_onsite</v>
      </c>
      <c r="J16" s="176"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3" t="str" cm="1">
        <f t="array" ref="D21:D40">Table_SourceData_WasteSolid_WasteTreatmentEFs[Treatment type t]</f>
        <v>Landfill</v>
      </c>
      <c r="E21" s="177" t="str" cm="1">
        <f t="array" ref="E21:E40">Table_SourceData_WasteSolid_WasteTreatmentEFs[Waste type w]</f>
        <v>Food waste (including animal carcasses, spoiled animal feed or crop)</v>
      </c>
      <c r="F21" s="21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3" t="str">
        <v>Landfill</v>
      </c>
      <c r="E22" s="177" t="str">
        <v>Paper and cardboard</v>
      </c>
      <c r="F22" s="21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3" t="str">
        <v>Landfill</v>
      </c>
      <c r="E23" s="177" t="str">
        <v>Green waste (including crop residues or prunnings)</v>
      </c>
      <c r="F23" s="21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3" t="str">
        <v>Landfill</v>
      </c>
      <c r="E24" s="177" t="str">
        <v>Wood</v>
      </c>
      <c r="F24" s="21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3" t="str">
        <v>Landfill</v>
      </c>
      <c r="E25" s="177" t="str">
        <v>Textiles</v>
      </c>
      <c r="F25" s="21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3" t="str">
        <v>Landfill</v>
      </c>
      <c r="E26" s="177" t="str">
        <v>Sludge</v>
      </c>
      <c r="F26" s="21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3" t="str">
        <v>Landfill</v>
      </c>
      <c r="E27" s="177" t="str">
        <v>Rubber and leather</v>
      </c>
      <c r="F27" s="21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3" t="str">
        <v>Landfill</v>
      </c>
      <c r="E28" s="177" t="str">
        <v>Inert waste (including concrete, metal, plastic or glass)</v>
      </c>
      <c r="F28" s="21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3" t="str">
        <v>Landfill</v>
      </c>
      <c r="E29" s="177" t="str">
        <v>Municipal solid waste</v>
      </c>
      <c r="F29" s="21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3" t="str">
        <v>Landfill</v>
      </c>
      <c r="E30" s="177" t="str">
        <v>Commercial and industrial waste</v>
      </c>
      <c r="F30" s="21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3" t="str">
        <v>Landfill</v>
      </c>
      <c r="E31" s="177" t="str">
        <v>Construction and demolition waste</v>
      </c>
      <c r="F31" s="21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3" t="str">
        <v>Incineration</v>
      </c>
      <c r="E32" s="177" t="str">
        <v>Food waste, green waste, wood, sludge</v>
      </c>
      <c r="F32" s="21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3" t="str">
        <v>Incineration</v>
      </c>
      <c r="E33" s="177" t="str">
        <v>Paper and cardboard</v>
      </c>
      <c r="F33" s="21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3" t="str">
        <v>Incineration</v>
      </c>
      <c r="E34" s="177" t="str">
        <v>Textiles</v>
      </c>
      <c r="F34" s="21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3" t="str">
        <v>Incineration</v>
      </c>
      <c r="E35" s="177" t="str">
        <v>Rubber and leather</v>
      </c>
      <c r="F35" s="21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3" t="str">
        <v>Incineration</v>
      </c>
      <c r="E36" s="177" t="str">
        <v>Inert Waste</v>
      </c>
      <c r="F36" s="21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3" t="str">
        <v>Incineration</v>
      </c>
      <c r="E37" s="177" t="str">
        <v>Municipal Solid Waste</v>
      </c>
      <c r="F37" s="21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3" t="str">
        <v>Incineration</v>
      </c>
      <c r="E38" s="177" t="str">
        <v>Industrial Waste</v>
      </c>
      <c r="F38" s="21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3" t="str">
        <v>Composting</v>
      </c>
      <c r="E39" s="177" t="str">
        <v>All organic waste</v>
      </c>
      <c r="F39" s="21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3" t="str">
        <v>Anaerobic digestion</v>
      </c>
      <c r="E40" s="177" t="str">
        <v>All organic waste</v>
      </c>
      <c r="F40" s="21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3" t="str" cm="1">
        <f t="array" ref="D45:D64">Table_SourceData_WasteSolid_WasteTreatmentEFs[Treatment type t]</f>
        <v>Landfill</v>
      </c>
      <c r="E45" s="177" t="str" cm="1">
        <f t="array" ref="E45:E64">Table_SourceData_WasteSolid_WasteTreatmentEFs[Waste type w]</f>
        <v>Food waste (including animal carcasses, spoiled animal feed or crop)</v>
      </c>
      <c r="F45" s="21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3" t="str">
        <v>Landfill</v>
      </c>
      <c r="E46" s="177" t="str">
        <v>Paper and cardboard</v>
      </c>
      <c r="F46" s="21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3" t="str">
        <v>Landfill</v>
      </c>
      <c r="E47" s="177" t="str">
        <v>Green waste (including crop residues or prunnings)</v>
      </c>
      <c r="F47" s="21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3" t="str">
        <v>Landfill</v>
      </c>
      <c r="E48" s="177" t="str">
        <v>Wood</v>
      </c>
      <c r="F48" s="21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3" t="str">
        <v>Landfill</v>
      </c>
      <c r="E49" s="177" t="str">
        <v>Textiles</v>
      </c>
      <c r="F49" s="21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3" t="str">
        <v>Landfill</v>
      </c>
      <c r="E50" s="177" t="str">
        <v>Sludge</v>
      </c>
      <c r="F50" s="21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3" t="str">
        <v>Landfill</v>
      </c>
      <c r="E51" s="177" t="str">
        <v>Rubber and leather</v>
      </c>
      <c r="F51" s="21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3" t="str">
        <v>Landfill</v>
      </c>
      <c r="E52" s="177" t="str">
        <v>Inert waste (including concrete, metal, plastic or glass)</v>
      </c>
      <c r="F52" s="21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3" t="str">
        <v>Landfill</v>
      </c>
      <c r="E53" s="177" t="str">
        <v>Municipal solid waste</v>
      </c>
      <c r="F53" s="21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3" t="str">
        <v>Landfill</v>
      </c>
      <c r="E54" s="177" t="str">
        <v>Commercial and industrial waste</v>
      </c>
      <c r="F54" s="21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3" t="str">
        <v>Landfill</v>
      </c>
      <c r="E55" s="177" t="str">
        <v>Construction and demolition waste</v>
      </c>
      <c r="F55" s="21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3" t="str">
        <v>Incineration</v>
      </c>
      <c r="E56" s="177" t="str">
        <v>Food waste, green waste, wood, sludge</v>
      </c>
      <c r="F56" s="21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3" t="str">
        <v>Incineration</v>
      </c>
      <c r="E57" s="177" t="str">
        <v>Paper and cardboard</v>
      </c>
      <c r="F57" s="21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3" t="str">
        <v>Incineration</v>
      </c>
      <c r="E58" s="177" t="str">
        <v>Textiles</v>
      </c>
      <c r="F58" s="21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3" t="str">
        <v>Incineration</v>
      </c>
      <c r="E59" s="177" t="str">
        <v>Rubber and leather</v>
      </c>
      <c r="F59" s="21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3" t="str">
        <v>Incineration</v>
      </c>
      <c r="E60" s="177" t="str">
        <v>Inert Waste</v>
      </c>
      <c r="F60" s="21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3" t="str">
        <v>Incineration</v>
      </c>
      <c r="E61" s="177" t="str">
        <v>Municipal Solid Waste</v>
      </c>
      <c r="F61" s="21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3" t="str">
        <v>Incineration</v>
      </c>
      <c r="E62" s="177" t="str">
        <v>Industrial Waste</v>
      </c>
      <c r="F62" s="21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3" t="str">
        <v>Composting</v>
      </c>
      <c r="E63" s="177" t="str">
        <v>All organic waste</v>
      </c>
      <c r="F63" s="21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3" t="str">
        <v>Anaerobic digestion</v>
      </c>
      <c r="E64" s="177" t="str">
        <v>All organic waste</v>
      </c>
      <c r="F64" s="21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8" t="s">
        <v>641</v>
      </c>
      <c r="E71" s="178"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3" t="str" cm="1">
        <f t="array" ref="D77:E83">_xlfn.CHOOSECOLS(WasteSolid_Equations.VEERG_10_1_1_1__1_EmissionsFromWasteManagement_Arguments(),1,2)</f>
        <v>Q_wt</v>
      </c>
      <c r="E77" s="177" t="str">
        <v>quantity of solid waste of type w being sent to treatment facility t, on a wet weight basis</v>
      </c>
      <c r="F77" s="211"/>
      <c r="G77" s="172"/>
      <c r="H77" s="173" t="str" cm="1">
        <f t="array" ref="H77:I83">_xlfn.CHOOSECOLS(WasteSolid_Equations.VEERG_10_1_1_1__1_EmissionsFromWasteManagement_Arguments(),3,4)</f>
        <v>t</v>
      </c>
      <c r="I77" s="175" t="str">
        <v>Sum of Q_volwt and Q_masswt</v>
      </c>
    </row>
    <row r="78" spans="1:12" ht="20.100000000000001" customHeight="1" x14ac:dyDescent="0.25">
      <c r="D78" s="173" t="str">
        <v>EF_wtg</v>
      </c>
      <c r="E78" s="177" t="str">
        <v>emission factor for greenhouse gas g for the management of waste at treatment facility t</v>
      </c>
      <c r="F78" s="211"/>
      <c r="G78" s="172"/>
      <c r="H78" s="173" t="str">
        <v>t CO2e/t</v>
      </c>
      <c r="I78" s="175" t="str">
        <v>Constant</v>
      </c>
    </row>
    <row r="79" spans="1:12" ht="20.100000000000001" customHeight="1" x14ac:dyDescent="0.25">
      <c r="D79" s="173" t="str">
        <v>w</v>
      </c>
      <c r="E79" s="177" t="str">
        <v>waste type</v>
      </c>
      <c r="F79" s="211"/>
      <c r="G79" s="172"/>
      <c r="H79" s="173" t="str">
        <v/>
      </c>
      <c r="I79" s="174" t="str">
        <v>Input</v>
      </c>
    </row>
    <row r="80" spans="1:12" ht="20.100000000000001" customHeight="1" x14ac:dyDescent="0.25">
      <c r="D80" s="173" t="str">
        <v>t</v>
      </c>
      <c r="E80" s="177" t="str">
        <v>treatment facility</v>
      </c>
      <c r="F80" s="211"/>
      <c r="G80" s="172"/>
      <c r="H80" s="173" t="str">
        <v/>
      </c>
      <c r="I80" s="174" t="str">
        <v>Input</v>
      </c>
    </row>
    <row r="81" spans="4:11" ht="20.100000000000001" customHeight="1" x14ac:dyDescent="0.25">
      <c r="D81" s="173" t="str">
        <v>g</v>
      </c>
      <c r="E81" s="177" t="str">
        <v>greenhouse gas</v>
      </c>
      <c r="F81" s="211"/>
      <c r="G81" s="172"/>
      <c r="H81" s="173" t="str">
        <v/>
      </c>
      <c r="I81" s="174" t="str">
        <v>Input</v>
      </c>
    </row>
    <row r="82" spans="4:11" ht="20.100000000000001" customHeight="1" x14ac:dyDescent="0.25">
      <c r="D82" s="173" t="str">
        <v>Q_volwt</v>
      </c>
      <c r="E82" s="177" t="str">
        <v>quantity of sold waste input as volume and converted to tonnes</v>
      </c>
      <c r="F82" s="211"/>
      <c r="G82" s="172"/>
      <c r="H82" s="173" t="str">
        <v>tonnes</v>
      </c>
      <c r="I82" s="175" t="str">
        <v>Calculated from 10.1.1.1 (2)</v>
      </c>
    </row>
    <row r="83" spans="4:11" ht="20.100000000000001" customHeight="1" x14ac:dyDescent="0.25">
      <c r="D83" s="173" t="str">
        <v>Q_masswt</v>
      </c>
      <c r="E83" s="177" t="str">
        <v>quantity of solid waste input as mass</v>
      </c>
      <c r="F83" s="211"/>
      <c r="G83" s="172"/>
      <c r="H83" s="173" t="str">
        <v>tonnes</v>
      </c>
      <c r="I83" s="174"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3" t="str" cm="1">
        <f t="array" ref="D88:D107">Table_SourceData_WasteSolid_WasteTreatmentEFs[Treatment type t]</f>
        <v>Landfill</v>
      </c>
      <c r="E88" s="177" t="str" cm="1">
        <f t="array" ref="E88:E107">Table_SourceData_WasteSolid_WasteTreatmentEFs[Waste type w]</f>
        <v>Food waste (including animal carcasses, spoiled animal feed or crop)</v>
      </c>
      <c r="F88" s="21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3" t="str">
        <v>Landfill</v>
      </c>
      <c r="E89" s="177" t="str">
        <v>Paper and cardboard</v>
      </c>
      <c r="F89" s="21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3" t="str">
        <v>Landfill</v>
      </c>
      <c r="E90" s="177" t="str">
        <v>Green waste (including crop residues or prunnings)</v>
      </c>
      <c r="F90" s="21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3" t="str">
        <v>Landfill</v>
      </c>
      <c r="E91" s="177" t="str">
        <v>Wood</v>
      </c>
      <c r="F91" s="21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3" t="str">
        <v>Landfill</v>
      </c>
      <c r="E92" s="177" t="str">
        <v>Textiles</v>
      </c>
      <c r="F92" s="21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3" t="str">
        <v>Landfill</v>
      </c>
      <c r="E93" s="177" t="str">
        <v>Sludge</v>
      </c>
      <c r="F93" s="21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3" t="str">
        <v>Landfill</v>
      </c>
      <c r="E94" s="177" t="str">
        <v>Rubber and leather</v>
      </c>
      <c r="F94" s="21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3" t="str">
        <v>Landfill</v>
      </c>
      <c r="E95" s="177" t="str">
        <v>Inert waste (including concrete, metal, plastic or glass)</v>
      </c>
      <c r="F95" s="21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3" t="str">
        <v>Landfill</v>
      </c>
      <c r="E96" s="177" t="str">
        <v>Municipal solid waste</v>
      </c>
      <c r="F96" s="21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3" t="str">
        <v>Landfill</v>
      </c>
      <c r="E97" s="177" t="str">
        <v>Commercial and industrial waste</v>
      </c>
      <c r="F97" s="21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3" t="str">
        <v>Landfill</v>
      </c>
      <c r="E98" s="177" t="str">
        <v>Construction and demolition waste</v>
      </c>
      <c r="F98" s="21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3" t="str">
        <v>Incineration</v>
      </c>
      <c r="E99" s="177" t="str">
        <v>Food waste, green waste, wood, sludge</v>
      </c>
      <c r="F99" s="21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3" t="str">
        <v>Incineration</v>
      </c>
      <c r="E100" s="177" t="str">
        <v>Paper and cardboard</v>
      </c>
      <c r="F100" s="21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3" t="str">
        <v>Incineration</v>
      </c>
      <c r="E101" s="177" t="str">
        <v>Textiles</v>
      </c>
      <c r="F101" s="21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3" t="str">
        <v>Incineration</v>
      </c>
      <c r="E102" s="177" t="str">
        <v>Rubber and leather</v>
      </c>
      <c r="F102" s="21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3" t="str">
        <v>Incineration</v>
      </c>
      <c r="E103" s="177" t="str">
        <v>Inert Waste</v>
      </c>
      <c r="F103" s="21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3" t="str">
        <v>Incineration</v>
      </c>
      <c r="E104" s="177" t="str">
        <v>Municipal Solid Waste</v>
      </c>
      <c r="F104" s="21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3" t="str">
        <v>Incineration</v>
      </c>
      <c r="E105" s="177" t="str">
        <v>Industrial Waste</v>
      </c>
      <c r="F105" s="21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3" t="str">
        <v>Composting</v>
      </c>
      <c r="E106" s="177" t="str">
        <v>All organic waste</v>
      </c>
      <c r="F106" s="21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3" t="str">
        <v>Anaerobic digestion</v>
      </c>
      <c r="E107" s="177" t="str">
        <v>All organic waste</v>
      </c>
      <c r="F107" s="21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2" t="s">
        <v>824</v>
      </c>
      <c r="E109" s="183">
        <f>SUM(K88:K107)</f>
        <v>0</v>
      </c>
      <c r="F109" s="184"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3" t="str" cm="1">
        <f t="array" ref="D115:D134">Table_SourceData_WasteSolid_WasteTreatmentEFs[Treatment type t]</f>
        <v>Landfill</v>
      </c>
      <c r="E115" s="177" t="str" cm="1">
        <f t="array" ref="E115:E134">Table_SourceData_WasteSolid_WasteTreatmentEFs[Waste type w]</f>
        <v>Food waste (including animal carcasses, spoiled animal feed or crop)</v>
      </c>
      <c r="F115" s="21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3" t="str">
        <v>Landfill</v>
      </c>
      <c r="E116" s="177" t="str">
        <v>Paper and cardboard</v>
      </c>
      <c r="F116" s="21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3" t="str">
        <v>Landfill</v>
      </c>
      <c r="E117" s="177" t="str">
        <v>Green waste (including crop residues or prunnings)</v>
      </c>
      <c r="F117" s="21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3" t="str">
        <v>Landfill</v>
      </c>
      <c r="E118" s="177" t="str">
        <v>Wood</v>
      </c>
      <c r="F118" s="21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3" t="str">
        <v>Landfill</v>
      </c>
      <c r="E119" s="177" t="str">
        <v>Textiles</v>
      </c>
      <c r="F119" s="21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3" t="str">
        <v>Landfill</v>
      </c>
      <c r="E120" s="177" t="str">
        <v>Sludge</v>
      </c>
      <c r="F120" s="21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3" t="str">
        <v>Landfill</v>
      </c>
      <c r="E121" s="177" t="str">
        <v>Rubber and leather</v>
      </c>
      <c r="F121" s="21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3" t="str">
        <v>Landfill</v>
      </c>
      <c r="E122" s="177" t="str">
        <v>Inert waste (including concrete, metal, plastic or glass)</v>
      </c>
      <c r="F122" s="21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3" t="str">
        <v>Landfill</v>
      </c>
      <c r="E123" s="177" t="str">
        <v>Municipal solid waste</v>
      </c>
      <c r="F123" s="21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3" t="str">
        <v>Landfill</v>
      </c>
      <c r="E124" s="177" t="str">
        <v>Commercial and industrial waste</v>
      </c>
      <c r="F124" s="21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3" t="str">
        <v>Landfill</v>
      </c>
      <c r="E125" s="177" t="str">
        <v>Construction and demolition waste</v>
      </c>
      <c r="F125" s="21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3" t="str">
        <v>Incineration</v>
      </c>
      <c r="E126" s="177" t="str">
        <v>Food waste, green waste, wood, sludge</v>
      </c>
      <c r="F126" s="21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3" t="str">
        <v>Incineration</v>
      </c>
      <c r="E127" s="177" t="str">
        <v>Paper and cardboard</v>
      </c>
      <c r="F127" s="21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3" t="str">
        <v>Incineration</v>
      </c>
      <c r="E128" s="177" t="str">
        <v>Textiles</v>
      </c>
      <c r="F128" s="21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3" t="str">
        <v>Incineration</v>
      </c>
      <c r="E129" s="177" t="str">
        <v>Rubber and leather</v>
      </c>
      <c r="F129" s="21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3" t="str">
        <v>Incineration</v>
      </c>
      <c r="E130" s="177" t="str">
        <v>Inert Waste</v>
      </c>
      <c r="F130" s="21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3" t="str">
        <v>Incineration</v>
      </c>
      <c r="E131" s="177" t="str">
        <v>Municipal Solid Waste</v>
      </c>
      <c r="F131" s="21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3" t="str">
        <v>Incineration</v>
      </c>
      <c r="E132" s="177" t="str">
        <v>Industrial Waste</v>
      </c>
      <c r="F132" s="21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3" t="str">
        <v>Composting</v>
      </c>
      <c r="E133" s="177" t="str">
        <v>All organic waste</v>
      </c>
      <c r="F133" s="21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3" t="str">
        <v>Anaerobic digestion</v>
      </c>
      <c r="E134" s="177" t="str">
        <v>All organic waste</v>
      </c>
      <c r="F134" s="21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2" t="s">
        <v>824</v>
      </c>
      <c r="E136" s="183">
        <f>SUM(K115:K134)</f>
        <v>330.84210000000002</v>
      </c>
      <c r="F136" s="184"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54"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8" t="s">
        <v>641</v>
      </c>
      <c r="E7" s="178"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3" t="str" cm="1">
        <f t="array" ref="D13:E17">_xlfn.CHOOSECOLS(Fertiliser_Equations_OrganicN2O.VEERG_5_2_1_1__1_OrganicFertiliserApplicationN2OEmissions_Arguments(), 1, 2)</f>
        <v>MNSoil_jf</v>
      </c>
      <c r="E13" s="177" t="str">
        <v>mass of nitrogen in organic fertiliser type f applied to production system j</v>
      </c>
      <c r="F13" s="211"/>
      <c r="G13" s="172"/>
      <c r="H13" s="173" t="str" cm="1">
        <f t="array" ref="H13:I17">_xlfn.CHOOSECOLS(Fertiliser_Equations_OrganicN2O.VEERG_5_2_1_1__1_OrganicFertiliserApplicationN2OEmissions_Arguments(), 3,4)</f>
        <v>kg N</v>
      </c>
      <c r="I13" s="175" t="str">
        <v>Calculated from 5.2.1.1 (2)</v>
      </c>
      <c r="J13" s="173">
        <f>'Input - Waste sent off-site'!$F$10</f>
        <v>1000</v>
      </c>
    </row>
    <row r="14" spans="4:10" ht="20.100000000000001" customHeight="1" x14ac:dyDescent="0.25">
      <c r="D14" s="173" t="str">
        <v>EF_N2Oi</v>
      </c>
      <c r="E14" s="177" t="str">
        <v>emission factor for direct nitrous oxide emissions from organic fertiliser applied to soils and aquatic systems in climate zone i</v>
      </c>
      <c r="F14" s="211"/>
      <c r="G14" s="172"/>
      <c r="H14" s="173" t="str">
        <v>kg N2O-N/kg N</v>
      </c>
      <c r="I14" s="175" t="str">
        <v>Lookup</v>
      </c>
      <c r="J14" s="173">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3" t="str">
        <v>C_N2O</v>
      </c>
      <c r="E15" s="177" t="str">
        <v>factor to convert elemental mass of nitrous oxide to molecular mass</v>
      </c>
      <c r="F15" s="211"/>
      <c r="G15" s="172"/>
      <c r="H15" s="173" t="str">
        <v/>
      </c>
      <c r="I15" s="175" t="str">
        <v>Constant</v>
      </c>
      <c r="J15" s="173">
        <f>Common_InputFunctions.Utility_LookupValueInTableNumber("N2O",Table_GasToMolecularConversionFactor[Gas],Table_GasToMolecularConversionFactor[Conversion factor combined])</f>
        <v>1.5714285714285714</v>
      </c>
    </row>
    <row r="16" spans="4:10" ht="20.100000000000001" customHeight="1" x14ac:dyDescent="0.25">
      <c r="D16" s="173" t="str">
        <v>j</v>
      </c>
      <c r="E16" s="177" t="str">
        <v>Production system</v>
      </c>
      <c r="F16" s="211"/>
      <c r="G16" s="172"/>
      <c r="H16" s="173" t="str">
        <v/>
      </c>
      <c r="I16" s="174" t="str">
        <v>Input</v>
      </c>
      <c r="J16" s="173" t="str">
        <f>'Input - Waste sent off-site'!F12</f>
        <v>Crop</v>
      </c>
    </row>
    <row r="17" spans="4:10" ht="20.100000000000001" customHeight="1" x14ac:dyDescent="0.25">
      <c r="D17" s="173" t="str">
        <v>i</v>
      </c>
      <c r="E17" s="177" t="str">
        <v>Wet or dry climate zone</v>
      </c>
      <c r="F17" s="211"/>
      <c r="G17" s="172"/>
      <c r="H17" s="173" t="str">
        <v/>
      </c>
      <c r="I17" s="174" t="str">
        <v>Input</v>
      </c>
      <c r="J17" s="173" t="str">
        <f>'Input - Site'!E32</f>
        <v>Dry climate zone</v>
      </c>
    </row>
    <row r="18" spans="4:10" ht="20.100000000000001" customHeight="1" x14ac:dyDescent="0.25"/>
    <row r="19" spans="4:10" ht="20.100000000000001" customHeight="1" x14ac:dyDescent="0.25">
      <c r="D19" s="182" t="s">
        <v>761</v>
      </c>
      <c r="E19" s="183" cm="1">
        <f t="array" ref="E19">Fertiliser_Equations_OrganicN2O.VEERG_5_2_1_1__1_OrganicFertiliserApplicationN2OEmissions(J13,J14,J15)</f>
        <v>7.8571428571428577E-3</v>
      </c>
      <c r="F19" s="184"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8" t="s">
        <v>641</v>
      </c>
      <c r="E26" s="178"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3" t="str" cm="1">
        <f t="array" ref="D32:E33">_xlfn.CHOOSECOLS(Fertiliser_Equations_AtmosphericDeposition.VEERG_5_4_1_3__2_MassOfNitrogenVolatilisedFromOrganicFertiliser_Arguments(), 1, 2)</f>
        <v>MNSoil_jf</v>
      </c>
      <c r="E32" s="173" t="str">
        <v>mass of nitrogen in organic fertiliser type f applied to production system j</v>
      </c>
      <c r="F32" s="173"/>
      <c r="G32" s="173" t="str" cm="1">
        <f t="array" ref="G32:H33">_xlfn.CHOOSECOLS(Fertiliser_Equations_AtmosphericDeposition.VEERG_5_4_1_3__2_MassOfNitrogenVolatilisedFromOrganicFertiliser_Arguments(), 3,4)</f>
        <v>kg N</v>
      </c>
      <c r="H32" s="175" t="str">
        <v>Calculated from 5.2.1.1 (2)</v>
      </c>
      <c r="I32" s="173">
        <f>'Input - Waste sent off-site'!$F$10</f>
        <v>1000</v>
      </c>
    </row>
    <row r="33" spans="4:9" ht="20.100000000000001" customHeight="1" x14ac:dyDescent="0.25">
      <c r="D33" s="173" t="str">
        <v>FracGASM_soil</v>
      </c>
      <c r="E33" s="173" t="str">
        <v>fraction of organic fertiliser N that volatilises</v>
      </c>
      <c r="F33" s="173"/>
      <c r="G33" s="173" t="str">
        <v>(kg NH3-N + NOx-N)/kg N</v>
      </c>
      <c r="H33" s="175" t="str">
        <v>Constant</v>
      </c>
      <c r="I33" s="173">
        <f>'Constants - Fertiliser'!$E$73</f>
        <v>0.21</v>
      </c>
    </row>
    <row r="34" spans="4:9" ht="20.100000000000001" customHeight="1" x14ac:dyDescent="0.25"/>
    <row r="35" spans="4:9" ht="20.100000000000001" customHeight="1" x14ac:dyDescent="0.25">
      <c r="D35" s="180" t="s">
        <v>763</v>
      </c>
      <c r="E35" s="102" cm="1">
        <f t="array" ref="E35">Fertiliser_Equations_AtmosphericDeposition.VEERG_5_4_1_3__2_MassOfNitrogenVolatilisedFromOrganicFertiliser(I32,I33)</f>
        <v>210</v>
      </c>
      <c r="F35" s="181"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8" t="s">
        <v>641</v>
      </c>
      <c r="E42" s="178"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3" t="str" cm="1">
        <f t="array" ref="D48:E53">_xlfn.CHOOSECOLS(Fertiliser_Equations_AtmosphericDeposition.VEERG_5_4_1_3__1_OrganicFertiliserAtmosphericDepositionN2OEmissions_Arguments(), 1, 2)</f>
        <v>M_volorganicjf</v>
      </c>
      <c r="E48" s="177" t="str">
        <v>mass of nitrogen volatilised from organic fertiliser applied to production system</v>
      </c>
      <c r="F48" s="172"/>
      <c r="G48" s="173" t="str" cm="1">
        <f t="array" ref="G48:H53">_xlfn.CHOOSECOLS(Fertiliser_Equations_AtmosphericDeposition.VEERG_5_4_1_3__1_OrganicFertiliserAtmosphericDepositionN2OEmissions_Arguments(), 3,4)</f>
        <v>kg N</v>
      </c>
      <c r="H48" s="175" t="str">
        <v>Calculated from 5.4.1.3 (2)</v>
      </c>
      <c r="I48" s="173">
        <f>E35</f>
        <v>210</v>
      </c>
    </row>
    <row r="49" spans="4:9" ht="20.100000000000001" customHeight="1" x14ac:dyDescent="0.25">
      <c r="D49" s="173" t="str">
        <v>EF_N2Oj</v>
      </c>
      <c r="E49" s="177" t="str">
        <v>emission factor for atmospheric deposition in production system j</v>
      </c>
      <c r="F49" s="172"/>
      <c r="G49" s="173" t="str">
        <v>kg N2O-N/kg N</v>
      </c>
      <c r="H49" s="175" t="str">
        <v>Constant</v>
      </c>
      <c r="I49" s="173">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3" t="str">
        <v>C_N2O</v>
      </c>
      <c r="E50" s="177" t="str">
        <v>factor to convert elemental mass of nitrous oxide to molecular mass</v>
      </c>
      <c r="F50" s="172"/>
      <c r="G50" s="173" t="str">
        <v/>
      </c>
      <c r="H50" s="175" t="str">
        <v>Constant</v>
      </c>
      <c r="I50" s="212">
        <f>Common_InputFunctions.Utility_LookupValueInTableNumber("N2O",Table_GasToMolecularConversionFactor[Gas],Table_GasToMolecularConversionFactor[Conversion factor combined])</f>
        <v>1.5714285714285714</v>
      </c>
    </row>
    <row r="51" spans="4:9" ht="20.100000000000001" customHeight="1" x14ac:dyDescent="0.25">
      <c r="D51" s="173" t="str">
        <v>j</v>
      </c>
      <c r="E51" s="177" t="str">
        <v>Production system</v>
      </c>
      <c r="F51" s="172"/>
      <c r="G51" s="173" t="str">
        <v/>
      </c>
      <c r="H51" s="174" t="str">
        <v>Input</v>
      </c>
      <c r="I51" s="173" t="str">
        <f>'Input - Waste sent off-site'!F12</f>
        <v>Crop</v>
      </c>
    </row>
    <row r="52" spans="4:9" ht="20.100000000000001" customHeight="1" x14ac:dyDescent="0.25">
      <c r="D52" s="173" t="str">
        <v>ir</v>
      </c>
      <c r="E52" s="177" t="str">
        <v>irrigation method</v>
      </c>
      <c r="F52" s="172"/>
      <c r="G52" s="173" t="str">
        <v/>
      </c>
      <c r="H52" s="174" t="str">
        <v>Input</v>
      </c>
      <c r="I52" s="173" t="str">
        <f>'Input - Waste sent off-site'!F13</f>
        <v>Sprinkler irrigation</v>
      </c>
    </row>
    <row r="53" spans="4:9" ht="20.100000000000001" customHeight="1" x14ac:dyDescent="0.25">
      <c r="D53" s="173" t="str">
        <v>r</v>
      </c>
      <c r="E53" s="177" t="str">
        <v>rainfall region</v>
      </c>
      <c r="F53" s="172"/>
      <c r="G53" s="173" t="str">
        <v/>
      </c>
      <c r="H53" s="174" t="str">
        <v>Input</v>
      </c>
      <c r="I53" s="173" t="str">
        <f>'Input - Site'!E30</f>
        <v>Low rainfall</v>
      </c>
    </row>
    <row r="54" spans="4:9" ht="20.100000000000001" customHeight="1" x14ac:dyDescent="0.25"/>
    <row r="55" spans="4:9" ht="20.100000000000001" customHeight="1" x14ac:dyDescent="0.25">
      <c r="D55" s="182" t="s">
        <v>777</v>
      </c>
      <c r="E55" s="183" cm="1">
        <f t="array" ref="E55">Fertiliser_Equations_AtmosphericDeposition.VEERG_5_4_1_3__1_OrganicFertiliserAtmosphericDepositionN2OEmissions(I48,I49,I50)</f>
        <v>2.31E-3</v>
      </c>
      <c r="F55" s="184"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8" t="s">
        <v>641</v>
      </c>
      <c r="E61" s="178"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3" t="str" cm="1">
        <f t="array" ref="D67:E72">_xlfn.CHOOSECOLS(Fertiliser_Equations_LeachingAndRunoff.VEERG_5_5_1_1__3_MassOfNitrogenLeachedFromOrganicFertiliser_Arguments(), 1, 2)</f>
        <v>MNSoil_jf</v>
      </c>
      <c r="E67" s="177" t="str">
        <v>mass of nitrogen in organic fertiliser</v>
      </c>
      <c r="F67" s="172"/>
      <c r="G67" s="173" t="str" cm="1">
        <f t="array" ref="G67:H72">_xlfn.CHOOSECOLS(Fertiliser_Equations_LeachingAndRunoff.VEERG_5_5_1_1__3_MassOfNitrogenLeachedFromOrganicFertiliser_Arguments(), 3,4)</f>
        <v>kg N</v>
      </c>
      <c r="H67" s="175" t="str">
        <v>Calculated from 5.2.1.1 (2)</v>
      </c>
      <c r="I67" s="173">
        <f>'Input - Waste sent off-site'!$F$10</f>
        <v>1000</v>
      </c>
    </row>
    <row r="68" spans="4:9" ht="20.100000000000001" customHeight="1" x14ac:dyDescent="0.25">
      <c r="D68" s="173" t="str">
        <v>FracWETj</v>
      </c>
      <c r="E68" s="177" t="str">
        <v>fraction of N available for leaching and runoff</v>
      </c>
      <c r="F68" s="172"/>
      <c r="G68" s="173" t="str">
        <v>fraction</v>
      </c>
      <c r="H68" s="175" t="str">
        <v>Constant</v>
      </c>
      <c r="I68" s="173">
        <f>Common_InputFunctions.CommonCropping_GetFracWET(I70,I72,#REF!,#REF!,Table_SourceData_FracWETIrrigation[Irrigation type i],Table_SourceData_FracWETIrrigation[FracWET])</f>
        <v>1</v>
      </c>
    </row>
    <row r="69" spans="4:9" ht="20.100000000000001" customHeight="1" x14ac:dyDescent="0.25">
      <c r="D69" s="173" t="str">
        <v>FracLEACH</v>
      </c>
      <c r="E69" s="177" t="str">
        <v>fraction of N that is lost through leaching and runoff</v>
      </c>
      <c r="F69" s="172"/>
      <c r="G69" s="173" t="str">
        <v>fraction</v>
      </c>
      <c r="H69" s="175" t="str">
        <v>Constant</v>
      </c>
      <c r="I69" s="173">
        <f>'Constants - Fertiliser'!$E$78</f>
        <v>0.24</v>
      </c>
    </row>
    <row r="70" spans="4:9" ht="20.100000000000001" customHeight="1" x14ac:dyDescent="0.25">
      <c r="D70" s="173" t="str">
        <v>z</v>
      </c>
      <c r="E70" s="177" t="str">
        <v>location in leaching zone</v>
      </c>
      <c r="F70" s="172"/>
      <c r="G70" s="173" t="str">
        <v/>
      </c>
      <c r="H70" s="174" t="str">
        <v>Input</v>
      </c>
      <c r="I70" s="173" t="str">
        <f>'Input - Site'!E23</f>
        <v>NO - Not in leaching zone</v>
      </c>
    </row>
    <row r="71" spans="4:9" ht="20.100000000000001" customHeight="1" x14ac:dyDescent="0.25">
      <c r="D71" s="173" t="str">
        <v>j</v>
      </c>
      <c r="E71" s="177" t="str">
        <v>production system</v>
      </c>
      <c r="F71" s="172"/>
      <c r="G71" s="173" t="str">
        <v/>
      </c>
      <c r="H71" s="174" t="str">
        <v>Input</v>
      </c>
      <c r="I71" s="173" t="str">
        <f>'Input - Waste sent off-site'!F12</f>
        <v>Crop</v>
      </c>
    </row>
    <row r="72" spans="4:9" ht="20.100000000000001" customHeight="1" x14ac:dyDescent="0.25">
      <c r="D72" s="173" t="str">
        <v>ir</v>
      </c>
      <c r="E72" s="177" t="str">
        <v>irrigation method</v>
      </c>
      <c r="F72" s="172"/>
      <c r="G72" s="173" t="str">
        <v/>
      </c>
      <c r="H72" s="174" t="str">
        <v>Input</v>
      </c>
      <c r="I72" s="173" t="str">
        <f>'Input - Waste sent off-site'!F13</f>
        <v>Sprinkler irrigation</v>
      </c>
    </row>
    <row r="73" spans="4:9" ht="20.100000000000001" customHeight="1" x14ac:dyDescent="0.25"/>
    <row r="74" spans="4:9" ht="20.100000000000001" customHeight="1" x14ac:dyDescent="0.25">
      <c r="D74" s="180" t="s">
        <v>778</v>
      </c>
      <c r="E74" s="102" cm="1">
        <f t="array" ref="E74">Fertiliser_Equations_LeachingAndRunoff.VEERG_5_5_1_1__3_MassOfNitrogenLeachedFromOrganicFertiliser(I67,I68,I69)</f>
        <v>240</v>
      </c>
      <c r="F74" s="181"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8" t="s">
        <v>641</v>
      </c>
      <c r="E79" s="178"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3" t="str" cm="1">
        <f t="array" ref="D85:E88">_xlfn.CHOOSECOLS(Fertiliser_Equations_LeachingAndRunoff.VEERG_5_5_1_1__1_FertiliserLeachingAndRunoffN2OEmissions_Arguments(), 1, 2)</f>
        <v>M_leachinorganicj</v>
      </c>
      <c r="E85" s="177" t="str">
        <v>mass of nitrogen lost through leaching and runoff from inorganic fertiliser application in production system j</v>
      </c>
      <c r="F85" s="211"/>
      <c r="G85" s="172"/>
      <c r="H85" s="173" t="str" cm="1">
        <f t="array" ref="H85:I88">_xlfn.CHOOSECOLS(Fertiliser_Equations_LeachingAndRunoff.VEERG_5_5_1_1__1_FertiliserLeachingAndRunoffN2OEmissions_Arguments(), 3,4)</f>
        <v>kg N</v>
      </c>
      <c r="I85" s="175" t="str">
        <v>Calculated from 5.5.1.1 (2)</v>
      </c>
      <c r="J85" s="173">
        <v>0</v>
      </c>
    </row>
    <row r="86" spans="4:10" x14ac:dyDescent="0.25">
      <c r="D86" s="173" t="str">
        <v>M_leachorganicj</v>
      </c>
      <c r="E86" s="177" t="str">
        <v>mass of nitrogen lost through leaching and runoff from organic fertiliser application</v>
      </c>
      <c r="F86" s="211"/>
      <c r="G86" s="172"/>
      <c r="H86" s="173" t="str">
        <v>kg N</v>
      </c>
      <c r="I86" s="175" t="str">
        <v>Calculated from 5.5.1.1 (3)</v>
      </c>
      <c r="J86" s="173">
        <f>E74</f>
        <v>240</v>
      </c>
    </row>
    <row r="87" spans="4:10" x14ac:dyDescent="0.25">
      <c r="D87" s="173" t="str">
        <v>EF_leach</v>
      </c>
      <c r="E87" s="177" t="str">
        <v>emission factor for nitrogen leaching and runoff</v>
      </c>
      <c r="F87" s="211"/>
      <c r="G87" s="172"/>
      <c r="H87" s="173" t="str">
        <v>kg N2O-N/kg N</v>
      </c>
      <c r="I87" s="175" t="str">
        <v>Constant</v>
      </c>
      <c r="J87" s="173">
        <f>'Constants - Fertiliser'!$E$83</f>
        <v>1.0999999999999999E-2</v>
      </c>
    </row>
    <row r="88" spans="4:10" x14ac:dyDescent="0.25">
      <c r="D88" s="173" t="str">
        <v>C_N2O</v>
      </c>
      <c r="E88" s="177" t="str">
        <v>factor to convert elemental mass of nitrous oxide to molecular mass</v>
      </c>
      <c r="F88" s="211"/>
      <c r="G88" s="172"/>
      <c r="H88" s="173" t="str">
        <v/>
      </c>
      <c r="I88" s="175" t="str">
        <v>Constant</v>
      </c>
      <c r="J88" s="212">
        <f>Common_InputFunctions.Utility_LookupValueInTableNumber("N2O",Table_GasToMolecularConversionFactor[Gas],Table_GasToMolecularConversionFactor[Conversion factor combined])</f>
        <v>1.5714285714285714</v>
      </c>
    </row>
    <row r="90" spans="4:10" ht="23.25" x14ac:dyDescent="0.25">
      <c r="D90" s="182" t="s">
        <v>779</v>
      </c>
      <c r="E90" s="183" cm="1">
        <f t="array" ref="E90">Fertiliser_Equations_LeachingAndRunoff.VEERG_5_5_1_1__1_FertiliserLeachingAndRunoffN2OEmissions(J85,J86,J87,J88)</f>
        <v>4.1485714285714277E-3</v>
      </c>
      <c r="F90" s="184"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8" t="s">
        <v>641</v>
      </c>
      <c r="E7" s="178" t="str" cm="1">
        <f t="array" aca="1" ref="E7" ca="1">Common_InputFunctions.Utility_DisplayFunctionName(N25)</f>
        <v>=Fuel_Equations.VEERG_8_1_1_1__1_FuelCombustionTransport</v>
      </c>
      <c r="K7" s="178" t="s">
        <v>641</v>
      </c>
      <c r="L7" s="178"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8"/>
      <c r="L8" s="178"/>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_xlfn.CHOOSECOLS(Fuel_Equations.VEERG_8_1_1_1__1_FuelCombustionTransport_Arguments(), 1,2)</f>
        <v>Q_Transtq</v>
      </c>
      <c r="E14" s="177" t="str">
        <v>Amount of fuel type q combusted for transport energy purposes</v>
      </c>
      <c r="F14" s="172"/>
      <c r="G14" s="173" t="str" cm="1">
        <f t="array" ref="G14:H20">_xlfn.CHOOSECOLS(Fuel_Equations.VEERG_8_1_1_1__1_FuelCombustionTransport_Arguments(), 3,4)</f>
        <v>Varies based on fuel type: kL, m3, GJ</v>
      </c>
      <c r="H14" s="174" t="str">
        <v>Input</v>
      </c>
      <c r="I14" s="176" t="str" cm="1">
        <f t="array" aca="1" ref="I14" ca="1">HYPERLINK(Common_InputFunctions.Utility_SourceHyperlink($D$22), $D$22)</f>
        <v>Table_E_g</v>
      </c>
      <c r="K14" s="173" t="str" cm="1">
        <f t="array" ref="K14:L16">_xlfn.CHOOSECOLS(Scope3_Equations.VEERG_15_11_1_1__2_UpstreamTransportFuelEmissions_Arguments(),1,2)</f>
        <v>Q_Transq</v>
      </c>
      <c r="L14" s="173" t="str">
        <v>amount of fuel q combusted for transport energy purposes</v>
      </c>
      <c r="M14" s="173"/>
      <c r="N14" s="173" t="str" cm="1">
        <f t="array" ref="N14:O16">_xlfn.CHOOSECOLS(Scope3_Equations.VEERG_15_11_1_1__2_UpstreamTransportFuelEmissions_Arguments(),3,4)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EC_Transq</v>
      </c>
      <c r="E15" s="177" t="str">
        <v>Energy content factor for transport energy purposes</v>
      </c>
      <c r="F15" s="172"/>
      <c r="G15" s="173" t="str">
        <v>GJ / unit of fuel</v>
      </c>
      <c r="H15" s="175" t="str">
        <v>Constant</v>
      </c>
      <c r="I15" s="176" t="str" cm="1">
        <f t="array" aca="1" ref="I15" ca="1">HYPERLINK(Common_InputFunctions.Utility_SourceHyperlink($D$22), $D$22)</f>
        <v>Table_E_g</v>
      </c>
      <c r="K15" s="173" t="str">
        <v>EC_Transq</v>
      </c>
      <c r="L15" s="173" t="str">
        <v>energy content factor for transport energy purposes</v>
      </c>
      <c r="M15" s="173"/>
      <c r="N15" s="173" t="str">
        <v>GJ/kL or GJ/m3</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EF_Trans1tqg</v>
      </c>
      <c r="E16" s="177" t="str">
        <v>Scope 1 emission factor for transport energy purposes for each greenhouse gas</v>
      </c>
      <c r="F16" s="172"/>
      <c r="G16" s="173" t="str">
        <v>kg CO2e / GJ</v>
      </c>
      <c r="H16" s="175" t="str">
        <v>Constant</v>
      </c>
      <c r="I16" s="176" t="str" cm="1">
        <f t="array" aca="1" ref="I16" ca="1">HYPERLINK(Common_InputFunctions.Utility_SourceHyperlink($D$22), $D$22)</f>
        <v>Table_E_g</v>
      </c>
      <c r="K16" s="173" t="str">
        <v>EF_Trans3q</v>
      </c>
      <c r="L16" s="173" t="str">
        <v>scope 3 emission factor for transport energy purposes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P17" s="17"/>
      <c r="Q17" s="17"/>
    </row>
    <row r="18" spans="1:17" ht="20.100000000000001" customHeight="1" x14ac:dyDescent="0.25">
      <c r="D18" s="173" t="str">
        <v>Trans</v>
      </c>
      <c r="E18" s="177" t="str">
        <v>Transport combustion</v>
      </c>
      <c r="F18" s="172"/>
      <c r="G18" s="173" t="str">
        <v/>
      </c>
      <c r="H18" s="175" t="str">
        <v>Constant</v>
      </c>
      <c r="I18" s="176"/>
      <c r="J18" s="17"/>
      <c r="L18" s="17"/>
      <c r="M18" s="17"/>
      <c r="N18" s="17"/>
      <c r="O18" s="17"/>
      <c r="P18" s="17"/>
      <c r="Q18" s="17"/>
    </row>
    <row r="19" spans="1:17" ht="20.100000000000001" customHeight="1" x14ac:dyDescent="0.25">
      <c r="D19" s="173" t="str">
        <v>g</v>
      </c>
      <c r="E19" s="177" t="str">
        <v>Greenhouse gas</v>
      </c>
      <c r="F19" s="172"/>
      <c r="G19" s="173" t="str">
        <v/>
      </c>
      <c r="H19" s="175" t="str">
        <v>Constant</v>
      </c>
      <c r="I19" s="176"/>
      <c r="J19" s="17"/>
      <c r="L19" s="17"/>
      <c r="M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0.1</v>
      </c>
      <c r="M26" s="187" t="str" cm="1">
        <f t="array" ref="M26">Common_InputFunctions.Utility_LookupValueInTable(F26,Table_FuelTypes_Units[Fuel type],Table_FuelTypes_Units[Unit])</f>
        <v>kL</v>
      </c>
      <c r="N26" s="188" cm="1">
        <f t="array" ref="N26">Fuel_Equations.VEERG_8_1_1_1__1_FuelCombustionTransport($L26,$G26,$H26)</f>
        <v>0.26981400000000005</v>
      </c>
      <c r="O26" s="188" cm="1">
        <f t="array" ref="O26">Fuel_Equations.VEERG_8_1_1_1__1_FuelCombustionTransport($L26,$G26,$I26)</f>
        <v>3.8600000000000003E-5</v>
      </c>
      <c r="P26" s="188" cm="1">
        <f t="array" ref="P26">Fuel_Equations.VEERG_8_1_1_1__1_FuelCombustionTransport($L26,$G26,$J26)</f>
        <v>1.9300000000000003E-3</v>
      </c>
      <c r="Q26" s="18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7" t="str" cm="1">
        <f t="array" ref="K32">IFERROR(_xlfn.XLOOKUP(1, (Table_Fuel_EFs_Transport[Fuel combusted]=$E32)*(Table_Fuel_EFs_Transport[Transport type]=$D$25), Table_Fuel_EFs_Transport[Scope 3 Emission Factor (kg CO2 - e / GJ)]), 0)</f>
        <v>NE</v>
      </c>
      <c r="L32" s="189"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190" cm="1">
        <f t="array" ref="N32">Fuel_Equations.VEERG_8_1_1_1__1_FuelCombustionTransport($L32,$G32,$H32)</f>
        <v>0</v>
      </c>
      <c r="O32" s="190" cm="1">
        <f t="array" ref="O32">Fuel_Equations.VEERG_8_1_1_1__1_FuelCombustionTransport($L32,$G32,$I32)</f>
        <v>0</v>
      </c>
      <c r="P32" s="190"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91" cm="1">
        <f t="array" ref="G33">IFERROR(_xlfn.XLOOKUP(1, (Table_Fuel_EFs_Transport[Fuel combusted]=$E33)*(Table_Fuel_EFs_Transport[Transport type]=$D$33), Table_Fuel_EFs_Transport[Energy Content Factor (GJ per unit of fuel)]), 0)</f>
        <v>38.6</v>
      </c>
      <c r="H33" s="191" cm="1">
        <f t="array" ref="H33">IFERROR(_xlfn.XLOOKUP(1, (Table_Fuel_EFs_Transport[Fuel combusted]=$E33)*(Table_Fuel_EFs_Transport[Transport type]=$D$33), Table_Fuel_EFs_Transport[Scope 1 Emission Factor (kg CO2 - e / GJ) CO2]), 0)</f>
        <v>69.900000000000006</v>
      </c>
      <c r="I33" s="191" cm="1">
        <f t="array" ref="I33">IFERROR(_xlfn.XLOOKUP(1, (Table_Fuel_EFs_Transport[Fuel combusted]=$E33)*(Table_Fuel_EFs_Transport[Transport type]=$D$33), Table_Fuel_EFs_Transport[Scope 1 Emission Factor (kg CO2 - e / GJ) CH4]), 0)</f>
        <v>0.3</v>
      </c>
      <c r="J33" s="191" cm="1">
        <f t="array" ref="J33">IFERROR(_xlfn.XLOOKUP(1, (Table_Fuel_EFs_Transport[Fuel combusted]=$E33)*(Table_Fuel_EFs_Transport[Transport type]=$D$33), Table_Fuel_EFs_Transport[Scope 1 Emission Factor (kg CO2 - e / GJ) N2O]), 0)</f>
        <v>0.5</v>
      </c>
      <c r="K33" s="192" cm="1">
        <f t="array" ref="K33">IFERROR(_xlfn.XLOOKUP(1, (Table_Fuel_EFs_Transport[Fuel combusted]=$E33)*(Table_Fuel_EFs_Transport[Transport type]=$D$25), Table_Fuel_EFs_Transport[Scope 3 Emission Factor (kg CO2 - e / GJ)]), 0)</f>
        <v>17.3</v>
      </c>
      <c r="L33" s="193" cm="1">
        <f t="array" ref="L33">Fuel_InputFunctions.Fuel_TotalConsumption(Table_Input_Fuel[Amount consumed], Table_Input_Fuel[Fuel use (select)], D33, Table_Input_Fuel[Fuel type (select)],F33)</f>
        <v>0</v>
      </c>
      <c r="M33" s="194" t="str" cm="1">
        <f t="array" ref="M33">Common_InputFunctions.Utility_LookupValueInTable(F33,Table_FuelTypes_Units[Fuel type],Table_FuelTypes_Units[Unit])</f>
        <v>kL</v>
      </c>
      <c r="N33" s="195" cm="1">
        <f t="array" ref="N33">Fuel_Equations.VEERG_8_1_1_1__1_FuelCombustionTransport($L33,$G33,$H33)</f>
        <v>0</v>
      </c>
      <c r="O33" s="195" cm="1">
        <f t="array" ref="O33">Fuel_Equations.VEERG_8_1_1_1__1_FuelCombustionTransport($L33,$G33,$I33)</f>
        <v>0</v>
      </c>
      <c r="P33" s="195" cm="1">
        <f t="array" ref="P33">Fuel_Equations.VEERG_8_1_1_1__1_FuelCombustionTransport($L33,$G33,$J33)</f>
        <v>0</v>
      </c>
      <c r="Q33" s="19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7" cm="1">
        <f t="array" ref="G34">IFERROR(_xlfn.XLOOKUP(1, (Table_Fuel_EFs_Transport[Fuel combusted]=$E34)*(Table_Fuel_EFs_Transport[Transport type]=$D$34), Table_Fuel_EFs_Transport[Energy Content Factor (GJ per unit of fuel)]), 0)</f>
        <v>33.1</v>
      </c>
      <c r="H34" s="197" cm="1">
        <f t="array" ref="H34">IFERROR(_xlfn.XLOOKUP(1, (Table_Fuel_EFs_Transport[Fuel combusted]=$E34)*(Table_Fuel_EFs_Transport[Transport type]=$D$34), Table_Fuel_EFs_Transport[Scope 1 Emission Factor (kg CO2 - e / GJ) CO2]), 0)</f>
        <v>67</v>
      </c>
      <c r="I34" s="197" cm="1">
        <f t="array" ref="I34">IFERROR(_xlfn.XLOOKUP(1, (Table_Fuel_EFs_Transport[Fuel combusted]=$E34)*(Table_Fuel_EFs_Transport[Transport type]=$D$34), Table_Fuel_EFs_Transport[Scope 1 Emission Factor (kg CO2 - e / GJ) CH4]), 0)</f>
        <v>0.06</v>
      </c>
      <c r="J34" s="197" cm="1">
        <f t="array" ref="J34">IFERROR(_xlfn.XLOOKUP(1, (Table_Fuel_EFs_Transport[Fuel combusted]=$E34)*(Table_Fuel_EFs_Transport[Transport type]=$D$34), Table_Fuel_EFs_Transport[Scope 1 Emission Factor (kg CO2 - e / GJ) N2O]), 0)</f>
        <v>0.6</v>
      </c>
      <c r="K34" s="197" cm="1">
        <f t="array" ref="K34">IFERROR(_xlfn.XLOOKUP(1, (Table_Fuel_EFs_Transport[Fuel combusted]=$E34)*(Table_Fuel_EFs_Transport[Transport type]=$D$25), Table_Fuel_EFs_Transport[Scope 3 Emission Factor (kg CO2 - e / GJ)]), 0)</f>
        <v>0</v>
      </c>
      <c r="L34" s="194" cm="1">
        <f t="array" ref="L34">Fuel_InputFunctions.Fuel_TotalConsumption(Table_Input_Fuel[Amount consumed], Table_Input_Fuel[Fuel use (select)], D34, Table_Input_Fuel[Fuel type (select)],F34)</f>
        <v>0.1</v>
      </c>
      <c r="M34" s="194" t="str" cm="1">
        <f t="array" ref="M34">Common_InputFunctions.Utility_LookupValueInTable(F34,Table_FuelTypes_Units[Fuel type],Table_FuelTypes_Units[Unit])</f>
        <v>kL</v>
      </c>
      <c r="N34" s="195" cm="1">
        <f t="array" ref="N34">Fuel_Equations.VEERG_8_1_1_1__1_FuelCombustionTransport($L34,$G34,$H34)</f>
        <v>0.22177000000000005</v>
      </c>
      <c r="O34" s="195" cm="1">
        <f t="array" ref="O34">Fuel_Equations.VEERG_8_1_1_1__1_FuelCombustionTransport($L34,$G34,$I34)</f>
        <v>1.9860000000000003E-4</v>
      </c>
      <c r="P34" s="195" cm="1">
        <f t="array" ref="P34">Fuel_Equations.VEERG_8_1_1_1__1_FuelCombustionTransport($L34,$G34,$J34)</f>
        <v>1.9860000000000004E-3</v>
      </c>
      <c r="Q34" s="19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7" cm="1">
        <f t="array" ref="G36">IFERROR(_xlfn.XLOOKUP(1, (Table_Fuel_EFs_Transport[Fuel combusted]=$E36)*(Table_Fuel_EFs_Transport[Transport type]=$D$34), Table_Fuel_EFs_Transport[Energy Content Factor (GJ per unit of fuel)]), 0)</f>
        <v>36.799999999999997</v>
      </c>
      <c r="H36" s="167" cm="1">
        <f t="array" ref="H36">IFERROR(_xlfn.XLOOKUP(1, (Table_Fuel_EFs_Transport[Fuel combusted]=$E36)*(Table_Fuel_EFs_Transport[Transport type]=$D$34), Table_Fuel_EFs_Transport[Scope 1 Emission Factor (kg CO2 - e / GJ) CO2]), 0)</f>
        <v>0</v>
      </c>
      <c r="I36" s="167" cm="1">
        <f t="array" ref="I36">IFERROR(_xlfn.XLOOKUP(1, (Table_Fuel_EFs_Transport[Fuel combusted]=$E36)*(Table_Fuel_EFs_Transport[Transport type]=$D$34), Table_Fuel_EFs_Transport[Scope 1 Emission Factor (kg CO2 - e / GJ) CH4]), 0)</f>
        <v>0.01</v>
      </c>
      <c r="J36" s="167" cm="1">
        <f t="array" ref="J36">IFERROR(_xlfn.XLOOKUP(1, (Table_Fuel_EFs_Transport[Fuel combusted]=$E36)*(Table_Fuel_EFs_Transport[Transport type]=$D$34), Table_Fuel_EFs_Transport[Scope 1 Emission Factor (kg CO2 - e / GJ) N2O]), 0)</f>
        <v>0.6</v>
      </c>
      <c r="K36" s="167" cm="1">
        <f t="array" ref="K36">IFERROR(_xlfn.XLOOKUP(1, (Table_Fuel_EFs_Transport[Fuel combusted]=$E36)*(Table_Fuel_EFs_Transport[Transport type]=$D$25), Table_Fuel_EFs_Transport[Scope 3 Emission Factor (kg CO2 - e / GJ)]), 0)</f>
        <v>0</v>
      </c>
      <c r="L36" s="189"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7" cm="1">
        <f t="array" ref="G37">IFERROR(_xlfn.XLOOKUP(1, (Table_Fuel_EFs_Transport[Fuel combusted]=$E37)*(Table_Fuel_EFs_Transport[Transport type]=$D$37), Table_Fuel_EFs_Transport[Energy Content Factor (GJ per unit of fuel)]), 0)</f>
        <v>34.200000000000003</v>
      </c>
      <c r="H37" s="197" cm="1">
        <f t="array" ref="H37">IFERROR(_xlfn.XLOOKUP(1, (Table_Fuel_EFs_Transport[Fuel combusted]=$E37)*(Table_Fuel_EFs_Transport[Transport type]=$D$37), Table_Fuel_EFs_Transport[Scope 1 Emission Factor (kg CO2 - e / GJ) CO2]), 0)</f>
        <v>67.400000000000006</v>
      </c>
      <c r="I37" s="197" cm="1">
        <f t="array" ref="I37">IFERROR(_xlfn.XLOOKUP(1, (Table_Fuel_EFs_Transport[Fuel combusted]=$E37)*(Table_Fuel_EFs_Transport[Transport type]=$D$37), Table_Fuel_EFs_Transport[Scope 1 Emission Factor (kg CO2 - e / GJ) CH4]), 0)</f>
        <v>10.1</v>
      </c>
      <c r="J37" s="197" cm="1">
        <f t="array" ref="J37">IFERROR(_xlfn.XLOOKUP(1, (Table_Fuel_EFs_Transport[Fuel combusted]=$E37)*(Table_Fuel_EFs_Transport[Transport type]=$D$37), Table_Fuel_EFs_Transport[Scope 1 Emission Factor (kg CO2 - e / GJ) N2O]), 0)</f>
        <v>0.3</v>
      </c>
      <c r="K37" s="197" cm="1">
        <f t="array" ref="K37">IFERROR(_xlfn.XLOOKUP(1, (Table_Fuel_EFs_Transport[Fuel combusted]=$E37)*(Table_Fuel_EFs_Transport[Transport type]=$D$25), Table_Fuel_EFs_Transport[Scope 3 Emission Factor (kg CO2 - e / GJ)]), 0)</f>
        <v>17.2</v>
      </c>
      <c r="L37" s="194" cm="1">
        <f t="array" ref="L37">Fuel_InputFunctions.Fuel_TotalConsumption(Table_Input_Fuel[Amount consumed], Table_Input_Fuel[Fuel use (select)], D37, Table_Input_Fuel[Fuel type (select)],F37)</f>
        <v>0</v>
      </c>
      <c r="M37" s="198" t="str" cm="1">
        <f t="array" ref="M37">Common_InputFunctions.Utility_LookupValueInTable(F37,Table_FuelTypes_Units[Fuel type],Table_FuelTypes_Units[Unit])</f>
        <v>kL</v>
      </c>
      <c r="N37" s="195" cm="1">
        <f t="array" ref="N37">Fuel_Equations.VEERG_8_1_1_1__1_FuelCombustionTransport($L37,$G37,$H37)</f>
        <v>0</v>
      </c>
      <c r="O37" s="195" cm="1">
        <f t="array" ref="O37">Fuel_Equations.VEERG_8_1_1_1__1_FuelCombustionTransport($L37,$G37,$I37)</f>
        <v>0</v>
      </c>
      <c r="P37" s="195" cm="1">
        <f t="array" ref="P37">Fuel_Equations.VEERG_8_1_1_1__1_FuelCombustionTransport($L37,$G37,$J37)</f>
        <v>0</v>
      </c>
      <c r="Q37" s="19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0.1</v>
      </c>
      <c r="M38" s="187" t="str" cm="1">
        <f t="array" ref="M38">Common_InputFunctions.Utility_LookupValueInTable(F38,Table_FuelTypes_Units[Fuel type],Table_FuelTypes_Units[Unit])</f>
        <v>kL</v>
      </c>
      <c r="N38" s="188" cm="1">
        <f t="array" ref="N38">Fuel_Equations.VEERG_8_1_1_1__1_FuelCombustionTransport($L38,$G38,$H38)</f>
        <v>0.26981400000000005</v>
      </c>
      <c r="O38" s="188" cm="1">
        <f t="array" ref="O38">Fuel_Equations.VEERG_8_1_1_1__1_FuelCombustionTransport($L38,$G38,$I38)</f>
        <v>7.7200000000000012E-4</v>
      </c>
      <c r="P38" s="188" cm="1">
        <f t="array" ref="P38">Fuel_Equations.VEERG_8_1_1_1__1_FuelCombustionTransport($L38,$G38,$J38)</f>
        <v>1.9300000000000003E-3</v>
      </c>
      <c r="Q38" s="18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kL</v>
      </c>
      <c r="N39" s="188" cm="1">
        <f t="array" ref="N39">Fuel_Equations.VEERG_8_1_1_1__1_FuelCombustionTransport($L39,$G39,$H39)</f>
        <v>0</v>
      </c>
      <c r="O39" s="188" cm="1">
        <f t="array" ref="O39">Fuel_Equations.VEERG_8_1_1_1__1_FuelCombustionTransport($L39,$G39,$I39)</f>
        <v>0</v>
      </c>
      <c r="P39" s="188" cm="1">
        <f t="array" ref="P39">Fuel_Equations.VEERG_8_1_1_1__1_FuelCombustionTransport($L39,$G39,$J39)</f>
        <v>0</v>
      </c>
      <c r="Q39" s="18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9" t="str">
        <f>"Total scope 1 - " &amp; D25</f>
        <v>Total scope 1 - Cars and light commercial vehicles</v>
      </c>
      <c r="E42" s="200"/>
      <c r="F42" s="201"/>
    </row>
    <row r="43" spans="1:17" ht="20.100000000000001" customHeight="1" x14ac:dyDescent="0.25">
      <c r="D43" s="7" t="s">
        <v>737</v>
      </c>
      <c r="E43" s="202">
        <f>SUM(N25:N32)</f>
        <v>0.26981400000000005</v>
      </c>
      <c r="F43" s="68" t="str">
        <f>$E$12</f>
        <v>t CO2-e</v>
      </c>
    </row>
    <row r="44" spans="1:17" ht="20.100000000000001" customHeight="1" x14ac:dyDescent="0.25">
      <c r="D44" s="7" t="s">
        <v>738</v>
      </c>
      <c r="E44" s="202">
        <f>SUM(O25:O32)</f>
        <v>3.8600000000000003E-5</v>
      </c>
      <c r="F44" s="68" t="str">
        <f t="shared" ref="F44:F46" si="1">$E$12</f>
        <v>t CO2-e</v>
      </c>
    </row>
    <row r="45" spans="1:17" ht="20.100000000000001" customHeight="1" x14ac:dyDescent="0.25">
      <c r="D45" s="7" t="s">
        <v>739</v>
      </c>
      <c r="E45" s="202">
        <f>SUM(P25:P32)</f>
        <v>1.9300000000000003E-3</v>
      </c>
      <c r="F45" s="68" t="str">
        <f t="shared" si="1"/>
        <v>t CO2-e</v>
      </c>
    </row>
    <row r="46" spans="1:17" ht="20.100000000000001" customHeight="1" x14ac:dyDescent="0.25">
      <c r="D46" s="7" t="s">
        <v>740</v>
      </c>
      <c r="E46" s="202">
        <f>SUM(Q25:Q32)</f>
        <v>6.6778000000000004E-2</v>
      </c>
      <c r="F46" s="68" t="str">
        <f t="shared" si="1"/>
        <v>t CO2-e</v>
      </c>
    </row>
    <row r="47" spans="1:17" ht="20.100000000000001" customHeight="1" x14ac:dyDescent="0.25">
      <c r="D47" s="17"/>
      <c r="E47" s="17"/>
      <c r="F47" s="17"/>
    </row>
    <row r="48" spans="1:17" ht="20.100000000000001" customHeight="1" x14ac:dyDescent="0.25">
      <c r="D48" s="199" t="str">
        <f>"Total scope 1 - " &amp; D33</f>
        <v>Total scope 1 - Off-road Agriculture and forestry equipment</v>
      </c>
      <c r="E48" s="203"/>
      <c r="F48" s="201"/>
      <c r="H48" s="17"/>
      <c r="I48" s="17"/>
      <c r="J48" s="17"/>
      <c r="L48" s="17"/>
      <c r="M48" s="17"/>
      <c r="N48" s="17"/>
      <c r="O48" s="17"/>
      <c r="P48" s="17"/>
      <c r="Q48" s="17"/>
    </row>
    <row r="49" spans="4:17" ht="20.100000000000001" customHeight="1" x14ac:dyDescent="0.25">
      <c r="D49" s="7" t="s">
        <v>737</v>
      </c>
      <c r="E49" s="202">
        <f>SUM(N33:N33)</f>
        <v>0</v>
      </c>
      <c r="F49" s="68" t="str">
        <f t="shared" ref="F49:F52" si="2">$E$12</f>
        <v>t CO2-e</v>
      </c>
      <c r="H49" s="17"/>
      <c r="I49" s="17"/>
      <c r="J49" s="17"/>
      <c r="L49" s="17"/>
      <c r="M49" s="17"/>
      <c r="N49" s="17"/>
      <c r="O49" s="17"/>
      <c r="P49" s="17"/>
      <c r="Q49" s="17"/>
    </row>
    <row r="50" spans="4:17" ht="20.100000000000001" customHeight="1" x14ac:dyDescent="0.25">
      <c r="D50" s="7" t="s">
        <v>738</v>
      </c>
      <c r="E50" s="202">
        <f>SUM(O33:O33)</f>
        <v>0</v>
      </c>
      <c r="F50" s="68" t="str">
        <f t="shared" si="2"/>
        <v>t CO2-e</v>
      </c>
      <c r="H50" s="17"/>
      <c r="I50" s="17"/>
      <c r="J50" s="17"/>
      <c r="L50" s="17"/>
      <c r="M50" s="17"/>
      <c r="N50" s="17"/>
      <c r="O50" s="17"/>
      <c r="P50" s="17"/>
      <c r="Q50" s="17"/>
    </row>
    <row r="51" spans="4:17" ht="20.100000000000001" customHeight="1" x14ac:dyDescent="0.25">
      <c r="D51" s="7" t="s">
        <v>739</v>
      </c>
      <c r="E51" s="202">
        <f>SUM(P33:P33)</f>
        <v>0</v>
      </c>
      <c r="F51" s="68" t="str">
        <f t="shared" si="2"/>
        <v>t CO2-e</v>
      </c>
      <c r="H51" s="17"/>
      <c r="I51" s="17"/>
      <c r="J51" s="17"/>
      <c r="L51" s="17"/>
      <c r="M51" s="17"/>
      <c r="N51" s="17"/>
      <c r="O51" s="17"/>
      <c r="P51" s="17"/>
      <c r="Q51" s="17"/>
    </row>
    <row r="52" spans="4:17" ht="20.100000000000001" customHeight="1" x14ac:dyDescent="0.25">
      <c r="D52" s="7" t="s">
        <v>740</v>
      </c>
      <c r="E52" s="202">
        <f>SUM(Q33)</f>
        <v>0</v>
      </c>
      <c r="F52" s="68" t="str">
        <f t="shared" si="2"/>
        <v>t CO2-e</v>
      </c>
      <c r="H52" s="17"/>
      <c r="I52" s="17"/>
      <c r="J52" s="17"/>
      <c r="L52" s="17"/>
      <c r="M52" s="17"/>
      <c r="N52" s="17"/>
      <c r="O52" s="17"/>
      <c r="P52" s="17"/>
      <c r="Q52" s="17"/>
    </row>
    <row r="53" spans="4:17" ht="20.100000000000001" customHeight="1" x14ac:dyDescent="0.25">
      <c r="D53" s="17"/>
      <c r="E53" s="204"/>
      <c r="F53" s="17"/>
      <c r="G53" s="17"/>
      <c r="H53" s="17"/>
      <c r="I53" s="17"/>
      <c r="J53" s="17"/>
      <c r="L53" s="17"/>
      <c r="M53" s="17"/>
      <c r="N53" s="17"/>
      <c r="O53" s="17"/>
      <c r="P53" s="17"/>
      <c r="Q53" s="17"/>
    </row>
    <row r="54" spans="4:17" ht="20.100000000000001" customHeight="1" x14ac:dyDescent="0.25">
      <c r="D54" s="199" t="str">
        <f>"Total scope 1 - " &amp; D34</f>
        <v>Total scope 1 - Aviation</v>
      </c>
      <c r="E54" s="203"/>
      <c r="F54" s="201"/>
      <c r="G54" s="17"/>
      <c r="H54" s="17"/>
      <c r="I54" s="17"/>
      <c r="J54" s="17"/>
      <c r="L54" s="17"/>
      <c r="M54" s="17"/>
      <c r="N54" s="17"/>
      <c r="O54" s="17"/>
      <c r="P54" s="17"/>
      <c r="Q54" s="17"/>
    </row>
    <row r="55" spans="4:17" ht="20.100000000000001" customHeight="1" x14ac:dyDescent="0.25">
      <c r="D55" s="7" t="s">
        <v>737</v>
      </c>
      <c r="E55" s="20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0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0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02">
        <f>SUM(Q34:Q36)</f>
        <v>0</v>
      </c>
      <c r="F58" s="68" t="str">
        <f t="shared" si="3"/>
        <v>t CO2-e</v>
      </c>
      <c r="G58" s="17"/>
      <c r="H58" s="17"/>
      <c r="I58" s="17"/>
      <c r="J58" s="17"/>
      <c r="L58" s="17"/>
      <c r="M58" s="17"/>
      <c r="N58" s="17"/>
      <c r="O58" s="17"/>
      <c r="P58" s="17"/>
      <c r="Q58" s="17"/>
    </row>
    <row r="59" spans="4:17" ht="20.100000000000001" customHeight="1" x14ac:dyDescent="0.25">
      <c r="D59" s="17"/>
      <c r="E59" s="204"/>
      <c r="F59" s="17"/>
      <c r="G59" s="17"/>
      <c r="H59" s="17"/>
      <c r="I59" s="17"/>
      <c r="J59" s="17"/>
      <c r="L59" s="17"/>
      <c r="M59" s="17"/>
      <c r="N59" s="17"/>
      <c r="O59" s="17"/>
      <c r="P59" s="17"/>
      <c r="Q59" s="17"/>
    </row>
    <row r="60" spans="4:17" ht="20.100000000000001" customHeight="1" x14ac:dyDescent="0.25">
      <c r="D60" s="199" t="str">
        <f>"Total scope 1 - " &amp; D37</f>
        <v>Total scope 1 - Vessels</v>
      </c>
      <c r="E60" s="203"/>
      <c r="F60" s="201"/>
      <c r="G60" s="17"/>
      <c r="H60" s="17"/>
      <c r="I60" s="17"/>
      <c r="J60" s="17"/>
      <c r="L60" s="17"/>
      <c r="M60" s="17"/>
      <c r="N60" s="17"/>
      <c r="O60" s="17"/>
      <c r="P60" s="17"/>
      <c r="Q60" s="17"/>
    </row>
    <row r="61" spans="4:17" ht="20.100000000000001" customHeight="1" x14ac:dyDescent="0.25">
      <c r="D61" s="7" t="s">
        <v>737</v>
      </c>
      <c r="E61" s="20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0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0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0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9" t="s">
        <v>741</v>
      </c>
      <c r="E66" s="205"/>
      <c r="F66" s="201"/>
      <c r="G66" s="17"/>
      <c r="H66" s="17"/>
      <c r="I66" s="17"/>
      <c r="J66" s="17"/>
      <c r="L66" s="17"/>
      <c r="M66" s="17"/>
      <c r="N66" s="17"/>
      <c r="O66" s="17"/>
      <c r="P66" s="17"/>
      <c r="Q66" s="17"/>
    </row>
    <row r="67" spans="1:17" ht="20.100000000000001" customHeight="1" x14ac:dyDescent="0.25">
      <c r="D67" s="7" t="s">
        <v>737</v>
      </c>
      <c r="E67" s="202">
        <f>E43+E49+E55+E61</f>
        <v>0.76139800000000024</v>
      </c>
      <c r="F67" s="68" t="str">
        <f t="shared" ref="F67:F70" si="5">$E$12</f>
        <v>t CO2-e</v>
      </c>
      <c r="G67" s="17"/>
    </row>
    <row r="68" spans="1:17" ht="20.100000000000001" customHeight="1" x14ac:dyDescent="0.25">
      <c r="D68" s="7" t="s">
        <v>738</v>
      </c>
      <c r="E68" s="202">
        <f t="shared" ref="E68:E70" si="6">E44+E50+E56+E62</f>
        <v>1.0092E-3</v>
      </c>
      <c r="F68" s="68" t="str">
        <f t="shared" si="5"/>
        <v>t CO2-e</v>
      </c>
      <c r="G68" s="17"/>
    </row>
    <row r="69" spans="1:17" ht="20.100000000000001" customHeight="1" x14ac:dyDescent="0.25">
      <c r="A69" s="56" t="str">
        <f>HYPERLINK("#A1", "▲ Back to top")</f>
        <v>▲ Back to top</v>
      </c>
      <c r="D69" s="7" t="s">
        <v>739</v>
      </c>
      <c r="E69" s="202">
        <f t="shared" si="6"/>
        <v>5.8460000000000014E-3</v>
      </c>
      <c r="F69" s="68" t="str">
        <f t="shared" si="5"/>
        <v>t CO2-e</v>
      </c>
      <c r="G69" s="17"/>
    </row>
    <row r="70" spans="1:17" ht="20.100000000000001" customHeight="1" x14ac:dyDescent="0.25">
      <c r="D70" s="7" t="s">
        <v>740</v>
      </c>
      <c r="E70" s="20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8" t="s">
        <v>641</v>
      </c>
      <c r="E7" s="178"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8" t="s">
        <v>641</v>
      </c>
      <c r="L8" s="178"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8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_xlfn.CHOOSECOLS(Fuel_Equations.VEERG_8_2_1_1__1_FuelCombustionStationary_Arguments(), 1,2)</f>
        <v>Q_SCq</v>
      </c>
      <c r="E14" s="177" t="str">
        <v>Amount of fuel type q used for stationary combustion operations</v>
      </c>
      <c r="F14" s="172"/>
      <c r="G14" s="173" t="str" cm="1">
        <f t="array" ref="G14:H20">_xlfn.CHOOSECOLS(Fuel_Equations.VEERG_8_2_1_1__1_FuelCombustionStationary_Arguments(), 3,4)</f>
        <v>Varies based on fuel type: kL, m3, GJ</v>
      </c>
      <c r="H14" s="174" t="str">
        <v>Input</v>
      </c>
      <c r="I14" s="176" t="str" cm="1">
        <f t="array" aca="1" ref="I14" ca="1">HYPERLINK(Common_InputFunctions.Utility_SourceHyperlink($D$22), $D$22)</f>
        <v>Table_E_g</v>
      </c>
      <c r="K14" s="173" t="str" cm="1">
        <f t="array" ref="K14:L18">_xlfn.CHOOSECOLS(Scope3_Equations.VEERG_15_11_1_1__3_UpstreamStationaryFuelEmissions_Arguments(),1,2)</f>
        <v>Q_SCq</v>
      </c>
      <c r="L14" s="173" t="str">
        <v>amount of fuel q used for stationary combustion operations</v>
      </c>
      <c r="M14" s="173"/>
      <c r="N14" s="173" t="str" cm="1">
        <f t="array" ref="N14:O18">_xlfn.CHOOSECOLS(Scope3_Equations.VEERG_15_11_1_1__3_UpstreamStationaryFuelEmissions_Arguments(),3,4)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EC_SCq</v>
      </c>
      <c r="E15" s="177" t="str">
        <v>Energy content factor for stationary combustion operations</v>
      </c>
      <c r="F15" s="172"/>
      <c r="G15" s="173" t="str">
        <v>GJ / unit of fuel</v>
      </c>
      <c r="H15" s="175" t="str">
        <v>Constant</v>
      </c>
      <c r="I15" s="176" t="str" cm="1">
        <f t="array" aca="1" ref="I15" ca="1">HYPERLINK(Common_InputFunctions.Utility_SourceHyperlink($D$22), $D$22)</f>
        <v>Table_E_g</v>
      </c>
      <c r="K15" s="173" t="str">
        <v>EC_SCq</v>
      </c>
      <c r="L15" s="173" t="str">
        <v>energy content factor for stationary combustion operations</v>
      </c>
      <c r="M15" s="173"/>
      <c r="N15" s="173" t="str">
        <v>GJ/kL</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EF_SC1qg</v>
      </c>
      <c r="E16" s="177" t="str">
        <v>Scope 1 emission factor for stationary combustion for each greenhouse gas</v>
      </c>
      <c r="F16" s="172"/>
      <c r="G16" s="173" t="str">
        <v>kg CO2e / GJ</v>
      </c>
      <c r="H16" s="175" t="str">
        <v>Constant</v>
      </c>
      <c r="I16" s="176" t="str" cm="1">
        <f t="array" aca="1" ref="I16" ca="1">HYPERLINK(Common_InputFunctions.Utility_SourceHyperlink($D$22), $D$22)</f>
        <v>Table_E_g</v>
      </c>
      <c r="K16" s="173" t="str">
        <v>EF_SC3q</v>
      </c>
      <c r="L16" s="173" t="str">
        <v>scope 3 emission factor for stationary combustion operations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K17" s="173" t="str">
        <v>i</v>
      </c>
      <c r="L17" s="177" t="str">
        <v>state</v>
      </c>
      <c r="M17" s="172"/>
      <c r="N17" s="173" t="str">
        <v/>
      </c>
      <c r="O17" s="174" t="str">
        <v>Input</v>
      </c>
      <c r="P17" s="173" t="str">
        <f>'Input - Site'!$E$21</f>
        <v>ACT</v>
      </c>
      <c r="Q17" s="17"/>
    </row>
    <row r="18" spans="1:17" ht="20.100000000000001" customHeight="1" x14ac:dyDescent="0.25">
      <c r="D18" s="173" t="str">
        <v>SC</v>
      </c>
      <c r="E18" s="177" t="str">
        <v>Stationary combustion</v>
      </c>
      <c r="F18" s="172"/>
      <c r="G18" s="173" t="str">
        <v/>
      </c>
      <c r="H18" s="175" t="str">
        <v>Constant</v>
      </c>
      <c r="I18" s="176"/>
      <c r="J18" s="17"/>
      <c r="K18" s="173" t="str">
        <v>m</v>
      </c>
      <c r="L18" s="177" t="str">
        <v>metropolitan/non-metropolitan location</v>
      </c>
      <c r="M18" s="172"/>
      <c r="N18" s="173" t="str">
        <v/>
      </c>
      <c r="O18" s="174" t="str">
        <v>Input</v>
      </c>
      <c r="P18" s="173" t="str">
        <f>'Input - Fuel'!E11</f>
        <v>Metro</v>
      </c>
      <c r="Q18" s="17"/>
    </row>
    <row r="19" spans="1:17" ht="20.100000000000001" customHeight="1" x14ac:dyDescent="0.25">
      <c r="D19" s="173" t="str">
        <v>g</v>
      </c>
      <c r="E19" s="177" t="str">
        <v>Greenhouse gas</v>
      </c>
      <c r="F19" s="172"/>
      <c r="G19" s="173" t="str">
        <v/>
      </c>
      <c r="H19" s="175" t="str">
        <v>Constant</v>
      </c>
      <c r="I19" s="176"/>
      <c r="J19" s="17"/>
      <c r="L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6" cm="1">
        <f t="array" ref="N25">Fuel_Equations.VEERG_8_2_1_1__1_FuelCombustionStationary($L25,$G25,H25)</f>
        <v>0</v>
      </c>
      <c r="O25" s="206" cm="1">
        <f t="array" ref="O25">Fuel_Equations.VEERG_8_2_1_1__1_FuelCombustionStationary($L25,$G25,I25)</f>
        <v>0</v>
      </c>
      <c r="P25" s="206" cm="1">
        <f t="array" ref="P25">Fuel_Equations.VEERG_8_2_1_1__1_FuelCombustionStationary($L25,$G25,J25)</f>
        <v>0</v>
      </c>
      <c r="Q25" s="20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06" cm="1">
        <f t="array" ref="N26">Fuel_Equations.VEERG_8_2_1_1__1_FuelCombustionStationary($L26,$G26,H26)</f>
        <v>0</v>
      </c>
      <c r="O26" s="206" cm="1">
        <f t="array" ref="O26">Fuel_Equations.VEERG_8_2_1_1__1_FuelCombustionStationary($L26,$G26,I26)</f>
        <v>0</v>
      </c>
      <c r="P26" s="206" cm="1">
        <f t="array" ref="P26">Fuel_Equations.VEERG_8_2_1_1__1_FuelCombustionStationary($L26,$G26,J26)</f>
        <v>0</v>
      </c>
      <c r="Q26" s="20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6" cm="1">
        <f t="array" ref="N27">Fuel_Equations.VEERG_8_2_1_1__1_FuelCombustionStationary($L27,$G27,H27)</f>
        <v>0</v>
      </c>
      <c r="O27" s="206" cm="1">
        <f t="array" ref="O27">Fuel_Equations.VEERG_8_2_1_1__1_FuelCombustionStationary($L27,$G27,I27)</f>
        <v>0</v>
      </c>
      <c r="P27" s="206" cm="1">
        <f t="array" ref="P27">Fuel_Equations.VEERG_8_2_1_1__1_FuelCombustionStationary($L27,$G27,J27)</f>
        <v>0</v>
      </c>
      <c r="Q27" s="20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6" cm="1">
        <f t="array" ref="N28">Fuel_Equations.VEERG_8_2_1_1__1_FuelCombustionStationary($L28,$G28,H28)</f>
        <v>0</v>
      </c>
      <c r="O28" s="206" cm="1">
        <f t="array" ref="O28">Fuel_Equations.VEERG_8_2_1_1__1_FuelCombustionStationary($L28,$G28,I28)</f>
        <v>0</v>
      </c>
      <c r="P28" s="206" cm="1">
        <f t="array" ref="P28">Fuel_Equations.VEERG_8_2_1_1__1_FuelCombustionStationary($L28,$G28,J28)</f>
        <v>0</v>
      </c>
      <c r="Q28" s="20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6" cm="1">
        <f t="array" ref="N29">Fuel_Equations.VEERG_8_2_1_1__1_FuelCombustionStationary($L29,$G29,H29)</f>
        <v>0</v>
      </c>
      <c r="O29" s="206" cm="1">
        <f t="array" ref="O29">Fuel_Equations.VEERG_8_2_1_1__1_FuelCombustionStationary($L29,$G29,I29)</f>
        <v>0</v>
      </c>
      <c r="P29" s="206" cm="1">
        <f t="array" ref="P29">Fuel_Equations.VEERG_8_2_1_1__1_FuelCombustionStationary($L29,$G29,J29)</f>
        <v>0</v>
      </c>
      <c r="Q29" s="20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6" cm="1">
        <f t="array" ref="N30">Fuel_Equations.VEERG_8_2_1_1__1_FuelCombustionStationary($L30,$G30,H30)</f>
        <v>0</v>
      </c>
      <c r="O30" s="206" cm="1">
        <f t="array" ref="O30">Fuel_Equations.VEERG_8_2_1_1__1_FuelCombustionStationary($L30,$G30,I30)</f>
        <v>0</v>
      </c>
      <c r="P30" s="206" cm="1">
        <f t="array" ref="P30">Fuel_Equations.VEERG_8_2_1_1__1_FuelCombustionStationary($L30,$G30,J30)</f>
        <v>0</v>
      </c>
      <c r="Q30" s="20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7">
        <f>IFERROR(_xlfn.XLOOKUP($E31, Table_Fuel_EFs_StationaryLiquid[Fuel combusted], Table_Fuel_EFs_StationaryLiquid[Energy Content Factor (GJ per unit of fuel)]),0)</f>
        <v>38.6</v>
      </c>
      <c r="H31" s="167">
        <f>IFERROR(_xlfn.XLOOKUP($E31, Table_Fuel_EFs_StationaryLiquid[Fuel combusted], Table_Fuel_EFs_StationaryLiquid[Scope 1 Emission Factor (kg CO2 - e / GJ) CO2]),0)</f>
        <v>0</v>
      </c>
      <c r="I31" s="167">
        <f>IFERROR(_xlfn.XLOOKUP($E31, Table_Fuel_EFs_StationaryLiquid[Fuel combusted], Table_Fuel_EFs_StationaryLiquid[Scope 1 Emission Factor (kg CO2 - e / GJ) CH4]),0)</f>
        <v>0.1</v>
      </c>
      <c r="J31" s="167">
        <f>IFERROR(_xlfn.XLOOKUP($E31, Table_Fuel_EFs_StationaryLiquid[Fuel combusted], Table_Fuel_EFs_StationaryLiquid[Scope 1 Emission Factor (kg CO2 - e / GJ) N2O]),0)</f>
        <v>0.2</v>
      </c>
      <c r="K31" s="167" t="str">
        <f>IFERROR(_xlfn.XLOOKUP($E31, Table_Fuel_EFs_StationaryLiquid[Fuel combusted], Table_Fuel_EFs_StationaryLiquid[Scope 3 Emission Factor (kg CO2 - e / GJ)]),0)</f>
        <v>NE</v>
      </c>
      <c r="L31" s="189" cm="1">
        <f t="array" ref="L31">Fuel_InputFunctions.Fuel_TotalConsumption(Table_Input_Fuel[Amount consumed], Table_Input_Fuel[Fuel use (select)], D31, Table_Input_Fuel[Fuel type (select)],F31)</f>
        <v>0</v>
      </c>
      <c r="M31" s="189" t="str" cm="1">
        <f t="array" ref="M31">Common_InputFunctions.Utility_LookupValueInTable(F31,Table_FuelTypes_Units[Fuel type],Table_FuelTypes_Units[Unit])</f>
        <v>kL</v>
      </c>
      <c r="N31" s="207" cm="1">
        <f t="array" ref="N31">Fuel_Equations.VEERG_8_2_1_1__1_FuelCombustionStationary($L31,$G31,H31)</f>
        <v>0</v>
      </c>
      <c r="O31" s="207" cm="1">
        <f t="array" ref="O31">Fuel_Equations.VEERG_8_2_1_1__1_FuelCombustionStationary($L31,$G31,I31)</f>
        <v>0</v>
      </c>
      <c r="P31" s="207" cm="1">
        <f t="array" ref="P31">Fuel_Equations.VEERG_8_2_1_1__1_FuelCombustionStationary($L31,$G31,J31)</f>
        <v>0</v>
      </c>
      <c r="Q31" s="20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7">
        <f>IFERROR(_xlfn.XLOOKUP($E32, Table_Fuel_EFs_StationaryLiquid[Fuel combusted], Table_Fuel_EFs_StationaryLiquid[Energy Content Factor (GJ per unit of fuel)]),0)</f>
        <v>34.200000000000003</v>
      </c>
      <c r="H32" s="197">
        <f>IFERROR(_xlfn.XLOOKUP($E32, Table_Fuel_EFs_StationaryLiquid[Fuel combusted], Table_Fuel_EFs_StationaryLiquid[Scope 1 Emission Factor (kg CO2 - e / GJ) CO2]),0)</f>
        <v>67.400000000000006</v>
      </c>
      <c r="I32" s="197">
        <f>IFERROR(_xlfn.XLOOKUP($E32, Table_Fuel_EFs_StationaryLiquid[Fuel combusted], Table_Fuel_EFs_StationaryLiquid[Scope 1 Emission Factor (kg CO2 - e / GJ) CH4]),0)</f>
        <v>0.2</v>
      </c>
      <c r="J32" s="197">
        <f>IFERROR(_xlfn.XLOOKUP($E32, Table_Fuel_EFs_StationaryLiquid[Fuel combusted], Table_Fuel_EFs_StationaryLiquid[Scope 1 Emission Factor (kg CO2 - e / GJ) N2O]),0)</f>
        <v>0.2</v>
      </c>
      <c r="K32" s="197">
        <f>IFERROR(_xlfn.XLOOKUP($E32, Table_Fuel_EFs_StationaryLiquid[Fuel combusted], Table_Fuel_EFs_StationaryLiquid[Scope 3 Emission Factor (kg CO2 - e / GJ)]),0)</f>
        <v>17.2</v>
      </c>
      <c r="L32" s="193"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08" cm="1">
        <f t="array" ref="N32">Fuel_Equations.VEERG_8_2_1_1__1_FuelCombustionStationary($L32,$G32,H32)</f>
        <v>0</v>
      </c>
      <c r="O32" s="208" cm="1">
        <f t="array" ref="O32">Fuel_Equations.VEERG_8_2_1_1__1_FuelCombustionStationary($L32,$G32,I32)</f>
        <v>0</v>
      </c>
      <c r="P32" s="208" cm="1">
        <f t="array" ref="P32">Fuel_Equations.VEERG_8_2_1_1__1_FuelCombustionStationary($L32,$G32,J32)</f>
        <v>0</v>
      </c>
      <c r="Q32" s="20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6" cm="1">
        <f t="array" ref="N33">Fuel_Equations.VEERG_8_2_1_1__1_FuelCombustionStationary($L33,$G33,H33)</f>
        <v>0</v>
      </c>
      <c r="O33" s="206" cm="1">
        <f t="array" ref="O33">Fuel_Equations.VEERG_8_2_1_1__1_FuelCombustionStationary($L33,$G33,I33)</f>
        <v>0</v>
      </c>
      <c r="P33" s="206" cm="1">
        <f t="array" ref="P33">Fuel_Equations.VEERG_8_2_1_1__1_FuelCombustionStationary($L33,$G33,J33)</f>
        <v>0</v>
      </c>
      <c r="Q33" s="20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6" cm="1">
        <f t="array" ref="N34">Fuel_Equations.VEERG_8_2_1_1__1_FuelCombustionStationary($L34,$G34,H34)</f>
        <v>0</v>
      </c>
      <c r="O34" s="206" cm="1">
        <f t="array" ref="O34">Fuel_Equations.VEERG_8_2_1_1__1_FuelCombustionStationary($L34,$G34,I34)</f>
        <v>0</v>
      </c>
      <c r="P34" s="206" cm="1">
        <f t="array" ref="P34">Fuel_Equations.VEERG_8_2_1_1__1_FuelCombustionStationary($L34,$G34,J34)</f>
        <v>0</v>
      </c>
      <c r="Q34" s="20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6" cm="1">
        <f t="array" ref="N35">Fuel_Equations.VEERG_8_2_1_1__1_FuelCombustionStationary($L35,$G35,H35)</f>
        <v>0</v>
      </c>
      <c r="O35" s="206" cm="1">
        <f t="array" ref="O35">Fuel_Equations.VEERG_8_2_1_1__1_FuelCombustionStationary($L35,$G35,I35)</f>
        <v>0</v>
      </c>
      <c r="P35" s="206" cm="1">
        <f t="array" ref="P35">Fuel_Equations.VEERG_8_2_1_1__1_FuelCombustionStationary($L35,$G35,J35)</f>
        <v>0</v>
      </c>
      <c r="Q35" s="20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6" cm="1">
        <f t="array" ref="N36">Fuel_Equations.VEERG_8_2_1_1__1_FuelCombustionStationary($L36,$G36,H36)</f>
        <v>0</v>
      </c>
      <c r="O36" s="206" cm="1">
        <f t="array" ref="O36">Fuel_Equations.VEERG_8_2_1_1__1_FuelCombustionStationary($L36,$G36,I36)</f>
        <v>0</v>
      </c>
      <c r="P36" s="206" cm="1">
        <f t="array" ref="P36">Fuel_Equations.VEERG_8_2_1_1__1_FuelCombustionStationary($L36,$G36,J36)</f>
        <v>0</v>
      </c>
      <c r="Q36" s="20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6" cm="1">
        <f t="array" ref="N37">Fuel_Equations.VEERG_8_2_1_1__1_FuelCombustionStationary($L37,$G37,H37)</f>
        <v>0</v>
      </c>
      <c r="O37" s="206" cm="1">
        <f t="array" ref="O37">Fuel_Equations.VEERG_8_2_1_1__1_FuelCombustionStationary($L37,$G37,I37)</f>
        <v>0</v>
      </c>
      <c r="P37" s="206" cm="1">
        <f t="array" ref="P37">Fuel_Equations.VEERG_8_2_1_1__1_FuelCombustionStationary($L37,$G37,J37)</f>
        <v>0</v>
      </c>
      <c r="Q37" s="20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6" cm="1">
        <f t="array" ref="N38">Fuel_Equations.VEERG_8_2_1_1__1_FuelCombustionStationary($L38,$G38,H38)</f>
        <v>0</v>
      </c>
      <c r="O38" s="206" cm="1">
        <f t="array" ref="O38">Fuel_Equations.VEERG_8_2_1_1__1_FuelCombustionStationary($L38,$G38,I38)</f>
        <v>0</v>
      </c>
      <c r="P38" s="206" cm="1">
        <f t="array" ref="P38">Fuel_Equations.VEERG_8_2_1_1__1_FuelCombustionStationary($L38,$G38,J38)</f>
        <v>0</v>
      </c>
      <c r="Q38" s="20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06" cm="1">
        <f t="array" ref="N39">Fuel_Equations.VEERG_8_2_1_1__1_FuelCombustionStationary($L39,$G39,H39)</f>
        <v>0</v>
      </c>
      <c r="O39" s="206" cm="1">
        <f t="array" ref="O39">Fuel_Equations.VEERG_8_2_1_1__1_FuelCombustionStationary($L39,$G39,I39)</f>
        <v>0</v>
      </c>
      <c r="P39" s="206" cm="1">
        <f t="array" ref="P39">Fuel_Equations.VEERG_8_2_1_1__1_FuelCombustionStationary($L39,$G39,J39)</f>
        <v>0</v>
      </c>
      <c r="Q39" s="20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7" cm="1">
        <f t="array" ref="L40">Fuel_InputFunctions.Fuel_TotalConsumption(Table_Input_Fuel[Amount consumed], Table_Input_Fuel[Fuel use (select)], D40, Table_Input_Fuel[Fuel type (select)],F40)</f>
        <v>0.2</v>
      </c>
      <c r="M40" s="187" t="str" cm="1">
        <f t="array" ref="M40">Common_InputFunctions.Utility_LookupValueInTable(F40,Table_FuelTypes_Units[Fuel type],Table_FuelTypes_Units[Unit])</f>
        <v>GJ</v>
      </c>
      <c r="N40" s="206" cm="1">
        <f t="array" ref="N40">Fuel_Equations.VEERG_8_2_1_1__1_FuelCombustionStationary($L40,$G40,H40)</f>
        <v>1.204E-2</v>
      </c>
      <c r="O40" s="206" cm="1">
        <f t="array" ref="O40">Fuel_Equations.VEERG_8_2_1_1__1_FuelCombustionStationary($L40,$G40,I40)</f>
        <v>7.9999999999999996E-6</v>
      </c>
      <c r="P40" s="206" cm="1">
        <f t="array" ref="P40">Fuel_Equations.VEERG_8_2_1_1__1_FuelCombustionStationary($L40,$G40,J40)</f>
        <v>6.0000000000000002E-6</v>
      </c>
      <c r="Q40" s="206" cm="1">
        <f t="array" ref="Q40">Fuel_Equations.VEERG_8_2_1_1__1_FuelCombustionStationary($L40,$G40,IF(ISNUMBER(K40), K40, 0))</f>
        <v>2.6200000000000004E-3</v>
      </c>
    </row>
    <row r="41" spans="1:17" ht="20.100000000000001" customHeight="1" x14ac:dyDescent="0.25"/>
    <row r="42" spans="1:17" ht="20.100000000000001" customHeight="1" x14ac:dyDescent="0.25">
      <c r="D42" s="199" t="str">
        <f>"Total scope 1 - " &amp; D25</f>
        <v>Total scope 1 - Generators</v>
      </c>
      <c r="E42" s="200"/>
      <c r="F42" s="201"/>
    </row>
    <row r="43" spans="1:17" ht="20.100000000000001" customHeight="1" x14ac:dyDescent="0.25">
      <c r="D43" s="7" t="s">
        <v>737</v>
      </c>
      <c r="E43" s="202">
        <f>SUM(N25:N31)</f>
        <v>0</v>
      </c>
      <c r="F43" s="68" t="str">
        <f>$E$12</f>
        <v>t CO2-e</v>
      </c>
    </row>
    <row r="44" spans="1:17" ht="20.100000000000001" customHeight="1" x14ac:dyDescent="0.25">
      <c r="D44" s="7" t="s">
        <v>738</v>
      </c>
      <c r="E44" s="202">
        <f>SUM(O25:O31)</f>
        <v>0</v>
      </c>
      <c r="F44" s="68" t="str">
        <f t="shared" ref="F44:F46" si="2">$E$12</f>
        <v>t CO2-e</v>
      </c>
    </row>
    <row r="45" spans="1:17" ht="20.100000000000001" customHeight="1" x14ac:dyDescent="0.25">
      <c r="D45" s="7" t="s">
        <v>739</v>
      </c>
      <c r="E45" s="202">
        <f>SUM(P25:P31)</f>
        <v>0</v>
      </c>
      <c r="F45" s="68" t="str">
        <f t="shared" si="2"/>
        <v>t CO2-e</v>
      </c>
    </row>
    <row r="46" spans="1:17" ht="20.100000000000001" customHeight="1" x14ac:dyDescent="0.25">
      <c r="D46" s="7" t="s">
        <v>740</v>
      </c>
      <c r="E46" s="20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9" t="str">
        <f>"Total scope 1 - " &amp; D32</f>
        <v>Total scope 1 - Power standalone machinery or heating</v>
      </c>
      <c r="E48" s="203"/>
      <c r="F48" s="201"/>
      <c r="H48" s="17"/>
      <c r="I48" s="17"/>
      <c r="J48" s="17"/>
      <c r="L48" s="17"/>
      <c r="N48" s="17"/>
      <c r="O48" s="17"/>
      <c r="P48" s="17"/>
      <c r="Q48" s="17"/>
    </row>
    <row r="49" spans="4:17" ht="20.100000000000001" customHeight="1" x14ac:dyDescent="0.25">
      <c r="D49" s="7" t="s">
        <v>737</v>
      </c>
      <c r="E49" s="202">
        <f>SUM(N32:N40)</f>
        <v>1.204E-2</v>
      </c>
      <c r="F49" s="68" t="str">
        <f t="shared" ref="F49:F52" si="3">$E$12</f>
        <v>t CO2-e</v>
      </c>
      <c r="H49" s="17"/>
      <c r="I49" s="17"/>
      <c r="J49" s="17"/>
      <c r="L49" s="17"/>
      <c r="N49" s="17"/>
      <c r="O49" s="17"/>
      <c r="P49" s="17"/>
      <c r="Q49" s="17"/>
    </row>
    <row r="50" spans="4:17" ht="20.100000000000001" customHeight="1" x14ac:dyDescent="0.25">
      <c r="D50" s="7" t="s">
        <v>738</v>
      </c>
      <c r="E50" s="202">
        <f>SUM(O32:O40)</f>
        <v>7.9999999999999996E-6</v>
      </c>
      <c r="F50" s="68" t="str">
        <f t="shared" si="3"/>
        <v>t CO2-e</v>
      </c>
      <c r="H50" s="17"/>
      <c r="I50" s="17"/>
      <c r="J50" s="17"/>
      <c r="L50" s="17"/>
      <c r="N50" s="17"/>
      <c r="O50" s="17"/>
      <c r="P50" s="17"/>
      <c r="Q50" s="17"/>
    </row>
    <row r="51" spans="4:17" ht="20.100000000000001" customHeight="1" x14ac:dyDescent="0.25">
      <c r="D51" s="7" t="s">
        <v>739</v>
      </c>
      <c r="E51" s="202">
        <f>SUM(P32:P40)</f>
        <v>6.0000000000000002E-6</v>
      </c>
      <c r="F51" s="68" t="str">
        <f t="shared" si="3"/>
        <v>t CO2-e</v>
      </c>
      <c r="H51" s="17"/>
      <c r="I51" s="17"/>
      <c r="J51" s="17"/>
      <c r="L51" s="17"/>
      <c r="N51" s="17"/>
      <c r="O51" s="17"/>
      <c r="P51" s="17"/>
      <c r="Q51" s="17"/>
    </row>
    <row r="52" spans="4:17" ht="20.100000000000001" customHeight="1" x14ac:dyDescent="0.25">
      <c r="D52" s="7" t="s">
        <v>740</v>
      </c>
      <c r="E52" s="20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9" t="s">
        <v>751</v>
      </c>
      <c r="E54" s="203"/>
      <c r="F54" s="201"/>
      <c r="G54" s="17"/>
      <c r="H54" s="17"/>
      <c r="I54" s="17"/>
      <c r="J54" s="17"/>
      <c r="L54" s="17"/>
      <c r="N54" s="17"/>
      <c r="O54" s="17"/>
      <c r="P54" s="17"/>
      <c r="Q54" s="17"/>
    </row>
    <row r="55" spans="4:17" ht="20.100000000000001" customHeight="1" x14ac:dyDescent="0.25">
      <c r="D55" s="7" t="s">
        <v>737</v>
      </c>
      <c r="E55" s="202">
        <f>E43+E49</f>
        <v>1.204E-2</v>
      </c>
      <c r="F55" s="68" t="str">
        <f t="shared" ref="F55:F58" si="4">$E$12</f>
        <v>t CO2-e</v>
      </c>
      <c r="G55" s="17"/>
      <c r="H55" s="17"/>
      <c r="I55" s="17"/>
      <c r="J55" s="17"/>
      <c r="L55" s="17"/>
      <c r="N55" s="17"/>
      <c r="O55" s="17"/>
      <c r="P55" s="17"/>
      <c r="Q55" s="17"/>
    </row>
    <row r="56" spans="4:17" ht="20.100000000000001" customHeight="1" x14ac:dyDescent="0.25">
      <c r="D56" s="7" t="s">
        <v>738</v>
      </c>
      <c r="E56" s="202">
        <f>E44+E50</f>
        <v>7.9999999999999996E-6</v>
      </c>
      <c r="F56" s="68" t="str">
        <f t="shared" si="4"/>
        <v>t CO2-e</v>
      </c>
    </row>
    <row r="57" spans="4:17" ht="20.100000000000001" customHeight="1" x14ac:dyDescent="0.25">
      <c r="D57" s="7" t="s">
        <v>739</v>
      </c>
      <c r="E57" s="202">
        <f>E45+E51</f>
        <v>6.0000000000000002E-6</v>
      </c>
      <c r="F57" s="68" t="str">
        <f t="shared" si="4"/>
        <v>t CO2-e</v>
      </c>
      <c r="G57" s="17"/>
      <c r="H57" s="17"/>
      <c r="I57" s="17"/>
      <c r="J57" s="17"/>
      <c r="L57" s="17"/>
      <c r="N57" s="17"/>
      <c r="O57" s="17"/>
      <c r="P57" s="17"/>
      <c r="Q57" s="17"/>
    </row>
    <row r="58" spans="4:17" ht="20.100000000000001" customHeight="1" x14ac:dyDescent="0.25">
      <c r="D58" s="7" t="s">
        <v>740</v>
      </c>
      <c r="E58" s="20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54" zoomScale="85" zoomScaleNormal="85" workbookViewId="0">
      <selection activeCell="E21" sqref="E2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K51" s="8" t="s">
        <v>521</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K52" s="10" t="s">
        <v>287</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K53" s="10" t="str">
        <f>Table_SourceData_PastureBeef_LiveweightAllStates[[#Headers],[Bulls &lt; 1 year]]</f>
        <v>Bulls &lt; 1 year</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K54" s="10" t="str">
        <f>Table_SourceData_PastureBeef_LiveweightAllStates[[#Headers],[Bulls &gt; 1 year]]</f>
        <v>Bulls &gt; 1 year</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K55" s="10" t="str">
        <f>Table_SourceData_PastureBeef_LiveweightAllStates[[#Headers],[Cows &lt; 1 year]]</f>
        <v>Cows &lt; 1 year</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K56" s="10" t="str">
        <f>Table_SourceData_PastureBeef_LiveweightAllStates[[#Headers],[Cows 1-2 years]]</f>
        <v>Cows 1-2 years</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K57" s="10" t="str">
        <f>Table_SourceData_PastureBeef_LiveweightAllStates[[#Headers],[Cows 2-3 years]]</f>
        <v>Cows 2-3 years</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K58" s="10" t="str">
        <f>Table_SourceData_PastureBeef_LiveweightAllStates[[#Headers],[Cows &gt; 3 years]]</f>
        <v>Cows &gt; 3 years</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K59" s="10" t="str">
        <f>Table_SourceData_PastureBeef_LiveweightAllStates[[#Headers],[Steers &lt; 1 year]]</f>
        <v>Steers &lt; 1 year</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K60" s="10" t="str">
        <f>Table_SourceData_PastureBeef_LiveweightAllStates[[#Headers],[Steers 1-2 years]]</f>
        <v>Steers 1-2 years</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K61" s="10" t="str">
        <f>Table_SourceData_PastureBeef_LiveweightAllStates[[#Headers],[Steers 2-3 years]]</f>
        <v>Steers 2-3 years</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K62" s="10" t="str">
        <f>Table_SourceData_PastureBeef_LiveweightAllStates[[#Headers],[Steers &gt;3 years]]</f>
        <v>Steers &gt;3 years</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A71"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B524F-2762-4F91-A84A-6E4D78044FDF}">
  <dimension ref="A1:BY259"/>
  <sheetViews>
    <sheetView showGridLines="0" tabSelected="1"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6</vt:i4>
      </vt:variant>
    </vt:vector>
  </HeadingPairs>
  <TitlesOfParts>
    <vt:vector size="31"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Table_E_g</vt:lpstr>
      <vt:lpstr>Table_E_g_Consumer_1</vt:lpstr>
      <vt:lpstr>Table_E_g_offsite</vt:lpstr>
      <vt:lpstr>Table_E_g_onsite</vt:lpstr>
      <vt:lpstr>Table_V_w_t_offsite</vt:lpstr>
      <vt:lpstr>Table_V_w_t_onsite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2026-07-08T08:49:19Z</dcterms:modified>
</cp:coreProperties>
</file>