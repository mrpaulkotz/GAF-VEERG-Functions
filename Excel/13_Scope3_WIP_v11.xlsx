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187644D-A263-4771-AA89-116D6B77E970}" xr6:coauthVersionLast="47" xr6:coauthVersionMax="47" xr10:uidLastSave="{00000000-0000-0000-0000-000000000000}"/>
  <bookViews>
    <workbookView xWindow="1350" yWindow="360" windowWidth="36255" windowHeight="19140" firstSheet="5" activeTab="5"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Freight" sheetId="39" r:id="rId7"/>
    <sheet name="Input - Waste sent off-site" sheetId="33" r:id="rId8"/>
    <sheet name="Input - Electricity" sheetId="9" r:id="rId9"/>
    <sheet name="15 Scope 3" sheetId="19" r:id="rId10"/>
    <sheet name="10.1.1-2 Solid waste treatment" sheetId="38" r:id="rId11"/>
    <sheet name="Calcs - Manure sent off-site" sheetId="34" r:id="rId12"/>
    <sheet name="8.1.1.1-2 Transport fuel" sheetId="31" r:id="rId13"/>
    <sheet name="8.2.1.1-2 Stationary fuel" sheetId="32" r:id="rId14"/>
    <sheet name="Constants - Scope 3" sheetId="20" r:id="rId15"/>
    <sheet name="Constants - Solid Waste" sheetId="36" r:id="rId16"/>
    <sheet name="Constants - Fuel" sheetId="29" r:id="rId17"/>
    <sheet name="Constants - Poultry" sheetId="26" r:id="rId18"/>
    <sheet name="Constants - Swine" sheetId="25" r:id="rId19"/>
    <sheet name="Constants - Dairy" sheetId="23" r:id="rId20"/>
    <sheet name="Constants - Pasture Beef" sheetId="22" r:id="rId21"/>
    <sheet name="Constants - Common Livestock" sheetId="18" r:id="rId22"/>
    <sheet name="Constants - Fertiliser" sheetId="6" r:id="rId23"/>
    <sheet name="Constants - Electricity" sheetId="8" r:id="rId24"/>
    <sheet name="Constants - Common" sheetId="45" r:id="rId25"/>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Inputs'!$E$201</definedName>
    <definedName name="X_Cell_FarmInputs_Misc_AnimalEarTagsSmall">'Input - Farm Inputs'!$E$202</definedName>
    <definedName name="X_Cell_FarmInputs_Misc_NylonNetting">'Input - Farm Inputs'!$E$203</definedName>
    <definedName name="X_Cell_FarmInputs_Seed_BarleyGrain">'Input - Farm Inputs'!$E$194</definedName>
    <definedName name="X_Cell_FarmInputs_Seed_MaizeGrain">'Input - Farm Inputs'!$E$195</definedName>
    <definedName name="X_Cell_FarmInputs_Seed_OatGrain">'Input - Farm Inputs'!$E$196</definedName>
    <definedName name="X_Cell_FarmInputs_Seed_SorghumGrain">'Input - Farm Inputs'!$E$197</definedName>
    <definedName name="X_Cell_FarmInputs_Seed_WheatGrain">'Input - Farm Inputs'!$E$198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 name="X_Cell_WasteSentOffsite_ManureIrrigationMethod">'Input - Waste sent off-site'!$F$13</definedName>
    <definedName name="X_Cell_WasteSentOffsite_ManureProductionSystem">'Input - Waste sent off-site'!$F$12</definedName>
    <definedName name="X_Cell_WasteSentOffsite_MassNitrogenManure">'Input - Waste sent off-site'!$F$10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72" i="34" l="1"/>
  <c r="I71" i="34"/>
  <c r="I70" i="34"/>
  <c r="I53" i="34"/>
  <c r="I52" i="34"/>
  <c r="I51" i="34"/>
  <c r="J17" i="34"/>
  <c r="J16" i="34"/>
  <c r="I552" i="19" a="1"/>
  <c r="I552" i="19"/>
  <c r="I553" i="19"/>
  <c r="I551" i="19"/>
  <c r="I550" i="19"/>
  <c r="I549" i="19"/>
  <c r="I548" i="19"/>
  <c r="I547" i="19"/>
  <c r="I531" i="19"/>
  <c r="I529" i="19"/>
  <c r="E481" i="19"/>
  <c r="E480" i="19"/>
  <c r="E479" i="19"/>
  <c r="E470" i="19"/>
  <c r="E469" i="19"/>
  <c r="E468" i="19"/>
  <c r="E467" i="19"/>
  <c r="E466" i="19"/>
  <c r="E164" i="19"/>
  <c r="E163" i="19"/>
  <c r="E162" i="19"/>
  <c r="E139" i="19"/>
  <c r="E138" i="19"/>
  <c r="E137" i="19"/>
  <c r="E136" i="19"/>
  <c r="E30" i="9"/>
  <c r="E29" i="9"/>
  <c r="E16" i="9"/>
  <c r="E6" i="9"/>
  <c r="O28" i="22" l="1"/>
  <c r="O27" i="22"/>
  <c r="O26" i="22"/>
  <c r="O25" i="22"/>
  <c r="O24" i="22"/>
  <c r="O23" i="22"/>
  <c r="O22" i="22"/>
  <c r="O21" i="22"/>
  <c r="O20" i="22"/>
  <c r="O19" i="22"/>
  <c r="D9" i="22"/>
  <c r="D8" i="22"/>
  <c r="G9" i="23"/>
  <c r="G8" i="23"/>
  <c r="J14" i="34"/>
  <c r="I68" i="34"/>
  <c r="I49" i="34"/>
  <c r="E30" i="10"/>
  <c r="E33" i="10"/>
  <c r="E32" i="10"/>
  <c r="E31" i="10"/>
  <c r="J88" i="34"/>
  <c r="I50" i="34"/>
  <c r="J15" i="34"/>
  <c r="G574" i="19"/>
  <c r="E259" i="45" a="1"/>
  <c r="E259" i="45" s="1"/>
  <c r="D259" i="45" a="1"/>
  <c r="D259" i="45" s="1"/>
  <c r="E258" i="45" a="1"/>
  <c r="E258" i="45" s="1"/>
  <c r="D258" i="45" a="1"/>
  <c r="D258" i="45" s="1"/>
  <c r="D256" i="45" a="1"/>
  <c r="D256" i="45" s="1"/>
  <c r="D255" i="45" a="1"/>
  <c r="D255" i="45" s="1"/>
  <c r="D254" i="45" a="1"/>
  <c r="D254" i="45" s="1"/>
  <c r="D253" i="45" a="1"/>
  <c r="D253" i="45" s="1"/>
  <c r="S250" i="45" a="1"/>
  <c r="S250" i="45" s="1"/>
  <c r="R250" i="45" a="1"/>
  <c r="R250" i="45" s="1"/>
  <c r="Q250" i="45" a="1"/>
  <c r="Q250" i="45" s="1"/>
  <c r="P250" i="45" a="1"/>
  <c r="P250" i="45" s="1"/>
  <c r="O250" i="45" a="1"/>
  <c r="O250" i="45" s="1"/>
  <c r="N250" i="45" a="1"/>
  <c r="N250" i="45" s="1"/>
  <c r="M250" i="45" a="1"/>
  <c r="M250" i="45" s="1"/>
  <c r="L250" i="45" a="1"/>
  <c r="L250" i="45" s="1"/>
  <c r="K250" i="45" a="1"/>
  <c r="K250" i="45" s="1"/>
  <c r="J250" i="45" a="1"/>
  <c r="J250" i="45" s="1"/>
  <c r="I250" i="45" a="1"/>
  <c r="I250" i="45" s="1"/>
  <c r="H250" i="45" a="1"/>
  <c r="H250" i="45" s="1"/>
  <c r="G250" i="45" a="1"/>
  <c r="G250" i="45" s="1"/>
  <c r="F250" i="45" a="1"/>
  <c r="F250" i="45" s="1"/>
  <c r="E250" i="45" a="1"/>
  <c r="E250" i="45" s="1"/>
  <c r="D250" i="45" a="1"/>
  <c r="D250" i="45" s="1"/>
  <c r="S249" i="45" a="1"/>
  <c r="S249" i="45" s="1"/>
  <c r="R249" i="45" a="1"/>
  <c r="R249" i="45" s="1"/>
  <c r="Q249" i="45" a="1"/>
  <c r="Q249" i="45" s="1"/>
  <c r="P249" i="45" a="1"/>
  <c r="P249" i="45" s="1"/>
  <c r="O249" i="45" a="1"/>
  <c r="O249" i="45" s="1"/>
  <c r="N249" i="45" a="1"/>
  <c r="N249" i="45" s="1"/>
  <c r="M249" i="45" a="1"/>
  <c r="M249" i="45" s="1"/>
  <c r="L249" i="45" a="1"/>
  <c r="L249" i="45" s="1"/>
  <c r="K249" i="45" a="1"/>
  <c r="K249" i="45" s="1"/>
  <c r="J249" i="45" a="1"/>
  <c r="J249" i="45" s="1"/>
  <c r="I249" i="45" a="1"/>
  <c r="I249" i="45" s="1"/>
  <c r="H249" i="45" a="1"/>
  <c r="H249" i="45" s="1"/>
  <c r="G249" i="45" a="1"/>
  <c r="G249" i="45" s="1"/>
  <c r="F249" i="45" a="1"/>
  <c r="F249" i="45" s="1"/>
  <c r="E249" i="45" a="1"/>
  <c r="E249" i="45" s="1"/>
  <c r="D249" i="45" a="1"/>
  <c r="D249" i="45" s="1"/>
  <c r="S248" i="45" a="1"/>
  <c r="S248" i="45" s="1"/>
  <c r="R248" i="45" a="1"/>
  <c r="R248" i="45" s="1"/>
  <c r="Q248" i="45" a="1"/>
  <c r="Q248" i="45" s="1"/>
  <c r="P248" i="45" a="1"/>
  <c r="P248" i="45" s="1"/>
  <c r="O248" i="45" a="1"/>
  <c r="O248" i="45" s="1"/>
  <c r="N248" i="45" a="1"/>
  <c r="N248" i="45" s="1"/>
  <c r="M248" i="45" a="1"/>
  <c r="M248" i="45" s="1"/>
  <c r="L248" i="45" a="1"/>
  <c r="L248" i="45" s="1"/>
  <c r="K248" i="45" a="1"/>
  <c r="K248" i="45" s="1"/>
  <c r="J248" i="45" a="1"/>
  <c r="J248" i="45" s="1"/>
  <c r="I248" i="45" a="1"/>
  <c r="I248" i="45" s="1"/>
  <c r="H248" i="45" a="1"/>
  <c r="H248" i="45" s="1"/>
  <c r="G248" i="45" a="1"/>
  <c r="G248" i="45" s="1"/>
  <c r="F248" i="45" a="1"/>
  <c r="F248" i="45" s="1"/>
  <c r="E248" i="45" a="1"/>
  <c r="E248" i="45" s="1"/>
  <c r="D248" i="45" a="1"/>
  <c r="D248" i="45" s="1"/>
  <c r="S247" i="45" a="1"/>
  <c r="S247" i="45" s="1"/>
  <c r="R247" i="45" a="1"/>
  <c r="R247" i="45" s="1"/>
  <c r="Q247" i="45" a="1"/>
  <c r="Q247" i="45" s="1"/>
  <c r="P247" i="45" a="1"/>
  <c r="P247" i="45" s="1"/>
  <c r="O247" i="45" a="1"/>
  <c r="O247" i="45" s="1"/>
  <c r="N247" i="45" a="1"/>
  <c r="N247" i="45" s="1"/>
  <c r="M247" i="45" a="1"/>
  <c r="M247" i="45" s="1"/>
  <c r="L247" i="45" a="1"/>
  <c r="L247" i="45" s="1"/>
  <c r="K247" i="45" a="1"/>
  <c r="K247" i="45" s="1"/>
  <c r="J247" i="45" a="1"/>
  <c r="J247" i="45" s="1"/>
  <c r="I247" i="45" a="1"/>
  <c r="I247" i="45" s="1"/>
  <c r="H247" i="45" a="1"/>
  <c r="H247" i="45" s="1"/>
  <c r="G247" i="45" a="1"/>
  <c r="G247" i="45" s="1"/>
  <c r="F247" i="45" a="1"/>
  <c r="F247" i="45" s="1"/>
  <c r="E247" i="45" a="1"/>
  <c r="E247" i="45" s="1"/>
  <c r="D247" i="45" a="1"/>
  <c r="D247" i="45" s="1"/>
  <c r="S246" i="45" a="1"/>
  <c r="S246" i="45" s="1"/>
  <c r="R246" i="45" a="1"/>
  <c r="R246" i="45" s="1"/>
  <c r="Q246" i="45" a="1"/>
  <c r="Q246" i="45" s="1"/>
  <c r="P246" i="45" a="1"/>
  <c r="P246" i="45" s="1"/>
  <c r="O246" i="45" a="1"/>
  <c r="O246" i="45" s="1"/>
  <c r="N246" i="45" a="1"/>
  <c r="N246" i="45" s="1"/>
  <c r="M246" i="45" a="1"/>
  <c r="M246" i="45" s="1"/>
  <c r="L246" i="45" a="1"/>
  <c r="L246" i="45" s="1"/>
  <c r="K246" i="45" a="1"/>
  <c r="K246" i="45" s="1"/>
  <c r="J246" i="45" a="1"/>
  <c r="J246" i="45" s="1"/>
  <c r="I246" i="45" a="1"/>
  <c r="I246" i="45" s="1"/>
  <c r="H246" i="45" a="1"/>
  <c r="H246" i="45" s="1"/>
  <c r="G246" i="45" a="1"/>
  <c r="G246" i="45" s="1"/>
  <c r="F246" i="45" a="1"/>
  <c r="F246" i="45" s="1"/>
  <c r="E246" i="45" a="1"/>
  <c r="E246" i="45" s="1"/>
  <c r="D246" i="45" a="1"/>
  <c r="D246" i="45" s="1"/>
  <c r="S245" i="45" a="1"/>
  <c r="S245" i="45" s="1"/>
  <c r="R245" i="45" a="1"/>
  <c r="R245" i="45" s="1"/>
  <c r="Q245" i="45" a="1"/>
  <c r="Q245" i="45" s="1"/>
  <c r="P245" i="45" a="1"/>
  <c r="P245" i="45" s="1"/>
  <c r="O245" i="45" a="1"/>
  <c r="O245" i="45" s="1"/>
  <c r="N245" i="45" a="1"/>
  <c r="N245" i="45" s="1"/>
  <c r="M245" i="45" a="1"/>
  <c r="M245" i="45" s="1"/>
  <c r="L245" i="45" a="1"/>
  <c r="L245" i="45" s="1"/>
  <c r="K245" i="45" a="1"/>
  <c r="K245" i="45" s="1"/>
  <c r="J245" i="45" a="1"/>
  <c r="J245" i="45" s="1"/>
  <c r="I245" i="45" a="1"/>
  <c r="I245" i="45" s="1"/>
  <c r="H245" i="45" a="1"/>
  <c r="H245" i="45" s="1"/>
  <c r="G245" i="45" a="1"/>
  <c r="G245" i="45" s="1"/>
  <c r="F245" i="45" a="1"/>
  <c r="F245" i="45" s="1"/>
  <c r="E245" i="45" a="1"/>
  <c r="E245" i="45" s="1"/>
  <c r="D245" i="45" a="1"/>
  <c r="D245" i="45" s="1"/>
  <c r="S244" i="45" a="1"/>
  <c r="S244" i="45" s="1"/>
  <c r="R244" i="45" a="1"/>
  <c r="R244" i="45" s="1"/>
  <c r="Q244" i="45" a="1"/>
  <c r="Q244" i="45" s="1"/>
  <c r="P244" i="45" a="1"/>
  <c r="P244" i="45" s="1"/>
  <c r="O244" i="45" a="1"/>
  <c r="O244" i="45" s="1"/>
  <c r="N244" i="45" a="1"/>
  <c r="N244" i="45" s="1"/>
  <c r="M244" i="45" a="1"/>
  <c r="M244" i="45" s="1"/>
  <c r="L244" i="45" a="1"/>
  <c r="L244" i="45" s="1"/>
  <c r="K244" i="45" a="1"/>
  <c r="K244" i="45" s="1"/>
  <c r="J244" i="45" a="1"/>
  <c r="J244" i="45" s="1"/>
  <c r="I244" i="45" a="1"/>
  <c r="I244" i="45" s="1"/>
  <c r="H244" i="45" a="1"/>
  <c r="H244" i="45" s="1"/>
  <c r="G244" i="45" a="1"/>
  <c r="G244" i="45" s="1"/>
  <c r="F244" i="45" a="1"/>
  <c r="F244" i="45" s="1"/>
  <c r="E244" i="45" a="1"/>
  <c r="E244" i="45" s="1"/>
  <c r="D244" i="45" a="1"/>
  <c r="D244" i="45" s="1"/>
  <c r="S243" i="45" a="1"/>
  <c r="S243" i="45" s="1"/>
  <c r="R243" i="45" a="1"/>
  <c r="R243" i="45" s="1"/>
  <c r="Q243" i="45" a="1"/>
  <c r="Q243" i="45" s="1"/>
  <c r="P243" i="45" a="1"/>
  <c r="P243" i="45" s="1"/>
  <c r="O243" i="45" a="1"/>
  <c r="O243" i="45" s="1"/>
  <c r="N243" i="45" a="1"/>
  <c r="N243" i="45" s="1"/>
  <c r="M243" i="45" a="1"/>
  <c r="M243" i="45" s="1"/>
  <c r="L243" i="45" a="1"/>
  <c r="L243" i="45" s="1"/>
  <c r="K243" i="45" a="1"/>
  <c r="K243" i="45" s="1"/>
  <c r="J243" i="45" a="1"/>
  <c r="J243" i="45" s="1"/>
  <c r="I243" i="45" a="1"/>
  <c r="I243" i="45" s="1"/>
  <c r="H243" i="45" a="1"/>
  <c r="H243" i="45" s="1"/>
  <c r="G243" i="45" a="1"/>
  <c r="G243" i="45" s="1"/>
  <c r="F243" i="45" a="1"/>
  <c r="F243" i="45" s="1"/>
  <c r="E243" i="45" a="1"/>
  <c r="E243" i="45" s="1"/>
  <c r="D243" i="45" a="1"/>
  <c r="D243" i="45" s="1"/>
  <c r="S242" i="45" a="1"/>
  <c r="S242" i="45" s="1"/>
  <c r="R242" i="45" a="1"/>
  <c r="R242" i="45" s="1"/>
  <c r="Q242" i="45" a="1"/>
  <c r="Q242" i="45" s="1"/>
  <c r="P242" i="45" a="1"/>
  <c r="P242" i="45" s="1"/>
  <c r="O242" i="45" a="1"/>
  <c r="O242" i="45" s="1"/>
  <c r="N242" i="45" a="1"/>
  <c r="N242" i="45" s="1"/>
  <c r="M242" i="45" a="1"/>
  <c r="M242" i="45" s="1"/>
  <c r="L242" i="45" a="1"/>
  <c r="L242" i="45" s="1"/>
  <c r="K242" i="45" a="1"/>
  <c r="K242" i="45" s="1"/>
  <c r="J242" i="45" a="1"/>
  <c r="J242" i="45" s="1"/>
  <c r="I242" i="45" a="1"/>
  <c r="I242" i="45" s="1"/>
  <c r="H242" i="45" a="1"/>
  <c r="H242" i="45" s="1"/>
  <c r="G242" i="45" a="1"/>
  <c r="G242" i="45" s="1"/>
  <c r="F242" i="45" a="1"/>
  <c r="F242" i="45" s="1"/>
  <c r="E242" i="45" a="1"/>
  <c r="E242" i="45" s="1"/>
  <c r="D242" i="45" a="1"/>
  <c r="D242" i="45" s="1"/>
  <c r="S241" i="45" a="1"/>
  <c r="S241" i="45" s="1"/>
  <c r="R241" i="45" a="1"/>
  <c r="R241" i="45" s="1"/>
  <c r="Q241" i="45" a="1"/>
  <c r="Q241" i="45" s="1"/>
  <c r="P241" i="45" a="1"/>
  <c r="P241" i="45" s="1"/>
  <c r="O241" i="45" a="1"/>
  <c r="O241" i="45" s="1"/>
  <c r="N241" i="45" a="1"/>
  <c r="N241" i="45" s="1"/>
  <c r="M241" i="45" a="1"/>
  <c r="M241" i="45" s="1"/>
  <c r="L241" i="45" a="1"/>
  <c r="L241" i="45" s="1"/>
  <c r="K241" i="45" a="1"/>
  <c r="K241" i="45" s="1"/>
  <c r="J241" i="45" a="1"/>
  <c r="J241" i="45" s="1"/>
  <c r="I241" i="45" a="1"/>
  <c r="I241" i="45" s="1"/>
  <c r="H241" i="45" a="1"/>
  <c r="H241" i="45" s="1"/>
  <c r="G241" i="45" a="1"/>
  <c r="G241" i="45" s="1"/>
  <c r="F241" i="45" a="1"/>
  <c r="F241" i="45" s="1"/>
  <c r="E241" i="45" a="1"/>
  <c r="E241" i="45" s="1"/>
  <c r="D241" i="45" a="1"/>
  <c r="D241" i="45" s="1"/>
  <c r="S240" i="45" a="1"/>
  <c r="S240" i="45" s="1"/>
  <c r="R240" i="45" a="1"/>
  <c r="R240" i="45" s="1"/>
  <c r="Q240" i="45" a="1"/>
  <c r="Q240" i="45" s="1"/>
  <c r="P240" i="45" a="1"/>
  <c r="P240" i="45" s="1"/>
  <c r="O240" i="45" a="1"/>
  <c r="O240" i="45" s="1"/>
  <c r="N240" i="45" a="1"/>
  <c r="N240" i="45" s="1"/>
  <c r="M240" i="45" a="1"/>
  <c r="M240" i="45" s="1"/>
  <c r="L240" i="45" a="1"/>
  <c r="L240" i="45" s="1"/>
  <c r="K240" i="45" a="1"/>
  <c r="K240" i="45" s="1"/>
  <c r="J240" i="45" a="1"/>
  <c r="J240" i="45" s="1"/>
  <c r="I240" i="45" a="1"/>
  <c r="I240" i="45" s="1"/>
  <c r="H240" i="45" a="1"/>
  <c r="H240" i="45" s="1"/>
  <c r="G240" i="45" a="1"/>
  <c r="G240" i="45" s="1"/>
  <c r="F240" i="45" a="1"/>
  <c r="F240" i="45" s="1"/>
  <c r="E240" i="45" a="1"/>
  <c r="E240" i="45" s="1"/>
  <c r="D240" i="45" a="1"/>
  <c r="D240" i="45" s="1"/>
  <c r="S239" i="45" a="1"/>
  <c r="S239" i="45" s="1"/>
  <c r="R239" i="45" a="1"/>
  <c r="R239" i="45" s="1"/>
  <c r="Q239" i="45" a="1"/>
  <c r="Q239" i="45" s="1"/>
  <c r="P239" i="45" a="1"/>
  <c r="P239" i="45" s="1"/>
  <c r="O239" i="45" a="1"/>
  <c r="O239" i="45" s="1"/>
  <c r="N239" i="45" a="1"/>
  <c r="N239" i="45" s="1"/>
  <c r="M239" i="45" a="1"/>
  <c r="M239" i="45" s="1"/>
  <c r="L239" i="45" a="1"/>
  <c r="L239" i="45" s="1"/>
  <c r="K239" i="45" a="1"/>
  <c r="K239" i="45" s="1"/>
  <c r="J239" i="45" a="1"/>
  <c r="J239" i="45" s="1"/>
  <c r="I239" i="45" a="1"/>
  <c r="I239" i="45" s="1"/>
  <c r="H239" i="45" a="1"/>
  <c r="H239" i="45" s="1"/>
  <c r="G239" i="45" a="1"/>
  <c r="G239" i="45" s="1"/>
  <c r="F239" i="45" a="1"/>
  <c r="F239" i="45" s="1"/>
  <c r="E239" i="45" a="1"/>
  <c r="E239" i="45" s="1"/>
  <c r="D239" i="45" a="1"/>
  <c r="D239" i="45" s="1"/>
  <c r="S238" i="45" a="1"/>
  <c r="S238" i="45" s="1"/>
  <c r="R238" i="45" a="1"/>
  <c r="R238" i="45" s="1"/>
  <c r="Q238" i="45" a="1"/>
  <c r="Q238" i="45" s="1"/>
  <c r="P238" i="45" a="1"/>
  <c r="P238" i="45" s="1"/>
  <c r="O238" i="45" a="1"/>
  <c r="O238" i="45" s="1"/>
  <c r="N238" i="45" a="1"/>
  <c r="N238" i="45" s="1"/>
  <c r="M238" i="45" a="1"/>
  <c r="M238" i="45" s="1"/>
  <c r="L238" i="45" a="1"/>
  <c r="L238" i="45" s="1"/>
  <c r="K238" i="45" a="1"/>
  <c r="K238" i="45" s="1"/>
  <c r="J238" i="45" a="1"/>
  <c r="J238" i="45" s="1"/>
  <c r="I238" i="45" a="1"/>
  <c r="I238" i="45" s="1"/>
  <c r="H238" i="45" a="1"/>
  <c r="H238" i="45" s="1"/>
  <c r="G238" i="45" a="1"/>
  <c r="G238" i="45" s="1"/>
  <c r="F238" i="45" a="1"/>
  <c r="F238" i="45" s="1"/>
  <c r="E238" i="45" a="1"/>
  <c r="E238" i="45" s="1"/>
  <c r="D238" i="45" a="1"/>
  <c r="D238" i="45" s="1"/>
  <c r="S237" i="45" a="1"/>
  <c r="S237" i="45" s="1"/>
  <c r="R237" i="45" a="1"/>
  <c r="R237" i="45" s="1"/>
  <c r="Q237" i="45" a="1"/>
  <c r="Q237" i="45" s="1"/>
  <c r="P237" i="45" a="1"/>
  <c r="P237" i="45" s="1"/>
  <c r="O237" i="45" a="1"/>
  <c r="O237" i="45" s="1"/>
  <c r="N237" i="45" a="1"/>
  <c r="N237" i="45" s="1"/>
  <c r="M237" i="45" a="1"/>
  <c r="M237" i="45" s="1"/>
  <c r="L237" i="45" a="1"/>
  <c r="L237" i="45" s="1"/>
  <c r="K237" i="45" a="1"/>
  <c r="K237" i="45" s="1"/>
  <c r="J237" i="45" a="1"/>
  <c r="J237" i="45" s="1"/>
  <c r="I237" i="45" a="1"/>
  <c r="I237" i="45" s="1"/>
  <c r="H237" i="45" a="1"/>
  <c r="H237" i="45" s="1"/>
  <c r="G237" i="45" a="1"/>
  <c r="G237" i="45" s="1"/>
  <c r="F237" i="45" a="1"/>
  <c r="F237" i="45" s="1"/>
  <c r="E237" i="45" a="1"/>
  <c r="E237" i="45" s="1"/>
  <c r="D237" i="45" a="1"/>
  <c r="D237" i="45" s="1"/>
  <c r="S236" i="45" a="1"/>
  <c r="S236" i="45" s="1"/>
  <c r="R236" i="45" a="1"/>
  <c r="R236" i="45" s="1"/>
  <c r="Q236" i="45" a="1"/>
  <c r="Q236" i="45" s="1"/>
  <c r="P236" i="45" a="1"/>
  <c r="P236" i="45" s="1"/>
  <c r="O236" i="45" a="1"/>
  <c r="O236" i="45" s="1"/>
  <c r="N236" i="45" a="1"/>
  <c r="N236" i="45" s="1"/>
  <c r="M236" i="45" a="1"/>
  <c r="M236" i="45" s="1"/>
  <c r="L236" i="45" a="1"/>
  <c r="L236" i="45" s="1"/>
  <c r="K236" i="45" a="1"/>
  <c r="K236" i="45" s="1"/>
  <c r="J236" i="45" a="1"/>
  <c r="J236" i="45" s="1"/>
  <c r="I236" i="45" a="1"/>
  <c r="I236" i="45" s="1"/>
  <c r="H236" i="45" a="1"/>
  <c r="H236" i="45" s="1"/>
  <c r="G236" i="45" a="1"/>
  <c r="G236" i="45" s="1"/>
  <c r="F236" i="45" a="1"/>
  <c r="F236" i="45" s="1"/>
  <c r="E236" i="45" a="1"/>
  <c r="E236" i="45" s="1"/>
  <c r="D236" i="45" a="1"/>
  <c r="D236" i="45" s="1"/>
  <c r="S235" i="45" a="1"/>
  <c r="S235" i="45" s="1"/>
  <c r="R235" i="45" a="1"/>
  <c r="R235" i="45" s="1"/>
  <c r="Q235" i="45" a="1"/>
  <c r="Q235" i="45" s="1"/>
  <c r="P235" i="45" a="1"/>
  <c r="P235" i="45" s="1"/>
  <c r="O235" i="45" a="1"/>
  <c r="O235" i="45" s="1"/>
  <c r="N235" i="45" a="1"/>
  <c r="N235" i="45" s="1"/>
  <c r="M235" i="45" a="1"/>
  <c r="M235" i="45" s="1"/>
  <c r="L235" i="45" a="1"/>
  <c r="L235" i="45" s="1"/>
  <c r="K235" i="45" a="1"/>
  <c r="K235" i="45" s="1"/>
  <c r="J235" i="45" a="1"/>
  <c r="J235" i="45" s="1"/>
  <c r="I235" i="45" a="1"/>
  <c r="I235" i="45" s="1"/>
  <c r="H235" i="45" a="1"/>
  <c r="H235" i="45" s="1"/>
  <c r="G235" i="45" a="1"/>
  <c r="G235" i="45" s="1"/>
  <c r="F235" i="45" a="1"/>
  <c r="F235" i="45" s="1"/>
  <c r="E235" i="45" a="1"/>
  <c r="E235" i="45" s="1"/>
  <c r="D235" i="45" a="1"/>
  <c r="D235" i="45" s="1"/>
  <c r="S234" i="45" a="1"/>
  <c r="S234" i="45" s="1"/>
  <c r="R234" i="45" a="1"/>
  <c r="R234" i="45" s="1"/>
  <c r="Q234" i="45" a="1"/>
  <c r="Q234" i="45" s="1"/>
  <c r="P234" i="45" a="1"/>
  <c r="P234" i="45" s="1"/>
  <c r="O234" i="45" a="1"/>
  <c r="O234" i="45" s="1"/>
  <c r="N234" i="45" a="1"/>
  <c r="N234" i="45" s="1"/>
  <c r="M234" i="45" a="1"/>
  <c r="M234" i="45" s="1"/>
  <c r="L234" i="45" a="1"/>
  <c r="L234" i="45" s="1"/>
  <c r="K234" i="45" a="1"/>
  <c r="K234" i="45" s="1"/>
  <c r="J234" i="45" a="1"/>
  <c r="J234" i="45" s="1"/>
  <c r="I234" i="45" a="1"/>
  <c r="I234" i="45" s="1"/>
  <c r="H234" i="45" a="1"/>
  <c r="H234" i="45" s="1"/>
  <c r="G234" i="45" a="1"/>
  <c r="G234" i="45" s="1"/>
  <c r="F234" i="45" a="1"/>
  <c r="F234" i="45" s="1"/>
  <c r="E234" i="45" a="1"/>
  <c r="E234" i="45" s="1"/>
  <c r="D234" i="45" a="1"/>
  <c r="D234" i="45" s="1"/>
  <c r="S233" i="45" a="1"/>
  <c r="S233" i="45" s="1"/>
  <c r="R233" i="45" a="1"/>
  <c r="R233" i="45" s="1"/>
  <c r="Q233" i="45" a="1"/>
  <c r="Q233" i="45" s="1"/>
  <c r="P233" i="45" a="1"/>
  <c r="P233" i="45" s="1"/>
  <c r="O233" i="45" a="1"/>
  <c r="O233" i="45" s="1"/>
  <c r="N233" i="45" a="1"/>
  <c r="N233" i="45" s="1"/>
  <c r="M233" i="45" a="1"/>
  <c r="M233" i="45" s="1"/>
  <c r="L233" i="45" a="1"/>
  <c r="L233" i="45" s="1"/>
  <c r="K233" i="45" a="1"/>
  <c r="K233" i="45" s="1"/>
  <c r="J233" i="45" a="1"/>
  <c r="J233" i="45" s="1"/>
  <c r="I233" i="45" a="1"/>
  <c r="I233" i="45" s="1"/>
  <c r="H233" i="45" a="1"/>
  <c r="H233" i="45" s="1"/>
  <c r="G233" i="45" a="1"/>
  <c r="G233" i="45" s="1"/>
  <c r="F233" i="45" a="1"/>
  <c r="F233" i="45" s="1"/>
  <c r="E233" i="45" a="1"/>
  <c r="E233" i="45" s="1"/>
  <c r="D233" i="45" a="1"/>
  <c r="D233" i="45" s="1"/>
  <c r="S232" i="45" a="1"/>
  <c r="S232" i="45" s="1"/>
  <c r="R232" i="45" a="1"/>
  <c r="R232" i="45" s="1"/>
  <c r="Q232" i="45" a="1"/>
  <c r="Q232" i="45" s="1"/>
  <c r="P232" i="45" a="1"/>
  <c r="P232" i="45" s="1"/>
  <c r="O232" i="45" a="1"/>
  <c r="O232" i="45" s="1"/>
  <c r="N232" i="45" a="1"/>
  <c r="N232" i="45" s="1"/>
  <c r="M232" i="45" a="1"/>
  <c r="M232" i="45" s="1"/>
  <c r="L232" i="45" a="1"/>
  <c r="L232" i="45" s="1"/>
  <c r="K232" i="45" a="1"/>
  <c r="K232" i="45" s="1"/>
  <c r="J232" i="45" a="1"/>
  <c r="J232" i="45" s="1"/>
  <c r="I232" i="45" a="1"/>
  <c r="I232" i="45" s="1"/>
  <c r="H232" i="45" a="1"/>
  <c r="H232" i="45" s="1"/>
  <c r="G232" i="45" a="1"/>
  <c r="G232" i="45" s="1"/>
  <c r="F232" i="45" a="1"/>
  <c r="F232" i="45" s="1"/>
  <c r="E232" i="45" a="1"/>
  <c r="E232" i="45" s="1"/>
  <c r="D232" i="45" a="1"/>
  <c r="D232" i="45" s="1"/>
  <c r="D229" i="45" a="1"/>
  <c r="D229" i="45" s="1"/>
  <c r="D228" i="45" a="1"/>
  <c r="D228" i="45" s="1"/>
  <c r="D227" i="45" a="1"/>
  <c r="D227" i="45" s="1"/>
  <c r="E224" i="45" a="1"/>
  <c r="E224" i="45" s="1"/>
  <c r="D224" i="45" a="1"/>
  <c r="D224" i="45" s="1"/>
  <c r="E223" i="45" a="1"/>
  <c r="E223" i="45" s="1"/>
  <c r="D223" i="45" a="1"/>
  <c r="D223" i="45" s="1"/>
  <c r="E222" i="45" a="1"/>
  <c r="E222" i="45" s="1"/>
  <c r="D222" i="45" a="1"/>
  <c r="D222" i="45" s="1"/>
  <c r="E221" i="45" a="1"/>
  <c r="E221" i="45" s="1"/>
  <c r="D221" i="45" a="1"/>
  <c r="D221" i="45" s="1"/>
  <c r="E220" i="45" a="1"/>
  <c r="E220" i="45" s="1"/>
  <c r="D220" i="45" a="1"/>
  <c r="D220" i="45" s="1"/>
  <c r="E219" i="45" a="1"/>
  <c r="E219" i="45" s="1"/>
  <c r="D219" i="45" a="1"/>
  <c r="D219" i="45" s="1"/>
  <c r="E218" i="45" a="1"/>
  <c r="E218" i="45" s="1"/>
  <c r="D218" i="45" a="1"/>
  <c r="D218" i="45" s="1"/>
  <c r="E217" i="45" a="1"/>
  <c r="E217" i="45" s="1"/>
  <c r="D217" i="45" a="1"/>
  <c r="D217" i="45" s="1"/>
  <c r="E216" i="45" a="1"/>
  <c r="E216" i="45" s="1"/>
  <c r="D216" i="45" a="1"/>
  <c r="D216" i="45" s="1"/>
  <c r="E215" i="45" a="1"/>
  <c r="E215" i="45" s="1"/>
  <c r="D215" i="45" a="1"/>
  <c r="D215" i="45" s="1"/>
  <c r="E214" i="45" a="1"/>
  <c r="E214" i="45" s="1"/>
  <c r="D214" i="45" a="1"/>
  <c r="D214" i="45" s="1"/>
  <c r="E213" i="45" a="1"/>
  <c r="E213" i="45" s="1"/>
  <c r="D213" i="45" a="1"/>
  <c r="D213" i="45" s="1"/>
  <c r="D211" i="45"/>
  <c r="D211" i="45" a="1"/>
  <c r="E208" i="45" a="1"/>
  <c r="E208" i="45" s="1"/>
  <c r="D208" i="45" a="1"/>
  <c r="D208" i="45" s="1"/>
  <c r="E207" i="45" a="1"/>
  <c r="E207" i="45" s="1"/>
  <c r="D207" i="45" a="1"/>
  <c r="D207" i="45" s="1"/>
  <c r="D205" i="45" a="1"/>
  <c r="D205" i="45" s="1"/>
  <c r="D204" i="45"/>
  <c r="D204" i="45" a="1"/>
  <c r="D203" i="45" a="1"/>
  <c r="D203" i="45" s="1"/>
  <c r="D202" i="45" a="1"/>
  <c r="D202" i="45" s="1"/>
  <c r="H199" i="45" a="1"/>
  <c r="H199" i="45" s="1"/>
  <c r="G199" i="45" a="1"/>
  <c r="G199" i="45" s="1"/>
  <c r="F199" i="45" a="1"/>
  <c r="F199" i="45" s="1"/>
  <c r="E199" i="45" a="1"/>
  <c r="E199" i="45" s="1"/>
  <c r="D199" i="45" a="1"/>
  <c r="D199" i="45" s="1"/>
  <c r="H198" i="45" a="1"/>
  <c r="H198" i="45" s="1"/>
  <c r="G198" i="45" a="1"/>
  <c r="G198" i="45" s="1"/>
  <c r="F198" i="45" a="1"/>
  <c r="F198" i="45" s="1"/>
  <c r="E198" i="45" a="1"/>
  <c r="E198" i="45" s="1"/>
  <c r="D198" i="45" a="1"/>
  <c r="D198" i="45" s="1"/>
  <c r="H197" i="45" a="1"/>
  <c r="H197" i="45" s="1"/>
  <c r="G197" i="45" a="1"/>
  <c r="G197" i="45" s="1"/>
  <c r="F197" i="45" a="1"/>
  <c r="F197" i="45" s="1"/>
  <c r="E197" i="45" a="1"/>
  <c r="E197" i="45" s="1"/>
  <c r="D197" i="45" a="1"/>
  <c r="D197" i="45" s="1"/>
  <c r="H196" i="45" a="1"/>
  <c r="H196" i="45" s="1"/>
  <c r="G196" i="45" a="1"/>
  <c r="G196" i="45" s="1"/>
  <c r="F196" i="45" a="1"/>
  <c r="F196" i="45" s="1"/>
  <c r="E196" i="45" a="1"/>
  <c r="E196" i="45" s="1"/>
  <c r="D196" i="45" a="1"/>
  <c r="D196" i="45" s="1"/>
  <c r="H195" i="45" a="1"/>
  <c r="H195" i="45" s="1"/>
  <c r="G195" i="45" a="1"/>
  <c r="G195" i="45" s="1"/>
  <c r="F195" i="45" a="1"/>
  <c r="F195" i="45" s="1"/>
  <c r="E195" i="45" a="1"/>
  <c r="E195" i="45" s="1"/>
  <c r="D195" i="45" a="1"/>
  <c r="D195" i="45" s="1"/>
  <c r="H194" i="45" a="1"/>
  <c r="H194" i="45" s="1"/>
  <c r="G194" i="45" a="1"/>
  <c r="G194" i="45" s="1"/>
  <c r="F194" i="45" a="1"/>
  <c r="F194" i="45" s="1"/>
  <c r="E194" i="45" a="1"/>
  <c r="E194" i="45" s="1"/>
  <c r="D194" i="45" a="1"/>
  <c r="D194" i="45" s="1"/>
  <c r="H193" i="45" a="1"/>
  <c r="H193" i="45" s="1"/>
  <c r="G193" i="45" a="1"/>
  <c r="G193" i="45" s="1"/>
  <c r="F193" i="45" a="1"/>
  <c r="F193" i="45" s="1"/>
  <c r="E193" i="45" a="1"/>
  <c r="E193" i="45" s="1"/>
  <c r="D193" i="45" a="1"/>
  <c r="D193" i="45" s="1"/>
  <c r="H192" i="45" a="1"/>
  <c r="H192" i="45" s="1"/>
  <c r="G192" i="45" a="1"/>
  <c r="G192" i="45" s="1"/>
  <c r="F192" i="45" a="1"/>
  <c r="F192" i="45" s="1"/>
  <c r="E192" i="45" a="1"/>
  <c r="E192" i="45" s="1"/>
  <c r="D192" i="45" a="1"/>
  <c r="D192" i="45" s="1"/>
  <c r="H191" i="45" a="1"/>
  <c r="H191" i="45" s="1"/>
  <c r="G191" i="45" a="1"/>
  <c r="G191" i="45" s="1"/>
  <c r="F191" i="45" a="1"/>
  <c r="F191" i="45" s="1"/>
  <c r="E191" i="45" a="1"/>
  <c r="E191" i="45" s="1"/>
  <c r="D191" i="45" a="1"/>
  <c r="D191" i="45" s="1"/>
  <c r="H190" i="45" a="1"/>
  <c r="H190" i="45" s="1"/>
  <c r="G190" i="45" a="1"/>
  <c r="G190" i="45" s="1"/>
  <c r="F190" i="45" a="1"/>
  <c r="F190" i="45" s="1"/>
  <c r="E190" i="45" a="1"/>
  <c r="E190" i="45" s="1"/>
  <c r="D190" i="45" a="1"/>
  <c r="D190" i="45" s="1"/>
  <c r="H189" i="45" a="1"/>
  <c r="H189" i="45" s="1"/>
  <c r="G189" i="45" a="1"/>
  <c r="G189" i="45" s="1"/>
  <c r="F189" i="45" a="1"/>
  <c r="F189" i="45" s="1"/>
  <c r="E189" i="45" a="1"/>
  <c r="E189" i="45" s="1"/>
  <c r="D189" i="45" a="1"/>
  <c r="D189" i="45" s="1"/>
  <c r="H188" i="45" a="1"/>
  <c r="H188" i="45" s="1"/>
  <c r="G188" i="45" a="1"/>
  <c r="G188" i="45" s="1"/>
  <c r="F188" i="45" a="1"/>
  <c r="F188" i="45" s="1"/>
  <c r="E188" i="45" a="1"/>
  <c r="E188" i="45" s="1"/>
  <c r="D188" i="45" a="1"/>
  <c r="D188" i="45" s="1"/>
  <c r="H187" i="45" a="1"/>
  <c r="H187" i="45" s="1"/>
  <c r="G187" i="45" a="1"/>
  <c r="G187" i="45" s="1"/>
  <c r="F187" i="45" a="1"/>
  <c r="F187" i="45" s="1"/>
  <c r="E187" i="45" a="1"/>
  <c r="E187" i="45" s="1"/>
  <c r="D187" i="45" a="1"/>
  <c r="D187" i="45" s="1"/>
  <c r="D181" i="45" a="1"/>
  <c r="D181" i="45" s="1"/>
  <c r="D180" i="45" a="1"/>
  <c r="D180" i="45" s="1"/>
  <c r="D179" i="45" a="1"/>
  <c r="D179" i="45" s="1"/>
  <c r="D178" i="45" a="1"/>
  <c r="D178" i="45" s="1"/>
  <c r="E175" i="45" a="1"/>
  <c r="E175" i="45" s="1"/>
  <c r="D175" i="45"/>
  <c r="D175" i="45" a="1"/>
  <c r="D174" i="45"/>
  <c r="D174" i="45" a="1"/>
  <c r="D173" i="45" a="1"/>
  <c r="D173" i="45" s="1"/>
  <c r="D170" i="45" a="1"/>
  <c r="D170" i="45" s="1"/>
  <c r="D169" i="45"/>
  <c r="D169" i="45" a="1"/>
  <c r="D168" i="45" a="1"/>
  <c r="D168" i="45" s="1"/>
  <c r="D167" i="45" a="1"/>
  <c r="D167" i="45" s="1"/>
  <c r="D164" i="45" a="1"/>
  <c r="D164" i="45" s="1"/>
  <c r="D163" i="45" a="1"/>
  <c r="D163" i="45" s="1"/>
  <c r="D162" i="45"/>
  <c r="D162" i="45" a="1"/>
  <c r="D161" i="45" a="1"/>
  <c r="D161" i="45" s="1"/>
  <c r="E158" i="45" a="1"/>
  <c r="E158" i="45" s="1"/>
  <c r="D158" i="45" a="1"/>
  <c r="D158" i="45" s="1"/>
  <c r="E157" i="45" a="1"/>
  <c r="E157" i="45" s="1"/>
  <c r="D157" i="45" a="1"/>
  <c r="D157" i="45" s="1"/>
  <c r="E156" i="45" a="1"/>
  <c r="E156" i="45" s="1"/>
  <c r="D156" i="45" a="1"/>
  <c r="D156" i="45" s="1"/>
  <c r="E155" i="45" a="1"/>
  <c r="E155" i="45" s="1"/>
  <c r="D155" i="45" a="1"/>
  <c r="D155" i="45" s="1"/>
  <c r="E154" i="45" a="1"/>
  <c r="E154" i="45" s="1"/>
  <c r="D154" i="45" a="1"/>
  <c r="D154" i="45" s="1"/>
  <c r="D151" i="45" a="1"/>
  <c r="D151" i="45" s="1"/>
  <c r="D150" i="45" a="1"/>
  <c r="D150" i="45" s="1"/>
  <c r="E147" i="45" a="1"/>
  <c r="E147" i="45" s="1"/>
  <c r="D147" i="45" a="1"/>
  <c r="D147" i="45" s="1"/>
  <c r="E146" i="45" a="1"/>
  <c r="E146" i="45" s="1"/>
  <c r="D146" i="45" a="1"/>
  <c r="D146" i="45" s="1"/>
  <c r="E145" i="45" a="1"/>
  <c r="E145" i="45" s="1"/>
  <c r="D145" i="45" a="1"/>
  <c r="D145" i="45" s="1"/>
  <c r="E144" i="45" a="1"/>
  <c r="E144" i="45" s="1"/>
  <c r="D144" i="45" a="1"/>
  <c r="D144" i="45" s="1"/>
  <c r="E143" i="45" a="1"/>
  <c r="E143" i="45" s="1"/>
  <c r="D143" i="45" a="1"/>
  <c r="D143" i="45" s="1"/>
  <c r="D141" i="45" a="1"/>
  <c r="D141" i="45" s="1"/>
  <c r="D140" i="45"/>
  <c r="D140" i="45" a="1"/>
  <c r="D139" i="45" a="1"/>
  <c r="D139" i="45" s="1"/>
  <c r="E136" i="45" a="1"/>
  <c r="E136" i="45" s="1"/>
  <c r="D136" i="45" a="1"/>
  <c r="D136" i="45" s="1"/>
  <c r="E135" i="45" a="1"/>
  <c r="E135" i="45" s="1"/>
  <c r="D135" i="45" a="1"/>
  <c r="D135" i="45" s="1"/>
  <c r="D133" i="45" a="1"/>
  <c r="D133" i="45" s="1"/>
  <c r="D132" i="45" a="1"/>
  <c r="D132" i="45" s="1"/>
  <c r="E129" i="45" a="1"/>
  <c r="E129" i="45" s="1"/>
  <c r="D129" i="45" a="1"/>
  <c r="D129" i="45" s="1"/>
  <c r="E128" i="45" a="1"/>
  <c r="E128" i="45" s="1"/>
  <c r="D128" i="45" a="1"/>
  <c r="D128" i="45" s="1"/>
  <c r="D125" i="45" a="1"/>
  <c r="D125" i="45" s="1"/>
  <c r="D124" i="45" a="1"/>
  <c r="D124" i="45" s="1"/>
  <c r="G121" i="45" a="1"/>
  <c r="G121" i="45" s="1"/>
  <c r="F121" i="45" a="1"/>
  <c r="F121" i="45" s="1"/>
  <c r="E121" i="45" a="1"/>
  <c r="E121" i="45" s="1"/>
  <c r="D121" i="45" a="1"/>
  <c r="D121" i="45" s="1"/>
  <c r="G120" i="45" a="1"/>
  <c r="G120" i="45" s="1"/>
  <c r="F120" i="45" a="1"/>
  <c r="F120" i="45" s="1"/>
  <c r="E120" i="45" a="1"/>
  <c r="E120" i="45" s="1"/>
  <c r="D120" i="45" a="1"/>
  <c r="D120" i="45" s="1"/>
  <c r="D117" i="45" a="1"/>
  <c r="D117" i="45" s="1"/>
  <c r="D116" i="45" a="1"/>
  <c r="D116" i="45" s="1"/>
  <c r="D115" i="45" a="1"/>
  <c r="D115" i="45" s="1"/>
  <c r="G112" i="45" a="1"/>
  <c r="G112" i="45" s="1"/>
  <c r="F112" i="45" a="1"/>
  <c r="F112" i="45" s="1"/>
  <c r="E112" i="45" a="1"/>
  <c r="E112" i="45" s="1"/>
  <c r="D112" i="45" a="1"/>
  <c r="D112" i="45" s="1"/>
  <c r="G111" i="45" a="1"/>
  <c r="G111" i="45" s="1"/>
  <c r="F111" i="45" a="1"/>
  <c r="F111" i="45" s="1"/>
  <c r="E111" i="45" a="1"/>
  <c r="E111" i="45" s="1"/>
  <c r="D111" i="45" a="1"/>
  <c r="D111" i="45" s="1"/>
  <c r="G110" i="45" a="1"/>
  <c r="G110" i="45" s="1"/>
  <c r="F110" i="45" a="1"/>
  <c r="F110" i="45" s="1"/>
  <c r="E110" i="45" a="1"/>
  <c r="E110" i="45" s="1"/>
  <c r="D110" i="45" a="1"/>
  <c r="D110" i="45" s="1"/>
  <c r="D107" i="45" a="1"/>
  <c r="D107" i="45" s="1"/>
  <c r="D106" i="45" a="1"/>
  <c r="D106" i="45" s="1"/>
  <c r="D105" i="45" a="1"/>
  <c r="D105" i="45" s="1"/>
  <c r="D99" i="45" a="1"/>
  <c r="D99" i="45" s="1"/>
  <c r="S97" i="45" a="1"/>
  <c r="S97" i="45" s="1"/>
  <c r="R97" i="45" a="1"/>
  <c r="R97" i="45" s="1"/>
  <c r="Q97" i="45" a="1"/>
  <c r="Q97" i="45" s="1"/>
  <c r="P97" i="45" a="1"/>
  <c r="P97" i="45" s="1"/>
  <c r="O97" i="45" a="1"/>
  <c r="O97" i="45" s="1"/>
  <c r="N97" i="45" a="1"/>
  <c r="N97" i="45" s="1"/>
  <c r="M97" i="45" a="1"/>
  <c r="M97" i="45" s="1"/>
  <c r="L97" i="45" a="1"/>
  <c r="L97" i="45" s="1"/>
  <c r="K97" i="45" a="1"/>
  <c r="K97" i="45" s="1"/>
  <c r="J97" i="45" a="1"/>
  <c r="J97" i="45" s="1"/>
  <c r="I97" i="45" a="1"/>
  <c r="I97" i="45" s="1"/>
  <c r="H97" i="45" a="1"/>
  <c r="H97" i="45" s="1"/>
  <c r="G97" i="45" a="1"/>
  <c r="G97" i="45" s="1"/>
  <c r="F97" i="45" a="1"/>
  <c r="F97" i="45" s="1"/>
  <c r="E97" i="45" a="1"/>
  <c r="E97" i="45" s="1"/>
  <c r="D97" i="45" a="1"/>
  <c r="D97" i="45" s="1"/>
  <c r="S96" i="45" a="1"/>
  <c r="S96" i="45" s="1"/>
  <c r="R96" i="45" a="1"/>
  <c r="R96" i="45" s="1"/>
  <c r="Q96" i="45" a="1"/>
  <c r="Q96" i="45" s="1"/>
  <c r="P96" i="45" a="1"/>
  <c r="P96" i="45" s="1"/>
  <c r="O96" i="45" a="1"/>
  <c r="O96" i="45" s="1"/>
  <c r="N96" i="45" a="1"/>
  <c r="N96" i="45" s="1"/>
  <c r="M96" i="45" a="1"/>
  <c r="M96" i="45" s="1"/>
  <c r="L96" i="45" a="1"/>
  <c r="L96" i="45" s="1"/>
  <c r="K96" i="45" a="1"/>
  <c r="K96" i="45" s="1"/>
  <c r="J96" i="45" a="1"/>
  <c r="J96" i="45" s="1"/>
  <c r="I96" i="45" a="1"/>
  <c r="I96" i="45" s="1"/>
  <c r="H96" i="45" a="1"/>
  <c r="H96" i="45" s="1"/>
  <c r="G96" i="45" a="1"/>
  <c r="G96" i="45" s="1"/>
  <c r="F96" i="45" a="1"/>
  <c r="F96" i="45" s="1"/>
  <c r="E96" i="45" a="1"/>
  <c r="E96" i="45" s="1"/>
  <c r="D96" i="45" a="1"/>
  <c r="D96" i="45" s="1"/>
  <c r="S95" i="45" a="1"/>
  <c r="S95" i="45" s="1"/>
  <c r="R95" i="45" a="1"/>
  <c r="R95" i="45" s="1"/>
  <c r="Q95" i="45" a="1"/>
  <c r="Q95" i="45" s="1"/>
  <c r="P95" i="45" a="1"/>
  <c r="P95" i="45" s="1"/>
  <c r="O95" i="45" a="1"/>
  <c r="O95" i="45" s="1"/>
  <c r="N95" i="45" a="1"/>
  <c r="N95" i="45" s="1"/>
  <c r="M95" i="45" a="1"/>
  <c r="M95" i="45" s="1"/>
  <c r="L95" i="45" a="1"/>
  <c r="L95" i="45" s="1"/>
  <c r="K95" i="45" a="1"/>
  <c r="K95" i="45" s="1"/>
  <c r="J95" i="45" a="1"/>
  <c r="J95" i="45" s="1"/>
  <c r="I95" i="45" a="1"/>
  <c r="I95" i="45" s="1"/>
  <c r="H95" i="45" a="1"/>
  <c r="H95" i="45" s="1"/>
  <c r="G95" i="45" a="1"/>
  <c r="G95" i="45" s="1"/>
  <c r="F95" i="45" a="1"/>
  <c r="F95" i="45" s="1"/>
  <c r="E95" i="45" a="1"/>
  <c r="E95" i="45" s="1"/>
  <c r="D95" i="45" a="1"/>
  <c r="D95" i="45" s="1"/>
  <c r="S94" i="45" a="1"/>
  <c r="S94" i="45" s="1"/>
  <c r="R94" i="45" a="1"/>
  <c r="R94" i="45" s="1"/>
  <c r="Q94" i="45" a="1"/>
  <c r="Q94" i="45" s="1"/>
  <c r="P94" i="45" a="1"/>
  <c r="P94" i="45" s="1"/>
  <c r="O94" i="45" a="1"/>
  <c r="O94" i="45" s="1"/>
  <c r="N94" i="45" a="1"/>
  <c r="N94" i="45" s="1"/>
  <c r="M94" i="45" a="1"/>
  <c r="M94" i="45" s="1"/>
  <c r="L94" i="45" a="1"/>
  <c r="L94" i="45" s="1"/>
  <c r="K94" i="45" a="1"/>
  <c r="K94" i="45" s="1"/>
  <c r="J94" i="45" a="1"/>
  <c r="J94" i="45" s="1"/>
  <c r="I94" i="45" a="1"/>
  <c r="I94" i="45" s="1"/>
  <c r="H94" i="45" a="1"/>
  <c r="H94" i="45" s="1"/>
  <c r="G94" i="45" a="1"/>
  <c r="G94" i="45" s="1"/>
  <c r="F94" i="45" a="1"/>
  <c r="F94" i="45" s="1"/>
  <c r="E94" i="45" a="1"/>
  <c r="E94" i="45" s="1"/>
  <c r="D94" i="45" a="1"/>
  <c r="D94" i="45" s="1"/>
  <c r="S93" i="45" a="1"/>
  <c r="S93" i="45" s="1"/>
  <c r="R93" i="45" a="1"/>
  <c r="R93" i="45" s="1"/>
  <c r="Q93" i="45" a="1"/>
  <c r="Q93" i="45" s="1"/>
  <c r="P93" i="45" a="1"/>
  <c r="P93" i="45" s="1"/>
  <c r="O93" i="45" a="1"/>
  <c r="O93" i="45" s="1"/>
  <c r="N93" i="45" a="1"/>
  <c r="N93" i="45" s="1"/>
  <c r="M93" i="45" a="1"/>
  <c r="M93" i="45" s="1"/>
  <c r="L93" i="45" a="1"/>
  <c r="L93" i="45" s="1"/>
  <c r="K93" i="45" a="1"/>
  <c r="K93" i="45" s="1"/>
  <c r="J93" i="45" a="1"/>
  <c r="J93" i="45" s="1"/>
  <c r="I93" i="45" a="1"/>
  <c r="I93" i="45" s="1"/>
  <c r="H93" i="45" a="1"/>
  <c r="H93" i="45" s="1"/>
  <c r="G93" i="45" a="1"/>
  <c r="G93" i="45" s="1"/>
  <c r="F93" i="45" a="1"/>
  <c r="F93" i="45" s="1"/>
  <c r="E93" i="45" a="1"/>
  <c r="E93" i="45" s="1"/>
  <c r="D93" i="45" a="1"/>
  <c r="D93" i="45" s="1"/>
  <c r="S92" i="45" a="1"/>
  <c r="S92" i="45" s="1"/>
  <c r="R92" i="45" a="1"/>
  <c r="R92" i="45" s="1"/>
  <c r="Q92" i="45" a="1"/>
  <c r="Q92" i="45" s="1"/>
  <c r="P92" i="45" a="1"/>
  <c r="P92" i="45" s="1"/>
  <c r="O92" i="45" a="1"/>
  <c r="O92" i="45" s="1"/>
  <c r="N92" i="45" a="1"/>
  <c r="N92" i="45" s="1"/>
  <c r="M92" i="45" a="1"/>
  <c r="M92" i="45" s="1"/>
  <c r="L92" i="45" a="1"/>
  <c r="L92" i="45" s="1"/>
  <c r="K92" i="45" a="1"/>
  <c r="K92" i="45" s="1"/>
  <c r="J92" i="45" a="1"/>
  <c r="J92" i="45" s="1"/>
  <c r="I92" i="45" a="1"/>
  <c r="I92" i="45" s="1"/>
  <c r="H92" i="45" a="1"/>
  <c r="H92" i="45" s="1"/>
  <c r="G92" i="45" a="1"/>
  <c r="G92" i="45" s="1"/>
  <c r="F92" i="45" a="1"/>
  <c r="F92" i="45" s="1"/>
  <c r="E92" i="45" a="1"/>
  <c r="E92" i="45" s="1"/>
  <c r="D92" i="45" a="1"/>
  <c r="D92" i="45" s="1"/>
  <c r="S91" i="45" a="1"/>
  <c r="S91" i="45" s="1"/>
  <c r="R91" i="45" a="1"/>
  <c r="R91" i="45" s="1"/>
  <c r="Q91" i="45" a="1"/>
  <c r="Q91" i="45" s="1"/>
  <c r="P91" i="45" a="1"/>
  <c r="P91" i="45" s="1"/>
  <c r="O91" i="45" a="1"/>
  <c r="O91" i="45" s="1"/>
  <c r="N91" i="45" a="1"/>
  <c r="N91" i="45" s="1"/>
  <c r="M91" i="45" a="1"/>
  <c r="M91" i="45" s="1"/>
  <c r="L91" i="45" a="1"/>
  <c r="L91" i="45" s="1"/>
  <c r="K91" i="45" a="1"/>
  <c r="K91" i="45" s="1"/>
  <c r="J91" i="45" a="1"/>
  <c r="J91" i="45" s="1"/>
  <c r="I91" i="45" a="1"/>
  <c r="I91" i="45" s="1"/>
  <c r="H91" i="45" a="1"/>
  <c r="H91" i="45" s="1"/>
  <c r="G91" i="45" a="1"/>
  <c r="G91" i="45" s="1"/>
  <c r="F91" i="45" a="1"/>
  <c r="F91" i="45" s="1"/>
  <c r="E91" i="45" a="1"/>
  <c r="E91" i="45" s="1"/>
  <c r="D91" i="45" a="1"/>
  <c r="D91" i="45" s="1"/>
  <c r="S90" i="45" a="1"/>
  <c r="S90" i="45" s="1"/>
  <c r="R90" i="45" a="1"/>
  <c r="R90" i="45" s="1"/>
  <c r="Q90" i="45" a="1"/>
  <c r="Q90" i="45" s="1"/>
  <c r="P90" i="45" a="1"/>
  <c r="P90" i="45" s="1"/>
  <c r="O90" i="45" a="1"/>
  <c r="O90" i="45" s="1"/>
  <c r="N90" i="45" a="1"/>
  <c r="N90" i="45" s="1"/>
  <c r="M90" i="45" a="1"/>
  <c r="M90" i="45" s="1"/>
  <c r="L90" i="45" a="1"/>
  <c r="L90" i="45" s="1"/>
  <c r="K90" i="45" a="1"/>
  <c r="K90" i="45" s="1"/>
  <c r="J90" i="45" a="1"/>
  <c r="J90" i="45" s="1"/>
  <c r="I90" i="45" a="1"/>
  <c r="I90" i="45" s="1"/>
  <c r="H90" i="45" a="1"/>
  <c r="H90" i="45" s="1"/>
  <c r="G90" i="45" a="1"/>
  <c r="G90" i="45" s="1"/>
  <c r="F90" i="45" a="1"/>
  <c r="F90" i="45" s="1"/>
  <c r="E90" i="45" a="1"/>
  <c r="E90" i="45" s="1"/>
  <c r="D90" i="45" a="1"/>
  <c r="D90" i="45" s="1"/>
  <c r="D83" i="45" a="1"/>
  <c r="D83" i="45" s="1"/>
  <c r="D82" i="45" a="1"/>
  <c r="D82" i="45" s="1"/>
  <c r="D81" i="45"/>
  <c r="D81" i="45" a="1"/>
  <c r="E77" i="45" a="1"/>
  <c r="E77" i="45" s="1"/>
  <c r="D77" i="45" a="1"/>
  <c r="D77" i="45" s="1"/>
  <c r="E76" i="45" a="1"/>
  <c r="E76" i="45" s="1"/>
  <c r="D76" i="45" a="1"/>
  <c r="D76" i="45" s="1"/>
  <c r="E75" i="45" a="1"/>
  <c r="E75" i="45" s="1"/>
  <c r="D75" i="45" a="1"/>
  <c r="D75" i="45" s="1"/>
  <c r="E74" i="45" a="1"/>
  <c r="E74" i="45" s="1"/>
  <c r="D74" i="45" a="1"/>
  <c r="D74" i="45" s="1"/>
  <c r="E73" i="45" a="1"/>
  <c r="E73" i="45" s="1"/>
  <c r="D73" i="45" a="1"/>
  <c r="D73" i="45" s="1"/>
  <c r="E72" i="45" a="1"/>
  <c r="E72" i="45" s="1"/>
  <c r="D72" i="45" a="1"/>
  <c r="D72" i="45" s="1"/>
  <c r="E71" i="45" a="1"/>
  <c r="E71" i="45" s="1"/>
  <c r="D71" i="45" a="1"/>
  <c r="D71" i="45" s="1"/>
  <c r="E70" i="45" a="1"/>
  <c r="E70" i="45" s="1"/>
  <c r="D70" i="45" a="1"/>
  <c r="D70" i="45" s="1"/>
  <c r="E69" i="45" a="1"/>
  <c r="E69" i="45" s="1"/>
  <c r="D69" i="45" a="1"/>
  <c r="D69" i="45" s="1"/>
  <c r="E68" i="45" a="1"/>
  <c r="E68" i="45" s="1"/>
  <c r="D68" i="45" a="1"/>
  <c r="D68" i="45" s="1"/>
  <c r="E67" i="45" a="1"/>
  <c r="E67" i="45" s="1"/>
  <c r="D67" i="45" a="1"/>
  <c r="D67" i="45" s="1"/>
  <c r="E66" i="45" a="1"/>
  <c r="E66" i="45" s="1"/>
  <c r="D66" i="45" a="1"/>
  <c r="D66" i="45" s="1"/>
  <c r="E65" i="45" a="1"/>
  <c r="E65" i="45" s="1"/>
  <c r="D65" i="45" a="1"/>
  <c r="D65" i="45" s="1"/>
  <c r="E64" i="45" a="1"/>
  <c r="E64" i="45" s="1"/>
  <c r="D64" i="45" a="1"/>
  <c r="D64" i="45" s="1"/>
  <c r="D59" i="45" a="1"/>
  <c r="D59" i="45" s="1"/>
  <c r="D58" i="45" a="1"/>
  <c r="D58" i="45" s="1"/>
  <c r="D57" i="45"/>
  <c r="D57" i="45" a="1"/>
  <c r="G54" i="45" a="1"/>
  <c r="G54" i="45" s="1"/>
  <c r="F54" i="45" a="1"/>
  <c r="F54" i="45" s="1"/>
  <c r="E54" i="45" a="1"/>
  <c r="E54" i="45" s="1"/>
  <c r="D54" i="45" a="1"/>
  <c r="D54" i="45" s="1"/>
  <c r="G53" i="45" a="1"/>
  <c r="G53" i="45" s="1"/>
  <c r="F53" i="45" a="1"/>
  <c r="F53" i="45" s="1"/>
  <c r="E53" i="45" a="1"/>
  <c r="E53" i="45" s="1"/>
  <c r="D53" i="45" a="1"/>
  <c r="D53" i="45" s="1"/>
  <c r="G52" i="45" a="1"/>
  <c r="G52" i="45" s="1"/>
  <c r="F52" i="45" a="1"/>
  <c r="F52" i="45" s="1"/>
  <c r="E52" i="45" a="1"/>
  <c r="E52" i="45" s="1"/>
  <c r="D52" i="45" a="1"/>
  <c r="D52" i="45" s="1"/>
  <c r="G51" i="45" a="1"/>
  <c r="G51" i="45" s="1"/>
  <c r="F51" i="45" a="1"/>
  <c r="F51" i="45" s="1"/>
  <c r="E51" i="45" a="1"/>
  <c r="E51" i="45" s="1"/>
  <c r="D51" i="45" a="1"/>
  <c r="D51" i="45" s="1"/>
  <c r="G50" i="45" a="1"/>
  <c r="G50" i="45" s="1"/>
  <c r="F50" i="45" a="1"/>
  <c r="F50" i="45" s="1"/>
  <c r="E50" i="45" a="1"/>
  <c r="E50" i="45" s="1"/>
  <c r="D50" i="45" a="1"/>
  <c r="D50" i="45" s="1"/>
  <c r="G49" i="45" a="1"/>
  <c r="G49" i="45" s="1"/>
  <c r="F49" i="45" a="1"/>
  <c r="F49" i="45" s="1"/>
  <c r="E49" i="45" a="1"/>
  <c r="E49" i="45" s="1"/>
  <c r="D49" i="45" a="1"/>
  <c r="D49" i="45" s="1"/>
  <c r="G48" i="45" a="1"/>
  <c r="G48" i="45" s="1"/>
  <c r="F48" i="45" a="1"/>
  <c r="F48" i="45" s="1"/>
  <c r="E48" i="45" a="1"/>
  <c r="E48" i="45" s="1"/>
  <c r="D48" i="45" a="1"/>
  <c r="D48" i="45" s="1"/>
  <c r="D46" i="45" a="1"/>
  <c r="D46" i="45" s="1"/>
  <c r="D45" i="45" a="1"/>
  <c r="D45" i="45" s="1"/>
  <c r="E43" i="45" a="1"/>
  <c r="E43" i="45" s="1"/>
  <c r="D43" i="45" a="1"/>
  <c r="D43" i="45" s="1"/>
  <c r="E42" i="45" a="1"/>
  <c r="E42" i="45" s="1"/>
  <c r="D42" i="45" a="1"/>
  <c r="D42" i="45" s="1"/>
  <c r="E41" i="45" a="1"/>
  <c r="E41" i="45" s="1"/>
  <c r="D41" i="45" a="1"/>
  <c r="D41" i="45" s="1"/>
  <c r="E40" i="45" a="1"/>
  <c r="E40" i="45" s="1"/>
  <c r="D40" i="45" a="1"/>
  <c r="D40" i="45" s="1"/>
  <c r="E39" i="45" a="1"/>
  <c r="E39" i="45" s="1"/>
  <c r="D39" i="45" a="1"/>
  <c r="D39" i="45" s="1"/>
  <c r="E38" i="45" a="1"/>
  <c r="E38" i="45" s="1"/>
  <c r="D38" i="45" a="1"/>
  <c r="D38" i="45" s="1"/>
  <c r="E37" i="45" a="1"/>
  <c r="E37" i="45" s="1"/>
  <c r="D37" i="45" a="1"/>
  <c r="D37" i="45" s="1"/>
  <c r="D35" i="45" a="1"/>
  <c r="D35" i="45" s="1"/>
  <c r="D34" i="45" a="1"/>
  <c r="D34" i="45" s="1"/>
  <c r="D30" i="45" a="1"/>
  <c r="D30" i="45" s="1"/>
  <c r="D29" i="45" a="1"/>
  <c r="D29" i="45" s="1"/>
  <c r="D28" i="45" a="1"/>
  <c r="D28" i="45" s="1"/>
  <c r="D27" i="45" a="1"/>
  <c r="D27" i="45" s="1"/>
  <c r="D26" i="45" a="1"/>
  <c r="D26" i="45" s="1"/>
  <c r="D25" i="45" a="1"/>
  <c r="D25" i="45" s="1"/>
  <c r="D24" i="45" a="1"/>
  <c r="D24" i="45" s="1"/>
  <c r="D23" i="45" a="1"/>
  <c r="D23" i="45" s="1"/>
  <c r="D22" i="45" a="1"/>
  <c r="D22" i="45" s="1"/>
  <c r="D21" i="45" a="1"/>
  <c r="D21" i="45" s="1"/>
  <c r="D19" i="45" a="1"/>
  <c r="D19" i="45" s="1"/>
  <c r="D18" i="45" a="1"/>
  <c r="D18" i="45" s="1"/>
  <c r="F14" i="45" a="1"/>
  <c r="F14" i="45" s="1"/>
  <c r="E14" i="45" a="1"/>
  <c r="E14" i="45" s="1"/>
  <c r="D14" i="45" a="1"/>
  <c r="D14" i="45" s="1"/>
  <c r="F13" i="45" a="1"/>
  <c r="F13" i="45" s="1"/>
  <c r="E13" i="45" a="1"/>
  <c r="E13" i="45" s="1"/>
  <c r="D13" i="45" a="1"/>
  <c r="D13" i="45" s="1"/>
  <c r="F12" i="45" a="1"/>
  <c r="F12" i="45" s="1"/>
  <c r="E12" i="45" a="1"/>
  <c r="E12" i="45" s="1"/>
  <c r="D12" i="45" a="1"/>
  <c r="D12" i="45" s="1"/>
  <c r="F11" i="45" a="1"/>
  <c r="F11" i="45" s="1"/>
  <c r="E11" i="45" a="1"/>
  <c r="E11" i="45" s="1"/>
  <c r="D11" i="45" a="1"/>
  <c r="D11" i="45" s="1"/>
  <c r="F10" i="45" a="1"/>
  <c r="F10" i="45" s="1"/>
  <c r="E10" i="45" a="1"/>
  <c r="E10" i="45" s="1"/>
  <c r="D10" i="45" a="1"/>
  <c r="D10" i="45" s="1"/>
  <c r="F9" i="45" a="1"/>
  <c r="F9" i="45" s="1"/>
  <c r="E9" i="45" a="1"/>
  <c r="E9" i="45" s="1"/>
  <c r="D9" i="45" a="1"/>
  <c r="D9" i="45" s="1"/>
  <c r="F8" i="45" a="1"/>
  <c r="F8" i="45" s="1"/>
  <c r="E8" i="45" a="1"/>
  <c r="E8" i="45" s="1"/>
  <c r="D8" i="45" a="1"/>
  <c r="D8" i="45" s="1"/>
  <c r="F7" i="45" a="1"/>
  <c r="F7" i="45" s="1"/>
  <c r="E7" i="45" a="1"/>
  <c r="E7" i="45" s="1"/>
  <c r="D7" i="45" a="1"/>
  <c r="D7" i="45" s="1"/>
  <c r="D5" i="45" a="1"/>
  <c r="D5" i="45" s="1"/>
  <c r="E36" i="41"/>
  <c r="D36" i="41"/>
  <c r="E35" i="41"/>
  <c r="D35" i="41"/>
  <c r="E28" i="41"/>
  <c r="D28" i="41"/>
  <c r="D27" i="41"/>
  <c r="D26" i="41"/>
  <c r="D25" i="41"/>
  <c r="D24" i="41"/>
  <c r="E22" i="41"/>
  <c r="D14" i="41"/>
  <c r="D13" i="41"/>
  <c r="D12" i="41"/>
  <c r="D11" i="41"/>
  <c r="H50" i="45" l="1"/>
  <c r="H53" i="45"/>
  <c r="H51" i="45"/>
  <c r="H49" i="45"/>
  <c r="H54" i="45"/>
  <c r="H52" i="45"/>
  <c r="H48" i="45"/>
  <c r="H175" i="13"/>
  <c r="H174" i="13"/>
  <c r="H173" i="13"/>
  <c r="H172" i="13"/>
  <c r="H171" i="13"/>
  <c r="H170" i="13"/>
  <c r="H169" i="13"/>
  <c r="H168" i="13"/>
  <c r="H167" i="13"/>
  <c r="H166" i="13"/>
  <c r="J634" i="19" a="1"/>
  <c r="J634" i="19" s="1"/>
  <c r="J633" i="19" a="1"/>
  <c r="J633" i="19" s="1"/>
  <c r="J632" i="19" a="1"/>
  <c r="J632" i="19" s="1"/>
  <c r="J631" i="19" a="1"/>
  <c r="J631" i="19" s="1"/>
  <c r="J630" i="19" a="1"/>
  <c r="J630" i="19" s="1"/>
  <c r="J629" i="19" a="1"/>
  <c r="J629" i="19" s="1"/>
  <c r="J628" i="19" a="1"/>
  <c r="J628" i="19" s="1"/>
  <c r="J627" i="19" a="1"/>
  <c r="J627" i="19" s="1"/>
  <c r="J626" i="19" a="1"/>
  <c r="J626" i="19" s="1"/>
  <c r="J625" i="19" a="1"/>
  <c r="J625" i="19" s="1"/>
  <c r="J616" i="19" a="1"/>
  <c r="J616" i="19" s="1"/>
  <c r="J615" i="19" a="1"/>
  <c r="J615" i="19" s="1"/>
  <c r="J614" i="19" a="1"/>
  <c r="J614" i="19" s="1"/>
  <c r="J613" i="19" a="1"/>
  <c r="J613" i="19" s="1"/>
  <c r="J612" i="19" a="1"/>
  <c r="J612" i="19" s="1"/>
  <c r="J611" i="19" a="1"/>
  <c r="J611" i="19" s="1"/>
  <c r="J610" i="19" a="1"/>
  <c r="J610" i="19" s="1"/>
  <c r="J609" i="19" a="1"/>
  <c r="J609" i="19" s="1"/>
  <c r="J608" i="19" a="1"/>
  <c r="J608" i="19" s="1"/>
  <c r="J607" i="19" a="1"/>
  <c r="J607" i="19" s="1"/>
  <c r="F625" i="19" a="1"/>
  <c r="F625" i="19" s="1"/>
  <c r="E625" i="19" a="1"/>
  <c r="E625" i="19" s="1"/>
  <c r="D625" i="19" a="1"/>
  <c r="D625" i="19" s="1"/>
  <c r="F607" i="19" a="1"/>
  <c r="F607" i="19" s="1"/>
  <c r="E607" i="19" a="1"/>
  <c r="E607" i="19" s="1"/>
  <c r="D607" i="19" a="1"/>
  <c r="D607" i="19" s="1"/>
  <c r="G599" i="19" a="1"/>
  <c r="G599" i="19" s="1"/>
  <c r="D599" i="19" a="1"/>
  <c r="D599" i="19" s="1"/>
  <c r="E597" i="19" a="1"/>
  <c r="E597" i="19" s="1"/>
  <c r="E596" i="19" a="1"/>
  <c r="E596" i="19" s="1"/>
  <c r="D591" i="19" a="1"/>
  <c r="D591" i="19" s="1"/>
  <c r="D590" i="19" a="1"/>
  <c r="D590" i="19" s="1"/>
  <c r="E592" i="19" a="1"/>
  <c r="E637" i="19" l="1"/>
  <c r="F36" i="41" s="1"/>
  <c r="D34" i="41" a="1"/>
  <c r="D34" i="41" s="1"/>
  <c r="E619" i="19"/>
  <c r="F35" i="41" s="1"/>
  <c r="E592" i="19"/>
  <c r="E584" i="19" a="1"/>
  <c r="E584" i="19" s="1"/>
  <c r="F586" i="19" s="1"/>
  <c r="E583" i="19" a="1"/>
  <c r="E583" i="19" s="1"/>
  <c r="D581" i="19" a="1"/>
  <c r="D581" i="19" s="1"/>
  <c r="D580" i="19" a="1"/>
  <c r="D580" i="19" s="1"/>
  <c r="A136" i="38"/>
  <c r="A109" i="38"/>
  <c r="H77" i="38" a="1"/>
  <c r="H77" i="38" s="1"/>
  <c r="D77" i="38" a="1"/>
  <c r="D77" i="38" s="1"/>
  <c r="E75" i="38" a="1"/>
  <c r="E75" i="38" s="1"/>
  <c r="E74" i="38" a="1"/>
  <c r="E74" i="38" s="1"/>
  <c r="D70" i="38" a="1"/>
  <c r="D70" i="38" s="1"/>
  <c r="D69" i="38" a="1"/>
  <c r="D69" i="38" s="1"/>
  <c r="D68" i="38" a="1"/>
  <c r="D68" i="38" s="1"/>
  <c r="A66" i="38"/>
  <c r="J16" i="38" a="1"/>
  <c r="J16" i="38" s="1"/>
  <c r="I16" i="38" a="1"/>
  <c r="I16" i="38" s="1"/>
  <c r="J15" i="38" a="1"/>
  <c r="J15" i="38" s="1"/>
  <c r="I15" i="38" a="1"/>
  <c r="I15" i="38" s="1"/>
  <c r="A15" i="38"/>
  <c r="J14" i="38" a="1"/>
  <c r="J14" i="38" s="1"/>
  <c r="I14" i="38" a="1"/>
  <c r="I14" i="38" s="1"/>
  <c r="A14" i="38"/>
  <c r="J13" i="38" a="1"/>
  <c r="J13" i="38" s="1"/>
  <c r="I13" i="38" a="1"/>
  <c r="I13" i="38" s="1"/>
  <c r="G13" i="38" a="1"/>
  <c r="G13" i="38" s="1"/>
  <c r="D13" i="38" a="1"/>
  <c r="D13" i="38" s="1"/>
  <c r="E11" i="38" a="1"/>
  <c r="E11" i="38" s="1"/>
  <c r="A11" i="38"/>
  <c r="E10" i="38" a="1"/>
  <c r="E10" i="38" s="1"/>
  <c r="A8" i="38"/>
  <c r="D6" i="38" a="1"/>
  <c r="D6" i="38" s="1"/>
  <c r="D5" i="38" a="1"/>
  <c r="D5" i="38" s="1"/>
  <c r="A5" i="38"/>
  <c r="A4" i="38"/>
  <c r="A3" i="38"/>
  <c r="A77" i="36"/>
  <c r="A49" i="36"/>
  <c r="E48" i="36" a="1"/>
  <c r="E48" i="36" s="1"/>
  <c r="D48" i="36" a="1"/>
  <c r="D48" i="36" s="1"/>
  <c r="E47" i="36" a="1"/>
  <c r="E47" i="36" s="1"/>
  <c r="D47" i="36" a="1"/>
  <c r="D47" i="36" s="1"/>
  <c r="E46" i="36" a="1"/>
  <c r="E46" i="36" s="1"/>
  <c r="D46" i="36" a="1"/>
  <c r="D46" i="36" s="1"/>
  <c r="E45" i="36" a="1"/>
  <c r="E45" i="36" s="1"/>
  <c r="D45" i="36" a="1"/>
  <c r="D45" i="36" s="1"/>
  <c r="E44" i="36" a="1"/>
  <c r="E44" i="36" s="1"/>
  <c r="D44" i="36" a="1"/>
  <c r="D44" i="36" s="1"/>
  <c r="E43" i="36" a="1"/>
  <c r="E43" i="36" s="1"/>
  <c r="D43" i="36" a="1"/>
  <c r="D43" i="36" s="1"/>
  <c r="E42" i="36" a="1"/>
  <c r="E42" i="36" s="1"/>
  <c r="D42" i="36" a="1"/>
  <c r="D42" i="36" s="1"/>
  <c r="E41" i="36" a="1"/>
  <c r="E41" i="36" s="1"/>
  <c r="D41" i="36" a="1"/>
  <c r="D41" i="36" s="1"/>
  <c r="E40" i="36" a="1"/>
  <c r="E40" i="36" s="1"/>
  <c r="D40" i="36" a="1"/>
  <c r="D40" i="36" s="1"/>
  <c r="E39" i="36" a="1"/>
  <c r="E39" i="36" s="1"/>
  <c r="D39" i="36" a="1"/>
  <c r="D39" i="36" s="1"/>
  <c r="E38" i="36" a="1"/>
  <c r="E38" i="36" s="1"/>
  <c r="D38" i="36" a="1"/>
  <c r="D38" i="36" s="1"/>
  <c r="D36" i="36" a="1"/>
  <c r="D36" i="36" s="1"/>
  <c r="D35" i="36" a="1"/>
  <c r="D35" i="36" s="1"/>
  <c r="D34" i="36" a="1"/>
  <c r="D34" i="36" s="1"/>
  <c r="D33" i="36" a="1"/>
  <c r="D33" i="36" s="1"/>
  <c r="D32" i="36" a="1"/>
  <c r="D32" i="36" s="1"/>
  <c r="G29" i="36" a="1"/>
  <c r="G29" i="36" s="1"/>
  <c r="F29" i="36" a="1"/>
  <c r="F29" i="36" s="1"/>
  <c r="E29" i="36" a="1"/>
  <c r="E29" i="36" s="1"/>
  <c r="O10" i="36" s="1"/>
  <c r="D29" i="36" a="1"/>
  <c r="D29" i="36" s="1"/>
  <c r="G28" i="36" a="1"/>
  <c r="G28" i="36" s="1"/>
  <c r="F28" i="36" a="1"/>
  <c r="F28" i="36" s="1"/>
  <c r="E28" i="36" a="1"/>
  <c r="E28" i="36" s="1"/>
  <c r="M10" i="36" s="1"/>
  <c r="D28" i="36" a="1"/>
  <c r="D28" i="36" s="1"/>
  <c r="G27" i="36" a="1"/>
  <c r="G27" i="36" s="1"/>
  <c r="F27" i="36" a="1"/>
  <c r="F27" i="36" s="1"/>
  <c r="E27" i="36" a="1"/>
  <c r="E27" i="36" s="1"/>
  <c r="K16" i="36" s="1"/>
  <c r="D27" i="36" a="1"/>
  <c r="D27" i="36" s="1"/>
  <c r="G26" i="36" a="1"/>
  <c r="G26" i="36" s="1"/>
  <c r="F26" i="36" a="1"/>
  <c r="F26" i="36" s="1"/>
  <c r="E26" i="36" a="1"/>
  <c r="E26" i="36" s="1"/>
  <c r="K15" i="36" s="1"/>
  <c r="D26" i="36" a="1"/>
  <c r="D26" i="36" s="1"/>
  <c r="G25" i="36" a="1"/>
  <c r="G25" i="36" s="1"/>
  <c r="F25" i="36" a="1"/>
  <c r="F25" i="36" s="1"/>
  <c r="E25" i="36" a="1"/>
  <c r="E25" i="36" s="1"/>
  <c r="K14" i="36" s="1"/>
  <c r="D25" i="36" a="1"/>
  <c r="D25" i="36" s="1"/>
  <c r="G24" i="36" a="1"/>
  <c r="G24" i="36" s="1"/>
  <c r="F24" i="36" a="1"/>
  <c r="F24" i="36" s="1"/>
  <c r="E24" i="36" a="1"/>
  <c r="E24" i="36" s="1"/>
  <c r="K13" i="36" s="1"/>
  <c r="D24" i="36" a="1"/>
  <c r="D24" i="36" s="1"/>
  <c r="G23" i="36" a="1"/>
  <c r="G23" i="36" s="1"/>
  <c r="F23" i="36" a="1"/>
  <c r="F23" i="36" s="1"/>
  <c r="E23" i="36" a="1"/>
  <c r="E23" i="36" s="1"/>
  <c r="K12" i="36" s="1"/>
  <c r="D23" i="36" a="1"/>
  <c r="D23" i="36" s="1"/>
  <c r="G22" i="36" a="1"/>
  <c r="G22" i="36" s="1"/>
  <c r="F22" i="36" a="1"/>
  <c r="F22" i="36" s="1"/>
  <c r="E22" i="36" a="1"/>
  <c r="E22" i="36" s="1"/>
  <c r="K11" i="36" s="1"/>
  <c r="D22" i="36" a="1"/>
  <c r="D22" i="36" s="1"/>
  <c r="G21" i="36" a="1"/>
  <c r="G21" i="36" s="1"/>
  <c r="F21" i="36" a="1"/>
  <c r="F21" i="36" s="1"/>
  <c r="E21" i="36" a="1"/>
  <c r="E21" i="36" s="1"/>
  <c r="K10"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I17" i="36" s="1"/>
  <c r="D17" i="36" a="1"/>
  <c r="D17" i="36" s="1"/>
  <c r="G16" i="36" a="1"/>
  <c r="G16" i="36" s="1"/>
  <c r="F16" i="36" a="1"/>
  <c r="F16" i="36" s="1"/>
  <c r="E16" i="36" a="1"/>
  <c r="E16" i="36" s="1"/>
  <c r="I16" i="36" s="1"/>
  <c r="D16" i="36" a="1"/>
  <c r="D16" i="36" s="1"/>
  <c r="G15" i="36" a="1"/>
  <c r="G15" i="36" s="1"/>
  <c r="F15" i="36" a="1"/>
  <c r="F15" i="36" s="1"/>
  <c r="E15" i="36" a="1"/>
  <c r="E15" i="36" s="1"/>
  <c r="I15" i="36" s="1"/>
  <c r="D15" i="36" a="1"/>
  <c r="D15" i="36" s="1"/>
  <c r="A15" i="36"/>
  <c r="G14" i="36" a="1"/>
  <c r="G14" i="36" s="1"/>
  <c r="F14" i="36" a="1"/>
  <c r="F14" i="36" s="1"/>
  <c r="E14" i="36" a="1"/>
  <c r="E14" i="36" s="1"/>
  <c r="I14" i="36" s="1"/>
  <c r="D14" i="36" a="1"/>
  <c r="D14" i="36" s="1"/>
  <c r="A14" i="36"/>
  <c r="G13" i="36" a="1"/>
  <c r="G13" i="36" s="1"/>
  <c r="F13" i="36" a="1"/>
  <c r="F13" i="36" s="1"/>
  <c r="E13" i="36" a="1"/>
  <c r="E13" i="36" s="1"/>
  <c r="I13" i="36" s="1"/>
  <c r="D13" i="36" a="1"/>
  <c r="D13" i="36" s="1"/>
  <c r="G12" i="36" a="1"/>
  <c r="G12" i="36" s="1"/>
  <c r="F12" i="36" a="1"/>
  <c r="F12" i="36" s="1"/>
  <c r="E12" i="36" a="1"/>
  <c r="E12" i="36" s="1"/>
  <c r="I12" i="36" s="1"/>
  <c r="D12" i="36" a="1"/>
  <c r="D12" i="36" s="1"/>
  <c r="G11" i="36" a="1"/>
  <c r="G11" i="36" s="1"/>
  <c r="F11" i="36" a="1"/>
  <c r="F11" i="36" s="1"/>
  <c r="E11" i="36" a="1"/>
  <c r="E11" i="36" s="1"/>
  <c r="I11" i="36" s="1"/>
  <c r="D11" i="36" a="1"/>
  <c r="D11" i="36" s="1"/>
  <c r="A11" i="36"/>
  <c r="G10" i="36" a="1"/>
  <c r="G10" i="36" s="1"/>
  <c r="F10" i="36" a="1"/>
  <c r="F10" i="36" s="1"/>
  <c r="E10" i="36" a="1"/>
  <c r="E10" i="36" s="1"/>
  <c r="I10" i="36" s="1"/>
  <c r="D10" i="36" a="1"/>
  <c r="D10" i="36" s="1"/>
  <c r="D8" i="36" a="1"/>
  <c r="D8" i="36" s="1"/>
  <c r="A8" i="36"/>
  <c r="D7" i="36" a="1"/>
  <c r="D7" i="36" s="1"/>
  <c r="E6" i="36" a="1"/>
  <c r="E6" i="36" s="1"/>
  <c r="D6" i="36" a="1"/>
  <c r="D6" i="36" s="1"/>
  <c r="D5" i="36" a="1"/>
  <c r="D5" i="36" s="1"/>
  <c r="A5" i="36"/>
  <c r="A4" i="36"/>
  <c r="A3" i="36"/>
  <c r="E7" i="38" a="1"/>
  <c r="E71" i="38" a="1"/>
  <c r="D33" i="41" l="1" a="1"/>
  <c r="D33" i="41" s="1"/>
  <c r="E640" i="19"/>
  <c r="F136" i="38"/>
  <c r="F109" i="38"/>
  <c r="D21" i="38" a="1"/>
  <c r="D21" i="38" s="1"/>
  <c r="D115" i="38" a="1"/>
  <c r="D115" i="38" s="1"/>
  <c r="E21" i="38" a="1"/>
  <c r="G102" i="38" s="1" a="1"/>
  <c r="G102" i="38" s="1"/>
  <c r="E45" i="38" a="1"/>
  <c r="D88" i="38" a="1"/>
  <c r="D88" i="38" s="1"/>
  <c r="E88" i="38" a="1"/>
  <c r="E88" i="38" s="1"/>
  <c r="D45" i="38" a="1"/>
  <c r="E115" i="38" a="1"/>
  <c r="E115" i="38" s="1"/>
  <c r="E7" i="38"/>
  <c r="E71" i="38"/>
  <c r="J96" i="38" l="1" a="1"/>
  <c r="J96" i="38" s="1"/>
  <c r="J93" i="38" a="1"/>
  <c r="J93" i="38" s="1"/>
  <c r="J103" i="38" a="1"/>
  <c r="J103" i="38" s="1"/>
  <c r="J89" i="38" a="1"/>
  <c r="J89" i="38" s="1"/>
  <c r="J105" i="38" a="1"/>
  <c r="J105" i="38" s="1"/>
  <c r="J95" i="38" a="1"/>
  <c r="J95" i="38" s="1"/>
  <c r="J98" i="38" a="1"/>
  <c r="J98" i="38" s="1"/>
  <c r="J94" i="38" a="1"/>
  <c r="J94" i="38" s="1"/>
  <c r="J122" i="38" a="1"/>
  <c r="J122" i="38" s="1"/>
  <c r="G23" i="38" a="1"/>
  <c r="G23" i="38" s="1"/>
  <c r="G36" i="38" a="1"/>
  <c r="G36" i="38" s="1"/>
  <c r="G104" i="38" a="1"/>
  <c r="G104" i="38" s="1"/>
  <c r="G33" i="38" a="1"/>
  <c r="G33" i="38" s="1"/>
  <c r="J119" i="38" a="1"/>
  <c r="J119" i="38" s="1"/>
  <c r="J117" i="38" a="1"/>
  <c r="J117" i="38" s="1"/>
  <c r="J124" i="38" a="1"/>
  <c r="J124" i="38" s="1"/>
  <c r="J106" i="38" a="1"/>
  <c r="J106" i="38" s="1"/>
  <c r="J120" i="38" a="1"/>
  <c r="J120" i="38" s="1"/>
  <c r="J128" i="38" a="1"/>
  <c r="J128" i="38" s="1"/>
  <c r="J99" i="38" a="1"/>
  <c r="J99" i="38" s="1"/>
  <c r="G128" i="38" a="1"/>
  <c r="G128" i="38" s="1"/>
  <c r="G39" i="38" a="1"/>
  <c r="G39" i="38" s="1"/>
  <c r="G92" i="38" a="1"/>
  <c r="G92" i="38" s="1"/>
  <c r="G22" i="38" a="1"/>
  <c r="G22" i="38" s="1"/>
  <c r="J130" i="38" a="1"/>
  <c r="J130" i="38" s="1"/>
  <c r="G126" i="38" a="1"/>
  <c r="G126" i="38" s="1"/>
  <c r="G120" i="38" a="1"/>
  <c r="G120" i="38" s="1"/>
  <c r="G40" i="38" a="1"/>
  <c r="G40" i="38" s="1"/>
  <c r="G132" i="38" a="1"/>
  <c r="G132" i="38" s="1"/>
  <c r="J102" i="38" a="1"/>
  <c r="J102" i="38" s="1"/>
  <c r="J107" i="38" a="1"/>
  <c r="J107" i="38" s="1"/>
  <c r="G99" i="38" a="1"/>
  <c r="G99" i="38" s="1"/>
  <c r="G100" i="38" a="1"/>
  <c r="G100" i="38" s="1"/>
  <c r="G122" i="38" a="1"/>
  <c r="G122" i="38" s="1"/>
  <c r="G38" i="38" a="1"/>
  <c r="G38" i="38" s="1"/>
  <c r="J127" i="38" a="1"/>
  <c r="J127" i="38" s="1"/>
  <c r="J134" i="38" a="1"/>
  <c r="J134" i="38" s="1"/>
  <c r="G28" i="38" a="1"/>
  <c r="G28" i="38" s="1"/>
  <c r="G103" i="38" a="1"/>
  <c r="G103" i="38" s="1"/>
  <c r="G107" i="38" a="1"/>
  <c r="G107" i="38" s="1"/>
  <c r="G124" i="38" a="1"/>
  <c r="G124" i="38" s="1"/>
  <c r="J131" i="38" a="1"/>
  <c r="J131" i="38" s="1"/>
  <c r="J90" i="38" a="1"/>
  <c r="J90" i="38" s="1"/>
  <c r="G35" i="38" a="1"/>
  <c r="G35" i="38" s="1"/>
  <c r="G93" i="38" a="1"/>
  <c r="G93" i="38" s="1"/>
  <c r="G91" i="38" a="1"/>
  <c r="G91" i="38" s="1"/>
  <c r="G97" i="38" a="1"/>
  <c r="G97" i="38" s="1"/>
  <c r="E45" i="38"/>
  <c r="H45" i="38" s="1" a="1"/>
  <c r="H45" i="38" s="1"/>
  <c r="H58" i="38" a="1"/>
  <c r="H58" i="38" s="1"/>
  <c r="H54" i="38" a="1"/>
  <c r="H54" i="38" s="1"/>
  <c r="H59" i="38" a="1"/>
  <c r="H59" i="38" s="1"/>
  <c r="H55" i="38" a="1"/>
  <c r="H55" i="38" s="1"/>
  <c r="H64" i="38" a="1"/>
  <c r="H64" i="38" s="1"/>
  <c r="H49" i="38" a="1"/>
  <c r="H49" i="38" s="1"/>
  <c r="H47" i="38" a="1"/>
  <c r="H47" i="38" s="1"/>
  <c r="H53" i="38" a="1"/>
  <c r="H53" i="38" s="1"/>
  <c r="H51" i="38" a="1"/>
  <c r="H51" i="38" s="1"/>
  <c r="H63" i="38" a="1"/>
  <c r="H63" i="38" s="1"/>
  <c r="H61" i="38" a="1"/>
  <c r="H61" i="38" s="1"/>
  <c r="H56" i="38" a="1"/>
  <c r="H56" i="38" s="1"/>
  <c r="H57" i="38" a="1"/>
  <c r="H57" i="38" s="1"/>
  <c r="H62" i="38" a="1"/>
  <c r="H62" i="38" s="1"/>
  <c r="H52" i="38" a="1"/>
  <c r="H52" i="38" s="1"/>
  <c r="H50" i="38" a="1"/>
  <c r="H50" i="38" s="1"/>
  <c r="H48" i="38" a="1"/>
  <c r="H48" i="38" s="1"/>
  <c r="H46" i="38" a="1"/>
  <c r="H46" i="38" s="1"/>
  <c r="H60" i="38" a="1"/>
  <c r="H60" i="38" s="1"/>
  <c r="J104" i="38" a="1"/>
  <c r="J104" i="38" s="1"/>
  <c r="G24" i="38" a="1"/>
  <c r="G24" i="38" s="1"/>
  <c r="G129" i="38" a="1"/>
  <c r="G129" i="38" s="1"/>
  <c r="G37" i="38" a="1"/>
  <c r="G37" i="38" s="1"/>
  <c r="E21" i="38"/>
  <c r="H22" i="38" a="1"/>
  <c r="H22" i="38" s="1"/>
  <c r="H32" i="38" a="1"/>
  <c r="H32" i="38" s="1"/>
  <c r="H29" i="38" a="1"/>
  <c r="H29" i="38" s="1"/>
  <c r="H24" i="38" a="1"/>
  <c r="H24" i="38" s="1"/>
  <c r="H34" i="38" a="1"/>
  <c r="H34" i="38" s="1"/>
  <c r="H26" i="38" a="1"/>
  <c r="H26" i="38" s="1"/>
  <c r="H39" i="38" a="1"/>
  <c r="H39" i="38" s="1"/>
  <c r="H37" i="38" a="1"/>
  <c r="H37" i="38" s="1"/>
  <c r="H28" i="38" a="1"/>
  <c r="H28" i="38" s="1"/>
  <c r="H31" i="38" a="1"/>
  <c r="H31" i="38" s="1"/>
  <c r="H40" i="38" a="1"/>
  <c r="H40" i="38" s="1"/>
  <c r="H36" i="38" a="1"/>
  <c r="H36" i="38" s="1"/>
  <c r="H33" i="38" a="1"/>
  <c r="H33" i="38" s="1"/>
  <c r="H30" i="38" a="1"/>
  <c r="H30" i="38" s="1"/>
  <c r="H27" i="38" a="1"/>
  <c r="H27" i="38" s="1"/>
  <c r="H25" i="38" a="1"/>
  <c r="H25" i="38" s="1"/>
  <c r="H23" i="38" a="1"/>
  <c r="H23" i="38" s="1"/>
  <c r="H35" i="38" a="1"/>
  <c r="H35" i="38" s="1"/>
  <c r="H38" i="38" a="1"/>
  <c r="H38" i="38" s="1"/>
  <c r="J97" i="38" a="1"/>
  <c r="J97" i="38" s="1"/>
  <c r="G119" i="38" a="1"/>
  <c r="G119" i="38" s="1"/>
  <c r="G118" i="38" a="1"/>
  <c r="G118" i="38" s="1"/>
  <c r="G25" i="38" a="1"/>
  <c r="G25" i="38" s="1"/>
  <c r="G89" i="38" a="1"/>
  <c r="G89" i="38" s="1"/>
  <c r="J115" i="38" a="1"/>
  <c r="J115" i="38" s="1"/>
  <c r="J125" i="38" a="1"/>
  <c r="J125" i="38" s="1"/>
  <c r="G134" i="38" a="1"/>
  <c r="G134" i="38" s="1"/>
  <c r="G106" i="38" a="1"/>
  <c r="G106" i="38" s="1"/>
  <c r="G131" i="38" a="1"/>
  <c r="G131" i="38" s="1"/>
  <c r="G27" i="38" a="1"/>
  <c r="G27" i="38" s="1"/>
  <c r="J121" i="38" a="1"/>
  <c r="J121" i="38" s="1"/>
  <c r="G101" i="38" a="1"/>
  <c r="G101" i="38" s="1"/>
  <c r="G29" i="38" a="1"/>
  <c r="G29" i="38" s="1"/>
  <c r="G105" i="38" a="1"/>
  <c r="G105" i="38" s="1"/>
  <c r="G133" i="38" a="1"/>
  <c r="G133" i="38" s="1"/>
  <c r="J132" i="38" a="1"/>
  <c r="J132" i="38" s="1"/>
  <c r="D45" i="38"/>
  <c r="G52" i="38" a="1"/>
  <c r="G52" i="38" s="1"/>
  <c r="G56" i="38" a="1"/>
  <c r="G56" i="38" s="1"/>
  <c r="G61" i="38" a="1"/>
  <c r="G61" i="38" s="1"/>
  <c r="G49" i="38" a="1"/>
  <c r="G49" i="38" s="1"/>
  <c r="G62" i="38" a="1"/>
  <c r="G62" i="38" s="1"/>
  <c r="G54" i="38" a="1"/>
  <c r="G54" i="38" s="1"/>
  <c r="G59" i="38" a="1"/>
  <c r="G59" i="38" s="1"/>
  <c r="G48" i="38" a="1"/>
  <c r="G48" i="38" s="1"/>
  <c r="G47" i="38" a="1"/>
  <c r="G47" i="38" s="1"/>
  <c r="G64" i="38" a="1"/>
  <c r="G64" i="38" s="1"/>
  <c r="G57" i="38" a="1"/>
  <c r="G57" i="38" s="1"/>
  <c r="G63" i="38" a="1"/>
  <c r="G63" i="38" s="1"/>
  <c r="G53" i="38" a="1"/>
  <c r="G53" i="38" s="1"/>
  <c r="G51" i="38" a="1"/>
  <c r="G51" i="38" s="1"/>
  <c r="G46" i="38" a="1"/>
  <c r="G46" i="38" s="1"/>
  <c r="G55" i="38" a="1"/>
  <c r="G55" i="38" s="1"/>
  <c r="G60" i="38" a="1"/>
  <c r="G60" i="38" s="1"/>
  <c r="G50" i="38" a="1"/>
  <c r="G50" i="38" s="1"/>
  <c r="G58" i="38" a="1"/>
  <c r="G58" i="38" s="1"/>
  <c r="J129" i="38" a="1"/>
  <c r="J129" i="38" s="1"/>
  <c r="J118" i="38" a="1"/>
  <c r="J118" i="38" s="1"/>
  <c r="J92" i="38" a="1"/>
  <c r="J92" i="38" s="1"/>
  <c r="J101" i="38" a="1"/>
  <c r="J101" i="38" s="1"/>
  <c r="G31" i="38" a="1"/>
  <c r="G31" i="38" s="1"/>
  <c r="G121" i="38" a="1"/>
  <c r="G121" i="38" s="1"/>
  <c r="G26" i="38" a="1"/>
  <c r="G26" i="38" s="1"/>
  <c r="G98" i="38" a="1"/>
  <c r="G98" i="38" s="1"/>
  <c r="J116" i="38" a="1"/>
  <c r="J116" i="38" s="1"/>
  <c r="G127" i="38" a="1"/>
  <c r="G127" i="38" s="1"/>
  <c r="G94" i="38" a="1"/>
  <c r="G94" i="38" s="1"/>
  <c r="G123" i="38" a="1"/>
  <c r="G123" i="38" s="1"/>
  <c r="G34" i="38" a="1"/>
  <c r="G34" i="38" s="1"/>
  <c r="G116" i="38" a="1"/>
  <c r="G116" i="38" s="1"/>
  <c r="G95" i="38" a="1"/>
  <c r="G95" i="38" s="1"/>
  <c r="G30" i="38" a="1"/>
  <c r="G30" i="38" s="1"/>
  <c r="G96" i="38" a="1"/>
  <c r="G96" i="38" s="1"/>
  <c r="G125" i="38" a="1"/>
  <c r="G125" i="38" s="1"/>
  <c r="J133" i="38" a="1"/>
  <c r="J133" i="38" s="1"/>
  <c r="J123" i="38" a="1"/>
  <c r="J123" i="38" s="1"/>
  <c r="J100" i="38" a="1"/>
  <c r="J100" i="38" s="1"/>
  <c r="J91" i="38" a="1"/>
  <c r="J91" i="38" s="1"/>
  <c r="J88" i="38" a="1"/>
  <c r="J88" i="38" s="1"/>
  <c r="J126" i="38" a="1"/>
  <c r="J126" i="38" s="1"/>
  <c r="G90" i="38" a="1"/>
  <c r="G90" i="38" s="1"/>
  <c r="G32" i="38" a="1"/>
  <c r="G32" i="38" s="1"/>
  <c r="G130" i="38" a="1"/>
  <c r="G130" i="38" s="1"/>
  <c r="G117" i="38" a="1"/>
  <c r="G117" i="38" s="1"/>
  <c r="I32" i="38" l="1" a="1"/>
  <c r="I32" i="38" s="1"/>
  <c r="H99" i="38" s="1"/>
  <c r="I99" i="38" s="1"/>
  <c r="K99" i="38" s="1" a="1"/>
  <c r="K99" i="38" s="1"/>
  <c r="I56" i="38" a="1"/>
  <c r="I56" i="38" s="1"/>
  <c r="H126" i="38" s="1"/>
  <c r="I61" i="38" a="1"/>
  <c r="I61" i="38" s="1"/>
  <c r="H131" i="38" s="1"/>
  <c r="I35" i="38" a="1"/>
  <c r="I35" i="38" s="1"/>
  <c r="H102" i="38" s="1"/>
  <c r="I102" i="38" s="1"/>
  <c r="K102" i="38" s="1" a="1"/>
  <c r="K102" i="38" s="1"/>
  <c r="I60" i="38" a="1"/>
  <c r="I60" i="38" s="1"/>
  <c r="H130" i="38" s="1"/>
  <c r="I130" i="38" s="1"/>
  <c r="K130" i="38" s="1" a="1"/>
  <c r="K130" i="38" s="1"/>
  <c r="I26" i="38" a="1"/>
  <c r="I26" i="38" s="1"/>
  <c r="H93" i="38" s="1"/>
  <c r="I93" i="38" s="1"/>
  <c r="K93" i="38" s="1" a="1"/>
  <c r="K93" i="38" s="1"/>
  <c r="I39" i="38" a="1"/>
  <c r="I39" i="38" s="1"/>
  <c r="H106" i="38" s="1"/>
  <c r="I106" i="38" s="1"/>
  <c r="K106" i="38" s="1" a="1"/>
  <c r="K106" i="38" s="1"/>
  <c r="I27" i="38" a="1"/>
  <c r="I27" i="38" s="1"/>
  <c r="H94" i="38" s="1"/>
  <c r="I94" i="38" s="1"/>
  <c r="K94" i="38" s="1" a="1"/>
  <c r="K94" i="38" s="1"/>
  <c r="I62" i="38" a="1"/>
  <c r="I62" i="38" s="1"/>
  <c r="H132" i="38" s="1"/>
  <c r="I132" i="38" s="1"/>
  <c r="K132" i="38" s="1" a="1"/>
  <c r="K132" i="38" s="1"/>
  <c r="I36" i="38" a="1"/>
  <c r="I36" i="38" s="1"/>
  <c r="H103" i="38" s="1"/>
  <c r="I103" i="38" s="1"/>
  <c r="K103" i="38" s="1" a="1"/>
  <c r="K103" i="38" s="1"/>
  <c r="I126" i="38"/>
  <c r="K126" i="38" s="1" a="1"/>
  <c r="K126" i="38" s="1"/>
  <c r="I49" i="38" a="1"/>
  <c r="I49" i="38" s="1"/>
  <c r="H119" i="38" s="1"/>
  <c r="I119" i="38" s="1"/>
  <c r="K119" i="38" s="1" a="1"/>
  <c r="K119" i="38" s="1"/>
  <c r="I64" i="38" a="1"/>
  <c r="I64" i="38" s="1"/>
  <c r="H134" i="38" s="1"/>
  <c r="I134" i="38" s="1"/>
  <c r="K134" i="38" s="1" a="1"/>
  <c r="K134" i="38" s="1"/>
  <c r="I22" i="38" a="1"/>
  <c r="I22" i="38" s="1"/>
  <c r="H89" i="38" s="1"/>
  <c r="I89" i="38" s="1"/>
  <c r="K89" i="38" s="1" a="1"/>
  <c r="K89" i="38" s="1"/>
  <c r="I63" i="38" a="1"/>
  <c r="I63" i="38" s="1"/>
  <c r="H133" i="38" s="1"/>
  <c r="I133" i="38" s="1"/>
  <c r="K133" i="38" s="1" a="1"/>
  <c r="K133" i="38" s="1"/>
  <c r="I54" i="38" a="1"/>
  <c r="I54" i="38" s="1"/>
  <c r="H124" i="38" s="1"/>
  <c r="I124" i="38" s="1"/>
  <c r="K124" i="38" s="1" a="1"/>
  <c r="K124" i="38" s="1"/>
  <c r="I30" i="38" a="1"/>
  <c r="I30" i="38" s="1"/>
  <c r="H97" i="38" s="1"/>
  <c r="I97" i="38" s="1"/>
  <c r="K97" i="38" s="1" a="1"/>
  <c r="K97" i="38" s="1"/>
  <c r="I24" i="38" a="1"/>
  <c r="I24" i="38" s="1"/>
  <c r="H91" i="38" s="1"/>
  <c r="I91" i="38" s="1"/>
  <c r="K91" i="38" s="1" a="1"/>
  <c r="K91" i="38" s="1"/>
  <c r="I38" i="38" a="1"/>
  <c r="I38" i="38" s="1"/>
  <c r="H105" i="38" s="1"/>
  <c r="I105" i="38" s="1"/>
  <c r="K105" i="38" s="1" a="1"/>
  <c r="K105" i="38" s="1"/>
  <c r="I46" i="38" a="1"/>
  <c r="I46" i="38" s="1"/>
  <c r="H116" i="38" s="1"/>
  <c r="I116" i="38" s="1"/>
  <c r="K116" i="38" s="1" a="1"/>
  <c r="K116" i="38" s="1"/>
  <c r="I52" i="38" a="1"/>
  <c r="I52" i="38" s="1"/>
  <c r="H122" i="38" s="1"/>
  <c r="I122" i="38" s="1"/>
  <c r="K122" i="38" s="1" a="1"/>
  <c r="K122" i="38" s="1"/>
  <c r="I58" i="38" a="1"/>
  <c r="I58" i="38" s="1"/>
  <c r="H128" i="38" s="1"/>
  <c r="I128" i="38" s="1"/>
  <c r="K128" i="38" s="1" a="1"/>
  <c r="K128" i="38" s="1"/>
  <c r="I34" i="38" a="1"/>
  <c r="I34" i="38" s="1"/>
  <c r="H101" i="38" s="1"/>
  <c r="I101" i="38" s="1"/>
  <c r="K101" i="38" s="1" a="1"/>
  <c r="K101" i="38" s="1"/>
  <c r="I50" i="38" a="1"/>
  <c r="I50" i="38" s="1"/>
  <c r="H120" i="38" s="1"/>
  <c r="I120" i="38" s="1"/>
  <c r="K120" i="38" s="1" a="1"/>
  <c r="K120" i="38" s="1"/>
  <c r="I33" i="38" a="1"/>
  <c r="I33" i="38" s="1"/>
  <c r="H100" i="38" s="1"/>
  <c r="I100" i="38" s="1"/>
  <c r="K100" i="38" s="1" a="1"/>
  <c r="K100" i="38" s="1"/>
  <c r="I51" i="38" a="1"/>
  <c r="I51" i="38" s="1"/>
  <c r="H121" i="38" s="1"/>
  <c r="I121" i="38" s="1"/>
  <c r="K121" i="38" s="1" a="1"/>
  <c r="K121" i="38" s="1"/>
  <c r="G45" i="38" a="1"/>
  <c r="G45" i="38" s="1"/>
  <c r="I45" i="38" s="1" a="1"/>
  <c r="I45" i="38" s="1"/>
  <c r="H115" i="38" s="1"/>
  <c r="I25" i="38" a="1"/>
  <c r="I25" i="38" s="1"/>
  <c r="H92" i="38" s="1"/>
  <c r="I92" i="38" s="1"/>
  <c r="K92" i="38" s="1" a="1"/>
  <c r="K92" i="38" s="1"/>
  <c r="I28" i="38" a="1"/>
  <c r="I28" i="38" s="1"/>
  <c r="H95" i="38" s="1"/>
  <c r="I95" i="38" s="1"/>
  <c r="K95" i="38" s="1" a="1"/>
  <c r="K95" i="38" s="1"/>
  <c r="I53" i="38" a="1"/>
  <c r="I53" i="38" s="1"/>
  <c r="H123" i="38" s="1"/>
  <c r="I123" i="38" s="1"/>
  <c r="K123" i="38" s="1" a="1"/>
  <c r="K123" i="38" s="1"/>
  <c r="I59" i="38" a="1"/>
  <c r="I59" i="38" s="1"/>
  <c r="H129" i="38" s="1"/>
  <c r="I129" i="38" s="1"/>
  <c r="K129" i="38" s="1" a="1"/>
  <c r="K129" i="38" s="1"/>
  <c r="I57" i="38" a="1"/>
  <c r="I57" i="38" s="1"/>
  <c r="H127" i="38" s="1"/>
  <c r="I127" i="38" s="1"/>
  <c r="K127" i="38" s="1" a="1"/>
  <c r="K127" i="38" s="1"/>
  <c r="I31" i="38" a="1"/>
  <c r="I31" i="38" s="1"/>
  <c r="H98" i="38" s="1"/>
  <c r="I98" i="38" s="1"/>
  <c r="K98" i="38" s="1" a="1"/>
  <c r="K98" i="38" s="1"/>
  <c r="I47" i="38" a="1"/>
  <c r="I47" i="38" s="1"/>
  <c r="H117" i="38" s="1"/>
  <c r="I117" i="38" s="1"/>
  <c r="K117" i="38" s="1" a="1"/>
  <c r="K117" i="38" s="1"/>
  <c r="I29" i="38" a="1"/>
  <c r="I29" i="38" s="1"/>
  <c r="H96" i="38" s="1"/>
  <c r="I96" i="38" s="1"/>
  <c r="K96" i="38" s="1" a="1"/>
  <c r="K96" i="38" s="1"/>
  <c r="I48" i="38" a="1"/>
  <c r="I48" i="38" s="1"/>
  <c r="H118" i="38" s="1"/>
  <c r="I118" i="38" s="1"/>
  <c r="K118" i="38" s="1" a="1"/>
  <c r="K118" i="38" s="1"/>
  <c r="I131" i="38"/>
  <c r="K131" i="38" s="1" a="1"/>
  <c r="K131" i="38" s="1"/>
  <c r="H21" i="38" a="1"/>
  <c r="H21" i="38" s="1"/>
  <c r="G115" i="38" a="1"/>
  <c r="G115" i="38" s="1"/>
  <c r="G21" i="38" a="1"/>
  <c r="G21" i="38" s="1"/>
  <c r="G88" i="38" a="1"/>
  <c r="G88" i="38" s="1"/>
  <c r="I37" i="38" a="1"/>
  <c r="I37" i="38" s="1"/>
  <c r="H104" i="38" s="1"/>
  <c r="I104" i="38" s="1"/>
  <c r="K104" i="38" s="1" a="1"/>
  <c r="K104" i="38" s="1"/>
  <c r="I40" i="38" a="1"/>
  <c r="I40" i="38" s="1"/>
  <c r="H107" i="38" s="1"/>
  <c r="I107" i="38" s="1"/>
  <c r="K107" i="38" s="1" a="1"/>
  <c r="K107" i="38" s="1"/>
  <c r="I55" i="38" a="1"/>
  <c r="I55" i="38" s="1"/>
  <c r="H125" i="38" s="1"/>
  <c r="I125" i="38" s="1"/>
  <c r="K125" i="38" s="1" a="1"/>
  <c r="K125" i="38" s="1"/>
  <c r="I23" i="38" a="1"/>
  <c r="I23" i="38" s="1"/>
  <c r="H90" i="38" s="1"/>
  <c r="I90" i="38" s="1"/>
  <c r="K90" i="38" s="1" a="1"/>
  <c r="K90" i="38" s="1"/>
  <c r="I21" i="38" l="1" a="1"/>
  <c r="I21" i="38" s="1"/>
  <c r="H88" i="38" s="1"/>
  <c r="I88" i="38" s="1"/>
  <c r="K88" i="38" s="1" a="1"/>
  <c r="K88" i="38" s="1"/>
  <c r="E109" i="38" s="1"/>
  <c r="I115" i="38"/>
  <c r="K115" i="38" s="1" a="1"/>
  <c r="K115" i="38" s="1"/>
  <c r="E136" i="38" s="1"/>
  <c r="E586" i="19" s="1"/>
  <c r="E33" i="41" s="1"/>
  <c r="F33" i="41" s="1"/>
  <c r="H567" i="19" a="1"/>
  <c r="H567" i="19" s="1"/>
  <c r="D567" i="19" a="1"/>
  <c r="D567" i="19" s="1"/>
  <c r="E565" i="19" a="1"/>
  <c r="E565" i="19" s="1"/>
  <c r="F571" i="19" s="1"/>
  <c r="E564" i="19" a="1"/>
  <c r="E564" i="19" s="1"/>
  <c r="D560" i="19" a="1"/>
  <c r="D560" i="19" s="1"/>
  <c r="D32" i="41" s="1" a="1"/>
  <c r="D32" i="41" s="1"/>
  <c r="D559" i="19" a="1"/>
  <c r="D559" i="19" s="1"/>
  <c r="H85" i="34" a="1"/>
  <c r="H85" i="34" s="1"/>
  <c r="D85" i="34" a="1"/>
  <c r="E83" i="34" a="1"/>
  <c r="E83" i="34" s="1"/>
  <c r="F90" i="34" s="1"/>
  <c r="E82" i="34" a="1"/>
  <c r="E82" i="34" s="1"/>
  <c r="D78" i="34" a="1"/>
  <c r="D78" i="34" s="1"/>
  <c r="D77" i="34" a="1"/>
  <c r="D77" i="34" s="1"/>
  <c r="I67" i="34"/>
  <c r="G67" i="34" a="1"/>
  <c r="G67" i="34" s="1"/>
  <c r="D67" i="34" a="1"/>
  <c r="D67" i="34" s="1"/>
  <c r="E65" i="34" a="1"/>
  <c r="E65" i="34" s="1"/>
  <c r="F74" i="34" s="1"/>
  <c r="E64" i="34" a="1"/>
  <c r="E64" i="34" s="1"/>
  <c r="D60" i="34" a="1"/>
  <c r="D60" i="34" s="1"/>
  <c r="D59" i="34" a="1"/>
  <c r="D59" i="34" s="1"/>
  <c r="E29" i="10"/>
  <c r="G48" i="34" a="1"/>
  <c r="G48" i="34" s="1"/>
  <c r="D48" i="34" a="1"/>
  <c r="D48" i="34" s="1"/>
  <c r="E46" i="34" a="1"/>
  <c r="E46" i="34" s="1"/>
  <c r="F55" i="34" s="1"/>
  <c r="E45" i="34" a="1"/>
  <c r="E45" i="34" s="1"/>
  <c r="D41" i="34" a="1"/>
  <c r="D41" i="34" s="1"/>
  <c r="D40" i="34" a="1"/>
  <c r="D40" i="34" s="1"/>
  <c r="I32" i="34"/>
  <c r="J13" i="34"/>
  <c r="G32" i="34" a="1"/>
  <c r="G32" i="34" s="1"/>
  <c r="D32" i="34" a="1"/>
  <c r="D32" i="34" s="1"/>
  <c r="E30" i="34" a="1"/>
  <c r="E30" i="34" s="1"/>
  <c r="F35" i="34" s="1"/>
  <c r="E29" i="34" a="1"/>
  <c r="E29" i="34" s="1"/>
  <c r="D25" i="34" a="1"/>
  <c r="D25" i="34" s="1"/>
  <c r="D24" i="34" a="1"/>
  <c r="D24" i="34" s="1"/>
  <c r="D573" i="19" a="1"/>
  <c r="D573" i="19" s="1"/>
  <c r="F576" i="19" a="1"/>
  <c r="F576" i="19" s="1"/>
  <c r="H13" i="34" a="1"/>
  <c r="H13" i="34" s="1"/>
  <c r="D13" i="34" a="1"/>
  <c r="D13" i="34" s="1"/>
  <c r="E11" i="34" a="1"/>
  <c r="E11" i="34" s="1"/>
  <c r="F19" i="34" s="1"/>
  <c r="E10" i="34" a="1"/>
  <c r="E10" i="34" s="1"/>
  <c r="D6" i="34" a="1"/>
  <c r="D6" i="34" s="1"/>
  <c r="D5" i="34" a="1"/>
  <c r="D5" i="34" s="1"/>
  <c r="E79" i="34" a="1"/>
  <c r="E26" i="34" a="1"/>
  <c r="E561" i="19" a="1"/>
  <c r="E7" i="34" a="1"/>
  <c r="E61" i="34" a="1"/>
  <c r="E42" i="34" a="1"/>
  <c r="E561" i="19" l="1"/>
  <c r="E79" i="34"/>
  <c r="D85" i="34"/>
  <c r="E61" i="34"/>
  <c r="E42" i="34"/>
  <c r="E26" i="34"/>
  <c r="E7" i="34"/>
  <c r="G547" i="19" l="1" a="1"/>
  <c r="G547" i="19" s="1"/>
  <c r="D547" i="19" a="1"/>
  <c r="D547" i="19" s="1"/>
  <c r="E545" i="19" a="1"/>
  <c r="E545" i="19" s="1"/>
  <c r="E544" i="19" a="1"/>
  <c r="E544" i="19" s="1"/>
  <c r="D539" i="19" a="1"/>
  <c r="D539" i="19" s="1"/>
  <c r="D538" i="19" a="1"/>
  <c r="D538" i="19" s="1"/>
  <c r="D31" i="41" s="1" a="1"/>
  <c r="D31" i="41" s="1"/>
  <c r="D537" i="19" a="1"/>
  <c r="D537" i="19" s="1"/>
  <c r="G529" i="19" a="1"/>
  <c r="G529" i="19" s="1"/>
  <c r="D529" i="19" a="1"/>
  <c r="D529" i="19" s="1"/>
  <c r="E527" i="19" a="1"/>
  <c r="E527" i="19" s="1"/>
  <c r="E526" i="19" a="1"/>
  <c r="E526" i="19" s="1"/>
  <c r="D522" i="19" a="1"/>
  <c r="D522" i="19" s="1"/>
  <c r="D521" i="19" a="1"/>
  <c r="D521" i="19" s="1"/>
  <c r="E523" i="19" a="1"/>
  <c r="E540" i="19" a="1"/>
  <c r="D30" i="41" l="1" a="1"/>
  <c r="D30" i="41" s="1"/>
  <c r="E540" i="19"/>
  <c r="E523" i="19"/>
  <c r="G515" i="19" l="1" a="1"/>
  <c r="G515" i="19" s="1"/>
  <c r="D515" i="19" a="1"/>
  <c r="D515" i="19" s="1"/>
  <c r="E513" i="19" a="1"/>
  <c r="E513" i="19" s="1"/>
  <c r="E512" i="19" a="1"/>
  <c r="E512" i="19" s="1"/>
  <c r="D507" i="19" a="1"/>
  <c r="D507" i="19" s="1"/>
  <c r="D506" i="19" a="1"/>
  <c r="D506" i="19" s="1"/>
  <c r="G21" i="30" a="1"/>
  <c r="G21" i="30" s="1"/>
  <c r="H21" i="30"/>
  <c r="I21" i="30"/>
  <c r="G20" i="30" a="1"/>
  <c r="G20" i="30" s="1"/>
  <c r="H20" i="30"/>
  <c r="I20" i="30" s="1"/>
  <c r="G19" i="30" a="1"/>
  <c r="G19" i="30" s="1"/>
  <c r="H19" i="30"/>
  <c r="I19" i="30"/>
  <c r="G18" i="30" a="1"/>
  <c r="G18" i="30" s="1"/>
  <c r="H18" i="30"/>
  <c r="I18" i="30" s="1"/>
  <c r="P17" i="32"/>
  <c r="L35" i="32" a="1"/>
  <c r="L35" i="32" s="1"/>
  <c r="P18" i="32"/>
  <c r="M40" i="32" a="1"/>
  <c r="M40" i="32" s="1"/>
  <c r="M30" i="32" a="1"/>
  <c r="M30" i="32" s="1"/>
  <c r="M34" i="32" a="1"/>
  <c r="M34" i="32" s="1"/>
  <c r="F40" i="32"/>
  <c r="F39" i="32"/>
  <c r="M39" i="32" s="1" a="1"/>
  <c r="M39" i="32" s="1"/>
  <c r="F38" i="32"/>
  <c r="M38" i="32" s="1" a="1"/>
  <c r="M38" i="32" s="1"/>
  <c r="F37" i="32"/>
  <c r="M37" i="32" s="1" a="1"/>
  <c r="M37" i="32" s="1"/>
  <c r="F36" i="32"/>
  <c r="L36" i="32" s="1" a="1"/>
  <c r="L36" i="32" s="1"/>
  <c r="F35" i="32"/>
  <c r="M35" i="32" s="1" a="1"/>
  <c r="M35" i="32" s="1"/>
  <c r="F34" i="32"/>
  <c r="L34" i="32" s="1" a="1"/>
  <c r="L34" i="32" s="1"/>
  <c r="F33" i="32"/>
  <c r="F32" i="32"/>
  <c r="L32" i="32" s="1" a="1"/>
  <c r="L32" i="32" s="1"/>
  <c r="D32" i="32"/>
  <c r="D37" i="32" s="1"/>
  <c r="F31" i="32"/>
  <c r="M31" i="32" s="1" a="1"/>
  <c r="M31" i="32" s="1"/>
  <c r="F30" i="32"/>
  <c r="F29" i="32"/>
  <c r="M29" i="32" s="1" a="1"/>
  <c r="M29" i="32" s="1"/>
  <c r="F28" i="32"/>
  <c r="M28" i="32" s="1" a="1"/>
  <c r="M28" i="32" s="1"/>
  <c r="F27" i="32"/>
  <c r="M27" i="32" s="1" a="1"/>
  <c r="M27" i="32" s="1"/>
  <c r="F26" i="32"/>
  <c r="M26" i="32" s="1" a="1"/>
  <c r="M26" i="32" s="1"/>
  <c r="F25" i="32"/>
  <c r="M25" i="32" s="1" a="1"/>
  <c r="M25" i="32" s="1"/>
  <c r="D25" i="32"/>
  <c r="L25" i="32" s="1" a="1"/>
  <c r="L25" i="32" s="1"/>
  <c r="A76" i="32"/>
  <c r="A38" i="32"/>
  <c r="D36" i="32"/>
  <c r="D35" i="32"/>
  <c r="D34" i="32"/>
  <c r="A17" i="32"/>
  <c r="P16" i="32" a="1"/>
  <c r="P16" i="32" s="1"/>
  <c r="I16" i="32" a="1"/>
  <c r="I16" i="32" s="1"/>
  <c r="A16" i="32"/>
  <c r="P15" i="32" a="1"/>
  <c r="P15" i="32" s="1"/>
  <c r="I15" i="32" a="1"/>
  <c r="I15" i="32" s="1"/>
  <c r="P14" i="32" a="1"/>
  <c r="P14" i="32" s="1"/>
  <c r="N14" i="32" a="1"/>
  <c r="N14" i="32" s="1"/>
  <c r="K14" i="32" a="1"/>
  <c r="K14" i="32" s="1"/>
  <c r="I14" i="32" a="1"/>
  <c r="I14" i="32" s="1"/>
  <c r="G14" i="32" a="1"/>
  <c r="G14" i="32" s="1"/>
  <c r="D14" i="32" a="1"/>
  <c r="D14" i="32" s="1"/>
  <c r="A13" i="32"/>
  <c r="L12" i="32" a="1"/>
  <c r="L12" i="32" s="1"/>
  <c r="E12" i="32"/>
  <c r="F58" i="32" s="1"/>
  <c r="E12" i="32" a="1"/>
  <c r="A12" i="32"/>
  <c r="L11" i="32" a="1"/>
  <c r="L11" i="32" s="1"/>
  <c r="E11" i="32" a="1"/>
  <c r="E11" i="32" s="1"/>
  <c r="A11" i="32"/>
  <c r="A8" i="32"/>
  <c r="K7" i="32" a="1"/>
  <c r="K7" i="32" s="1"/>
  <c r="K6" i="32" a="1"/>
  <c r="K6" i="32" s="1"/>
  <c r="D6" i="32" a="1"/>
  <c r="D6" i="32" s="1"/>
  <c r="K5" i="32" a="1"/>
  <c r="K5" i="32" s="1"/>
  <c r="D5" i="32" a="1"/>
  <c r="D5" i="32" s="1"/>
  <c r="A5" i="32"/>
  <c r="A4" i="32"/>
  <c r="A3" i="32"/>
  <c r="L33" i="31" a="1"/>
  <c r="L33" i="31" s="1"/>
  <c r="L30" i="31" a="1"/>
  <c r="L30" i="31" s="1"/>
  <c r="L25" i="31" a="1"/>
  <c r="L25" i="31" s="1"/>
  <c r="M36" i="31" a="1"/>
  <c r="M36" i="31" s="1"/>
  <c r="M30" i="31" a="1"/>
  <c r="M30" i="31" s="1"/>
  <c r="M39" i="31" a="1"/>
  <c r="M39" i="31" s="1"/>
  <c r="M26" i="31" a="1"/>
  <c r="M26" i="31" s="1"/>
  <c r="M32" i="31" a="1"/>
  <c r="M32" i="31" s="1"/>
  <c r="M25" i="31" a="1"/>
  <c r="M25" i="31" s="1"/>
  <c r="M38" i="31" a="1"/>
  <c r="M38" i="31" s="1"/>
  <c r="M31" i="31" a="1"/>
  <c r="M31" i="31" s="1"/>
  <c r="F39" i="31"/>
  <c r="F38" i="31"/>
  <c r="F37" i="31"/>
  <c r="M37" i="31" s="1" a="1"/>
  <c r="M37" i="31" s="1"/>
  <c r="D37" i="31"/>
  <c r="F36" i="31"/>
  <c r="F35" i="31"/>
  <c r="L35" i="31" s="1" a="1"/>
  <c r="L35" i="31" s="1"/>
  <c r="F34" i="31"/>
  <c r="D34" i="31"/>
  <c r="D36" i="31" s="1"/>
  <c r="L36" i="31" s="1" a="1"/>
  <c r="L36" i="31" s="1"/>
  <c r="F33" i="31"/>
  <c r="M33" i="31" s="1" a="1"/>
  <c r="M33" i="31" s="1"/>
  <c r="D33" i="31"/>
  <c r="F32" i="31"/>
  <c r="F31" i="31"/>
  <c r="F30" i="31"/>
  <c r="F29" i="31"/>
  <c r="F28" i="31"/>
  <c r="M28" i="31" s="1" a="1"/>
  <c r="M28" i="31" s="1"/>
  <c r="F27" i="31"/>
  <c r="F26" i="31"/>
  <c r="F25" i="31"/>
  <c r="D25" i="31"/>
  <c r="D29" i="31" s="1"/>
  <c r="A83" i="31"/>
  <c r="A69" i="31"/>
  <c r="D38" i="31"/>
  <c r="L38" i="31" s="1" a="1"/>
  <c r="L38" i="31" s="1"/>
  <c r="D39" i="31"/>
  <c r="L39" i="31" s="1" a="1"/>
  <c r="L39" i="31" s="1"/>
  <c r="A37" i="31"/>
  <c r="D35" i="31"/>
  <c r="D48" i="31"/>
  <c r="D28" i="31"/>
  <c r="D26" i="31"/>
  <c r="L26" i="31" s="1" a="1"/>
  <c r="L26" i="31" s="1"/>
  <c r="D30" i="31"/>
  <c r="A17" i="31"/>
  <c r="P16" i="31" a="1"/>
  <c r="P16" i="31" s="1"/>
  <c r="I16" i="31" a="1"/>
  <c r="I16" i="31" s="1"/>
  <c r="A16" i="31"/>
  <c r="P15" i="31" a="1"/>
  <c r="P15" i="31" s="1"/>
  <c r="I15" i="31" a="1"/>
  <c r="I15" i="31" s="1"/>
  <c r="P14" i="31" a="1"/>
  <c r="P14" i="31" s="1"/>
  <c r="N14" i="31" a="1"/>
  <c r="N14" i="31" s="1"/>
  <c r="K14" i="31" a="1"/>
  <c r="K14" i="31" s="1"/>
  <c r="I14" i="31" a="1"/>
  <c r="I14" i="31" s="1"/>
  <c r="G14" i="31" a="1"/>
  <c r="G14" i="31" s="1"/>
  <c r="D14" i="31" a="1"/>
  <c r="D14" i="31" s="1"/>
  <c r="A13" i="31"/>
  <c r="L12" i="31" a="1"/>
  <c r="L12" i="31" s="1"/>
  <c r="E12" i="31" a="1"/>
  <c r="E12" i="31" s="1"/>
  <c r="F62" i="31" s="1"/>
  <c r="A12" i="31"/>
  <c r="L11" i="31" a="1"/>
  <c r="L11" i="31" s="1"/>
  <c r="E11" i="31" a="1"/>
  <c r="E11" i="31" s="1"/>
  <c r="A11" i="31"/>
  <c r="A8" i="31"/>
  <c r="K6" i="31" a="1"/>
  <c r="K6" i="31" s="1"/>
  <c r="D6" i="31" a="1"/>
  <c r="D6" i="31" s="1"/>
  <c r="K5" i="31" a="1"/>
  <c r="K5" i="31" s="1"/>
  <c r="D5" i="31" a="1"/>
  <c r="D5" i="31" s="1"/>
  <c r="A5" i="31"/>
  <c r="A4" i="31"/>
  <c r="A3" i="31"/>
  <c r="G17" i="30" a="1"/>
  <c r="G17" i="30" s="1"/>
  <c r="H17" i="30"/>
  <c r="I17" i="30" s="1"/>
  <c r="A17" i="30"/>
  <c r="A16" i="30"/>
  <c r="A13" i="30"/>
  <c r="A12" i="30"/>
  <c r="A11" i="30"/>
  <c r="A8" i="30"/>
  <c r="A5" i="30"/>
  <c r="A4" i="30"/>
  <c r="A3" i="30"/>
  <c r="J139" i="29"/>
  <c r="E139" i="29"/>
  <c r="J138" i="29"/>
  <c r="G138" i="29"/>
  <c r="E138" i="29"/>
  <c r="J137" i="29"/>
  <c r="G137" i="29"/>
  <c r="E137" i="29"/>
  <c r="D137" i="29"/>
  <c r="J136" i="29"/>
  <c r="G136" i="29"/>
  <c r="E136" i="29"/>
  <c r="D136" i="29"/>
  <c r="J135" i="29"/>
  <c r="G135" i="29"/>
  <c r="E135" i="29"/>
  <c r="D135" i="29"/>
  <c r="J134" i="29"/>
  <c r="G134" i="29"/>
  <c r="E134" i="29"/>
  <c r="D134" i="29"/>
  <c r="J133" i="29"/>
  <c r="G133" i="29"/>
  <c r="F133" i="29"/>
  <c r="E133" i="29"/>
  <c r="D133" i="29"/>
  <c r="J132" i="29"/>
  <c r="I132" i="29"/>
  <c r="G132" i="29"/>
  <c r="F132" i="29"/>
  <c r="E132" i="29"/>
  <c r="D132" i="29"/>
  <c r="J131" i="29"/>
  <c r="I131" i="29"/>
  <c r="H131" i="29"/>
  <c r="G131" i="29"/>
  <c r="F131" i="29"/>
  <c r="E131" i="29"/>
  <c r="D131" i="29"/>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A17" i="29"/>
  <c r="L16" i="29" a="1"/>
  <c r="L16" i="29" s="1"/>
  <c r="K16" i="29" a="1"/>
  <c r="K16" i="29" s="1"/>
  <c r="J16" i="29" a="1"/>
  <c r="J16" i="29" s="1"/>
  <c r="I16" i="29" a="1"/>
  <c r="I16" i="29" s="1"/>
  <c r="H16" i="29" a="1"/>
  <c r="H16" i="29" s="1"/>
  <c r="G16" i="29" a="1"/>
  <c r="G16" i="29" s="1"/>
  <c r="F16" i="29" a="1"/>
  <c r="F16" i="29" s="1"/>
  <c r="E16" i="29" a="1"/>
  <c r="E16" i="29" s="1"/>
  <c r="E31" i="31" s="1"/>
  <c r="D16" i="29" a="1"/>
  <c r="D16" i="29" s="1"/>
  <c r="A16" i="29"/>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A13" i="29"/>
  <c r="L12" i="29" a="1"/>
  <c r="L12" i="29" s="1"/>
  <c r="K12" i="29" a="1"/>
  <c r="K12" i="29" s="1"/>
  <c r="J12" i="29" a="1"/>
  <c r="J12" i="29" s="1"/>
  <c r="I12" i="29" a="1"/>
  <c r="I12" i="29" s="1"/>
  <c r="H12" i="29" a="1"/>
  <c r="H12" i="29" s="1"/>
  <c r="G12" i="29" a="1"/>
  <c r="G12" i="29" s="1"/>
  <c r="F12" i="29" a="1"/>
  <c r="F12" i="29" s="1"/>
  <c r="E12" i="29" a="1"/>
  <c r="E12" i="29" s="1"/>
  <c r="E27" i="31" s="1"/>
  <c r="D12" i="29" a="1"/>
  <c r="D12" i="29" s="1"/>
  <c r="A12" i="29"/>
  <c r="L11" i="29" a="1"/>
  <c r="L11" i="29" s="1"/>
  <c r="K11" i="29" a="1"/>
  <c r="K11" i="29" s="1"/>
  <c r="J11" i="29" a="1"/>
  <c r="J11" i="29" s="1"/>
  <c r="I11" i="29" a="1"/>
  <c r="I11" i="29" s="1"/>
  <c r="H11" i="29" a="1"/>
  <c r="H11" i="29" s="1"/>
  <c r="G11" i="29" a="1"/>
  <c r="G11" i="29" s="1"/>
  <c r="F11" i="29" a="1"/>
  <c r="F11" i="29" s="1"/>
  <c r="E11" i="29" a="1"/>
  <c r="E11" i="29" s="1"/>
  <c r="E33" i="31" s="1"/>
  <c r="D11" i="29" a="1"/>
  <c r="D11" i="29" s="1"/>
  <c r="A11" i="29"/>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A8" i="29"/>
  <c r="D7" i="29" a="1"/>
  <c r="D7" i="29" s="1"/>
  <c r="D6" i="29" a="1"/>
  <c r="D6" i="29" s="1"/>
  <c r="D5" i="29" a="1"/>
  <c r="D5" i="29" s="1"/>
  <c r="A5" i="29"/>
  <c r="A4" i="29"/>
  <c r="A3" i="29"/>
  <c r="L8" i="32" a="1"/>
  <c r="L7" i="31" a="1"/>
  <c r="E508" i="19" a="1"/>
  <c r="E7" i="32" a="1"/>
  <c r="E7" i="31" a="1"/>
  <c r="D29" i="41" l="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L38" i="32" a="1"/>
  <c r="L38"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H26" i="32"/>
  <c r="J26" i="32"/>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Q26" i="32" a="1"/>
  <c r="Q2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P26" i="32" a="1"/>
  <c r="P26" i="32" s="1"/>
  <c r="O26" i="32" a="1"/>
  <c r="O26" i="32" s="1"/>
  <c r="N26" i="32" a="1"/>
  <c r="N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44" i="31"/>
  <c r="E62" i="31" l="1"/>
  <c r="E45" i="31"/>
  <c r="E43" i="31"/>
  <c r="E51" i="32"/>
  <c r="E44" i="32"/>
  <c r="E61" i="31"/>
  <c r="E67" i="31" s="1"/>
  <c r="E45" i="32"/>
  <c r="E46" i="31"/>
  <c r="E52" i="32"/>
  <c r="E58" i="32" s="1"/>
  <c r="I516" i="19" s="1"/>
  <c r="E63" i="31"/>
  <c r="E50" i="32"/>
  <c r="E49" i="32"/>
  <c r="E55" i="32" s="1"/>
  <c r="E64" i="31"/>
  <c r="E68" i="31"/>
  <c r="E69" i="31" l="1"/>
  <c r="E57" i="32"/>
  <c r="E56" i="32"/>
  <c r="E70" i="31"/>
  <c r="I515" i="19" s="1"/>
  <c r="E518" i="19" s="1" a="1"/>
  <c r="E518" i="19" s="1"/>
  <c r="E29" i="41" s="1"/>
  <c r="F29" i="41" s="1"/>
  <c r="D221" i="19" l="1"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23" i="41" s="1" a="1"/>
  <c r="D23" i="41"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E305" i="19" a="1"/>
  <c r="E305"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E237" i="19" a="1"/>
  <c r="E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290" i="19" a="1"/>
  <c r="E188" i="19" a="1"/>
  <c r="E203" i="19" a="1"/>
  <c r="E100" i="19" a="1"/>
  <c r="E174" i="19" a="1"/>
  <c r="E385" i="19" a="1"/>
  <c r="E258" i="19" a="1"/>
  <c r="E355" i="19" a="1"/>
  <c r="E323" i="19" a="1"/>
  <c r="E418" i="19" a="1"/>
  <c r="D18" i="41" l="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F305" i="19" a="1"/>
  <c r="H305" i="19" a="1"/>
  <c r="H305" i="19" s="1"/>
  <c r="G305" i="19" a="1"/>
  <c r="E258" i="19"/>
  <c r="E174" i="19"/>
  <c r="J241" i="19" a="1"/>
  <c r="J241" i="19" s="1"/>
  <c r="J239" i="19" a="1"/>
  <c r="J239" i="19" s="1"/>
  <c r="J243" i="19" a="1"/>
  <c r="J243" i="19" s="1"/>
  <c r="J245" i="19" a="1"/>
  <c r="J245" i="19" s="1"/>
  <c r="J238" i="19" a="1"/>
  <c r="J238" i="19" s="1"/>
  <c r="J240" i="19" a="1"/>
  <c r="J240" i="19" s="1"/>
  <c r="J242" i="19" a="1"/>
  <c r="J242" i="19" s="1"/>
  <c r="J244" i="19" a="1"/>
  <c r="J244" i="19" s="1"/>
  <c r="J246" i="19" a="1"/>
  <c r="J246" i="19" s="1"/>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19" i="19" l="1"/>
  <c r="F618" i="19"/>
  <c r="F640" i="19"/>
  <c r="F636" i="19"/>
  <c r="F639" i="19"/>
  <c r="F637" i="19"/>
  <c r="F305" i="19"/>
  <c r="J312" i="19" a="1"/>
  <c r="J312" i="19" s="1"/>
  <c r="J311" i="19" a="1"/>
  <c r="J311" i="19" s="1"/>
  <c r="J310" i="19" a="1"/>
  <c r="J310" i="19" s="1"/>
  <c r="J309" i="19" a="1"/>
  <c r="J309" i="19" s="1"/>
  <c r="J308" i="19" a="1"/>
  <c r="J308" i="19" s="1"/>
  <c r="J307" i="19" a="1"/>
  <c r="J307" i="19" s="1"/>
  <c r="J306" i="19" a="1"/>
  <c r="J306" i="19" s="1"/>
  <c r="J314" i="19" a="1"/>
  <c r="J314" i="19" s="1"/>
  <c r="J313" i="19" a="1"/>
  <c r="J313" i="19" s="1"/>
  <c r="E411" i="19"/>
  <c r="F22" i="41" s="1"/>
  <c r="G305" i="19"/>
  <c r="J237" i="19" a="1"/>
  <c r="J237" i="19"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7" i="41" s="1" a="1"/>
  <c r="D17" i="41" s="1"/>
  <c r="D186" i="19" a="1"/>
  <c r="D186" i="19" s="1"/>
  <c r="D157" i="19" a="1"/>
  <c r="D157" i="19" s="1"/>
  <c r="D150" i="19" a="1"/>
  <c r="D150" i="19" s="1"/>
  <c r="C16" i="41" s="1" a="1"/>
  <c r="C16" i="41" s="1"/>
  <c r="D149" i="19" a="1"/>
  <c r="D149" i="19" s="1"/>
  <c r="D106" i="19" a="1"/>
  <c r="D106" i="19" s="1"/>
  <c r="D99" i="19" a="1"/>
  <c r="D99" i="19" s="1"/>
  <c r="D98" i="19" a="1"/>
  <c r="D98" i="19" s="1"/>
  <c r="J80" i="13" a="1"/>
  <c r="J80" i="13" s="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E11" i="19" a="1"/>
  <c r="E11" i="19" s="1"/>
  <c r="F91" i="19" s="1"/>
  <c r="E10" i="19" a="1"/>
  <c r="E10" i="19" s="1"/>
  <c r="G13" i="19" a="1"/>
  <c r="G13" i="19" s="1"/>
  <c r="D13" i="19" a="1"/>
  <c r="D13" i="19" s="1"/>
  <c r="D6" i="19" a="1"/>
  <c r="D6" i="19" s="1"/>
  <c r="D5" i="19" a="1"/>
  <c r="D5" i="19" s="1"/>
  <c r="D16" i="41" a="1"/>
  <c r="E7" i="19" a="1"/>
  <c r="D16" i="41" l="1"/>
  <c r="C10" i="41" a="1"/>
  <c r="C10" i="41" s="1"/>
  <c r="C15" i="41" a="1"/>
  <c r="C15"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J305" i="19" a="1"/>
  <c r="J305" i="19" s="1"/>
  <c r="E317" i="19" s="1"/>
  <c r="F19" i="41" s="1"/>
  <c r="E167" i="19"/>
  <c r="F16" i="41" s="1"/>
  <c r="F167" i="19"/>
  <c r="I119" i="19" a="1"/>
  <c r="I119" i="19" s="1"/>
  <c r="F35" i="19"/>
  <c r="F34" i="19"/>
  <c r="F93" i="19"/>
  <c r="F94" i="19"/>
  <c r="J61" i="19" a="1"/>
  <c r="J61" i="19" s="1"/>
  <c r="F72" i="19"/>
  <c r="F73" i="19"/>
  <c r="F53" i="19"/>
  <c r="F54" i="19"/>
  <c r="F90" i="19"/>
  <c r="J62" i="19" a="1"/>
  <c r="J62" i="19" s="1"/>
  <c r="E7" i="19"/>
  <c r="D10" i="41" a="1"/>
  <c r="D15" i="41" a="1"/>
  <c r="D15" i="41" l="1"/>
  <c r="D10" i="41"/>
  <c r="J87" i="13" a="1"/>
  <c r="J87" i="13" s="1"/>
  <c r="J86" i="13" a="1"/>
  <c r="J86" i="13" s="1"/>
  <c r="J85" i="13" a="1"/>
  <c r="J85" i="13" s="1"/>
  <c r="J84" i="13" a="1"/>
  <c r="J84" i="13" s="1"/>
  <c r="J83" i="13" a="1"/>
  <c r="J83" i="13" s="1"/>
  <c r="J82" i="13" a="1"/>
  <c r="J82" i="13" s="1"/>
  <c r="J81" i="13" a="1"/>
  <c r="J81" i="13" s="1"/>
  <c r="H20" i="13"/>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a="1"/>
  <c r="D17" i="26" s="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a="1"/>
  <c r="D6" i="26" s="1"/>
  <c r="D5" i="26" a="1"/>
  <c r="D5" i="26" s="1"/>
  <c r="A5" i="26"/>
  <c r="A4" i="26"/>
  <c r="A3" i="26"/>
  <c r="G117" i="13" l="1" a="1"/>
  <c r="G117" i="13" s="1"/>
  <c r="G126" i="13" a="1"/>
  <c r="G126" i="13" s="1"/>
  <c r="G125" i="13" a="1"/>
  <c r="G125" i="13" s="1"/>
  <c r="G124" i="13" a="1"/>
  <c r="G124" i="13" s="1"/>
  <c r="G123" i="13" a="1"/>
  <c r="G123" i="13" s="1"/>
  <c r="G122" i="13" a="1"/>
  <c r="G122" i="13" s="1"/>
  <c r="G121" i="13" a="1"/>
  <c r="G121" i="13" s="1"/>
  <c r="G120" i="13" a="1"/>
  <c r="G120" i="13" s="1"/>
  <c r="G118" i="13" a="1"/>
  <c r="G118" i="13" s="1"/>
  <c r="G119" i="13" a="1"/>
  <c r="G119" i="13"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G104" i="13" l="1" a="1"/>
  <c r="G104" i="13" s="1"/>
  <c r="G113" i="13" a="1"/>
  <c r="G113" i="13" s="1"/>
  <c r="G112" i="13" a="1"/>
  <c r="G112" i="13" s="1"/>
  <c r="G111" i="13" a="1"/>
  <c r="G111" i="13" s="1"/>
  <c r="G109" i="13" a="1"/>
  <c r="G109" i="13" s="1"/>
  <c r="G108" i="13" a="1"/>
  <c r="G108" i="13" s="1"/>
  <c r="G106" i="13" a="1"/>
  <c r="G106" i="13" s="1"/>
  <c r="G110" i="13" a="1"/>
  <c r="G110" i="13" s="1"/>
  <c r="G105" i="13" a="1"/>
  <c r="G105" i="13" s="1"/>
  <c r="G107" i="13" a="1"/>
  <c r="G107" i="1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H93" i="13" a="1"/>
  <c r="H93" i="13" s="1"/>
  <c r="H92" i="13" a="1"/>
  <c r="H92" i="13" s="1"/>
  <c r="H91" i="13" a="1"/>
  <c r="H91" i="13" s="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78" i="13" s="1" a="1"/>
  <c r="J78" i="13"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9" i="13" l="1" a="1"/>
  <c r="J79" i="13"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F367" i="19" l="1"/>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I138" i="19" l="1"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201" i="13" s="1"/>
  <c r="D479" i="19" s="1"/>
  <c r="F202" i="20" a="1"/>
  <c r="F202" i="20" s="1"/>
  <c r="G202" i="20" a="1"/>
  <c r="G202" i="20" s="1"/>
  <c r="H202" i="20" a="1"/>
  <c r="H202" i="20" s="1"/>
  <c r="I202" i="20" a="1"/>
  <c r="I202" i="20" s="1"/>
  <c r="D203" i="20" a="1"/>
  <c r="D203" i="20" s="1"/>
  <c r="E203" i="20" a="1"/>
  <c r="E203" i="20" s="1"/>
  <c r="D202" i="13" s="1"/>
  <c r="D480" i="19" s="1"/>
  <c r="F203" i="20" a="1"/>
  <c r="F203" i="20" s="1"/>
  <c r="G203" i="20" a="1"/>
  <c r="G203" i="20" s="1"/>
  <c r="H203" i="20" a="1"/>
  <c r="H203" i="20" s="1"/>
  <c r="I203" i="20" a="1"/>
  <c r="I203" i="20" s="1"/>
  <c r="D204" i="20" a="1"/>
  <c r="D204" i="20" s="1"/>
  <c r="E204" i="20" a="1"/>
  <c r="E204" i="20" s="1"/>
  <c r="D194" i="13" s="1"/>
  <c r="D466" i="19" s="1"/>
  <c r="F204" i="20" a="1"/>
  <c r="F204" i="20" s="1"/>
  <c r="G204" i="20" a="1"/>
  <c r="G204" i="20" s="1"/>
  <c r="H204" i="20" a="1"/>
  <c r="H204" i="20" s="1"/>
  <c r="I204" i="20" a="1"/>
  <c r="I204" i="20" s="1"/>
  <c r="D205" i="20" a="1"/>
  <c r="D205" i="20" s="1"/>
  <c r="E205" i="20" a="1"/>
  <c r="E205" i="20" s="1"/>
  <c r="D195" i="13" s="1"/>
  <c r="D467" i="19" s="1"/>
  <c r="F205" i="20" a="1"/>
  <c r="F205" i="20" s="1"/>
  <c r="G205" i="20" a="1"/>
  <c r="G205" i="20" s="1"/>
  <c r="H205" i="20" a="1"/>
  <c r="H205" i="20" s="1"/>
  <c r="I205" i="20" a="1"/>
  <c r="I205" i="20" s="1"/>
  <c r="D206" i="20" a="1"/>
  <c r="D206" i="20" s="1"/>
  <c r="E206" i="20" a="1"/>
  <c r="E206" i="20" s="1"/>
  <c r="D203" i="13" s="1"/>
  <c r="D481" i="19" s="1"/>
  <c r="F206" i="20" a="1"/>
  <c r="F206" i="20" s="1"/>
  <c r="G206" i="20" a="1"/>
  <c r="G206" i="20" s="1"/>
  <c r="H206" i="20" a="1"/>
  <c r="H206" i="20" s="1"/>
  <c r="I206" i="20" a="1"/>
  <c r="I206" i="20" s="1"/>
  <c r="D207" i="20" a="1"/>
  <c r="D207" i="20" s="1"/>
  <c r="E207" i="20" a="1"/>
  <c r="E207" i="20" s="1"/>
  <c r="D196" i="13" s="1"/>
  <c r="D468" i="19" s="1"/>
  <c r="F207" i="20" a="1"/>
  <c r="F207" i="20" s="1"/>
  <c r="G207" i="20" a="1"/>
  <c r="G207" i="20" s="1"/>
  <c r="H207" i="20" a="1"/>
  <c r="H207" i="20" s="1"/>
  <c r="I207" i="20" a="1"/>
  <c r="I207" i="20" s="1"/>
  <c r="D208" i="20" a="1"/>
  <c r="D208" i="20" s="1"/>
  <c r="E208" i="20" a="1"/>
  <c r="E208" i="20" s="1"/>
  <c r="D197" i="13" s="1"/>
  <c r="D469" i="19" s="1"/>
  <c r="F208" i="20" a="1"/>
  <c r="F208" i="20" s="1"/>
  <c r="G208" i="20" a="1"/>
  <c r="G208" i="20" s="1"/>
  <c r="H208" i="20" a="1"/>
  <c r="H208" i="20" s="1"/>
  <c r="I208" i="20" a="1"/>
  <c r="I208" i="20" s="1"/>
  <c r="D209" i="20" a="1"/>
  <c r="D209" i="20" s="1"/>
  <c r="E209" i="20" a="1"/>
  <c r="E209" i="20" s="1"/>
  <c r="D198"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I37" i="9" l="1"/>
  <c r="I48" i="9"/>
  <c r="E22" i="9"/>
  <c r="A15" i="10"/>
  <c r="A14" i="10"/>
  <c r="E13" i="10"/>
  <c r="A11" i="10"/>
  <c r="A8" i="10"/>
  <c r="A5" i="10"/>
  <c r="A4" i="10"/>
  <c r="A3" i="10"/>
  <c r="H48" i="9"/>
  <c r="E48" i="9"/>
  <c r="H47" i="9"/>
  <c r="E47" i="9"/>
  <c r="H46" i="9"/>
  <c r="E46" i="9"/>
  <c r="H39" i="9"/>
  <c r="H38" i="9"/>
  <c r="H37"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530" i="19" l="1" a="1"/>
  <c r="I530" i="19" s="1"/>
  <c r="E533" i="19" s="1" a="1"/>
  <c r="E533" i="19" s="1"/>
  <c r="E30" i="41" s="1"/>
  <c r="F30" i="41" s="1"/>
  <c r="I46" i="9"/>
  <c r="E50" i="9" s="1"/>
  <c r="I38" i="9"/>
  <c r="E41" i="9" s="1"/>
  <c r="I39" i="9"/>
  <c r="I47" i="9"/>
  <c r="E555" i="19" l="1" a="1"/>
  <c r="E555" i="19" s="1"/>
  <c r="E31" i="41" s="1"/>
  <c r="F31" i="41" s="1"/>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D78" i="6" a="1"/>
  <c r="D78" i="6" s="1"/>
  <c r="D77" i="6" a="1"/>
  <c r="D77" i="6" s="1"/>
  <c r="D76" i="6" a="1"/>
  <c r="D76" i="6" s="1"/>
  <c r="F73" i="6" a="1"/>
  <c r="F73" i="6" s="1"/>
  <c r="E73" i="6" a="1"/>
  <c r="E73" i="6" s="1"/>
  <c r="I33" i="34" s="1"/>
  <c r="E35" i="34" s="1" a="1"/>
  <c r="E35" i="34" s="1"/>
  <c r="I48"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J230" i="19" a="1"/>
  <c r="J230" i="19" s="1"/>
  <c r="J223" i="19" a="1"/>
  <c r="J223" i="19" s="1"/>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6" i="19" l="1"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G221" i="19" s="1" a="1"/>
  <c r="G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K221" i="19" a="1"/>
  <c r="K221"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E249" i="19" l="1"/>
  <c r="E74" i="34" a="1"/>
  <c r="E74" i="34" s="1"/>
  <c r="J86" i="34" s="1"/>
  <c r="E130" i="19"/>
  <c r="E144" i="19" s="1"/>
  <c r="E15" i="41" s="1"/>
  <c r="E252" i="19"/>
  <c r="F17" i="41" s="1"/>
  <c r="E131" i="19"/>
  <c r="E145" i="19" s="1"/>
  <c r="F15" i="41" s="1"/>
  <c r="E248" i="19"/>
  <c r="E251" i="19"/>
  <c r="E17" i="41" s="1"/>
  <c r="E19" i="34" l="1" a="1"/>
  <c r="E19" i="34" s="1"/>
  <c r="J567" i="19" s="1"/>
  <c r="E90" i="34" a="1"/>
  <c r="E90" i="34" s="1"/>
  <c r="J569" i="19" s="1"/>
  <c r="E55" i="34" a="1"/>
  <c r="E55" i="34" s="1"/>
  <c r="J568" i="19" s="1"/>
  <c r="E571" i="19" l="1" a="1"/>
  <c r="E571" i="19" s="1"/>
  <c r="G573" i="19" s="1"/>
  <c r="E576" i="19" s="1" a="1"/>
  <c r="E576" i="19" s="1"/>
  <c r="E32" i="41" s="1"/>
  <c r="F32" i="41" l="1"/>
  <c r="F37" i="41" s="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<sst xmlns="http://schemas.openxmlformats.org/spreadsheetml/2006/main" count="2204" uniqueCount="862">
  <si>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</si>
  <si>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</si>
  <si>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</si>
  <si>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</si>
  <si>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</si>
  <si>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</si>
  <si>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</si>
  <si>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</si>
  <si>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</si>
  <si>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</si>
  <si>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</si>
  <si>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</si>
  <si>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</si>
  <si>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</si>
  <si>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</si>
  <si>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</si>
  <si>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</si>
  <si>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</si>
  <si>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</si>
  <si>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</si>
  <si>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</si>
  <si>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</si>
  <si>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</si>
  <si>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</si>
  <si>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</si>
  <si>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</si>
  <si>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</si>
  <si>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</si>
  <si>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</si>
  <si>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</si>
  <si>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</si>
  <si>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</si>
  <si>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</si>
  <si>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</si>
  <si>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</si>
  <si>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</si>
  <si>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</si>
  <si>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</si>
  <si>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</si>
  <si>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</si>
  <si>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</si>
  <si>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</si>
  <si>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</si>
  <si>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</si>
  <si>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</si>
  <si>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</si>
  <si>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</si>
  <si>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</si>
  <si>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</si>
  <si>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</si>
  <si>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</si>
  <si>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</si>
  <si>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</si>
  <si>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</si>
  <si>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</si>
  <si>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</si>
  <si>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</si>
  <si>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</si>
  <si>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</si>
  <si>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</si>
  <si>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</si>
  <si>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</si>
  <si>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</si>
  <si>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</si>
  <si>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</si>
  <si>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</si>
  <si>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</si>
  <si>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</si>
  <si>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</si>
  <si>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</si>
  <si>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</si>
  <si>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</si>
  <si>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</si>
  <si>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</si>
  <si>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</si>
  <si>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</si>
  <si>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</si>
  <si>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</si>
  <si>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</si>
  <si>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</si>
  <si>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</si>
  <si>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</si>
  <si>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</si>
  <si>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</si>
  <si>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</si>
  <si>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</si>
  <si>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</si>
  <si>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</si>
  <si>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</si>
  <si>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</si>
  <si>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</si>
  <si>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</si>
  <si>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</si>
  <si>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</si>
  <si>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</si>
  <si>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</si>
  <si>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</si>
  <si>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</si>
  <si>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</si>
  <si>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</si>
  <si>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</si>
  <si>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</si>
  <si>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</si>
  <si>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</si>
  <si>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</si>
  <si>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</si>
  <si>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</si>
  <si>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</si>
  <si>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</si>
  <si>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</si>
  <si>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</si>
  <si>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</si>
  <si>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</si>
  <si>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</si>
  <si>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</si>
  <si>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</si>
  <si>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</si>
  <si>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</si>
  <si>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</si>
  <si>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</si>
  <si>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</si>
  <si>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</si>
  <si>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</si>
  <si>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</si>
  <si>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</si>
  <si>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</si>
  <si>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</si>
  <si>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</si>
  <si>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</si>
  <si>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</si>
  <si>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</si>
  <si>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</si>
  <si>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</si>
  <si>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</si>
  <si>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</si>
  <si>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</si>
  <si>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</si>
  <si>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</si>
  <si>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</si>
  <si>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</si>
  <si>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</si>
  <si>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</si>
  <si>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</si>
  <si>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</si>
  <si>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</si>
  <si>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</si>
  <si>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</si>
  <si>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</si>
  <si>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</si>
  <si>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</si>
  <si>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</si>
  <si>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</si>
  <si>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</si>
  <si>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</si>
  <si>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</si>
  <si>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</si>
  <si>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</si>
  <si>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</si>
  <si>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</si>
  <si>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</si>
  <si>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</si>
  <si>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</si>
  <si>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</si>
  <si>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</si>
  <si>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</si>
  <si>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</si>
  <si>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</si>
  <si>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</si>
  <si>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</si>
  <si>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</si>
  <si>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</si>
  <si>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</si>
  <si>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</si>
  <si>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</si>
  <si>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</si>
  <si>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</si>
  <si>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</si>
  <si>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</si>
  <si>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</si>
  <si>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</si>
  <si>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</si>
  <si>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</si>
  <si>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</si>
  <si>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</si>
  <si>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</si>
  <si>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</si>
  <si>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</si>
  <si>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</si>
  <si>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</si>
  <si>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</si>
  <si>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</si>
  <si>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</si>
  <si>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</si>
  <si>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</si>
  <si>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</si>
  <si>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</si>
  <si>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</si>
  <si>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</si>
  <si>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</si>
  <si>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</si>
  <si>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</si>
  <si>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</si>
  <si>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</si>
  <si>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</si>
  <si>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</si>
  <si>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</si>
  <si>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</si>
  <si>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</si>
  <si>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</si>
  <si>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</si>
  <si>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</si>
  <si>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</si>
  <si>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</si>
  <si>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</si>
  <si>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</si>
  <si>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</si>
  <si>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</si>
  <si>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</si>
  <si>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</si>
  <si>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</si>
  <si>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</si>
  <si>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</si>
  <si>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</si>
  <si>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</si>
  <si>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</si>
  <si>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</si>
  <si>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</si>
  <si>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</si>
  <si>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</si>
  <si>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</si>
  <si>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</si>
  <si>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</si>
  <si>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</si>
  <si>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</si>
  <si>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</si>
  <si>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</si>
  <si>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</si>
  <si>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</si>
  <si>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</si>
  <si>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</si>
  <si>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</si>
  <si>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</si>
  <si>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</si>
  <si>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</si>
  <si>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</si>
  <si>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</si>
  <si>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</si>
  <si>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</si>
  <si>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</si>
  <si>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</si>
  <si>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</si>
  <si>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</si>
  <si>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</si>
  <si>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</si>
  <si>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</si>
  <si>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</si>
  <si>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</si>
  <si>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</si>
  <si>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</si>
  <si>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</si>
  <si>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</si>
  <si>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</si>
  <si>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</si>
  <si>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</si>
  <si>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</si>
  <si>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</si>
  <si>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</si>
  <si>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</si>
  <si>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</si>
  <si>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</si>
  <si>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</si>
  <si>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</si>
  <si>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</si>
  <si>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</si>
  <si>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</si>
  <si>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</si>
  <si>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</si>
  <si>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</si>
  <si>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</si>
  <si>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</si>
  <si>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</si>
  <si>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</si>
  <si>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</si>
  <si>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</si>
  <si>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</si>
  <si>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</si>
  <si>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</si>
  <si>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</si>
  <si>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</si>
  <si>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</si>
  <si>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</si>
  <si>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</si>
  <si>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</si>
  <si>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</si>
  <si>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</si>
  <si>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</si>
  <si>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</si>
  <si>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</si>
  <si>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</si>
  <si>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</si>
  <si>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</si>
  <si>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</si>
  <si>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</si>
  <si>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</si>
  <si>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</si>
  <si>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</si>
  <si>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</si>
  <si>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</si>
  <si>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</si>
  <si>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</si>
  <si>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</si>
  <si>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</si>
  <si>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</si>
  <si>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</si>
  <si>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</si>
  <si>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</si>
  <si>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</si>
  <si>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</si>
  <si>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</si>
  <si>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</si>
  <si>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</si>
  <si>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</si>
  <si>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</si>
  <si>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</si>
  <si>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</si>
  <si>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</si>
  <si>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</si>
  <si>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</si>
  <si>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</si>
  <si>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</si>
  <si>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</si>
  <si>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</si>
  <si>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</si>
  <si>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</si>
  <si>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</si>
  <si>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</si>
  <si>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</si>
  <si>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</si>
  <si>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</si>
  <si>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</si>
  <si>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</si>
  <si>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</si>
  <si>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</si>
  <si>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</si>
  <si>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</si>
  <si>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</si>
  <si>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</si>
  <si>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</si>
  <si>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</si>
  <si>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</si>
  <si>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</si>
  <si>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</si>
  <si>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</si>
  <si>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</si>
  <si>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</si>
  <si>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</si>
  <si>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</si>
  <si>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</si>
  <si>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</si>
  <si>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</si>
  <si>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</si>
  <si>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</si>
  <si>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</si>
  <si>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</si>
  <si>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</si>
  <si>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</si>
  <si>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</si>
  <si>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</si>
  <si>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</si>
  <si>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</si>
  <si>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</si>
  <si>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</si>
  <si>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</si>
  <si>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</si>
  <si>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</si>
  <si>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</si>
  <si>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</si>
  <si>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</si>
  <si>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</si>
  <si>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</si>
  <si>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</si>
  <si>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</si>
  <si>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</si>
  <si>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</si>
  <si>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</si>
  <si>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</si>
  <si>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</si>
  <si>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</si>
  <si>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</si>
  <si>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</si>
  <si>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</si>
  <si>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</si>
  <si>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</si>
  <si>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</si>
  <si>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</si>
  <si>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</si>
  <si>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</si>
  <si>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</si>
  <si>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</si>
  <si>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</si>
  <si>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</si>
  <si>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</si>
  <si>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</si>
  <si>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</si>
  <si>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</si>
  <si>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</si>
  <si>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</si>
  <si>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</si>
  <si>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</si>
  <si>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</si>
  <si>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</si>
  <si>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</si>
  <si>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</si>
  <si>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</si>
  <si>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</si>
  <si>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</si>
  <si>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</si>
  <si>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</si>
  <si>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</si>
  <si>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</si>
  <si>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</si>
  <si>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</si>
  <si>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</si>
  <si>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</si>
  <si>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</si>
  <si>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</si>
  <si>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</si>
  <si>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</si>
  <si>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</si>
  <si>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</si>
  <si>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</si>
  <si>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</si>
  <si>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</si>
  <si>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</si>
  <si>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</si>
  <si>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</si>
  <si>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</si>
  <si>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</si>
  <si>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</si>
  <si>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</si>
  <si>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</si>
  <si>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</si>
  <si>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</si>
  <si>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</si>
  <si>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</si>
  <si>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</si>
  <si>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</si>
  <si>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</si>
  <si>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</si>
  <si>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</si>
  <si>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</si>
  <si>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</si>
  <si>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</si>
  <si>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</si>
  <si>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</si>
  <si>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</si>
  <si>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</si>
  <si>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</si>
  <si>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</si>
  <si>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</si>
  <si>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</si>
  <si>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</si>
  <si>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</si>
  <si>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</si>
  <si>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</si>
  <si>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</si>
  <si>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</si>
  <si>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</si>
  <si>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</si>
  <si>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</si>
  <si>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</si>
  <si>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</si>
  <si>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</si>
  <si>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</si>
  <si>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</si>
  <si>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</si>
  <si>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</si>
  <si>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</si>
  <si>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</si>
  <si>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</si>
  <si>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</si>
  <si>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</si>
  <si>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</si>
  <si>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</si>
  <si>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</si>
  <si>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</si>
  <si>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</si>
  <si>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</si>
  <si>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</si>
  <si>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</si>
  <si>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</si>
  <si>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</si>
  <si>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</si>
  <si>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</si>
  <si>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</si>
  <si>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</si>
  <si>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</si>
  <si>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</si>
  <si>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</si>
  <si>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</si>
  <si>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</si>
  <si>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</si>
  <si>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</si>
  <si>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</si>
  <si>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</si>
  <si>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</si>
  <si>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</si>
  <si>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</si>
  <si>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</si>
  <si>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</si>
  <si>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</si>
  <si>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</si>
  <si>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</si>
  <si>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</si>
  <si>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</si>
  <si>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</si>
  <si>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</si>
  <si>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</si>
  <si>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</si>
  <si>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</si>
  <si>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</si>
  <si>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</si>
  <si>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</si>
  <si>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</si>
  <si>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</si>
  <si>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</si>
  <si>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</si>
  <si>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</si>
  <si>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</si>
  <si>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</si>
  <si>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</si>
  <si>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</si>
  <si>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</si>
  <si>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</si>
  <si>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</si>
  <si>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</si>
  <si>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</si>
  <si>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</si>
  <si>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</si>
  <si>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</si>
  <si>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</si>
  <si>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</si>
  <si>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</si>
  <si>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</si>
  <si>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</si>
  <si>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</si>
  <si>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</si>
  <si>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</si>
  <si>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</si>
  <si>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</si>
  <si>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</si>
  <si>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</si>
  <si>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</si>
  <si>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</si>
  <si>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</si>
  <si>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</si>
  <si>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</si>
  <si>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</si>
  <si>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</si>
  <si>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</si>
  <si>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</si>
  <si>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</si>
  <si>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</si>
  <si>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</si>
  <si>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</si>
  <si>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</si>
  <si>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</si>
  <si>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</si>
  <si>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</si>
  <si>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</si>
  <si>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</si>
  <si>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</si>
  <si>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</si>
  <si>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</si>
  <si>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</si>
  <si>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</si>
  <si>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</si>
  <si>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</si>
  <si>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</si>
  <si>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</si>
  <si>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</si>
  <si>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</si>
  <si>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</si>
  <si>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</si>
  <si>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</si>
  <si>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</si>
  <si>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</si>
  <si>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</si>
  <si>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</si>
  <si>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</si>
  <si>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</si>
  <si>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</si>
  <si>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</si>
  <si>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</si>
  <si>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</si>
  <si>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</si>
  <si>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</si>
  <si>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</si>
  <si>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</si>
  <si>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</si>
  <si>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</si>
  <si>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</si>
  <si>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</si>
  <si>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</si>
  <si>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</si>
  <si>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</si>
  <si>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</si>
  <si>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</si>
  <si>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</si>
  <si>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</si>
  <si>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</si>
  <si>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</si>
  <si>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</si>
  <si>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</si>
  <si>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</si>
  <si>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</si>
  <si>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</si>
  <si>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</si>
  <si>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</si>
  <si>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</si>
  <si>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</si>
  <si>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</si>
  <si>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</si>
  <si>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</si>
  <si>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</si>
  <si>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</si>
  <si>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</si>
  <si>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</si>
  <si>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</si>
  <si>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</si>
  <si>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</si>
  <si>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</si>
  <si>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</si>
  <si>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</si>
  <si>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</si>
  <si>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</si>
  <si>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</si>
  <si>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</si>
  <si>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</si>
  <si>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</si>
  <si>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</si>
  <si>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</si>
  <si>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</si>
  <si>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</si>
  <si>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</si>
  <si>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</si>
  <si>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</si>
  <si>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</si>
  <si>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</si>
  <si>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</si>
  <si>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</si>
  <si>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</si>
  <si>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</si>
  <si>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</si>
  <si>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</si>
  <si>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</si>
  <si>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</si>
  <si>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</si>
  <si>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</si>
  <si>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</si>
  <si>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</si>
  <si>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</si>
  <si>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</si>
  <si>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</si>
  <si>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</si>
  <si>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</si>
  <si>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</si>
  <si>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</si>
  <si>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</si>
  <si>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</si>
  <si>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</si>
  <si>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</si>
  <si>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</si>
  <si>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</si>
  <si>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</si>
  <si>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</si>
  <si>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</si>
  <si>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</si>
  <si>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</si>
  <si>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</si>
  <si>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</si>
  <si>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</si>
  <si>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</si>
  <si>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</si>
  <si>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</si>
  <si>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</si>
  <si>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</si>
  <si>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</si>
  <si>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</si>
  <si>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</si>
  <si>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</si>
  <si>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</si>
  <si>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</si>
  <si>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</si>
  <si>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</si>
  <si>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</si>
  <si>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</si>
  <si>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</si>
  <si>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</si>
  <si>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</si>
  <si>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</si>
  <si>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</si>
  <si>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</si>
  <si>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</si>
  <si>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</si>
  <si>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</si>
  <si>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</si>
  <si>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</si>
  <si>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</si>
  <si>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</si>
  <si>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</si>
  <si>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</si>
  <si>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</si>
  <si>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</si>
  <si>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</si>
  <si>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</si>
  <si>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</si>
  <si>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</si>
  <si>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</si>
  <si>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</si>
  <si>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</si>
  <si>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</si>
  <si>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</si>
  <si>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</si>
  <si>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</si>
  <si>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</si>
  <si>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</si>
  <si>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</si>
  <si>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</si>
  <si>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</si>
  <si>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</si>
  <si>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</si>
  <si>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</si>
  <si>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</si>
  <si>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</si>
  <si>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</si>
  <si>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</si>
  <si>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</si>
  <si>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</si>
  <si>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</si>
  <si>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</si>
  <si>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</si>
  <si>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</si>
  <si>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</si>
  <si>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</si>
  <si>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</si>
  <si>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</si>
  <si>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</si>
  <si>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</si>
  <si>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</si>
  <si>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</si>
  <si>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</si>
  <si>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</si>
  <si>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</si>
  <si>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</si>
  <si>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</si>
  <si>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</si>
  <si>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</si>
  <si>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</si>
  <si>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</si>
  <si>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</si>
  <si>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</si>
  <si>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</si>
  <si>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</si>
  <si>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</si>
  <si>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</si>
  <si>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</si>
  <si>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</si>
  <si>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</si>
  <si>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</si>
  <si>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</si>
  <si>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</si>
  <si>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</si>
  <si>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</si>
  <si>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</si>
  <si>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</si>
  <si>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</si>
  <si>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</si>
  <si>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</si>
  <si>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</si>
  <si>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</si>
  <si>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</si>
  <si>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</si>
  <si>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</si>
  <si>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</si>
  <si>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</si>
  <si>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</si>
  <si>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</si>
  <si>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</si>
  <si>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</si>
  <si>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</si>
  <si>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</si>
  <si>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</si>
  <si>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</si>
  <si>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</si>
  <si>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</si>
  <si>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</si>
  <si>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</si>
  <si>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</si>
  <si>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</si>
  <si>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</si>
  <si>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</si>
  <si>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</si>
  <si>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</si>
  <si>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</si>
  <si>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</si>
  <si>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</si>
  <si>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</si>
  <si>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</si>
  <si>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</si>
  <si>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</si>
  <si>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</si>
  <si>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</si>
  <si>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t>Qmasswt</t>
  </si>
  <si>
    <t>Qvolwt</t>
  </si>
  <si>
    <t>Qwt</t>
  </si>
  <si>
    <t>EFwtg</t>
  </si>
  <si>
    <t>Eg</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</si>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</sst>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24">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6" fillId="2" borderId="0" xfId="6" applyAlignment="1">
      <alignment horizontal="left" vertical="center" indent="2"/>
    </xf>
    <xf numFmtId="0" fontId="76" fillId="2" borderId="0" xfId="55" applyFill="1" applyAlignment="1">
      <alignment horizontal="left" vertical="center"/>
    </xf>
    <xf numFmtId="0" fontId="4" fillId="2" borderId="10" xfId="4" applyBorder="1" applyAlignment="1">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39"/>
      <tableStyleElement type="headerRow" dxfId="538"/>
      <tableStyleElement type="totalRow" dxfId="537"/>
      <tableStyleElement type="firstColumn" dxfId="536"/>
      <tableStyleElement type="firstRowStripe" dxfId="535"/>
      <tableStyleElement type="secondRowStripe" dxfId="534"/>
    </tableStyle>
    <tableStyle name="Equation table" pivot="0" count="6" xr9:uid="{0B4491E8-4F2C-4EE8-9336-DC99561B4B77}">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ustomXml" Target="../customXml/item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592</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27"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6" dataCellStyle="Input select" totalsRowCellStyle="Input select"/>
    <tableColumn id="3" xr3:uid="{E03C244F-B016-4373-8F29-F863250A309B}" name="Fuel type (select)" totalsRowDxfId="525" dataCellStyle="Input select" totalsRowCellStyle="Input select"/>
    <tableColumn id="4" xr3:uid="{70536E5B-E617-4814-BA37-CAE5E35162C6}" name="Amount purchased" totalsRowDxfId="524" totalsRowCellStyle="Content bold"/>
    <tableColumn id="6" xr3:uid="{9F12A1DD-B701-47BF-A99D-DAA4D26B1EB3}" name="Amount unit" totalsRowDxfId="523"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2" totalsRowCellStyle="Input percent">
      <calculatedColumnFormula>1</calculatedColumnFormula>
    </tableColumn>
    <tableColumn id="1" xr3:uid="{54C850E9-3FE0-4B86-92C1-58D2275B9FA5}" name="Amount consumed" totalsRowFunction="custom" totalsRowDxfId="521"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20" dataDxfId="519" totalsRowDxfId="518"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17" totalsRowDxfId="516" dataCellStyle="Input select"/>
    <tableColumn id="23" xr3:uid="{F727E370-72E8-46CC-9F10-18494CAC017E}" name="Amount applied per hectare" totalsRowFunction="custom" dataDxfId="515" totalsRowDxfId="514">
      <totalsRowFormula>SUM(Table_Input_InorganicFertiliser_Brands[[#Headers],[#Data],[Amount applied per hectare]])</totalsRowFormula>
    </tableColumn>
    <tableColumn id="18" xr3:uid="{2253738D-C34B-45FC-A347-3594DD12A0FD}" name="Application unit" totalsRowDxfId="513"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2"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1" totalsRowDxfId="510">
      <calculatedColumnFormula>$E$9</calculatedColumnFormula>
    </tableColumn>
    <tableColumn id="1" xr3:uid="{DE25213C-DDD2-412A-85A4-29987D633B72}" name="Total applied (kg)" dataDxfId="509" totalsRowDxfId="508"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07" totalsRowDxfId="506"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5" totalsRowDxfId="504"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3"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2" totalsRowDxfId="501"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500" totalsRowDxfId="499"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98" totalsRowDxfId="497"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6" totalsRowDxfId="495"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4"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3"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2"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1"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90"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89" totalsRowDxfId="488"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87" totalsRowDxfId="486"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5" totalsRowDxfId="484"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3" dataDxfId="482"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1"/>
    <tableColumn id="3" xr3:uid="{9EAF254B-17DE-4675-8AF9-F68B80BF582C}" name="Application area (ha)" dataDxfId="480" dataCellStyle="Input number 2 decimal places">
      <calculatedColumnFormula>$E$9</calculatedColumnFormula>
    </tableColumn>
    <tableColumn id="4" xr3:uid="{CFA5CCED-3BC5-4DD2-AC3F-E4DC58D9B605}"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78" dataCellStyle="Input select"/>
    <tableColumn id="6" xr3:uid="{3F30B499-2152-42DE-8F13-8F97800C0F82}" name="Ingredient 1 percent" dataDxfId="477"/>
    <tableColumn id="8" xr3:uid="{81DBD2AF-CE79-4DFA-ABE1-18247069D1B2}" name="Ingredient 2" dataDxfId="476" dataCellStyle="Input select"/>
    <tableColumn id="9" xr3:uid="{1CF7EE6F-57DF-414D-AEE5-FBCA6348094D}" name="Ingredient 2 percent" dataDxfId="475"/>
    <tableColumn id="11" xr3:uid="{A18D28AA-C181-4552-8786-2ECF509C16C8}" name="Ingredient 3" dataDxfId="474" dataCellStyle="Input select"/>
    <tableColumn id="12" xr3:uid="{B6A6831A-C9EE-4F80-B87F-A0C4C20DFCFD}" name="Ingredient 3 percent" dataDxfId="473"/>
    <tableColumn id="14" xr3:uid="{4467B432-BBEC-488F-912D-5D7123AE260A}" name="Ingredient 4" dataDxfId="472" dataCellStyle="Input select"/>
    <tableColumn id="15" xr3:uid="{0FA01265-32D2-4FC6-BCD7-17164873ADC9}" name="Ingredient 4 percent" dataCellStyle="Input percent"/>
    <tableColumn id="7" xr3:uid="{BF8B607F-8C2E-4E2B-B89D-E699723F771C}" name="N application rate (kg/ha)" dataDxfId="471"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70"/>
    <tableColumn id="13" xr3:uid="{CA785B69-1D00-4D4E-954C-77FAF8F67EDB}" name="Ammonia source" dataDxfId="469"/>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468" dataDxfId="467"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6"/>
    <tableColumn id="2" xr3:uid="{BBD9A28E-9144-4A75-B4E2-101A86320BD7}" name="Amount applied (t/hectare)" dataDxfId="465"/>
    <tableColumn id="4" xr3:uid="{28D6DB55-F183-4018-A8CF-F5EECD3B6F14}" name="Application area (ha)" dataDxfId="464">
      <calculatedColumnFormula>$E$9</calculatedColumnFormula>
    </tableColumn>
    <tableColumn id="3" xr3:uid="{A873C277-F431-4770-984D-50E37F5B322A}" name="Total amount applied (t)" dataDxfId="463"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2">
      <calculatedColumnFormula>SUM(Table_Input_SoilAmeliorants[[#This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65:H175" totalsRowShown="0" headerRowDxfId="461" headerRowCellStyle="Input table column header">
  <autoFilter ref="D165:H175"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60"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59">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58" dataCellStyle="Input select"/>
    <tableColumn id="2" xr3:uid="{5B0AEBA4-AB33-4382-8634-3F4C8D3B2A9B}" name="Number of head treated" dataDxfId="457"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56" dataCellStyle="Input select"/>
    <tableColumn id="2" xr3:uid="{FA43F52A-7609-4014-A6D3-CAC2C970F57C}" name="Purchase class (select)" dataDxfId="455" dataCellStyle="Input select"/>
    <tableColumn id="6" xr3:uid="{41EDEC1E-1793-4BBD-B0C8-66DE9A0925D5}" name="Source region (Select)" dataDxfId="454"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453">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52"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451">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50"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49"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208:F218" totalsRowShown="0" headerRowCellStyle="Input table column header">
  <autoFilter ref="D208:F218"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0:G160" totalsRowShown="0">
  <autoFilter ref="D150:G160"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80:F190" totalsRowShown="0">
  <autoFilter ref="D180:F190"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20:I29" totalsRowShown="0" headerRowCellStyle="Input table column header">
  <autoFilter ref="D20:I2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48"/>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7"/>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6"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5"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4"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3"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2"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0"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39"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38"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7"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6"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5"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4"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3"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2"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1"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0"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29"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28"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7"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6"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5"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4"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3"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2"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1"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0"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1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18"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7"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6"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5"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4"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3"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2"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0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0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6"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4"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3"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2"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1"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0"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99"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9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7"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6"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5"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4"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3"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2"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1"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0"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89"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88"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7"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6"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5"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4"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3"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2"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1"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0"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79"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78"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7"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6"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5"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4"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91B631D-8029-481F-8C1D-59FD21F1A01F}"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658597C4-2E30-416B-8A86-21508C21761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0C89251-E582-479F-AB58-5B22A50785EB}" name="Waste type w"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17CFAF8-C097-4D65-A69C-017C80F9129C}" name="EFwt" dataDxfId="37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30A845C8-0810-4C68-AB3C-C127105A25EB}" name="EF source" dataDxfId="37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03ED854-97EC-43D8-BBCB-BAD1EC1BCF35}"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216E96CB-66DE-4B4B-A3AD-7AE9A5564F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87C96AF3-3646-48E3-8446-885E80513812}" name="VTMw" dataDxfId="37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D36355E-14B3-4FBF-98DA-A1C28E78F4A9}" name="Table_WasteTypes_Landfill" displayName="Table_WasteTypes_Landfill" ref="I9:I20" totalsRowShown="0">
  <autoFilter ref="I9:I20" xr:uid="{99B942E3-1D24-4166-921C-DCC10960718D}">
    <filterColumn colId="0" hiddenButton="1"/>
  </autoFilter>
  <tableColumns count="1">
    <tableColumn id="1" xr3:uid="{D0BE22FC-BCCD-4DB2-B3EF-CC79C28CB432}"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11A2AA6-3075-42DD-85C6-6FB7A8D52E48}" name="Table_WasteTypes_Incineration" displayName="Table_WasteTypes_Incineration" ref="K9:K16" totalsRowShown="0" headerRowDxfId="369" headerRowCellStyle="Content normal" dataCellStyle="Content normal">
  <autoFilter ref="K9:K16" xr:uid="{9A900595-7035-4239-9059-ACC16835BF72}">
    <filterColumn colId="0" hiddenButton="1"/>
  </autoFilter>
  <tableColumns count="1">
    <tableColumn id="1" xr3:uid="{5F88B6C0-D6F8-441B-8663-97579CB77FCE}" name="Waste type w" dataCellStyle="Content normal">
      <calculatedColumnFormula>E21</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403B5C1-0CEA-4053-8C5F-76B6A20329B3}" name="Table_WasteTypes_Composting" displayName="Table_WasteTypes_Composting" ref="M9:M10" totalsRowShown="0" headerRowDxfId="368" headerRowCellStyle="Content normal" dataCellStyle="Content normal">
  <autoFilter ref="M9:M10" xr:uid="{5C8D39D3-1330-49EB-B431-1B2B8C8238DC}">
    <filterColumn colId="0" hiddenButton="1"/>
  </autoFilter>
  <tableColumns count="1">
    <tableColumn id="1" xr3:uid="{FAE5696F-EEA1-4E06-B3D1-DD597AC0614A}" name="Waste type w" dataCellStyle="Content normal">
      <calculatedColumnFormula>E28</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186C0DB-1AB3-40F9-8278-D24C1DAE7D68}" name="Table_WasteTypes_Anaerobicdigestion" displayName="Table_WasteTypes_Anaerobicdigestion" ref="O9:O10" totalsRowShown="0" headerRowDxfId="367" headerRowCellStyle="Content normal" dataCellStyle="Content normal">
  <autoFilter ref="O9:O10" xr:uid="{331EC43E-DF68-429F-A2A4-58BFE6216EC3}">
    <filterColumn colId="0" hiddenButton="1"/>
  </autoFilter>
  <tableColumns count="1">
    <tableColumn id="1" xr3:uid="{48BA2D79-F4E9-4368-B449-DA6C569DBDB2}"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15B15F-4789-439B-8459-21C4B87158B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EEC89E0-5C88-409C-B9B8-B275A1252901}" name="State/Territory">
      <calculatedColumnFormula array="1">Common_InputFunctions.Utility_DisplayArrayInTable(Common_SourceData.Common_SourceData_AustralianStatesTerritories_Data(),Table_AustralianStates[[#Headers],[State/Territory]],0)</calculatedColumnFormula>
    </tableColumn>
    <tableColumn id="2" xr3:uid="{95CAFEE4-0D98-417B-A353-D425528AF35F}" name="Common Name">
      <calculatedColumnFormula array="1">Common_InputFunctions.Utility_DisplayArrayInTable(Common_SourceData.Common_SourceData_AustralianStatesTerritories_Data(),Table_AustralianStates[[#Headers],[State/Territory]],0)</calculatedColumnFormula>
    </tableColumn>
    <tableColumn id="3" xr3:uid="{4DF8F1ED-ABE5-451B-BFC4-4A13715555B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9088F3-5718-4748-9EFF-7ABEF305328C}" name="Table_WASA4Areas" displayName="Table_WASA4Areas" ref="D20:D30" totalsRowShown="0">
  <autoFilter ref="D20:D30" xr:uid="{5FA81339-C6C8-4D36-BEEA-6C4AEDD9E676}">
    <filterColumn colId="0" hiddenButton="1"/>
  </autoFilter>
  <tableColumns count="1">
    <tableColumn id="1" xr3:uid="{AEC38D28-0805-4F40-9378-4204E1F8C1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205E2D-3FCB-4528-8709-D79FE1C61154}" name="Table_GWPData" displayName="Table_GWPData" ref="D36:E43" totalsRowShown="0">
  <autoFilter ref="D36:E43" xr:uid="{B8E87A66-3E41-4AD3-925D-01EE21B43D7A}">
    <filterColumn colId="0" hiddenButton="1"/>
    <filterColumn colId="1" hiddenButton="1"/>
  </autoFilter>
  <tableColumns count="2">
    <tableColumn id="1" xr3:uid="{8D09899D-B00D-42D4-B7F9-A8DDA69D9930}" name="Gas">
      <calculatedColumnFormula array="1">Common_InputFunctions.Utility_DisplayArrayInTable(Common_SourceData.Common_SourceData_GWP_Data(), Table_GWPData[[#Headers],[Gas]], 0)</calculatedColumnFormula>
    </tableColumn>
    <tableColumn id="2" xr3:uid="{363B8932-1BA0-4163-97E8-5F9E3DB153A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74858A-0B40-4736-9994-233E62DCE42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F123607-A967-4932-BA15-33723C238978}" name="Gas">
      <calculatedColumnFormula array="1">Common_InputFunctions.Utility_DisplayArrayInTable(Common_SourceData.Common_SourceData_ConvertGasElementalToMolecular_Data(),Table_GasToMolecularConversionFactor[[#Headers],[Gas]], 0)</calculatedColumnFormula>
    </tableColumn>
    <tableColumn id="5" xr3:uid="{A76D0020-1FAF-4079-BC00-2858BADCC52A}" name="Conversion factor">
      <calculatedColumnFormula array="1">Common_InputFunctions.Utility_DisplayArrayInTable(Common_SourceData.Common_SourceData_ConvertGasElementalToMolecular_Data(),Table_GasToMolecularConversionFactor[[#Headers],[Gas]], 0)</calculatedColumnFormula>
    </tableColumn>
    <tableColumn id="2" xr3:uid="{AF33DF57-2749-4275-A29F-DE74DBEE1F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5B7BF30-CFCA-4E10-91FE-91069559A0F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84546C-632C-4E9D-B59C-8A51890A0EA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E98829-F416-4CBD-964C-1A8519C4C3F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8532FA2-E5E7-41B8-A7AA-9D007421AAE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C66DE1B-CCBE-481A-9599-4163121B1727}" name="MA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3" xr3:uid="{8FDA33C3-2D94-4EF5-A88F-177E44BE28A1}" name="MAP"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4" xr3:uid="{AFF89688-4F7D-47D7-B1FD-CC20FB42C7E8}" name="Frost days per year"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5" xr3:uid="{417EADD7-F104-477A-9BEE-42A28663C457}" name="Elevation"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6" xr3:uid="{E0C38FB6-4819-4C5F-877F-B112E11A2353}" name="MAP:PET"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7" xr3:uid="{BD6C7770-6A7F-458C-A92A-1F0B7E9B51E3}" name="Min temp"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8" xr3:uid="{21F7B52A-B6C0-415F-A401-601B91F61992}" name="Max temp"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9" xr3:uid="{4429DD81-062C-41FF-B818-D7F6A4D629C9}" name="Min rainfall"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0" xr3:uid="{01BF97FB-EB58-46DF-9D38-CA4C756D54D9}" name="Max rainfall"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1" xr3:uid="{91A088CD-B67A-4A6B-9E96-2AF9327217A8}" name="Min frost days"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5" xr3:uid="{442CDA34-723E-4A7A-B552-539380A2F9A3}" name="Max frost days"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2" xr3:uid="{C526D8E8-BA00-41CF-91E3-A0E6BEE6D40D}" name="Min 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16" xr3:uid="{033767DA-F8E2-4C65-9943-6B5932BF6623}" name="Max elevation"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13" xr3:uid="{CC11E781-6740-44F0-8E56-92474BDB622E}" name="Min MAP:PE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17" xr3:uid="{D487D136-489F-42E5-9A8D-01EC5BADE055}" name="Max MAP:PET" totalsRowDxfId="8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C6CAC7-104E-4F9C-BE41-A87DC5291EE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BBBB6B1-D087-4CA0-8FBF-2F85A26E3C8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7F36A35-DF4B-476B-B0AE-2E4F9DFD8F54}" name="Wet or Dry Zone" totalsRowDxfId="8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C22326-5593-458B-913D-7357C04254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8BB2F60-DBF5-4808-AB13-4A551B9CE969}" name="Temperature Zone">
      <calculatedColumnFormula array="1">Common_InputFunctions.Utility_DisplayArrayInTable(Common_SourceData.Common_SourceData_TemperatureZones_Data(),Table_SourceData_TemperatureZones[[#Headers],[Temperature Zone]],0)</calculatedColumnFormula>
    </tableColumn>
    <tableColumn id="2" xr3:uid="{92C57346-3DDD-4E68-96A7-CB7F3105AA9C}" name="MAT">
      <calculatedColumnFormula array="1">Common_InputFunctions.Utility_DisplayArrayInTable(Common_SourceData.Common_SourceData_TemperatureZones_Data(),Table_SourceData_TemperatureZones[[#Headers],[Temperature Zone]],0)</calculatedColumnFormula>
    </tableColumn>
    <tableColumn id="3" xr3:uid="{C245C5B5-CE51-445C-A68C-180C5B8C78EE}" name="Min MAT">
      <calculatedColumnFormula array="1">Common_InputFunctions.Utility_DisplayArrayInTable(Common_SourceData.Common_SourceData_TemperatureZones_Data(),Table_SourceData_TemperatureZones[[#Headers],[Temperature Zone]],0)</calculatedColumnFormula>
    </tableColumn>
    <tableColumn id="4" xr3:uid="{34CA3FA1-F43C-4DB3-864C-51B1350740B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B739F55-C8AC-4502-9DA8-797DAD5AA8D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845587B-0AB3-4814-8D68-F36B5523E0E6}" name="Rainfall Zone">
      <calculatedColumnFormula array="1">Common_InputFunctions.Utility_DisplayArrayInTable(Common_SourceData.Common_SourceData_RainfallZones_Data(),Table_SourceData_RainfallZones[[#Headers],[Rainfall Zone]],0)</calculatedColumnFormula>
    </tableColumn>
    <tableColumn id="2" xr3:uid="{F3046930-DD00-4896-BE8C-720AA35F9A67}" name="Annual rainfall">
      <calculatedColumnFormula array="1">Common_InputFunctions.Utility_DisplayArrayInTable(Common_SourceData.Common_SourceData_RainfallZones_Data(),Table_SourceData_RainfallZones[[#Headers],[Rainfall Zone]],0)</calculatedColumnFormula>
    </tableColumn>
    <tableColumn id="3" xr3:uid="{BE26C532-A63D-4B15-A4E5-C983B019E3D2}" name="Min rainfall">
      <calculatedColumnFormula array="1">Common_InputFunctions.Utility_DisplayArrayInTable(Common_SourceData.Common_SourceData_RainfallZones_Data(),Table_SourceData_RainfallZones[[#Headers],[Rainfall Zone]],0)</calculatedColumnFormula>
    </tableColumn>
    <tableColumn id="4" xr3:uid="{DB8DADF2-E3F4-40D0-BC55-CE26512973A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97F058-4A05-4304-92D8-A312163014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8724587-46D0-4895-A1FB-2B91B9875F11}" name="Leaching Zone">
      <calculatedColumnFormula array="1">Common_InputFunctions.Utility_DisplayArrayInTable(Common_SourceData.Common_SourceData_LeachingZones_Data(), Table_SourceData_LeachingZones[[#Headers],[Leaching Zone]], 0)</calculatedColumnFormula>
    </tableColumn>
    <tableColumn id="2" xr3:uid="{F94C6400-DD50-4146-A1FC-E21E6A9D8EC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E2B6FF-ED3D-44DF-9365-2D78C8D93F9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3D92F28-FDF8-4D29-A027-5CE853565E89}" name="Data source">
      <calculatedColumnFormula array="1">Common_InputFunctions.Utility_DisplayArrayInTable(Common_SourceData.Common_SourceData_DataScores_Scope3_Data(), Table_SourceData_DataScores_Scope3[[#Headers],[Data source]], 0)</calculatedColumnFormula>
    </tableColumn>
    <tableColumn id="2" xr3:uid="{FC5AF7B2-A6A9-4FFE-8A47-F9C2804A1FB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F3F8CD-12DF-4375-96FB-F99A0E02CFFA}" name="Table_SourceData_FracWET" displayName="Table_SourceData_FracWET" ref="D134:E136" totalsRowShown="0">
  <autoFilter ref="D134:E136" xr:uid="{308E99BE-FE1F-47A4-B2CA-97217277C4E9}">
    <filterColumn colId="0" hiddenButton="1"/>
    <filterColumn colId="1" hiddenButton="1"/>
  </autoFilter>
  <tableColumns count="2">
    <tableColumn id="1" xr3:uid="{EC51B66F-AF4F-423C-B743-AFC891D7017E}" name="Is in leaching zone">
      <calculatedColumnFormula array="1">Common_InputFunctions.Utility_DisplayArrayInTable(Common_SourceData.Common_SourceData_FracWET_Data(),Table_SourceData_FracWET[[#Headers],[Is in leaching zone]],0)</calculatedColumnFormula>
    </tableColumn>
    <tableColumn id="2" xr3:uid="{9126573D-3333-4096-A32F-FBC651764A8C}" name="FracWET" dataDxfId="8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4A52FB-D2A1-4AF5-9A94-20D7C6A2EFB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BAAB6D2-2B5C-4DDE-BA8E-58FAFBB97563}" name="Production system j">
      <calculatedColumnFormula array="1">Common_InputFunctions.Utility_DisplayArrayInTable(Common_SourceData.Common_SourceData_EFN2O_Data(), Table_SourceData_Common_EFN2O[[#Headers],[Production system j]], 0)</calculatedColumnFormula>
    </tableColumn>
    <tableColumn id="2" xr3:uid="{AC2459AD-5F89-4C94-A444-CA88889BD9F1}" name="EFN2O">
      <calculatedColumnFormula array="1">Common_InputFunctions.Utility_DisplayArrayInTable(Common_SourceData.Common_SourceData_EFN2O_Data(), Table_SourceData_Common_EFN2O[[#Headers],[Production system j]], 0)</calculatedColumnFormula>
    </tableColumn>
    <tableColumn id="3" xr3:uid="{FB3F9D8E-F84A-478E-95C1-E0D7AE22DD17}" name="Production system only">
      <calculatedColumnFormula array="1">Common_InputFunctions.Utility_DisplayArrayInTable(Common_SourceData.Common_SourceData_EFN2O_Data(), Table_SourceData_Common_EFN2O[[#Headers],[Production system j]], 0)</calculatedColumnFormula>
    </tableColumn>
    <tableColumn id="4" xr3:uid="{144A79BC-D64C-4A6E-9F19-FEE59BCCB76B}" name="Irrigation method">
      <calculatedColumnFormula array="1">Common_InputFunctions.Utility_DisplayArrayInTable(Common_SourceData.Common_SourceData_EFN2O_Data(), Table_SourceData_Common_EFN2O[[#Headers],[Production system j]], 0)</calculatedColumnFormula>
    </tableColumn>
    <tableColumn id="5" xr3:uid="{479D1EC8-A3DB-4067-86B6-89376E09F66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4BF4681-A4D7-403D-8E02-BA3DEB3947A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148B61B-60CC-48C0-8FBD-63E8617E5A82}" name="Irrigation type i">
      <calculatedColumnFormula array="1">Common_InputFunctions.Utility_DisplayArrayInTable(Common_SourceData.Common_SourceData_FracWETIrrigation_Data(), Table_SourceData_FracWETIrrigation[[#Headers],[Irrigation type i]], 0)</calculatedColumnFormula>
    </tableColumn>
    <tableColumn id="2" xr3:uid="{30D30194-73BF-4762-A67F-87AFFA79AD7D}" name="FracWET" dataDxfId="8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2AB55E7-79E4-4354-8EEB-5D50F45969F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2A27C0E-7383-4029-8246-9C226AFCDC6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894B839-16A9-477F-B7EA-F2BE40CB1F4F}" name="EFPRP" dataDxfId="8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87446E5-6DD5-4502-9D68-2470042FDF7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70F4963-419B-4520-A92C-72E9F6322351}" name="Month">
      <calculatedColumnFormula array="1">Common_InputFunctions.Utility_DisplayArrayInTable(Common_SourceData.Common_SourceData_MonthsToSeasons_Data(), Table_SourceData_Common_MonthToSeason[[#Headers],[Month]], 0)</calculatedColumnFormula>
    </tableColumn>
    <tableColumn id="2" xr3:uid="{A27CC605-0910-4EA1-B083-DD2C970E9ECD}" name="Season" dataDxfId="7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04342A-878F-4C36-8448-100A4B2E64A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8AB4C84-7352-492E-A482-F24766C41D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1B0A925-E4B9-4544-88B7-DD04E2FB58F1}" name="MAT (ºC)"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0DA5C7A-79D6-409E-8E8C-39E37DEE3362}" name="Anaerobic lagoon"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56CAA63-AEF8-4391-BE05-1DF3B8F3F637}" name="Digester / covered lagoons"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904E06E-D129-4B79-A3B7-3759E5FD71BB}" name="Liquid systems"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483F92F-7046-4677-ADC2-386F42043D71}" name="Daily spread"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5C767C2-06FE-46B8-BA5D-FC22C9618A64}" name="Composting (passive windrow)"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6EEC261-E5DD-42C5-9B1F-C3DB9FC5C5D5}" name="Solid storage"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0DCC47D-B37C-4EFF-8970-A037A95A00EB}" name="Pit storage"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0EC4341-7DE5-4DE9-8BC5-D38EEDC6776F}" name="Deep litter"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8C07132-E7BD-44AC-B472-204A8A0342DA}" name="Poultry manure with bedding"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1CD0A79-5068-46D7-920D-F43251D7BA03}" name="Poultry manure without bedding"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85E6B26-D152-4C2E-B5B0-A4B2C555A253}" name="Direct processing"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21408B8-9642-48AA-A5CF-E96F5CB33415}" name="Direct application"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1B5D497-34A5-4A32-9CF3-3215455B52C8}" name="Pasture range and paddock"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67AB098-A04C-4883-80DE-73B63FCB5DC5}" name="MAT raw"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8F2DD1E-5362-41D4-AAA9-853C46C0DD9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84BDA5E-7080-4DAB-9ED0-03BE2309530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7FEBB6A-38B0-400B-8302-2CA80BA95E66}" name="EFNi &amp; EFN2Oi" dataDxfId="6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848</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22" workbookViewId="0">
      <selection activeCell="E44" sqref="E44"/>
    </sheetView>
  </sheetViews>
  <sheetFormatPr defaultRowHeight="15.75" x14ac:dyDescent="0.25"/>
  <cols>
    <col min="1" max="1" width="30.625" customWidth="1"/>
    <col min="2" max="2" width="4.625" customWidth="1"/>
    <col min="3" max="3" width="4.625" style="8" customWidth="1"/>
    <col min="4" max="4" width="50" style="8" customWidth="1"/>
    <col min="5" max="11" width="30.625" style="8" customWidth="1"/>
    <col min="12" max="12" width="4.625" style="8" customWidth="1"/>
  </cols>
  <sheetData>
    <row r="1" spans="3:12" s="1" customFormat="1" ht="30" customHeight="1" x14ac:dyDescent="0.35">
      <c r="C1" s="214" t="s">
        <v>849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850</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851</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852</v>
      </c>
      <c r="E9" s="219" t="s">
        <v>853</v>
      </c>
      <c r="F9" s="219" t="s">
        <v>854</v>
      </c>
      <c r="G9" s="219"/>
    </row>
    <row r="10" spans="3:12" ht="20.100000000000001" customHeight="1" x14ac:dyDescent="0.25">
      <c r="C10" s="8" t="str" cm="1">
        <f t="array" ref="C10">Common_InputFunctions.Utility_ResultsItemFromEquationTitleAndSource('15 Scope 3'!D5,'15 Scope 3'!D6)</f>
        <v>15.1.1.1 Total emissions from purchased livestock</v>
      </c>
      <c r="D10" s="222" t="str" cm="1">
        <f t="array" aca="1" ref="D10" ca="1">HYPERLINK(Common_InputFunctions.Utility_SourceHyperlinkDifferentSheet('15 Scope 3'!D5), C10)</f>
        <v>15.1.1.1 Total emissions from purchased livestock</v>
      </c>
      <c r="E10" s="220"/>
      <c r="F10" s="220"/>
      <c r="G10" s="13" t="s">
        <v>855</v>
      </c>
    </row>
    <row r="11" spans="3:12" ht="20.100000000000001" customHeight="1" x14ac:dyDescent="0.25">
      <c r="D11" s="221" t="str">
        <f>'15 Scope 3'!D21</f>
        <v>Beef cattle</v>
      </c>
      <c r="E11" s="220">
        <f>'15 Scope 3'!E34</f>
        <v>1052.5</v>
      </c>
      <c r="F11" s="220">
        <f>'15 Scope 3'!E35</f>
        <v>1014.5</v>
      </c>
      <c r="G11" s="13" t="s">
        <v>855</v>
      </c>
    </row>
    <row r="12" spans="3:12" ht="20.100000000000001" customHeight="1" x14ac:dyDescent="0.25">
      <c r="D12" s="221" t="str">
        <f>'15 Scope 3'!D38</f>
        <v>Dairy cattle</v>
      </c>
      <c r="E12" s="220">
        <f>'15 Scope 3'!E53</f>
        <v>295.47000000000003</v>
      </c>
      <c r="F12" s="220">
        <f>'15 Scope 3'!E54</f>
        <v>415.625</v>
      </c>
      <c r="G12" s="13" t="s">
        <v>855</v>
      </c>
    </row>
    <row r="13" spans="3:12" ht="20.100000000000001" customHeight="1" x14ac:dyDescent="0.25">
      <c r="D13" s="221" t="str">
        <f>'15 Scope 3'!D57</f>
        <v>Pigs</v>
      </c>
      <c r="E13" s="220">
        <f>'15 Scope 3'!E72</f>
        <v>76.725999999999999</v>
      </c>
      <c r="F13" s="220">
        <f>'15 Scope 3'!E73</f>
        <v>73.38000000000001</v>
      </c>
      <c r="G13" s="13" t="s">
        <v>855</v>
      </c>
    </row>
    <row r="14" spans="3:12" ht="20.100000000000001" customHeight="1" x14ac:dyDescent="0.25">
      <c r="D14" s="221" t="str">
        <f>'15 Scope 3'!D75</f>
        <v>Poultry</v>
      </c>
      <c r="E14" s="220">
        <f>'15 Scope 3'!E90</f>
        <v>0.36720000000000003</v>
      </c>
      <c r="F14" s="220">
        <f>'15 Scope 3'!E91</f>
        <v>0.35940000000000005</v>
      </c>
      <c r="G14" s="13" t="s">
        <v>855</v>
      </c>
    </row>
    <row r="15" spans="3:12" ht="20.100000000000001" customHeight="1" x14ac:dyDescent="0.25">
      <c r="C15" s="222" t="str" cm="1">
        <f t="array" ref="C15">Common_InputFunctions.Utility_ResultsItemFromEquationTitleAndSource('15 Scope 3'!D98,'15 Scope 3'!D99)</f>
        <v>15.2.1.1 Emissions from purchased feed</v>
      </c>
      <c r="D15" s="222" t="str" cm="1">
        <f t="array" aca="1" ref="D15" ca="1">HYPERLINK(Common_InputFunctions.Utility_SourceHyperlinkDifferentSheet('15 Scope 3'!D98), C15)</f>
        <v>15.2.1.1 Emissions from purchased feed</v>
      </c>
      <c r="E15" s="220">
        <f>'15 Scope 3'!E144</f>
        <v>377.05200000000002</v>
      </c>
      <c r="F15" s="220">
        <f>'15 Scope 3'!E145</f>
        <v>529.78</v>
      </c>
      <c r="G15" s="13" t="s">
        <v>855</v>
      </c>
    </row>
    <row r="16" spans="3:12" ht="20.100000000000001" customHeight="1" x14ac:dyDescent="0.25">
      <c r="C16" s="222" t="str" cm="1">
        <f t="array" ref="C16">Common_InputFunctions.Utility_ResultsItemFromEquationTitleAndSource('15 Scope 3'!D149,'15 Scope 3'!D150)</f>
        <v>15.3.1.1 Total emissions from purchased mineral supplements</v>
      </c>
      <c r="D16" s="222" t="str" cm="1">
        <f t="array" aca="1" ref="D16" ca="1">HYPERLINK(Common_InputFunctions.Utility_SourceHyperlinkDifferentSheet('15 Scope 3'!D149), C16)</f>
        <v>15.3.1.1 Total emissions from purchased mineral supplements</v>
      </c>
      <c r="E16" s="220">
        <f>'15 Scope 3'!E166</f>
        <v>178.9</v>
      </c>
      <c r="F16" s="220">
        <f>'15 Scope 3'!E167</f>
        <v>160</v>
      </c>
      <c r="G16" s="13" t="s">
        <v>855</v>
      </c>
    </row>
    <row r="17" spans="4:8" ht="20.100000000000001" customHeight="1" x14ac:dyDescent="0.25">
      <c r="D17" s="222" t="str" cm="1">
        <f t="array" ref="D17">HYPERLINK('15 Scope 3'!D171, Common_InputFunctions.Utility_ResultsItemFromEquationTitleAndSource('15 Scope 3'!D186,'15 Scope 3'!D187))</f>
        <v>15.4.1.1 Emissions from purchased fertiliser</v>
      </c>
      <c r="E17" s="220">
        <f>'15 Scope 3'!E251</f>
        <v>53.822548254497605</v>
      </c>
      <c r="F17" s="220">
        <f>'15 Scope 3'!E252</f>
        <v>50.728065428338802</v>
      </c>
      <c r="G17" s="13" t="s">
        <v>855</v>
      </c>
    </row>
    <row r="18" spans="4:8" ht="20.100000000000001" customHeight="1" x14ac:dyDescent="0.25">
      <c r="D18" s="8" t="str" cm="1">
        <f t="array" ref="D18">Common_InputFunctions.Utility_ResultsItemFromEquationTitleAndSource('15 Scope 3'!D256,'15 Scope 3'!D257)</f>
        <v>15.5.1.1 Total emissions from purchased agrichemicals</v>
      </c>
      <c r="E18" s="220">
        <f>'15 Scope 3'!E283</f>
        <v>7.5159999999999991</v>
      </c>
      <c r="F18" s="220">
        <f>'15 Scope 3'!E284</f>
        <v>7.4959999999999996</v>
      </c>
      <c r="G18" s="13" t="s">
        <v>855</v>
      </c>
    </row>
    <row r="19" spans="4:8" ht="20.100000000000001" customHeight="1" x14ac:dyDescent="0.25">
      <c r="D19" s="8" t="str" cm="1">
        <f t="array" ref="D19">Common_InputFunctions.Utility_ResultsItemFromEquationTitleAndSource('15 Scope 3'!D288,'15 Scope 3'!D289)</f>
        <v>15.6.1.1 Embedded emissions for purchased lime</v>
      </c>
      <c r="E19" s="220">
        <f>'15 Scope 3'!E316</f>
        <v>1.0375999999999999</v>
      </c>
      <c r="F19" s="220">
        <f>'15 Scope 3'!E317</f>
        <v>0.89</v>
      </c>
      <c r="G19" s="13" t="s">
        <v>855</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
        <v>837</v>
      </c>
      <c r="F20" s="220">
        <f>'15 Scope 3'!E348</f>
        <v>42</v>
      </c>
      <c r="G20" s="13" t="s">
        <v>855</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'15 Scope 3'!E378</f>
        <v>7.44</v>
      </c>
      <c r="F21" s="220">
        <f>'15 Scope 3'!E379</f>
        <v>6</v>
      </c>
      <c r="G21" s="13" t="s">
        <v>855</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'15 Scope 3'!E410</f>
        <v>No data</v>
      </c>
      <c r="F22" s="220">
        <f>'15 Scope 3'!E411</f>
        <v>40.200000000000003</v>
      </c>
      <c r="G22" s="13" t="s">
        <v>855</v>
      </c>
    </row>
    <row r="23" spans="4:8" ht="20.100000000000001" customHeight="1" x14ac:dyDescent="0.25">
      <c r="D23" s="8" t="str" cm="1">
        <f t="array" ref="D23">Common_InputFunctions.Utility_ResultsItemFromEquationTitleAndSource('15 Scope 3'!D415,'15 Scope 3'!D416)</f>
        <v>15.10 Other purchased goods and services generic estimate</v>
      </c>
      <c r="E23" s="220"/>
      <c r="F23" s="220"/>
      <c r="G23" s="13" t="s">
        <v>855</v>
      </c>
    </row>
    <row r="24" spans="4:8" ht="20.100000000000001" customHeight="1" x14ac:dyDescent="0.25">
      <c r="D24" s="221" t="str">
        <f>'15 Scope 3'!D427</f>
        <v>Cleaning chemical purchases</v>
      </c>
      <c r="E24" s="220">
        <f>'15 Scope 3'!E441</f>
        <v>0.50509999999999999</v>
      </c>
      <c r="F24" s="220">
        <f>'15 Scope 3'!E442</f>
        <v>2.73</v>
      </c>
      <c r="G24" s="13" t="s">
        <v>855</v>
      </c>
    </row>
    <row r="25" spans="4:8" ht="20.100000000000001" customHeight="1" x14ac:dyDescent="0.25">
      <c r="D25" s="221" t="str">
        <f>'15 Scope 3'!D445</f>
        <v>Pharmacy chemical purchases</v>
      </c>
      <c r="E25" s="220">
        <f>'15 Scope 3'!E459</f>
        <v>1.5636000000000001E-2</v>
      </c>
      <c r="F25" s="220">
        <f>'15 Scope 3'!E460</f>
        <v>1.3400000000000002E-2</v>
      </c>
      <c r="G25" s="13" t="s">
        <v>855</v>
      </c>
    </row>
    <row r="26" spans="4:8" ht="20.100000000000001" customHeight="1" x14ac:dyDescent="0.25">
      <c r="D26" s="221" t="str">
        <f>'15 Scope 3'!D463</f>
        <v>Seed</v>
      </c>
      <c r="E26" s="220">
        <f>'15 Scope 3'!E472</f>
        <v>0.84389999999999998</v>
      </c>
      <c r="F26" s="220">
        <f>'15 Scope 3'!E473</f>
        <v>0.71420000000000006</v>
      </c>
      <c r="G26" s="13" t="s">
        <v>855</v>
      </c>
    </row>
    <row r="27" spans="4:8" ht="20.100000000000001" customHeight="1" x14ac:dyDescent="0.25">
      <c r="D27" s="221" t="str">
        <f>'15 Scope 3'!D476</f>
        <v>Miscellaneous Inputs</v>
      </c>
      <c r="E27" s="220">
        <f>'15 Scope 3'!E483</f>
        <v>2.9531000000000005</v>
      </c>
      <c r="F27" s="220">
        <f>'15 Scope 3'!E484</f>
        <v>8.5860000000000006E-2</v>
      </c>
      <c r="G27" s="13" t="s">
        <v>855</v>
      </c>
    </row>
    <row r="28" spans="4:8" ht="20.100000000000001" customHeight="1" x14ac:dyDescent="0.25">
      <c r="D28" s="221" t="str">
        <f>'15 Scope 3'!D487</f>
        <v>Uncategorised products with no Method 1 EF data</v>
      </c>
      <c r="E28" s="220" t="str">
        <f>'15 Scope 3'!E501</f>
        <v>No data</v>
      </c>
      <c r="F28" s="220">
        <f>'15 Scope 3'!E502</f>
        <v>4000</v>
      </c>
      <c r="G28" s="13" t="s">
        <v>855</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'15 Scope 3'!E518</f>
        <v>0.13617600000000002</v>
      </c>
      <c r="F29" s="220">
        <f>E29</f>
        <v>0.13617600000000002</v>
      </c>
      <c r="G29" s="13" t="s">
        <v>855</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'15 Scope 3'!E533</f>
        <v>0.03</v>
      </c>
      <c r="F30" s="220">
        <f>E30</f>
        <v>0.03</v>
      </c>
      <c r="G30" s="13" t="s">
        <v>855</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'15 Scope 3'!E555</f>
        <v>1.5</v>
      </c>
      <c r="F31" s="220">
        <f>E31</f>
        <v>1.5</v>
      </c>
      <c r="G31" s="13" t="s">
        <v>855</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'15 Scope 3'!E576</f>
        <v>3.7936642857142857</v>
      </c>
      <c r="F32" s="220">
        <f>E32</f>
        <v>3.7936642857142857</v>
      </c>
      <c r="G32" s="13" t="s">
        <v>855</v>
      </c>
    </row>
    <row r="33" spans="4:7" ht="20.100000000000001" customHeight="1" x14ac:dyDescent="0.25">
      <c r="D33" s="8" t="str" cm="1">
        <f t="array" ref="D33">Common_InputFunctions.Utility_ResultsItemFromEquationTitleAndSource('15 Scope 3'!D580,'15 Scope 3'!D581&amp;",")</f>
        <v>15.13.1.3 Emissions from solid waste sent to a treatment facility</v>
      </c>
      <c r="E33" s="220">
        <f>'15 Scope 3'!E586</f>
        <v>330.84210000000002</v>
      </c>
      <c r="F33" s="220">
        <f>E33</f>
        <v>330.84210000000002</v>
      </c>
      <c r="G33" s="13" t="s">
        <v>855</v>
      </c>
    </row>
    <row r="34" spans="4:7" ht="20.100000000000001" customHeight="1" x14ac:dyDescent="0.25">
      <c r="D34" s="8" t="str" cm="1">
        <f t="array" ref="D34">Common_InputFunctions.Utility_ResultsItemFromEquationTitleAndSource('15 Scope 3'!D590,'15 Scope 3'!D591)</f>
        <v>15.14.1.1 Embedded emissions from upstream freight</v>
      </c>
      <c r="E34" s="220"/>
      <c r="F34" s="220"/>
      <c r="G34" s="13" t="s">
        <v>855</v>
      </c>
    </row>
    <row r="35" spans="4:7" ht="20.100000000000001" customHeight="1" x14ac:dyDescent="0.25">
      <c r="D35" s="221" t="str">
        <f>'15 Scope 3'!D604</f>
        <v>Incoming freight</v>
      </c>
      <c r="E35" s="220" t="str">
        <f>'15 Scope 3'!E618</f>
        <v>No data</v>
      </c>
      <c r="F35" s="220">
        <f>'15 Scope 3'!E619</f>
        <v>5146700</v>
      </c>
      <c r="G35" s="13" t="s">
        <v>855</v>
      </c>
    </row>
    <row r="36" spans="4:7" ht="20.100000000000001" customHeight="1" x14ac:dyDescent="0.25">
      <c r="D36" s="221" t="str">
        <f>'15 Scope 3'!D622</f>
        <v>Outgoing freight</v>
      </c>
      <c r="E36" s="220" t="str">
        <f>'15 Scope 3'!E636</f>
        <v>No data</v>
      </c>
      <c r="F36" s="220">
        <f>'15 Scope 3'!E637</f>
        <v>432640</v>
      </c>
      <c r="G36" s="13" t="s">
        <v>855</v>
      </c>
    </row>
    <row r="37" spans="4:7" ht="20.100000000000001" customHeight="1" x14ac:dyDescent="0.25">
      <c r="D37" s="63" t="s">
        <v>223</v>
      </c>
      <c r="E37" s="223">
        <f>SUM(E10:E36)</f>
        <v>2391.4510245402121</v>
      </c>
      <c r="F37" s="223">
        <f>SUM(F10:F36)</f>
        <v>5586020.803865714</v>
      </c>
      <c r="G37" s="179" t="s">
        <v>855</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15"/>
  <sheetViews>
    <sheetView showGridLines="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265</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266</v>
      </c>
      <c r="N5" s="107"/>
    </row>
    <row r="6" spans="1:24" ht="20.100000000000001" customHeight="1" x14ac:dyDescent="0.25">
      <c r="D6" s="108"/>
      <c r="N6" s="109"/>
    </row>
    <row r="7" spans="1:24" ht="20.100000000000001" customHeight="1" x14ac:dyDescent="0.25">
      <c r="A7" s="19" t="s">
        <v>67</v>
      </c>
      <c r="D7" s="8" t="s">
        <v>267</v>
      </c>
      <c r="E7" s="85" t="s">
        <v>268</v>
      </c>
      <c r="F7" s="68"/>
    </row>
    <row r="8" spans="1:24" ht="20.100000000000001" customHeight="1" x14ac:dyDescent="0.25">
      <c r="A8" s="16" t="str">
        <f>HYPERLINK("#'Input - Electricity'!A1", "Electricity")</f>
        <v>Electricity</v>
      </c>
      <c r="D8" s="110" t="s">
        <v>269</v>
      </c>
      <c r="E8" s="85" t="s">
        <v>270</v>
      </c>
    </row>
    <row r="9" spans="1:24" ht="20.100000000000001" customHeight="1" x14ac:dyDescent="0.25">
      <c r="A9" s="16"/>
      <c r="N9" s="111"/>
    </row>
    <row r="10" spans="1:24" ht="20.100000000000001" customHeight="1" x14ac:dyDescent="0.25">
      <c r="A10" s="21" t="s">
        <v>77</v>
      </c>
      <c r="D10" s="98" t="s">
        <v>271</v>
      </c>
      <c r="E10" s="112"/>
      <c r="F10" s="113"/>
      <c r="G10" s="99"/>
      <c r="N10" s="111"/>
    </row>
    <row r="11" spans="1:24" ht="20.100000000000001" customHeight="1" x14ac:dyDescent="0.25">
      <c r="A11" s="16" t="str">
        <f>HYPERLINK("#'14.1.1-2 Purchased electricity'!A1", "14.1.1-2 Purchased electricity")</f>
        <v>14.1.1-2 Purchased electricity</v>
      </c>
      <c r="N11" s="114"/>
    </row>
    <row r="12" spans="1:24" ht="20.100000000000001" customHeight="1" x14ac:dyDescent="0.25">
      <c r="A12" s="16"/>
      <c r="D12" s="110" t="s">
        <v>272</v>
      </c>
      <c r="E12" s="115">
        <v>45292</v>
      </c>
      <c r="F12" s="68" t="s">
        <v>273</v>
      </c>
    </row>
    <row r="13" spans="1:24" ht="20.100000000000001" customHeight="1" x14ac:dyDescent="0.25">
      <c r="A13" s="23" t="s">
        <v>78</v>
      </c>
      <c r="D13" s="110" t="s">
        <v>274</v>
      </c>
      <c r="E13" s="116">
        <f>DATE(YEAR(E12)+1,MONTH(E12),DAY(E12))-1</f>
        <v>45657</v>
      </c>
      <c r="F13" s="68" t="s">
        <v>275</v>
      </c>
      <c r="N13" s="117"/>
      <c r="O13" s="117"/>
    </row>
    <row r="14" spans="1:24" ht="20.100000000000001" customHeight="1" x14ac:dyDescent="0.25">
      <c r="A14" s="16" t="str">
        <f>HYPERLINK("#'Constants - Electricity'!A1", "Constants - Electricity")</f>
        <v>Constants - Electricity</v>
      </c>
      <c r="N14" s="117"/>
      <c r="O14" s="117"/>
    </row>
    <row r="15" spans="1:24" ht="20.100000000000001" customHeight="1" x14ac:dyDescent="0.25">
      <c r="A15" s="16" t="str">
        <f>HYPERLINK("#'Constants - Common'!A1", "Constants - Common")</f>
        <v>Constants - Common</v>
      </c>
      <c r="N15" s="117"/>
      <c r="O15" s="117"/>
    </row>
    <row r="16" spans="1:24" ht="20.100000000000001" customHeight="1" x14ac:dyDescent="0.25">
      <c r="A16" s="3"/>
      <c r="D16" s="9" t="s">
        <v>276</v>
      </c>
      <c r="N16" s="117"/>
      <c r="O16" s="117"/>
    </row>
    <row r="17" spans="1:25" ht="20.100000000000001" customHeight="1" x14ac:dyDescent="0.25">
      <c r="A17" s="3"/>
    </row>
    <row r="18" spans="1:25" ht="20.100000000000001" customHeight="1" x14ac:dyDescent="0.25">
      <c r="A18" s="3"/>
      <c r="D18" s="118" t="s">
        <v>277</v>
      </c>
      <c r="E18" s="41"/>
      <c r="F18" s="41"/>
      <c r="G18" s="42"/>
    </row>
    <row r="19" spans="1:25" ht="20.100000000000001" customHeight="1" x14ac:dyDescent="0.25">
      <c r="A19" s="3"/>
      <c r="D19" s="44" t="s">
        <v>278</v>
      </c>
      <c r="E19" s="45"/>
      <c r="F19" s="45"/>
      <c r="G19" s="46"/>
      <c r="N19" s="107"/>
    </row>
    <row r="20" spans="1:25" ht="20.100000000000001" customHeight="1" x14ac:dyDescent="0.25">
      <c r="A20" s="3"/>
      <c r="D20" s="8"/>
      <c r="E20" s="119"/>
      <c r="F20" s="68"/>
      <c r="N20" s="109"/>
    </row>
    <row r="21" spans="1:25" ht="20.100000000000001" customHeight="1" x14ac:dyDescent="0.25">
      <c r="A21" s="3"/>
      <c r="D21" s="8" t="s">
        <v>279</v>
      </c>
      <c r="E21" s="48" t="s">
        <v>314</v>
      </c>
      <c r="F21" s="68" t="s">
        <v>195</v>
      </c>
    </row>
    <row r="22" spans="1:25" ht="20.100000000000001" customHeight="1" x14ac:dyDescent="0.25">
      <c r="A22" s="3"/>
      <c r="D22" s="8" t="s">
        <v>280</v>
      </c>
      <c r="E22" s="48" t="s">
        <v>281</v>
      </c>
      <c r="F22" s="68" t="s">
        <v>195</v>
      </c>
      <c r="G22" s="8"/>
    </row>
    <row r="23" spans="1:25" ht="20.100000000000001" customHeight="1" x14ac:dyDescent="0.25">
      <c r="A23" s="3"/>
      <c r="D23" s="8" t="s">
        <v>759</v>
      </c>
      <c r="E23" s="48" t="s">
        <v>760</v>
      </c>
      <c r="F23" s="68" t="s">
        <v>195</v>
      </c>
    </row>
    <row r="24" spans="1:25" ht="20.100000000000001" customHeight="1" x14ac:dyDescent="0.25">
      <c r="A24" s="3"/>
      <c r="D24" s="8" t="s">
        <v>16</v>
      </c>
      <c r="E24" s="85">
        <v>307.7</v>
      </c>
      <c r="F24" s="68" t="s">
        <v>761</v>
      </c>
    </row>
    <row r="25" spans="1:25" ht="20.100000000000001" customHeight="1" x14ac:dyDescent="0.25">
      <c r="A25" s="3"/>
      <c r="D25" s="8" t="s">
        <v>762</v>
      </c>
      <c r="E25" s="85">
        <v>18</v>
      </c>
      <c r="F25" s="68" t="s">
        <v>763</v>
      </c>
      <c r="N25" s="109"/>
    </row>
    <row r="26" spans="1:25" ht="20.100000000000001" customHeight="1" x14ac:dyDescent="0.25">
      <c r="A26" s="3"/>
      <c r="D26" s="8" t="s">
        <v>764</v>
      </c>
      <c r="E26" s="85">
        <v>599</v>
      </c>
      <c r="F26" s="68" t="s">
        <v>765</v>
      </c>
    </row>
    <row r="27" spans="1:25" ht="20.100000000000001" customHeight="1" x14ac:dyDescent="0.25">
      <c r="A27" s="3"/>
      <c r="D27" s="110" t="s">
        <v>766</v>
      </c>
      <c r="E27" s="85">
        <v>1326</v>
      </c>
      <c r="F27" s="68" t="s">
        <v>765</v>
      </c>
    </row>
    <row r="28" spans="1:25" ht="20.100000000000001" customHeight="1" x14ac:dyDescent="0.25">
      <c r="A28" s="3"/>
      <c r="D28" s="8" t="s">
        <v>767</v>
      </c>
      <c r="E28" s="85">
        <v>7</v>
      </c>
      <c r="F28" s="68" t="s">
        <v>768</v>
      </c>
    </row>
    <row r="29" spans="1:25" ht="20.100000000000001" customHeight="1" x14ac:dyDescent="0.25">
      <c r="A29" s="3"/>
      <c r="D29" s="110" t="s">
        <v>769</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770</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85" zoomScaleNormal="85" workbookViewId="0">
      <selection activeCell="E11" sqref="E1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119</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8" t="s">
        <v>746</v>
      </c>
    </row>
    <row r="8" spans="1:10" ht="20.100000000000001" customHeight="1" x14ac:dyDescent="0.25">
      <c r="A8" s="43" t="str">
        <f>HYPERLINK("#'Input - Fuel'!A1", "Fuel")</f>
        <v>Fuel</v>
      </c>
      <c r="D8" s="8" t="s">
        <v>747</v>
      </c>
    </row>
    <row r="9" spans="1:10" ht="20.100000000000001" customHeight="1" x14ac:dyDescent="0.25">
      <c r="A9" s="16"/>
      <c r="D9" s="8" t="s">
        <v>748</v>
      </c>
    </row>
    <row r="10" spans="1:10" ht="20.100000000000001" customHeight="1" x14ac:dyDescent="0.25">
      <c r="A10" s="21" t="s">
        <v>77</v>
      </c>
    </row>
    <row r="11" spans="1:10" ht="20.100000000000001" customHeight="1" x14ac:dyDescent="0.25">
      <c r="A11" s="16" t="str">
        <f>HYPERLINK("#'8.1.1.1-2 Transport fuel'!A1", "8.1.1.1-2 Transport fuel")</f>
        <v>8.1.1.1-2 Transport fuel</v>
      </c>
      <c r="D11" s="8" t="s">
        <v>749</v>
      </c>
      <c r="E11" s="48" t="s">
        <v>717</v>
      </c>
      <c r="F11" s="68" t="s">
        <v>195</v>
      </c>
    </row>
    <row r="12" spans="1:10" ht="20.100000000000001" customHeight="1" x14ac:dyDescent="0.25">
      <c r="A12" s="16" t="str">
        <f>HYPERLINK("#'8.2.1.1-2 Stationary fuel'!A1", "8.2.1.1-2 Stationary fuel")</f>
        <v>8.2.1.1-2 Stationary fuel</v>
      </c>
    </row>
    <row r="13" spans="1:10" ht="20.100000000000001" customHeight="1" x14ac:dyDescent="0.25">
      <c r="A13" s="16" t="str">
        <f>HYPERLINK("#'8.X.1.1-2 General use fuel'!A1", "8.X.1.1-2 General use fuel")</f>
        <v>8.X.1.1-2 General use fuel</v>
      </c>
      <c r="D13" s="40" t="s">
        <v>121</v>
      </c>
      <c r="E13" s="41"/>
      <c r="F13" s="41"/>
      <c r="G13" s="41"/>
      <c r="H13" s="42"/>
    </row>
    <row r="14" spans="1:10" ht="20.100000000000001" customHeight="1" x14ac:dyDescent="0.25">
      <c r="A14" s="16"/>
      <c r="D14" s="44" t="s">
        <v>122</v>
      </c>
      <c r="E14" s="45"/>
      <c r="F14" s="45"/>
      <c r="G14" s="45"/>
      <c r="H14" s="46"/>
    </row>
    <row r="15" spans="1:10" ht="20.100000000000001" customHeight="1" x14ac:dyDescent="0.25">
      <c r="A15" s="23" t="s">
        <v>78</v>
      </c>
      <c r="D15" s="14"/>
      <c r="E15" s="14"/>
      <c r="F15" s="14"/>
      <c r="G15" s="14"/>
      <c r="H15" s="14"/>
      <c r="I15" s="14"/>
    </row>
    <row r="16" spans="1:10" ht="20.100000000000001" customHeight="1" x14ac:dyDescent="0.25">
      <c r="A16" s="16" t="str">
        <f>HYPERLINK("#'Constants - Fuel'!A1", "Constants - Fuel")</f>
        <v>Constants - Fuel</v>
      </c>
      <c r="D16" s="47" t="s">
        <v>123</v>
      </c>
      <c r="E16" s="47" t="s">
        <v>124</v>
      </c>
      <c r="F16" s="47" t="s">
        <v>125</v>
      </c>
      <c r="G16" s="47" t="s">
        <v>126</v>
      </c>
      <c r="H16" s="47" t="s">
        <v>127</v>
      </c>
      <c r="I16" s="47" t="s">
        <v>128</v>
      </c>
    </row>
    <row r="17" spans="1:9" ht="20.100000000000001" customHeight="1" x14ac:dyDescent="0.25">
      <c r="A17" s="16" t="str">
        <f>HYPERLINK("#'Constants - Common'!A1", "Constants - Common")</f>
        <v>Constants - Common</v>
      </c>
      <c r="D17" s="48" t="s">
        <v>89</v>
      </c>
      <c r="E17" s="48" t="s">
        <v>118</v>
      </c>
      <c r="F17" s="49">
        <v>100</v>
      </c>
      <c r="G17" s="50" t="str" cm="1">
        <f t="array" ref="G17">Common_InputFunctions.Utility_LookupValueInTable(Table_Input_Fuel[[#This Row],[Fuel type (select)]],Table_FuelTypes_Units[Fuel type], Table_FuelTypes_Units[Unit])</f>
        <v>GJ</v>
      </c>
      <c r="H17" s="51">
        <f>1</f>
        <v>1</v>
      </c>
      <c r="I17" s="50">
        <f>Table_Input_Fuel[[#This Row],[Amount purchased]]*Table_Input_Fuel[[#This Row],[Percent consumed]]*10^-3</f>
        <v>0.1</v>
      </c>
    </row>
    <row r="18" spans="1:9" ht="20.100000000000001" customHeight="1" x14ac:dyDescent="0.25">
      <c r="D18" s="48" t="s">
        <v>90</v>
      </c>
      <c r="E18" s="48" t="s">
        <v>106</v>
      </c>
      <c r="F18" s="49">
        <v>100</v>
      </c>
      <c r="G18" s="50" t="str" cm="1">
        <f t="array" ref="G18">Common_InputFunctions.Utility_LookupValueInTable(Table_Input_Fuel[[#This Row],[Fuel type (select)]],Table_FuelTypes_Units[Fuel type], Table_FuelTypes_Units[Unit])</f>
        <v>kL</v>
      </c>
      <c r="H18" s="51">
        <f>1</f>
        <v>1</v>
      </c>
      <c r="I18" s="50">
        <f>Table_Input_Fuel[[#This Row],[Amount purchased]]*Table_Input_Fuel[[#This Row],[Percent consumed]]*10^-3</f>
        <v>0.1</v>
      </c>
    </row>
    <row r="19" spans="1:9" ht="20.100000000000001" customHeight="1" x14ac:dyDescent="0.25">
      <c r="D19" s="48" t="s">
        <v>93</v>
      </c>
      <c r="E19" s="48" t="s">
        <v>100</v>
      </c>
      <c r="F19" s="49">
        <v>100</v>
      </c>
      <c r="G19" s="50" t="str" cm="1">
        <f t="array" ref="G19">Common_InputFunctions.Utility_LookupValueInTable(Table_Input_Fuel[[#This Row],[Fuel type (select)]],Table_FuelTypes_Units[Fuel type], Table_FuelTypes_Units[Unit])</f>
        <v>kL</v>
      </c>
      <c r="H19" s="51">
        <f>1</f>
        <v>1</v>
      </c>
      <c r="I19" s="50">
        <f>Table_Input_Fuel[[#This Row],[Amount purchased]]*Table_Input_Fuel[[#This Row],[Percent consumed]]*10^-3</f>
        <v>0.1</v>
      </c>
    </row>
    <row r="20" spans="1:9" ht="20.100000000000001" customHeight="1" x14ac:dyDescent="0.25">
      <c r="A20" s="16"/>
      <c r="D20" s="48" t="s">
        <v>89</v>
      </c>
      <c r="E20" s="48" t="s">
        <v>118</v>
      </c>
      <c r="F20" s="49">
        <v>100</v>
      </c>
      <c r="G20" s="50" t="str" cm="1">
        <f t="array" ref="G20">Common_InputFunctions.Utility_LookupValueInTable(Table_Input_Fuel[[#This Row],[Fuel type (select)]],Table_FuelTypes_Units[Fuel type], Table_FuelTypes_Units[Unit])</f>
        <v>GJ</v>
      </c>
      <c r="H20" s="51">
        <f>1</f>
        <v>1</v>
      </c>
      <c r="I20" s="50">
        <f>Table_Input_Fuel[[#This Row],[Amount purchased]]*Table_Input_Fuel[[#This Row],[Percent consumed]]*10^-3</f>
        <v>0.1</v>
      </c>
    </row>
    <row r="21" spans="1:9" ht="20.100000000000001" customHeight="1" x14ac:dyDescent="0.25">
      <c r="A21" s="16"/>
      <c r="D21" s="48" t="s">
        <v>91</v>
      </c>
      <c r="E21" s="48" t="s">
        <v>100</v>
      </c>
      <c r="F21" s="49">
        <v>100</v>
      </c>
      <c r="G21" s="50" t="str" cm="1">
        <f t="array" ref="G21">Common_InputFunctions.Utility_LookupValueInTable(Table_Input_Fuel[[#This Row],[Fuel type (select)]],Table_FuelTypes_Units[Fuel type], Table_FuelTypes_Units[Unit])</f>
        <v>kL</v>
      </c>
      <c r="H21" s="51">
        <f>1</f>
        <v>1</v>
      </c>
      <c r="I21" s="50">
        <f>Table_Input_Fuel[[#This Row],[Amount purchased]]*Table_Input_Fuel[[#This Row],[Percent consumed]]*10^-3</f>
        <v>0.1</v>
      </c>
    </row>
    <row r="22" spans="1:9" ht="20.100000000000001" customHeight="1" x14ac:dyDescent="0.25"/>
    <row r="23" spans="1:9" ht="20.100000000000001" customHeight="1" x14ac:dyDescent="0.25">
      <c r="A23" s="16"/>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6"/>
    </row>
    <row r="30" spans="1:9" ht="20.100000000000001" customHeight="1" x14ac:dyDescent="0.25">
      <c r="A30" s="16"/>
    </row>
    <row r="31" spans="1:9" ht="20.100000000000001" customHeight="1" x14ac:dyDescent="0.25">
      <c r="A31" s="52"/>
    </row>
    <row r="32" spans="1:9"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7"/>
    </row>
  </sheetData>
  <conditionalFormatting sqref="F40">
    <cfRule type="cellIs" dxfId="62" priority="9" operator="lessThan">
      <formula>0</formula>
    </cfRule>
  </conditionalFormatting>
  <conditionalFormatting sqref="F119:F120">
    <cfRule type="cellIs" dxfId="61" priority="8" operator="lessThan">
      <formula>0</formula>
    </cfRule>
  </conditionalFormatting>
  <conditionalFormatting sqref="F131:F132">
    <cfRule type="cellIs" dxfId="60" priority="7" operator="lessThan">
      <formula>0</formula>
    </cfRule>
  </conditionalFormatting>
  <conditionalFormatting sqref="F143:F144">
    <cfRule type="cellIs" dxfId="59" priority="6" operator="lessThan">
      <formula>0</formula>
    </cfRule>
  </conditionalFormatting>
  <conditionalFormatting sqref="F155:F156">
    <cfRule type="cellIs" dxfId="58" priority="5" operator="lessThan">
      <formula>0</formula>
    </cfRule>
  </conditionalFormatting>
  <conditionalFormatting sqref="F243:F244">
    <cfRule type="cellIs" dxfId="57" priority="17" operator="lessThan">
      <formula>0</formula>
    </cfRule>
  </conditionalFormatting>
  <conditionalFormatting sqref="F248:F249">
    <cfRule type="cellIs" dxfId="56" priority="16" operator="lessThan">
      <formula>0</formula>
    </cfRule>
  </conditionalFormatting>
  <conditionalFormatting sqref="F253:F254">
    <cfRule type="cellIs" dxfId="55" priority="15" operator="lessThan">
      <formula>0</formula>
    </cfRule>
  </conditionalFormatting>
  <conditionalFormatting sqref="F277:F278">
    <cfRule type="cellIs" dxfId="54" priority="14" operator="lessThan">
      <formula>0</formula>
    </cfRule>
  </conditionalFormatting>
  <conditionalFormatting sqref="F282:F283">
    <cfRule type="cellIs" dxfId="53" priority="13" operator="lessThan">
      <formula>0</formula>
    </cfRule>
  </conditionalFormatting>
  <conditionalFormatting sqref="F287:F288">
    <cfRule type="cellIs" dxfId="52" priority="12" operator="lessThan">
      <formula>0</formula>
    </cfRule>
  </conditionalFormatting>
  <conditionalFormatting sqref="I24 I26:I30 I34:I35 H36:H38 I39 I41:I43 I45:I46 I197 E203:G203 I203">
    <cfRule type="cellIs" dxfId="51" priority="11" operator="lessThan">
      <formula>0</formula>
    </cfRule>
  </conditionalFormatting>
  <conditionalFormatting sqref="I50:I54">
    <cfRule type="cellIs" dxfId="50" priority="4" operator="lessThan">
      <formula>0</formula>
    </cfRule>
  </conditionalFormatting>
  <conditionalFormatting sqref="I58 I117">
    <cfRule type="cellIs" dxfId="49" priority="10" operator="lessThan">
      <formula>0</formula>
    </cfRule>
  </conditionalFormatting>
  <conditionalFormatting sqref="I69:I71">
    <cfRule type="cellIs" dxfId="48" priority="3" operator="lessThan">
      <formula>0</formula>
    </cfRule>
  </conditionalFormatting>
  <conditionalFormatting sqref="I75:I78">
    <cfRule type="cellIs" dxfId="47" priority="2" operator="lessThan">
      <formula>0</formula>
    </cfRule>
  </conditionalFormatting>
  <conditionalFormatting sqref="I82:I86">
    <cfRule type="cellIs" dxfId="46"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0" zoomScaleNormal="100" workbookViewId="0">
      <selection activeCell="D23" sqref="D23:R23"/>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194</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145</v>
      </c>
      <c r="E6" s="48" t="s">
        <v>150</v>
      </c>
      <c r="F6" s="68" t="s">
        <v>195</v>
      </c>
    </row>
    <row r="7" spans="1:25" ht="20.100000000000001" customHeight="1" x14ac:dyDescent="0.25">
      <c r="A7" s="19" t="s">
        <v>67</v>
      </c>
      <c r="D7" s="8" t="s">
        <v>196</v>
      </c>
      <c r="E7" s="48" t="s">
        <v>151</v>
      </c>
      <c r="F7" s="68" t="s">
        <v>195</v>
      </c>
    </row>
    <row r="8" spans="1:25" ht="20.100000000000001" customHeight="1" x14ac:dyDescent="0.25">
      <c r="A8" s="16" t="str">
        <f>HYPERLINK("#'Input - Site'!A1", "Site")</f>
        <v>Site</v>
      </c>
      <c r="D8" s="8" t="s">
        <v>43</v>
      </c>
      <c r="E8" s="48" t="s">
        <v>152</v>
      </c>
      <c r="F8" s="68" t="s">
        <v>195</v>
      </c>
    </row>
    <row r="9" spans="1:25" ht="20.100000000000001" customHeight="1" x14ac:dyDescent="0.25">
      <c r="A9" s="43" t="str">
        <f>HYPERLINK("#'Input - Fertiliser'!A1", "Fertiliser")</f>
        <v>Fertiliser</v>
      </c>
      <c r="D9" s="8" t="s">
        <v>197</v>
      </c>
      <c r="E9" s="69">
        <v>100</v>
      </c>
      <c r="F9" s="68" t="s">
        <v>198</v>
      </c>
    </row>
    <row r="10" spans="1:25" ht="20.100000000000001" customHeight="1" x14ac:dyDescent="0.25">
      <c r="A10" s="16"/>
    </row>
    <row r="11" spans="1:25" ht="20.100000000000001" customHeight="1" x14ac:dyDescent="0.25">
      <c r="A11" s="21" t="s">
        <v>77</v>
      </c>
      <c r="D11" s="9" t="s">
        <v>199</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200</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201</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202</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94" t="s">
        <v>203</v>
      </c>
      <c r="E17" s="94" t="s">
        <v>323</v>
      </c>
      <c r="F17" s="94" t="s">
        <v>316</v>
      </c>
      <c r="G17" s="94" t="s">
        <v>317</v>
      </c>
      <c r="H17" s="94" t="s">
        <v>204</v>
      </c>
      <c r="I17" s="94" t="s">
        <v>205</v>
      </c>
      <c r="J17" s="94" t="s">
        <v>174</v>
      </c>
      <c r="K17" s="94" t="s">
        <v>175</v>
      </c>
      <c r="L17" s="94" t="s">
        <v>176</v>
      </c>
      <c r="M17" s="94" t="s">
        <v>177</v>
      </c>
      <c r="N17" s="94" t="s">
        <v>178</v>
      </c>
      <c r="O17" s="94" t="s">
        <v>179</v>
      </c>
      <c r="P17" s="94" t="s">
        <v>180</v>
      </c>
      <c r="Q17" s="94" t="s">
        <v>181</v>
      </c>
      <c r="R17" s="94" t="s">
        <v>182</v>
      </c>
      <c r="S17" s="94" t="s">
        <v>183</v>
      </c>
      <c r="T17" s="94" t="s">
        <v>184</v>
      </c>
      <c r="U17" s="94" t="s">
        <v>185</v>
      </c>
      <c r="V17" s="94" t="s">
        <v>206</v>
      </c>
      <c r="W17" s="94" t="s">
        <v>172</v>
      </c>
      <c r="X17" s="94" t="s">
        <v>173</v>
      </c>
    </row>
    <row r="18" spans="1:24" ht="36" customHeight="1" x14ac:dyDescent="0.25">
      <c r="D18" s="75" t="s">
        <v>207</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6">
        <f>$E$9</f>
        <v>100</v>
      </c>
      <c r="I18" s="77">
        <f>(Table_Input_InorganicFertiliser_Brands[[#This Row],[Amount applied per hectare]]*Table_Input_InorganicFertiliser_Brands[[#This Row],[Density]])*Table_Input_InorganicFertiliser_Brands[[#This Row],[Application area (ha)]]</f>
        <v>12150.000000000002</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7"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7" t="str">
        <f>_xlfn.XLOOKUP(Table_Input_InorganicFertiliser_Brands[[#This Row],[Product (select)]],FertiliserProducts[Product name],FertiliserProducts[Urea source])</f>
        <v/>
      </c>
      <c r="X18" s="77" t="str">
        <f>_xlfn.XLOOKUP(Table_Input_InorganicFertiliser_Brands[[#This Row],[Product (select)]],FertiliserProducts[Product name],FertiliserProducts[Ammonia source])</f>
        <v/>
      </c>
    </row>
    <row r="19" spans="1:24" ht="36" customHeight="1" x14ac:dyDescent="0.25">
      <c r="A19" s="23" t="s">
        <v>78</v>
      </c>
      <c r="D19" s="75" t="s">
        <v>359</v>
      </c>
      <c r="E19" s="76">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6">
        <f>$E$9</f>
        <v>100</v>
      </c>
      <c r="I19" s="77">
        <f>(Table_Input_InorganicFertiliser_Brands[[#This Row],[Amount applied per hectare]]*Table_Input_InorganicFertiliser_Brands[[#This Row],[Density]])*Table_Input_InorganicFertiliser_Brands[[#This Row],[Application area (ha)]]</f>
        <v>20000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7"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7"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7"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7"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207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6">
        <f>$E$9</f>
        <v>100</v>
      </c>
      <c r="I20" s="77">
        <f>(Table_Input_InorganicFertiliser_Brands[[#This Row],[Amount applied per hectare]]*Table_Input_InorganicFertiliser_Brands[[#This Row],[Density]])*Table_Input_InorganicFertiliser_Brands[[#This Row],[Application area (ha)]]</f>
        <v>12150.000000000002</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7"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7"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8"/>
      <c r="E21" s="79"/>
      <c r="F21" s="80"/>
      <c r="G21" s="80"/>
      <c r="H21" s="80"/>
      <c r="I21" s="80"/>
      <c r="J21" s="81"/>
      <c r="K21" s="81"/>
      <c r="L21" s="82"/>
      <c r="M21" s="82"/>
      <c r="N21" s="53"/>
      <c r="O21" s="53"/>
      <c r="P21" s="53"/>
      <c r="Q21" s="53"/>
      <c r="R21" s="53"/>
      <c r="S21" s="53"/>
      <c r="T21" s="53"/>
      <c r="U21" s="53"/>
      <c r="V21" s="53"/>
      <c r="W21" s="53"/>
      <c r="X21" s="53"/>
    </row>
    <row r="22" spans="1:24" ht="36" customHeight="1" x14ac:dyDescent="0.25">
      <c r="D22" s="83" t="s">
        <v>208</v>
      </c>
      <c r="E22" s="84"/>
      <c r="F22" s="84"/>
      <c r="G22" s="84"/>
      <c r="H22" s="84"/>
      <c r="I22" s="84"/>
      <c r="J22" s="84"/>
      <c r="K22" s="84"/>
      <c r="L22" s="84"/>
      <c r="M22" s="84"/>
      <c r="N22" s="53"/>
      <c r="O22" s="53"/>
      <c r="P22" s="53"/>
      <c r="Q22" s="53"/>
      <c r="R22" s="53"/>
      <c r="S22" s="53"/>
      <c r="T22" s="53"/>
      <c r="U22" s="53"/>
      <c r="V22" s="53"/>
      <c r="W22" s="53"/>
      <c r="X22" s="53"/>
    </row>
    <row r="23" spans="1:24" ht="36" customHeight="1" x14ac:dyDescent="0.25">
      <c r="A23" s="16"/>
      <c r="D23" s="94" t="s">
        <v>209</v>
      </c>
      <c r="E23" s="94" t="s">
        <v>856</v>
      </c>
      <c r="F23" s="94" t="s">
        <v>204</v>
      </c>
      <c r="G23" s="94" t="s">
        <v>205</v>
      </c>
      <c r="H23" s="94" t="s">
        <v>210</v>
      </c>
      <c r="I23" s="94" t="s">
        <v>175</v>
      </c>
      <c r="J23" s="94" t="s">
        <v>176</v>
      </c>
      <c r="K23" s="94" t="s">
        <v>177</v>
      </c>
      <c r="L23" s="94" t="s">
        <v>178</v>
      </c>
      <c r="M23" s="94" t="s">
        <v>179</v>
      </c>
      <c r="N23" s="94" t="s">
        <v>180</v>
      </c>
      <c r="O23" s="94" t="s">
        <v>181</v>
      </c>
      <c r="P23" s="94" t="s">
        <v>206</v>
      </c>
      <c r="Q23" s="94" t="s">
        <v>172</v>
      </c>
      <c r="R23" s="94" t="s">
        <v>173</v>
      </c>
      <c r="S23" s="53"/>
      <c r="T23" s="53"/>
      <c r="U23" s="53"/>
      <c r="V23" s="53"/>
      <c r="W23" s="53"/>
      <c r="X23" s="53"/>
    </row>
    <row r="24" spans="1:24" ht="36" customHeight="1" x14ac:dyDescent="0.25">
      <c r="D24" s="85" t="s">
        <v>211</v>
      </c>
      <c r="E24" s="67">
        <v>100</v>
      </c>
      <c r="F24" s="76">
        <f>$E$9</f>
        <v>100</v>
      </c>
      <c r="G24" s="77">
        <f>Table_Input_InorganicFertiliser_Custom[[#This Row],[Amount applied (kg / ha)]]*Table_Input_InorganicFertiliser_Custom[[#This Row],[Application area (ha)]]</f>
        <v>10000</v>
      </c>
      <c r="H24" s="86" t="s">
        <v>322</v>
      </c>
      <c r="I24" s="87">
        <v>0.45</v>
      </c>
      <c r="J24" s="86" t="s">
        <v>321</v>
      </c>
      <c r="K24" s="87">
        <v>0.3</v>
      </c>
      <c r="L24" s="86" t="s">
        <v>213</v>
      </c>
      <c r="M24" s="87">
        <v>0.1</v>
      </c>
      <c r="N24" s="88" t="s">
        <v>214</v>
      </c>
      <c r="O24" s="89">
        <v>0.1</v>
      </c>
      <c r="P24"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318</v>
      </c>
      <c r="R24" s="48" t="s">
        <v>352</v>
      </c>
    </row>
    <row r="25" spans="1:24" ht="36" customHeight="1" x14ac:dyDescent="0.25">
      <c r="D25" s="85"/>
      <c r="E25" s="67">
        <v>100</v>
      </c>
      <c r="F25" s="152">
        <f>$E$9</f>
        <v>100</v>
      </c>
      <c r="G25" s="77">
        <f>Table_Input_InorganicFertiliser_Custom[[#This Row],[Amount applied (kg / ha)]]*Table_Input_InorganicFertiliser_Custom[[#This Row],[Application area (ha)]]</f>
        <v>10000</v>
      </c>
      <c r="H25" s="86" t="s">
        <v>212</v>
      </c>
      <c r="I25" s="90">
        <v>0.9</v>
      </c>
      <c r="J25" s="86" t="s">
        <v>322</v>
      </c>
      <c r="K25" s="90">
        <v>0.1</v>
      </c>
      <c r="L25" s="86"/>
      <c r="M25" s="90"/>
      <c r="N25" s="88"/>
      <c r="O25" s="89"/>
      <c r="P25"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5" t="s">
        <v>318</v>
      </c>
      <c r="R25" s="75" t="s">
        <v>318</v>
      </c>
    </row>
    <row r="26" spans="1:24" ht="36" customHeight="1" x14ac:dyDescent="0.25"/>
    <row r="27" spans="1:24" ht="20.100000000000001" customHeight="1" x14ac:dyDescent="0.25">
      <c r="D27" s="9" t="s">
        <v>846</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215</v>
      </c>
      <c r="E29" s="41"/>
      <c r="F29" s="42"/>
      <c r="G29" s="40"/>
      <c r="H29" s="42"/>
      <c r="I29" s="7"/>
      <c r="J29" s="7"/>
      <c r="K29" s="14"/>
      <c r="L29" s="14"/>
      <c r="M29" s="14"/>
    </row>
    <row r="30" spans="1:24" ht="20.100000000000001" customHeight="1" x14ac:dyDescent="0.25">
      <c r="A30" s="16"/>
      <c r="D30" s="91" t="s">
        <v>216</v>
      </c>
      <c r="E30" s="92"/>
      <c r="F30" s="93"/>
      <c r="G30" s="91"/>
      <c r="H30" s="93"/>
      <c r="I30" s="14"/>
      <c r="J30" s="14"/>
      <c r="K30" s="14"/>
      <c r="L30" s="14"/>
      <c r="M30" s="7"/>
    </row>
    <row r="31" spans="1:24" ht="20.100000000000001" customHeight="1" x14ac:dyDescent="0.25">
      <c r="A31" s="52"/>
      <c r="D31" s="44" t="s">
        <v>201</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4" t="s">
        <v>217</v>
      </c>
      <c r="E33" s="94" t="s">
        <v>218</v>
      </c>
      <c r="F33" s="94" t="s">
        <v>204</v>
      </c>
      <c r="G33" s="94" t="s">
        <v>219</v>
      </c>
      <c r="H33" s="94" t="s">
        <v>220</v>
      </c>
      <c r="I33" s="94" t="s">
        <v>221</v>
      </c>
      <c r="J33" s="94" t="s">
        <v>222</v>
      </c>
      <c r="K33" s="94" t="s">
        <v>223</v>
      </c>
      <c r="Y33" s="3"/>
    </row>
    <row r="34" spans="1:25" ht="36" customHeight="1" x14ac:dyDescent="0.25">
      <c r="D34" s="95" t="s">
        <v>224</v>
      </c>
      <c r="E34" s="76">
        <v>100</v>
      </c>
      <c r="F34" s="76">
        <f>$E$9</f>
        <v>100</v>
      </c>
      <c r="G34" s="77">
        <f>IFERROR(Table_Input_SoilAmeliorants[[#This Row],[Amount applied (t/hectare)]]*Table_Input_SoilAmeliorants[[#This Row],[Application area (ha)]], 0)</f>
        <v>10000</v>
      </c>
      <c r="H34" s="89">
        <v>0.4</v>
      </c>
      <c r="I34" s="89">
        <v>0.3</v>
      </c>
      <c r="J34" s="89">
        <v>0.25</v>
      </c>
      <c r="K34" s="96">
        <f>SUM(Table_Input_SoilAmeliorants[[#This Row],[Percent Lime CaCO3]:[Percent Gypsum]])</f>
        <v>0.95</v>
      </c>
      <c r="Y34" s="3"/>
    </row>
    <row r="35" spans="1:25" ht="36" customHeight="1" x14ac:dyDescent="0.25">
      <c r="D35" s="95" t="s">
        <v>225</v>
      </c>
      <c r="E35" s="76">
        <v>100</v>
      </c>
      <c r="F35" s="76">
        <f>$E$9</f>
        <v>100</v>
      </c>
      <c r="G35" s="77">
        <f>IFERROR(Table_Input_SoilAmeliorants[[#This Row],[Amount applied (t/hectare)]]*Table_Input_SoilAmeliorants[[#This Row],[Application area (ha)]], 0)</f>
        <v>10000</v>
      </c>
      <c r="H35" s="89">
        <v>1</v>
      </c>
      <c r="I35" s="89"/>
      <c r="J35" s="89"/>
      <c r="K35" s="96">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7"/>
      <c r="K37" s="7"/>
      <c r="L37" s="7"/>
      <c r="M37" s="7"/>
    </row>
    <row r="38" spans="1:25" ht="20.100000000000001" customHeight="1" x14ac:dyDescent="0.25">
      <c r="C38" s="53"/>
      <c r="L38" s="14"/>
      <c r="M38" s="14"/>
    </row>
    <row r="39" spans="1:25" ht="20.100000000000001" customHeight="1" x14ac:dyDescent="0.25">
      <c r="A39" s="16"/>
      <c r="C39" s="53"/>
      <c r="L39" s="14"/>
      <c r="M39" s="14"/>
    </row>
    <row r="40" spans="1:25" s="54" customFormat="1" ht="20.100000000000001" customHeight="1" x14ac:dyDescent="0.25">
      <c r="C40" s="8"/>
      <c r="D40" s="8"/>
      <c r="E40" s="8"/>
      <c r="F40" s="8"/>
      <c r="G40" s="8"/>
      <c r="H40" s="8"/>
      <c r="I40" s="8"/>
      <c r="J40" s="8"/>
      <c r="K40" s="8"/>
      <c r="L40" s="14"/>
      <c r="M40" s="14"/>
      <c r="N40" s="8"/>
      <c r="O40" s="8"/>
      <c r="P40" s="8"/>
      <c r="Q40" s="53"/>
      <c r="R40" s="53"/>
      <c r="S40" s="53"/>
      <c r="T40" s="8"/>
      <c r="U40" s="8"/>
      <c r="V40" s="8"/>
      <c r="W40" s="8"/>
      <c r="X40" s="8"/>
      <c r="Y40" s="8"/>
    </row>
    <row r="41" spans="1:25" s="54" customFormat="1" ht="20.100000000000001" customHeight="1" x14ac:dyDescent="0.25">
      <c r="A41" s="55"/>
      <c r="C41" s="8"/>
      <c r="D41" s="8"/>
      <c r="E41" s="8"/>
      <c r="F41" s="8"/>
      <c r="G41" s="8"/>
      <c r="H41" s="8"/>
      <c r="I41" s="8"/>
      <c r="J41" s="8"/>
      <c r="K41" s="8"/>
      <c r="L41" s="14"/>
      <c r="M41" s="14"/>
      <c r="N41" s="8"/>
      <c r="O41" s="53"/>
      <c r="P41" s="53"/>
      <c r="Q41" s="53"/>
      <c r="R41" s="53"/>
      <c r="S41" s="53"/>
      <c r="T41" s="8"/>
      <c r="U41" s="8"/>
      <c r="V41" s="8"/>
      <c r="W41" s="8"/>
      <c r="X41" s="8"/>
      <c r="Y41" s="8"/>
    </row>
    <row r="42" spans="1:25" ht="20.100000000000001" customHeight="1" x14ac:dyDescent="0.25">
      <c r="L42" s="14"/>
      <c r="M42" s="53"/>
      <c r="N42" s="53"/>
      <c r="O42" s="53"/>
      <c r="P42" s="53"/>
    </row>
    <row r="43" spans="1:25" ht="36" customHeight="1" x14ac:dyDescent="0.25">
      <c r="L43" s="84"/>
      <c r="M43" s="53"/>
      <c r="N43" s="53"/>
    </row>
    <row r="44" spans="1:25" ht="36" customHeight="1" x14ac:dyDescent="0.25">
      <c r="A44" s="56" t="str">
        <f>HYPERLINK("#A1", "▲ Back to top")</f>
        <v>▲ Back to top</v>
      </c>
      <c r="L44" s="84"/>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4" type="noConversion"/>
  <conditionalFormatting sqref="F126:F127">
    <cfRule type="cellIs" dxfId="45" priority="17" operator="lessThan">
      <formula>0</formula>
    </cfRule>
  </conditionalFormatting>
  <conditionalFormatting sqref="F138:F139">
    <cfRule type="cellIs" dxfId="44" priority="16" operator="lessThan">
      <formula>0</formula>
    </cfRule>
  </conditionalFormatting>
  <conditionalFormatting sqref="F150:F151">
    <cfRule type="cellIs" dxfId="43" priority="15" operator="lessThan">
      <formula>0</formula>
    </cfRule>
  </conditionalFormatting>
  <conditionalFormatting sqref="F162:F163">
    <cfRule type="cellIs" dxfId="42" priority="14" operator="lessThan">
      <formula>0</formula>
    </cfRule>
  </conditionalFormatting>
  <conditionalFormatting sqref="F250:F251">
    <cfRule type="cellIs" dxfId="41" priority="27"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84:F285">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5" priority="21" operator="lessThan">
      <formula>0</formula>
    </cfRule>
  </conditionalFormatting>
  <conditionalFormatting sqref="I33:I37 F47 K184:L184 K188:L189 K192:L193 K198:L199 K202:L203 K209:L209">
    <cfRule type="cellIs" dxfId="34" priority="19" operator="lessThan">
      <formula>0</formula>
    </cfRule>
  </conditionalFormatting>
  <conditionalFormatting sqref="I57:I61">
    <cfRule type="cellIs" dxfId="33" priority="4" operator="lessThan">
      <formula>0</formula>
    </cfRule>
  </conditionalFormatting>
  <conditionalFormatting sqref="I65 M104 I124:J124">
    <cfRule type="cellIs" dxfId="32" priority="20" operator="lessThan">
      <formula>0</formula>
    </cfRule>
  </conditionalFormatting>
  <conditionalFormatting sqref="I76:I78">
    <cfRule type="cellIs" dxfId="31" priority="3" operator="lessThan">
      <formula>0</formula>
    </cfRule>
  </conditionalFormatting>
  <conditionalFormatting sqref="I82:I85">
    <cfRule type="cellIs" dxfId="30" priority="2" operator="lessThan">
      <formula>0</formula>
    </cfRule>
  </conditionalFormatting>
  <conditionalFormatting sqref="I89:I93">
    <cfRule type="cellIs" dxfId="29" priority="1" operator="lessThan">
      <formula>0</formula>
    </cfRule>
  </conditionalFormatting>
  <conditionalFormatting sqref="J152">
    <cfRule type="cellIs" dxfId="28" priority="18" operator="lessThan">
      <formula>0</formula>
    </cfRule>
  </conditionalFormatting>
  <conditionalFormatting sqref="L117:L120">
    <cfRule type="cellIs" dxfId="27" priority="8" operator="lessThan">
      <formula>0</formula>
    </cfRule>
  </conditionalFormatting>
  <conditionalFormatting sqref="L123">
    <cfRule type="cellIs" dxfId="26" priority="13" operator="lessThan">
      <formula>0</formula>
    </cfRule>
  </conditionalFormatting>
  <conditionalFormatting sqref="L129:L132">
    <cfRule type="cellIs" dxfId="25" priority="7" operator="lessThan">
      <formula>0</formula>
    </cfRule>
  </conditionalFormatting>
  <conditionalFormatting sqref="L135">
    <cfRule type="cellIs" dxfId="24" priority="12" operator="lessThan">
      <formula>0</formula>
    </cfRule>
  </conditionalFormatting>
  <conditionalFormatting sqref="L141:L144">
    <cfRule type="cellIs" dxfId="23" priority="6" operator="lessThan">
      <formula>0</formula>
    </cfRule>
  </conditionalFormatting>
  <conditionalFormatting sqref="L147">
    <cfRule type="cellIs" dxfId="22" priority="11" operator="lessThan">
      <formula>0</formula>
    </cfRule>
  </conditionalFormatting>
  <conditionalFormatting sqref="L153:L156">
    <cfRule type="cellIs" dxfId="21" priority="5" operator="lessThan">
      <formula>0</formula>
    </cfRule>
  </conditionalFormatting>
  <conditionalFormatting sqref="L159">
    <cfRule type="cellIs" dxfId="20" priority="10" operator="lessThan">
      <formula>0</formula>
    </cfRule>
  </conditionalFormatting>
  <conditionalFormatting sqref="L163:L164">
    <cfRule type="cellIs" dxfId="19" priority="9" operator="lessThan">
      <formula>0</formula>
    </cfRule>
  </conditionalFormatting>
  <conditionalFormatting sqref="L210:L214 L216 L218:L221 L223 J228:J230 J233:J235">
    <cfRule type="cellIs" dxfId="1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abSelected="1" topLeftCell="A48" zoomScaleNormal="100" workbookViewId="0">
      <selection activeCell="F64" sqref="F63:F72"/>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844</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367</v>
      </c>
      <c r="E5" s="7"/>
      <c r="F5" s="7"/>
      <c r="G5" s="7"/>
      <c r="H5" s="7"/>
      <c r="I5" s="7"/>
      <c r="J5" s="7"/>
    </row>
    <row r="6" spans="1:19" ht="20.100000000000001" customHeight="1" x14ac:dyDescent="0.25">
      <c r="C6" s="8"/>
      <c r="D6" s="148" t="s">
        <v>371</v>
      </c>
      <c r="E6" s="151"/>
      <c r="F6" s="151"/>
      <c r="G6" s="151"/>
      <c r="H6" s="151"/>
      <c r="I6" s="151"/>
      <c r="J6" s="151"/>
    </row>
    <row r="7" spans="1:19" ht="20.100000000000001" customHeight="1" x14ac:dyDescent="0.25">
      <c r="C7" s="8"/>
      <c r="D7" s="177" t="s">
        <v>302</v>
      </c>
      <c r="E7" s="177"/>
      <c r="F7" s="40"/>
      <c r="G7" s="42"/>
      <c r="H7" s="7"/>
      <c r="I7" s="7"/>
      <c r="J7" s="7"/>
    </row>
    <row r="8" spans="1:19" ht="20.100000000000001" customHeight="1" x14ac:dyDescent="0.25">
      <c r="C8" s="8"/>
      <c r="D8" s="44" t="s">
        <v>303</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170</v>
      </c>
      <c r="E10" s="158" t="s">
        <v>304</v>
      </c>
      <c r="F10" s="158" t="s">
        <v>305</v>
      </c>
      <c r="G10" s="158" t="s">
        <v>204</v>
      </c>
      <c r="H10" s="158" t="s">
        <v>306</v>
      </c>
      <c r="I10" s="158" t="s">
        <v>428</v>
      </c>
      <c r="J10" s="158" t="s">
        <v>307</v>
      </c>
      <c r="K10" s="166" t="s">
        <v>308</v>
      </c>
      <c r="L10" s="166" t="s">
        <v>424</v>
      </c>
      <c r="M10" s="166" t="s">
        <v>309</v>
      </c>
      <c r="N10" s="166" t="s">
        <v>310</v>
      </c>
      <c r="O10" s="166" t="s">
        <v>425</v>
      </c>
      <c r="P10" s="166" t="s">
        <v>311</v>
      </c>
      <c r="Q10" s="166" t="s">
        <v>312</v>
      </c>
      <c r="R10" s="166" t="s">
        <v>426</v>
      </c>
    </row>
    <row r="11" spans="1:19" ht="20.100000000000001" customHeight="1" x14ac:dyDescent="0.25">
      <c r="D11" s="147" t="s">
        <v>430</v>
      </c>
      <c r="E11" s="159">
        <v>10</v>
      </c>
      <c r="F11" s="48" t="s">
        <v>420</v>
      </c>
      <c r="G11" s="69">
        <v>100</v>
      </c>
      <c r="H11" s="50">
        <f>Table_Input_Pesticides[[#This Row],[Amount applied per ha]]*Table_Input_Pesticides[[#This Row],[Application area (ha)]]</f>
        <v>1000</v>
      </c>
      <c r="I11" s="48" t="s">
        <v>419</v>
      </c>
      <c r="J11" s="48" t="s">
        <v>418</v>
      </c>
      <c r="K11" s="69">
        <v>100</v>
      </c>
      <c r="L11" s="50">
        <f>Table_Input_Pesticides[[#This Row],[Total applied]]*Table_Input_Pesticides[[#This Row],[Active ingredient 1 amount]]*IF(Table_Input_Pesticides[[#This Row],[Constituent unit (select)]]="fraction of product", 1, 10^-3)</f>
        <v>100</v>
      </c>
      <c r="M11" s="48" t="s">
        <v>418</v>
      </c>
      <c r="N11" s="69">
        <v>100</v>
      </c>
      <c r="O11" s="50">
        <f>Table_Input_Pesticides[[#This Row],[Total applied]]*Table_Input_Pesticides[[#This Row],[Active ingredient 2 amount]]*IF(Table_Input_Pesticides[[#This Row],[Constituent unit (select)]]="fraction of product", 1, 10^-3)</f>
        <v>100</v>
      </c>
      <c r="P11" s="48" t="s">
        <v>686</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429</v>
      </c>
      <c r="E12" s="159">
        <v>10</v>
      </c>
      <c r="F12" s="48" t="s">
        <v>313</v>
      </c>
      <c r="G12" s="69">
        <v>100</v>
      </c>
      <c r="H12" s="50">
        <f>Table_Input_Pesticides[[#This Row],[Amount applied per ha]]*Table_Input_Pesticides[[#This Row],[Application area (ha)]]</f>
        <v>1000</v>
      </c>
      <c r="I12" s="48" t="s">
        <v>419</v>
      </c>
      <c r="J12" s="48" t="s">
        <v>418</v>
      </c>
      <c r="K12" s="69">
        <v>100</v>
      </c>
      <c r="L12" s="50">
        <f>Table_Input_Pesticides[[#This Row],[Total applied]]*Table_Input_Pesticides[[#This Row],[Active ingredient 1 amount]]*IF(Table_Input_Pesticides[[#This Row],[Constituent unit (select)]]="fraction of product", 1, 10^-3)</f>
        <v>100</v>
      </c>
      <c r="M12" s="48" t="s">
        <v>684</v>
      </c>
      <c r="N12" s="69">
        <v>100</v>
      </c>
      <c r="O12" s="50">
        <f>Table_Input_Pesticides[[#This Row],[Total applied]]*Table_Input_Pesticides[[#This Row],[Active ingredient 2 amount]]*IF(Table_Input_Pesticides[[#This Row],[Constituent unit (select)]]="fraction of product", 1, 10^-3)</f>
        <v>100</v>
      </c>
      <c r="P12" s="48" t="s">
        <v>687</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427</v>
      </c>
      <c r="E13" s="159">
        <v>10</v>
      </c>
      <c r="F13" s="48" t="s">
        <v>420</v>
      </c>
      <c r="G13" s="69">
        <v>100</v>
      </c>
      <c r="H13" s="50">
        <f>Table_Input_Pesticides[[#This Row],[Amount applied per ha]]*Table_Input_Pesticides[[#This Row],[Application area (ha)]]</f>
        <v>1000</v>
      </c>
      <c r="I13" s="48" t="s">
        <v>419</v>
      </c>
      <c r="J13" s="48" t="s">
        <v>418</v>
      </c>
      <c r="K13" s="69">
        <v>100</v>
      </c>
      <c r="L13" s="50">
        <f>Table_Input_Pesticides[[#This Row],[Total applied]]*Table_Input_Pesticides[[#This Row],[Active ingredient 1 amount]]*IF(Table_Input_Pesticides[[#This Row],[Constituent unit (select)]]="fraction of product", 1, 10^-3)</f>
        <v>100</v>
      </c>
      <c r="M13" s="48" t="s">
        <v>685</v>
      </c>
      <c r="N13" s="69">
        <v>100</v>
      </c>
      <c r="O13" s="50">
        <f>Table_Input_Pesticides[[#This Row],[Total applied]]*Table_Input_Pesticides[[#This Row],[Active ingredient 2 amount]]*IF(Table_Input_Pesticides[[#This Row],[Constituent unit (select)]]="fraction of product", 1, 10^-3)</f>
        <v>100</v>
      </c>
      <c r="P13" s="48" t="s">
        <v>688</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290</v>
      </c>
      <c r="E22" s="8"/>
      <c r="F22" s="8"/>
    </row>
    <row r="23" spans="3:18" ht="20.100000000000001" customHeight="1" x14ac:dyDescent="0.25">
      <c r="D23" s="47" t="s">
        <v>170</v>
      </c>
      <c r="E23" s="47" t="s">
        <v>346</v>
      </c>
      <c r="F23" s="47" t="s">
        <v>349</v>
      </c>
    </row>
    <row r="24" spans="3:18" ht="20.100000000000001" customHeight="1" x14ac:dyDescent="0.25">
      <c r="D24" s="85" t="s">
        <v>388</v>
      </c>
      <c r="E24" s="48" t="s">
        <v>348</v>
      </c>
      <c r="F24" s="69">
        <v>100</v>
      </c>
    </row>
    <row r="25" spans="3:18" ht="20.100000000000001" customHeight="1" x14ac:dyDescent="0.25">
      <c r="C25" s="8"/>
      <c r="D25" s="85" t="s">
        <v>387</v>
      </c>
      <c r="E25" s="153" t="s">
        <v>347</v>
      </c>
      <c r="F25" s="154">
        <v>100</v>
      </c>
    </row>
    <row r="26" spans="3:18" ht="20.100000000000001" customHeight="1" x14ac:dyDescent="0.25">
      <c r="C26" s="8"/>
      <c r="D26" s="85" t="s">
        <v>291</v>
      </c>
      <c r="E26" s="153" t="s">
        <v>292</v>
      </c>
      <c r="F26" s="154">
        <v>100</v>
      </c>
    </row>
    <row r="27" spans="3:18" ht="20.100000000000001" customHeight="1" x14ac:dyDescent="0.25">
      <c r="C27" s="8"/>
      <c r="D27" s="85" t="s">
        <v>291</v>
      </c>
      <c r="E27" s="153" t="s">
        <v>292</v>
      </c>
      <c r="F27" s="154">
        <v>100</v>
      </c>
    </row>
    <row r="28" spans="3:18" ht="20.100000000000001" customHeight="1" x14ac:dyDescent="0.25">
      <c r="D28" s="85" t="s">
        <v>388</v>
      </c>
      <c r="E28" s="153" t="s">
        <v>348</v>
      </c>
      <c r="F28" s="154">
        <v>100</v>
      </c>
    </row>
    <row r="29" spans="3:18" ht="20.100000000000001" customHeight="1" x14ac:dyDescent="0.25">
      <c r="D29" s="85" t="s">
        <v>388</v>
      </c>
      <c r="E29" s="153" t="s">
        <v>348</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842</v>
      </c>
      <c r="E35" s="8"/>
      <c r="F35" s="8"/>
    </row>
    <row r="36" spans="3:6" ht="20.100000000000001" customHeight="1" x14ac:dyDescent="0.25">
      <c r="D36" s="47" t="s">
        <v>170</v>
      </c>
      <c r="E36" s="47" t="s">
        <v>346</v>
      </c>
      <c r="F36" s="47" t="s">
        <v>379</v>
      </c>
    </row>
    <row r="37" spans="3:6" ht="20.100000000000001" customHeight="1" x14ac:dyDescent="0.25">
      <c r="D37" s="85" t="s">
        <v>383</v>
      </c>
      <c r="E37" s="75" t="s">
        <v>375</v>
      </c>
      <c r="F37" s="69">
        <v>100</v>
      </c>
    </row>
    <row r="38" spans="3:6" ht="20.100000000000001" customHeight="1" x14ac:dyDescent="0.25">
      <c r="D38" s="85" t="s">
        <v>384</v>
      </c>
      <c r="E38" s="167" t="s">
        <v>376</v>
      </c>
      <c r="F38" s="154">
        <v>100</v>
      </c>
    </row>
    <row r="39" spans="3:6" ht="20.100000000000001" customHeight="1" x14ac:dyDescent="0.25">
      <c r="D39" s="85" t="s">
        <v>385</v>
      </c>
      <c r="E39" s="167" t="s">
        <v>377</v>
      </c>
      <c r="F39" s="154">
        <v>100</v>
      </c>
    </row>
    <row r="40" spans="3:6" ht="20.100000000000001" customHeight="1" x14ac:dyDescent="0.25">
      <c r="D40" s="85" t="s">
        <v>386</v>
      </c>
      <c r="E40" s="167" t="s">
        <v>378</v>
      </c>
      <c r="F40" s="154">
        <v>100</v>
      </c>
    </row>
    <row r="41" spans="3:6" ht="20.100000000000001" customHeight="1" x14ac:dyDescent="0.25">
      <c r="D41" s="85" t="s">
        <v>383</v>
      </c>
      <c r="E41" s="167" t="s">
        <v>375</v>
      </c>
      <c r="F41" s="154">
        <v>100</v>
      </c>
    </row>
    <row r="42" spans="3:6" ht="20.100000000000001" customHeight="1" x14ac:dyDescent="0.25">
      <c r="D42" s="85" t="s">
        <v>384</v>
      </c>
      <c r="E42" s="167" t="s">
        <v>376</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368</v>
      </c>
    </row>
    <row r="50" spans="3:17" ht="20.100000000000001" customHeight="1" x14ac:dyDescent="0.25">
      <c r="D50" s="148" t="s">
        <v>293</v>
      </c>
      <c r="E50" s="149"/>
      <c r="F50" s="70"/>
    </row>
    <row r="51" spans="3:17" ht="20.100000000000001" customHeight="1" x14ac:dyDescent="0.25">
      <c r="D51" s="8" t="str" cm="1">
        <f t="array" ref="D51:D53">Table_SourceData_Scope3_LickBlocks[Product]</f>
        <v>Lick block, dry season mix</v>
      </c>
      <c r="E51" s="69">
        <v>100</v>
      </c>
      <c r="F51" s="68" t="s">
        <v>353</v>
      </c>
    </row>
    <row r="52" spans="3:17" ht="20.100000000000001" customHeight="1" x14ac:dyDescent="0.25">
      <c r="D52" s="8" t="str">
        <v>Lick block, mineral</v>
      </c>
      <c r="E52" s="69">
        <v>100</v>
      </c>
      <c r="F52" s="68" t="s">
        <v>353</v>
      </c>
    </row>
    <row r="53" spans="3:17" ht="20.100000000000001" customHeight="1" x14ac:dyDescent="0.25">
      <c r="D53" s="8" t="str">
        <v>Lick block, weaner</v>
      </c>
      <c r="E53" s="69">
        <v>100</v>
      </c>
      <c r="F53" s="68" t="s">
        <v>353</v>
      </c>
    </row>
    <row r="54" spans="3:17" ht="20.100000000000001" customHeight="1" x14ac:dyDescent="0.25">
      <c r="D54" s="8"/>
      <c r="E54" s="8"/>
      <c r="F54" s="8"/>
    </row>
    <row r="55" spans="3:17" ht="20.100000000000001" customHeight="1" x14ac:dyDescent="0.25">
      <c r="D55" s="148" t="s">
        <v>403</v>
      </c>
      <c r="E55" s="7"/>
      <c r="F55" s="7"/>
    </row>
    <row r="56" spans="3:17" ht="20.100000000000001" customHeight="1" x14ac:dyDescent="0.25">
      <c r="D56" s="8" t="str" cm="1">
        <f t="array" ref="D56:D59">Table_SourceData_Scope3_MixedRations[Product]</f>
        <v>Feed for chickens</v>
      </c>
      <c r="E56" s="69">
        <v>100</v>
      </c>
      <c r="F56" s="68" t="s">
        <v>353</v>
      </c>
    </row>
    <row r="57" spans="3:17" ht="20.100000000000001" customHeight="1" x14ac:dyDescent="0.25">
      <c r="D57" s="8" t="str">
        <v>Feed for dairy calves</v>
      </c>
      <c r="E57" s="69">
        <v>100</v>
      </c>
      <c r="F57" s="68" t="s">
        <v>353</v>
      </c>
    </row>
    <row r="58" spans="3:17" ht="20.100000000000001" customHeight="1" x14ac:dyDescent="0.25">
      <c r="D58" s="8" t="str">
        <v>Feed for dairy cows</v>
      </c>
      <c r="E58" s="69">
        <v>100</v>
      </c>
      <c r="F58" s="68" t="s">
        <v>353</v>
      </c>
    </row>
    <row r="59" spans="3:17" ht="20.100000000000001" customHeight="1" x14ac:dyDescent="0.25">
      <c r="D59" s="8" t="str">
        <v>Feed for pigs</v>
      </c>
      <c r="E59" s="69">
        <v>100</v>
      </c>
      <c r="F59" s="68" t="s">
        <v>353</v>
      </c>
    </row>
    <row r="60" spans="3:17" ht="20.100000000000001" customHeight="1" x14ac:dyDescent="0.25">
      <c r="D60" s="7"/>
      <c r="E60" s="7"/>
      <c r="F60" s="7"/>
    </row>
    <row r="61" spans="3:17" ht="20.100000000000001" customHeight="1" x14ac:dyDescent="0.25">
      <c r="D61" s="148" t="s">
        <v>625</v>
      </c>
      <c r="E61" s="7"/>
      <c r="F61" s="7"/>
    </row>
    <row r="62" spans="3:17" ht="20.100000000000001" customHeight="1" x14ac:dyDescent="0.25">
      <c r="D62" s="49" t="s">
        <v>295</v>
      </c>
      <c r="E62" s="49" t="s">
        <v>296</v>
      </c>
      <c r="F62" s="49" t="s">
        <v>210</v>
      </c>
      <c r="G62" s="49" t="s">
        <v>394</v>
      </c>
      <c r="H62" s="49" t="s">
        <v>175</v>
      </c>
      <c r="I62" s="49" t="s">
        <v>297</v>
      </c>
      <c r="J62" s="49" t="s">
        <v>399</v>
      </c>
      <c r="K62" s="49" t="s">
        <v>177</v>
      </c>
      <c r="L62" s="49" t="s">
        <v>298</v>
      </c>
      <c r="M62" s="49" t="s">
        <v>400</v>
      </c>
      <c r="N62" s="49" t="s">
        <v>179</v>
      </c>
      <c r="O62" s="49" t="s">
        <v>299</v>
      </c>
      <c r="P62" s="49" t="s">
        <v>401</v>
      </c>
      <c r="Q62" s="49" t="s">
        <v>181</v>
      </c>
    </row>
    <row r="63" spans="3:17" ht="20.100000000000001" customHeight="1" x14ac:dyDescent="0.25">
      <c r="D63" s="15"/>
      <c r="E63" s="150">
        <v>1200</v>
      </c>
      <c r="F63" s="48" t="s">
        <v>861</v>
      </c>
      <c r="G63" s="48" t="s">
        <v>396</v>
      </c>
      <c r="H63" s="51">
        <v>0.35</v>
      </c>
      <c r="I63" s="48" t="s">
        <v>391</v>
      </c>
      <c r="J63" s="48" t="s">
        <v>396</v>
      </c>
      <c r="K63" s="51">
        <v>0.22</v>
      </c>
      <c r="L63" s="48" t="s">
        <v>300</v>
      </c>
      <c r="M63" s="48" t="s">
        <v>337</v>
      </c>
      <c r="N63" s="51">
        <v>0.12</v>
      </c>
      <c r="O63" s="48" t="s">
        <v>402</v>
      </c>
      <c r="P63" s="48" t="s">
        <v>339</v>
      </c>
      <c r="Q63" s="51">
        <v>0.05</v>
      </c>
    </row>
    <row r="64" spans="3:17" ht="20.100000000000001" customHeight="1" x14ac:dyDescent="0.25">
      <c r="D64" s="15"/>
      <c r="E64" s="150">
        <v>3456</v>
      </c>
      <c r="F64" s="48" t="s">
        <v>397</v>
      </c>
      <c r="G64" s="48" t="s">
        <v>345</v>
      </c>
      <c r="H64" s="51">
        <v>0.2</v>
      </c>
      <c r="I64" s="48" t="s">
        <v>397</v>
      </c>
      <c r="J64" s="48" t="s">
        <v>338</v>
      </c>
      <c r="K64" s="51">
        <v>0.2</v>
      </c>
      <c r="L64" s="48"/>
      <c r="M64" s="48"/>
      <c r="N64" s="51"/>
      <c r="O64" s="48"/>
      <c r="P64" s="48"/>
      <c r="Q64" s="51"/>
    </row>
    <row r="65" spans="4:17" ht="20.100000000000001" customHeight="1" x14ac:dyDescent="0.25">
      <c r="D65" s="15" t="s">
        <v>301</v>
      </c>
      <c r="E65" s="150">
        <v>300</v>
      </c>
      <c r="F65" s="48" t="s">
        <v>395</v>
      </c>
      <c r="G65" s="48" t="s">
        <v>344</v>
      </c>
      <c r="H65" s="51">
        <v>0.8</v>
      </c>
      <c r="I65" s="48" t="s">
        <v>392</v>
      </c>
      <c r="J65" s="48" t="s">
        <v>398</v>
      </c>
      <c r="K65" s="51">
        <v>0.2</v>
      </c>
      <c r="L65" s="48"/>
      <c r="M65" s="48"/>
      <c r="N65" s="51"/>
      <c r="O65" s="48"/>
      <c r="P65" s="48"/>
      <c r="Q65" s="51"/>
    </row>
    <row r="66" spans="4:17" ht="20.100000000000001" customHeight="1" x14ac:dyDescent="0.25">
      <c r="D66" s="15"/>
      <c r="E66" s="150">
        <v>500</v>
      </c>
      <c r="F66" s="48" t="s">
        <v>404</v>
      </c>
      <c r="G66" s="48" t="s">
        <v>344</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431</v>
      </c>
    </row>
    <row r="76" spans="4:17" ht="20.100000000000001" customHeight="1" x14ac:dyDescent="0.25">
      <c r="D76" s="148" t="s">
        <v>327</v>
      </c>
    </row>
    <row r="77" spans="4:17" ht="20.100000000000001" customHeight="1" x14ac:dyDescent="0.25">
      <c r="D77" s="10" t="s">
        <v>362</v>
      </c>
      <c r="E77" s="10" t="s">
        <v>435</v>
      </c>
      <c r="F77" s="10" t="s">
        <v>325</v>
      </c>
      <c r="G77" s="10" t="s">
        <v>432</v>
      </c>
      <c r="H77" s="10" t="s">
        <v>328</v>
      </c>
      <c r="I77" s="10" t="s">
        <v>326</v>
      </c>
      <c r="J77" s="166" t="s">
        <v>433</v>
      </c>
      <c r="K77" s="166" t="s">
        <v>434</v>
      </c>
    </row>
    <row r="78" spans="4:17" ht="20.100000000000001" customHeight="1" x14ac:dyDescent="0.25">
      <c r="D78" s="85" t="s">
        <v>522</v>
      </c>
      <c r="E78" s="162">
        <v>45547</v>
      </c>
      <c r="F78" s="48" t="s">
        <v>493</v>
      </c>
      <c r="G78" s="75" t="s">
        <v>336</v>
      </c>
      <c r="H78" s="48" t="s">
        <v>441</v>
      </c>
      <c r="I78" s="69">
        <v>100</v>
      </c>
      <c r="J78" s="50"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69">
        <v>205</v>
      </c>
    </row>
    <row r="79" spans="4:17" ht="20.100000000000001" customHeight="1" x14ac:dyDescent="0.25">
      <c r="D79" s="85"/>
      <c r="E79" s="162">
        <v>45292</v>
      </c>
      <c r="F79" s="153" t="s">
        <v>494</v>
      </c>
      <c r="G79" s="75" t="s">
        <v>335</v>
      </c>
      <c r="H79" s="48" t="s">
        <v>440</v>
      </c>
      <c r="I79" s="69">
        <v>100</v>
      </c>
      <c r="J79" s="50"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69">
        <v>465</v>
      </c>
    </row>
    <row r="80" spans="4:17" ht="20.100000000000001" customHeight="1" x14ac:dyDescent="0.25">
      <c r="D80" s="85"/>
      <c r="E80" s="85"/>
      <c r="F80" s="153"/>
      <c r="G80" s="75"/>
      <c r="H80" s="48"/>
      <c r="I80" s="69"/>
      <c r="J80" s="50"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69"/>
    </row>
    <row r="81" spans="4:11" ht="20.100000000000001" customHeight="1" x14ac:dyDescent="0.25">
      <c r="D81" s="85"/>
      <c r="E81" s="85"/>
      <c r="F81" s="153"/>
      <c r="G81" s="75"/>
      <c r="H81" s="48"/>
      <c r="I81" s="69"/>
      <c r="J81" s="50"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69"/>
    </row>
    <row r="82" spans="4:11" ht="20.100000000000001" customHeight="1" x14ac:dyDescent="0.25">
      <c r="D82" s="85"/>
      <c r="E82" s="85"/>
      <c r="F82" s="153"/>
      <c r="G82" s="75"/>
      <c r="H82" s="48"/>
      <c r="I82" s="69"/>
      <c r="J82" s="50"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69"/>
    </row>
    <row r="83" spans="4:11" ht="20.100000000000001" customHeight="1" x14ac:dyDescent="0.25">
      <c r="D83" s="85"/>
      <c r="E83" s="85"/>
      <c r="F83" s="153"/>
      <c r="G83" s="75"/>
      <c r="H83" s="48"/>
      <c r="I83" s="69"/>
      <c r="J83" s="50"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69"/>
    </row>
    <row r="84" spans="4:11" ht="20.100000000000001" customHeight="1" x14ac:dyDescent="0.25">
      <c r="D84" s="85"/>
      <c r="E84" s="85"/>
      <c r="F84" s="153"/>
      <c r="G84" s="75"/>
      <c r="H84" s="48"/>
      <c r="I84" s="69"/>
      <c r="J84" s="50"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69"/>
    </row>
    <row r="85" spans="4:11" ht="20.100000000000001" customHeight="1" x14ac:dyDescent="0.25">
      <c r="D85" s="85"/>
      <c r="E85" s="85"/>
      <c r="F85" s="153"/>
      <c r="G85" s="75"/>
      <c r="H85" s="48"/>
      <c r="I85" s="69"/>
      <c r="J85" s="50"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69"/>
    </row>
    <row r="86" spans="4:11" ht="20.100000000000001" customHeight="1" x14ac:dyDescent="0.25">
      <c r="D86" s="85"/>
      <c r="E86" s="85"/>
      <c r="F86" s="153"/>
      <c r="G86" s="75"/>
      <c r="H86" s="48"/>
      <c r="I86" s="69"/>
      <c r="J86" s="50"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69"/>
    </row>
    <row r="87" spans="4:11" ht="20.100000000000001" customHeight="1" x14ac:dyDescent="0.25">
      <c r="D87" s="85"/>
      <c r="E87" s="85"/>
      <c r="F87" s="153"/>
      <c r="G87" s="75"/>
      <c r="H87" s="48"/>
      <c r="I87" s="69"/>
      <c r="J87" s="50"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69"/>
    </row>
    <row r="88" spans="4:11" ht="20.100000000000001" customHeight="1" x14ac:dyDescent="0.25"/>
    <row r="89" spans="4:11" ht="20.100000000000001" customHeight="1" x14ac:dyDescent="0.25">
      <c r="D89" s="148" t="s">
        <v>343</v>
      </c>
    </row>
    <row r="90" spans="4:11" ht="20.100000000000001" customHeight="1" x14ac:dyDescent="0.25">
      <c r="D90" s="166" t="s">
        <v>362</v>
      </c>
      <c r="E90" s="166" t="s">
        <v>325</v>
      </c>
      <c r="F90" s="166" t="s">
        <v>524</v>
      </c>
      <c r="G90" s="166" t="s">
        <v>326</v>
      </c>
      <c r="H90" s="166" t="s">
        <v>433</v>
      </c>
      <c r="I90" s="166" t="s">
        <v>434</v>
      </c>
    </row>
    <row r="91" spans="4:11" ht="20.100000000000001" customHeight="1" x14ac:dyDescent="0.25">
      <c r="D91" s="85" t="s">
        <v>523</v>
      </c>
      <c r="E91" s="48" t="s">
        <v>521</v>
      </c>
      <c r="F91" s="48" t="s">
        <v>859</v>
      </c>
      <c r="G91" s="69">
        <v>100</v>
      </c>
      <c r="H91" s="50"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91" s="69">
        <v>350</v>
      </c>
    </row>
    <row r="92" spans="4:11" ht="20.100000000000001" customHeight="1" x14ac:dyDescent="0.25">
      <c r="D92" s="85"/>
      <c r="E92" s="153" t="s">
        <v>520</v>
      </c>
      <c r="F92" s="48" t="s">
        <v>860</v>
      </c>
      <c r="G92" s="69">
        <v>100</v>
      </c>
      <c r="H92" s="50"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92" s="69">
        <v>625</v>
      </c>
    </row>
    <row r="93" spans="4:11" ht="20.100000000000001" customHeight="1" x14ac:dyDescent="0.25">
      <c r="D93" s="85"/>
      <c r="E93" s="153" t="s">
        <v>529</v>
      </c>
      <c r="F93" s="48" t="s">
        <v>859</v>
      </c>
      <c r="G93" s="69"/>
      <c r="H93" s="50"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3" s="69"/>
    </row>
    <row r="94" spans="4:11" ht="20.100000000000001" customHeight="1" x14ac:dyDescent="0.25">
      <c r="D94" s="85"/>
      <c r="E94" s="153"/>
      <c r="F94" s="48"/>
      <c r="G94" s="69"/>
      <c r="H94" s="50"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69"/>
    </row>
    <row r="95" spans="4:11" ht="20.100000000000001" customHeight="1" x14ac:dyDescent="0.25">
      <c r="D95" s="85"/>
      <c r="E95" s="153"/>
      <c r="F95" s="48"/>
      <c r="G95" s="69"/>
      <c r="H95" s="50"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69"/>
    </row>
    <row r="96" spans="4:11" ht="20.100000000000001" customHeight="1" x14ac:dyDescent="0.25">
      <c r="D96" s="85"/>
      <c r="E96" s="153"/>
      <c r="F96" s="48"/>
      <c r="G96" s="69"/>
      <c r="H96" s="50"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69"/>
    </row>
    <row r="97" spans="4:9" ht="20.100000000000001" customHeight="1" x14ac:dyDescent="0.25">
      <c r="D97" s="85"/>
      <c r="E97" s="153"/>
      <c r="F97" s="48"/>
      <c r="G97" s="69"/>
      <c r="H97" s="50"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69"/>
    </row>
    <row r="98" spans="4:9" ht="20.100000000000001" customHeight="1" x14ac:dyDescent="0.25">
      <c r="D98" s="85"/>
      <c r="E98" s="153"/>
      <c r="F98" s="48"/>
      <c r="G98" s="69"/>
      <c r="H98" s="50"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69"/>
    </row>
    <row r="99" spans="4:9" ht="20.100000000000001" customHeight="1" x14ac:dyDescent="0.25">
      <c r="D99" s="85"/>
      <c r="E99" s="153"/>
      <c r="F99" s="48"/>
      <c r="G99" s="69"/>
      <c r="H99" s="50"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69"/>
    </row>
    <row r="100" spans="4:9" ht="20.100000000000001" customHeight="1" x14ac:dyDescent="0.25">
      <c r="D100" s="85"/>
      <c r="E100" s="153"/>
      <c r="F100" s="48"/>
      <c r="G100" s="69"/>
      <c r="H100" s="50"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69"/>
    </row>
    <row r="101" spans="4:9" ht="20.100000000000001" customHeight="1" x14ac:dyDescent="0.25"/>
    <row r="102" spans="4:9" ht="20.100000000000001" customHeight="1" x14ac:dyDescent="0.25">
      <c r="D102" s="148" t="s">
        <v>548</v>
      </c>
    </row>
    <row r="103" spans="4:9" ht="20.100000000000001" customHeight="1" x14ac:dyDescent="0.25">
      <c r="D103" s="166" t="s">
        <v>362</v>
      </c>
      <c r="E103" s="166" t="s">
        <v>325</v>
      </c>
      <c r="F103" s="166" t="s">
        <v>326</v>
      </c>
      <c r="G103" s="166" t="s">
        <v>433</v>
      </c>
      <c r="H103" s="166" t="s">
        <v>434</v>
      </c>
    </row>
    <row r="104" spans="4:9" ht="20.100000000000001" customHeight="1" x14ac:dyDescent="0.25">
      <c r="D104" s="85" t="s">
        <v>570</v>
      </c>
      <c r="E104" s="48" t="s">
        <v>571</v>
      </c>
      <c r="F104" s="69">
        <v>100</v>
      </c>
      <c r="G104" s="50" cm="1">
        <f t="array" ref="G104">Common_InputFunctions.Utility_LookupValueInTableNumber(Table_Input_LivestockPurchases_Pigs[[#This Row],[Class (select)]], Table_SourceData_Swine_Liveweight[Livestock type j],Table_SourceData_Swine_Liveweight[Average liveweight (kg)])</f>
        <v>188</v>
      </c>
      <c r="H104" s="69">
        <v>180</v>
      </c>
    </row>
    <row r="105" spans="4:9" ht="20.100000000000001" customHeight="1" x14ac:dyDescent="0.25">
      <c r="D105" s="85" t="s">
        <v>573</v>
      </c>
      <c r="E105" s="153" t="s">
        <v>572</v>
      </c>
      <c r="F105" s="69">
        <v>100</v>
      </c>
      <c r="G105" s="50" cm="1">
        <f t="array" ref="G105">Common_InputFunctions.Utility_LookupValueInTableNumber(Table_Input_LivestockPurchases_Pigs[[#This Row],[Class (select)]], Table_SourceData_Swine_Liveweight[Livestock type j],Table_SourceData_Swine_Liveweight[Average liveweight (kg)])</f>
        <v>39</v>
      </c>
      <c r="H105" s="69">
        <v>38</v>
      </c>
    </row>
    <row r="106" spans="4:9" ht="20.100000000000001" customHeight="1" x14ac:dyDescent="0.25">
      <c r="D106" s="85"/>
      <c r="E106" s="153"/>
      <c r="F106" s="69"/>
      <c r="G106" s="50" cm="1">
        <f t="array" ref="G106">Common_InputFunctions.Utility_LookupValueInTableNumber(Table_Input_LivestockPurchases_Pigs[[#This Row],[Class (select)]], Table_SourceData_Swine_Liveweight[Livestock type j],Table_SourceData_Swine_Liveweight[Average liveweight (kg)])</f>
        <v>0</v>
      </c>
      <c r="H106" s="69"/>
    </row>
    <row r="107" spans="4:9" ht="20.100000000000001" customHeight="1" x14ac:dyDescent="0.25">
      <c r="D107" s="85"/>
      <c r="E107" s="153"/>
      <c r="F107" s="69"/>
      <c r="G107" s="50" cm="1">
        <f t="array" ref="G107">Common_InputFunctions.Utility_LookupValueInTableNumber(Table_Input_LivestockPurchases_Pigs[[#This Row],[Class (select)]], Table_SourceData_Swine_Liveweight[Livestock type j],Table_SourceData_Swine_Liveweight[Average liveweight (kg)])</f>
        <v>0</v>
      </c>
      <c r="H107" s="69"/>
    </row>
    <row r="108" spans="4:9" ht="20.100000000000001" customHeight="1" x14ac:dyDescent="0.25">
      <c r="D108" s="85"/>
      <c r="E108" s="153"/>
      <c r="F108" s="69"/>
      <c r="G108" s="50" cm="1">
        <f t="array" ref="G108">Common_InputFunctions.Utility_LookupValueInTableNumber(Table_Input_LivestockPurchases_Pigs[[#This Row],[Class (select)]], Table_SourceData_Swine_Liveweight[Livestock type j],Table_SourceData_Swine_Liveweight[Average liveweight (kg)])</f>
        <v>0</v>
      </c>
      <c r="H108" s="69"/>
    </row>
    <row r="109" spans="4:9" ht="20.100000000000001" customHeight="1" x14ac:dyDescent="0.25">
      <c r="D109" s="85"/>
      <c r="E109" s="153"/>
      <c r="F109" s="69"/>
      <c r="G109" s="50" cm="1">
        <f t="array" ref="G109">Common_InputFunctions.Utility_LookupValueInTableNumber(Table_Input_LivestockPurchases_Pigs[[#This Row],[Class (select)]], Table_SourceData_Swine_Liveweight[Livestock type j],Table_SourceData_Swine_Liveweight[Average liveweight (kg)])</f>
        <v>0</v>
      </c>
      <c r="H109" s="69"/>
    </row>
    <row r="110" spans="4:9" ht="20.100000000000001" customHeight="1" x14ac:dyDescent="0.25">
      <c r="D110" s="85"/>
      <c r="E110" s="153"/>
      <c r="F110" s="69"/>
      <c r="G110" s="50" cm="1">
        <f t="array" ref="G110">Common_InputFunctions.Utility_LookupValueInTableNumber(Table_Input_LivestockPurchases_Pigs[[#This Row],[Class (select)]], Table_SourceData_Swine_Liveweight[Livestock type j],Table_SourceData_Swine_Liveweight[Average liveweight (kg)])</f>
        <v>0</v>
      </c>
      <c r="H110" s="69"/>
    </row>
    <row r="111" spans="4:9" ht="20.100000000000001" customHeight="1" x14ac:dyDescent="0.25">
      <c r="D111" s="85"/>
      <c r="E111" s="153"/>
      <c r="F111" s="69"/>
      <c r="G111" s="50" cm="1">
        <f t="array" ref="G111">Common_InputFunctions.Utility_LookupValueInTableNumber(Table_Input_LivestockPurchases_Pigs[[#This Row],[Class (select)]], Table_SourceData_Swine_Liveweight[Livestock type j],Table_SourceData_Swine_Liveweight[Average liveweight (kg)])</f>
        <v>0</v>
      </c>
      <c r="H111" s="69"/>
    </row>
    <row r="112" spans="4:9" ht="20.100000000000001" customHeight="1" x14ac:dyDescent="0.25">
      <c r="D112" s="85"/>
      <c r="E112" s="153"/>
      <c r="F112" s="69"/>
      <c r="G112" s="50" cm="1">
        <f t="array" ref="G112">Common_InputFunctions.Utility_LookupValueInTableNumber(Table_Input_LivestockPurchases_Pigs[[#This Row],[Class (select)]], Table_SourceData_Swine_Liveweight[Livestock type j],Table_SourceData_Swine_Liveweight[Average liveweight (kg)])</f>
        <v>0</v>
      </c>
      <c r="H112" s="69"/>
    </row>
    <row r="113" spans="4:16" ht="20.100000000000001" customHeight="1" x14ac:dyDescent="0.25">
      <c r="D113" s="85"/>
      <c r="E113" s="153"/>
      <c r="F113" s="69"/>
      <c r="G113" s="50" cm="1">
        <f t="array" ref="G113">Common_InputFunctions.Utility_LookupValueInTableNumber(Table_Input_LivestockPurchases_Pigs[[#This Row],[Class (select)]], Table_SourceData_Swine_Liveweight[Livestock type j],Table_SourceData_Swine_Liveweight[Average liveweight (kg)])</f>
        <v>0</v>
      </c>
      <c r="H113" s="69"/>
      <c r="L113" s="7"/>
      <c r="M113" s="7"/>
      <c r="N113" s="7"/>
      <c r="O113" s="7"/>
      <c r="P113" s="7"/>
    </row>
    <row r="114" spans="4:16" ht="20.100000000000001" customHeight="1" x14ac:dyDescent="0.25">
      <c r="L114" s="7"/>
      <c r="M114" s="7"/>
      <c r="N114" s="7"/>
      <c r="O114" s="7"/>
      <c r="P114" s="7"/>
    </row>
    <row r="115" spans="4:16" ht="20.100000000000001" customHeight="1" x14ac:dyDescent="0.25">
      <c r="D115" s="148" t="s">
        <v>575</v>
      </c>
      <c r="L115" s="7"/>
      <c r="M115" s="7"/>
      <c r="N115" s="7"/>
      <c r="O115" s="7"/>
      <c r="P115" s="7"/>
    </row>
    <row r="116" spans="4:16" ht="20.100000000000001" customHeight="1" x14ac:dyDescent="0.25">
      <c r="D116" s="166" t="s">
        <v>362</v>
      </c>
      <c r="E116" s="166" t="s">
        <v>325</v>
      </c>
      <c r="F116" s="166" t="s">
        <v>326</v>
      </c>
      <c r="G116" s="166" t="s">
        <v>433</v>
      </c>
      <c r="H116" s="166" t="s">
        <v>434</v>
      </c>
      <c r="N116" s="7"/>
      <c r="O116" s="7"/>
      <c r="P116" s="7"/>
    </row>
    <row r="117" spans="4:16" ht="20.100000000000001" customHeight="1" x14ac:dyDescent="0.25">
      <c r="D117" s="85" t="s">
        <v>576</v>
      </c>
      <c r="E117" s="48" t="s">
        <v>604</v>
      </c>
      <c r="F117" s="69">
        <v>100</v>
      </c>
      <c r="G117" s="50" cm="1">
        <f t="array" ref="G117">Common_InputFunctions.Utility_LookupValueInTableNumber(Table_Input_LivestockPurchases_Poultry[[#This Row],[Class (select)]], Table_SourceData_Poultry_Liveweights[Livestock class j],Table_SourceData_Poultry_Liveweights[Average liveweight (kg)])</f>
        <v>1.3</v>
      </c>
      <c r="H117" s="69">
        <v>1.3</v>
      </c>
      <c r="N117" s="7"/>
      <c r="O117" s="7"/>
      <c r="P117" s="7"/>
    </row>
    <row r="118" spans="4:16" ht="20.100000000000001" customHeight="1" x14ac:dyDescent="0.25">
      <c r="D118" s="85" t="s">
        <v>577</v>
      </c>
      <c r="E118" s="153" t="s">
        <v>605</v>
      </c>
      <c r="F118" s="69">
        <v>100</v>
      </c>
      <c r="G118" s="50" cm="1">
        <f t="array" ref="G118">Common_InputFunctions.Utility_LookupValueInTableNumber(Table_Input_LivestockPurchases_Poultry[[#This Row],[Class (select)]], Table_SourceData_Poultry_Liveweights[Livestock class j],Table_SourceData_Poultry_Liveweights[Average liveweight (kg)])</f>
        <v>1.4</v>
      </c>
      <c r="H118" s="69">
        <v>1.4</v>
      </c>
      <c r="N118" s="9"/>
      <c r="O118" s="9"/>
      <c r="P118" s="7"/>
    </row>
    <row r="119" spans="4:16" ht="20.100000000000001" customHeight="1" x14ac:dyDescent="0.25">
      <c r="D119" s="85"/>
      <c r="E119" s="153"/>
      <c r="F119" s="69"/>
      <c r="G119" s="50" cm="1">
        <f t="array" ref="G119">Common_InputFunctions.Utility_LookupValueInTableNumber(Table_Input_LivestockPurchases_Poultry[[#This Row],[Class (select)]], Table_SourceData_Poultry_Liveweights[Livestock class j],Table_SourceData_Poultry_Liveweights[Average liveweight (kg)])</f>
        <v>0</v>
      </c>
      <c r="H119" s="69"/>
      <c r="P119" s="151"/>
    </row>
    <row r="120" spans="4:16" ht="20.100000000000001" customHeight="1" x14ac:dyDescent="0.25">
      <c r="D120" s="85"/>
      <c r="E120" s="153"/>
      <c r="F120" s="69"/>
      <c r="G120" s="50" cm="1">
        <f t="array" ref="G120">Common_InputFunctions.Utility_LookupValueInTableNumber(Table_Input_LivestockPurchases_Poultry[[#This Row],[Class (select)]], Table_SourceData_Poultry_Liveweights[Livestock class j],Table_SourceData_Poultry_Liveweights[Average liveweight (kg)])</f>
        <v>0</v>
      </c>
      <c r="H120" s="69"/>
      <c r="P120" s="151"/>
    </row>
    <row r="121" spans="4:16" ht="20.100000000000001" customHeight="1" x14ac:dyDescent="0.25">
      <c r="D121" s="85"/>
      <c r="E121" s="153"/>
      <c r="F121" s="69"/>
      <c r="G121" s="50" cm="1">
        <f t="array" ref="G121">Common_InputFunctions.Utility_LookupValueInTableNumber(Table_Input_LivestockPurchases_Poultry[[#This Row],[Class (select)]], Table_SourceData_Poultry_Liveweights[Livestock class j],Table_SourceData_Poultry_Liveweights[Average liveweight (kg)])</f>
        <v>0</v>
      </c>
      <c r="H121" s="69"/>
      <c r="P121" s="151"/>
    </row>
    <row r="122" spans="4:16" ht="20.100000000000001" customHeight="1" x14ac:dyDescent="0.25">
      <c r="D122" s="85"/>
      <c r="E122" s="153"/>
      <c r="F122" s="69"/>
      <c r="G122" s="50" cm="1">
        <f t="array" ref="G122">Common_InputFunctions.Utility_LookupValueInTableNumber(Table_Input_LivestockPurchases_Poultry[[#This Row],[Class (select)]], Table_SourceData_Poultry_Liveweights[Livestock class j],Table_SourceData_Poultry_Liveweights[Average liveweight (kg)])</f>
        <v>0</v>
      </c>
      <c r="H122" s="69"/>
      <c r="P122" s="151"/>
    </row>
    <row r="123" spans="4:16" ht="20.100000000000001" customHeight="1" x14ac:dyDescent="0.25">
      <c r="D123" s="85"/>
      <c r="E123" s="153"/>
      <c r="F123" s="69"/>
      <c r="G123" s="50" cm="1">
        <f t="array" ref="G123">Common_InputFunctions.Utility_LookupValueInTableNumber(Table_Input_LivestockPurchases_Poultry[[#This Row],[Class (select)]], Table_SourceData_Poultry_Liveweights[Livestock class j],Table_SourceData_Poultry_Liveweights[Average liveweight (kg)])</f>
        <v>0</v>
      </c>
      <c r="H123" s="69"/>
      <c r="P123" s="151"/>
    </row>
    <row r="124" spans="4:16" ht="20.100000000000001" customHeight="1" x14ac:dyDescent="0.25">
      <c r="D124" s="85"/>
      <c r="E124" s="153"/>
      <c r="F124" s="69"/>
      <c r="G124" s="50" cm="1">
        <f t="array" ref="G124">Common_InputFunctions.Utility_LookupValueInTableNumber(Table_Input_LivestockPurchases_Poultry[[#This Row],[Class (select)]], Table_SourceData_Poultry_Liveweights[Livestock class j],Table_SourceData_Poultry_Liveweights[Average liveweight (kg)])</f>
        <v>0</v>
      </c>
      <c r="H124" s="69"/>
      <c r="N124" s="7"/>
      <c r="O124" s="7"/>
      <c r="P124" s="7"/>
    </row>
    <row r="125" spans="4:16" ht="20.100000000000001" customHeight="1" x14ac:dyDescent="0.25">
      <c r="D125" s="85"/>
      <c r="E125" s="153"/>
      <c r="F125" s="69"/>
      <c r="G125" s="50" cm="1">
        <f t="array" ref="G125">Common_InputFunctions.Utility_LookupValueInTableNumber(Table_Input_LivestockPurchases_Poultry[[#This Row],[Class (select)]], Table_SourceData_Poultry_Liveweights[Livestock class j],Table_SourceData_Poultry_Liveweights[Average liveweight (kg)])</f>
        <v>0</v>
      </c>
      <c r="H125" s="69"/>
      <c r="N125" s="7"/>
      <c r="O125" s="7"/>
      <c r="P125" s="7"/>
    </row>
    <row r="126" spans="4:16" ht="20.100000000000001" customHeight="1" x14ac:dyDescent="0.25">
      <c r="D126" s="85"/>
      <c r="E126" s="153"/>
      <c r="F126" s="69"/>
      <c r="G126" s="50" cm="1">
        <f t="array" ref="G126">Common_InputFunctions.Utility_LookupValueInTableNumber(Table_Input_LivestockPurchases_Poultry[[#This Row],[Class (select)]], Table_SourceData_Poultry_Liveweights[Livestock class j],Table_SourceData_Poultry_Liveweights[Average liveweight (kg)])</f>
        <v>0</v>
      </c>
      <c r="H126" s="69"/>
    </row>
    <row r="127" spans="4:16" ht="20.100000000000001" customHeight="1" x14ac:dyDescent="0.25"/>
    <row r="128" spans="4:16" ht="20.100000000000001" customHeight="1" x14ac:dyDescent="0.25">
      <c r="D128" s="148" t="s">
        <v>618</v>
      </c>
    </row>
    <row r="129" spans="12:13" ht="20.100000000000001" customHeight="1" x14ac:dyDescent="0.25">
      <c r="L129" s="7"/>
      <c r="M129" s="7"/>
    </row>
    <row r="130" spans="12:13" ht="20.100000000000001" customHeight="1" x14ac:dyDescent="0.25">
      <c r="L130" s="7"/>
      <c r="M130" s="7"/>
    </row>
    <row r="131" spans="12:13" ht="20.100000000000001" customHeight="1" x14ac:dyDescent="0.25">
      <c r="L131" s="9"/>
      <c r="M131" s="9"/>
    </row>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7"/>
      <c r="M137" s="7"/>
    </row>
    <row r="138" spans="12:13" ht="20.100000000000001" customHeight="1" x14ac:dyDescent="0.25">
      <c r="L138" s="7"/>
      <c r="M138" s="7"/>
    </row>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row r="143" spans="12:13" ht="20.100000000000001" customHeight="1" x14ac:dyDescent="0.25"/>
    <row r="144" spans="12:13" ht="20.100000000000001" customHeight="1" x14ac:dyDescent="0.25"/>
    <row r="145" spans="4:7" ht="20.100000000000001" customHeight="1" x14ac:dyDescent="0.25"/>
    <row r="146" spans="4:7" ht="20.100000000000001" customHeight="1" x14ac:dyDescent="0.25"/>
    <row r="147" spans="4:7" ht="20.100000000000001" customHeight="1" x14ac:dyDescent="0.25"/>
    <row r="148" spans="4:7" ht="20.100000000000001" customHeight="1" x14ac:dyDescent="0.25">
      <c r="D148" s="9" t="s">
        <v>613</v>
      </c>
    </row>
    <row r="149" spans="4:7" ht="20.100000000000001" customHeight="1" x14ac:dyDescent="0.25">
      <c r="D149" s="12"/>
    </row>
    <row r="150" spans="4:7" ht="20.100000000000001" customHeight="1" x14ac:dyDescent="0.25">
      <c r="D150" s="168" t="s">
        <v>614</v>
      </c>
      <c r="E150" s="168" t="s">
        <v>624</v>
      </c>
      <c r="F150" s="168" t="s">
        <v>619</v>
      </c>
      <c r="G150" s="168" t="s">
        <v>126</v>
      </c>
    </row>
    <row r="151" spans="4:7" ht="20.100000000000001" customHeight="1" x14ac:dyDescent="0.25">
      <c r="D151" s="85" t="s">
        <v>615</v>
      </c>
      <c r="E151" s="85" t="s">
        <v>616</v>
      </c>
      <c r="F151" s="69">
        <v>10000</v>
      </c>
      <c r="G151" s="48" t="s">
        <v>621</v>
      </c>
    </row>
    <row r="152" spans="4:7" ht="20.100000000000001" customHeight="1" x14ac:dyDescent="0.25">
      <c r="D152" s="85" t="s">
        <v>617</v>
      </c>
      <c r="E152" s="85" t="s">
        <v>623</v>
      </c>
      <c r="F152" s="69">
        <v>1000</v>
      </c>
      <c r="G152" s="48" t="s">
        <v>622</v>
      </c>
    </row>
    <row r="153" spans="4:7" ht="20.100000000000001" customHeight="1" x14ac:dyDescent="0.25">
      <c r="D153" s="85"/>
      <c r="E153" s="85"/>
      <c r="F153" s="69"/>
      <c r="G153" s="48"/>
    </row>
    <row r="154" spans="4:7" ht="20.100000000000001" customHeight="1" x14ac:dyDescent="0.25">
      <c r="D154" s="85"/>
      <c r="E154" s="85"/>
      <c r="F154" s="69"/>
      <c r="G154" s="48"/>
    </row>
    <row r="155" spans="4:7" ht="20.100000000000001" customHeight="1" x14ac:dyDescent="0.25">
      <c r="D155" s="85"/>
      <c r="E155" s="85"/>
      <c r="F155" s="69"/>
      <c r="G155" s="48"/>
    </row>
    <row r="156" spans="4:7" ht="20.100000000000001" customHeight="1" x14ac:dyDescent="0.25">
      <c r="D156" s="85"/>
      <c r="E156" s="85"/>
      <c r="F156" s="69"/>
      <c r="G156" s="48"/>
    </row>
    <row r="157" spans="4:7" ht="20.100000000000001" customHeight="1" x14ac:dyDescent="0.25">
      <c r="D157" s="85"/>
      <c r="E157" s="85"/>
      <c r="F157" s="69"/>
      <c r="G157" s="48"/>
    </row>
    <row r="158" spans="4:7" ht="20.100000000000001" customHeight="1" x14ac:dyDescent="0.25">
      <c r="D158" s="85"/>
      <c r="E158" s="85"/>
      <c r="F158" s="69"/>
      <c r="G158" s="48"/>
    </row>
    <row r="159" spans="4:7" ht="20.100000000000001" customHeight="1" x14ac:dyDescent="0.25">
      <c r="D159" s="85"/>
      <c r="E159" s="85"/>
      <c r="F159" s="69"/>
      <c r="G159" s="48"/>
    </row>
    <row r="160" spans="4:7" ht="20.100000000000001" customHeight="1" x14ac:dyDescent="0.25">
      <c r="D160" s="85"/>
      <c r="E160" s="85"/>
      <c r="F160" s="69"/>
      <c r="G160" s="48"/>
    </row>
    <row r="161" spans="4:19" ht="20.100000000000001" customHeight="1" x14ac:dyDescent="0.25"/>
    <row r="162" spans="4:19" ht="20.100000000000001" customHeight="1" x14ac:dyDescent="0.25"/>
    <row r="163" spans="4:19" ht="20.100000000000001" customHeight="1" x14ac:dyDescent="0.25">
      <c r="D163" s="9" t="s">
        <v>370</v>
      </c>
    </row>
    <row r="164" spans="4:19" ht="20.100000000000001" customHeight="1" x14ac:dyDescent="0.25"/>
    <row r="165" spans="4:19" ht="20.100000000000001" customHeight="1" x14ac:dyDescent="0.25">
      <c r="D165" s="94" t="s">
        <v>288</v>
      </c>
      <c r="E165" s="94" t="s">
        <v>289</v>
      </c>
      <c r="F165" s="94" t="s">
        <v>411</v>
      </c>
      <c r="G165" s="94" t="s">
        <v>412</v>
      </c>
      <c r="H165" s="94" t="s">
        <v>608</v>
      </c>
      <c r="J165" s="7"/>
      <c r="S165" s="3"/>
    </row>
    <row r="166" spans="4:19" ht="20.100000000000001" customHeight="1" x14ac:dyDescent="0.25">
      <c r="D166" s="147" t="s">
        <v>413</v>
      </c>
      <c r="E166" s="69">
        <v>100000</v>
      </c>
      <c r="F166" s="48" t="s">
        <v>414</v>
      </c>
      <c r="G166" s="69">
        <v>0.02</v>
      </c>
      <c r="H166" s="50">
        <f>Table_Input_Packaging[[#This Row],[Quantity purchased]]*Table_Input_Packaging[[#This Row],[Weight per unit (kg)]]</f>
        <v>2000</v>
      </c>
      <c r="J166" s="7"/>
      <c r="S166" s="3"/>
    </row>
    <row r="167" spans="4:19" ht="20.100000000000001" customHeight="1" x14ac:dyDescent="0.25">
      <c r="D167" s="147"/>
      <c r="E167" s="169"/>
      <c r="F167" s="48"/>
      <c r="G167" s="69"/>
      <c r="H167" s="50">
        <f>Table_Input_Packaging[[#This Row],[Quantity purchased]]*Table_Input_Packaging[[#This Row],[Weight per unit (kg)]]</f>
        <v>0</v>
      </c>
      <c r="J167" s="7"/>
      <c r="S167" s="3"/>
    </row>
    <row r="168" spans="4:19" ht="20.100000000000001" customHeight="1" x14ac:dyDescent="0.25">
      <c r="D168" s="147"/>
      <c r="E168" s="169"/>
      <c r="F168" s="48"/>
      <c r="G168" s="69"/>
      <c r="H168" s="50">
        <f>Table_Input_Packaging[[#This Row],[Quantity purchased]]*Table_Input_Packaging[[#This Row],[Weight per unit (kg)]]</f>
        <v>0</v>
      </c>
      <c r="J168" s="7"/>
      <c r="S168" s="3"/>
    </row>
    <row r="169" spans="4:19" ht="20.100000000000001" customHeight="1" x14ac:dyDescent="0.25">
      <c r="D169" s="147"/>
      <c r="E169" s="169"/>
      <c r="F169" s="48"/>
      <c r="G169" s="69"/>
      <c r="H169" s="50">
        <f>Table_Input_Packaging[[#This Row],[Quantity purchased]]*Table_Input_Packaging[[#This Row],[Weight per unit (kg)]]</f>
        <v>0</v>
      </c>
      <c r="J169" s="7"/>
      <c r="S169" s="3"/>
    </row>
    <row r="170" spans="4:19" ht="20.100000000000001" customHeight="1" x14ac:dyDescent="0.25">
      <c r="D170" s="147"/>
      <c r="E170" s="169"/>
      <c r="F170" s="48"/>
      <c r="G170" s="69"/>
      <c r="H170" s="50">
        <f>Table_Input_Packaging[[#This Row],[Quantity purchased]]*Table_Input_Packaging[[#This Row],[Weight per unit (kg)]]</f>
        <v>0</v>
      </c>
      <c r="J170" s="9"/>
      <c r="S170" s="3"/>
    </row>
    <row r="171" spans="4:19" ht="20.100000000000001" customHeight="1" x14ac:dyDescent="0.25">
      <c r="D171" s="147"/>
      <c r="E171" s="169"/>
      <c r="F171" s="48"/>
      <c r="G171" s="69"/>
      <c r="H171" s="50">
        <f>Table_Input_Packaging[[#This Row],[Quantity purchased]]*Table_Input_Packaging[[#This Row],[Weight per unit (kg)]]</f>
        <v>0</v>
      </c>
      <c r="J171" s="8"/>
      <c r="S171" s="3"/>
    </row>
    <row r="172" spans="4:19" ht="20.100000000000001" customHeight="1" x14ac:dyDescent="0.25">
      <c r="D172" s="147"/>
      <c r="E172" s="169"/>
      <c r="F172" s="48"/>
      <c r="G172" s="69"/>
      <c r="H172" s="50">
        <f>Table_Input_Packaging[[#This Row],[Quantity purchased]]*Table_Input_Packaging[[#This Row],[Weight per unit (kg)]]</f>
        <v>0</v>
      </c>
      <c r="J172" s="8"/>
      <c r="S172" s="3"/>
    </row>
    <row r="173" spans="4:19" ht="20.100000000000001" customHeight="1" x14ac:dyDescent="0.25">
      <c r="D173" s="147"/>
      <c r="E173" s="169"/>
      <c r="F173" s="48"/>
      <c r="G173" s="69"/>
      <c r="H173" s="50">
        <f>Table_Input_Packaging[[#This Row],[Quantity purchased]]*Table_Input_Packaging[[#This Row],[Weight per unit (kg)]]</f>
        <v>0</v>
      </c>
      <c r="J173" s="8"/>
      <c r="S173" s="3"/>
    </row>
    <row r="174" spans="4:19" ht="20.100000000000001" customHeight="1" x14ac:dyDescent="0.25">
      <c r="D174" s="147"/>
      <c r="E174" s="169"/>
      <c r="F174" s="48"/>
      <c r="G174" s="69"/>
      <c r="H174" s="50">
        <f>Table_Input_Packaging[[#This Row],[Quantity purchased]]*Table_Input_Packaging[[#This Row],[Weight per unit (kg)]]</f>
        <v>0</v>
      </c>
      <c r="J174" s="8"/>
      <c r="S174" s="3"/>
    </row>
    <row r="175" spans="4:19" ht="20.100000000000001" customHeight="1" x14ac:dyDescent="0.25">
      <c r="D175" s="147"/>
      <c r="E175" s="169"/>
      <c r="F175" s="48"/>
      <c r="G175" s="69"/>
      <c r="H175" s="50">
        <f>Table_Input_Packaging[[#This Row],[Quantity purchased]]*Table_Input_Packaging[[#This Row],[Weight per unit (kg)]]</f>
        <v>0</v>
      </c>
      <c r="J175" s="8"/>
      <c r="S175" s="3"/>
    </row>
    <row r="176" spans="4:19" ht="20.100000000000001" customHeight="1" x14ac:dyDescent="0.25">
      <c r="K176" s="7"/>
    </row>
    <row r="177" spans="4:19" ht="20.100000000000001" customHeight="1" x14ac:dyDescent="0.25">
      <c r="K177" s="7"/>
    </row>
    <row r="178" spans="4:19" ht="20.100000000000001" customHeight="1" x14ac:dyDescent="0.25">
      <c r="D178" s="9" t="s">
        <v>704</v>
      </c>
    </row>
    <row r="179" spans="4:19" ht="20.100000000000001" customHeight="1" x14ac:dyDescent="0.25">
      <c r="D179" s="12"/>
    </row>
    <row r="180" spans="4:19" ht="20.100000000000001" customHeight="1" x14ac:dyDescent="0.25">
      <c r="D180" s="168" t="s">
        <v>705</v>
      </c>
      <c r="E180" s="168" t="s">
        <v>619</v>
      </c>
      <c r="F180" s="168" t="s">
        <v>126</v>
      </c>
      <c r="J180" s="8"/>
      <c r="S180" s="3"/>
    </row>
    <row r="181" spans="4:19" ht="20.100000000000001" customHeight="1" x14ac:dyDescent="0.25">
      <c r="D181" s="85" t="s">
        <v>707</v>
      </c>
      <c r="E181" s="69">
        <v>10000</v>
      </c>
      <c r="F181" s="48" t="s">
        <v>353</v>
      </c>
      <c r="J181" s="8"/>
      <c r="S181" s="3"/>
    </row>
    <row r="182" spans="4:19" ht="20.100000000000001" customHeight="1" x14ac:dyDescent="0.25">
      <c r="D182" s="85" t="s">
        <v>708</v>
      </c>
      <c r="E182" s="69">
        <v>100</v>
      </c>
      <c r="F182" s="48" t="s">
        <v>706</v>
      </c>
      <c r="J182" s="8"/>
      <c r="S182" s="3"/>
    </row>
    <row r="183" spans="4:19" ht="20.100000000000001" customHeight="1" x14ac:dyDescent="0.25">
      <c r="D183" s="85" t="s">
        <v>709</v>
      </c>
      <c r="E183" s="69">
        <v>10000</v>
      </c>
      <c r="F183" s="48" t="s">
        <v>353</v>
      </c>
      <c r="J183" s="8"/>
      <c r="S183" s="3"/>
    </row>
    <row r="184" spans="4:19" ht="20.100000000000001" customHeight="1" x14ac:dyDescent="0.25">
      <c r="D184" s="85"/>
      <c r="E184" s="69"/>
      <c r="F184" s="48"/>
      <c r="J184" s="8"/>
      <c r="S184" s="3"/>
    </row>
    <row r="185" spans="4:19" ht="20.100000000000001" customHeight="1" x14ac:dyDescent="0.25">
      <c r="D185" s="85"/>
      <c r="E185" s="69"/>
      <c r="F185" s="48"/>
      <c r="J185" s="8"/>
      <c r="S185" s="3"/>
    </row>
    <row r="186" spans="4:19" ht="20.100000000000001" customHeight="1" x14ac:dyDescent="0.25">
      <c r="D186" s="85"/>
      <c r="E186" s="69"/>
      <c r="F186" s="48"/>
      <c r="J186" s="8"/>
      <c r="S186" s="3"/>
    </row>
    <row r="187" spans="4:19" ht="20.100000000000001" customHeight="1" x14ac:dyDescent="0.25">
      <c r="D187" s="85"/>
      <c r="E187" s="69"/>
      <c r="F187" s="48"/>
      <c r="J187" s="8"/>
      <c r="S187" s="3"/>
    </row>
    <row r="188" spans="4:19" ht="20.100000000000001" customHeight="1" x14ac:dyDescent="0.25">
      <c r="D188" s="85"/>
      <c r="E188" s="69"/>
      <c r="F188" s="48"/>
      <c r="J188" s="8"/>
      <c r="S188" s="3"/>
    </row>
    <row r="189" spans="4:19" ht="20.100000000000001" customHeight="1" x14ac:dyDescent="0.25">
      <c r="D189" s="85"/>
      <c r="E189" s="69"/>
      <c r="F189" s="48"/>
      <c r="I189" s="7"/>
      <c r="J189" s="8"/>
      <c r="S189" s="3"/>
    </row>
    <row r="190" spans="4:19" ht="20.100000000000001" customHeight="1" x14ac:dyDescent="0.25">
      <c r="D190" s="85"/>
      <c r="E190" s="69"/>
      <c r="F190" s="48"/>
      <c r="I190" s="7"/>
      <c r="J190" s="8"/>
      <c r="S190" s="3"/>
    </row>
    <row r="191" spans="4:19" ht="20.100000000000001" customHeight="1" x14ac:dyDescent="0.25">
      <c r="J191" s="7"/>
    </row>
    <row r="192" spans="4:19" ht="20.100000000000001" customHeight="1" x14ac:dyDescent="0.25">
      <c r="J192" s="7"/>
    </row>
    <row r="193" spans="4:10" ht="20.100000000000001" customHeight="1" x14ac:dyDescent="0.25">
      <c r="D193" s="9" t="s">
        <v>417</v>
      </c>
      <c r="J193" s="7"/>
    </row>
    <row r="194" spans="4:10" ht="20.100000000000001" customHeight="1" x14ac:dyDescent="0.25">
      <c r="D194" s="8" t="str">
        <f>'Constants - Scope 3'!E204</f>
        <v>Barley grain (for seed)</v>
      </c>
      <c r="E194" s="69">
        <v>500</v>
      </c>
      <c r="F194" s="68" t="s">
        <v>353</v>
      </c>
      <c r="J194" s="9"/>
    </row>
    <row r="195" spans="4:10" ht="20.100000000000001" customHeight="1" x14ac:dyDescent="0.25">
      <c r="D195" s="8" t="str">
        <f>'Constants - Scope 3'!E205</f>
        <v>Maize grain (for seed)</v>
      </c>
      <c r="E195" s="69">
        <v>600</v>
      </c>
      <c r="F195" s="68" t="s">
        <v>353</v>
      </c>
      <c r="G195" s="7"/>
      <c r="H195" s="8"/>
      <c r="J195" s="8"/>
    </row>
    <row r="196" spans="4:10" ht="20.100000000000001" customHeight="1" x14ac:dyDescent="0.25">
      <c r="D196" s="8" t="str">
        <f>'Constants - Scope 3'!E207</f>
        <v>Oat grain (for seed)</v>
      </c>
      <c r="E196" s="69">
        <v>700</v>
      </c>
      <c r="F196" s="68" t="s">
        <v>353</v>
      </c>
      <c r="G196" s="7"/>
      <c r="H196" s="8"/>
      <c r="J196" s="8"/>
    </row>
    <row r="197" spans="4:10" ht="20.100000000000001" customHeight="1" x14ac:dyDescent="0.25">
      <c r="D197" s="8" t="str">
        <f>'Constants - Scope 3'!E208</f>
        <v>Sorghum grain (for seed)</v>
      </c>
      <c r="E197" s="69">
        <v>800</v>
      </c>
      <c r="F197" s="68" t="s">
        <v>353</v>
      </c>
      <c r="G197" s="7"/>
      <c r="H197" s="7"/>
      <c r="J197" s="8"/>
    </row>
    <row r="198" spans="4:10" ht="20.100000000000001" customHeight="1" x14ac:dyDescent="0.25">
      <c r="D198" s="8" t="str">
        <f>'Constants - Scope 3'!E209</f>
        <v>Wheat grain (for seed)</v>
      </c>
      <c r="E198" s="69">
        <v>900</v>
      </c>
      <c r="F198" s="68" t="s">
        <v>353</v>
      </c>
      <c r="G198" s="7"/>
      <c r="H198" s="7"/>
      <c r="I198" s="7"/>
      <c r="J198" s="8"/>
    </row>
    <row r="199" spans="4:10" ht="20.100000000000001" customHeight="1" x14ac:dyDescent="0.25">
      <c r="G199" s="7"/>
      <c r="I199" s="7"/>
      <c r="J199" s="8"/>
    </row>
    <row r="200" spans="4:10" ht="20.100000000000001" customHeight="1" x14ac:dyDescent="0.25">
      <c r="D200" s="9" t="s">
        <v>423</v>
      </c>
      <c r="G200" s="8"/>
      <c r="I200" s="7"/>
      <c r="J200" s="7"/>
    </row>
    <row r="201" spans="4:10" ht="20.100000000000001" customHeight="1" x14ac:dyDescent="0.25">
      <c r="D201" s="8" t="str">
        <f>'Constants - Scope 3'!E202</f>
        <v>Animal ear tags (large)</v>
      </c>
      <c r="E201" s="69">
        <v>100</v>
      </c>
      <c r="F201" s="68" t="s">
        <v>410</v>
      </c>
      <c r="G201" s="8"/>
      <c r="I201" s="7"/>
      <c r="J201" s="7"/>
    </row>
    <row r="202" spans="4:10" ht="20.100000000000001" customHeight="1" x14ac:dyDescent="0.25">
      <c r="D202" s="8" t="str">
        <f>'Constants - Scope 3'!E203</f>
        <v>Animal ear tags (small)</v>
      </c>
      <c r="E202" s="69">
        <v>200</v>
      </c>
      <c r="F202" s="68" t="s">
        <v>410</v>
      </c>
      <c r="G202" s="8"/>
      <c r="I202" s="7"/>
    </row>
    <row r="203" spans="4:10" ht="20.100000000000001" customHeight="1" x14ac:dyDescent="0.25">
      <c r="D203" s="8" t="str">
        <f>'Constants - Scope 3'!E206</f>
        <v>Nylon netting</v>
      </c>
      <c r="E203" s="69">
        <v>300</v>
      </c>
      <c r="F203" s="68" t="s">
        <v>353</v>
      </c>
      <c r="G203" s="8"/>
      <c r="I203" s="7"/>
    </row>
    <row r="204" spans="4:10" ht="20.100000000000001" customHeight="1" x14ac:dyDescent="0.25">
      <c r="G204" s="8"/>
      <c r="I204" s="8"/>
    </row>
    <row r="205" spans="4:10" ht="20.100000000000001" customHeight="1" x14ac:dyDescent="0.25">
      <c r="G205" s="7"/>
      <c r="I205" s="8"/>
    </row>
    <row r="206" spans="4:10" ht="20.100000000000001" customHeight="1" x14ac:dyDescent="0.25">
      <c r="D206" s="9" t="s">
        <v>612</v>
      </c>
      <c r="G206" s="7"/>
      <c r="I206" s="8"/>
    </row>
    <row r="207" spans="4:10" ht="20.100000000000001" customHeight="1" x14ac:dyDescent="0.25">
      <c r="D207" s="12"/>
      <c r="I207" s="8"/>
    </row>
    <row r="208" spans="4:10" ht="20.100000000000001" customHeight="1" x14ac:dyDescent="0.25">
      <c r="D208" s="47" t="s">
        <v>607</v>
      </c>
      <c r="E208" s="47" t="s">
        <v>606</v>
      </c>
      <c r="F208" s="47" t="s">
        <v>126</v>
      </c>
      <c r="I208" s="8"/>
    </row>
    <row r="209" spans="4:9" ht="20.100000000000001" customHeight="1" x14ac:dyDescent="0.25">
      <c r="D209" s="85" t="s">
        <v>710</v>
      </c>
      <c r="E209" s="69">
        <v>1000</v>
      </c>
      <c r="F209" s="85" t="s">
        <v>353</v>
      </c>
      <c r="I209" s="7"/>
    </row>
    <row r="210" spans="4:9" ht="20.100000000000001" customHeight="1" x14ac:dyDescent="0.25">
      <c r="D210" s="85"/>
      <c r="E210" s="69"/>
      <c r="F210" s="85"/>
      <c r="I210" s="7"/>
    </row>
    <row r="211" spans="4:9" ht="20.100000000000001" customHeight="1" x14ac:dyDescent="0.25">
      <c r="D211" s="85"/>
      <c r="E211" s="69"/>
      <c r="F211" s="85"/>
    </row>
    <row r="212" spans="4:9" ht="20.100000000000001" customHeight="1" x14ac:dyDescent="0.25">
      <c r="D212" s="85"/>
      <c r="E212" s="69"/>
      <c r="F212" s="85"/>
    </row>
    <row r="213" spans="4:9" ht="20.100000000000001" customHeight="1" x14ac:dyDescent="0.25">
      <c r="D213" s="85"/>
      <c r="E213" s="69"/>
      <c r="F213" s="85"/>
    </row>
    <row r="214" spans="4:9" ht="20.100000000000001" customHeight="1" x14ac:dyDescent="0.25">
      <c r="D214" s="85"/>
      <c r="E214" s="69"/>
      <c r="F214" s="85"/>
    </row>
    <row r="215" spans="4:9" ht="20.100000000000001" customHeight="1" x14ac:dyDescent="0.25">
      <c r="D215" s="85"/>
      <c r="E215" s="69"/>
      <c r="F215" s="85"/>
    </row>
    <row r="216" spans="4:9" ht="20.100000000000001" customHeight="1" x14ac:dyDescent="0.25">
      <c r="D216" s="85"/>
      <c r="E216" s="69"/>
      <c r="F216" s="85"/>
    </row>
    <row r="217" spans="4:9" ht="20.100000000000001" customHeight="1" x14ac:dyDescent="0.25">
      <c r="D217" s="85"/>
      <c r="E217" s="69"/>
      <c r="F217" s="85"/>
    </row>
    <row r="218" spans="4:9" ht="20.100000000000001" customHeight="1" x14ac:dyDescent="0.25">
      <c r="D218" s="85"/>
      <c r="E218" s="69"/>
      <c r="F218" s="85"/>
    </row>
    <row r="219" spans="4:9" ht="20.100000000000001" customHeight="1" x14ac:dyDescent="0.25"/>
    <row r="220" spans="4:9" ht="20.100000000000001" customHeight="1" x14ac:dyDescent="0.25"/>
    <row r="221" spans="4:9" ht="20.100000000000001" customHeight="1" x14ac:dyDescent="0.25"/>
    <row r="222" spans="4:9" ht="20.100000000000001" customHeight="1" x14ac:dyDescent="0.25"/>
    <row r="223" spans="4:9" ht="20.100000000000001" customHeight="1" x14ac:dyDescent="0.25"/>
    <row r="224" spans="4:9"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8">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66:F175"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1:G160"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95:H196 J198:J199 L135:L136" xr:uid="{0AD8851A-09E8-483B-9827-926349C05F01}">
      <formula1>INDIRECT("Table_Scope3_AquacultureFeedBait[Feed / Bait ingredient]")</formula1>
    </dataValidation>
    <dataValidation type="list" allowBlank="1" showInputMessage="1" showErrorMessage="1" sqref="F181:F190" xr:uid="{9C8B3973-FAC4-43D3-9591-1F01F0AB4558}">
      <formula1>"kg, m3"</formula1>
    </dataValidation>
  </dataValidations>
  <pageMargins left="0.7" right="0.7" top="0.75" bottom="0.75" header="0.3" footer="0.3"/>
  <pageSetup orientation="portrait" r:id="rId1"/>
  <ignoredErrors>
    <ignoredError sqref="G117:G126 G104:G113" calculatedColumn="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topLeftCell="A12"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845</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821</v>
      </c>
    </row>
    <row r="7" spans="3:10" ht="20.100000000000001" customHeight="1" x14ac:dyDescent="0.25"/>
    <row r="8" spans="3:10" ht="20.100000000000001" customHeight="1" x14ac:dyDescent="0.25">
      <c r="D8" s="10" t="s">
        <v>823</v>
      </c>
      <c r="E8" s="10" t="s">
        <v>826</v>
      </c>
      <c r="F8" s="10" t="s">
        <v>827</v>
      </c>
      <c r="G8" s="10" t="s">
        <v>824</v>
      </c>
      <c r="H8" s="10" t="s">
        <v>825</v>
      </c>
    </row>
    <row r="9" spans="3:10" ht="20.100000000000001" customHeight="1" x14ac:dyDescent="0.25">
      <c r="D9" s="10" t="s">
        <v>830</v>
      </c>
      <c r="E9" s="48" t="s">
        <v>828</v>
      </c>
      <c r="F9" s="10">
        <v>986</v>
      </c>
      <c r="G9" s="10">
        <v>10</v>
      </c>
      <c r="H9" s="10">
        <v>52</v>
      </c>
    </row>
    <row r="10" spans="3:10" ht="20.100000000000001" customHeight="1" x14ac:dyDescent="0.25">
      <c r="D10" s="10" t="s">
        <v>832</v>
      </c>
      <c r="E10" s="48" t="s">
        <v>833</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829</v>
      </c>
    </row>
    <row r="23" spans="4:8" ht="20.100000000000001" customHeight="1" x14ac:dyDescent="0.25"/>
    <row r="24" spans="4:8" ht="20.100000000000001" customHeight="1" x14ac:dyDescent="0.25">
      <c r="D24" s="10" t="s">
        <v>823</v>
      </c>
      <c r="E24" s="10" t="s">
        <v>826</v>
      </c>
      <c r="F24" s="10" t="s">
        <v>827</v>
      </c>
      <c r="G24" s="10" t="s">
        <v>824</v>
      </c>
      <c r="H24" s="10" t="s">
        <v>825</v>
      </c>
    </row>
    <row r="25" spans="4:8" ht="20.100000000000001" customHeight="1" x14ac:dyDescent="0.25">
      <c r="D25" s="10" t="s">
        <v>831</v>
      </c>
      <c r="E25" s="48" t="s">
        <v>828</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C1:K74"/>
  <sheetViews>
    <sheetView showGridLines="0" zoomScaleNormal="100" workbookViewId="0">
      <selection activeCell="F13" sqref="F1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8" customFormat="1" ht="30" customHeight="1" x14ac:dyDescent="0.35">
      <c r="C1" s="105" t="s">
        <v>774</v>
      </c>
    </row>
    <row r="2" spans="3:11" s="2" customFormat="1" ht="20.100000000000001" customHeight="1" x14ac:dyDescent="0.25"/>
    <row r="3" spans="3:11" ht="20.100000000000001" customHeight="1" x14ac:dyDescent="0.25">
      <c r="C3" s="39"/>
      <c r="D3" s="39"/>
      <c r="E3" s="39"/>
      <c r="F3" s="39"/>
      <c r="G3" s="39"/>
      <c r="H3" s="39"/>
      <c r="I3" s="39"/>
      <c r="J3" s="39"/>
      <c r="K3" s="39"/>
    </row>
    <row r="4" spans="3:11" ht="20.100000000000001" customHeight="1" x14ac:dyDescent="0.25"/>
    <row r="5" spans="3:11" ht="20.100000000000001" customHeight="1" x14ac:dyDescent="0.25">
      <c r="D5" s="9" t="s">
        <v>752</v>
      </c>
    </row>
    <row r="6" spans="3:11" ht="20.100000000000001" customHeight="1" x14ac:dyDescent="0.25"/>
    <row r="7" spans="3:11" ht="20.100000000000001" customHeight="1" x14ac:dyDescent="0.25">
      <c r="D7" s="8" t="s">
        <v>775</v>
      </c>
    </row>
    <row r="8" spans="3:11" ht="20.100000000000001" customHeight="1" x14ac:dyDescent="0.25">
      <c r="D8" s="8" t="s">
        <v>776</v>
      </c>
    </row>
    <row r="9" spans="3:11" ht="20.100000000000001" customHeight="1" x14ac:dyDescent="0.25"/>
    <row r="10" spans="3:11" ht="20.100000000000001" customHeight="1" x14ac:dyDescent="0.25">
      <c r="D10" s="8" t="s">
        <v>777</v>
      </c>
      <c r="F10" s="69">
        <v>1000</v>
      </c>
      <c r="G10" s="68" t="s">
        <v>753</v>
      </c>
    </row>
    <row r="11" spans="3:11" ht="20.100000000000001" customHeight="1" x14ac:dyDescent="0.25"/>
    <row r="12" spans="3:11" ht="20.100000000000001" customHeight="1" x14ac:dyDescent="0.25">
      <c r="D12" s="8" t="s">
        <v>754</v>
      </c>
      <c r="F12" s="48" t="s">
        <v>150</v>
      </c>
      <c r="G12" s="68" t="s">
        <v>195</v>
      </c>
    </row>
    <row r="13" spans="3:11" ht="20.100000000000001" customHeight="1" x14ac:dyDescent="0.25">
      <c r="D13" s="8" t="s">
        <v>758</v>
      </c>
      <c r="F13" s="48" t="s">
        <v>155</v>
      </c>
      <c r="G13" s="68" t="s">
        <v>195</v>
      </c>
    </row>
    <row r="14" spans="3:11" ht="20.100000000000001" customHeight="1" x14ac:dyDescent="0.25"/>
    <row r="15" spans="3:11" ht="20.100000000000001" customHeight="1" x14ac:dyDescent="0.25"/>
    <row r="16" spans="3:11" ht="20.100000000000001" customHeight="1" x14ac:dyDescent="0.25">
      <c r="D16" s="9" t="s">
        <v>800</v>
      </c>
    </row>
    <row r="17" spans="4:9" ht="20.100000000000001" customHeight="1" x14ac:dyDescent="0.25"/>
    <row r="18" spans="4:9" ht="20.100000000000001" customHeight="1" x14ac:dyDescent="0.25">
      <c r="D18" s="98" t="s">
        <v>121</v>
      </c>
      <c r="E18" s="99"/>
    </row>
    <row r="19" spans="4:9" ht="20.100000000000001" customHeight="1" x14ac:dyDescent="0.25"/>
    <row r="20" spans="4:9" ht="20.100000000000001" customHeight="1" x14ac:dyDescent="0.25">
      <c r="D20" s="47" t="s">
        <v>251</v>
      </c>
      <c r="E20" s="47" t="s">
        <v>788</v>
      </c>
      <c r="F20" s="47" t="s">
        <v>789</v>
      </c>
      <c r="G20" s="47" t="s">
        <v>790</v>
      </c>
      <c r="H20" s="47" t="s">
        <v>606</v>
      </c>
      <c r="I20" s="47" t="s">
        <v>791</v>
      </c>
    </row>
    <row r="21" spans="4:9" ht="20.100000000000001" customHeight="1" x14ac:dyDescent="0.25">
      <c r="D21" s="10" t="s">
        <v>792</v>
      </c>
      <c r="E21" s="48" t="s">
        <v>793</v>
      </c>
      <c r="F21" s="48" t="s">
        <v>794</v>
      </c>
      <c r="G21" s="50" t="s">
        <v>795</v>
      </c>
      <c r="H21" s="69">
        <v>50</v>
      </c>
      <c r="I21" s="48" t="s">
        <v>796</v>
      </c>
    </row>
    <row r="22" spans="4:9" ht="20.100000000000001" customHeight="1" x14ac:dyDescent="0.25">
      <c r="D22" s="10"/>
      <c r="E22" s="48" t="s">
        <v>793</v>
      </c>
      <c r="F22" s="48" t="s">
        <v>794</v>
      </c>
      <c r="G22" s="50" t="s">
        <v>795</v>
      </c>
      <c r="H22" s="69">
        <v>50</v>
      </c>
      <c r="I22" s="48" t="s">
        <v>796</v>
      </c>
    </row>
    <row r="23" spans="4:9" ht="20.100000000000001" customHeight="1" x14ac:dyDescent="0.25">
      <c r="D23" s="10"/>
      <c r="E23" s="48" t="s">
        <v>793</v>
      </c>
      <c r="F23" s="48" t="s">
        <v>794</v>
      </c>
      <c r="G23" s="50" t="s">
        <v>795</v>
      </c>
      <c r="H23" s="69">
        <v>50</v>
      </c>
      <c r="I23" s="48" t="s">
        <v>797</v>
      </c>
    </row>
    <row r="24" spans="4:9" ht="20.100000000000001" customHeight="1" x14ac:dyDescent="0.25">
      <c r="D24" s="10"/>
      <c r="E24" s="48" t="s">
        <v>793</v>
      </c>
      <c r="F24" s="48" t="s">
        <v>794</v>
      </c>
      <c r="G24" s="50" t="s">
        <v>795</v>
      </c>
      <c r="H24" s="69">
        <v>50</v>
      </c>
      <c r="I24" s="48" t="s">
        <v>797</v>
      </c>
    </row>
    <row r="25" spans="4:9" ht="20.100000000000001" customHeight="1" x14ac:dyDescent="0.25">
      <c r="D25" s="10"/>
      <c r="E25" s="48" t="s">
        <v>798</v>
      </c>
      <c r="F25" s="48" t="s">
        <v>843</v>
      </c>
      <c r="G25" s="50" t="s">
        <v>795</v>
      </c>
      <c r="H25" s="69">
        <v>50</v>
      </c>
      <c r="I25" s="48" t="s">
        <v>796</v>
      </c>
    </row>
    <row r="26" spans="4:9" ht="20.100000000000001" customHeight="1" x14ac:dyDescent="0.25">
      <c r="D26" s="10"/>
      <c r="E26" s="48" t="s">
        <v>798</v>
      </c>
      <c r="F26" s="48" t="s">
        <v>799</v>
      </c>
      <c r="G26" s="50" t="s">
        <v>795</v>
      </c>
      <c r="H26" s="69">
        <v>50</v>
      </c>
      <c r="I26" s="48" t="s">
        <v>796</v>
      </c>
    </row>
    <row r="27" spans="4:9" ht="20.100000000000001" customHeight="1" x14ac:dyDescent="0.25">
      <c r="D27" s="10"/>
      <c r="E27" s="48" t="s">
        <v>798</v>
      </c>
      <c r="F27" s="48" t="s">
        <v>799</v>
      </c>
      <c r="G27" s="50" t="s">
        <v>795</v>
      </c>
      <c r="H27" s="69">
        <v>50</v>
      </c>
      <c r="I27" s="48" t="s">
        <v>797</v>
      </c>
    </row>
    <row r="28" spans="4:9" ht="20.100000000000001" customHeight="1" x14ac:dyDescent="0.25">
      <c r="D28" s="10"/>
      <c r="E28" s="48" t="s">
        <v>798</v>
      </c>
      <c r="F28" s="48" t="s">
        <v>799</v>
      </c>
      <c r="G28" s="50" t="s">
        <v>795</v>
      </c>
      <c r="H28" s="69">
        <v>50</v>
      </c>
      <c r="I28" s="48" t="s">
        <v>797</v>
      </c>
    </row>
    <row r="29" spans="4:9" ht="20.100000000000001" customHeight="1" x14ac:dyDescent="0.25">
      <c r="D29" s="10"/>
      <c r="E29" s="48" t="s">
        <v>798</v>
      </c>
      <c r="F29" s="48" t="s">
        <v>799</v>
      </c>
      <c r="G29" s="50" t="s">
        <v>795</v>
      </c>
      <c r="H29" s="69">
        <v>50</v>
      </c>
      <c r="I29" s="48" t="s">
        <v>796</v>
      </c>
    </row>
    <row r="30" spans="4:9" ht="20.100000000000001" customHeight="1" x14ac:dyDescent="0.25"/>
    <row r="31" spans="4:9" ht="20.100000000000001" customHeight="1" x14ac:dyDescent="0.25"/>
    <row r="32" spans="4: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6">
    <dataValidation type="list" allowBlank="1" showInputMessage="1" showErrorMessage="1" sqref="F13" xr:uid="{6070C71B-330E-4E19-BC5E-8182BE003281}">
      <formula1>INDIRECT("Table_SourceData_Fertiliser_IrrigationMethods[Irrigation method]")</formula1>
    </dataValidation>
    <dataValidation type="list" allowBlank="1" showInputMessage="1" showErrorMessage="1" sqref="F12" xr:uid="{F53F4331-B6CB-4FFE-8E82-663561C8DD8D}">
      <formula1>INDIRECT("Table_SourceData_Fertiliser_CropProdSystems[Production system]")</formula1>
    </dataValidation>
    <dataValidation type="list" allowBlank="1" showInputMessage="1" showErrorMessage="1" sqref="E21:E29" xr:uid="{3F495E7C-4D24-4D19-86E9-9EED671E0444}">
      <formula1>INDIRECT(_xlfn.UNIQUE("Table_SourceData_WasteSolid_WasteTreatmentEFs[Treatment type t]"))</formula1>
    </dataValidation>
    <dataValidation type="list" allowBlank="1" showInputMessage="1" showErrorMessage="1" sqref="G21:G29" xr:uid="{97A3C4B6-FFC2-4584-9F07-94A094AA24D0}">
      <formula1>"Removed and treated off-site"</formula1>
    </dataValidation>
    <dataValidation type="list" allowBlank="1" showInputMessage="1" showErrorMessage="1" sqref="I21:I29" xr:uid="{82C47F76-631A-49C4-B15B-FBE027EE7CB0}">
      <formula1>"tonnes, cubic metres m3"</formula1>
    </dataValidation>
    <dataValidation type="list" allowBlank="1" showInputMessage="1" showErrorMessage="1" sqref="F21:F29" xr:uid="{8E0FD0C6-A37F-4220-A483-A841E04E3816}">
      <formula1>INDIRECT("Table_WasteTypes_" &amp; SUBSTITUTE(E21, " ", "") &amp; "[Waste type w]")</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7" zoomScaleNormal="100" workbookViewId="0">
      <selection activeCell="F55" sqref="F55"/>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234</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857</v>
      </c>
      <c r="E5" s="48" t="s">
        <v>858</v>
      </c>
      <c r="F5" s="68" t="s">
        <v>195</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235</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236</v>
      </c>
    </row>
    <row r="12" spans="1:10" ht="20.100000000000001" customHeight="1" x14ac:dyDescent="0.25">
      <c r="A12" s="16"/>
    </row>
    <row r="13" spans="1:10" ht="20.100000000000001" customHeight="1" x14ac:dyDescent="0.25">
      <c r="A13" s="23" t="s">
        <v>78</v>
      </c>
      <c r="D13" s="98" t="s">
        <v>237</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238</v>
      </c>
      <c r="E15" s="100">
        <v>500</v>
      </c>
      <c r="F15" s="68" t="s">
        <v>239</v>
      </c>
    </row>
    <row r="16" spans="1:10" ht="20.100000000000001" customHeight="1" x14ac:dyDescent="0.25">
      <c r="D16" s="8" t="s">
        <v>240</v>
      </c>
      <c r="E16" s="50" t="str">
        <f>IF(X_Cell_Site_State="Western Australia", X_Cell_Site_Region, X_Cell_Site_State)</f>
        <v>ACT</v>
      </c>
      <c r="F16" s="14"/>
    </row>
    <row r="17" spans="1:11" ht="20.100000000000001" customHeight="1" x14ac:dyDescent="0.25">
      <c r="D17" s="8" t="s">
        <v>241</v>
      </c>
      <c r="E17" s="48" t="s">
        <v>315</v>
      </c>
      <c r="F17" s="68" t="s">
        <v>195</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242</v>
      </c>
    </row>
    <row r="22" spans="1:11" ht="20.100000000000001" customHeight="1" x14ac:dyDescent="0.25">
      <c r="E22" s="57" t="str">
        <f>IF(E16="ACT", "", "ALERT: Your farm is not in the ACT, so the JRPP is not applicable")</f>
        <v/>
      </c>
    </row>
    <row r="23" spans="1:11" ht="20.100000000000001" customHeight="1" x14ac:dyDescent="0.25">
      <c r="A23" s="16"/>
      <c r="D23" s="8" t="s">
        <v>243</v>
      </c>
      <c r="E23" s="100">
        <v>30000</v>
      </c>
      <c r="F23" s="68" t="s">
        <v>239</v>
      </c>
    </row>
    <row r="24" spans="1:11" ht="20.100000000000001" customHeight="1" x14ac:dyDescent="0.25">
      <c r="D24" s="8" t="s">
        <v>244</v>
      </c>
      <c r="E24" s="89">
        <v>0.1</v>
      </c>
      <c r="F24" s="68" t="s">
        <v>245</v>
      </c>
    </row>
    <row r="25" spans="1:11" ht="20.100000000000001" customHeight="1" x14ac:dyDescent="0.25">
      <c r="D25" s="8" t="s">
        <v>246</v>
      </c>
      <c r="E25" s="89">
        <v>0.1</v>
      </c>
      <c r="F25" s="68" t="s">
        <v>245</v>
      </c>
    </row>
    <row r="26" spans="1:11" ht="20.100000000000001" customHeight="1" x14ac:dyDescent="0.25"/>
    <row r="27" spans="1:11" ht="20.100000000000001" customHeight="1" x14ac:dyDescent="0.25">
      <c r="D27" s="8" t="s">
        <v>247</v>
      </c>
      <c r="E27" s="100">
        <v>10000</v>
      </c>
      <c r="F27" s="68" t="s">
        <v>239</v>
      </c>
    </row>
    <row r="28" spans="1:11" ht="20.100000000000001" customHeight="1" x14ac:dyDescent="0.25"/>
    <row r="29" spans="1:11" ht="20.100000000000001" customHeight="1" x14ac:dyDescent="0.25">
      <c r="A29" s="16"/>
      <c r="D29" s="8" t="s">
        <v>248</v>
      </c>
      <c r="E29" s="102" t="str">
        <f>TEXT(X_Cell_Site_StartDate, "dd mmm yyyy")</f>
        <v>01 Jan 2024</v>
      </c>
      <c r="K29" s="54"/>
    </row>
    <row r="30" spans="1:11" ht="20.100000000000001" customHeight="1" x14ac:dyDescent="0.25">
      <c r="A30" s="16"/>
      <c r="D30" s="8" t="s">
        <v>249</v>
      </c>
      <c r="E30" s="102" t="str">
        <f>TEXT(X_Cell_Site_EndDate, "dd mmm yyyy")</f>
        <v>31 Dec 2024</v>
      </c>
      <c r="K30" s="54"/>
    </row>
    <row r="31" spans="1:11" ht="20.100000000000001" customHeight="1" x14ac:dyDescent="0.25">
      <c r="A31" s="52"/>
      <c r="K31" s="54"/>
    </row>
    <row r="32" spans="1:11" ht="20.100000000000001" customHeight="1" x14ac:dyDescent="0.25">
      <c r="A32" s="52"/>
      <c r="D32" s="74" t="s">
        <v>250</v>
      </c>
      <c r="K32" s="54"/>
    </row>
    <row r="33" spans="1:12" ht="20.100000000000001" customHeight="1" x14ac:dyDescent="0.25">
      <c r="A33" s="16"/>
      <c r="K33" s="54"/>
    </row>
    <row r="34" spans="1:12" ht="20.100000000000001" customHeight="1" x14ac:dyDescent="0.25">
      <c r="D34" s="98" t="s">
        <v>121</v>
      </c>
      <c r="E34" s="99"/>
      <c r="K34" s="54"/>
    </row>
    <row r="35" spans="1:12" ht="20.100000000000001" customHeight="1" x14ac:dyDescent="0.25"/>
    <row r="36" spans="1:12" ht="20.100000000000001" customHeight="1" x14ac:dyDescent="0.25">
      <c r="D36" s="47" t="s">
        <v>251</v>
      </c>
      <c r="E36" s="47" t="s">
        <v>252</v>
      </c>
      <c r="F36" s="47" t="s">
        <v>253</v>
      </c>
      <c r="G36" s="47" t="s">
        <v>254</v>
      </c>
      <c r="H36" s="47" t="s">
        <v>255</v>
      </c>
      <c r="I36" s="47" t="s">
        <v>256</v>
      </c>
      <c r="L36" s="54"/>
    </row>
    <row r="37" spans="1:12" ht="20.100000000000001" customHeight="1" x14ac:dyDescent="0.25">
      <c r="D37" s="10" t="s">
        <v>257</v>
      </c>
      <c r="E37" s="48" t="s">
        <v>258</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c r="E38" s="48" t="s">
        <v>259</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c r="E39" s="48" t="s">
        <v>258</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260</v>
      </c>
      <c r="E41" s="50">
        <f>SUMIF(Table_Input_RECSurrendered[Elegibility], "Elegible", Table_Input_RECSurrendered[MWh])</f>
        <v>10</v>
      </c>
      <c r="F41" s="68" t="s">
        <v>255</v>
      </c>
      <c r="G41" s="8"/>
      <c r="H41" s="8"/>
      <c r="I41" s="8"/>
      <c r="J41" s="8"/>
      <c r="L41" s="54" t="s">
        <v>262</v>
      </c>
    </row>
    <row r="42" spans="1:12" ht="20.100000000000001" customHeight="1" x14ac:dyDescent="0.25">
      <c r="C42" s="53"/>
    </row>
    <row r="43" spans="1:12" ht="20.100000000000001" customHeight="1" x14ac:dyDescent="0.25">
      <c r="C43" s="53"/>
      <c r="D43" s="74" t="s">
        <v>261</v>
      </c>
      <c r="J43" s="53"/>
    </row>
    <row r="44" spans="1:12" ht="20.100000000000001" customHeight="1" x14ac:dyDescent="0.25">
      <c r="A44" s="56"/>
    </row>
    <row r="45" spans="1:12" ht="20.100000000000001" customHeight="1" x14ac:dyDescent="0.25">
      <c r="D45" s="47" t="s">
        <v>251</v>
      </c>
      <c r="E45" s="47" t="s">
        <v>140</v>
      </c>
      <c r="F45" s="47" t="s">
        <v>253</v>
      </c>
      <c r="G45" s="47" t="s">
        <v>254</v>
      </c>
      <c r="H45" s="47" t="s">
        <v>255</v>
      </c>
      <c r="I45" s="47" t="s">
        <v>256</v>
      </c>
    </row>
    <row r="46" spans="1:12" ht="20.100000000000001" customHeight="1" x14ac:dyDescent="0.25">
      <c r="D46" s="10" t="s">
        <v>263</v>
      </c>
      <c r="E46" s="50"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c r="E47" s="50"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0"/>
      <c r="E48" s="50"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264</v>
      </c>
      <c r="E50" s="50">
        <f>SUMIF(Table_Input_RECConsumedByEntity[Elegibility], "Elegible", Table_Input_RECConsumedByEntity[Number of certificates])</f>
        <v>11</v>
      </c>
      <c r="F50" s="68" t="s">
        <v>255</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c r="D57" s="104"/>
    </row>
    <row r="58" spans="4:6" ht="20.100000000000001" customHeight="1" x14ac:dyDescent="0.25"/>
    <row r="59" spans="4:6" ht="20.100000000000001" customHeight="1" x14ac:dyDescent="0.25">
      <c r="D59" s="104"/>
    </row>
    <row r="60" spans="4:6" ht="20.100000000000001" customHeight="1" x14ac:dyDescent="0.25">
      <c r="D60" s="104"/>
    </row>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0"/>
  <sheetViews>
    <sheetView showGridLines="0" zoomScaleNormal="100" workbookViewId="0">
      <selection activeCell="H10" sqref="H10"/>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847</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635</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636</v>
      </c>
      <c r="E10" s="8" t="str" cm="1">
        <f t="array" ref="E10">Scope3_Equations.VEERG_15_1_1_1__1_EmissionsFromPurchasedLivestock_Variable()</f>
        <v>E</v>
      </c>
    </row>
    <row r="11" spans="3:41" ht="20.100000000000001" customHeight="1" x14ac:dyDescent="0.25">
      <c r="D11" s="28" t="s">
        <v>97</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574</v>
      </c>
      <c r="E19" s="113"/>
      <c r="F19" s="99"/>
    </row>
    <row r="20" spans="4:16" ht="20.100000000000001" customHeight="1" x14ac:dyDescent="0.25"/>
    <row r="21" spans="4:16" ht="20.100000000000001" customHeight="1" x14ac:dyDescent="0.25">
      <c r="D21" s="148" t="s">
        <v>327</v>
      </c>
    </row>
    <row r="22" spans="4:16" ht="20.100000000000001" customHeight="1" x14ac:dyDescent="0.25">
      <c r="D22" s="47" t="s">
        <v>366</v>
      </c>
      <c r="E22" s="156" t="s">
        <v>629</v>
      </c>
      <c r="F22" s="156" t="s">
        <v>628</v>
      </c>
      <c r="G22" s="156" t="s">
        <v>630</v>
      </c>
      <c r="H22" s="156" t="s">
        <v>631</v>
      </c>
      <c r="I22" s="60" t="s">
        <v>633</v>
      </c>
      <c r="J22" s="60" t="s">
        <v>642</v>
      </c>
      <c r="K22" s="156" t="s">
        <v>632</v>
      </c>
      <c r="L22" s="47" t="s">
        <v>634</v>
      </c>
      <c r="M22" s="60" t="s">
        <v>644</v>
      </c>
      <c r="N22" s="47" t="s">
        <v>638</v>
      </c>
      <c r="O22" s="47" t="s">
        <v>639</v>
      </c>
      <c r="P22" s="47" t="s">
        <v>640</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610</v>
      </c>
      <c r="O23" s="48" t="s">
        <v>609</v>
      </c>
      <c r="P23" t="s">
        <v>611</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658</v>
      </c>
      <c r="E34" s="101">
        <f>SUM(J23:J32)</f>
        <v>1052.5</v>
      </c>
      <c r="F34" s="179" t="str">
        <f>$E$11</f>
        <v>t CO2e</v>
      </c>
    </row>
    <row r="35" spans="4:13" ht="20.100000000000001" customHeight="1" x14ac:dyDescent="0.25">
      <c r="D35" s="178" t="s">
        <v>659</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343</v>
      </c>
    </row>
    <row r="39" spans="4:13" ht="20.100000000000001" customHeight="1" x14ac:dyDescent="0.25">
      <c r="D39" s="171" t="s">
        <v>637</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366</v>
      </c>
      <c r="E41" s="156" t="s">
        <v>630</v>
      </c>
      <c r="F41" s="156" t="s">
        <v>631</v>
      </c>
      <c r="G41" s="60" t="s">
        <v>642</v>
      </c>
      <c r="H41" s="156" t="s">
        <v>632</v>
      </c>
      <c r="I41" s="47" t="s">
        <v>634</v>
      </c>
      <c r="J41" s="60" t="s">
        <v>644</v>
      </c>
      <c r="K41" s="47" t="s">
        <v>638</v>
      </c>
      <c r="L41" s="47" t="s">
        <v>639</v>
      </c>
      <c r="M41" s="47" t="s">
        <v>640</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610</v>
      </c>
      <c r="L42" s="48" t="s">
        <v>609</v>
      </c>
      <c r="M42" t="s">
        <v>611</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656</v>
      </c>
      <c r="E53" s="101">
        <f>SUM(G42:G51)</f>
        <v>295.47000000000003</v>
      </c>
      <c r="F53" s="179" t="str">
        <f>$E$11</f>
        <v>t CO2e</v>
      </c>
    </row>
    <row r="54" spans="4:13" ht="20.100000000000001" customHeight="1" x14ac:dyDescent="0.25">
      <c r="D54" s="178" t="s">
        <v>657</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548</v>
      </c>
    </row>
    <row r="58" spans="4:13" ht="20.100000000000001" customHeight="1" x14ac:dyDescent="0.25">
      <c r="D58" s="171" t="s">
        <v>637</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366</v>
      </c>
      <c r="E60" s="156" t="s">
        <v>630</v>
      </c>
      <c r="F60" s="156" t="s">
        <v>631</v>
      </c>
      <c r="G60" s="60" t="s">
        <v>642</v>
      </c>
      <c r="H60" s="156" t="s">
        <v>632</v>
      </c>
      <c r="I60" s="47" t="s">
        <v>634</v>
      </c>
      <c r="J60" s="60" t="s">
        <v>644</v>
      </c>
      <c r="K60" s="47" t="s">
        <v>638</v>
      </c>
      <c r="L60" s="47" t="s">
        <v>639</v>
      </c>
      <c r="M60" s="47" t="s">
        <v>640</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55" cm="1">
        <f t="array" ref="G61">Scope3_Equations.VEERG_15_1_1_1__1_EmissionsFromPurchasedLivestock(E61,F61,$E$58)</f>
        <v>63.544000000000004</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39</v>
      </c>
      <c r="G62" s="155" cm="1">
        <f t="array" ref="G62">Scope3_Equations.VEERG_15_1_1_1__1_EmissionsFromPurchasedLivestock(E62,F62,$E$58)</f>
        <v>13.182</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654</v>
      </c>
      <c r="E72" s="101">
        <f>SUM(G61:G70)</f>
        <v>76.725999999999999</v>
      </c>
      <c r="F72" s="179" t="str">
        <f>$E$11</f>
        <v>t CO2e</v>
      </c>
    </row>
    <row r="73" spans="4:13" ht="20.100000000000001" customHeight="1" x14ac:dyDescent="0.25">
      <c r="D73" s="178" t="s">
        <v>655</v>
      </c>
      <c r="E73" s="101">
        <f>SUM(J61:J70)</f>
        <v>73.38000000000001</v>
      </c>
      <c r="F73" s="179" t="str">
        <f>$E$11</f>
        <v>t CO2e</v>
      </c>
    </row>
    <row r="74" spans="4:13" ht="20.100000000000001" customHeight="1" x14ac:dyDescent="0.25"/>
    <row r="75" spans="4:13" ht="20.100000000000001" customHeight="1" x14ac:dyDescent="0.25">
      <c r="D75" s="148" t="s">
        <v>575</v>
      </c>
    </row>
    <row r="76" spans="4:13" ht="20.100000000000001" customHeight="1" x14ac:dyDescent="0.25">
      <c r="D76" s="171" t="s">
        <v>637</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366</v>
      </c>
      <c r="E78" s="156" t="s">
        <v>630</v>
      </c>
      <c r="F78" s="156" t="s">
        <v>631</v>
      </c>
      <c r="G78" s="60" t="s">
        <v>642</v>
      </c>
      <c r="H78" s="156" t="s">
        <v>632</v>
      </c>
      <c r="I78" s="47" t="s">
        <v>634</v>
      </c>
      <c r="J78" s="60" t="s">
        <v>644</v>
      </c>
      <c r="K78" s="47" t="s">
        <v>638</v>
      </c>
      <c r="L78" s="47" t="s">
        <v>639</v>
      </c>
      <c r="M78" s="47" t="s">
        <v>640</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652</v>
      </c>
      <c r="E90" s="101">
        <f>SUM(G79:G88)</f>
        <v>0.36720000000000003</v>
      </c>
      <c r="F90" s="179" t="str">
        <f>$E$11</f>
        <v>t CO2e</v>
      </c>
    </row>
    <row r="91" spans="4:13" ht="20.100000000000001" customHeight="1" x14ac:dyDescent="0.25">
      <c r="D91" s="178" t="s">
        <v>653</v>
      </c>
      <c r="E91" s="101">
        <f>SUM(J79:J88)</f>
        <v>0.35940000000000005</v>
      </c>
      <c r="F91" s="179" t="str">
        <f>$E$11</f>
        <v>t CO2e</v>
      </c>
    </row>
    <row r="92" spans="4:13" ht="20.100000000000001" customHeight="1" x14ac:dyDescent="0.25"/>
    <row r="93" spans="4:13" ht="20.100000000000001" customHeight="1" x14ac:dyDescent="0.25">
      <c r="D93" s="180" t="s">
        <v>642</v>
      </c>
      <c r="E93" s="181">
        <f>E34+E53+E72+E90</f>
        <v>1425.0631999999998</v>
      </c>
      <c r="F93" s="182" t="str">
        <f>$E$11</f>
        <v>t CO2e</v>
      </c>
    </row>
    <row r="94" spans="4:13" ht="20.100000000000001" customHeight="1" x14ac:dyDescent="0.25">
      <c r="D94" s="180" t="s">
        <v>644</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635</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636</v>
      </c>
      <c r="E103" s="8" t="str" cm="1">
        <f t="array" ref="E103">Scope3_Equations.VEERG_15_2_1_1__1_EmissionsFromPurchasedFeed_Variable()</f>
        <v>E</v>
      </c>
    </row>
    <row r="104" spans="3:41" ht="20.100000000000001" customHeight="1" x14ac:dyDescent="0.25">
      <c r="D104" s="28"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294</v>
      </c>
    </row>
    <row r="111" spans="3:41" ht="20.100000000000001" customHeight="1" x14ac:dyDescent="0.25"/>
    <row r="112" spans="3:41" ht="20.100000000000001" customHeight="1" x14ac:dyDescent="0.25">
      <c r="D112" s="40" t="s">
        <v>646</v>
      </c>
      <c r="E112" s="42"/>
      <c r="F112" s="40"/>
      <c r="G112" s="41"/>
      <c r="H112" s="42"/>
    </row>
    <row r="113" spans="4:28" ht="20.100000000000001" customHeight="1" x14ac:dyDescent="0.25">
      <c r="D113" s="91" t="s">
        <v>647</v>
      </c>
      <c r="E113" s="93"/>
      <c r="F113" s="91"/>
      <c r="G113" s="92"/>
      <c r="H113" s="93"/>
    </row>
    <row r="114" spans="4:28" ht="20.100000000000001" customHeight="1" x14ac:dyDescent="0.25">
      <c r="D114" s="44" t="s">
        <v>648</v>
      </c>
      <c r="E114" s="46"/>
      <c r="F114" s="44"/>
      <c r="G114" s="45"/>
      <c r="H114" s="46"/>
    </row>
    <row r="115" spans="4:28" ht="20.100000000000001" customHeight="1" x14ac:dyDescent="0.25"/>
    <row r="116" spans="4:28" ht="20.100000000000001" customHeight="1" x14ac:dyDescent="0.25">
      <c r="D116" s="98" t="s">
        <v>405</v>
      </c>
      <c r="E116" s="113"/>
      <c r="F116" s="99"/>
    </row>
    <row r="117" spans="4:28" ht="20.100000000000001" customHeight="1" x14ac:dyDescent="0.25"/>
    <row r="118" spans="4:28" ht="20.100000000000001" customHeight="1" x14ac:dyDescent="0.25">
      <c r="D118" s="47" t="s">
        <v>409</v>
      </c>
      <c r="E118" s="47" t="s">
        <v>641</v>
      </c>
      <c r="F118" s="60" t="s">
        <v>645</v>
      </c>
      <c r="G118" s="60" t="s">
        <v>642</v>
      </c>
      <c r="H118" s="47" t="s">
        <v>643</v>
      </c>
      <c r="I118" s="60" t="s">
        <v>644</v>
      </c>
      <c r="J118" s="47" t="s">
        <v>638</v>
      </c>
      <c r="K118" s="47" t="s">
        <v>639</v>
      </c>
      <c r="L118" s="47" t="s">
        <v>640</v>
      </c>
      <c r="M118" s="60" t="s">
        <v>174</v>
      </c>
      <c r="N118" s="60" t="s">
        <v>390</v>
      </c>
      <c r="O118" s="60" t="s">
        <v>175</v>
      </c>
      <c r="P118" s="60" t="s">
        <v>350</v>
      </c>
      <c r="Q118" s="60" t="s">
        <v>176</v>
      </c>
      <c r="R118" s="60" t="s">
        <v>406</v>
      </c>
      <c r="S118" s="60" t="s">
        <v>177</v>
      </c>
      <c r="T118" s="60" t="s">
        <v>354</v>
      </c>
      <c r="U118" s="60" t="s">
        <v>178</v>
      </c>
      <c r="V118" s="60" t="s">
        <v>407</v>
      </c>
      <c r="W118" s="60" t="s">
        <v>179</v>
      </c>
      <c r="X118" s="60" t="s">
        <v>355</v>
      </c>
      <c r="Y118" s="60" t="s">
        <v>180</v>
      </c>
      <c r="Z118" s="60" t="s">
        <v>408</v>
      </c>
      <c r="AA118" s="60" t="s">
        <v>181</v>
      </c>
      <c r="AB118" s="60" t="s">
        <v>356</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652</v>
      </c>
      <c r="E130" s="101">
        <f>SUM(G119:G128)</f>
        <v>202.15199999999999</v>
      </c>
      <c r="F130" s="179" t="str">
        <f>$E$104</f>
        <v>t CO2e</v>
      </c>
    </row>
    <row r="131" spans="4:12" ht="20.100000000000001" customHeight="1" x14ac:dyDescent="0.25">
      <c r="D131" s="178" t="s">
        <v>653</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403</v>
      </c>
    </row>
    <row r="135" spans="4:12" ht="20.100000000000001" customHeight="1" x14ac:dyDescent="0.25">
      <c r="D135" s="47" t="s">
        <v>217</v>
      </c>
      <c r="E135" s="47" t="s">
        <v>641</v>
      </c>
      <c r="F135" s="60" t="s">
        <v>645</v>
      </c>
      <c r="G135" s="60" t="s">
        <v>642</v>
      </c>
      <c r="H135" s="47" t="s">
        <v>643</v>
      </c>
      <c r="I135" s="60" t="s">
        <v>644</v>
      </c>
      <c r="J135" s="47" t="s">
        <v>638</v>
      </c>
      <c r="K135" s="47" t="s">
        <v>639</v>
      </c>
      <c r="L135" s="47" t="s">
        <v>640</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652</v>
      </c>
      <c r="E141" s="101">
        <f>SUM(G136:G139)</f>
        <v>174.9</v>
      </c>
      <c r="F141" s="179" t="str">
        <f>$E$104</f>
        <v>t CO2e</v>
      </c>
    </row>
    <row r="142" spans="4:12" ht="20.100000000000001" customHeight="1" x14ac:dyDescent="0.25">
      <c r="D142" s="178" t="s">
        <v>653</v>
      </c>
      <c r="E142" s="101">
        <f>SUM(I136:I139)</f>
        <v>163.60000000000002</v>
      </c>
      <c r="F142" s="179" t="str">
        <f>$E$104</f>
        <v>t CO2e</v>
      </c>
    </row>
    <row r="143" spans="4:12" ht="20.100000000000001" customHeight="1" x14ac:dyDescent="0.25"/>
    <row r="144" spans="4:12" ht="20.100000000000001" customHeight="1" x14ac:dyDescent="0.25">
      <c r="D144" s="180" t="s">
        <v>642</v>
      </c>
      <c r="E144" s="181">
        <f>E130+E141</f>
        <v>377.05200000000002</v>
      </c>
      <c r="F144" s="182" t="str">
        <f>$E$104</f>
        <v>t CO2e</v>
      </c>
    </row>
    <row r="145" spans="3:41" ht="20.100000000000001" customHeight="1" x14ac:dyDescent="0.25">
      <c r="D145" s="180" t="s">
        <v>644</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635</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636</v>
      </c>
      <c r="E154" s="8" t="str" cm="1">
        <f t="array" ref="E154">Scope3_Equations.VEERG_15_3_1_1__1_EmissionsFromPurchasedMineralSupplements_Variable()</f>
        <v>E</v>
      </c>
    </row>
    <row r="155" spans="3:41" ht="20.100000000000001" customHeight="1" x14ac:dyDescent="0.25">
      <c r="D155" s="28"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217</v>
      </c>
      <c r="E161" s="47" t="s">
        <v>649</v>
      </c>
      <c r="F161" s="60" t="s">
        <v>650</v>
      </c>
      <c r="G161" s="60" t="s">
        <v>642</v>
      </c>
      <c r="H161" s="47" t="s">
        <v>651</v>
      </c>
      <c r="I161" s="60" t="s">
        <v>644</v>
      </c>
      <c r="J161" s="47" t="s">
        <v>638</v>
      </c>
      <c r="K161" s="47" t="s">
        <v>639</v>
      </c>
      <c r="L161" s="47" t="s">
        <v>640</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642</v>
      </c>
      <c r="E166" s="181">
        <f>SUM(G162:G164)</f>
        <v>178.9</v>
      </c>
      <c r="F166" s="182" t="str">
        <f>$E$155</f>
        <v>t CO2e</v>
      </c>
    </row>
    <row r="167" spans="3:41" ht="20.100000000000001" customHeight="1" x14ac:dyDescent="0.25">
      <c r="D167" s="180" t="s">
        <v>644</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635</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636</v>
      </c>
      <c r="E177" s="8" t="str" cm="1">
        <f t="array" ref="E177">Scope3_Equations.VEERG_15_4_1_1__X_EmissionFactorFromPurchasedFertiliserComponents_Variable()</f>
        <v>EF_f</v>
      </c>
    </row>
    <row r="178" spans="4:8" ht="20.100000000000001" customHeight="1" x14ac:dyDescent="0.25">
      <c r="D178" s="28"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635</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636</v>
      </c>
      <c r="E191" s="8" t="str" cm="1">
        <f t="array" ref="E191">Scope3_Equations.VEERG_15_4_1_1__1_EmissionsFromPurchasedFertiliser_Variable()</f>
        <v>E</v>
      </c>
    </row>
    <row r="192" spans="4:8" ht="20.100000000000001" customHeight="1" x14ac:dyDescent="0.25">
      <c r="D192" s="28"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635</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636</v>
      </c>
      <c r="E206" s="8" t="str" cm="1">
        <f t="array" ref="E206">Scope3_Equations.VEERG_15_4_1_1__2_EmissionsFromPurchasedFertiliserComponents_Variable()</f>
        <v>E</v>
      </c>
    </row>
    <row r="207" spans="4:8" ht="20.100000000000001" customHeight="1" x14ac:dyDescent="0.25">
      <c r="D207" s="28"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374</v>
      </c>
    </row>
    <row r="217" spans="4:40" ht="20.100000000000001" customHeight="1" x14ac:dyDescent="0.25"/>
    <row r="218" spans="4:40" ht="20.100000000000001" customHeight="1" x14ac:dyDescent="0.25">
      <c r="D218" s="98" t="s">
        <v>373</v>
      </c>
      <c r="E218" s="113"/>
      <c r="F218" s="99"/>
    </row>
    <row r="219" spans="4:40" ht="20.100000000000001" customHeight="1" x14ac:dyDescent="0.25"/>
    <row r="220" spans="4:40" ht="20.100000000000001" customHeight="1" x14ac:dyDescent="0.25">
      <c r="D220" s="47" t="s">
        <v>217</v>
      </c>
      <c r="E220" s="47" t="s">
        <v>361</v>
      </c>
      <c r="F220" s="60" t="s">
        <v>677</v>
      </c>
      <c r="G220" s="60" t="s">
        <v>661</v>
      </c>
      <c r="H220" s="60" t="s">
        <v>660</v>
      </c>
      <c r="I220" s="47" t="s">
        <v>678</v>
      </c>
      <c r="J220" s="60" t="s">
        <v>662</v>
      </c>
      <c r="K220" s="60" t="s">
        <v>663</v>
      </c>
      <c r="L220" s="47" t="s">
        <v>638</v>
      </c>
      <c r="M220" s="47" t="s">
        <v>639</v>
      </c>
      <c r="N220" s="47" t="s">
        <v>640</v>
      </c>
      <c r="O220" s="60" t="s">
        <v>172</v>
      </c>
      <c r="P220" s="60" t="s">
        <v>173</v>
      </c>
      <c r="Q220" s="60" t="s">
        <v>174</v>
      </c>
      <c r="R220" s="60" t="s">
        <v>175</v>
      </c>
      <c r="S220" s="60" t="s">
        <v>665</v>
      </c>
      <c r="T220" s="47" t="s">
        <v>666</v>
      </c>
      <c r="U220" s="60" t="s">
        <v>176</v>
      </c>
      <c r="V220" s="60" t="s">
        <v>177</v>
      </c>
      <c r="W220" s="60" t="s">
        <v>667</v>
      </c>
      <c r="X220" s="47" t="s">
        <v>668</v>
      </c>
      <c r="Y220" s="60" t="s">
        <v>178</v>
      </c>
      <c r="Z220" s="60" t="s">
        <v>179</v>
      </c>
      <c r="AA220" s="60" t="s">
        <v>669</v>
      </c>
      <c r="AB220" s="47" t="s">
        <v>670</v>
      </c>
      <c r="AC220" s="60" t="s">
        <v>180</v>
      </c>
      <c r="AD220" s="60" t="s">
        <v>181</v>
      </c>
      <c r="AE220" s="60" t="s">
        <v>671</v>
      </c>
      <c r="AF220" s="47" t="s">
        <v>672</v>
      </c>
      <c r="AG220" s="60" t="s">
        <v>182</v>
      </c>
      <c r="AH220" s="60" t="s">
        <v>183</v>
      </c>
      <c r="AI220" s="60" t="s">
        <v>673</v>
      </c>
      <c r="AJ220" s="47" t="s">
        <v>674</v>
      </c>
      <c r="AK220" s="60" t="s">
        <v>184</v>
      </c>
      <c r="AL220" s="60" t="s">
        <v>185</v>
      </c>
      <c r="AM220" s="60" t="s">
        <v>675</v>
      </c>
      <c r="AN220" s="47" t="s">
        <v>676</v>
      </c>
    </row>
    <row r="221" spans="4:40" ht="20.100000000000001" customHeight="1" x14ac:dyDescent="0.25">
      <c r="D221" s="50" t="str" cm="1">
        <f t="array" ref="D221:D230">IFERROR(INDEX(Table_Input_InorganicFertiliser_Brands[Product (select)], _xlfn.SEQUENCE(10)), "")</f>
        <v>CoRoN 12-0-10</v>
      </c>
      <c r="E221" s="50" cm="1">
        <f t="array" ref="E221:E230">IFERROR(INDEX(Table_Input_InorganicFertiliser_Brands[Total applied (kg)], _xlfn.SEQUENCE(10)), 0)</f>
        <v>12150.000000000002</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0.40629130443200001</v>
      </c>
      <c r="G221" s="155" cm="1">
        <f t="array" ref="G221">Scope3_Equations.VEERG_15_4_1_1__1_EmissionsFromPurchasedFertiliser(E221,F221)</f>
        <v>4.9364393488488014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4.9364393488488023</v>
      </c>
      <c r="I221" s="69">
        <v>0.4</v>
      </c>
      <c r="J221" s="155" cm="1">
        <f t="array" ref="J221">Scope3_Equations.VEERG_15_4_1_1__1_EmissionsFromPurchasedFertiliser(E221,I221)</f>
        <v>4.8600000000000012</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4.6909565226900014</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Urea</v>
      </c>
      <c r="R221" s="50" cm="1">
        <f t="array" ref="R221:R230">IFERROR(INDEX(_xlfn.LET(_xlpm.result, Table_Input_InorganicFertiliser_Brands[Ingredient 1 percent], IF(_xlpm.result="", 0, _xlpm.result)), _xlfn.SEQUENCE(10)), 0)</f>
        <v>0.19565217400000001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0.96799999999999997</v>
      </c>
      <c r="T221" s="69">
        <v>0.9</v>
      </c>
      <c r="U221" s="50" t="str" cm="1">
        <f t="array" ref="U221:U230">IFERROR(INDEX(Table_Input_InorganicFertiliser_Brands[Ingredient 2], _xlfn.SEQUENCE(10)), "")</f>
        <v>Potassium - Generic</v>
      </c>
      <c r="V221" s="50" cm="1">
        <f t="array" ref="V221:V230">IFERROR(INDEX(_xlfn.LET(_xlpm.result, Table_Input_InorganicFertiliser_Brands[Ingredient 2 percent], IF(_xlpm.result="", 0, _xlpm.result)), _xlfn.SEQUENCE(10)), 0)</f>
        <v>0.1</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0.03</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Boron</v>
      </c>
      <c r="AD221" s="50" cm="1">
        <f t="array" ref="AD221:AD230">IFERROR(INDEX(_xlfn.LET(_xlpm.result, Table_Input_InorganicFertiliser_Brands[Ingredient 4 percent], IF(_xlpm.result="", 0, _xlpm.result)), _xlfn.SEQUENCE(10)), 0)</f>
        <v>5.0000000000000001E-3</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Boost-It</v>
      </c>
      <c r="E222" s="50">
        <v>20000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0.91618347784000009</v>
      </c>
      <c r="G222" s="155" cm="1">
        <f t="array" ref="G222">Scope3_Equations.VEERG_15_4_1_1__1_EmissionsFromPurchasedFertiliser(E222,F222)</f>
        <v>18.323669556800002</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18.323669556799999</v>
      </c>
      <c r="I222" s="69">
        <v>0.9</v>
      </c>
      <c r="J222" s="155" cm="1">
        <f t="array" ref="J222">Scope3_Equations.VEERG_15_4_1_1__1_EmissionsFromPurchasedFertiliser(E222,I222)</f>
        <v>18</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18.323669556799999</v>
      </c>
      <c r="L222" s="85"/>
      <c r="M222" s="48"/>
      <c r="N222" s="85"/>
      <c r="O222" s="50" t="str">
        <v/>
      </c>
      <c r="P222" s="50" t="str">
        <v/>
      </c>
      <c r="Q222" s="50" t="str">
        <v>Urea</v>
      </c>
      <c r="R222" s="50">
        <v>0.52173913000000005</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0.96799999999999997</v>
      </c>
      <c r="T222" s="69"/>
      <c r="U222" s="50" t="str">
        <v>Potassium - Generic</v>
      </c>
      <c r="V222" s="50">
        <v>0.08</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69"/>
      <c r="Y222" s="50" t="str">
        <v>Sulfur - Generic</v>
      </c>
      <c r="Z222" s="50">
        <v>5.2999999999999999E-2</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69"/>
      <c r="AC222" s="50" t="str">
        <v>Phosphorus - Generic</v>
      </c>
      <c r="AD222" s="50">
        <v>5.1999999999999998E-2</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69"/>
      <c r="AG222" s="50" t="str">
        <v>Magnesium</v>
      </c>
      <c r="AH222" s="50">
        <v>1.2999999999999999E-2</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Zinc</v>
      </c>
      <c r="AL222" s="50">
        <v>2E-3</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CoRoN 12-0-10</v>
      </c>
      <c r="E223" s="50">
        <v>12150.000000000002</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0.40629130443200001</v>
      </c>
      <c r="G223" s="155" cm="1">
        <f t="array" ref="G223">Scope3_Equations.VEERG_15_4_1_1__1_EmissionsFromPurchasedFertiliser(E223,F223)</f>
        <v>4.9364393488488014</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4.9364393488488023</v>
      </c>
      <c r="I223" s="69">
        <v>0.4</v>
      </c>
      <c r="J223" s="155" cm="1">
        <f t="array" ref="J223">Scope3_Equations.VEERG_15_4_1_1__1_EmissionsFromPurchasedFertiliser(E223,I223)</f>
        <v>4.8600000000000012</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4.9364393488488023</v>
      </c>
      <c r="L223" s="85"/>
      <c r="M223" s="48"/>
      <c r="N223" s="85"/>
      <c r="O223" s="50" t="str">
        <v/>
      </c>
      <c r="P223" s="50" t="str">
        <v/>
      </c>
      <c r="Q223" s="50" t="str">
        <v>Urea</v>
      </c>
      <c r="R223" s="50">
        <v>0.19565217400000001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0.96799999999999997</v>
      </c>
      <c r="T223" s="69"/>
      <c r="U223" s="50" t="str">
        <v>Potassium - Generic</v>
      </c>
      <c r="V223" s="50">
        <v>0.1</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69"/>
      <c r="Y223" s="50" t="str">
        <v>Nitrogen - Generic</v>
      </c>
      <c r="Z223" s="50">
        <v>0.03</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69"/>
      <c r="AC223" s="50" t="str">
        <v>Boron</v>
      </c>
      <c r="AD223" s="50">
        <v>5.0000000000000001E-3</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
      </c>
      <c r="E224" s="50">
        <v>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5" cm="1">
        <f t="array" ref="G224">Scope3_Equations.VEERG_15_4_1_1__1_EmissionsFromPurchasedFertiliser(E224,F224)</f>
        <v>0</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5"/>
      <c r="M224" s="48"/>
      <c r="N224" s="85"/>
      <c r="O224" s="50" t="str">
        <v/>
      </c>
      <c r="P224" s="50" t="str">
        <v/>
      </c>
      <c r="Q224" s="50" t="str">
        <v/>
      </c>
      <c r="R224" s="50">
        <v>0</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9"/>
      <c r="U224" s="50" t="str">
        <v/>
      </c>
      <c r="V224" s="50">
        <v>0</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9"/>
      <c r="Y224" s="50" t="str">
        <v/>
      </c>
      <c r="Z224" s="50">
        <v>0</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
      </c>
      <c r="E225" s="50">
        <v>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5" cm="1">
        <f t="array" ref="G225">Scope3_Equations.VEERG_15_4_1_1__1_EmissionsFromPurchasedFertiliser(E225,F225)</f>
        <v>0</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5"/>
      <c r="M225" s="48"/>
      <c r="N225" s="85"/>
      <c r="O225" s="50" t="str">
        <v/>
      </c>
      <c r="P225" s="50" t="str">
        <v/>
      </c>
      <c r="Q225" s="50" t="str">
        <v/>
      </c>
      <c r="R225" s="50">
        <v>0</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
      </c>
      <c r="V225" s="50">
        <v>0</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664</v>
      </c>
    </row>
    <row r="233" spans="4:40" ht="20.100000000000001" customHeight="1" x14ac:dyDescent="0.25"/>
    <row r="234" spans="4:40" ht="20.100000000000001" customHeight="1" x14ac:dyDescent="0.25">
      <c r="D234" s="98" t="s">
        <v>679</v>
      </c>
      <c r="E234" s="113"/>
      <c r="F234" s="99"/>
    </row>
    <row r="235" spans="4:40" ht="20.100000000000001" customHeight="1" x14ac:dyDescent="0.25"/>
    <row r="236" spans="4:40" ht="20.100000000000001" customHeight="1" x14ac:dyDescent="0.25">
      <c r="D236" s="47" t="s">
        <v>409</v>
      </c>
      <c r="E236" s="47" t="s">
        <v>361</v>
      </c>
      <c r="F236" s="60" t="s">
        <v>677</v>
      </c>
      <c r="G236" s="60" t="s">
        <v>661</v>
      </c>
      <c r="H236" s="60" t="s">
        <v>660</v>
      </c>
      <c r="I236" s="47" t="s">
        <v>678</v>
      </c>
      <c r="J236" s="60" t="s">
        <v>662</v>
      </c>
      <c r="K236" s="60" t="s">
        <v>663</v>
      </c>
      <c r="L236" s="47" t="s">
        <v>638</v>
      </c>
      <c r="M236" s="47" t="s">
        <v>639</v>
      </c>
      <c r="N236" s="47" t="s">
        <v>640</v>
      </c>
      <c r="O236" s="60" t="s">
        <v>172</v>
      </c>
      <c r="P236" s="60" t="s">
        <v>173</v>
      </c>
      <c r="Q236" s="60" t="s">
        <v>174</v>
      </c>
      <c r="R236" s="60" t="s">
        <v>175</v>
      </c>
      <c r="S236" s="60" t="s">
        <v>665</v>
      </c>
      <c r="T236" s="47" t="s">
        <v>666</v>
      </c>
      <c r="U236" s="60" t="s">
        <v>176</v>
      </c>
      <c r="V236" s="60" t="s">
        <v>177</v>
      </c>
      <c r="W236" s="60" t="s">
        <v>667</v>
      </c>
      <c r="X236" s="47" t="s">
        <v>668</v>
      </c>
      <c r="Y236" s="60" t="s">
        <v>178</v>
      </c>
      <c r="Z236" s="60" t="s">
        <v>179</v>
      </c>
      <c r="AA236" s="60" t="s">
        <v>669</v>
      </c>
      <c r="AB236" s="47" t="s">
        <v>670</v>
      </c>
      <c r="AC236" s="60" t="s">
        <v>180</v>
      </c>
      <c r="AD236" s="60" t="s">
        <v>181</v>
      </c>
      <c r="AE236" s="60" t="s">
        <v>671</v>
      </c>
      <c r="AF236" s="47" t="s">
        <v>672</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5" cm="1">
        <f t="array" ref="G237">Scope3_Equations.VEERG_15_4_1_1__1_EmissionsFromPurchasedFertiliser(E237,F237)</f>
        <v>16.099000000000004</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5"/>
      <c r="M237" s="48"/>
      <c r="N237"/>
      <c r="O237" s="50" t="str" cm="1">
        <f t="array" ref="O237:O246">IFERROR(INDEX(Table_Input_InorganicFertiliser_Custom[Urea source], _xlfn.SEQUENCE(10)), "")</f>
        <v>Canada</v>
      </c>
      <c r="P237" s="50" t="str" cm="1">
        <f t="array" ref="P237:P246">IFERROR(INDEX(Table_Input_InorganicFertiliser_Custom[Ammonia source], _xlfn.SEQUENCE(10)), "")</f>
        <v>Global</v>
      </c>
      <c r="Q237" s="50" t="str" cm="1">
        <f t="array" ref="Q237:Q246">IFERROR(INDEX(Table_Input_InorganicFertiliser_Custom[Ingredient 1 (select)], _xlfn.SEQUENCE(10)), "")</f>
        <v>Ammonia</v>
      </c>
      <c r="R237" s="50" cm="1">
        <f t="array" ref="R237:R246">IFERROR(INDEX(_xlfn.LET(_xlpm.result, Table_Input_InorganicFertiliser_Custom[Ingredient 1 percent], IF(_xlpm.result="", 0, _xlpm.result)), _xlfn.SEQUENCE(10)), 0)</f>
        <v>0.45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9">
        <v>0.9</v>
      </c>
      <c r="U237" s="50" t="str" cm="1">
        <f t="array" ref="U237:U246">IFERROR(INDEX(Table_Input_InorganicFertiliser_Custom[Ingredient 2], _xlfn.SEQUENCE(10)), "")</f>
        <v>Calcium nitrate</v>
      </c>
      <c r="V237" s="50" cm="1">
        <f t="array" ref="V237:V246">IFERROR(INDEX(_xlfn.LET(_xlpm.result, Table_Input_InorganicFertiliser_Custom[Ingredient 2 percent], IF(_xlpm.result="", 0, _xlpm.result)), _xlfn.SEQUENCE(10)), 0)</f>
        <v>0.3</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0.1</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v>0</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5" cm="1">
        <f t="array" ref="G238">Scope3_Equations.VEERG_15_4_1_1__1_EmissionsFromPurchasedFertiliser(E238,F238)</f>
        <v>9.5270000000000028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5"/>
      <c r="M238" s="48"/>
      <c r="N238" s="85"/>
      <c r="O238" s="50" t="str">
        <v>Canada</v>
      </c>
      <c r="P238" s="50" t="str">
        <v>Canada</v>
      </c>
      <c r="Q238" s="50" t="str">
        <v>Urea</v>
      </c>
      <c r="R238" s="50">
        <v>0.9</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9"/>
      <c r="U238" s="50" t="str">
        <v>Ammonia</v>
      </c>
      <c r="V238" s="50">
        <v>0.1</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
      </c>
      <c r="E239" s="50">
        <v>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5" cm="1">
        <f t="array" ref="G239">Scope3_Equations.VEERG_15_4_1_1__1_EmissionsFromPurchasedFertiliser(E239,F239)</f>
        <v>0</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9">
        <v>0.4</v>
      </c>
      <c r="J239" s="155" cm="1">
        <f t="array" ref="J239">Scope3_Equations.VEERG_15_4_1_1__1_EmissionsFromPurchasedFertiliser(E239,I239)</f>
        <v>0</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5"/>
      <c r="M239" s="48"/>
      <c r="N239" s="85"/>
      <c r="O239" s="50" t="str">
        <v/>
      </c>
      <c r="P239" s="50" t="str">
        <v/>
      </c>
      <c r="Q239" s="50" t="str">
        <v/>
      </c>
      <c r="R239" s="50">
        <v>0</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9"/>
      <c r="U239" s="50" t="str">
        <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t="str">
        <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t="str">
        <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680</v>
      </c>
      <c r="E248" s="181">
        <f>SUM(G221:G230)+SUM(G237:G246)</f>
        <v>53.822548254497605</v>
      </c>
      <c r="F248" s="182" t="str">
        <f>$E$155</f>
        <v>t CO2e</v>
      </c>
    </row>
    <row r="249" spans="3:41" ht="20.100000000000001" customHeight="1" x14ac:dyDescent="0.25">
      <c r="D249" s="183" t="s">
        <v>681</v>
      </c>
      <c r="E249" s="181">
        <f>SUM(J221:J230)+SUM(J237:J246)</f>
        <v>40.72</v>
      </c>
      <c r="F249" s="182" t="str">
        <f>$E$155</f>
        <v>t CO2e</v>
      </c>
    </row>
    <row r="250" spans="3:41" ht="20.100000000000001" customHeight="1" x14ac:dyDescent="0.25"/>
    <row r="251" spans="3:41" ht="20.100000000000001" customHeight="1" x14ac:dyDescent="0.25">
      <c r="D251" s="183" t="s">
        <v>682</v>
      </c>
      <c r="E251" s="181">
        <f>SUM(H221:H230)+SUM(H237:H246)</f>
        <v>53.822548254497605</v>
      </c>
      <c r="F251" s="182" t="str">
        <f>$E$155</f>
        <v>t CO2e</v>
      </c>
    </row>
    <row r="252" spans="3:41" ht="20.100000000000001" customHeight="1" x14ac:dyDescent="0.25">
      <c r="D252" s="183" t="s">
        <v>683</v>
      </c>
      <c r="E252" s="181">
        <f>SUM(K221:K230)+SUM(K237:K246)</f>
        <v>50.728065428338802</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635</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636</v>
      </c>
      <c r="E262" s="8" t="str" cm="1">
        <f t="array" ref="E262">Scope3_Equations.VEERG_15_5_1_1__1_EmissionsFromPurchasedAgrichemicals_Variable()</f>
        <v>E</v>
      </c>
    </row>
    <row r="263" spans="4:9" ht="20.100000000000001" customHeight="1" x14ac:dyDescent="0.25">
      <c r="D263" s="28" t="s">
        <v>97</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689</v>
      </c>
      <c r="E269" s="47" t="s">
        <v>205</v>
      </c>
      <c r="F269" s="60" t="s">
        <v>690</v>
      </c>
      <c r="G269" s="60" t="s">
        <v>642</v>
      </c>
      <c r="H269" s="47" t="s">
        <v>691</v>
      </c>
      <c r="I269" s="60" t="s">
        <v>644</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642</v>
      </c>
      <c r="E283" s="181">
        <f>SUM(G270:G281)</f>
        <v>7.5159999999999991</v>
      </c>
      <c r="F283" s="182" t="str">
        <f>$E$155</f>
        <v>t CO2e</v>
      </c>
    </row>
    <row r="284" spans="3:41" ht="20.25" x14ac:dyDescent="0.25">
      <c r="D284" s="183" t="s">
        <v>644</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635</v>
      </c>
      <c r="E290" s="176" t="str" cm="1">
        <f t="array" aca="1" ref="E290" ca="1">Common_InputFunctions.Utility_DisplayFunctionName(I305)</f>
        <v>=Scope3_Equations.VEERG_15_6_1_1__1_EmissionsFromPurchasedLime</v>
      </c>
    </row>
    <row r="293" spans="4:13" x14ac:dyDescent="0.25">
      <c r="D293" s="28" t="s">
        <v>636</v>
      </c>
      <c r="E293" s="8" t="str" cm="1">
        <f t="array" ref="E293">Scope3_Equations.VEERG_15_6_1_1__1_EmissionsFromPurchasedLime_Variable()</f>
        <v>E</v>
      </c>
    </row>
    <row r="294" spans="4:13" x14ac:dyDescent="0.25">
      <c r="D294" s="28" t="s">
        <v>97</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415</v>
      </c>
      <c r="F299" s="47" t="s">
        <v>416</v>
      </c>
    </row>
    <row r="300" spans="4:13" ht="18.75" x14ac:dyDescent="0.25">
      <c r="D300" s="8" t="s">
        <v>694</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695</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696</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170</v>
      </c>
      <c r="E304" s="156" t="s">
        <v>692</v>
      </c>
      <c r="F304" s="47" t="s">
        <v>697</v>
      </c>
      <c r="G304" s="47" t="s">
        <v>698</v>
      </c>
      <c r="H304" s="47" t="s">
        <v>699</v>
      </c>
      <c r="I304" s="60" t="s">
        <v>642</v>
      </c>
      <c r="J304" s="60" t="s">
        <v>693</v>
      </c>
      <c r="K304" s="47" t="s">
        <v>638</v>
      </c>
      <c r="L304" s="47" t="s">
        <v>639</v>
      </c>
      <c r="M304" s="47" t="s">
        <v>640</v>
      </c>
    </row>
    <row r="305" spans="3:41" x14ac:dyDescent="0.25">
      <c r="D305" s="50" t="str" cm="1">
        <f t="array" ref="D305:D314">IFERROR(INDEX(Table_Input_SoilAmeliorants[Product], _xlfn.SEQUENCE(10)), "")</f>
        <v>Lime product 1</v>
      </c>
      <c r="E305" s="50" cm="1">
        <f t="array" ref="E305:E314">IFERROR(INDEX(Table_Input_SoilAmeliorants[Total amount applied (t)], _xlfn.SEQUENCE(10)), 0)</f>
        <v>10000</v>
      </c>
      <c r="F305" s="50" cm="1">
        <f t="array" ref="F305:F314">IFERROR(INDEX(Table_Input_SoilAmeliorants[Percent Lime CaCO3], _xlfn.SEQUENCE(10)), 0)*E305</f>
        <v>4000</v>
      </c>
      <c r="G305" s="50" cm="1">
        <f t="array" ref="G305:G314">IFERROR(INDEX(Table_Input_SoilAmeliorants[Percent Dolomite CaMg(CO3)2], _xlfn.SEQUENCE(10)), 0)*E305</f>
        <v>3000</v>
      </c>
      <c r="H305" s="50" cm="1">
        <f t="array" ref="H305:H314">IFERROR(INDEX(Table_Input_SoilAmeliorants[Percent Gypsum], _xlfn.SEQUENCE(10)), 0)*E305</f>
        <v>2500</v>
      </c>
      <c r="I305" s="155" cm="1">
        <f t="array" ref="I305">Scope3_Equations.VEERG_15_6_1_1__1_EmissionsFromPurchasedLime(F305,$E$300)+
Scope3_Equations.VEERG_15_6_1_1__1_EmissionsFromPurchasedLime(G305,$E$301)+
Scope3_Equations.VEERG_15_6_1_1__1_EmissionsFromPurchasedLime(H305,$E$302)</f>
        <v>0.55259999999999998</v>
      </c>
      <c r="J305" s="155" cm="1">
        <f t="array" ref="J305">Scope3_Equations.VEERG_15_6_1_1__1_EmissionsFromPurchasedLime(F305,IF($F$300,$F$300,$E$300))+
Scope3_Equations.VEERG_15_6_1_1__1_EmissionsFromPurchasedLime(G305,IF($F$301,$F$301,$E$301))+
Scope3_Equations.VEERG_15_6_1_1__1_EmissionsFromPurchasedLime(H305,IF($F$302,$F$302,$E$302))</f>
        <v>0.49</v>
      </c>
      <c r="K305" s="85"/>
      <c r="L305" s="48"/>
      <c r="M305" s="85"/>
    </row>
    <row r="306" spans="3:41" x14ac:dyDescent="0.25">
      <c r="D306" s="50" t="str">
        <v>Lime product 2</v>
      </c>
      <c r="E306" s="50">
        <v>10000</v>
      </c>
      <c r="F306" s="50">
        <v>10000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0.48499999999999999</v>
      </c>
      <c r="J306" s="155" cm="1">
        <f t="array" ref="J306">Scope3_Equations.VEERG_15_6_1_1__1_EmissionsFromPurchasedLime(F306,IF($F$300,$F$300,$E$300))+
Scope3_Equations.VEERG_15_6_1_1__1_EmissionsFromPurchasedLime(G306,IF($F$301,$F$301,$E$301))+
Scope3_Equations.VEERG_15_6_1_1__1_EmissionsFromPurchasedLime(H306,IF($F$302,$F$302,$E$302))</f>
        <v>0.4</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642</v>
      </c>
      <c r="E316" s="181">
        <f>SUM(I305:I314)</f>
        <v>1.0375999999999999</v>
      </c>
      <c r="F316" s="182" t="str">
        <f>$E$155</f>
        <v>t CO2e</v>
      </c>
    </row>
    <row r="317" spans="3:41" ht="20.25" x14ac:dyDescent="0.25">
      <c r="D317" s="183" t="s">
        <v>644</v>
      </c>
      <c r="E317" s="181">
        <f>SUM(J305:J314)</f>
        <v>0.89</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635</v>
      </c>
      <c r="E323" s="176" t="str" cm="1">
        <f t="array" aca="1" ref="E323" ca="1">Common_InputFunctions.Utility_DisplayFunctionName(K336)</f>
        <v>=Scope3_Equations.VEERG_15_7_1_1__1_EmissionsFromPurchasedServices</v>
      </c>
    </row>
    <row r="326" spans="4:15" x14ac:dyDescent="0.25">
      <c r="D326" s="28" t="s">
        <v>636</v>
      </c>
      <c r="E326" s="8" t="str" cm="1">
        <f t="array" ref="E326">Scope3_Equations.VEERG_15_7_1_1__1_EmissionsFromPurchasedServices_Variable()</f>
        <v>E</v>
      </c>
    </row>
    <row r="327" spans="4:15" x14ac:dyDescent="0.25">
      <c r="D327" s="28" t="s">
        <v>97</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700</v>
      </c>
    </row>
    <row r="335" spans="4:15" x14ac:dyDescent="0.25">
      <c r="D335" s="47" t="s">
        <v>614</v>
      </c>
      <c r="E335" s="47" t="s">
        <v>624</v>
      </c>
      <c r="F335" s="47" t="s">
        <v>619</v>
      </c>
      <c r="G335" s="47" t="s">
        <v>126</v>
      </c>
      <c r="H335" s="60" t="s">
        <v>421</v>
      </c>
      <c r="I335" s="60" t="s">
        <v>357</v>
      </c>
      <c r="J335" s="47" t="s">
        <v>422</v>
      </c>
      <c r="K335" s="60" t="s">
        <v>358</v>
      </c>
      <c r="L335" s="60" t="s">
        <v>620</v>
      </c>
      <c r="M335" s="47" t="s">
        <v>638</v>
      </c>
      <c r="N335" s="47" t="s">
        <v>639</v>
      </c>
      <c r="O335" s="47" t="s">
        <v>640</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837</v>
      </c>
      <c r="I336" s="50" t="s">
        <v>837</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837</v>
      </c>
      <c r="I337" s="50" t="s">
        <v>837</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837</v>
      </c>
      <c r="I338" s="50" t="s">
        <v>837</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837</v>
      </c>
      <c r="I339" s="50" t="s">
        <v>837</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837</v>
      </c>
      <c r="I340" s="50" t="s">
        <v>837</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837</v>
      </c>
      <c r="I341" s="50" t="s">
        <v>837</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837</v>
      </c>
      <c r="I342" s="50" t="s">
        <v>837</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837</v>
      </c>
      <c r="I343" s="50" t="s">
        <v>837</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837</v>
      </c>
      <c r="I344" s="50" t="s">
        <v>837</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837</v>
      </c>
      <c r="I345" s="50" t="s">
        <v>837</v>
      </c>
      <c r="J345" s="69"/>
      <c r="K345" s="155" cm="1">
        <f t="array" ref="K345">Scope3_Equations.VEERG_15_7_1_1__1_EmissionsFromPurchasedServices(F345,J345)</f>
        <v>0</v>
      </c>
      <c r="L345" s="50" t="str">
        <f t="shared" si="1"/>
        <v>t CO2e / 0</v>
      </c>
      <c r="M345" s="85"/>
      <c r="N345" s="48"/>
      <c r="O345" s="85"/>
    </row>
    <row r="347" spans="3:41" ht="20.25" x14ac:dyDescent="0.25">
      <c r="D347" s="183" t="s">
        <v>642</v>
      </c>
      <c r="E347" s="181" t="s">
        <v>837</v>
      </c>
      <c r="F347" s="182" t="str">
        <f>$E$155</f>
        <v>t CO2e</v>
      </c>
    </row>
    <row r="348" spans="3:41" ht="20.25" x14ac:dyDescent="0.25">
      <c r="D348" s="183" t="s">
        <v>644</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635</v>
      </c>
      <c r="E355" s="176" t="str" cm="1">
        <f t="array" aca="1" ref="E355" ca="1">Common_InputFunctions.Utility_DisplayFunctionName(H367)</f>
        <v>=Scope3_Equations.VEERG_15_8_1_1__1_EmissionsFromPurchasedPackaging</v>
      </c>
    </row>
    <row r="359" spans="4:13" x14ac:dyDescent="0.25">
      <c r="D359" s="28" t="s">
        <v>636</v>
      </c>
      <c r="E359" s="8" t="str" cm="1">
        <f t="array" ref="E359">Scope3_Equations.VEERG_15_8_1_1__1_EmissionsFromPurchasedPackaging_Variable()</f>
        <v>E</v>
      </c>
    </row>
    <row r="360" spans="4:13" x14ac:dyDescent="0.25">
      <c r="D360" s="28" t="s">
        <v>97</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366</v>
      </c>
      <c r="E366" s="156" t="s">
        <v>411</v>
      </c>
      <c r="F366" s="156" t="s">
        <v>701</v>
      </c>
      <c r="G366" s="60" t="s">
        <v>702</v>
      </c>
      <c r="H366" s="60" t="s">
        <v>642</v>
      </c>
      <c r="I366" s="47" t="s">
        <v>703</v>
      </c>
      <c r="J366" s="60" t="s">
        <v>644</v>
      </c>
      <c r="K366" s="47" t="s">
        <v>638</v>
      </c>
      <c r="L366" s="47" t="s">
        <v>639</v>
      </c>
      <c r="M366" s="47" t="s">
        <v>640</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642</v>
      </c>
      <c r="E378" s="181">
        <f>SUM(H367:H376)</f>
        <v>7.44</v>
      </c>
      <c r="F378" s="182" t="str">
        <f>$E$155</f>
        <v>t CO2e</v>
      </c>
    </row>
    <row r="379" spans="3:41" ht="20.25" x14ac:dyDescent="0.25">
      <c r="D379" s="183" t="s">
        <v>644</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635</v>
      </c>
      <c r="E385" s="176" t="str" cm="1">
        <f t="array" aca="1" ref="E385" ca="1">Common_InputFunctions.Utility_DisplayFunctionName(J399)</f>
        <v>=Scope3_Equations.VEERG_15_9_1_1__1_EmissionsFromPurchasedGrowMedia</v>
      </c>
    </row>
    <row r="389" spans="4:14" x14ac:dyDescent="0.25">
      <c r="D389" s="28" t="s">
        <v>636</v>
      </c>
      <c r="E389" s="8" t="str" cm="1">
        <f t="array" ref="E389">Scope3_Equations.VEERG_15_9_1_1__1_EmissionsFromPurchasedGrowMedia_Variable()</f>
        <v>E</v>
      </c>
    </row>
    <row r="390" spans="4:14" x14ac:dyDescent="0.25">
      <c r="D390" s="28" t="s">
        <v>97</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700</v>
      </c>
    </row>
    <row r="398" spans="4:14" x14ac:dyDescent="0.25">
      <c r="D398" s="47" t="s">
        <v>705</v>
      </c>
      <c r="E398" s="47" t="s">
        <v>619</v>
      </c>
      <c r="F398" s="47" t="s">
        <v>126</v>
      </c>
      <c r="G398" s="60" t="s">
        <v>421</v>
      </c>
      <c r="H398" s="60" t="s">
        <v>357</v>
      </c>
      <c r="I398" s="47" t="s">
        <v>422</v>
      </c>
      <c r="J398" s="60" t="s">
        <v>358</v>
      </c>
      <c r="K398" s="60" t="s">
        <v>620</v>
      </c>
      <c r="L398" s="47" t="s">
        <v>638</v>
      </c>
      <c r="M398" s="47" t="s">
        <v>639</v>
      </c>
      <c r="N398" s="47" t="s">
        <v>640</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837</v>
      </c>
      <c r="H399" s="50" t="s">
        <v>837</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837</v>
      </c>
      <c r="H400" s="50" t="s">
        <v>837</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837</v>
      </c>
      <c r="H401" s="50" t="s">
        <v>837</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837</v>
      </c>
      <c r="H402" s="50" t="s">
        <v>837</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837</v>
      </c>
      <c r="H403" s="50" t="s">
        <v>837</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837</v>
      </c>
      <c r="H404" s="50" t="s">
        <v>837</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837</v>
      </c>
      <c r="H405" s="50" t="s">
        <v>837</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837</v>
      </c>
      <c r="H406" s="50" t="s">
        <v>837</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837</v>
      </c>
      <c r="H407" s="50" t="s">
        <v>837</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837</v>
      </c>
      <c r="H408" s="50" t="s">
        <v>837</v>
      </c>
      <c r="I408" s="69"/>
      <c r="J408" s="155" cm="1">
        <f t="array" ref="J408">Scope3_Equations.VEERG_15_9_1_1__1_EmissionsFromPurchasedGrowMedia(E408,I408)</f>
        <v>0</v>
      </c>
      <c r="K408" s="50" t="str">
        <f t="shared" si="2"/>
        <v>t CO2e / 0</v>
      </c>
      <c r="L408" s="85"/>
      <c r="M408" s="48"/>
      <c r="N408" s="85"/>
    </row>
    <row r="410" spans="3:41" ht="20.25" x14ac:dyDescent="0.25">
      <c r="D410" s="183" t="s">
        <v>642</v>
      </c>
      <c r="E410" s="181" t="s">
        <v>837</v>
      </c>
      <c r="F410" s="182" t="str">
        <f>$E$155</f>
        <v>t CO2e</v>
      </c>
    </row>
    <row r="411" spans="3:41" ht="20.25" x14ac:dyDescent="0.25">
      <c r="D411" s="183" t="s">
        <v>644</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713</v>
      </c>
    </row>
    <row r="418" spans="4:13" x14ac:dyDescent="0.25">
      <c r="D418" s="176" t="s">
        <v>635</v>
      </c>
      <c r="E418" s="176" t="str" cm="1">
        <f t="array" aca="1" ref="E418" ca="1">Common_InputFunctions.Utility_DisplayFunctionName(H430)</f>
        <v>=Scope3_Equations.VEERG_15_10_1_1__1_OtherPurchasedGoodsAndServices</v>
      </c>
    </row>
    <row r="421" spans="4:13" x14ac:dyDescent="0.25">
      <c r="D421" s="28" t="s">
        <v>636</v>
      </c>
      <c r="E421" s="8" t="str" cm="1">
        <f t="array" ref="E421">Scope3_Equations.VEERG_15_10_1_1__1_OtherPurchasedGoodsAndServices_Variable()</f>
        <v>emissions</v>
      </c>
    </row>
    <row r="422" spans="4:13" x14ac:dyDescent="0.25">
      <c r="D422" s="28" t="s">
        <v>97</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380</v>
      </c>
    </row>
    <row r="429" spans="4:13" x14ac:dyDescent="0.25">
      <c r="D429" s="47" t="s">
        <v>366</v>
      </c>
      <c r="E429" s="156" t="s">
        <v>287</v>
      </c>
      <c r="F429" s="156" t="s">
        <v>382</v>
      </c>
      <c r="G429" s="60" t="s">
        <v>360</v>
      </c>
      <c r="H429" s="60" t="s">
        <v>642</v>
      </c>
      <c r="I429" s="47" t="s">
        <v>363</v>
      </c>
      <c r="J429" s="60" t="s">
        <v>644</v>
      </c>
      <c r="K429" s="47" t="s">
        <v>638</v>
      </c>
      <c r="L429" s="47" t="s">
        <v>639</v>
      </c>
      <c r="M429" s="47" t="s">
        <v>640</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642</v>
      </c>
      <c r="E441" s="181">
        <f>SUM(H430:H439)</f>
        <v>0.50509999999999999</v>
      </c>
      <c r="F441" s="182" t="str">
        <f>$E$155</f>
        <v>t CO2e</v>
      </c>
    </row>
    <row r="442" spans="4:13" ht="20.25" x14ac:dyDescent="0.25">
      <c r="D442" s="183" t="s">
        <v>644</v>
      </c>
      <c r="E442" s="181">
        <f>SUM(J430:J439)</f>
        <v>2.73</v>
      </c>
      <c r="F442" s="182" t="str">
        <f>$E$155</f>
        <v>t CO2e</v>
      </c>
    </row>
    <row r="445" spans="4:13" ht="18.75" x14ac:dyDescent="0.25">
      <c r="D445" s="148" t="s">
        <v>381</v>
      </c>
    </row>
    <row r="447" spans="4:13" x14ac:dyDescent="0.25">
      <c r="D447" s="47" t="s">
        <v>366</v>
      </c>
      <c r="E447" s="156" t="s">
        <v>287</v>
      </c>
      <c r="F447" s="156" t="s">
        <v>379</v>
      </c>
      <c r="G447" s="60" t="s">
        <v>626</v>
      </c>
      <c r="H447" s="60" t="s">
        <v>642</v>
      </c>
      <c r="I447" s="47" t="s">
        <v>627</v>
      </c>
      <c r="J447" s="60" t="s">
        <v>644</v>
      </c>
      <c r="K447" s="47" t="s">
        <v>638</v>
      </c>
      <c r="L447" s="47" t="s">
        <v>639</v>
      </c>
      <c r="M447" s="47" t="s">
        <v>640</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642</v>
      </c>
      <c r="E459" s="181">
        <f>SUM(H448:H457)</f>
        <v>1.5636000000000001E-2</v>
      </c>
      <c r="F459" s="182" t="str">
        <f>$E$155</f>
        <v>t CO2e</v>
      </c>
    </row>
    <row r="460" spans="4:13" ht="20.25" x14ac:dyDescent="0.25">
      <c r="D460" s="183" t="s">
        <v>644</v>
      </c>
      <c r="E460" s="181">
        <f>SUM(J448:J457)</f>
        <v>1.3400000000000002E-2</v>
      </c>
      <c r="F460" s="182" t="str">
        <f>$E$155</f>
        <v>t CO2e</v>
      </c>
    </row>
    <row r="463" spans="4:13" ht="18.75" x14ac:dyDescent="0.25">
      <c r="D463" s="148" t="s">
        <v>417</v>
      </c>
    </row>
    <row r="465" spans="4:12" x14ac:dyDescent="0.25">
      <c r="D465" s="47" t="s">
        <v>170</v>
      </c>
      <c r="E465" s="47" t="s">
        <v>714</v>
      </c>
      <c r="F465" s="60" t="s">
        <v>626</v>
      </c>
      <c r="G465" s="60" t="s">
        <v>642</v>
      </c>
      <c r="H465" s="47" t="s">
        <v>627</v>
      </c>
      <c r="I465" s="60" t="s">
        <v>644</v>
      </c>
      <c r="J465" s="47" t="s">
        <v>638</v>
      </c>
      <c r="K465" s="47" t="s">
        <v>639</v>
      </c>
      <c r="L465" s="47" t="s">
        <v>640</v>
      </c>
    </row>
    <row r="466" spans="4:12" x14ac:dyDescent="0.25">
      <c r="D466" s="50" t="str">
        <f>'Input - Farm Inputs'!D194</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Inputs'!D195</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Inputs'!D196</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Inputs'!D197</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Inputs'!D198</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642</v>
      </c>
      <c r="E472" s="181">
        <f>SUM(G466:G470)</f>
        <v>0.84389999999999998</v>
      </c>
      <c r="F472" s="182" t="str">
        <f>$E$155</f>
        <v>t CO2e</v>
      </c>
    </row>
    <row r="473" spans="4:12" ht="20.25" x14ac:dyDescent="0.25">
      <c r="D473" s="183" t="s">
        <v>644</v>
      </c>
      <c r="E473" s="181">
        <f>SUM(I466:I470)</f>
        <v>0.71420000000000006</v>
      </c>
      <c r="F473" s="182" t="str">
        <f>$E$155</f>
        <v>t CO2e</v>
      </c>
    </row>
    <row r="476" spans="4:12" ht="18.75" x14ac:dyDescent="0.25">
      <c r="D476" s="148" t="s">
        <v>715</v>
      </c>
    </row>
    <row r="478" spans="4:12" x14ac:dyDescent="0.25">
      <c r="D478" s="47" t="s">
        <v>170</v>
      </c>
      <c r="E478" s="47" t="s">
        <v>714</v>
      </c>
      <c r="F478" s="60" t="s">
        <v>626</v>
      </c>
      <c r="G478" s="60" t="s">
        <v>642</v>
      </c>
      <c r="H478" s="47" t="s">
        <v>627</v>
      </c>
      <c r="I478" s="60" t="s">
        <v>644</v>
      </c>
      <c r="J478" s="47" t="s">
        <v>638</v>
      </c>
      <c r="K478" s="47" t="s">
        <v>639</v>
      </c>
      <c r="L478" s="47" t="s">
        <v>640</v>
      </c>
    </row>
    <row r="479" spans="4:12" x14ac:dyDescent="0.25">
      <c r="D479" s="50" t="str">
        <f>'Input - Farm Inputs'!D201</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Inputs'!D202</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Inputs'!D203</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642</v>
      </c>
      <c r="E483" s="181">
        <f>SUM(G479:G481)</f>
        <v>2.9531000000000005</v>
      </c>
      <c r="F483" s="182" t="str">
        <f>$E$155</f>
        <v>t CO2e</v>
      </c>
    </row>
    <row r="484" spans="4:14" ht="20.25" x14ac:dyDescent="0.25">
      <c r="D484" s="183" t="s">
        <v>644</v>
      </c>
      <c r="E484" s="181">
        <f>SUM(I479:I481)</f>
        <v>8.5860000000000006E-2</v>
      </c>
      <c r="F484" s="182" t="str">
        <f>$E$155</f>
        <v>t CO2e</v>
      </c>
    </row>
    <row r="487" spans="4:14" ht="18.75" x14ac:dyDescent="0.25">
      <c r="D487" s="148" t="s">
        <v>716</v>
      </c>
    </row>
    <row r="489" spans="4:14" x14ac:dyDescent="0.25">
      <c r="D489" s="47" t="s">
        <v>170</v>
      </c>
      <c r="E489" s="47" t="s">
        <v>606</v>
      </c>
      <c r="F489" s="47" t="s">
        <v>126</v>
      </c>
      <c r="G489" s="60" t="s">
        <v>421</v>
      </c>
      <c r="H489" s="60" t="s">
        <v>357</v>
      </c>
      <c r="I489" s="47" t="s">
        <v>422</v>
      </c>
      <c r="J489" s="47" t="s">
        <v>711</v>
      </c>
      <c r="K489" s="60" t="s">
        <v>358</v>
      </c>
      <c r="L489" s="47" t="s">
        <v>638</v>
      </c>
      <c r="M489" s="47" t="s">
        <v>639</v>
      </c>
      <c r="N489" s="47" t="s">
        <v>640</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837</v>
      </c>
      <c r="H490" s="50" t="s">
        <v>837</v>
      </c>
      <c r="I490" s="69">
        <v>4</v>
      </c>
      <c r="J490" s="48" t="s">
        <v>712</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837</v>
      </c>
      <c r="H491" s="50" t="s">
        <v>837</v>
      </c>
      <c r="I491" s="69">
        <v>2</v>
      </c>
      <c r="J491" s="48" t="s">
        <v>712</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837</v>
      </c>
      <c r="H492" s="50" t="s">
        <v>837</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837</v>
      </c>
      <c r="H493" s="50" t="s">
        <v>837</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837</v>
      </c>
      <c r="H494" s="50" t="s">
        <v>837</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837</v>
      </c>
      <c r="H495" s="50" t="s">
        <v>837</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837</v>
      </c>
      <c r="H496" s="50" t="s">
        <v>837</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837</v>
      </c>
      <c r="H497" s="50" t="s">
        <v>837</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837</v>
      </c>
      <c r="H498" s="50" t="s">
        <v>837</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837</v>
      </c>
      <c r="H499" s="50" t="s">
        <v>837</v>
      </c>
      <c r="I499" s="69"/>
      <c r="J499" s="48"/>
      <c r="K499" s="155" cm="1">
        <f t="array" ref="K499">Scope3_Equations.VEERG_15_10_1_1__1_OtherPurchasedGoodsAndServices(E499,IF(J499="kg / amount unit", I499*10^-3, I499))</f>
        <v>0</v>
      </c>
      <c r="L499" s="85"/>
      <c r="M499" s="48"/>
      <c r="N499" s="85"/>
    </row>
    <row r="501" spans="3:41" ht="20.25" x14ac:dyDescent="0.25">
      <c r="D501" s="183" t="s">
        <v>642</v>
      </c>
      <c r="E501" s="181" t="s">
        <v>837</v>
      </c>
      <c r="F501" s="182" t="str">
        <f>$E$155</f>
        <v>t CO2e</v>
      </c>
    </row>
    <row r="502" spans="3:41" ht="20.25" x14ac:dyDescent="0.25">
      <c r="D502" s="183" t="s">
        <v>644</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635</v>
      </c>
      <c r="E508" s="176" t="str" cm="1">
        <f t="array" aca="1" ref="E508" ca="1">Common_InputFunctions.Utility_DisplayFunctionName(E518)</f>
        <v>=Scope3_Equations.VEERG_15_11_1_1__1_TotalUpstreamEmissionsFromFuel</v>
      </c>
    </row>
    <row r="512" spans="3:41" x14ac:dyDescent="0.25">
      <c r="D512" s="28" t="s">
        <v>636</v>
      </c>
      <c r="E512" s="8" t="str" cm="1">
        <f t="array" ref="E512">Scope3_Equations.VEERG_15_11_1_1__1_TotalUpstreamEmissionsFromFuel_Variable()</f>
        <v>E</v>
      </c>
    </row>
    <row r="513" spans="3:41" x14ac:dyDescent="0.25">
      <c r="D513" s="28" t="s">
        <v>97</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'8.1.1.1-2 Transport fuel'!E70</f>
        <v>0.13355600000000001</v>
      </c>
    </row>
    <row r="516" spans="3:41" x14ac:dyDescent="0.25">
      <c r="D516" s="171" t="str">
        <v>E_WTTSCq</v>
      </c>
      <c r="E516" s="175" t="str">
        <v>upstream emissions from scope 1 stationary combustion fuel use</v>
      </c>
      <c r="F516" s="170"/>
      <c r="G516" s="171" t="str">
        <v>t CO2e</v>
      </c>
      <c r="H516" s="173" t="str">
        <v>Calculated by 15.11.1.1 (3)</v>
      </c>
      <c r="I516" s="171">
        <f>'8.2.1.1-2 Stationary fuel'!E58</f>
        <v>2.6200000000000004E-3</v>
      </c>
    </row>
    <row r="518" spans="3:41" ht="20.25" x14ac:dyDescent="0.25">
      <c r="D518" s="183" t="s">
        <v>750</v>
      </c>
      <c r="E518" s="181" cm="1">
        <f t="array" ref="E518">Scope3_Equations.VEERG_15_11_1_1__1_TotalUpstreamEmissionsFromFuel(I515,I516)</f>
        <v>0.13617600000000002</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635</v>
      </c>
      <c r="E523" s="176" t="str" cm="1">
        <f t="array" aca="1" ref="E523" ca="1">Common_InputFunctions.Utility_DisplayFunctionName(E533)</f>
        <v>=Scope3_Equations.VEERG_15_12_1_1__1_UpstreamPurchasedElectricityLocationBased</v>
      </c>
    </row>
    <row r="526" spans="3:41" x14ac:dyDescent="0.25">
      <c r="D526" s="28" t="s">
        <v>636</v>
      </c>
      <c r="E526" s="8" t="str" cm="1">
        <f t="array" ref="E526">Scope3_Equations.VEERG_15_12_1_1__1_UpstreamPurchasedElectricityLocationBased_Variable()</f>
        <v>E_3elec</v>
      </c>
    </row>
    <row r="527" spans="3:41" x14ac:dyDescent="0.25">
      <c r="D527" s="28" t="s">
        <v>97</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500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0.06</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South West Interconnected System (SWIS)</v>
      </c>
      <c r="J531" s="170"/>
    </row>
    <row r="533" spans="3:41" ht="20.25" x14ac:dyDescent="0.25">
      <c r="D533" s="183" t="s">
        <v>751</v>
      </c>
      <c r="E533" s="181" cm="1">
        <f t="array" ref="E533">Scope3_Equations.VEERG_15_12_1_1__1_UpstreamPurchasedElectricityLocationBased(I529,I530)</f>
        <v>0.03</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635</v>
      </c>
      <c r="E540" s="176" t="str" cm="1">
        <f t="array" aca="1" ref="E540" ca="1">Common_InputFunctions.Utility_DisplayFunctionName(E555)</f>
        <v>=Scope3_Equations.VEERG_15_12_1_2__1_UpstreamPurchasedElectricityMarketBasedVariation</v>
      </c>
    </row>
    <row r="544" spans="3:41" x14ac:dyDescent="0.25">
      <c r="D544" s="28" t="s">
        <v>636</v>
      </c>
      <c r="E544" s="8" t="str" cm="1">
        <f t="array" ref="E544">Scope3_Equations.VEERG_15_12_1_2__1_UpstreamPurchasedElectricityMarketBased_Variable()</f>
        <v>E_3elec</v>
      </c>
    </row>
    <row r="545" spans="3:41" x14ac:dyDescent="0.25">
      <c r="D545" s="28" t="s">
        <v>97</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ACT</v>
      </c>
    </row>
    <row r="555" spans="3:41" ht="20.25" x14ac:dyDescent="0.25">
      <c r="D555" s="183" t="s">
        <v>751</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0" x14ac:dyDescent="0.25">
      <c r="D561" s="176" t="s">
        <v>635</v>
      </c>
      <c r="E561" s="176" t="str" cm="1">
        <f t="array" aca="1" ref="E561" ca="1">Common_InputFunctions.Utility_DisplayFunctionName(E571)</f>
        <v>=Scope3_Equations.VEERG_15_13_1_1__1_EmissionsFromManureSentOffSite</v>
      </c>
    </row>
    <row r="564" spans="4:10" x14ac:dyDescent="0.25">
      <c r="D564" s="28" t="s">
        <v>636</v>
      </c>
      <c r="E564" s="8" t="str" cm="1">
        <f t="array" ref="E564">Scope3_Equations.VEERG_15_13_1_1__1_EmissionsFromManureSentOffSite_Variable()</f>
        <v>E</v>
      </c>
    </row>
    <row r="565" spans="4:10" x14ac:dyDescent="0.25">
      <c r="D565" s="28" t="s">
        <v>97</v>
      </c>
      <c r="E565" s="13" t="str" cm="1">
        <f t="array" ref="E565">Scope3_Equations.VEERG_15_13_1_1__1_EmissionsFromManureSentOffSite_Unit()</f>
        <v>t N2O</v>
      </c>
    </row>
    <row r="567" spans="4:10" x14ac:dyDescent="0.25">
      <c r="D567" s="171" t="str" cm="1">
        <f t="array" ref="D567:E569">_xlfn.CHOOSECOLS(Scope3_Equations.VEERG_15_13_1_1__1_EmissionsFromManureSentOffSite_Arguments(),1,2)</f>
        <v>E_N2O</v>
      </c>
      <c r="E567" s="175" t="str">
        <v>direct nitrous oxide emissions from application of manure to soils outside of scope 1 boundary</v>
      </c>
      <c r="F567" s="209"/>
      <c r="G567" s="170"/>
      <c r="H567" s="171" t="str" cm="1">
        <f t="array" ref="H567:I569">_xlfn.CHOOSECOLS(Scope3_Equations.VEERG_15_13_1_1__1_EmissionsFromManureSentOffSite_Arguments(),3,4)</f>
        <v>t N2O</v>
      </c>
      <c r="I567" s="173" t="str">
        <v>Calculated</v>
      </c>
      <c r="J567" s="171">
        <f>'Calcs - Manure sent off-site'!E19</f>
        <v>7.8571428571428577E-3</v>
      </c>
    </row>
    <row r="568" spans="4:10" x14ac:dyDescent="0.25">
      <c r="D568" s="171" t="str">
        <v>E_ad</v>
      </c>
      <c r="E568" s="175" t="str">
        <v>nitrous oxide emissions from atmospheric deposition of manure to soils</v>
      </c>
      <c r="F568" s="209"/>
      <c r="G568" s="170"/>
      <c r="H568" s="171" t="str">
        <v>t N2O</v>
      </c>
      <c r="I568" s="173" t="str">
        <v>Calculated</v>
      </c>
      <c r="J568" s="171">
        <f>'Calcs - Manure sent off-site'!E55</f>
        <v>2.31E-3</v>
      </c>
    </row>
    <row r="569" spans="4:10" x14ac:dyDescent="0.25">
      <c r="D569" s="171" t="str">
        <v>E_leach</v>
      </c>
      <c r="E569" s="175" t="str">
        <v>nitrous oxide emissions from nitrogen leaching and runoff of manure to soils</v>
      </c>
      <c r="F569" s="209"/>
      <c r="G569" s="170"/>
      <c r="H569" s="171" t="str">
        <v>t N2O</v>
      </c>
      <c r="I569" s="173" t="str">
        <v>Calculated</v>
      </c>
      <c r="J569" s="171">
        <f>'Calcs - Manure sent off-site'!E90</f>
        <v>4.1485714285714277E-3</v>
      </c>
    </row>
    <row r="571" spans="4:10" ht="20.25" x14ac:dyDescent="0.25">
      <c r="D571" s="183" t="s">
        <v>751</v>
      </c>
      <c r="E571" s="181" cm="1">
        <f t="array" ref="E571">Scope3_Equations.VEERG_15_13_1_1__1_EmissionsFromManureSentOffSite(J567,J568,J569)</f>
        <v>1.4315714285714286E-2</v>
      </c>
      <c r="F571" s="182" t="str">
        <f>$E$565</f>
        <v>t N2O</v>
      </c>
    </row>
    <row r="573" spans="4:10" x14ac:dyDescent="0.25">
      <c r="D573" s="210" t="str" cm="1">
        <f t="array" ref="D573:E574">Common_Equations.Common_ConvertN2OToCO2e_Arguments()</f>
        <v>EN2O</v>
      </c>
      <c r="E573" s="211" t="str">
        <v>Nitrous oxide emissions (t N2O)</v>
      </c>
      <c r="F573" s="212"/>
      <c r="G573" s="50">
        <f>E571</f>
        <v>1.4315714285714286E-2</v>
      </c>
    </row>
    <row r="574" spans="4:10" x14ac:dyDescent="0.25">
      <c r="D574" s="210" t="str">
        <v>GWPN2O</v>
      </c>
      <c r="E574" s="211" t="str">
        <v>Global warming potential for nitrous oxide (t CO2-e / t N2O)</v>
      </c>
      <c r="F574" s="212"/>
      <c r="G574" s="50">
        <f>Common_InputFunctions.Utility_LookupValueInTableNumber("N2O",Table_GWPData[Gas],Table_GWPData[CO2-e factor])</f>
        <v>265</v>
      </c>
    </row>
    <row r="576" spans="4:10" ht="18.75" x14ac:dyDescent="0.25">
      <c r="D576" s="101" t="s">
        <v>756</v>
      </c>
      <c r="E576" s="101" cm="1">
        <f t="array" ref="E576">Common_Equations.Common_ConvertN2OToCO2e(G573,G574)</f>
        <v>3.7936642857142857</v>
      </c>
      <c r="F576" s="179" t="str" cm="1">
        <f t="array" ref="F576">Common_Equations.Common_ConvertN2OToCO2e_Unit()</f>
        <v>t CO2e</v>
      </c>
    </row>
    <row r="579" spans="3:41" x14ac:dyDescent="0.25">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row>
    <row r="580" spans="3:41" ht="23.25" x14ac:dyDescent="0.25">
      <c r="D580" s="9" t="str" cm="1">
        <f t="array" ref="D580">Scope3_Equations.VEERG_15_13_1_3__1_EmissionsFromSolidWasteTreatmentFacility_Title()</f>
        <v>Emissions from solid waste sent to a treatment facility</v>
      </c>
    </row>
    <row r="581" spans="3:41" x14ac:dyDescent="0.25">
      <c r="D581" s="11" t="str" cm="1">
        <f t="array" ref="D581">Scope3_Equations.VEERG_15_13_1_3__1_EmissionsFromSolidWasteTreatmentFacility_Source()</f>
        <v>VEERG 2026: 15.13.1.3</v>
      </c>
    </row>
    <row r="583" spans="3:41" x14ac:dyDescent="0.25">
      <c r="D583" s="28" t="s">
        <v>636</v>
      </c>
      <c r="E583" s="8" t="str" cm="1">
        <f t="array" ref="E583">Scope3_Equations.VEERG_15_13_1_3__1_EmissionsFromSolidWasteTreatmentFacility_Variable()</f>
        <v>E</v>
      </c>
    </row>
    <row r="584" spans="3:41" x14ac:dyDescent="0.25">
      <c r="D584" s="28" t="s">
        <v>97</v>
      </c>
      <c r="E584" s="13" t="str" cm="1">
        <f t="array" ref="E584">Scope3_Equations.VEERG_15_13_1_3__1_EmissionsFromSolidWasteTreatmentFacility_Unit()</f>
        <v>t CO2e</v>
      </c>
    </row>
    <row r="586" spans="3:41" ht="20.25" x14ac:dyDescent="0.25">
      <c r="D586" s="183" t="s">
        <v>751</v>
      </c>
      <c r="E586" s="181">
        <f>'10.1.1-2 Solid waste treatment'!E136</f>
        <v>330.84210000000002</v>
      </c>
      <c r="F586" s="182" t="str">
        <f>E584</f>
        <v>t CO2e</v>
      </c>
    </row>
    <row r="589" spans="3:41" x14ac:dyDescent="0.25">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row>
    <row r="590" spans="3:41" ht="23.25" x14ac:dyDescent="0.25">
      <c r="D590" s="9" t="str" cm="1">
        <f t="array" ref="D590">Scope3_Equations.VEERG_15_14_1_1__1_EmbeddedEmissionsFromUpstreamFreight_Title()</f>
        <v>Embedded emissions from upstream freight</v>
      </c>
    </row>
    <row r="591" spans="3:41" x14ac:dyDescent="0.25">
      <c r="D591" s="11" t="str" cm="1">
        <f t="array" ref="D591">Scope3_Equations.VEERG_15_14_1_1__1_EmbeddedEmissionsFromUpstreamFreight_Source()</f>
        <v>VEERG 2026: 15.14.1.1, Equation (1)</v>
      </c>
    </row>
    <row r="592" spans="3:41" x14ac:dyDescent="0.25">
      <c r="D592" s="176" t="s">
        <v>635</v>
      </c>
      <c r="E592" s="176" t="str" cm="1">
        <f t="array" aca="1" ref="E592" ca="1">Common_InputFunctions.Utility_DisplayFunctionName(J607)</f>
        <v>=Scope3_Equations.VEERG_15_14_1_1__1_EmbeddedEmissionsFromUpstreamFreight</v>
      </c>
    </row>
    <row r="596" spans="4:13" x14ac:dyDescent="0.25">
      <c r="D596" s="28" t="s">
        <v>636</v>
      </c>
      <c r="E596" s="8" t="str" cm="1">
        <f t="array" ref="E596">Scope3_Equations.VEERG_15_14_1_1__1_EmbeddedEmissionsFromUpstreamFreight_Variable()</f>
        <v>E</v>
      </c>
    </row>
    <row r="597" spans="4:13" x14ac:dyDescent="0.25">
      <c r="D597" s="28" t="s">
        <v>97</v>
      </c>
      <c r="E597" s="13" t="str" cm="1">
        <f t="array" ref="E597">Scope3_Equations.VEERG_15_14_1_1__1_EmbeddedEmissionsFromUpstreamFreight_Unit()</f>
        <v>t CO2e</v>
      </c>
    </row>
    <row r="599" spans="4:13" x14ac:dyDescent="0.25">
      <c r="D599" s="171" t="str" cm="1">
        <f t="array" ref="D599:E602">_xlfn.CHOOSECOLS(Scope3_Equations.VEERG_15_14_1_1__1_EmbeddedEmissionsFromUpstreamFreight_Arguments(),1,2)</f>
        <v>W_f</v>
      </c>
      <c r="E599" s="175" t="str">
        <v>total mass of goods transported per freight type f</v>
      </c>
      <c r="F599" s="170"/>
      <c r="G599" s="171" t="str" cm="1">
        <f t="array" ref="G599:H602">_xlfn.CHOOSECOLS(Scope3_Equations.VEERG_15_14_1_1__1_EmbeddedEmissionsFromUpstreamFreight_Arguments(),3,4)</f>
        <v>t</v>
      </c>
      <c r="H599" s="172" t="str">
        <v>Input</v>
      </c>
    </row>
    <row r="600" spans="4:13" x14ac:dyDescent="0.25">
      <c r="D600" s="171" t="str">
        <v>D_f</v>
      </c>
      <c r="E600" s="175" t="str">
        <v>total distance transported per freight type f</v>
      </c>
      <c r="F600" s="170"/>
      <c r="G600" s="171" t="str">
        <v>km</v>
      </c>
      <c r="H600" s="172" t="str">
        <v>Input</v>
      </c>
    </row>
    <row r="601" spans="4:13" x14ac:dyDescent="0.25">
      <c r="D601" s="171" t="str">
        <v>EF_f</v>
      </c>
      <c r="E601" s="175" t="str">
        <v>emission factor for freight type f</v>
      </c>
      <c r="F601" s="170"/>
      <c r="G601" s="171" t="str">
        <v>t CO2e/(t km)</v>
      </c>
      <c r="H601" s="173" t="str">
        <v>Constant</v>
      </c>
    </row>
    <row r="602" spans="4:13" x14ac:dyDescent="0.25">
      <c r="D602" s="171" t="str">
        <v>f</v>
      </c>
      <c r="E602" s="175" t="str">
        <v>freight type</v>
      </c>
      <c r="F602" s="170"/>
      <c r="G602" s="171" t="str">
        <v/>
      </c>
      <c r="H602" s="172" t="str">
        <v>Input</v>
      </c>
    </row>
    <row r="604" spans="4:13" ht="18.75" x14ac:dyDescent="0.25">
      <c r="D604" s="148" t="s">
        <v>821</v>
      </c>
    </row>
    <row r="606" spans="4:13" ht="17.25" x14ac:dyDescent="0.25">
      <c r="D606" s="47" t="s">
        <v>822</v>
      </c>
      <c r="E606" s="47" t="s">
        <v>834</v>
      </c>
      <c r="F606" s="47" t="s">
        <v>835</v>
      </c>
      <c r="G606" s="60" t="s">
        <v>836</v>
      </c>
      <c r="H606" s="60" t="s">
        <v>642</v>
      </c>
      <c r="I606" s="47" t="s">
        <v>678</v>
      </c>
      <c r="J606" s="60" t="s">
        <v>644</v>
      </c>
      <c r="K606" s="47" t="s">
        <v>638</v>
      </c>
      <c r="L606" s="47" t="s">
        <v>639</v>
      </c>
      <c r="M606" s="47" t="s">
        <v>640</v>
      </c>
    </row>
    <row r="607" spans="4:13" x14ac:dyDescent="0.25">
      <c r="D607" s="50" t="str" cm="1">
        <f t="array" ref="D607:D616">IFERROR(INDEX(Table_Input_FreightIncoming[Route name], _xlfn.SEQUENCE(10)), "")</f>
        <v>Melbourne depot to farm depot weekly</v>
      </c>
      <c r="E607" s="50" cm="1">
        <f t="array" ref="E607:E616">IFERROR(INDEX(Table_Input_FreightIncoming[Average weight of freight per trip (t)], _xlfn.SEQUENCE(10)), "")</f>
        <v>10</v>
      </c>
      <c r="F607" s="50" cm="1">
        <f t="array" ref="F607:F616">IFERROR(INDEX(Table_Input_FreightIncoming[Route distance (km)], _xlfn.SEQUENCE(10))*INDEX(Table_Input_FreightIncoming[Number of trips taken], _xlfn.SEQUENCE(10)), "")</f>
        <v>51272</v>
      </c>
      <c r="G607" s="50" t="s">
        <v>837</v>
      </c>
      <c r="H607" s="50" t="s">
        <v>837</v>
      </c>
      <c r="I607" s="69">
        <v>10</v>
      </c>
      <c r="J607" s="50" cm="1">
        <f t="array" ref="J607">Scope3_Equations.VEERG_15_14_1_1__1_EmbeddedEmissionsFromUpstreamFreight(E607,F607,I607)</f>
        <v>5127200</v>
      </c>
      <c r="K607" s="85"/>
      <c r="L607" s="48"/>
      <c r="M607" s="85"/>
    </row>
    <row r="608" spans="4:13" x14ac:dyDescent="0.25">
      <c r="D608" s="50" t="str">
        <v>Fertiliser supplier to farm</v>
      </c>
      <c r="E608" s="50">
        <v>10</v>
      </c>
      <c r="F608" s="50">
        <v>390</v>
      </c>
      <c r="G608" s="50" t="s">
        <v>837</v>
      </c>
      <c r="H608" s="50" t="s">
        <v>837</v>
      </c>
      <c r="I608" s="69">
        <v>5</v>
      </c>
      <c r="J608" s="50" cm="1">
        <f t="array" ref="J608">Scope3_Equations.VEERG_15_14_1_1__1_EmbeddedEmissionsFromUpstreamFreight(E608,F608,I608)</f>
        <v>19500</v>
      </c>
      <c r="K608" s="85"/>
      <c r="L608" s="48"/>
      <c r="M608" s="85"/>
    </row>
    <row r="609" spans="4:13" x14ac:dyDescent="0.25">
      <c r="D609" s="50">
        <v>0</v>
      </c>
      <c r="E609" s="50">
        <v>0</v>
      </c>
      <c r="F609" s="50">
        <v>0</v>
      </c>
      <c r="G609" s="50" t="s">
        <v>837</v>
      </c>
      <c r="H609" s="50" t="s">
        <v>837</v>
      </c>
      <c r="I609" s="69"/>
      <c r="J609" s="50" cm="1">
        <f t="array" ref="J609">Scope3_Equations.VEERG_15_14_1_1__1_EmbeddedEmissionsFromUpstreamFreight(E609,F609,I609)</f>
        <v>0</v>
      </c>
      <c r="K609" s="85"/>
      <c r="L609" s="48"/>
      <c r="M609" s="85"/>
    </row>
    <row r="610" spans="4:13" x14ac:dyDescent="0.25">
      <c r="D610" s="50">
        <v>0</v>
      </c>
      <c r="E610" s="50">
        <v>0</v>
      </c>
      <c r="F610" s="50">
        <v>0</v>
      </c>
      <c r="G610" s="50" t="s">
        <v>837</v>
      </c>
      <c r="H610" s="50" t="s">
        <v>837</v>
      </c>
      <c r="I610" s="69"/>
      <c r="J610" s="50" cm="1">
        <f t="array" ref="J610">Scope3_Equations.VEERG_15_14_1_1__1_EmbeddedEmissionsFromUpstreamFreight(E610,F610,I610)</f>
        <v>0</v>
      </c>
      <c r="K610" s="85"/>
      <c r="L610" s="48"/>
      <c r="M610" s="85"/>
    </row>
    <row r="611" spans="4:13" x14ac:dyDescent="0.25">
      <c r="D611" s="50">
        <v>0</v>
      </c>
      <c r="E611" s="50">
        <v>0</v>
      </c>
      <c r="F611" s="50">
        <v>0</v>
      </c>
      <c r="G611" s="50" t="s">
        <v>837</v>
      </c>
      <c r="H611" s="50" t="s">
        <v>837</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837</v>
      </c>
      <c r="H612" s="50" t="s">
        <v>837</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837</v>
      </c>
      <c r="H613" s="50" t="s">
        <v>837</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837</v>
      </c>
      <c r="H614" s="50" t="s">
        <v>837</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837</v>
      </c>
      <c r="H615" s="50" t="s">
        <v>837</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837</v>
      </c>
      <c r="H616" s="50" t="s">
        <v>837</v>
      </c>
      <c r="I616" s="69"/>
      <c r="J616" s="50" cm="1">
        <f t="array" ref="J616">Scope3_Equations.VEERG_15_14_1_1__1_EmbeddedEmissionsFromUpstreamFreight(E616,F616,I616)</f>
        <v>0</v>
      </c>
      <c r="K616" s="85"/>
      <c r="L616" s="48"/>
      <c r="M616" s="85"/>
    </row>
    <row r="618" spans="4:13" x14ac:dyDescent="0.25">
      <c r="D618" s="178" t="s">
        <v>840</v>
      </c>
      <c r="E618" s="101" t="s">
        <v>837</v>
      </c>
      <c r="F618" s="179" t="str">
        <f>$E$104</f>
        <v>t CO2e</v>
      </c>
    </row>
    <row r="619" spans="4:13" x14ac:dyDescent="0.25">
      <c r="D619" s="178" t="s">
        <v>841</v>
      </c>
      <c r="E619" s="101">
        <f>SUM(J607:J616)</f>
        <v>5146700</v>
      </c>
      <c r="F619" s="179" t="str">
        <f>$E$104</f>
        <v>t CO2e</v>
      </c>
    </row>
    <row r="622" spans="4:13" ht="18.75" x14ac:dyDescent="0.25">
      <c r="D622" s="148" t="s">
        <v>829</v>
      </c>
    </row>
    <row r="624" spans="4:13" ht="17.25" x14ac:dyDescent="0.25">
      <c r="D624" s="47" t="s">
        <v>822</v>
      </c>
      <c r="E624" s="47" t="s">
        <v>834</v>
      </c>
      <c r="F624" s="47" t="s">
        <v>835</v>
      </c>
      <c r="G624" s="60" t="s">
        <v>836</v>
      </c>
      <c r="H624" s="60" t="s">
        <v>642</v>
      </c>
      <c r="I624" s="47" t="s">
        <v>678</v>
      </c>
      <c r="J624" s="60" t="s">
        <v>644</v>
      </c>
      <c r="K624" s="47" t="s">
        <v>638</v>
      </c>
      <c r="L624" s="47" t="s">
        <v>639</v>
      </c>
      <c r="M624" s="47" t="s">
        <v>640</v>
      </c>
    </row>
    <row r="625" spans="4:13" x14ac:dyDescent="0.25">
      <c r="D625" s="50" t="str" cm="1">
        <f t="array" ref="D625:D634">IFERROR(INDEX(Table_Input_FreightOutgoing[Route name], _xlfn.SEQUENCE(10)), "")</f>
        <v>Farm to bulk handler</v>
      </c>
      <c r="E625" s="50" cm="1">
        <f t="array" ref="E625:E634">IFERROR(INDEX(Table_Input_FreightOutgoing[Average weight of freight per trip (t)], _xlfn.SEQUENCE(10)), "")</f>
        <v>20</v>
      </c>
      <c r="F625" s="50" cm="1">
        <f t="array" ref="F625:F634">IFERROR(INDEX(Table_Input_FreightOutgoing[Route distance (km)], _xlfn.SEQUENCE(10))*INDEX(Table_Input_FreightOutgoing[Number of trips taken], _xlfn.SEQUENCE(10)), "")</f>
        <v>3380</v>
      </c>
      <c r="G625" s="50" t="s">
        <v>837</v>
      </c>
      <c r="H625" s="50" t="s">
        <v>837</v>
      </c>
      <c r="I625" s="69">
        <v>6.4</v>
      </c>
      <c r="J625" s="50" cm="1">
        <f t="array" ref="J625">Scope3_Equations.VEERG_15_14_1_1__1_EmbeddedEmissionsFromUpstreamFreight(E625,F625,I625)</f>
        <v>432640</v>
      </c>
      <c r="K625" s="85"/>
      <c r="L625" s="48"/>
      <c r="M625" s="85"/>
    </row>
    <row r="626" spans="4:13" x14ac:dyDescent="0.25">
      <c r="D626" s="50">
        <v>0</v>
      </c>
      <c r="E626" s="50">
        <v>0</v>
      </c>
      <c r="F626" s="50">
        <v>0</v>
      </c>
      <c r="G626" s="50" t="s">
        <v>837</v>
      </c>
      <c r="H626" s="50" t="s">
        <v>837</v>
      </c>
      <c r="I626" s="69"/>
      <c r="J626" s="50" cm="1">
        <f t="array" ref="J626">Scope3_Equations.VEERG_15_14_1_1__1_EmbeddedEmissionsFromUpstreamFreight(E626,F626,I626)</f>
        <v>0</v>
      </c>
      <c r="K626" s="85"/>
      <c r="L626" s="48"/>
      <c r="M626" s="85"/>
    </row>
    <row r="627" spans="4:13" x14ac:dyDescent="0.25">
      <c r="D627" s="50">
        <v>0</v>
      </c>
      <c r="E627" s="50">
        <v>0</v>
      </c>
      <c r="F627" s="50">
        <v>0</v>
      </c>
      <c r="G627" s="50" t="s">
        <v>837</v>
      </c>
      <c r="H627" s="50" t="s">
        <v>837</v>
      </c>
      <c r="I627" s="69"/>
      <c r="J627" s="50" cm="1">
        <f t="array" ref="J627">Scope3_Equations.VEERG_15_14_1_1__1_EmbeddedEmissionsFromUpstreamFreight(E627,F627,I627)</f>
        <v>0</v>
      </c>
      <c r="K627" s="85"/>
      <c r="L627" s="48"/>
      <c r="M627" s="85"/>
    </row>
    <row r="628" spans="4:13" x14ac:dyDescent="0.25">
      <c r="D628" s="50">
        <v>0</v>
      </c>
      <c r="E628" s="50">
        <v>0</v>
      </c>
      <c r="F628" s="50">
        <v>0</v>
      </c>
      <c r="G628" s="50" t="s">
        <v>837</v>
      </c>
      <c r="H628" s="50" t="s">
        <v>837</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837</v>
      </c>
      <c r="H629" s="50" t="s">
        <v>837</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837</v>
      </c>
      <c r="H630" s="50" t="s">
        <v>837</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837</v>
      </c>
      <c r="H631" s="50" t="s">
        <v>837</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837</v>
      </c>
      <c r="H632" s="50" t="s">
        <v>837</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837</v>
      </c>
      <c r="H633" s="50" t="s">
        <v>837</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837</v>
      </c>
      <c r="H634" s="50" t="s">
        <v>837</v>
      </c>
      <c r="I634" s="69"/>
      <c r="J634" s="50" cm="1">
        <f t="array" ref="J634">Scope3_Equations.VEERG_15_14_1_1__1_EmbeddedEmissionsFromUpstreamFreight(E634,F634,I634)</f>
        <v>0</v>
      </c>
      <c r="K634" s="85"/>
      <c r="L634" s="48"/>
      <c r="M634" s="85"/>
    </row>
    <row r="636" spans="4:13" x14ac:dyDescent="0.25">
      <c r="D636" s="178" t="s">
        <v>838</v>
      </c>
      <c r="E636" s="101" t="s">
        <v>837</v>
      </c>
      <c r="F636" s="179" t="str">
        <f>$E$104</f>
        <v>t CO2e</v>
      </c>
    </row>
    <row r="637" spans="4:13" x14ac:dyDescent="0.25">
      <c r="D637" s="178" t="s">
        <v>839</v>
      </c>
      <c r="E637" s="101">
        <f>SUM(J625:J634)</f>
        <v>432640</v>
      </c>
      <c r="F637" s="179" t="str">
        <f>$E$104</f>
        <v>t CO2e</v>
      </c>
    </row>
    <row r="639" spans="4:13" ht="20.25" x14ac:dyDescent="0.25">
      <c r="D639" s="180" t="s">
        <v>642</v>
      </c>
      <c r="E639" s="181" t="s">
        <v>837</v>
      </c>
      <c r="F639" s="182" t="str">
        <f>$E$104</f>
        <v>t CO2e</v>
      </c>
    </row>
    <row r="640" spans="4:13" ht="20.25" x14ac:dyDescent="0.25">
      <c r="D640" s="180" t="s">
        <v>644</v>
      </c>
      <c r="E640" s="181">
        <f>E619+E637</f>
        <v>5579340</v>
      </c>
      <c r="F640"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7:L616 L625:L634"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zoomScaleNormal="100" workbookViewId="0">
      <selection activeCell="F115" sqref="F115"/>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801</v>
      </c>
    </row>
    <row r="2" spans="1:12" s="2" customFormat="1" ht="20.100000000000001" customHeight="1" x14ac:dyDescent="0.25"/>
    <row r="3" spans="1:12" ht="20.100000000000001" customHeight="1" x14ac:dyDescent="0.25">
      <c r="A3" s="16" t="str">
        <f>HYPERLINK("#'Home'!A1", "Home")</f>
        <v>Home</v>
      </c>
      <c r="C3" s="5"/>
      <c r="D3" s="5" t="s">
        <v>415</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635</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636</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97</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HYPERLINK(Common_InputFunctions.Utility_SourceHyperlink($D$42),$D$42)</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HYPERLINK(Common_InputFunctions.Utility_SourceHyperlink($D$42),$D$42)</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HYPERLINK(Common_InputFunctions.Utility_SourceHyperlink($D$42),$D$42)</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HYPERLINK(Common_InputFunctions.Utility_SourceHyperlink($D$42),$D$42)</f>
        <v>Table_V_w_t_offsite</v>
      </c>
    </row>
    <row r="17" spans="1:9" ht="20.100000000000001" customHeight="1" x14ac:dyDescent="0.25"/>
    <row r="18" spans="1:9" ht="20.100000000000001" customHeight="1" x14ac:dyDescent="0.25">
      <c r="D18" s="58" t="s">
        <v>802</v>
      </c>
    </row>
    <row r="19" spans="1:9" ht="20.100000000000001" customHeight="1" x14ac:dyDescent="0.25">
      <c r="D19" s="59" t="s">
        <v>803</v>
      </c>
    </row>
    <row r="20" spans="1:9" ht="20.100000000000001" customHeight="1" x14ac:dyDescent="0.25">
      <c r="A20" s="16"/>
      <c r="D20" s="47" t="s">
        <v>804</v>
      </c>
      <c r="E20" s="47" t="s">
        <v>805</v>
      </c>
      <c r="F20" s="47"/>
      <c r="G20" s="47" t="s">
        <v>806</v>
      </c>
      <c r="H20" s="60" t="s">
        <v>807</v>
      </c>
      <c r="I20" s="60" t="s">
        <v>808</v>
      </c>
    </row>
    <row r="21" spans="1:9" ht="20.100000000000001" customHeight="1" x14ac:dyDescent="0.25">
      <c r="A21" s="16"/>
      <c r="D21" s="171" t="str" cm="1">
        <f t="array" ref="D21:D40">Table_SourceData_WasteSolid_WasteTreatmentEFs[Treatment type t]</f>
        <v>Landfill</v>
      </c>
      <c r="E21" s="175" t="str" cm="1">
        <f t="array" ref="E21:E40">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0</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0</v>
      </c>
    </row>
    <row r="23" spans="1:9" ht="20.100000000000001" customHeight="1" x14ac:dyDescent="0.25">
      <c r="A23" s="16"/>
      <c r="D23" s="171" t="str">
        <v>Landfill</v>
      </c>
      <c r="E23" s="175" t="str">
        <v>Green waste (including crop residues or prunnings)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50" cm="1">
        <f t="array" ref="H23">Common_InputFunctions.Utility_LookupValueInTableNumber(E23,Table_SourceData_WasteSolid_VolumeToMassConversion[Waste type w],Table_SourceData_WasteSolid_VolumeToMassConversion[VTMw])</f>
        <v>0</v>
      </c>
      <c r="I23" s="50" cm="1">
        <f t="array" ref="I23">WasteSolid_Equations.VEERG_10_1_1_1__2_MassOfWasteFromVolume(G23,H23)</f>
        <v>0</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50" cm="1">
        <f t="array" ref="H32">Common_InputFunctions.Utility_LookupValueInTableNumber(E32,Table_SourceData_WasteSolid_VolumeToMassConversion[Waste type w],Table_SourceData_WasteSolid_VolumeToMassConversion[VTMw])</f>
        <v>0</v>
      </c>
      <c r="I32" s="50" cm="1">
        <f t="array" ref="I32">WasteSolid_Equations.VEERG_10_1_1_1__2_MassOfWasteFromVolume(G32,H32)</f>
        <v>0</v>
      </c>
    </row>
    <row r="33" spans="4:9" ht="20.100000000000001" customHeight="1" x14ac:dyDescent="0.25">
      <c r="D33" s="171" t="str">
        <v>Incineration</v>
      </c>
      <c r="E33" s="175" t="str">
        <v>Paper and cardboard</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0.09</v>
      </c>
      <c r="I33" s="50" cm="1">
        <f t="array" ref="I33">WasteSolid_Equations.VEERG_10_1_1_1__2_MassOfWasteFromVolume(G33,H33)</f>
        <v>0</v>
      </c>
    </row>
    <row r="34" spans="4:9" ht="20.100000000000001" customHeight="1" x14ac:dyDescent="0.25">
      <c r="D34" s="171" t="str">
        <v>Incineration</v>
      </c>
      <c r="E34" s="175" t="str">
        <v>Textiles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50" cm="1">
        <f t="array" ref="H34">Common_InputFunctions.Utility_LookupValueInTableNumber(E34,Table_SourceData_WasteSolid_VolumeToMassConversion[Waste type w],Table_SourceData_WasteSolid_VolumeToMassConversion[VTMw])</f>
        <v>0.14000000000000001</v>
      </c>
      <c r="I34" s="50" cm="1">
        <f t="array" ref="I34">WasteSolid_Equations.VEERG_10_1_1_1__2_MassOfWasteFromVolume(G34,H34)</f>
        <v>0</v>
      </c>
    </row>
    <row r="35" spans="4:9" ht="20.100000000000001" customHeight="1" x14ac:dyDescent="0.25">
      <c r="D35" s="171" t="str">
        <v>Incineration</v>
      </c>
      <c r="E35" s="175" t="str">
        <v>Rubber and leather</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0.14000000000000001</v>
      </c>
      <c r="I35" s="50" cm="1">
        <f t="array" ref="I35">WasteSolid_Equations.VEERG_10_1_1_1__2_MassOfWasteFromVolume(G35,H35)</f>
        <v>0</v>
      </c>
    </row>
    <row r="36" spans="4:9" ht="20.100000000000001" customHeight="1" x14ac:dyDescent="0.25">
      <c r="D36" s="171" t="str">
        <v>Incineration</v>
      </c>
      <c r="E36" s="175" t="str">
        <v>Inert Waste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v>
      </c>
      <c r="I36" s="50" cm="1">
        <f t="array" ref="I36">WasteSolid_Equations.VEERG_10_1_1_1__2_MassOfWasteFromVolume(G36,H36)</f>
        <v>0</v>
      </c>
    </row>
    <row r="37" spans="4:9" ht="20.100000000000001" customHeight="1" x14ac:dyDescent="0.25">
      <c r="D37" s="171" t="str">
        <v>Incineration</v>
      </c>
      <c r="E37" s="175" t="str">
        <v>Municipal Solid Waste</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50" cm="1">
        <f t="array" ref="H37">Common_InputFunctions.Utility_LookupValueInTableNumber(E37,Table_SourceData_WasteSolid_VolumeToMassConversion[Waste type w],Table_SourceData_WasteSolid_VolumeToMassConversion[VTMw])</f>
        <v>0.36</v>
      </c>
      <c r="I37" s="50" cm="1">
        <f t="array" ref="I37">WasteSolid_Equations.VEERG_10_1_1_1__2_MassOfWasteFromVolume(G37,H37)</f>
        <v>0</v>
      </c>
    </row>
    <row r="38" spans="4:9" ht="20.100000000000001" customHeight="1" x14ac:dyDescent="0.25">
      <c r="D38" s="171" t="str">
        <v>Incineration</v>
      </c>
      <c r="E38" s="175" t="str">
        <v>Industrial Waste</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v>
      </c>
      <c r="I38" s="50" cm="1">
        <f t="array" ref="I38">WasteSolid_Equations.VEERG_10_1_1_1__2_MassOfWasteFromVolume(G38,H38)</f>
        <v>0</v>
      </c>
    </row>
    <row r="39" spans="4:9" ht="20.100000000000001" customHeight="1" x14ac:dyDescent="0.25">
      <c r="D39" s="171" t="str">
        <v>Composting</v>
      </c>
      <c r="E39" s="175" t="str">
        <v>All organic waste</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v>
      </c>
      <c r="I39" s="50" cm="1">
        <f t="array" ref="I39">WasteSolid_Equations.VEERG_10_1_1_1__2_MassOfWasteFromVolume(G39,H39)</f>
        <v>0</v>
      </c>
    </row>
    <row r="40" spans="4:9" ht="20.100000000000001" customHeight="1" x14ac:dyDescent="0.25">
      <c r="D40" s="171" t="str">
        <v>Anaerobic digestion</v>
      </c>
      <c r="E40" s="175" t="str">
        <v>All organic waste</v>
      </c>
      <c r="F40" s="213"/>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v>
      </c>
      <c r="I40" s="50" cm="1">
        <f t="array" ref="I40">WasteSolid_Equations.VEERG_10_1_1_1__2_MassOfWasteFromVolume(G40,H40)</f>
        <v>0</v>
      </c>
    </row>
    <row r="41" spans="4:9" ht="20.100000000000001" customHeight="1" x14ac:dyDescent="0.25"/>
    <row r="42" spans="4:9" ht="20.100000000000001" customHeight="1" x14ac:dyDescent="0.25">
      <c r="D42" s="58" t="s">
        <v>809</v>
      </c>
    </row>
    <row r="43" spans="4:9" ht="20.100000000000001" customHeight="1" x14ac:dyDescent="0.25">
      <c r="D43" s="59" t="s">
        <v>810</v>
      </c>
    </row>
    <row r="44" spans="4:9" ht="20.100000000000001" customHeight="1" x14ac:dyDescent="0.25">
      <c r="D44" s="47" t="s">
        <v>804</v>
      </c>
      <c r="E44" s="47" t="s">
        <v>805</v>
      </c>
      <c r="F44" s="47"/>
      <c r="G44" s="47" t="s">
        <v>806</v>
      </c>
      <c r="H44" s="60" t="s">
        <v>807</v>
      </c>
      <c r="I44" s="60" t="s">
        <v>808</v>
      </c>
    </row>
    <row r="45" spans="4:9" ht="20.100000000000001" customHeight="1" x14ac:dyDescent="0.25">
      <c r="D45" s="171" t="str" cm="1">
        <f t="array" ref="D45:D64">Table_SourceData_WasteSolid_WasteTreatmentEFs[Treatment type t]</f>
        <v>Landfill</v>
      </c>
      <c r="E45" s="175" t="str" cm="1">
        <f t="array" ref="E45:E64">Table_SourceData_WasteSolid_WasteTreatmentEFs[Waste type w]</f>
        <v>Food waste (including animal carcasses, spoiled animal feed or crop)</v>
      </c>
      <c r="F45" s="213"/>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100</v>
      </c>
      <c r="H45" s="50" cm="1">
        <f t="array" ref="H45">Common_InputFunctions.Utility_LookupValueInTableNumber(E45,Table_SourceData_WasteSolid_VolumeToMassConversion[Waste type w],Table_SourceData_WasteSolid_VolumeToMassConversion[VTMw])</f>
        <v>0.5</v>
      </c>
      <c r="I45" s="50" cm="1">
        <f t="array" ref="I45">WasteSolid_Equations.VEERG_10_1_1_1__2_MassOfWasteFromVolume(G45,H45)</f>
        <v>50</v>
      </c>
    </row>
    <row r="46" spans="4:9" ht="20.100000000000001" customHeight="1" x14ac:dyDescent="0.25">
      <c r="D46" s="171" t="str">
        <v>Landfill</v>
      </c>
      <c r="E46" s="175" t="str">
        <v>Paper and cardboard</v>
      </c>
      <c r="F46" s="213"/>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0</v>
      </c>
      <c r="H46" s="50" cm="1">
        <f t="array" ref="H46">Common_InputFunctions.Utility_LookupValueInTableNumber(E46,Table_SourceData_WasteSolid_VolumeToMassConversion[Waste type w],Table_SourceData_WasteSolid_VolumeToMassConversion[VTMw])</f>
        <v>0.09</v>
      </c>
      <c r="I46" s="50" cm="1">
        <f t="array" ref="I46">WasteSolid_Equations.VEERG_10_1_1_1__2_MassOfWasteFromVolume(G46,H46)</f>
        <v>0</v>
      </c>
    </row>
    <row r="47" spans="4:9" ht="20.100000000000001" customHeight="1" x14ac:dyDescent="0.25">
      <c r="D47" s="171" t="str">
        <v>Landfill</v>
      </c>
      <c r="E47" s="175" t="str">
        <v>Green waste (including crop residues or prunnings)</v>
      </c>
      <c r="F47" s="213"/>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50" cm="1">
        <f t="array" ref="H47">Common_InputFunctions.Utility_LookupValueInTableNumber(E47,Table_SourceData_WasteSolid_VolumeToMassConversion[Waste type w],Table_SourceData_WasteSolid_VolumeToMassConversion[VTMw])</f>
        <v>0</v>
      </c>
      <c r="I47" s="50" cm="1">
        <f t="array" ref="I47">WasteSolid_Equations.VEERG_10_1_1_1__2_MassOfWasteFromVolume(G47,H47)</f>
        <v>0</v>
      </c>
    </row>
    <row r="48" spans="4:9" ht="20.100000000000001" customHeight="1" x14ac:dyDescent="0.25">
      <c r="D48" s="171" t="str">
        <v>Landfill</v>
      </c>
      <c r="E48" s="175" t="str">
        <v>Wood</v>
      </c>
      <c r="F48" s="213"/>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50" cm="1">
        <f t="array" ref="H48">Common_InputFunctions.Utility_LookupValueInTableNumber(E48,Table_SourceData_WasteSolid_VolumeToMassConversion[Waste type w],Table_SourceData_WasteSolid_VolumeToMassConversion[VTMw])</f>
        <v>0.15</v>
      </c>
      <c r="I48" s="50" cm="1">
        <f t="array" ref="I48">WasteSolid_Equations.VEERG_10_1_1_1__2_MassOfWasteFromVolume(G48,H48)</f>
        <v>0</v>
      </c>
    </row>
    <row r="49" spans="4:9" ht="20.100000000000001" customHeight="1" x14ac:dyDescent="0.25">
      <c r="D49" s="171" t="str">
        <v>Landfill</v>
      </c>
      <c r="E49" s="175" t="str">
        <v>Textiles</v>
      </c>
      <c r="F49" s="213"/>
      <c r="G49" s="50"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50</v>
      </c>
      <c r="H49" s="50" cm="1">
        <f t="array" ref="H49">Common_InputFunctions.Utility_LookupValueInTableNumber(E49,Table_SourceData_WasteSolid_VolumeToMassConversion[Waste type w],Table_SourceData_WasteSolid_VolumeToMassConversion[VTMw])</f>
        <v>0.14000000000000001</v>
      </c>
      <c r="I49" s="50" cm="1">
        <f t="array" ref="I49">WasteSolid_Equations.VEERG_10_1_1_1__2_MassOfWasteFromVolume(G49,H49)</f>
        <v>7.0000000000000009</v>
      </c>
    </row>
    <row r="50" spans="4:9" ht="20.100000000000001" customHeight="1" x14ac:dyDescent="0.25">
      <c r="D50" s="171" t="str">
        <v>Landfill</v>
      </c>
      <c r="E50" s="175" t="str">
        <v>Sludge</v>
      </c>
      <c r="F50" s="213"/>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50" cm="1">
        <f t="array" ref="H50">Common_InputFunctions.Utility_LookupValueInTableNumber(E50,Table_SourceData_WasteSolid_VolumeToMassConversion[Waste type w],Table_SourceData_WasteSolid_VolumeToMassConversion[VTMw])</f>
        <v>0.72</v>
      </c>
      <c r="I50" s="50" cm="1">
        <f t="array" ref="I50">WasteSolid_Equations.VEERG_10_1_1_1__2_MassOfWasteFromVolume(G50,H50)</f>
        <v>0</v>
      </c>
    </row>
    <row r="51" spans="4:9" ht="20.100000000000001" customHeight="1" x14ac:dyDescent="0.25">
      <c r="D51" s="171" t="str">
        <v>Landfill</v>
      </c>
      <c r="E51" s="175" t="str">
        <v>Rubber and leather</v>
      </c>
      <c r="F51" s="213"/>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50" cm="1">
        <f t="array" ref="H51">Common_InputFunctions.Utility_LookupValueInTableNumber(E51,Table_SourceData_WasteSolid_VolumeToMassConversion[Waste type w],Table_SourceData_WasteSolid_VolumeToMassConversion[VTMw])</f>
        <v>0.14000000000000001</v>
      </c>
      <c r="I51" s="50" cm="1">
        <f t="array" ref="I51">WasteSolid_Equations.VEERG_10_1_1_1__2_MassOfWasteFromVolume(G51,H51)</f>
        <v>0</v>
      </c>
    </row>
    <row r="52" spans="4:9" ht="20.100000000000001" customHeight="1" x14ac:dyDescent="0.25">
      <c r="D52" s="171" t="str">
        <v>Landfill</v>
      </c>
      <c r="E52" s="175" t="str">
        <v>Inert waste (including concrete, metal, plastic or glass)</v>
      </c>
      <c r="F52" s="213"/>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50" cm="1">
        <f t="array" ref="H52">Common_InputFunctions.Utility_LookupValueInTableNumber(E52,Table_SourceData_WasteSolid_VolumeToMassConversion[Waste type w],Table_SourceData_WasteSolid_VolumeToMassConversion[VTMw])</f>
        <v>0.42</v>
      </c>
      <c r="I52" s="50" cm="1">
        <f t="array" ref="I52">WasteSolid_Equations.VEERG_10_1_1_1__2_MassOfWasteFromVolume(G52,H52)</f>
        <v>0</v>
      </c>
    </row>
    <row r="53" spans="4:9" ht="20.100000000000001" customHeight="1" x14ac:dyDescent="0.25">
      <c r="D53" s="171" t="str">
        <v>Landfill</v>
      </c>
      <c r="E53" s="175" t="str">
        <v>Municipal solid waste</v>
      </c>
      <c r="F53" s="213"/>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50" cm="1">
        <f t="array" ref="H53">Common_InputFunctions.Utility_LookupValueInTableNumber(E53,Table_SourceData_WasteSolid_VolumeToMassConversion[Waste type w],Table_SourceData_WasteSolid_VolumeToMassConversion[VTMw])</f>
        <v>0.36</v>
      </c>
      <c r="I53" s="50" cm="1">
        <f t="array" ref="I53">WasteSolid_Equations.VEERG_10_1_1_1__2_MassOfWasteFromVolume(G53,H53)</f>
        <v>0</v>
      </c>
    </row>
    <row r="54" spans="4:9" ht="20.100000000000001" customHeight="1" x14ac:dyDescent="0.25">
      <c r="D54" s="171" t="str">
        <v>Landfill</v>
      </c>
      <c r="E54" s="175" t="str">
        <v>Commercial and industrial waste</v>
      </c>
      <c r="F54" s="213"/>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50" cm="1">
        <f t="array" ref="H54">Common_InputFunctions.Utility_LookupValueInTableNumber(E54,Table_SourceData_WasteSolid_VolumeToMassConversion[Waste type w],Table_SourceData_WasteSolid_VolumeToMassConversion[VTMw])</f>
        <v>0.33</v>
      </c>
      <c r="I54" s="50" cm="1">
        <f t="array" ref="I54">WasteSolid_Equations.VEERG_10_1_1_1__2_MassOfWasteFromVolume(G54,H54)</f>
        <v>0</v>
      </c>
    </row>
    <row r="55" spans="4:9" ht="20.100000000000001" customHeight="1" x14ac:dyDescent="0.25">
      <c r="D55" s="171" t="str">
        <v>Landfill</v>
      </c>
      <c r="E55" s="175" t="str">
        <v>Construction and demolition waste</v>
      </c>
      <c r="F55" s="213"/>
      <c r="G55" s="50"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50" cm="1">
        <f t="array" ref="H55">Common_InputFunctions.Utility_LookupValueInTableNumber(E55,Table_SourceData_WasteSolid_VolumeToMassConversion[Waste type w],Table_SourceData_WasteSolid_VolumeToMassConversion[VTMw])</f>
        <v>0.39</v>
      </c>
      <c r="I55" s="50" cm="1">
        <f t="array" ref="I55">WasteSolid_Equations.VEERG_10_1_1_1__2_MassOfWasteFromVolume(G55,H55)</f>
        <v>0</v>
      </c>
    </row>
    <row r="56" spans="4:9" ht="20.100000000000001" customHeight="1" x14ac:dyDescent="0.25">
      <c r="D56" s="171" t="str">
        <v>Incineration</v>
      </c>
      <c r="E56" s="175" t="str">
        <v>Food waste, green waste, wood, sludge</v>
      </c>
      <c r="F56" s="213"/>
      <c r="G56" s="50"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50" cm="1">
        <f t="array" ref="H56">Common_InputFunctions.Utility_LookupValueInTableNumber(E56,Table_SourceData_WasteSolid_VolumeToMassConversion[Waste type w],Table_SourceData_WasteSolid_VolumeToMassConversion[VTMw])</f>
        <v>0</v>
      </c>
      <c r="I56" s="50" cm="1">
        <f t="array" ref="I56">WasteSolid_Equations.VEERG_10_1_1_1__2_MassOfWasteFromVolume(G56,H56)</f>
        <v>0</v>
      </c>
    </row>
    <row r="57" spans="4:9" ht="20.100000000000001" customHeight="1" x14ac:dyDescent="0.25">
      <c r="D57" s="171" t="str">
        <v>Incineration</v>
      </c>
      <c r="E57" s="175" t="str">
        <v>Paper and cardboard</v>
      </c>
      <c r="F57" s="213"/>
      <c r="G57" s="50"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100</v>
      </c>
      <c r="H57" s="50" cm="1">
        <f t="array" ref="H57">Common_InputFunctions.Utility_LookupValueInTableNumber(E57,Table_SourceData_WasteSolid_VolumeToMassConversion[Waste type w],Table_SourceData_WasteSolid_VolumeToMassConversion[VTMw])</f>
        <v>0.09</v>
      </c>
      <c r="I57" s="50" cm="1">
        <f t="array" ref="I57">WasteSolid_Equations.VEERG_10_1_1_1__2_MassOfWasteFromVolume(G57,H57)</f>
        <v>9</v>
      </c>
    </row>
    <row r="58" spans="4:9" ht="20.100000000000001" customHeight="1" x14ac:dyDescent="0.25">
      <c r="D58" s="171" t="str">
        <v>Incineration</v>
      </c>
      <c r="E58" s="175" t="str">
        <v>Textiles</v>
      </c>
      <c r="F58" s="213"/>
      <c r="G58" s="50"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50" cm="1">
        <f t="array" ref="H58">Common_InputFunctions.Utility_LookupValueInTableNumber(E58,Table_SourceData_WasteSolid_VolumeToMassConversion[Waste type w],Table_SourceData_WasteSolid_VolumeToMassConversion[VTMw])</f>
        <v>0.14000000000000001</v>
      </c>
      <c r="I58" s="50" cm="1">
        <f t="array" ref="I58">WasteSolid_Equations.VEERG_10_1_1_1__2_MassOfWasteFromVolume(G58,H58)</f>
        <v>0</v>
      </c>
    </row>
    <row r="59" spans="4:9" ht="20.100000000000001" customHeight="1" x14ac:dyDescent="0.25">
      <c r="D59" s="171" t="str">
        <v>Incineration</v>
      </c>
      <c r="E59" s="175" t="str">
        <v>Rubber and leather</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50" cm="1">
        <f t="array" ref="H59">Common_InputFunctions.Utility_LookupValueInTableNumber(E59,Table_SourceData_WasteSolid_VolumeToMassConversion[Waste type w],Table_SourceData_WasteSolid_VolumeToMassConversion[VTMw])</f>
        <v>0.14000000000000001</v>
      </c>
      <c r="I59" s="50" cm="1">
        <f t="array" ref="I59">WasteSolid_Equations.VEERG_10_1_1_1__2_MassOfWasteFromVolume(G59,H59)</f>
        <v>0</v>
      </c>
    </row>
    <row r="60" spans="4:9" ht="20.100000000000001" customHeight="1" x14ac:dyDescent="0.25">
      <c r="D60" s="171" t="str">
        <v>Incineration</v>
      </c>
      <c r="E60" s="175" t="str">
        <v>Inert Waste</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50" cm="1">
        <f t="array" ref="H60">Common_InputFunctions.Utility_LookupValueInTableNumber(E60,Table_SourceData_WasteSolid_VolumeToMassConversion[Waste type w],Table_SourceData_WasteSolid_VolumeToMassConversion[VTMw])</f>
        <v>0</v>
      </c>
      <c r="I60" s="50" cm="1">
        <f t="array" ref="I60">WasteSolid_Equations.VEERG_10_1_1_1__2_MassOfWasteFromVolume(G60,H60)</f>
        <v>0</v>
      </c>
    </row>
    <row r="61" spans="4:9" ht="20.100000000000001" customHeight="1" x14ac:dyDescent="0.25">
      <c r="D61" s="171" t="str">
        <v>Incineration</v>
      </c>
      <c r="E61" s="175" t="str">
        <v>Municipal Solid Waste</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50" cm="1">
        <f t="array" ref="H61">Common_InputFunctions.Utility_LookupValueInTableNumber(E61,Table_SourceData_WasteSolid_VolumeToMassConversion[Waste type w],Table_SourceData_WasteSolid_VolumeToMassConversion[VTMw])</f>
        <v>0.36</v>
      </c>
      <c r="I61" s="50" cm="1">
        <f t="array" ref="I61">WasteSolid_Equations.VEERG_10_1_1_1__2_MassOfWasteFromVolume(G61,H61)</f>
        <v>0</v>
      </c>
    </row>
    <row r="62" spans="4:9" ht="20.100000000000001" customHeight="1" x14ac:dyDescent="0.25">
      <c r="D62" s="171" t="str">
        <v>Incineration</v>
      </c>
      <c r="E62" s="175" t="str">
        <v>Industrial Waste</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v>
      </c>
      <c r="I62" s="50" cm="1">
        <f t="array" ref="I62">WasteSolid_Equations.VEERG_10_1_1_1__2_MassOfWasteFromVolume(G62,H62)</f>
        <v>0</v>
      </c>
    </row>
    <row r="63" spans="4:9" ht="20.100000000000001" customHeight="1" x14ac:dyDescent="0.25">
      <c r="D63" s="171" t="str">
        <v>Composting</v>
      </c>
      <c r="E63" s="175" t="str">
        <v>All organic waste</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v>
      </c>
      <c r="I63" s="50" cm="1">
        <f t="array" ref="I63">WasteSolid_Equations.VEERG_10_1_1_1__2_MassOfWasteFromVolume(G63,H63)</f>
        <v>0</v>
      </c>
    </row>
    <row r="64" spans="4:9" ht="20.100000000000001" customHeight="1" x14ac:dyDescent="0.25">
      <c r="D64" s="171" t="str">
        <v>Anaerobic digestion</v>
      </c>
      <c r="E64" s="175" t="str">
        <v>All organic waste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v>
      </c>
      <c r="I64" s="50" cm="1">
        <f t="array" ref="I64">WasteSolid_Equations.VEERG_10_1_1_1__2_MassOfWasteFromVolume(G64,H64)</f>
        <v>0</v>
      </c>
    </row>
    <row r="65" spans="1:12" ht="20.100000000000001" customHeight="1" x14ac:dyDescent="0.25"/>
    <row r="66" spans="1:12" ht="20.100000000000001" customHeight="1" x14ac:dyDescent="0.25">
      <c r="A66" s="56" t="str">
        <f>HYPERLINK("#A1", "▲ Back to top")</f>
        <v>▲ Back to top</v>
      </c>
    </row>
    <row r="67" spans="1:12" ht="20.100000000000001" customHeight="1" x14ac:dyDescent="0.25">
      <c r="C67" s="101"/>
      <c r="D67" s="101"/>
      <c r="E67" s="101"/>
      <c r="F67" s="101"/>
      <c r="G67" s="101"/>
      <c r="H67" s="101"/>
      <c r="I67" s="101"/>
      <c r="J67" s="101"/>
      <c r="K67" s="101"/>
      <c r="L67" s="101"/>
    </row>
    <row r="68" spans="1:12" ht="20.100000000000001" customHeight="1" x14ac:dyDescent="0.25">
      <c r="D68" s="9" t="str" cm="1">
        <f t="array" ref="D68">WasteSolid_Equations.VEERG_10_1_1_1__1_EmissionsFromWasteManagement_Title()</f>
        <v>Emissions from waste management by greenhouse gas</v>
      </c>
    </row>
    <row r="69" spans="1:12" ht="20.100000000000001" customHeight="1" x14ac:dyDescent="0.25">
      <c r="D69" s="11" t="str" cm="1">
        <f t="array" ref="D69">WasteSolid_Equations.VEERG_10_1_1_1__1_EmissionsFromWasteManagement_Source()</f>
        <v>VEERG 2026: 10.1.1.1, Equation (1)</v>
      </c>
    </row>
    <row r="70" spans="1:12" ht="20.100000000000001" customHeight="1" x14ac:dyDescent="0.25">
      <c r="D70" s="12" t="str" cm="1">
        <f t="array" ref="D70">WasteSolid_Equations.VEERG_10_1_1_1__1_EmissionsFromWasteManagement_Variation()</f>
        <v>VARIATION ON SOURCE: Added Q_volwt and Q_masswt variables to clearly track input or calculated Q values</v>
      </c>
    </row>
    <row r="71" spans="1:12" ht="20.100000000000001" customHeight="1" x14ac:dyDescent="0.25">
      <c r="D71" s="176" t="s">
        <v>635</v>
      </c>
      <c r="E71" s="176" t="str" cm="1">
        <f t="array" aca="1" ref="E71" ca="1">Common_InputFunctions.Utility_DisplayFunctionName(K88)</f>
        <v>=WasteSolid_Equations.VEERG_10_1_1_1__1_EmissionsFromWasteManagement</v>
      </c>
    </row>
    <row r="72" spans="1:12" ht="20.100000000000001" customHeight="1" x14ac:dyDescent="0.25"/>
    <row r="73" spans="1:12" ht="20.100000000000001" customHeight="1" x14ac:dyDescent="0.25"/>
    <row r="74" spans="1:12" ht="20.100000000000001" customHeight="1" x14ac:dyDescent="0.25">
      <c r="D74" s="28" t="s">
        <v>636</v>
      </c>
      <c r="E74" s="8" t="str" cm="1">
        <f t="array" ref="E74">WasteSolid_Equations.VEERG_10_1_1_1__1_EmissionsFromWasteManagement_Variable()</f>
        <v>E_g</v>
      </c>
    </row>
    <row r="75" spans="1:12" ht="20.100000000000001" customHeight="1" x14ac:dyDescent="0.25">
      <c r="D75" s="28" t="s">
        <v>97</v>
      </c>
      <c r="E75" s="13" t="str" cm="1">
        <f t="array" ref="E75">WasteSolid_Equations.VEERG_10_1_1_1__1_EmissionsFromWasteManagement_Unit()</f>
        <v>t CO2e</v>
      </c>
    </row>
    <row r="76" spans="1:12" ht="20.100000000000001" customHeight="1" x14ac:dyDescent="0.25"/>
    <row r="77" spans="1:12" ht="20.100000000000001" customHeight="1" x14ac:dyDescent="0.25">
      <c r="D77" s="171" t="str" cm="1">
        <f t="array" ref="D77:E83">_xlfn.CHOOSECOLS(WasteSolid_Equations.VEERG_10_1_1_1__1_EmissionsFromWasteManagement_Arguments(),1,2)</f>
        <v>Q_wt</v>
      </c>
      <c r="E77" s="175" t="str">
        <v>quantity of solid waste of type w being sent to treatment facility t, on a wet weight basis</v>
      </c>
      <c r="F77" s="209"/>
      <c r="G77" s="170"/>
      <c r="H77" s="171" t="str" cm="1">
        <f t="array" ref="H77:I83">_xlfn.CHOOSECOLS(WasteSolid_Equations.VEERG_10_1_1_1__1_EmissionsFromWasteManagement_Arguments(),3,4)</f>
        <v>t</v>
      </c>
      <c r="I77" s="173" t="str">
        <v>Sum of Q_volwt and Q_masswt</v>
      </c>
    </row>
    <row r="78" spans="1:12" ht="20.100000000000001" customHeight="1" x14ac:dyDescent="0.25">
      <c r="D78" s="171" t="str">
        <v>EF_wtg</v>
      </c>
      <c r="E78" s="175" t="str">
        <v>emission factor for greenhouse gas g for the management of waste at treatment facility t</v>
      </c>
      <c r="F78" s="209"/>
      <c r="G78" s="170"/>
      <c r="H78" s="171" t="str">
        <v>t CO2e/t</v>
      </c>
      <c r="I78" s="173" t="str">
        <v>Constant</v>
      </c>
    </row>
    <row r="79" spans="1:12" ht="20.100000000000001" customHeight="1" x14ac:dyDescent="0.25">
      <c r="D79" s="171" t="str">
        <v>w</v>
      </c>
      <c r="E79" s="175" t="str">
        <v>waste type</v>
      </c>
      <c r="F79" s="209"/>
      <c r="G79" s="170"/>
      <c r="H79" s="171" t="str">
        <v/>
      </c>
      <c r="I79" s="172" t="str">
        <v>Input</v>
      </c>
    </row>
    <row r="80" spans="1:12" ht="20.100000000000001" customHeight="1" x14ac:dyDescent="0.25">
      <c r="D80" s="171" t="str">
        <v>t</v>
      </c>
      <c r="E80" s="175" t="str">
        <v>treatment facility</v>
      </c>
      <c r="F80" s="209"/>
      <c r="G80" s="170"/>
      <c r="H80" s="171" t="str">
        <v/>
      </c>
      <c r="I80" s="172" t="str">
        <v>Input</v>
      </c>
    </row>
    <row r="81" spans="4:11" ht="20.100000000000001" customHeight="1" x14ac:dyDescent="0.25">
      <c r="D81" s="171" t="str">
        <v>g</v>
      </c>
      <c r="E81" s="175" t="str">
        <v>greenhouse gas</v>
      </c>
      <c r="F81" s="209"/>
      <c r="G81" s="170"/>
      <c r="H81" s="171" t="str">
        <v/>
      </c>
      <c r="I81" s="172" t="str">
        <v>Input</v>
      </c>
    </row>
    <row r="82" spans="4:11" ht="20.100000000000001" customHeight="1" x14ac:dyDescent="0.25">
      <c r="D82" s="171" t="str">
        <v>Q_volwt</v>
      </c>
      <c r="E82" s="175" t="str">
        <v>quantity of sold waste input as volume and converted to tonnes</v>
      </c>
      <c r="F82" s="209"/>
      <c r="G82" s="170"/>
      <c r="H82" s="171" t="str">
        <v>tonnes</v>
      </c>
      <c r="I82" s="173" t="str">
        <v>Calculated from 10.1.1.1 (2)</v>
      </c>
    </row>
    <row r="83" spans="4:11" ht="20.100000000000001" customHeight="1" x14ac:dyDescent="0.25">
      <c r="D83" s="171" t="str">
        <v>Q_masswt</v>
      </c>
      <c r="E83" s="175" t="str">
        <v>quantity of solid waste input as mass</v>
      </c>
      <c r="F83" s="209"/>
      <c r="G83" s="170"/>
      <c r="H83" s="171" t="str">
        <v>tonnes</v>
      </c>
      <c r="I83" s="172" t="str">
        <v>Input</v>
      </c>
    </row>
    <row r="84" spans="4:11" ht="20.100000000000001" customHeight="1" x14ac:dyDescent="0.25"/>
    <row r="85" spans="4:11" ht="20.100000000000001" customHeight="1" x14ac:dyDescent="0.25">
      <c r="D85" s="58" t="s">
        <v>811</v>
      </c>
    </row>
    <row r="86" spans="4:11" ht="20.100000000000001" customHeight="1" x14ac:dyDescent="0.25">
      <c r="D86" s="59" t="s">
        <v>812</v>
      </c>
    </row>
    <row r="87" spans="4:11" ht="20.100000000000001" customHeight="1" x14ac:dyDescent="0.25">
      <c r="D87" s="47" t="s">
        <v>804</v>
      </c>
      <c r="E87" s="47" t="s">
        <v>805</v>
      </c>
      <c r="F87" s="47"/>
      <c r="G87" s="47" t="s">
        <v>813</v>
      </c>
      <c r="H87" s="60" t="s">
        <v>814</v>
      </c>
      <c r="I87" s="60" t="s">
        <v>815</v>
      </c>
      <c r="J87" s="60" t="s">
        <v>816</v>
      </c>
      <c r="K87" s="60" t="s">
        <v>817</v>
      </c>
    </row>
    <row r="88" spans="4:11" ht="20.100000000000001" customHeight="1" x14ac:dyDescent="0.25">
      <c r="D88" s="171" t="str" cm="1">
        <f t="array" ref="D88:D107">Table_SourceData_WasteSolid_WasteTreatmentEFs[Treatment type t]</f>
        <v>Landfill</v>
      </c>
      <c r="E88" s="175" t="str" cm="1">
        <f t="array" ref="E88:E107">Table_SourceData_WasteSolid_WasteTreatmentEFs[Waste type w]</f>
        <v>Food waste (including animal carcasses, spoiled animal feed or crop)</v>
      </c>
      <c r="F88" s="213"/>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88" s="50">
        <f t="shared" ref="H88:H107" si="0">I21</f>
        <v>0</v>
      </c>
      <c r="I88" s="50">
        <f>G88+H88</f>
        <v>0</v>
      </c>
      <c r="J88" s="50" cm="1">
        <f t="array" ref="J88">Common_InputFunctions.Utility_LookupValueInTableTwoColumns(D88,E88,Table_SourceData_WasteSolid_WasteTreatmentEFs[Treatment type t],Table_SourceData_WasteSolid_WasteTreatmentEFs[Waste type w],Table_SourceData_WasteSolid_WasteTreatmentEFs[EFwt])</f>
        <v>2.1</v>
      </c>
      <c r="K88" s="50" cm="1">
        <f t="array" ref="K88">WasteSolid_Equations.VEERG_10_1_1_1__1_EmissionsFromWasteManagement(I88, J88)</f>
        <v>0</v>
      </c>
    </row>
    <row r="89" spans="4:11" ht="20.100000000000001" customHeight="1" x14ac:dyDescent="0.25">
      <c r="D89" s="171" t="str">
        <v>Landfill</v>
      </c>
      <c r="E89" s="175" t="str">
        <v>Paper and cardboard</v>
      </c>
      <c r="F89" s="213"/>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89" s="50">
        <f t="shared" si="0"/>
        <v>0</v>
      </c>
      <c r="I89" s="50">
        <f t="shared" ref="I89:I107" si="1">G89+H89</f>
        <v>0</v>
      </c>
      <c r="J89" s="50" cm="1">
        <f t="array" ref="J89">Common_InputFunctions.Utility_LookupValueInTableTwoColumns(D89,E89,Table_SourceData_WasteSolid_WasteTreatmentEFs[Treatment type t],Table_SourceData_WasteSolid_WasteTreatmentEFs[Waste type w],Table_SourceData_WasteSolid_WasteTreatmentEFs[EFwt])</f>
        <v>3.3</v>
      </c>
      <c r="K89" s="50" cm="1">
        <f t="array" ref="K89">WasteSolid_Equations.VEERG_10_1_1_1__1_EmissionsFromWasteManagement(I89, J89)</f>
        <v>0</v>
      </c>
    </row>
    <row r="90" spans="4:11" ht="20.100000000000001" customHeight="1" x14ac:dyDescent="0.25">
      <c r="D90" s="171" t="str">
        <v>Landfill</v>
      </c>
      <c r="E90" s="175" t="str">
        <v>Green waste (including crop residues or prunnings)</v>
      </c>
      <c r="F90" s="213"/>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50">
        <f t="shared" si="0"/>
        <v>0</v>
      </c>
      <c r="I90" s="50">
        <f t="shared" si="1"/>
        <v>0</v>
      </c>
      <c r="J90" s="50" cm="1">
        <f t="array" ref="J90">Common_InputFunctions.Utility_LookupValueInTableTwoColumns(D90,E90,Table_SourceData_WasteSolid_WasteTreatmentEFs[Treatment type t],Table_SourceData_WasteSolid_WasteTreatmentEFs[Waste type w],Table_SourceData_WasteSolid_WasteTreatmentEFs[EFwt])</f>
        <v>1.6</v>
      </c>
      <c r="K90" s="50" cm="1">
        <f t="array" ref="K90">WasteSolid_Equations.VEERG_10_1_1_1__1_EmissionsFromWasteManagement(I90, J90)</f>
        <v>0</v>
      </c>
    </row>
    <row r="91" spans="4:11" ht="20.100000000000001" customHeight="1" x14ac:dyDescent="0.25">
      <c r="D91" s="171" t="str">
        <v>Landfill</v>
      </c>
      <c r="E91" s="175" t="str">
        <v>Wood</v>
      </c>
      <c r="F91" s="213"/>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50">
        <f t="shared" si="0"/>
        <v>0</v>
      </c>
      <c r="I91" s="50">
        <f t="shared" si="1"/>
        <v>0</v>
      </c>
      <c r="J91" s="50" cm="1">
        <f t="array" ref="J91">Common_InputFunctions.Utility_LookupValueInTableTwoColumns(D91,E91,Table_SourceData_WasteSolid_WasteTreatmentEFs[Treatment type t],Table_SourceData_WasteSolid_WasteTreatmentEFs[Waste type w],Table_SourceData_WasteSolid_WasteTreatmentEFs[EFwt])</f>
        <v>0.7</v>
      </c>
      <c r="K91" s="50" cm="1">
        <f t="array" ref="K91">WasteSolid_Equations.VEERG_10_1_1_1__1_EmissionsFromWasteManagement(I91, J91)</f>
        <v>0</v>
      </c>
    </row>
    <row r="92" spans="4:11" ht="20.100000000000001" customHeight="1" x14ac:dyDescent="0.25">
      <c r="D92" s="171" t="str">
        <v>Landfill</v>
      </c>
      <c r="E92" s="175" t="str">
        <v>Textiles</v>
      </c>
      <c r="F92" s="213"/>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50">
        <f t="shared" si="0"/>
        <v>0</v>
      </c>
      <c r="I92" s="50">
        <f t="shared" si="1"/>
        <v>0</v>
      </c>
      <c r="J92" s="50" cm="1">
        <f t="array" ref="J92">Common_InputFunctions.Utility_LookupValueInTableTwoColumns(D92,E92,Table_SourceData_WasteSolid_WasteTreatmentEFs[Treatment type t],Table_SourceData_WasteSolid_WasteTreatmentEFs[Waste type w],Table_SourceData_WasteSolid_WasteTreatmentEFs[EFwt])</f>
        <v>2</v>
      </c>
      <c r="K92" s="50" cm="1">
        <f t="array" ref="K92">WasteSolid_Equations.VEERG_10_1_1_1__1_EmissionsFromWasteManagement(I92, J92)</f>
        <v>0</v>
      </c>
    </row>
    <row r="93" spans="4:11" ht="20.100000000000001" customHeight="1" x14ac:dyDescent="0.25">
      <c r="D93" s="171" t="str">
        <v>Landfill</v>
      </c>
      <c r="E93" s="175" t="str">
        <v>Sludge</v>
      </c>
      <c r="F93" s="213"/>
      <c r="G93" s="50"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50">
        <f t="shared" si="0"/>
        <v>0</v>
      </c>
      <c r="I93" s="50">
        <f t="shared" si="1"/>
        <v>0</v>
      </c>
      <c r="J93" s="50" cm="1">
        <f t="array" ref="J93">Common_InputFunctions.Utility_LookupValueInTableTwoColumns(D93,E93,Table_SourceData_WasteSolid_WasteTreatmentEFs[Treatment type t],Table_SourceData_WasteSolid_WasteTreatmentEFs[Waste type w],Table_SourceData_WasteSolid_WasteTreatmentEFs[EFwt])</f>
        <v>0.4</v>
      </c>
      <c r="K93" s="50" cm="1">
        <f t="array" ref="K93">WasteSolid_Equations.VEERG_10_1_1_1__1_EmissionsFromWasteManagement(I93, J93)</f>
        <v>0</v>
      </c>
    </row>
    <row r="94" spans="4:11" ht="20.100000000000001" customHeight="1" x14ac:dyDescent="0.25">
      <c r="D94" s="171" t="str">
        <v>Landfill</v>
      </c>
      <c r="E94" s="175" t="str">
        <v>Rubber and leather</v>
      </c>
      <c r="F94" s="213"/>
      <c r="G94" s="50"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50">
        <f t="shared" si="0"/>
        <v>0</v>
      </c>
      <c r="I94" s="50">
        <f t="shared" si="1"/>
        <v>0</v>
      </c>
      <c r="J94" s="50" cm="1">
        <f t="array" ref="J94">Common_InputFunctions.Utility_LookupValueInTableTwoColumns(D94,E94,Table_SourceData_WasteSolid_WasteTreatmentEFs[Treatment type t],Table_SourceData_WasteSolid_WasteTreatmentEFs[Waste type w],Table_SourceData_WasteSolid_WasteTreatmentEFs[EFwt])</f>
        <v>3.3</v>
      </c>
      <c r="K94" s="50" cm="1">
        <f t="array" ref="K94">WasteSolid_Equations.VEERG_10_1_1_1__1_EmissionsFromWasteManagement(I94, J94)</f>
        <v>0</v>
      </c>
    </row>
    <row r="95" spans="4:11" ht="20.100000000000001" customHeight="1" x14ac:dyDescent="0.25">
      <c r="D95" s="171" t="str">
        <v>Landfill</v>
      </c>
      <c r="E95" s="175" t="str">
        <v>Inert waste (including concrete, metal, plastic or glass)</v>
      </c>
      <c r="F95" s="213"/>
      <c r="G95" s="50"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50">
        <f t="shared" si="0"/>
        <v>0</v>
      </c>
      <c r="I95" s="50">
        <f t="shared" si="1"/>
        <v>0</v>
      </c>
      <c r="J95" s="50" cm="1">
        <f t="array" ref="J95">Common_InputFunctions.Utility_LookupValueInTableTwoColumns(D95,E95,Table_SourceData_WasteSolid_WasteTreatmentEFs[Treatment type t],Table_SourceData_WasteSolid_WasteTreatmentEFs[Waste type w],Table_SourceData_WasteSolid_WasteTreatmentEFs[EFwt])</f>
        <v>0</v>
      </c>
      <c r="K95" s="50" cm="1">
        <f t="array" ref="K95">WasteSolid_Equations.VEERG_10_1_1_1__1_EmissionsFromWasteManagement(I95, J95)</f>
        <v>0</v>
      </c>
    </row>
    <row r="96" spans="4:11" ht="20.100000000000001" customHeight="1" x14ac:dyDescent="0.25">
      <c r="D96" s="171" t="str">
        <v>Landfill</v>
      </c>
      <c r="E96" s="175" t="str">
        <v>Municipal solid waste</v>
      </c>
      <c r="F96" s="213"/>
      <c r="G96" s="50"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50">
        <f t="shared" si="0"/>
        <v>0</v>
      </c>
      <c r="I96" s="50">
        <f t="shared" si="1"/>
        <v>0</v>
      </c>
      <c r="J96" s="50" cm="1">
        <f t="array" ref="J96">Common_InputFunctions.Utility_LookupValueInTableTwoColumns(D96,E96,Table_SourceData_WasteSolid_WasteTreatmentEFs[Treatment type t],Table_SourceData_WasteSolid_WasteTreatmentEFs[Waste type w],Table_SourceData_WasteSolid_WasteTreatmentEFs[EFwt])</f>
        <v>1.6</v>
      </c>
      <c r="K96" s="50" cm="1">
        <f t="array" ref="K96">WasteSolid_Equations.VEERG_10_1_1_1__1_EmissionsFromWasteManagement(I96, J96)</f>
        <v>0</v>
      </c>
    </row>
    <row r="97" spans="1:11" ht="20.100000000000001" customHeight="1" x14ac:dyDescent="0.25">
      <c r="D97" s="171" t="str">
        <v>Landfill</v>
      </c>
      <c r="E97" s="175" t="str">
        <v>Commercial and industrial waste</v>
      </c>
      <c r="F97" s="213"/>
      <c r="G97" s="50"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50">
        <f t="shared" si="0"/>
        <v>0</v>
      </c>
      <c r="I97" s="50">
        <f t="shared" si="1"/>
        <v>0</v>
      </c>
      <c r="J97" s="50" cm="1">
        <f t="array" ref="J97">Common_InputFunctions.Utility_LookupValueInTableTwoColumns(D97,E97,Table_SourceData_WasteSolid_WasteTreatmentEFs[Treatment type t],Table_SourceData_WasteSolid_WasteTreatmentEFs[Waste type w],Table_SourceData_WasteSolid_WasteTreatmentEFs[EFwt])</f>
        <v>1.3</v>
      </c>
      <c r="K97" s="50" cm="1">
        <f t="array" ref="K97">WasteSolid_Equations.VEERG_10_1_1_1__1_EmissionsFromWasteManagement(I97, J97)</f>
        <v>0</v>
      </c>
    </row>
    <row r="98" spans="1:11" ht="20.100000000000001" customHeight="1" x14ac:dyDescent="0.25">
      <c r="D98" s="171" t="str">
        <v>Landfill</v>
      </c>
      <c r="E98" s="175" t="str">
        <v>Construction and demolition waste</v>
      </c>
      <c r="F98" s="213"/>
      <c r="G98" s="50"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50">
        <f t="shared" si="0"/>
        <v>0</v>
      </c>
      <c r="I98" s="50">
        <f t="shared" si="1"/>
        <v>0</v>
      </c>
      <c r="J98" s="50" cm="1">
        <f t="array" ref="J98">Common_InputFunctions.Utility_LookupValueInTableTwoColumns(D98,E98,Table_SourceData_WasteSolid_WasteTreatmentEFs[Treatment type t],Table_SourceData_WasteSolid_WasteTreatmentEFs[Waste type w],Table_SourceData_WasteSolid_WasteTreatmentEFs[EFwt])</f>
        <v>0.2</v>
      </c>
      <c r="K98" s="50" cm="1">
        <f t="array" ref="K98">WasteSolid_Equations.VEERG_10_1_1_1__1_EmissionsFromWasteManagement(I98, J98)</f>
        <v>0</v>
      </c>
    </row>
    <row r="99" spans="1:11" ht="20.100000000000001" customHeight="1" x14ac:dyDescent="0.25">
      <c r="D99" s="171" t="str">
        <v>Incineration</v>
      </c>
      <c r="E99" s="175" t="str">
        <v>Food waste, green waste, wood, sludge</v>
      </c>
      <c r="F99" s="213"/>
      <c r="G99" s="50"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50">
        <f t="shared" si="0"/>
        <v>0</v>
      </c>
      <c r="I99" s="50">
        <f t="shared" si="1"/>
        <v>0</v>
      </c>
      <c r="J99" s="50" cm="1">
        <f t="array" ref="J99">Common_InputFunctions.Utility_LookupValueInTableTwoColumns(D99,E99,Table_SourceData_WasteSolid_WasteTreatmentEFs[Treatment type t],Table_SourceData_WasteSolid_WasteTreatmentEFs[Waste type w],Table_SourceData_WasteSolid_WasteTreatmentEFs[EFwt])</f>
        <v>0</v>
      </c>
      <c r="K99" s="50" cm="1">
        <f t="array" ref="K99">WasteSolid_Equations.VEERG_10_1_1_1__1_EmissionsFromWasteManagement(I99, J99)</f>
        <v>0</v>
      </c>
    </row>
    <row r="100" spans="1:11" ht="20.100000000000001" customHeight="1" x14ac:dyDescent="0.25">
      <c r="D100" s="171" t="str">
        <v>Incineration</v>
      </c>
      <c r="E100" s="175" t="str">
        <v>Paper and cardboard</v>
      </c>
      <c r="F100" s="213"/>
      <c r="G100" s="50"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00" s="50">
        <f t="shared" si="0"/>
        <v>0</v>
      </c>
      <c r="I100" s="50">
        <f t="shared" si="1"/>
        <v>0</v>
      </c>
      <c r="J100" s="50" cm="1">
        <f t="array" ref="J100">Common_InputFunctions.Utility_LookupValueInTableTwoColumns(D100,E100,Table_SourceData_WasteSolid_WasteTreatmentEFs[Treatment type t],Table_SourceData_WasteSolid_WasteTreatmentEFs[Waste type w],Table_SourceData_WasteSolid_WasteTreatmentEFs[EFwt])</f>
        <v>1.6899999999999998E-2</v>
      </c>
      <c r="K100" s="50" cm="1">
        <f t="array" ref="K100">WasteSolid_Equations.VEERG_10_1_1_1__1_EmissionsFromWasteManagement(I100, J100)</f>
        <v>0</v>
      </c>
    </row>
    <row r="101" spans="1:11" ht="20.100000000000001" customHeight="1" x14ac:dyDescent="0.25">
      <c r="D101" s="171" t="str">
        <v>Incineration</v>
      </c>
      <c r="E101" s="175" t="str">
        <v>Textiles</v>
      </c>
      <c r="F101" s="213"/>
      <c r="G101" s="50"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50">
        <f t="shared" si="0"/>
        <v>0</v>
      </c>
      <c r="I101" s="50">
        <f t="shared" si="1"/>
        <v>0</v>
      </c>
      <c r="J101" s="50" cm="1">
        <f t="array" ref="J101">Common_InputFunctions.Utility_LookupValueInTableTwoColumns(D101,E101,Table_SourceData_WasteSolid_WasteTreatmentEFs[Treatment type t],Table_SourceData_WasteSolid_WasteTreatmentEFs[Waste type w],Table_SourceData_WasteSolid_WasteTreatmentEFs[EFwt])</f>
        <v>0.36670000000000003</v>
      </c>
      <c r="K101" s="50" cm="1">
        <f t="array" ref="K101">WasteSolid_Equations.VEERG_10_1_1_1__1_EmissionsFromWasteManagement(I101, J101)</f>
        <v>0</v>
      </c>
    </row>
    <row r="102" spans="1:11" ht="20.100000000000001" customHeight="1" x14ac:dyDescent="0.25">
      <c r="D102" s="171" t="str">
        <v>Incineration</v>
      </c>
      <c r="E102" s="175" t="str">
        <v>Rubber and leather</v>
      </c>
      <c r="F102" s="213"/>
      <c r="G102" s="50"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50">
        <f t="shared" si="0"/>
        <v>0</v>
      </c>
      <c r="I102" s="50">
        <f t="shared" si="1"/>
        <v>0</v>
      </c>
      <c r="J102" s="50" cm="1">
        <f t="array" ref="J102">Common_InputFunctions.Utility_LookupValueInTableTwoColumns(D102,E102,Table_SourceData_WasteSolid_WasteTreatmentEFs[Treatment type t],Table_SourceData_WasteSolid_WasteTreatmentEFs[Waste type w],Table_SourceData_WasteSolid_WasteTreatmentEFs[EFwt])</f>
        <v>0.4919</v>
      </c>
      <c r="K102" s="50" cm="1">
        <f t="array" ref="K102">WasteSolid_Equations.VEERG_10_1_1_1__1_EmissionsFromWasteManagement(I102, J102)</f>
        <v>0</v>
      </c>
    </row>
    <row r="103" spans="1:11" ht="20.100000000000001" customHeight="1" x14ac:dyDescent="0.25">
      <c r="D103" s="171" t="str">
        <v>Incineration</v>
      </c>
      <c r="E103" s="175" t="str">
        <v>Inert Waste</v>
      </c>
      <c r="F103" s="213"/>
      <c r="G103" s="50"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50">
        <f t="shared" si="0"/>
        <v>0</v>
      </c>
      <c r="I103" s="50">
        <f t="shared" si="1"/>
        <v>0</v>
      </c>
      <c r="J103" s="50" cm="1">
        <f t="array" ref="J103">Common_InputFunctions.Utility_LookupValueInTableTwoColumns(D103,E103,Table_SourceData_WasteSolid_WasteTreatmentEFs[Treatment type t],Table_SourceData_WasteSolid_WasteTreatmentEFs[Waste type w],Table_SourceData_WasteSolid_WasteTreatmentEFs[EFwt])</f>
        <v>0.11</v>
      </c>
      <c r="K103" s="50" cm="1">
        <f t="array" ref="K103">WasteSolid_Equations.VEERG_10_1_1_1__1_EmissionsFromWasteManagement(I103, J103)</f>
        <v>0</v>
      </c>
    </row>
    <row r="104" spans="1:11" ht="20.100000000000001" customHeight="1" x14ac:dyDescent="0.25">
      <c r="D104" s="171" t="str">
        <v>Incineration</v>
      </c>
      <c r="E104" s="175" t="str">
        <v>Municipal Solid Waste</v>
      </c>
      <c r="F104" s="213"/>
      <c r="G104" s="50"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50">
        <f t="shared" si="0"/>
        <v>0</v>
      </c>
      <c r="I104" s="50">
        <f t="shared" si="1"/>
        <v>0</v>
      </c>
      <c r="J104" s="50" cm="1">
        <f t="array" ref="J104">Common_InputFunctions.Utility_LookupValueInTableTwoColumns(D104,E104,Table_SourceData_WasteSolid_WasteTreatmentEFs[Treatment type t],Table_SourceData_WasteSolid_WasteTreatmentEFs[Waste type w],Table_SourceData_WasteSolid_WasteTreatmentEFs[EFwt])</f>
        <v>5.3699999999999998E-2</v>
      </c>
      <c r="K104" s="50" cm="1">
        <f t="array" ref="K104">WasteSolid_Equations.VEERG_10_1_1_1__1_EmissionsFromWasteManagement(I104, J104)</f>
        <v>0</v>
      </c>
    </row>
    <row r="105" spans="1:11" ht="20.100000000000001" customHeight="1" x14ac:dyDescent="0.25">
      <c r="D105" s="171" t="str">
        <v>Incineration</v>
      </c>
      <c r="E105" s="175" t="str">
        <v>Industrial Waste</v>
      </c>
      <c r="F105" s="213"/>
      <c r="G105" s="50"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50">
        <f t="shared" si="0"/>
        <v>0</v>
      </c>
      <c r="I105" s="50">
        <f t="shared" si="1"/>
        <v>0</v>
      </c>
      <c r="J105" s="50" cm="1">
        <f t="array" ref="J105">Common_InputFunctions.Utility_LookupValueInTableTwoColumns(D105,E105,Table_SourceData_WasteSolid_WasteTreatmentEFs[Treatment type t],Table_SourceData_WasteSolid_WasteTreatmentEFs[Waste type w],Table_SourceData_WasteSolid_WasteTreatmentEFs[EFwt])</f>
        <v>1.649</v>
      </c>
      <c r="K105" s="50" cm="1">
        <f t="array" ref="K105">WasteSolid_Equations.VEERG_10_1_1_1__1_EmissionsFromWasteManagement(I105, J105)</f>
        <v>0</v>
      </c>
    </row>
    <row r="106" spans="1:11" ht="20.100000000000001" customHeight="1" x14ac:dyDescent="0.25">
      <c r="D106" s="171" t="str">
        <v>Composting</v>
      </c>
      <c r="E106" s="175" t="str">
        <v>All organic waste</v>
      </c>
      <c r="F106" s="213"/>
      <c r="G106" s="50"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06" s="50">
        <f t="shared" si="0"/>
        <v>0</v>
      </c>
      <c r="I106" s="50">
        <f t="shared" si="1"/>
        <v>0</v>
      </c>
      <c r="J106" s="50" cm="1">
        <f t="array" ref="J106">Common_InputFunctions.Utility_LookupValueInTableTwoColumns(D106,E106,Table_SourceData_WasteSolid_WasteTreatmentEFs[Treatment type t],Table_SourceData_WasteSolid_WasteTreatmentEFs[Waste type w],Table_SourceData_WasteSolid_WasteTreatmentEFs[EFwt])</f>
        <v>4.5999999999999999E-2</v>
      </c>
      <c r="K106" s="50" cm="1">
        <f t="array" ref="K106">WasteSolid_Equations.VEERG_10_1_1_1__1_EmissionsFromWasteManagement(I106, J106)</f>
        <v>0</v>
      </c>
    </row>
    <row r="107" spans="1:11" ht="20.100000000000001" customHeight="1" x14ac:dyDescent="0.25">
      <c r="D107" s="171" t="str">
        <v>Anaerobic digestion</v>
      </c>
      <c r="E107" s="175" t="str">
        <v>All organic waste</v>
      </c>
      <c r="F107" s="213"/>
      <c r="G107" s="50"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50">
        <f t="shared" si="0"/>
        <v>0</v>
      </c>
      <c r="I107" s="50">
        <f t="shared" si="1"/>
        <v>0</v>
      </c>
      <c r="J107" s="50" cm="1">
        <f t="array" ref="J107">Common_InputFunctions.Utility_LookupValueInTableTwoColumns(D107,E107,Table_SourceData_WasteSolid_WasteTreatmentEFs[Treatment type t],Table_SourceData_WasteSolid_WasteTreatmentEFs[Waste type w],Table_SourceData_WasteSolid_WasteTreatmentEFs[EFwt])</f>
        <v>2.8000000000000001E-2</v>
      </c>
      <c r="K107" s="50" cm="1">
        <f t="array" ref="K107">WasteSolid_Equations.VEERG_10_1_1_1__1_EmissionsFromWasteManagement(I107, J107)</f>
        <v>0</v>
      </c>
    </row>
    <row r="108" spans="1:11" ht="20.100000000000001" customHeight="1" x14ac:dyDescent="0.25"/>
    <row r="109" spans="1:11" ht="20.100000000000001" customHeight="1" x14ac:dyDescent="0.25">
      <c r="A109" s="56" t="str">
        <f>HYPERLINK("#A1", "▲ Back to top")</f>
        <v>▲ Back to top</v>
      </c>
      <c r="D109" s="180" t="s">
        <v>818</v>
      </c>
      <c r="E109" s="181">
        <f>SUM(K88:K107)</f>
        <v>0</v>
      </c>
      <c r="F109" s="182" t="str">
        <f>$E$75</f>
        <v>t CO2e</v>
      </c>
    </row>
    <row r="110" spans="1:11" ht="20.100000000000001" customHeight="1" x14ac:dyDescent="0.25"/>
    <row r="111" spans="1:11" ht="20.100000000000001" customHeight="1" x14ac:dyDescent="0.25"/>
    <row r="112" spans="1:11" ht="20.100000000000001" customHeight="1" x14ac:dyDescent="0.25">
      <c r="D112" s="58" t="s">
        <v>819</v>
      </c>
    </row>
    <row r="113" spans="4:11" ht="20.100000000000001" customHeight="1" x14ac:dyDescent="0.25">
      <c r="D113" s="59" t="s">
        <v>820</v>
      </c>
    </row>
    <row r="114" spans="4:11" ht="20.100000000000001" customHeight="1" x14ac:dyDescent="0.25">
      <c r="D114" s="47" t="s">
        <v>804</v>
      </c>
      <c r="E114" s="47" t="s">
        <v>805</v>
      </c>
      <c r="F114" s="47"/>
      <c r="G114" s="47" t="s">
        <v>813</v>
      </c>
      <c r="H114" s="60" t="s">
        <v>814</v>
      </c>
      <c r="I114" s="60" t="s">
        <v>815</v>
      </c>
      <c r="J114" s="60" t="s">
        <v>816</v>
      </c>
      <c r="K114" s="60" t="s">
        <v>817</v>
      </c>
    </row>
    <row r="115" spans="4:11" ht="20.100000000000001" customHeight="1" x14ac:dyDescent="0.25">
      <c r="D115" s="171" t="str" cm="1">
        <f t="array" ref="D115:D134">Table_SourceData_WasteSolid_WasteTreatmentEFs[Treatment type t]</f>
        <v>Landfill</v>
      </c>
      <c r="E115" s="175" t="str" cm="1">
        <f t="array" ref="E115:E134">Table_SourceData_WasteSolid_WasteTreatmentEFs[Waste type w]</f>
        <v>Food waste (including animal carcasses, spoiled animal feed or crop)</v>
      </c>
      <c r="F115" s="213"/>
      <c r="G115" s="50"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15" s="50">
        <f t="shared" ref="H115:H134" si="2">I45</f>
        <v>50</v>
      </c>
      <c r="I115" s="50">
        <f>G115+H115</f>
        <v>150</v>
      </c>
      <c r="J115" s="50" cm="1">
        <f t="array" ref="J115">Common_InputFunctions.Utility_LookupValueInTableTwoColumns(D115,E115,Table_SourceData_WasteSolid_WasteTreatmentEFs[Treatment type t],Table_SourceData_WasteSolid_WasteTreatmentEFs[Waste type w],Table_SourceData_WasteSolid_WasteTreatmentEFs[EFwt])</f>
        <v>2.1</v>
      </c>
      <c r="K115" s="50" cm="1">
        <f t="array" ref="K115">WasteSolid_Equations.VEERG_10_1_1_1__1_EmissionsFromWasteManagement(I115, J115)</f>
        <v>315</v>
      </c>
    </row>
    <row r="116" spans="4:11" ht="20.100000000000001" customHeight="1" x14ac:dyDescent="0.25">
      <c r="D116" s="171" t="str">
        <v>Landfill</v>
      </c>
      <c r="E116" s="175" t="str">
        <v>Paper and cardboard</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16" s="50">
        <f t="shared" si="2"/>
        <v>0</v>
      </c>
      <c r="I116" s="50">
        <f t="shared" ref="I116:I134" si="3">G116+H116</f>
        <v>0</v>
      </c>
      <c r="J116" s="50" cm="1">
        <f t="array" ref="J116">Common_InputFunctions.Utility_LookupValueInTableTwoColumns(D116,E116,Table_SourceData_WasteSolid_WasteTreatmentEFs[Treatment type t],Table_SourceData_WasteSolid_WasteTreatmentEFs[Waste type w],Table_SourceData_WasteSolid_WasteTreatmentEFs[EFwt])</f>
        <v>3.3</v>
      </c>
      <c r="K116" s="50" cm="1">
        <f t="array" ref="K116">WasteSolid_Equations.VEERG_10_1_1_1__1_EmissionsFromWasteManagement(I116, J116)</f>
        <v>0</v>
      </c>
    </row>
    <row r="117" spans="4:11" ht="20.100000000000001" customHeight="1" x14ac:dyDescent="0.25">
      <c r="D117" s="171" t="str">
        <v>Landfill</v>
      </c>
      <c r="E117" s="175" t="str">
        <v>Green waste (including crop residues or prunnings)</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50">
        <f t="shared" si="2"/>
        <v>0</v>
      </c>
      <c r="I117" s="50">
        <f t="shared" si="3"/>
        <v>0</v>
      </c>
      <c r="J117" s="50" cm="1">
        <f t="array" ref="J117">Common_InputFunctions.Utility_LookupValueInTableTwoColumns(D117,E117,Table_SourceData_WasteSolid_WasteTreatmentEFs[Treatment type t],Table_SourceData_WasteSolid_WasteTreatmentEFs[Waste type w],Table_SourceData_WasteSolid_WasteTreatmentEFs[EFwt])</f>
        <v>1.6</v>
      </c>
      <c r="K117" s="50" cm="1">
        <f t="array" ref="K117">WasteSolid_Equations.VEERG_10_1_1_1__1_EmissionsFromWasteManagement(I117, J117)</f>
        <v>0</v>
      </c>
    </row>
    <row r="118" spans="4:11" ht="20.100000000000001" customHeight="1" x14ac:dyDescent="0.25">
      <c r="D118" s="171" t="str">
        <v>Landfill</v>
      </c>
      <c r="E118" s="175" t="str">
        <v>Wood</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50">
        <f t="shared" si="2"/>
        <v>0</v>
      </c>
      <c r="I118" s="50">
        <f t="shared" si="3"/>
        <v>0</v>
      </c>
      <c r="J118" s="50" cm="1">
        <f t="array" ref="J118">Common_InputFunctions.Utility_LookupValueInTableTwoColumns(D118,E118,Table_SourceData_WasteSolid_WasteTreatmentEFs[Treatment type t],Table_SourceData_WasteSolid_WasteTreatmentEFs[Waste type w],Table_SourceData_WasteSolid_WasteTreatmentEFs[EFwt])</f>
        <v>0.7</v>
      </c>
      <c r="K118" s="50" cm="1">
        <f t="array" ref="K118">WasteSolid_Equations.VEERG_10_1_1_1__1_EmissionsFromWasteManagement(I118, J118)</f>
        <v>0</v>
      </c>
    </row>
    <row r="119" spans="4:11" ht="20.100000000000001" customHeight="1" x14ac:dyDescent="0.25">
      <c r="D119" s="171" t="str">
        <v>Landfill</v>
      </c>
      <c r="E119" s="175" t="str">
        <v>Textiles</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50">
        <f t="shared" si="2"/>
        <v>7.0000000000000009</v>
      </c>
      <c r="I119" s="50">
        <f t="shared" si="3"/>
        <v>7.0000000000000009</v>
      </c>
      <c r="J119" s="50" cm="1">
        <f t="array" ref="J119">Common_InputFunctions.Utility_LookupValueInTableTwoColumns(D119,E119,Table_SourceData_WasteSolid_WasteTreatmentEFs[Treatment type t],Table_SourceData_WasteSolid_WasteTreatmentEFs[Waste type w],Table_SourceData_WasteSolid_WasteTreatmentEFs[EFwt])</f>
        <v>2</v>
      </c>
      <c r="K119" s="50" cm="1">
        <f t="array" ref="K119">WasteSolid_Equations.VEERG_10_1_1_1__1_EmissionsFromWasteManagement(I119, J119)</f>
        <v>14.000000000000002</v>
      </c>
    </row>
    <row r="120" spans="4:11" ht="20.100000000000001" customHeight="1" x14ac:dyDescent="0.25">
      <c r="D120" s="171" t="str">
        <v>Landfill</v>
      </c>
      <c r="E120" s="175" t="str">
        <v>Sludge</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50">
        <f t="shared" si="2"/>
        <v>0</v>
      </c>
      <c r="I120" s="50">
        <f t="shared" si="3"/>
        <v>0</v>
      </c>
      <c r="J120" s="50" cm="1">
        <f t="array" ref="J120">Common_InputFunctions.Utility_LookupValueInTableTwoColumns(D120,E120,Table_SourceData_WasteSolid_WasteTreatmentEFs[Treatment type t],Table_SourceData_WasteSolid_WasteTreatmentEFs[Waste type w],Table_SourceData_WasteSolid_WasteTreatmentEFs[EFwt])</f>
        <v>0.4</v>
      </c>
      <c r="K120" s="50" cm="1">
        <f t="array" ref="K120">WasteSolid_Equations.VEERG_10_1_1_1__1_EmissionsFromWasteManagement(I120, J120)</f>
        <v>0</v>
      </c>
    </row>
    <row r="121" spans="4:11" ht="20.100000000000001" customHeight="1" x14ac:dyDescent="0.25">
      <c r="D121" s="171" t="str">
        <v>Landfill</v>
      </c>
      <c r="E121" s="175" t="str">
        <v>Rubber and leather</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50">
        <f t="shared" si="2"/>
        <v>0</v>
      </c>
      <c r="I121" s="50">
        <f t="shared" si="3"/>
        <v>0</v>
      </c>
      <c r="J121" s="50" cm="1">
        <f t="array" ref="J121">Common_InputFunctions.Utility_LookupValueInTableTwoColumns(D121,E121,Table_SourceData_WasteSolid_WasteTreatmentEFs[Treatment type t],Table_SourceData_WasteSolid_WasteTreatmentEFs[Waste type w],Table_SourceData_WasteSolid_WasteTreatmentEFs[EFwt])</f>
        <v>3.3</v>
      </c>
      <c r="K121" s="50" cm="1">
        <f t="array" ref="K121">WasteSolid_Equations.VEERG_10_1_1_1__1_EmissionsFromWasteManagement(I121, J121)</f>
        <v>0</v>
      </c>
    </row>
    <row r="122" spans="4:11" ht="20.100000000000001" customHeight="1" x14ac:dyDescent="0.25">
      <c r="D122" s="171" t="str">
        <v>Landfill</v>
      </c>
      <c r="E122" s="175" t="str">
        <v>Inert waste (including concrete, metal, plastic or glass)</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50">
        <f t="shared" si="2"/>
        <v>0</v>
      </c>
      <c r="I122" s="50">
        <f t="shared" si="3"/>
        <v>0</v>
      </c>
      <c r="J122" s="50" cm="1">
        <f t="array" ref="J122">Common_InputFunctions.Utility_LookupValueInTableTwoColumns(D122,E122,Table_SourceData_WasteSolid_WasteTreatmentEFs[Treatment type t],Table_SourceData_WasteSolid_WasteTreatmentEFs[Waste type w],Table_SourceData_WasteSolid_WasteTreatmentEFs[EFwt])</f>
        <v>0</v>
      </c>
      <c r="K122" s="50" cm="1">
        <f t="array" ref="K122">WasteSolid_Equations.VEERG_10_1_1_1__1_EmissionsFromWasteManagement(I122, J122)</f>
        <v>0</v>
      </c>
    </row>
    <row r="123" spans="4:11" ht="20.100000000000001" customHeight="1" x14ac:dyDescent="0.25">
      <c r="D123" s="171" t="str">
        <v>Landfill</v>
      </c>
      <c r="E123" s="175" t="str">
        <v>Municipal solid waste</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50">
        <f t="shared" si="2"/>
        <v>0</v>
      </c>
      <c r="I123" s="50">
        <f t="shared" si="3"/>
        <v>0</v>
      </c>
      <c r="J123" s="50" cm="1">
        <f t="array" ref="J123">Common_InputFunctions.Utility_LookupValueInTableTwoColumns(D123,E123,Table_SourceData_WasteSolid_WasteTreatmentEFs[Treatment type t],Table_SourceData_WasteSolid_WasteTreatmentEFs[Waste type w],Table_SourceData_WasteSolid_WasteTreatmentEFs[EFwt])</f>
        <v>1.6</v>
      </c>
      <c r="K123" s="50" cm="1">
        <f t="array" ref="K123">WasteSolid_Equations.VEERG_10_1_1_1__1_EmissionsFromWasteManagement(I123, J123)</f>
        <v>0</v>
      </c>
    </row>
    <row r="124" spans="4:11" ht="20.100000000000001" customHeight="1" x14ac:dyDescent="0.25">
      <c r="D124" s="171" t="str">
        <v>Landfill</v>
      </c>
      <c r="E124" s="175" t="str">
        <v>Commercial and industrial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50">
        <f t="shared" si="2"/>
        <v>0</v>
      </c>
      <c r="I124" s="50">
        <f t="shared" si="3"/>
        <v>0</v>
      </c>
      <c r="J124" s="50" cm="1">
        <f t="array" ref="J124">Common_InputFunctions.Utility_LookupValueInTableTwoColumns(D124,E124,Table_SourceData_WasteSolid_WasteTreatmentEFs[Treatment type t],Table_SourceData_WasteSolid_WasteTreatmentEFs[Waste type w],Table_SourceData_WasteSolid_WasteTreatmentEFs[EFwt])</f>
        <v>1.3</v>
      </c>
      <c r="K124" s="50" cm="1">
        <f t="array" ref="K124">WasteSolid_Equations.VEERG_10_1_1_1__1_EmissionsFromWasteManagement(I124, J124)</f>
        <v>0</v>
      </c>
    </row>
    <row r="125" spans="4:11" ht="20.100000000000001" customHeight="1" x14ac:dyDescent="0.25">
      <c r="D125" s="171" t="str">
        <v>Landfill</v>
      </c>
      <c r="E125" s="175" t="str">
        <v>Construction and demolition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50">
        <f t="shared" si="2"/>
        <v>0</v>
      </c>
      <c r="I125" s="50">
        <f t="shared" si="3"/>
        <v>0</v>
      </c>
      <c r="J125" s="50" cm="1">
        <f t="array" ref="J125">Common_InputFunctions.Utility_LookupValueInTableTwoColumns(D125,E125,Table_SourceData_WasteSolid_WasteTreatmentEFs[Treatment type t],Table_SourceData_WasteSolid_WasteTreatmentEFs[Waste type w],Table_SourceData_WasteSolid_WasteTreatmentEFs[EFwt])</f>
        <v>0.2</v>
      </c>
      <c r="K125" s="50" cm="1">
        <f t="array" ref="K125">WasteSolid_Equations.VEERG_10_1_1_1__1_EmissionsFromWasteManagement(I125, J125)</f>
        <v>0</v>
      </c>
    </row>
    <row r="126" spans="4:11" ht="20.100000000000001" customHeight="1" x14ac:dyDescent="0.25">
      <c r="D126" s="171" t="str">
        <v>Incineration</v>
      </c>
      <c r="E126" s="175" t="str">
        <v>Food waste, green waste, wood, sludge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50">
        <f t="shared" si="2"/>
        <v>0</v>
      </c>
      <c r="I126" s="50">
        <f t="shared" si="3"/>
        <v>0</v>
      </c>
      <c r="J126" s="50" cm="1">
        <f t="array" ref="J126">Common_InputFunctions.Utility_LookupValueInTableTwoColumns(D126,E126,Table_SourceData_WasteSolid_WasteTreatmentEFs[Treatment type t],Table_SourceData_WasteSolid_WasteTreatmentEFs[Waste type w],Table_SourceData_WasteSolid_WasteTreatmentEFs[EFwt])</f>
        <v>0</v>
      </c>
      <c r="K126" s="50" cm="1">
        <f t="array" ref="K126">WasteSolid_Equations.VEERG_10_1_1_1__1_EmissionsFromWasteManagement(I126, J126)</f>
        <v>0</v>
      </c>
    </row>
    <row r="127" spans="4:11" ht="20.100000000000001" customHeight="1" x14ac:dyDescent="0.25">
      <c r="D127" s="171" t="str">
        <v>Incineration</v>
      </c>
      <c r="E127" s="175" t="str">
        <v>Paper and cardboard</v>
      </c>
      <c r="F127" s="213"/>
      <c r="G127" s="50"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100</v>
      </c>
      <c r="H127" s="50">
        <f t="shared" si="2"/>
        <v>9</v>
      </c>
      <c r="I127" s="50">
        <f t="shared" si="3"/>
        <v>109</v>
      </c>
      <c r="J127" s="50" cm="1">
        <f t="array" ref="J127">Common_InputFunctions.Utility_LookupValueInTableTwoColumns(D127,E127,Table_SourceData_WasteSolid_WasteTreatmentEFs[Treatment type t],Table_SourceData_WasteSolid_WasteTreatmentEFs[Waste type w],Table_SourceData_WasteSolid_WasteTreatmentEFs[EFwt])</f>
        <v>1.6899999999999998E-2</v>
      </c>
      <c r="K127" s="50" cm="1">
        <f t="array" ref="K127">WasteSolid_Equations.VEERG_10_1_1_1__1_EmissionsFromWasteManagement(I127, J127)</f>
        <v>1.8420999999999998</v>
      </c>
    </row>
    <row r="128" spans="4:11" ht="20.100000000000001" customHeight="1" x14ac:dyDescent="0.25">
      <c r="D128" s="171" t="str">
        <v>Incineration</v>
      </c>
      <c r="E128" s="175" t="str">
        <v>Textiles</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50">
        <f t="shared" si="2"/>
        <v>0</v>
      </c>
      <c r="I128" s="50">
        <f t="shared" si="3"/>
        <v>0</v>
      </c>
      <c r="J128" s="50" cm="1">
        <f t="array" ref="J128">Common_InputFunctions.Utility_LookupValueInTableTwoColumns(D128,E128,Table_SourceData_WasteSolid_WasteTreatmentEFs[Treatment type t],Table_SourceData_WasteSolid_WasteTreatmentEFs[Waste type w],Table_SourceData_WasteSolid_WasteTreatmentEFs[EFwt])</f>
        <v>0.36670000000000003</v>
      </c>
      <c r="K128" s="50" cm="1">
        <f t="array" ref="K128">WasteSolid_Equations.VEERG_10_1_1_1__1_EmissionsFromWasteManagement(I128, J128)</f>
        <v>0</v>
      </c>
    </row>
    <row r="129" spans="1:11" ht="20.100000000000001" customHeight="1" x14ac:dyDescent="0.25">
      <c r="D129" s="171" t="str">
        <v>Incineration</v>
      </c>
      <c r="E129" s="175" t="str">
        <v>Rubber and leather</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50">
        <f t="shared" si="2"/>
        <v>0</v>
      </c>
      <c r="I129" s="50">
        <f t="shared" si="3"/>
        <v>0</v>
      </c>
      <c r="J129" s="50" cm="1">
        <f t="array" ref="J129">Common_InputFunctions.Utility_LookupValueInTableTwoColumns(D129,E129,Table_SourceData_WasteSolid_WasteTreatmentEFs[Treatment type t],Table_SourceData_WasteSolid_WasteTreatmentEFs[Waste type w],Table_SourceData_WasteSolid_WasteTreatmentEFs[EFwt])</f>
        <v>0.4919</v>
      </c>
      <c r="K129" s="50" cm="1">
        <f t="array" ref="K129">WasteSolid_Equations.VEERG_10_1_1_1__1_EmissionsFromWasteManagement(I129, J129)</f>
        <v>0</v>
      </c>
    </row>
    <row r="130" spans="1:11" ht="20.100000000000001" customHeight="1" x14ac:dyDescent="0.25">
      <c r="D130" s="171" t="str">
        <v>Incineration</v>
      </c>
      <c r="E130" s="175" t="str">
        <v>Inert Waste</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50">
        <f t="shared" si="2"/>
        <v>0</v>
      </c>
      <c r="I130" s="50">
        <f t="shared" si="3"/>
        <v>0</v>
      </c>
      <c r="J130" s="50" cm="1">
        <f t="array" ref="J130">Common_InputFunctions.Utility_LookupValueInTableTwoColumns(D130,E130,Table_SourceData_WasteSolid_WasteTreatmentEFs[Treatment type t],Table_SourceData_WasteSolid_WasteTreatmentEFs[Waste type w],Table_SourceData_WasteSolid_WasteTreatmentEFs[EFwt])</f>
        <v>0.11</v>
      </c>
      <c r="K130" s="50" cm="1">
        <f t="array" ref="K130">WasteSolid_Equations.VEERG_10_1_1_1__1_EmissionsFromWasteManagement(I130, J130)</f>
        <v>0</v>
      </c>
    </row>
    <row r="131" spans="1:11" ht="20.100000000000001" customHeight="1" x14ac:dyDescent="0.25">
      <c r="D131" s="171" t="str">
        <v>Incineration</v>
      </c>
      <c r="E131" s="175" t="str">
        <v>Municipal Solid Waste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31" s="50">
        <f t="shared" si="2"/>
        <v>0</v>
      </c>
      <c r="I131" s="50">
        <f t="shared" si="3"/>
        <v>0</v>
      </c>
      <c r="J131" s="50" cm="1">
        <f t="array" ref="J131">Common_InputFunctions.Utility_LookupValueInTableTwoColumns(D131,E131,Table_SourceData_WasteSolid_WasteTreatmentEFs[Treatment type t],Table_SourceData_WasteSolid_WasteTreatmentEFs[Waste type w],Table_SourceData_WasteSolid_WasteTreatmentEFs[EFwt])</f>
        <v>5.3699999999999998E-2</v>
      </c>
      <c r="K131" s="50" cm="1">
        <f t="array" ref="K131">WasteSolid_Equations.VEERG_10_1_1_1__1_EmissionsFromWasteManagement(I131, J131)</f>
        <v>0</v>
      </c>
    </row>
    <row r="132" spans="1:11" ht="20.100000000000001" customHeight="1" x14ac:dyDescent="0.25">
      <c r="D132" s="171" t="str">
        <v>Incineration</v>
      </c>
      <c r="E132" s="175" t="str">
        <v>Industrial Waste</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50">
        <f t="shared" si="2"/>
        <v>0</v>
      </c>
      <c r="I132" s="50">
        <f t="shared" si="3"/>
        <v>0</v>
      </c>
      <c r="J132" s="50" cm="1">
        <f t="array" ref="J132">Common_InputFunctions.Utility_LookupValueInTableTwoColumns(D132,E132,Table_SourceData_WasteSolid_WasteTreatmentEFs[Treatment type t],Table_SourceData_WasteSolid_WasteTreatmentEFs[Waste type w],Table_SourceData_WasteSolid_WasteTreatmentEFs[EFwt])</f>
        <v>1.649</v>
      </c>
      <c r="K132" s="50" cm="1">
        <f t="array" ref="K132">WasteSolid_Equations.VEERG_10_1_1_1__1_EmissionsFromWasteManagement(I132, J132)</f>
        <v>0</v>
      </c>
    </row>
    <row r="133" spans="1:11" ht="20.100000000000001" customHeight="1" x14ac:dyDescent="0.25">
      <c r="D133" s="171" t="str">
        <v>Composting</v>
      </c>
      <c r="E133" s="175" t="str">
        <v>All organic waste</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50">
        <f t="shared" si="2"/>
        <v>0</v>
      </c>
      <c r="I133" s="50">
        <f t="shared" si="3"/>
        <v>0</v>
      </c>
      <c r="J133" s="50" cm="1">
        <f t="array" ref="J133">Common_InputFunctions.Utility_LookupValueInTableTwoColumns(D133,E133,Table_SourceData_WasteSolid_WasteTreatmentEFs[Treatment type t],Table_SourceData_WasteSolid_WasteTreatmentEFs[Waste type w],Table_SourceData_WasteSolid_WasteTreatmentEFs[EFwt])</f>
        <v>4.5999999999999999E-2</v>
      </c>
      <c r="K133" s="50" cm="1">
        <f t="array" ref="K133">WasteSolid_Equations.VEERG_10_1_1_1__1_EmissionsFromWasteManagement(I133, J133)</f>
        <v>0</v>
      </c>
    </row>
    <row r="134" spans="1:11" ht="20.100000000000001" customHeight="1" x14ac:dyDescent="0.25">
      <c r="D134" s="171" t="str">
        <v>Anaerobic digestion</v>
      </c>
      <c r="E134" s="175" t="str">
        <v>All organic waste</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50">
        <f t="shared" si="2"/>
        <v>0</v>
      </c>
      <c r="I134" s="50">
        <f t="shared" si="3"/>
        <v>0</v>
      </c>
      <c r="J134" s="50" cm="1">
        <f t="array" ref="J134">Common_InputFunctions.Utility_LookupValueInTableTwoColumns(D134,E134,Table_SourceData_WasteSolid_WasteTreatmentEFs[Treatment type t],Table_SourceData_WasteSolid_WasteTreatmentEFs[Waste type w],Table_SourceData_WasteSolid_WasteTreatmentEFs[EFwt])</f>
        <v>2.8000000000000001E-2</v>
      </c>
      <c r="K134" s="50" cm="1">
        <f t="array" ref="K134">WasteSolid_Equations.VEERG_10_1_1_1__1_EmissionsFromWasteManagement(I134, J134)</f>
        <v>0</v>
      </c>
    </row>
    <row r="135" spans="1:11" ht="20.100000000000001" customHeight="1" x14ac:dyDescent="0.25"/>
    <row r="136" spans="1:11" ht="20.100000000000001" customHeight="1" x14ac:dyDescent="0.25">
      <c r="A136" s="56" t="str">
        <f>HYPERLINK("#A1", "▲ Back to top")</f>
        <v>▲ Back to top</v>
      </c>
      <c r="D136" s="180" t="s">
        <v>818</v>
      </c>
      <c r="E136" s="181">
        <f>SUM(K115:K134)</f>
        <v>330.84210000000002</v>
      </c>
      <c r="F136" s="182"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F150:I150 F148:I148 I149" xr:uid="{12155818-0767-4DC7-AC09-E83CEA44820F}"/>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L90"/>
  <sheetViews>
    <sheetView showGridLines="0" zoomScale="85" zoomScaleNormal="85" workbookViewId="0">
      <selection activeCell="I71" sqref="I71"/>
    </sheetView>
  </sheetViews>
  <sheetFormatPr defaultRowHeight="15.75" x14ac:dyDescent="0.25"/>
  <cols>
    <col min="1" max="1" width="30.625" customWidth="1"/>
    <col min="2" max="2" width="4.625" customWidth="1"/>
    <col min="3" max="3" width="4.625" style="8" customWidth="1"/>
    <col min="4" max="12" width="30.625" style="8" customWidth="1"/>
  </cols>
  <sheetData>
    <row r="1" spans="4:10" ht="30" customHeight="1" x14ac:dyDescent="0.25"/>
    <row r="2" spans="4:10" ht="20.100000000000001" customHeight="1" x14ac:dyDescent="0.25"/>
    <row r="3" spans="4:10" ht="20.100000000000001" customHeight="1" x14ac:dyDescent="0.25"/>
    <row r="4" spans="4:10" ht="20.100000000000001" customHeight="1" x14ac:dyDescent="0.25"/>
    <row r="5" spans="4:10"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row>
    <row r="6" spans="4:10" ht="20.100000000000001" customHeight="1" x14ac:dyDescent="0.25">
      <c r="D6" s="11" t="str" cm="1">
        <f t="array" ref="D6">Fertiliser_Equations_OrganicN2O.VEERG_5_2_1_1__1_OrganicFertiliserApplicationN2OEmissions_Source()</f>
        <v>VEERG 2026: 5.2.1.1, Equation (1)</v>
      </c>
    </row>
    <row r="7" spans="4:10" ht="20.100000000000001" customHeight="1" x14ac:dyDescent="0.25">
      <c r="D7" s="176" t="s">
        <v>635</v>
      </c>
      <c r="E7" s="176" t="str" cm="1">
        <f t="array" aca="1" ref="E7" ca="1">Common_InputFunctions.Utility_DisplayFunctionName(E19)</f>
        <v>=Fertiliser_Equations_OrganicN2O.VEERG_5_2_1_1__1_OrganicFertiliserApplicationN2OEmissions</v>
      </c>
    </row>
    <row r="8" spans="4:10" ht="20.100000000000001" customHeight="1" x14ac:dyDescent="0.25"/>
    <row r="9" spans="4:10" ht="20.100000000000001" customHeight="1" x14ac:dyDescent="0.25"/>
    <row r="10" spans="4:10" ht="20.100000000000001" customHeight="1" x14ac:dyDescent="0.25">
      <c r="D10" s="28" t="s">
        <v>636</v>
      </c>
      <c r="E10" s="8" t="str" cm="1">
        <f t="array" ref="E10">Fertiliser_Equations_OrganicN2O.VEERG_5_2_1_1__1_OrganicFertiliserApplicationN2OEmissions_Variable()</f>
        <v>E_N2O</v>
      </c>
    </row>
    <row r="11" spans="4:10" ht="20.100000000000001" customHeight="1" x14ac:dyDescent="0.25">
      <c r="D11" s="28" t="s">
        <v>97</v>
      </c>
      <c r="E11" s="13" t="str" cm="1">
        <f t="array" ref="E11">Fertiliser_Equations_OrganicN2O.VEERG_5_2_1_1__1_OrganicFertiliserApplicationN2OEmissions_Unit()</f>
        <v>t N2O</v>
      </c>
    </row>
    <row r="12" spans="4:10" ht="20.100000000000001" customHeight="1" x14ac:dyDescent="0.25"/>
    <row r="13" spans="4:10"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'Input - Waste sent off-site'!$F$10</f>
        <v>1000</v>
      </c>
    </row>
    <row r="14" spans="4:10"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row>
    <row r="15" spans="4:10"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row>
    <row r="16" spans="4:10" ht="20.100000000000001" customHeight="1" x14ac:dyDescent="0.25">
      <c r="D16" s="171" t="str">
        <v>j</v>
      </c>
      <c r="E16" s="175" t="str">
        <v>Production system</v>
      </c>
      <c r="F16" s="209"/>
      <c r="G16" s="170"/>
      <c r="H16" s="171" t="str">
        <v/>
      </c>
      <c r="I16" s="172" t="str">
        <v>Input</v>
      </c>
      <c r="J16" s="171" t="str">
        <f>X_Cell_WasteSentOffsite_ManureProductionSystem</f>
        <v>Crop</v>
      </c>
    </row>
    <row r="17" spans="4:10" ht="20.100000000000001" customHeight="1" x14ac:dyDescent="0.25">
      <c r="D17" s="171" t="str">
        <v>i</v>
      </c>
      <c r="E17" s="175" t="str">
        <v>Wet or dry climate zone</v>
      </c>
      <c r="F17" s="209"/>
      <c r="G17" s="170"/>
      <c r="H17" s="171" t="str">
        <v/>
      </c>
      <c r="I17" s="172" t="str">
        <v>Input</v>
      </c>
      <c r="J17" s="171" t="str">
        <f>X_Cell_Site_WetOrDryClimateZone</f>
        <v>Dry climate zone</v>
      </c>
    </row>
    <row r="18" spans="4:10" ht="20.100000000000001" customHeight="1" x14ac:dyDescent="0.25"/>
    <row r="19" spans="4:10" ht="20.100000000000001" customHeight="1" x14ac:dyDescent="0.25">
      <c r="D19" s="180" t="s">
        <v>755</v>
      </c>
      <c r="E19" s="181" cm="1">
        <f t="array" ref="E19">Fertiliser_Equations_OrganicN2O.VEERG_5_2_1_1__1_OrganicFertiliserApplicationN2OEmissions(J13,J14,J15)</f>
        <v>7.8571428571428577E-3</v>
      </c>
      <c r="F19" s="182" t="str">
        <f>$E$11</f>
        <v>t N2O</v>
      </c>
    </row>
    <row r="20" spans="4:10" ht="20.100000000000001" customHeight="1" x14ac:dyDescent="0.25"/>
    <row r="21" spans="4:10" ht="20.100000000000001" customHeight="1" x14ac:dyDescent="0.25"/>
    <row r="22" spans="4:10" ht="20.100000000000001" customHeight="1" x14ac:dyDescent="0.25"/>
    <row r="23" spans="4:10" ht="20.100000000000001" customHeight="1" x14ac:dyDescent="0.25"/>
    <row r="24" spans="4:1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row>
    <row r="25" spans="4:10" ht="20.100000000000001" customHeight="1" x14ac:dyDescent="0.25">
      <c r="D25" s="11" t="str" cm="1">
        <f t="array" ref="D25">Fertiliser_Equations_AtmosphericDeposition.VEERG_5_4_1_3__2_MassOfNitrogenVolatilisedFromOrganicFertiliser_Source()</f>
        <v>VEERG 2026: 5.4.1.3, Equation (2)</v>
      </c>
    </row>
    <row r="26" spans="4:10" ht="20.100000000000001" customHeight="1" x14ac:dyDescent="0.25">
      <c r="D26" s="176" t="s">
        <v>635</v>
      </c>
      <c r="E26" s="176" t="str" cm="1">
        <f t="array" aca="1" ref="E26" ca="1">Common_InputFunctions.Utility_DisplayFunctionName(E35)</f>
        <v>=Fertiliser_Equations_AtmosphericDeposition.VEERG_5_4_1_3__2_MassOfNitrogenVolatilisedFromOrganicFertiliser</v>
      </c>
    </row>
    <row r="27" spans="4:10" ht="20.100000000000001" customHeight="1" x14ac:dyDescent="0.25"/>
    <row r="28" spans="4:10" ht="20.100000000000001" customHeight="1" x14ac:dyDescent="0.25"/>
    <row r="29" spans="4:10" ht="20.100000000000001" customHeight="1" x14ac:dyDescent="0.25">
      <c r="D29" s="28" t="s">
        <v>636</v>
      </c>
      <c r="E29" s="8" t="str" cm="1">
        <f t="array" ref="E29">Fertiliser_Equations_AtmosphericDeposition.VEERG_5_4_1_3__2_MassOfNitrogenVolatilisedFromOrganicFertiliser_Variable()</f>
        <v>M_volorganicjf</v>
      </c>
    </row>
    <row r="30" spans="4:10" ht="20.100000000000001" customHeight="1" x14ac:dyDescent="0.25">
      <c r="D30" s="28" t="s">
        <v>97</v>
      </c>
      <c r="E30" s="13" t="str" cm="1">
        <f t="array" ref="E30">Fertiliser_Equations_AtmosphericDeposition.VEERG_5_4_1_3__2_MassOfNitrogenVolatilisedFromOrganicFertiliser_Unit()</f>
        <v>kg N</v>
      </c>
    </row>
    <row r="31" spans="4:10" ht="20.100000000000001" customHeight="1" x14ac:dyDescent="0.25"/>
    <row r="32" spans="4:1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'Input - Waste sent off-site'!$F$10</f>
        <v>1000</v>
      </c>
    </row>
    <row r="33" spans="4: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row>
    <row r="34" spans="4:9" ht="20.100000000000001" customHeight="1" x14ac:dyDescent="0.25"/>
    <row r="35" spans="4:9" ht="20.100000000000001" customHeight="1" x14ac:dyDescent="0.25">
      <c r="D35" s="178" t="s">
        <v>757</v>
      </c>
      <c r="E35" s="101" cm="1">
        <f t="array" ref="E35">Fertiliser_Equations_AtmosphericDeposition.VEERG_5_4_1_3__2_MassOfNitrogenVolatilisedFromOrganicFertiliser(I32,I33)</f>
        <v>210</v>
      </c>
      <c r="F35" s="179" t="str">
        <f>E30</f>
        <v>kg N</v>
      </c>
    </row>
    <row r="36" spans="4:9" ht="20.100000000000001" customHeight="1" x14ac:dyDescent="0.25"/>
    <row r="37" spans="4:9" ht="20.100000000000001" customHeight="1" x14ac:dyDescent="0.25"/>
    <row r="38" spans="4:9" ht="20.100000000000001" customHeight="1" x14ac:dyDescent="0.25"/>
    <row r="39" spans="4:9" ht="20.100000000000001" customHeight="1" x14ac:dyDescent="0.25"/>
    <row r="40" spans="4: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row>
    <row r="41" spans="4:9" ht="20.100000000000001" customHeight="1" x14ac:dyDescent="0.25">
      <c r="D41" s="11" t="str" cm="1">
        <f t="array" ref="D41">Fertiliser_Equations_AtmosphericDeposition.VEERG_5_4_1_3__1_OrganicFertiliserAtmosphericDepositionN2OEmissions_Source()</f>
        <v>VEERG 2026: 5.4.1.3, Equation (1)</v>
      </c>
    </row>
    <row r="42" spans="4:9" ht="20.100000000000001" customHeight="1" x14ac:dyDescent="0.25">
      <c r="D42" s="176" t="s">
        <v>635</v>
      </c>
      <c r="E42" s="176" t="str" cm="1">
        <f t="array" aca="1" ref="E42" ca="1">Common_InputFunctions.Utility_DisplayFunctionName(E55)</f>
        <v>=Fertiliser_Equations_AtmosphericDeposition.VEERG_5_4_1_3__1_OrganicFertiliserAtmosphericDepositionN2OEmissions</v>
      </c>
    </row>
    <row r="43" spans="4:9" ht="20.100000000000001" customHeight="1" x14ac:dyDescent="0.25"/>
    <row r="44" spans="4:9" ht="20.100000000000001" customHeight="1" x14ac:dyDescent="0.25"/>
    <row r="45" spans="4:9" ht="20.100000000000001" customHeight="1" x14ac:dyDescent="0.25">
      <c r="D45" s="28" t="s">
        <v>636</v>
      </c>
      <c r="E45" s="8" t="str" cm="1">
        <f t="array" ref="E45">Fertiliser_Equations_AtmosphericDeposition.VEERG_5_4_1_3__1_OrganicFertiliserAtmosphericDepositionN2OEmissions_Variable()</f>
        <v>E_adorganic</v>
      </c>
    </row>
    <row r="46" spans="4:9" ht="20.100000000000001" customHeight="1" x14ac:dyDescent="0.25">
      <c r="D46" s="28" t="s">
        <v>97</v>
      </c>
      <c r="E46" s="13" t="str" cm="1">
        <f t="array" ref="E46">Fertiliser_Equations_AtmosphericDeposition.VEERG_5_4_1_3__1_OrganicFertiliserAtmosphericDepositionN2OEmissions_Unit()</f>
        <v>t N2O</v>
      </c>
    </row>
    <row r="47" spans="4:9" ht="20.100000000000001" customHeight="1" x14ac:dyDescent="0.25"/>
    <row r="48" spans="4: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row>
    <row r="49" spans="4: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row>
    <row r="50" spans="4: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row>
    <row r="51" spans="4:9" ht="20.100000000000001" customHeight="1" x14ac:dyDescent="0.25">
      <c r="D51" s="171" t="str">
        <v>j</v>
      </c>
      <c r="E51" s="175" t="str">
        <v>Production system</v>
      </c>
      <c r="F51" s="170"/>
      <c r="G51" s="171" t="str">
        <v/>
      </c>
      <c r="H51" s="172" t="str">
        <v>Input</v>
      </c>
      <c r="I51" s="171" t="str">
        <f>X_Cell_WasteSentOffsite_ManureProductionSystem</f>
        <v>Crop</v>
      </c>
    </row>
    <row r="52" spans="4:9" ht="20.100000000000001" customHeight="1" x14ac:dyDescent="0.25">
      <c r="D52" s="171" t="str">
        <v>ir</v>
      </c>
      <c r="E52" s="175" t="str">
        <v>irrigation method</v>
      </c>
      <c r="F52" s="170"/>
      <c r="G52" s="171" t="str">
        <v/>
      </c>
      <c r="H52" s="172" t="str">
        <v>Input</v>
      </c>
      <c r="I52" s="171" t="str">
        <f>X_Cell_WasteSentOffsite_ManureIrrigationMethod</f>
        <v>Sprinkler irrigation</v>
      </c>
    </row>
    <row r="53" spans="4:9" ht="20.100000000000001" customHeight="1" x14ac:dyDescent="0.25">
      <c r="D53" s="171" t="str">
        <v>r</v>
      </c>
      <c r="E53" s="175" t="str">
        <v>rainfall region</v>
      </c>
      <c r="F53" s="170"/>
      <c r="G53" s="171" t="str">
        <v/>
      </c>
      <c r="H53" s="172" t="str">
        <v>Input</v>
      </c>
      <c r="I53" s="171" t="str">
        <f>X_Cell_Site_RainfallZone</f>
        <v>Low rainfall</v>
      </c>
    </row>
    <row r="54" spans="4:9" ht="20.100000000000001" customHeight="1" x14ac:dyDescent="0.25"/>
    <row r="55" spans="4:9" ht="20.100000000000001" customHeight="1" x14ac:dyDescent="0.25">
      <c r="D55" s="180" t="s">
        <v>771</v>
      </c>
      <c r="E55" s="181" cm="1">
        <f t="array" ref="E55">Fertiliser_Equations_AtmosphericDeposition.VEERG_5_4_1_3__1_OrganicFertiliserAtmosphericDepositionN2OEmissions(I48,I49,I50)</f>
        <v>2.31E-3</v>
      </c>
      <c r="F55" s="182" t="str">
        <f>$E$46</f>
        <v>t N2O</v>
      </c>
    </row>
    <row r="56" spans="4:9" ht="20.100000000000001" customHeight="1" x14ac:dyDescent="0.25"/>
    <row r="57" spans="4:9" ht="20.100000000000001" customHeight="1" x14ac:dyDescent="0.25"/>
    <row r="58" spans="4:9" ht="20.100000000000001" customHeight="1" x14ac:dyDescent="0.25"/>
    <row r="59" spans="4: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row>
    <row r="60" spans="4:9" ht="20.100000000000001" customHeight="1" x14ac:dyDescent="0.25">
      <c r="D60" s="11" t="str" cm="1">
        <f t="array" ref="D60">Fertiliser_Equations_LeachingAndRunoff.VEERG_5_5_1_1__3_MassOfNitrogenLeachedFromOrganicFertiliser_Source()</f>
        <v>VEERG 2026: 5.5, Equation (3)</v>
      </c>
    </row>
    <row r="61" spans="4:9" ht="20.100000000000001" customHeight="1" x14ac:dyDescent="0.25">
      <c r="D61" s="176" t="s">
        <v>635</v>
      </c>
      <c r="E61" s="176" t="str" cm="1">
        <f t="array" aca="1" ref="E61" ca="1">Common_InputFunctions.Utility_DisplayFunctionName(E74)</f>
        <v>=Fertiliser_Equations_LeachingAndRunoff.VEERG_5_5_1_1__3_MassOfNitrogenLeachedFromOrganicFertiliser</v>
      </c>
    </row>
    <row r="62" spans="4:9" ht="20.100000000000001" customHeight="1" x14ac:dyDescent="0.25"/>
    <row r="63" spans="4:9" ht="20.100000000000001" customHeight="1" x14ac:dyDescent="0.25"/>
    <row r="64" spans="4:9" ht="20.100000000000001" customHeight="1" x14ac:dyDescent="0.25">
      <c r="D64" s="28" t="s">
        <v>636</v>
      </c>
      <c r="E64" s="8" t="str" cm="1">
        <f t="array" ref="E64">Fertiliser_Equations_LeachingAndRunoff.VEERG_5_5_1_1__3_MassOfNitrogenLeachedFromOrganicFertiliser_Variable()</f>
        <v>M_leachorganicj</v>
      </c>
    </row>
    <row r="65" spans="4:9" ht="20.100000000000001" customHeight="1" x14ac:dyDescent="0.25">
      <c r="D65" s="28" t="s">
        <v>97</v>
      </c>
      <c r="E65" s="13" t="str" cm="1">
        <f t="array" ref="E65">Fertiliser_Equations_LeachingAndRunoff.VEERG_5_5_1_1__3_MassOfNitrogenLeachedFromOrganicFertiliser_Unit()</f>
        <v>kg N</v>
      </c>
    </row>
    <row r="66" spans="4:9" ht="20.100000000000001" customHeight="1" x14ac:dyDescent="0.25"/>
    <row r="67" spans="4: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'Input - Waste sent off-site'!$F$10</f>
        <v>1000</v>
      </c>
    </row>
    <row r="68" spans="4: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row>
    <row r="69" spans="4: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row>
    <row r="70" spans="4:9" ht="20.100000000000001" customHeight="1" x14ac:dyDescent="0.25">
      <c r="D70" s="171" t="str">
        <v>z</v>
      </c>
      <c r="E70" s="175" t="str">
        <v>location in leaching zone</v>
      </c>
      <c r="F70" s="170"/>
      <c r="G70" s="171" t="str">
        <v/>
      </c>
      <c r="H70" s="172" t="str">
        <v>Input</v>
      </c>
      <c r="I70" s="171" t="str">
        <f>X_Cell_Site_LeachingZone</f>
        <v>NO - Not in leaching zone</v>
      </c>
    </row>
    <row r="71" spans="4:9" ht="20.100000000000001" customHeight="1" x14ac:dyDescent="0.25">
      <c r="D71" s="171" t="str">
        <v>j</v>
      </c>
      <c r="E71" s="175" t="str">
        <v>production system</v>
      </c>
      <c r="F71" s="170"/>
      <c r="G71" s="171" t="str">
        <v/>
      </c>
      <c r="H71" s="172" t="str">
        <v>Input</v>
      </c>
      <c r="I71" s="171" t="str">
        <f>X_Cell_WasteSentOffsite_ManureProductionSystem</f>
        <v>Crop</v>
      </c>
    </row>
    <row r="72" spans="4:9" ht="20.100000000000001" customHeight="1" x14ac:dyDescent="0.25">
      <c r="D72" s="171" t="str">
        <v>ir</v>
      </c>
      <c r="E72" s="175" t="str">
        <v>irrigation method</v>
      </c>
      <c r="F72" s="170"/>
      <c r="G72" s="171" t="str">
        <v/>
      </c>
      <c r="H72" s="172" t="str">
        <v>Input</v>
      </c>
      <c r="I72" s="171" t="str">
        <f>X_Cell_WasteSentOffsite_ManureIrrigationMethod</f>
        <v>Sprinkler irrigation</v>
      </c>
    </row>
    <row r="73" spans="4:9" ht="20.100000000000001" customHeight="1" x14ac:dyDescent="0.25"/>
    <row r="74" spans="4:9" ht="20.100000000000001" customHeight="1" x14ac:dyDescent="0.25">
      <c r="D74" s="178" t="s">
        <v>772</v>
      </c>
      <c r="E74" s="101" cm="1">
        <f t="array" ref="E74">Fertiliser_Equations_LeachingAndRunoff.VEERG_5_5_1_1__3_MassOfNitrogenLeachedFromOrganicFertiliser(I67,I68,I69)</f>
        <v>240</v>
      </c>
      <c r="F74" s="179" t="str">
        <f>$E$65</f>
        <v>kg N</v>
      </c>
    </row>
    <row r="75" spans="4:9" ht="20.100000000000001" customHeight="1" x14ac:dyDescent="0.25"/>
    <row r="76" spans="4:9" ht="20.100000000000001" customHeight="1" x14ac:dyDescent="0.25"/>
    <row r="77" spans="4: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row>
    <row r="78" spans="4:9" ht="20.100000000000001" customHeight="1" x14ac:dyDescent="0.25">
      <c r="D78" s="11" t="str" cm="1">
        <f t="array" ref="D78">Fertiliser_Equations_LeachingAndRunoff.VEERG_5_5_1_1__1_FertiliserLeachingAndRunoffN2OEmissions_Source()</f>
        <v>VEERG 2026: 5.5, Equation (1)</v>
      </c>
    </row>
    <row r="79" spans="4:9" ht="20.100000000000001" customHeight="1" x14ac:dyDescent="0.25">
      <c r="D79" s="176" t="s">
        <v>635</v>
      </c>
      <c r="E79" s="176" t="str" cm="1">
        <f t="array" aca="1" ref="E79" ca="1">Common_InputFunctions.Utility_DisplayFunctionName(E90)</f>
        <v>=Fertiliser_Equations_LeachingAndRunoff.VEERG_5_5_1_1__1_FertiliserLeachingAndRunoffN2OEmissions</v>
      </c>
    </row>
    <row r="80" spans="4:9" ht="20.100000000000001" customHeight="1" x14ac:dyDescent="0.25"/>
    <row r="81" spans="4:10" ht="20.100000000000001" customHeight="1" x14ac:dyDescent="0.25"/>
    <row r="82" spans="4:10" ht="20.100000000000001" customHeight="1" x14ac:dyDescent="0.25">
      <c r="D82" s="28" t="s">
        <v>636</v>
      </c>
      <c r="E82" s="8" t="str" cm="1">
        <f t="array" ref="E82">Fertiliser_Equations_LeachingAndRunoff.VEERG_5_5_1_1__1_FertiliserLeachingAndRunoffN2OEmissions_Variable()</f>
        <v>E_fertleach</v>
      </c>
    </row>
    <row r="83" spans="4:10" x14ac:dyDescent="0.25">
      <c r="D83" s="28" t="s">
        <v>97</v>
      </c>
      <c r="E83" s="13" t="str" cm="1">
        <f t="array" ref="E83">Fertiliser_Equations_LeachingAndRunoff.VEERG_5_5_1_1__1_FertiliserLeachingAndRunoffN2OEmissions_Unit()</f>
        <v>t N2O</v>
      </c>
    </row>
    <row r="85" spans="4:1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row>
    <row r="86" spans="4:1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row>
    <row r="87" spans="4:10" x14ac:dyDescent="0.25">
      <c r="D87" s="171" t="str">
        <v>EF_leach</v>
      </c>
      <c r="E87" s="175" t="str">
        <v>emission factor for nitrogen leaching and runoff</v>
      </c>
      <c r="F87" s="209"/>
      <c r="G87" s="170"/>
      <c r="H87" s="171" t="str">
        <v>kg N2O-N/kg N</v>
      </c>
      <c r="I87" s="173" t="str">
        <v>Constant</v>
      </c>
      <c r="J87" s="171">
        <f>'Constants - Fertiliser'!$E$83</f>
        <v>1.0999999999999999E-2</v>
      </c>
    </row>
    <row r="88" spans="4:1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row>
    <row r="90" spans="4:10" ht="23.25" x14ac:dyDescent="0.25">
      <c r="D90" s="180" t="s">
        <v>773</v>
      </c>
      <c r="E90" s="181" cm="1">
        <f t="array" ref="E90">Fertiliser_Equations_LeachingAndRunoff.VEERG_5_5_1_1__1_FertiliserLeachingAndRunoffN2OEmissions(J85,J86,J87,J88)</f>
        <v>4.1485714285714277E-3</v>
      </c>
      <c r="F90" s="182" t="str">
        <f>$E$83</f>
        <v>t N2O</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54" zoomScale="85" zoomScaleNormal="85" workbookViewId="0">
      <selection activeCell="L25" sqref="L25"/>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719</v>
      </c>
    </row>
    <row r="2" spans="1:18" s="2" customFormat="1" ht="20.100000000000001" customHeight="1" x14ac:dyDescent="0.25"/>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635</v>
      </c>
      <c r="E7" s="176" t="str" cm="1">
        <f t="array" aca="1" ref="E7" ca="1">Common_InputFunctions.Utility_DisplayFunctionName(N25)</f>
        <v>=Fuel_Equations.VEERG_8_1_1_1__1_FuelCombustionTransport</v>
      </c>
      <c r="K7" s="176" t="s">
        <v>635</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636</v>
      </c>
      <c r="E11" s="8" t="str" cm="1">
        <f t="array" ref="E11">Fuel_Equations.VEERG_8_1_1_1__1_FuelCombustionTransport_Variable()</f>
        <v>E_g</v>
      </c>
      <c r="K11" s="28" t="s">
        <v>636</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97</v>
      </c>
      <c r="E12" s="13" t="str" cm="1">
        <f t="array" ref="E12">Fuel_Equations.VEERG_8_1_1_1__1_FuelCombustionTransport_Unit()</f>
        <v>t CO2-e</v>
      </c>
      <c r="K12" s="28" t="s">
        <v>97</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130</v>
      </c>
    </row>
    <row r="24" spans="1:17" ht="20.100000000000001" customHeight="1" x14ac:dyDescent="0.25">
      <c r="D24" s="60" t="s">
        <v>131</v>
      </c>
      <c r="E24" s="60" t="s">
        <v>132</v>
      </c>
      <c r="F24" s="60" t="s">
        <v>133</v>
      </c>
      <c r="G24" s="60" t="s">
        <v>720</v>
      </c>
      <c r="H24" s="60" t="s">
        <v>721</v>
      </c>
      <c r="I24" s="60" t="s">
        <v>722</v>
      </c>
      <c r="J24" s="60" t="s">
        <v>723</v>
      </c>
      <c r="K24" s="60" t="s">
        <v>724</v>
      </c>
      <c r="L24" s="47" t="s">
        <v>725</v>
      </c>
      <c r="M24" s="60" t="s">
        <v>726</v>
      </c>
      <c r="N24" s="60" t="s">
        <v>727</v>
      </c>
      <c r="O24" s="60" t="s">
        <v>728</v>
      </c>
      <c r="P24" s="60" t="s">
        <v>729</v>
      </c>
      <c r="Q24" s="60" t="s">
        <v>730</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0.1</v>
      </c>
      <c r="M26" s="185" t="str" cm="1">
        <f t="array" ref="M26">Common_InputFunctions.Utility_LookupValueInTable(F26,Table_FuelTypes_Units[Fuel type],Table_FuelTypes_Units[Unit])</f>
        <v>kL</v>
      </c>
      <c r="N26" s="186" cm="1">
        <f t="array" ref="N26">Fuel_Equations.VEERG_8_1_1_1__1_FuelCombustionTransport($L26,$G26,$H26)</f>
        <v>0.26981400000000005</v>
      </c>
      <c r="O26" s="186" cm="1">
        <f t="array" ref="O26">Fuel_Equations.VEERG_8_1_1_1__1_FuelCombustionTransport($L26,$G26,$I26)</f>
        <v>3.8600000000000003E-5</v>
      </c>
      <c r="P26" s="186" cm="1">
        <f t="array" ref="P26">Fuel_Equations.VEERG_8_1_1_1__1_FuelCombustionTransport($L26,$G26,$J26)</f>
        <v>1.9300000000000003E-3</v>
      </c>
      <c r="Q26" s="186" cm="1">
        <f t="array" ref="Q26">Scope3_Equations.VEERG_15_11_1_1__2_UpstreamTransportFuelEmissions(L26,G26,K26)</f>
        <v>6.6778000000000004E-2</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0</v>
      </c>
      <c r="M33" s="192" t="str" cm="1">
        <f t="array" ref="M33">Common_InputFunctions.Utility_LookupValueInTable(F33,Table_FuelTypes_Units[Fuel type],Table_FuelTypes_Units[Unit])</f>
        <v>kL</v>
      </c>
      <c r="N33" s="193" cm="1">
        <f t="array" ref="N33">Fuel_Equations.VEERG_8_1_1_1__1_FuelCombustionTransport($L33,$G33,$H33)</f>
        <v>0</v>
      </c>
      <c r="O33" s="193" cm="1">
        <f t="array" ref="O33">Fuel_Equations.VEERG_8_1_1_1__1_FuelCombustionTransport($L33,$G33,$I33)</f>
        <v>0</v>
      </c>
      <c r="P33" s="193" cm="1">
        <f t="array" ref="P33">Fuel_Equations.VEERG_8_1_1_1__1_FuelCombustionTransport($L33,$G33,$J33)</f>
        <v>0</v>
      </c>
      <c r="Q33" s="194" cm="1">
        <f t="array" ref="Q33">Scope3_Equations.VEERG_15_11_1_1__2_UpstreamTransportFuelEmissions(L33,G33,K33)</f>
        <v>0</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0.1</v>
      </c>
      <c r="M34" s="192" t="str" cm="1">
        <f t="array" ref="M34">Common_InputFunctions.Utility_LookupValueInTable(F34,Table_FuelTypes_Units[Fuel type],Table_FuelTypes_Units[Unit])</f>
        <v>kL</v>
      </c>
      <c r="N34" s="193" cm="1">
        <f t="array" ref="N34">Fuel_Equations.VEERG_8_1_1_1__1_FuelCombustionTransport($L34,$G34,$H34)</f>
        <v>0.22177000000000005</v>
      </c>
      <c r="O34" s="193" cm="1">
        <f t="array" ref="O34">Fuel_Equations.VEERG_8_1_1_1__1_FuelCombustionTransport($L34,$G34,$I34)</f>
        <v>1.9860000000000003E-4</v>
      </c>
      <c r="P34" s="193" cm="1">
        <f t="array" ref="P34">Fuel_Equations.VEERG_8_1_1_1__1_FuelCombustionTransport($L34,$G34,$J34)</f>
        <v>1.9860000000000004E-3</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0.1</v>
      </c>
      <c r="M38" s="185" t="str" cm="1">
        <f t="array" ref="M38">Common_InputFunctions.Utility_LookupValueInTable(F38,Table_FuelTypes_Units[Fuel type],Table_FuelTypes_Units[Unit])</f>
        <v>kL</v>
      </c>
      <c r="N38" s="186" cm="1">
        <f t="array" ref="N38">Fuel_Equations.VEERG_8_1_1_1__1_FuelCombustionTransport($L38,$G38,$H38)</f>
        <v>0.26981400000000005</v>
      </c>
      <c r="O38" s="186" cm="1">
        <f t="array" ref="O38">Fuel_Equations.VEERG_8_1_1_1__1_FuelCombustionTransport($L38,$G38,$I38)</f>
        <v>7.7200000000000012E-4</v>
      </c>
      <c r="P38" s="186" cm="1">
        <f t="array" ref="P38">Fuel_Equations.VEERG_8_1_1_1__1_FuelCombustionTransport($L38,$G38,$J38)</f>
        <v>1.9300000000000003E-3</v>
      </c>
      <c r="Q38" s="186" cm="1">
        <f t="array" ref="Q38">Scope3_Equations.VEERG_15_11_1_1__2_UpstreamTransportFuelEmissions(L38,G38,K38)</f>
        <v>6.6778000000000004E-2</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kL</v>
      </c>
      <c r="N39" s="186" cm="1">
        <f t="array" ref="N39">Fuel_Equations.VEERG_8_1_1_1__1_FuelCombustionTransport($L39,$G39,$H39)</f>
        <v>0</v>
      </c>
      <c r="O39" s="186" cm="1">
        <f t="array" ref="O39">Fuel_Equations.VEERG_8_1_1_1__1_FuelCombustionTransport($L39,$G39,$I39)</f>
        <v>0</v>
      </c>
      <c r="P39" s="186" cm="1">
        <f t="array" ref="P39">Fuel_Equations.VEERG_8_1_1_1__1_FuelCombustionTransport($L39,$G39,$J39)</f>
        <v>0</v>
      </c>
      <c r="Q39" s="186" cm="1">
        <f t="array" ref="Q39">Scope3_Equations.VEERG_15_11_1_1__2_UpstreamTransportFuelEmissions(L39,G39,K39)</f>
        <v>0</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731</v>
      </c>
      <c r="E43" s="200">
        <f>SUM(N25:N32)</f>
        <v>0.26981400000000005</v>
      </c>
      <c r="F43" s="68" t="str">
        <f>$E$12</f>
        <v>t CO2-e</v>
      </c>
    </row>
    <row r="44" spans="1:17" ht="20.100000000000001" customHeight="1" x14ac:dyDescent="0.25">
      <c r="D44" s="7" t="s">
        <v>732</v>
      </c>
      <c r="E44" s="200">
        <f>SUM(O25:O32)</f>
        <v>3.8600000000000003E-5</v>
      </c>
      <c r="F44" s="68" t="str">
        <f t="shared" ref="F44:F46" si="1">$E$12</f>
        <v>t CO2-e</v>
      </c>
    </row>
    <row r="45" spans="1:17" ht="20.100000000000001" customHeight="1" x14ac:dyDescent="0.25">
      <c r="D45" s="7" t="s">
        <v>733</v>
      </c>
      <c r="E45" s="200">
        <f>SUM(P25:P32)</f>
        <v>1.9300000000000003E-3</v>
      </c>
      <c r="F45" s="68" t="str">
        <f t="shared" si="1"/>
        <v>t CO2-e</v>
      </c>
    </row>
    <row r="46" spans="1:17" ht="20.100000000000001" customHeight="1" x14ac:dyDescent="0.25">
      <c r="D46" s="7" t="s">
        <v>734</v>
      </c>
      <c r="E46" s="200">
        <f>SUM(Q25:Q32)</f>
        <v>6.6778000000000004E-2</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731</v>
      </c>
      <c r="E49" s="200">
        <f>SUM(N33:N33)</f>
        <v>0</v>
      </c>
      <c r="F49" s="68" t="str">
        <f t="shared" ref="F49:F52" si="2">$E$12</f>
        <v>t CO2-e</v>
      </c>
      <c r="H49" s="17"/>
      <c r="I49" s="17"/>
      <c r="J49" s="17"/>
      <c r="L49" s="17"/>
      <c r="M49" s="17"/>
      <c r="N49" s="17"/>
      <c r="O49" s="17"/>
      <c r="P49" s="17"/>
      <c r="Q49" s="17"/>
    </row>
    <row r="50" spans="4:17" ht="20.100000000000001" customHeight="1" x14ac:dyDescent="0.25">
      <c r="D50" s="7" t="s">
        <v>732</v>
      </c>
      <c r="E50" s="200">
        <f>SUM(O33:O33)</f>
        <v>0</v>
      </c>
      <c r="F50" s="68" t="str">
        <f t="shared" si="2"/>
        <v>t CO2-e</v>
      </c>
      <c r="H50" s="17"/>
      <c r="I50" s="17"/>
      <c r="J50" s="17"/>
      <c r="L50" s="17"/>
      <c r="M50" s="17"/>
      <c r="N50" s="17"/>
      <c r="O50" s="17"/>
      <c r="P50" s="17"/>
      <c r="Q50" s="17"/>
    </row>
    <row r="51" spans="4:17" ht="20.100000000000001" customHeight="1" x14ac:dyDescent="0.25">
      <c r="D51" s="7" t="s">
        <v>733</v>
      </c>
      <c r="E51" s="200">
        <f>SUM(P33:P33)</f>
        <v>0</v>
      </c>
      <c r="F51" s="68" t="str">
        <f t="shared" si="2"/>
        <v>t CO2-e</v>
      </c>
      <c r="H51" s="17"/>
      <c r="I51" s="17"/>
      <c r="J51" s="17"/>
      <c r="L51" s="17"/>
      <c r="M51" s="17"/>
      <c r="N51" s="17"/>
      <c r="O51" s="17"/>
      <c r="P51" s="17"/>
      <c r="Q51" s="17"/>
    </row>
    <row r="52" spans="4:17" ht="20.100000000000001" customHeight="1" x14ac:dyDescent="0.25">
      <c r="D52" s="7" t="s">
        <v>734</v>
      </c>
      <c r="E52" s="200">
        <f>SUM(Q33)</f>
        <v>0</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731</v>
      </c>
      <c r="E55" s="200">
        <f>SUM(N34:N36)</f>
        <v>0.22177000000000005</v>
      </c>
      <c r="F55" s="68" t="str">
        <f t="shared" ref="F55:F58" si="3">$E$12</f>
        <v>t CO2-e</v>
      </c>
      <c r="G55" s="17"/>
      <c r="H55" s="17"/>
      <c r="I55" s="17"/>
      <c r="J55" s="17"/>
      <c r="L55" s="17"/>
      <c r="M55" s="17"/>
      <c r="N55" s="17"/>
      <c r="O55" s="17"/>
      <c r="P55" s="17"/>
      <c r="Q55" s="17"/>
    </row>
    <row r="56" spans="4:17" ht="20.100000000000001" customHeight="1" x14ac:dyDescent="0.25">
      <c r="D56" s="7" t="s">
        <v>732</v>
      </c>
      <c r="E56" s="200">
        <f>SUM(O34:O36)</f>
        <v>1.9860000000000003E-4</v>
      </c>
      <c r="F56" s="68" t="str">
        <f t="shared" si="3"/>
        <v>t CO2-e</v>
      </c>
      <c r="G56" s="17"/>
      <c r="H56" s="17"/>
      <c r="I56" s="17"/>
      <c r="J56" s="17"/>
      <c r="L56" s="17"/>
      <c r="M56" s="17"/>
      <c r="N56" s="17"/>
      <c r="O56" s="17"/>
      <c r="P56" s="17"/>
      <c r="Q56" s="17"/>
    </row>
    <row r="57" spans="4:17" ht="20.100000000000001" customHeight="1" x14ac:dyDescent="0.25">
      <c r="D57" s="7" t="s">
        <v>733</v>
      </c>
      <c r="E57" s="200">
        <f>SUM(P34:P36)</f>
        <v>1.9860000000000004E-3</v>
      </c>
      <c r="F57" s="68" t="str">
        <f t="shared" si="3"/>
        <v>t CO2-e</v>
      </c>
      <c r="G57" s="17"/>
      <c r="H57" s="17"/>
      <c r="I57" s="17"/>
      <c r="J57" s="17"/>
      <c r="L57" s="17"/>
      <c r="M57" s="17"/>
      <c r="N57" s="17"/>
      <c r="O57" s="17"/>
      <c r="P57" s="17"/>
      <c r="Q57" s="17"/>
    </row>
    <row r="58" spans="4:17" ht="20.100000000000001" customHeight="1" x14ac:dyDescent="0.25">
      <c r="D58" s="7" t="s">
        <v>734</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731</v>
      </c>
      <c r="E61" s="200">
        <f>SUM(N37:N39)</f>
        <v>0.26981400000000005</v>
      </c>
      <c r="F61" s="68" t="str">
        <f t="shared" ref="F61:F64" si="4">$E$12</f>
        <v>t CO2-e</v>
      </c>
      <c r="G61" s="17"/>
      <c r="H61" s="17"/>
      <c r="I61" s="17"/>
      <c r="J61" s="17"/>
      <c r="L61" s="17"/>
      <c r="M61" s="17"/>
      <c r="N61" s="17"/>
      <c r="O61" s="17"/>
      <c r="P61" s="17"/>
      <c r="Q61" s="17"/>
    </row>
    <row r="62" spans="4:17" ht="20.100000000000001" customHeight="1" x14ac:dyDescent="0.25">
      <c r="D62" s="7" t="s">
        <v>732</v>
      </c>
      <c r="E62" s="200">
        <f>SUM(O37:O39)</f>
        <v>7.7200000000000012E-4</v>
      </c>
      <c r="F62" s="68" t="str">
        <f t="shared" si="4"/>
        <v>t CO2-e</v>
      </c>
      <c r="G62" s="17"/>
      <c r="H62" s="17"/>
      <c r="I62" s="17"/>
      <c r="J62" s="17"/>
      <c r="L62" s="17"/>
      <c r="M62" s="17"/>
      <c r="N62" s="17"/>
      <c r="O62" s="17"/>
      <c r="P62" s="17"/>
      <c r="Q62" s="17"/>
    </row>
    <row r="63" spans="4:17" ht="20.100000000000001" customHeight="1" x14ac:dyDescent="0.25">
      <c r="D63" s="7" t="s">
        <v>733</v>
      </c>
      <c r="E63" s="200">
        <f>SUM(P37:P39)</f>
        <v>1.9300000000000003E-3</v>
      </c>
      <c r="F63" s="68" t="str">
        <f t="shared" si="4"/>
        <v>t CO2-e</v>
      </c>
      <c r="G63" s="17"/>
      <c r="H63" s="17"/>
      <c r="I63" s="17"/>
      <c r="J63" s="17"/>
      <c r="L63" s="17"/>
      <c r="M63" s="17"/>
      <c r="N63" s="17"/>
      <c r="O63" s="17"/>
      <c r="P63" s="17"/>
      <c r="Q63" s="17"/>
    </row>
    <row r="64" spans="4:17" ht="20.100000000000001" customHeight="1" x14ac:dyDescent="0.25">
      <c r="D64" s="7" t="s">
        <v>734</v>
      </c>
      <c r="E64" s="200">
        <f>SUM(Q37:Q39)</f>
        <v>6.6778000000000004E-2</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735</v>
      </c>
      <c r="E66" s="203"/>
      <c r="F66" s="199"/>
      <c r="G66" s="17"/>
      <c r="H66" s="17"/>
      <c r="I66" s="17"/>
      <c r="J66" s="17"/>
      <c r="L66" s="17"/>
      <c r="M66" s="17"/>
      <c r="N66" s="17"/>
      <c r="O66" s="17"/>
      <c r="P66" s="17"/>
      <c r="Q66" s="17"/>
    </row>
    <row r="67" spans="1:17" ht="20.100000000000001" customHeight="1" x14ac:dyDescent="0.25">
      <c r="D67" s="7" t="s">
        <v>731</v>
      </c>
      <c r="E67" s="200">
        <f>E43+E49+E55+E61</f>
        <v>0.76139800000000024</v>
      </c>
      <c r="F67" s="68" t="str">
        <f t="shared" ref="F67:F70" si="5">$E$12</f>
        <v>t CO2-e</v>
      </c>
      <c r="G67" s="17"/>
    </row>
    <row r="68" spans="1:17" ht="20.100000000000001" customHeight="1" x14ac:dyDescent="0.25">
      <c r="D68" s="7" t="s">
        <v>732</v>
      </c>
      <c r="E68" s="200">
        <f t="shared" ref="E68:E70" si="6">E44+E50+E56+E62</f>
        <v>1.0092E-3</v>
      </c>
      <c r="F68" s="68" t="str">
        <f t="shared" si="5"/>
        <v>t CO2-e</v>
      </c>
      <c r="G68" s="17"/>
    </row>
    <row r="69" spans="1:17" ht="20.100000000000001" customHeight="1" x14ac:dyDescent="0.25">
      <c r="A69" s="56" t="str">
        <f>HYPERLINK("#A1", "▲ Back to top")</f>
        <v>▲ Back to top</v>
      </c>
      <c r="D69" s="7" t="s">
        <v>733</v>
      </c>
      <c r="E69" s="200">
        <f t="shared" si="6"/>
        <v>5.8460000000000014E-3</v>
      </c>
      <c r="F69" s="68" t="str">
        <f t="shared" si="5"/>
        <v>t CO2-e</v>
      </c>
      <c r="G69" s="17"/>
    </row>
    <row r="70" spans="1:17" ht="20.100000000000001" customHeight="1" x14ac:dyDescent="0.25">
      <c r="D70" s="7" t="s">
        <v>734</v>
      </c>
      <c r="E70" s="200">
        <f t="shared" si="6"/>
        <v>0.13355600000000001</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zoomScaleNormal="100" workbookViewId="0">
      <selection activeCell="M21" sqref="M2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736</v>
      </c>
    </row>
    <row r="2" spans="1:18" s="2" customFormat="1" ht="20.100000000000001" customHeight="1" x14ac:dyDescent="0.25">
      <c r="A2" s="3"/>
    </row>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635</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635</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636</v>
      </c>
      <c r="E11" s="8" t="str" cm="1">
        <f t="array" ref="E11">Fuel_Equations.VEERG_8_2_1_1__1_FuelCombustionStationary_Variable()</f>
        <v>E_g</v>
      </c>
      <c r="K11" s="28" t="s">
        <v>636</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97</v>
      </c>
      <c r="E12" s="13" t="str" cm="1">
        <f t="array" ref="E12">Fuel_Equations.VEERG_8_2_1_1__1_FuelCombustionStationary_Unit()</f>
        <v>t CO2-e</v>
      </c>
      <c r="K12" s="28" t="s">
        <v>97</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s="172" t="str">
        <v>Input</v>
      </c>
      <c r="P17" s="171" t="str">
        <f>'Input - Site'!$E$21</f>
        <v>ACT</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s="172" t="str">
        <v>Input</v>
      </c>
      <c r="P18" s="171" t="str">
        <f>'Input - Fuel'!E11</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737</v>
      </c>
    </row>
    <row r="24" spans="1:17" ht="20.100000000000001" customHeight="1" x14ac:dyDescent="0.25">
      <c r="D24" s="60" t="s">
        <v>131</v>
      </c>
      <c r="E24" s="60" t="s">
        <v>132</v>
      </c>
      <c r="F24" s="60" t="s">
        <v>133</v>
      </c>
      <c r="G24" s="60" t="s">
        <v>738</v>
      </c>
      <c r="H24" s="60" t="s">
        <v>739</v>
      </c>
      <c r="I24" s="60" t="s">
        <v>740</v>
      </c>
      <c r="J24" s="60" t="s">
        <v>741</v>
      </c>
      <c r="K24" s="60" t="s">
        <v>742</v>
      </c>
      <c r="L24" s="47" t="s">
        <v>743</v>
      </c>
      <c r="M24" s="60" t="s">
        <v>726</v>
      </c>
      <c r="N24" s="60" t="s">
        <v>727</v>
      </c>
      <c r="O24" s="60" t="s">
        <v>728</v>
      </c>
      <c r="P24" s="60" t="s">
        <v>729</v>
      </c>
      <c r="Q24" s="60" t="s">
        <v>744</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0</v>
      </c>
      <c r="M32" s="192" t="str" cm="1">
        <f t="array" ref="M32">Common_InputFunctions.Utility_LookupValueInTable(F32,Table_FuelTypes_Units[Fuel type],Table_FuelTypes_Units[Unit])</f>
        <v>kL</v>
      </c>
      <c r="N32" s="206" cm="1">
        <f t="array" ref="N32">Fuel_Equations.VEERG_8_2_1_1__1_FuelCombustionStationary($L32,$G32,H32)</f>
        <v>0</v>
      </c>
      <c r="O32" s="206" cm="1">
        <f t="array" ref="O32">Fuel_Equations.VEERG_8_2_1_1__1_FuelCombustionStationary($L32,$G32,I32)</f>
        <v>0</v>
      </c>
      <c r="P32" s="206" cm="1">
        <f t="array" ref="P32">Fuel_Equations.VEERG_8_2_1_1__1_FuelCombustionStationary($L32,$G32,J32)</f>
        <v>0</v>
      </c>
      <c r="Q32" s="206" cm="1">
        <f t="array" ref="Q32">Fuel_Equations.VEERG_8_2_1_1__1_FuelCombustionStationary($L32,$G32,IF(ISNUMBER(K32), K32, 0))</f>
        <v>0</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territory],Table_Fuel_EFs_StationaryGaseous34[#Headers],Table_Fuel_EFs_StationaryGaseous34[]),0)</f>
        <v>13.1</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territory],Table_Fuel_EFs_StationaryGaseous34[#Headers],Table_Fuel_EFs_StationaryGaseous34[]),0)</f>
        <v>13.1</v>
      </c>
      <c r="L40" s="185" cm="1">
        <f t="array" ref="L40">Fuel_InputFunctions.Fuel_TotalConsumption(Table_Input_Fuel[Amount consumed], Table_Input_Fuel[Fuel use (select)], D40, Table_Input_Fuel[Fuel type (select)],F40)</f>
        <v>0.2</v>
      </c>
      <c r="M40" s="185" t="str" cm="1">
        <f t="array" ref="M40">Common_InputFunctions.Utility_LookupValueInTable(F40,Table_FuelTypes_Units[Fuel type],Table_FuelTypes_Units[Unit])</f>
        <v>GJ</v>
      </c>
      <c r="N40" s="204" cm="1">
        <f t="array" ref="N40">Fuel_Equations.VEERG_8_2_1_1__1_FuelCombustionStationary($L40,$G40,H40)</f>
        <v>1.204E-2</v>
      </c>
      <c r="O40" s="204" cm="1">
        <f t="array" ref="O40">Fuel_Equations.VEERG_8_2_1_1__1_FuelCombustionStationary($L40,$G40,I40)</f>
        <v>7.9999999999999996E-6</v>
      </c>
      <c r="P40" s="204" cm="1">
        <f t="array" ref="P40">Fuel_Equations.VEERG_8_2_1_1__1_FuelCombustionStationary($L40,$G40,J40)</f>
        <v>6.0000000000000002E-6</v>
      </c>
      <c r="Q40" s="204" cm="1">
        <f t="array" ref="Q40">Fuel_Equations.VEERG_8_2_1_1__1_FuelCombustionStationary($L40,$G40,IF(ISNUMBER(K40), K40, 0))</f>
        <v>2.6200000000000004E-3</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731</v>
      </c>
      <c r="E43" s="200">
        <f>SUM(N25:N31)</f>
        <v>0</v>
      </c>
      <c r="F43" s="68" t="str">
        <f>$E$12</f>
        <v>t CO2-e</v>
      </c>
    </row>
    <row r="44" spans="1:17" ht="20.100000000000001" customHeight="1" x14ac:dyDescent="0.25">
      <c r="D44" s="7" t="s">
        <v>732</v>
      </c>
      <c r="E44" s="200">
        <f>SUM(O25:O31)</f>
        <v>0</v>
      </c>
      <c r="F44" s="68" t="str">
        <f t="shared" ref="F44:F46" si="2">$E$12</f>
        <v>t CO2-e</v>
      </c>
    </row>
    <row r="45" spans="1:17" ht="20.100000000000001" customHeight="1" x14ac:dyDescent="0.25">
      <c r="D45" s="7" t="s">
        <v>733</v>
      </c>
      <c r="E45" s="200">
        <f>SUM(P25:P31)</f>
        <v>0</v>
      </c>
      <c r="F45" s="68" t="str">
        <f t="shared" si="2"/>
        <v>t CO2-e</v>
      </c>
    </row>
    <row r="46" spans="1:17" ht="20.100000000000001" customHeight="1" x14ac:dyDescent="0.25">
      <c r="D46" s="7" t="s">
        <v>734</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731</v>
      </c>
      <c r="E49" s="200">
        <f>SUM(N32:N40)</f>
        <v>1.204E-2</v>
      </c>
      <c r="F49" s="68" t="str">
        <f t="shared" ref="F49:F52" si="3">$E$12</f>
        <v>t CO2-e</v>
      </c>
      <c r="H49" s="17"/>
      <c r="I49" s="17"/>
      <c r="J49" s="17"/>
      <c r="L49" s="17"/>
      <c r="N49" s="17"/>
      <c r="O49" s="17"/>
      <c r="P49" s="17"/>
      <c r="Q49" s="17"/>
    </row>
    <row r="50" spans="4:17" ht="20.100000000000001" customHeight="1" x14ac:dyDescent="0.25">
      <c r="D50" s="7" t="s">
        <v>732</v>
      </c>
      <c r="E50" s="200">
        <f>SUM(O32:O40)</f>
        <v>7.9999999999999996E-6</v>
      </c>
      <c r="F50" s="68" t="str">
        <f t="shared" si="3"/>
        <v>t CO2-e</v>
      </c>
      <c r="H50" s="17"/>
      <c r="I50" s="17"/>
      <c r="J50" s="17"/>
      <c r="L50" s="17"/>
      <c r="N50" s="17"/>
      <c r="O50" s="17"/>
      <c r="P50" s="17"/>
      <c r="Q50" s="17"/>
    </row>
    <row r="51" spans="4:17" ht="20.100000000000001" customHeight="1" x14ac:dyDescent="0.25">
      <c r="D51" s="7" t="s">
        <v>733</v>
      </c>
      <c r="E51" s="200">
        <f>SUM(P32:P40)</f>
        <v>6.0000000000000002E-6</v>
      </c>
      <c r="F51" s="68" t="str">
        <f t="shared" si="3"/>
        <v>t CO2-e</v>
      </c>
      <c r="H51" s="17"/>
      <c r="I51" s="17"/>
      <c r="J51" s="17"/>
      <c r="L51" s="17"/>
      <c r="N51" s="17"/>
      <c r="O51" s="17"/>
      <c r="P51" s="17"/>
      <c r="Q51" s="17"/>
    </row>
    <row r="52" spans="4:17" ht="20.100000000000001" customHeight="1" x14ac:dyDescent="0.25">
      <c r="D52" s="7" t="s">
        <v>734</v>
      </c>
      <c r="E52" s="200">
        <f>SUM(Q32:Q40)</f>
        <v>2.6200000000000004E-3</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745</v>
      </c>
      <c r="E54" s="201"/>
      <c r="F54" s="199"/>
      <c r="G54" s="17"/>
      <c r="H54" s="17"/>
      <c r="I54" s="17"/>
      <c r="J54" s="17"/>
      <c r="L54" s="17"/>
      <c r="N54" s="17"/>
      <c r="O54" s="17"/>
      <c r="P54" s="17"/>
      <c r="Q54" s="17"/>
    </row>
    <row r="55" spans="4:17" ht="20.100000000000001" customHeight="1" x14ac:dyDescent="0.25">
      <c r="D55" s="7" t="s">
        <v>731</v>
      </c>
      <c r="E55" s="200">
        <f>E43+E49</f>
        <v>1.204E-2</v>
      </c>
      <c r="F55" s="68" t="str">
        <f t="shared" ref="F55:F58" si="4">$E$12</f>
        <v>t CO2-e</v>
      </c>
      <c r="G55" s="17"/>
      <c r="H55" s="17"/>
      <c r="I55" s="17"/>
      <c r="J55" s="17"/>
      <c r="L55" s="17"/>
      <c r="N55" s="17"/>
      <c r="O55" s="17"/>
      <c r="P55" s="17"/>
      <c r="Q55" s="17"/>
    </row>
    <row r="56" spans="4:17" ht="20.100000000000001" customHeight="1" x14ac:dyDescent="0.25">
      <c r="D56" s="7" t="s">
        <v>732</v>
      </c>
      <c r="E56" s="200">
        <f>E44+E50</f>
        <v>7.9999999999999996E-6</v>
      </c>
      <c r="F56" s="68" t="str">
        <f t="shared" si="4"/>
        <v>t CO2-e</v>
      </c>
    </row>
    <row r="57" spans="4:17" ht="20.100000000000001" customHeight="1" x14ac:dyDescent="0.25">
      <c r="D57" s="7" t="s">
        <v>733</v>
      </c>
      <c r="E57" s="200">
        <f>E45+E51</f>
        <v>6.0000000000000002E-6</v>
      </c>
      <c r="F57" s="68" t="str">
        <f t="shared" si="4"/>
        <v>t CO2-e</v>
      </c>
      <c r="G57" s="17"/>
      <c r="H57" s="17"/>
      <c r="I57" s="17"/>
      <c r="J57" s="17"/>
      <c r="L57" s="17"/>
      <c r="N57" s="17"/>
      <c r="O57" s="17"/>
      <c r="P57" s="17"/>
      <c r="Q57" s="17"/>
    </row>
    <row r="58" spans="4:17" ht="20.100000000000001" customHeight="1" x14ac:dyDescent="0.25">
      <c r="D58" s="7" t="s">
        <v>734</v>
      </c>
      <c r="E58" s="200">
        <f>E46+E52</f>
        <v>2.6200000000000004E-3</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364</v>
      </c>
      <c r="K32" s="8" t="s">
        <v>436</v>
      </c>
    </row>
    <row r="33" spans="4:12" ht="20.100000000000001" customHeight="1" x14ac:dyDescent="0.25">
      <c r="D33" s="10" t="s">
        <v>319</v>
      </c>
      <c r="E33" s="10" t="s">
        <v>217</v>
      </c>
      <c r="F33" s="10" t="s">
        <v>320</v>
      </c>
      <c r="G33" s="10" t="s">
        <v>284</v>
      </c>
      <c r="H33" s="10" t="s">
        <v>285</v>
      </c>
      <c r="I33" s="10" t="s">
        <v>365</v>
      </c>
      <c r="K33" s="10" t="s">
        <v>389</v>
      </c>
      <c r="L33" s="10" t="s">
        <v>519</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440</v>
      </c>
      <c r="L39" s="10" t="s">
        <v>345</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439</v>
      </c>
      <c r="L40" s="10" t="s">
        <v>345</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441</v>
      </c>
      <c r="L41" s="10" t="s">
        <v>345</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442</v>
      </c>
      <c r="L42" s="10" t="s">
        <v>438</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443</v>
      </c>
      <c r="L43" s="10" t="s">
        <v>438</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444</v>
      </c>
      <c r="L44" s="10" t="s">
        <v>438</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445</v>
      </c>
      <c r="L45" s="10" t="s">
        <v>339</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446</v>
      </c>
      <c r="L46" s="10" t="s">
        <v>339</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447</v>
      </c>
      <c r="L47" s="10" t="s">
        <v>339</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448</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217</v>
      </c>
      <c r="L151" s="157"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5" zoomScaleNormal="100" workbookViewId="0">
      <selection activeCell="E10" sqref="E10"/>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778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c r="E6" s="12" t="str" cm="1">
        <f t="array" ref="E6">WasteSolid_SourceData.Waste_EmissionFactorsForWasteTreatment_Variation()</f>
        <v>VARIATION ON SOURCE: Fixed typo 'paper and carboard' to 'paper and cardboard'. Added EF source column with specific references.</v>
      </c>
    </row>
    <row r="7" spans="1:35" ht="20.100000000000001" customHeight="1" x14ac:dyDescent="0.25">
      <c r="A7" s="19" t="s">
        <v>67</v>
      </c>
      <c r="D7" s="8" t="str" cm="1">
        <f t="array" ref="D7">WasteSolid_SourceData.Waste_EmissionFactorsForWasteTreatment_Variable()</f>
        <v>EFwt</v>
      </c>
    </row>
    <row r="8" spans="1:35" ht="20.100000000000001" customHeight="1" x14ac:dyDescent="0.25">
      <c r="A8" s="16" t="str">
        <f>HYPERLINK("#'Input - Solid waste'!A1", "Solid waste")</f>
        <v>Solid waste</v>
      </c>
      <c r="D8" s="13" t="str" cm="1">
        <f t="array" ref="D8">WasteSolid_SourceData.Waste_EmissionFactorsForWasteTreatment_Unit()</f>
        <v>t CO2e / t</v>
      </c>
      <c r="I8" s="8" t="s">
        <v>779</v>
      </c>
      <c r="K8" s="8" t="s">
        <v>780</v>
      </c>
      <c r="M8" s="8" t="s">
        <v>781</v>
      </c>
      <c r="O8" s="8" t="s">
        <v>782</v>
      </c>
    </row>
    <row r="9" spans="1:35" ht="20.100000000000001" customHeight="1" x14ac:dyDescent="0.25">
      <c r="A9" s="16"/>
      <c r="D9" s="10" t="s">
        <v>783</v>
      </c>
      <c r="E9" s="10" t="s">
        <v>784</v>
      </c>
      <c r="F9" s="10" t="s">
        <v>785</v>
      </c>
      <c r="G9" s="10" t="s">
        <v>786</v>
      </c>
      <c r="I9" s="10" t="s">
        <v>784</v>
      </c>
      <c r="K9" s="164" t="s">
        <v>784</v>
      </c>
      <c r="M9" s="164" t="s">
        <v>784</v>
      </c>
      <c r="O9" s="164" t="s">
        <v>784</v>
      </c>
    </row>
    <row r="10" spans="1:35" ht="20.100000000000001" customHeight="1" x14ac:dyDescent="0.25">
      <c r="A10" s="21" t="s">
        <v>77</v>
      </c>
      <c r="D10" s="10" t="str" cm="1">
        <f t="array" ref="D10">Common_InputFunctions.Utility_DisplayArrayInTable(WasteSolid_SourceData.Waste_EmissionFactorsForWasteTreatment_Data(), Table_SourceData_WasteSolid_WasteTreatmentEFs[[#Headers],[Treatment type t]], 0)</f>
        <v>Landfill</v>
      </c>
      <c r="E10" s="10" t="str" cm="1">
        <f t="array" ref="E10">Common_InputFunctions.Utility_DisplayArrayInTable(WasteSolid_SourceData.Waste_EmissionFactorsForWasteTreatment_Data(), Table_SourceData_WasteSolid_WasteTreatmentEFs[[#Headers],[Treatment type t]], 0)</f>
        <v>Food waste (including animal carcasses, spoiled animal feed or crop)</v>
      </c>
      <c r="F10" s="10" cm="1">
        <f t="array" ref="F10">Common_InputFunctions.Utility_DisplayArrayInTable(WasteSolid_SourceData.Waste_EmissionFactorsForWasteTreatment_Data(), Table_SourceData_WasteSolid_WasteTreatmentEFs[[#Headers],[Treatment type t]], 0)</f>
        <v>2.1</v>
      </c>
      <c r="G10" s="10" t="str" cm="1">
        <f t="array" ref="G10">Common_InputFunctions.Utility_DisplayArrayInTable(WasteSolid_SourceData.Waste_EmissionFactorsForWasteTreatment_Data(), Table_SourceData_WasteSolid_WasteTreatmentEFs[[#Headers],[Treatment type t]], 0)</f>
        <v>NGAF 2025 table 15</v>
      </c>
      <c r="I10" s="10" t="str">
        <f>Table_SourceData_WasteSolid_WasteTreatmentEFs[[#This Row],[Waste type w]]</f>
        <v>Food waste (including animal carcasses, spoiled animal feed or crop)</v>
      </c>
      <c r="K10" s="8" t="str">
        <f t="shared" ref="K10:K16" si="0">E21</f>
        <v>Food waste, green waste, wood, sludge</v>
      </c>
      <c r="M10" s="8" t="str">
        <f>E28</f>
        <v>All organic waste</v>
      </c>
      <c r="O10" s="8" t="str">
        <f>E29</f>
        <v>All organic waste</v>
      </c>
    </row>
    <row r="11" spans="1:35" ht="20.100000000000001" customHeight="1" x14ac:dyDescent="0.25">
      <c r="A11" s="16" t="str">
        <f>HYPERLINK("#'10.1.1-2 Solid waste treatment'!A1", "10.1.1-2 Solid waste treatment")</f>
        <v>10.1.1-2 Solid waste treatment</v>
      </c>
      <c r="D11" s="8" t="str" cm="1">
        <f t="array" ref="D11">Common_InputFunctions.Utility_DisplayArrayInTable(WasteSolid_SourceData.Waste_EmissionFactorsForWasteTreatment_Data(), Table_SourceData_WasteSolid_WasteTreatmentEFs[[#Headers],[Treatment type t]], 0)</f>
        <v>Landfill</v>
      </c>
      <c r="E11" s="10" t="str" cm="1">
        <f t="array" ref="E11">Common_InputFunctions.Utility_DisplayArrayInTable(WasteSolid_SourceData.Waste_EmissionFactorsForWasteTreatment_Data(), Table_SourceData_WasteSolid_WasteTreatmentEFs[[#Headers],[Treatment type t]], 0)</f>
        <v>Paper and cardboard</v>
      </c>
      <c r="F11" s="10" cm="1">
        <f t="array" ref="F11">Common_InputFunctions.Utility_DisplayArrayInTable(WasteSolid_SourceData.Waste_EmissionFactorsForWasteTreatment_Data(), Table_SourceData_WasteSolid_WasteTreatmentEFs[[#Headers],[Treatment type t]], 0)</f>
        <v>3.3</v>
      </c>
      <c r="G11" s="10" t="str" cm="1">
        <f t="array" ref="G11">Common_InputFunctions.Utility_DisplayArrayInTable(WasteSolid_SourceData.Waste_EmissionFactorsForWasteTreatment_Data(), Table_SourceData_WasteSolid_WasteTreatmentEFs[[#Headers],[Treatment type t]], 0)</f>
        <v>NGAF 2025 table 15</v>
      </c>
      <c r="I11" s="10" t="str">
        <f>Table_SourceData_WasteSolid_WasteTreatmentEFs[[#This Row],[Waste type w]]</f>
        <v>Paper and cardboard</v>
      </c>
      <c r="K11" s="8" t="str">
        <f t="shared" si="0"/>
        <v>Paper and cardboard</v>
      </c>
    </row>
    <row r="12" spans="1:35" ht="20.100000000000001" customHeight="1" x14ac:dyDescent="0.25">
      <c r="A12" s="16"/>
      <c r="D12" s="8" t="str" cm="1">
        <f t="array" ref="D12">Common_InputFunctions.Utility_DisplayArrayInTable(WasteSolid_SourceData.Waste_EmissionFactorsForWasteTreatment_Data(), Table_SourceData_WasteSolid_WasteTreatmentEFs[[#Headers],[Treatment type t]], 0)</f>
        <v>Landfill</v>
      </c>
      <c r="E12" s="10" t="str" cm="1">
        <f t="array" ref="E12">Common_InputFunctions.Utility_DisplayArrayInTable(WasteSolid_SourceData.Waste_EmissionFactorsForWasteTreatment_Data(), Table_SourceData_WasteSolid_WasteTreatmentEFs[[#Headers],[Treatment type t]], 0)</f>
        <v>Green waste (including crop residues or prunnings)</v>
      </c>
      <c r="F12" s="10" cm="1">
        <f t="array" ref="F12">Common_InputFunctions.Utility_DisplayArrayInTable(WasteSolid_SourceData.Waste_EmissionFactorsForWasteTreatment_Data(), Table_SourceData_WasteSolid_WasteTreatmentEFs[[#Headers],[Treatment type t]], 0)</f>
        <v>1.6</v>
      </c>
      <c r="G12" s="10" t="str" cm="1">
        <f t="array" ref="G12">Common_InputFunctions.Utility_DisplayArrayInTable(WasteSolid_SourceData.Waste_EmissionFactorsForWasteTreatment_Data(), Table_SourceData_WasteSolid_WasteTreatmentEFs[[#Headers],[Treatment type t]], 0)</f>
        <v>NGAF 2025 table 15</v>
      </c>
      <c r="I12" s="10" t="str">
        <f>Table_SourceData_WasteSolid_WasteTreatmentEFs[[#This Row],[Waste type w]]</f>
        <v>Green waste (including crop residues or prunnings)</v>
      </c>
      <c r="K12" s="8" t="str">
        <f t="shared" si="0"/>
        <v>Textiles</v>
      </c>
    </row>
    <row r="13" spans="1:35" ht="20.100000000000001" customHeight="1" x14ac:dyDescent="0.25">
      <c r="A13" s="23" t="s">
        <v>78</v>
      </c>
      <c r="D13" s="8" t="str" cm="1">
        <f t="array" ref="D13">Common_InputFunctions.Utility_DisplayArrayInTable(WasteSolid_SourceData.Waste_EmissionFactorsForWasteTreatment_Data(), Table_SourceData_WasteSolid_WasteTreatmentEFs[[#Headers],[Treatment type t]], 0)</f>
        <v>Landfill</v>
      </c>
      <c r="E13" s="10" t="str" cm="1">
        <f t="array" ref="E13">Common_InputFunctions.Utility_DisplayArrayInTable(WasteSolid_SourceData.Waste_EmissionFactorsForWasteTreatment_Data(), Table_SourceData_WasteSolid_WasteTreatmentEFs[[#Headers],[Treatment type t]], 0)</f>
        <v>Wood</v>
      </c>
      <c r="F13" s="10" cm="1">
        <f t="array" ref="F13">Common_InputFunctions.Utility_DisplayArrayInTable(WasteSolid_SourceData.Waste_EmissionFactorsForWasteTreatment_Data(), Table_SourceData_WasteSolid_WasteTreatmentEFs[[#Headers],[Treatment type t]], 0)</f>
        <v>0.7</v>
      </c>
      <c r="G13" s="10" t="str" cm="1">
        <f t="array" ref="G13">Common_InputFunctions.Utility_DisplayArrayInTable(WasteSolid_SourceData.Waste_EmissionFactorsForWasteTreatment_Data(), Table_SourceData_WasteSolid_WasteTreatmentEFs[[#Headers],[Treatment type t]], 0)</f>
        <v>NGAF 2025 table 15</v>
      </c>
      <c r="I13" s="10" t="str">
        <f>Table_SourceData_WasteSolid_WasteTreatmentEFs[[#This Row],[Waste type w]]</f>
        <v>Wood</v>
      </c>
      <c r="K13" s="8" t="str">
        <f t="shared" si="0"/>
        <v>Rubber and leather</v>
      </c>
    </row>
    <row r="14" spans="1:35" ht="20.100000000000001" customHeight="1" x14ac:dyDescent="0.25">
      <c r="A14" s="24" t="str">
        <f>HYPERLINK("#'Constants - Solid waste'!A1", "Constants - Solid waste")</f>
        <v>Constants - Solid waste</v>
      </c>
      <c r="D14" s="8" t="str" cm="1">
        <f t="array" ref="D14">Common_InputFunctions.Utility_DisplayArrayInTable(WasteSolid_SourceData.Waste_EmissionFactorsForWasteTreatment_Data(), Table_SourceData_WasteSolid_WasteTreatmentEFs[[#Headers],[Treatment type t]], 0)</f>
        <v>Landfill</v>
      </c>
      <c r="E14" s="10" t="str" cm="1">
        <f t="array" ref="E14">Common_InputFunctions.Utility_DisplayArrayInTable(WasteSolid_SourceData.Waste_EmissionFactorsForWasteTreatment_Data(), Table_SourceData_WasteSolid_WasteTreatmentEFs[[#Headers],[Treatment type t]], 0)</f>
        <v>Textiles</v>
      </c>
      <c r="F14" s="10" cm="1">
        <f t="array" ref="F14">Common_InputFunctions.Utility_DisplayArrayInTable(WasteSolid_SourceData.Waste_EmissionFactorsForWasteTreatment_Data(), Table_SourceData_WasteSolid_WasteTreatmentEFs[[#Headers],[Treatment type t]], 0)</f>
        <v>2</v>
      </c>
      <c r="G14" s="10" t="str" cm="1">
        <f t="array" ref="G14">Common_InputFunctions.Utility_DisplayArrayInTable(WasteSolid_SourceData.Waste_EmissionFactorsForWasteTreatment_Data(), Table_SourceData_WasteSolid_WasteTreatmentEFs[[#Headers],[Treatment type t]], 0)</f>
        <v>NGAF 2025 table 15</v>
      </c>
      <c r="I14" s="10" t="str">
        <f>Table_SourceData_WasteSolid_WasteTreatmentEFs[[#This Row],[Waste type w]]</f>
        <v>Textiles</v>
      </c>
      <c r="K14" s="8" t="str">
        <f t="shared" si="0"/>
        <v>Inert Waste</v>
      </c>
    </row>
    <row r="15" spans="1:35" ht="20.100000000000001" customHeight="1" x14ac:dyDescent="0.25">
      <c r="A15" s="16" t="str">
        <f>HYPERLINK("#'Constants - Common'!A1", "Constants - Common")</f>
        <v>Constants - Common</v>
      </c>
      <c r="D15" s="8" t="str" cm="1">
        <f t="array" ref="D15">Common_InputFunctions.Utility_DisplayArrayInTable(WasteSolid_SourceData.Waste_EmissionFactorsForWasteTreatment_Data(), Table_SourceData_WasteSolid_WasteTreatmentEFs[[#Headers],[Treatment type t]], 0)</f>
        <v>Landfill</v>
      </c>
      <c r="E15" s="10" t="str" cm="1">
        <f t="array" ref="E15">Common_InputFunctions.Utility_DisplayArrayInTable(WasteSolid_SourceData.Waste_EmissionFactorsForWasteTreatment_Data(), Table_SourceData_WasteSolid_WasteTreatmentEFs[[#Headers],[Treatment type t]], 0)</f>
        <v>Sludge</v>
      </c>
      <c r="F15" s="10" cm="1">
        <f t="array" ref="F15">Common_InputFunctions.Utility_DisplayArrayInTable(WasteSolid_SourceData.Waste_EmissionFactorsForWasteTreatment_Data(), Table_SourceData_WasteSolid_WasteTreatmentEFs[[#Headers],[Treatment type t]], 0)</f>
        <v>0.4</v>
      </c>
      <c r="G15" s="10" t="str" cm="1">
        <f t="array" ref="G15">Common_InputFunctions.Utility_DisplayArrayInTable(WasteSolid_SourceData.Waste_EmissionFactorsForWasteTreatment_Data(), Table_SourceData_WasteSolid_WasteTreatmentEFs[[#Headers],[Treatment type t]], 0)</f>
        <v>NGAF 2025 table 15</v>
      </c>
      <c r="I15" s="10" t="str">
        <f>Table_SourceData_WasteSolid_WasteTreatmentEFs[[#This Row],[Waste type w]]</f>
        <v>Sludge</v>
      </c>
      <c r="K15" s="8" t="str">
        <f t="shared" si="0"/>
        <v>Municipal Solid Waste</v>
      </c>
    </row>
    <row r="16" spans="1:35" ht="20.100000000000001" customHeight="1" x14ac:dyDescent="0.25">
      <c r="D16" s="8" t="str" cm="1">
        <f t="array" ref="D16">Common_InputFunctions.Utility_DisplayArrayInTable(WasteSolid_SourceData.Waste_EmissionFactorsForWasteTreatment_Data(), Table_SourceData_WasteSolid_WasteTreatmentEFs[[#Headers],[Treatment type t]], 0)</f>
        <v>Landfill</v>
      </c>
      <c r="E16" s="10" t="str" cm="1">
        <f t="array" ref="E16">Common_InputFunctions.Utility_DisplayArrayInTable(WasteSolid_SourceData.Waste_EmissionFactorsForWasteTreatment_Data(), Table_SourceData_WasteSolid_WasteTreatmentEFs[[#Headers],[Treatment type t]], 0)</f>
        <v>Rubber and leather</v>
      </c>
      <c r="F16" s="10" cm="1">
        <f t="array" ref="F16">Common_InputFunctions.Utility_DisplayArrayInTable(WasteSolid_SourceData.Waste_EmissionFactorsForWasteTreatment_Data(), Table_SourceData_WasteSolid_WasteTreatmentEFs[[#Headers],[Treatment type t]], 0)</f>
        <v>3.3</v>
      </c>
      <c r="G16" s="10" t="str" cm="1">
        <f t="array" ref="G16">Common_InputFunctions.Utility_DisplayArrayInTable(WasteSolid_SourceData.Waste_EmissionFactorsForWasteTreatment_Data(), Table_SourceData_WasteSolid_WasteTreatmentEFs[[#Headers],[Treatment type t]], 0)</f>
        <v>NGAF 2025 table 15</v>
      </c>
      <c r="I16" s="10" t="str">
        <f>Table_SourceData_WasteSolid_WasteTreatmentEFs[[#This Row],[Waste type w]]</f>
        <v>Rubber and leather</v>
      </c>
      <c r="K16" s="8" t="str">
        <f t="shared" si="0"/>
        <v>Industrial Waste</v>
      </c>
    </row>
    <row r="17" spans="1:9" ht="20.100000000000001" customHeight="1" x14ac:dyDescent="0.25">
      <c r="D17" s="8"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Inert waste (including concrete, metal, plastic or glass)</v>
      </c>
      <c r="F17" s="10" cm="1">
        <f t="array" ref="F17">Common_InputFunctions.Utility_DisplayArrayInTable(WasteSolid_SourceData.Waste_EmissionFactorsForWasteTreatment_Data(), Table_SourceData_WasteSolid_WasteTreatmentEFs[[#Headers],[Treatment type t]], 0)</f>
        <v>0</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Inert waste (including concrete, metal, plastic or glass)</v>
      </c>
    </row>
    <row r="18" spans="1:9"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Municipal solid waste</v>
      </c>
      <c r="F18" s="10" cm="1">
        <f t="array" ref="F18">Common_InputFunctions.Utility_DisplayArrayInTable(WasteSolid_SourceData.Waste_EmissionFactorsForWasteTreatment_Data(), Table_SourceData_WasteSolid_WasteTreatmentEFs[[#Headers],[Treatment type t]], 0)</f>
        <v>1.6</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Municipal solid waste</v>
      </c>
    </row>
    <row r="19" spans="1:9"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Commercial and industrial waste</v>
      </c>
      <c r="F19" s="10" cm="1">
        <f t="array" ref="F19">Common_InputFunctions.Utility_DisplayArrayInTable(WasteSolid_SourceData.Waste_EmissionFactorsForWasteTreatment_Data(), Table_SourceData_WasteSolid_WasteTreatmentEFs[[#Headers],[Treatment type t]], 0)</f>
        <v>1.3</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Commercial and industrial waste</v>
      </c>
    </row>
    <row r="20" spans="1:9"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Construction and demolition waste</v>
      </c>
      <c r="F20" s="10" cm="1">
        <f t="array" ref="F20">Common_InputFunctions.Utility_DisplayArrayInTable(WasteSolid_SourceData.Waste_EmissionFactorsForWasteTreatment_Data(), Table_SourceData_WasteSolid_WasteTreatmentEFs[[#Headers],[Treatment type t]], 0)</f>
        <v>0.2</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Construction and demolition waste</v>
      </c>
    </row>
    <row r="21" spans="1:9"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Incineration</v>
      </c>
      <c r="E21" s="10" t="str" cm="1">
        <f t="array" ref="E21">Common_InputFunctions.Utility_DisplayArrayInTable(WasteSolid_SourceData.Waste_EmissionFactorsForWasteTreatment_Data(), Table_SourceData_WasteSolid_WasteTreatmentEFs[[#Headers],[Treatment type t]], 0)</f>
        <v>Food waste, green waste, wood, sludge</v>
      </c>
      <c r="F21" s="10" cm="1">
        <f t="array" ref="F21">Common_InputFunctions.Utility_DisplayArrayInTable(WasteSolid_SourceData.Waste_EmissionFactorsForWasteTreatment_Data(), Table_SourceData_WasteSolid_WasteTreatmentEFs[[#Headers],[Treatment type t]], 0)</f>
        <v>0</v>
      </c>
      <c r="G21" s="10" t="str" cm="1">
        <f t="array" ref="G21">Common_InputFunctions.Utility_DisplayArrayInTable(WasteSolid_SourceData.Waste_EmissionFactorsForWasteTreatment_Data(), Table_SourceData_WasteSolid_WasteTreatmentEFs[[#Headers],[Treatment type t]], 0)</f>
        <v/>
      </c>
    </row>
    <row r="22" spans="1:9" ht="20.100000000000001" customHeight="1" x14ac:dyDescent="0.25">
      <c r="D22" s="8" t="str" cm="1">
        <f t="array" ref="D22">Common_InputFunctions.Utility_DisplayArrayInTable(WasteSolid_SourceData.Waste_EmissionFactorsForWasteTreatment_Data(), Table_SourceData_WasteSolid_WasteTreatmentEFs[[#Headers],[Treatment type t]], 0)</f>
        <v>Incineration</v>
      </c>
      <c r="E22" s="10" t="str" cm="1">
        <f t="array" ref="E22">Common_InputFunctions.Utility_DisplayArrayInTable(WasteSolid_SourceData.Waste_EmissionFactorsForWasteTreatment_Data(), Table_SourceData_WasteSolid_WasteTreatmentEFs[[#Headers],[Treatment type t]], 0)</f>
        <v>Paper and cardboard</v>
      </c>
      <c r="F22" s="10" cm="1">
        <f t="array" ref="F22">Common_InputFunctions.Utility_DisplayArrayInTable(WasteSolid_SourceData.Waste_EmissionFactorsForWasteTreatment_Data(), Table_SourceData_WasteSolid_WasteTreatmentEFs[[#Headers],[Treatment type t]], 0)</f>
        <v>1.6899999999999998E-2</v>
      </c>
      <c r="G22" s="10" t="str" cm="1">
        <f t="array" ref="G22">Common_InputFunctions.Utility_DisplayArrayInTable(WasteSolid_SourceData.Waste_EmissionFactorsForWasteTreatment_Data(), Table_SourceData_WasteSolid_WasteTreatmentEFs[[#Headers],[Treatment type t]], 0)</f>
        <v/>
      </c>
    </row>
    <row r="23" spans="1:9"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Incineration</v>
      </c>
      <c r="E23" s="10" t="str" cm="1">
        <f t="array" ref="E23">Common_InputFunctions.Utility_DisplayArrayInTable(WasteSolid_SourceData.Waste_EmissionFactorsForWasteTreatment_Data(), Table_SourceData_WasteSolid_WasteTreatmentEFs[[#Headers],[Treatment type t]], 0)</f>
        <v>Textiles</v>
      </c>
      <c r="F23" s="10" cm="1">
        <f t="array" ref="F23">Common_InputFunctions.Utility_DisplayArrayInTable(WasteSolid_SourceData.Waste_EmissionFactorsForWasteTreatment_Data(), Table_SourceData_WasteSolid_WasteTreatmentEFs[[#Headers],[Treatment type t]], 0)</f>
        <v>0.36670000000000003</v>
      </c>
      <c r="G23" s="10" t="str" cm="1">
        <f t="array" ref="G23">Common_InputFunctions.Utility_DisplayArrayInTable(WasteSolid_SourceData.Waste_EmissionFactorsForWasteTreatment_Data(), Table_SourceData_WasteSolid_WasteTreatmentEFs[[#Headers],[Treatment type t]], 0)</f>
        <v/>
      </c>
    </row>
    <row r="24" spans="1:9" ht="20.100000000000001" customHeight="1" x14ac:dyDescent="0.25">
      <c r="D24" s="8" t="str" cm="1">
        <f t="array" ref="D24">Common_InputFunctions.Utility_DisplayArrayInTable(WasteSolid_SourceData.Waste_EmissionFactorsForWasteTreatment_Data(), Table_SourceData_WasteSolid_WasteTreatmentEFs[[#Headers],[Treatment type t]], 0)</f>
        <v>Incineration</v>
      </c>
      <c r="E24" s="10" t="str" cm="1">
        <f t="array" ref="E24">Common_InputFunctions.Utility_DisplayArrayInTable(WasteSolid_SourceData.Waste_EmissionFactorsForWasteTreatment_Data(), Table_SourceData_WasteSolid_WasteTreatmentEFs[[#Headers],[Treatment type t]], 0)</f>
        <v>Rubber and leather</v>
      </c>
      <c r="F24" s="10" cm="1">
        <f t="array" ref="F24">Common_InputFunctions.Utility_DisplayArrayInTable(WasteSolid_SourceData.Waste_EmissionFactorsForWasteTreatment_Data(), Table_SourceData_WasteSolid_WasteTreatmentEFs[[#Headers],[Treatment type t]], 0)</f>
        <v>0.4919</v>
      </c>
      <c r="G24" s="10" t="str" cm="1">
        <f t="array" ref="G24">Common_InputFunctions.Utility_DisplayArrayInTable(WasteSolid_SourceData.Waste_EmissionFactorsForWasteTreatment_Data(), Table_SourceData_WasteSolid_WasteTreatmentEFs[[#Headers],[Treatment type t]], 0)</f>
        <v/>
      </c>
    </row>
    <row r="25" spans="1:9" ht="20.100000000000001" customHeight="1" x14ac:dyDescent="0.25">
      <c r="D25" s="8" t="str" cm="1">
        <f t="array" ref="D25">Common_InputFunctions.Utility_DisplayArrayInTable(WasteSolid_SourceData.Waste_EmissionFactorsForWasteTreatment_Data(), Table_SourceData_WasteSolid_WasteTreatmentEFs[[#Headers],[Treatment type t]], 0)</f>
        <v>Incineration</v>
      </c>
      <c r="E25" s="10" t="str" cm="1">
        <f t="array" ref="E25">Common_InputFunctions.Utility_DisplayArrayInTable(WasteSolid_SourceData.Waste_EmissionFactorsForWasteTreatment_Data(), Table_SourceData_WasteSolid_WasteTreatmentEFs[[#Headers],[Treatment type t]], 0)</f>
        <v>Inert Waste</v>
      </c>
      <c r="F25" s="10" cm="1">
        <f t="array" ref="F25">Common_InputFunctions.Utility_DisplayArrayInTable(WasteSolid_SourceData.Waste_EmissionFactorsForWasteTreatment_Data(), Table_SourceData_WasteSolid_WasteTreatmentEFs[[#Headers],[Treatment type t]], 0)</f>
        <v>0.11</v>
      </c>
      <c r="G25" s="10" t="str" cm="1">
        <f t="array" ref="G25">Common_InputFunctions.Utility_DisplayArrayInTable(WasteSolid_SourceData.Waste_EmissionFactorsForWasteTreatment_Data(), Table_SourceData_WasteSolid_WasteTreatmentEFs[[#Headers],[Treatment type t]], 0)</f>
        <v/>
      </c>
    </row>
    <row r="26" spans="1:9" ht="20.100000000000001" customHeight="1" x14ac:dyDescent="0.25">
      <c r="D26" s="8" t="str" cm="1">
        <f t="array" ref="D26">Common_InputFunctions.Utility_DisplayArrayInTable(WasteSolid_SourceData.Waste_EmissionFactorsForWasteTreatment_Data(), Table_SourceData_WasteSolid_WasteTreatmentEFs[[#Headers],[Treatment type t]], 0)</f>
        <v>Incineration</v>
      </c>
      <c r="E26" s="10" t="str" cm="1">
        <f t="array" ref="E26">Common_InputFunctions.Utility_DisplayArrayInTable(WasteSolid_SourceData.Waste_EmissionFactorsForWasteTreatment_Data(), Table_SourceData_WasteSolid_WasteTreatmentEFs[[#Headers],[Treatment type t]], 0)</f>
        <v>Municipal Solid Waste</v>
      </c>
      <c r="F26" s="10" cm="1">
        <f t="array" ref="F26">Common_InputFunctions.Utility_DisplayArrayInTable(WasteSolid_SourceData.Waste_EmissionFactorsForWasteTreatment_Data(), Table_SourceData_WasteSolid_WasteTreatmentEFs[[#Headers],[Treatment type t]], 0)</f>
        <v>5.3699999999999998E-2</v>
      </c>
      <c r="G26" s="10" t="str" cm="1">
        <f t="array" ref="G26">Common_InputFunctions.Utility_DisplayArrayInTable(WasteSolid_SourceData.Waste_EmissionFactorsForWasteTreatment_Data(), Table_SourceData_WasteSolid_WasteTreatmentEFs[[#Headers],[Treatment type t]], 0)</f>
        <v>NGAF 2025 Table 18</v>
      </c>
    </row>
    <row r="27" spans="1:9" ht="20.100000000000001" customHeight="1" x14ac:dyDescent="0.25">
      <c r="D27" s="8" t="str" cm="1">
        <f t="array" ref="D27">Common_InputFunctions.Utility_DisplayArrayInTable(WasteSolid_SourceData.Waste_EmissionFactorsForWasteTreatment_Data(), Table_SourceData_WasteSolid_WasteTreatmentEFs[[#Headers],[Treatment type t]], 0)</f>
        <v>Incineration</v>
      </c>
      <c r="E27" s="10" t="str" cm="1">
        <f t="array" ref="E27">Common_InputFunctions.Utility_DisplayArrayInTable(WasteSolid_SourceData.Waste_EmissionFactorsForWasteTreatment_Data(), Table_SourceData_WasteSolid_WasteTreatmentEFs[[#Headers],[Treatment type t]], 0)</f>
        <v>Industrial Waste</v>
      </c>
      <c r="F27" s="10" cm="1">
        <f t="array" ref="F27">Common_InputFunctions.Utility_DisplayArrayInTable(WasteSolid_SourceData.Waste_EmissionFactorsForWasteTreatment_Data(), Table_SourceData_WasteSolid_WasteTreatmentEFs[[#Headers],[Treatment type t]], 0)</f>
        <v>1.649</v>
      </c>
      <c r="G27" s="10" t="str" cm="1">
        <f t="array" ref="G27">Common_InputFunctions.Utility_DisplayArrayInTable(WasteSolid_SourceData.Waste_EmissionFactorsForWasteTreatment_Data(), Table_SourceData_WasteSolid_WasteTreatmentEFs[[#Headers],[Treatment type t]], 0)</f>
        <v>NGAF 2025 Table 18</v>
      </c>
    </row>
    <row r="28" spans="1:9" ht="20.100000000000001" customHeight="1" x14ac:dyDescent="0.25">
      <c r="D28" s="8" t="str" cm="1">
        <f t="array" ref="D28">Common_InputFunctions.Utility_DisplayArrayInTable(WasteSolid_SourceData.Waste_EmissionFactorsForWasteTreatment_Data(), Table_SourceData_WasteSolid_WasteTreatmentEFs[[#Headers],[Treatment type t]], 0)</f>
        <v>Composting</v>
      </c>
      <c r="E28" s="10" t="str" cm="1">
        <f t="array" ref="E28">Common_InputFunctions.Utility_DisplayArrayInTable(WasteSolid_SourceData.Waste_EmissionFactorsForWasteTreatment_Data(), Table_SourceData_WasteSolid_WasteTreatmentEFs[[#Headers],[Treatment type t]], 0)</f>
        <v>All organic waste</v>
      </c>
      <c r="F28" s="10" cm="1">
        <f t="array" ref="F28">Common_InputFunctions.Utility_DisplayArrayInTable(WasteSolid_SourceData.Waste_EmissionFactorsForWasteTreatment_Data(), Table_SourceData_WasteSolid_WasteTreatmentEFs[[#Headers],[Treatment type t]], 0)</f>
        <v>4.5999999999999999E-2</v>
      </c>
      <c r="G28" s="10" t="str" cm="1">
        <f t="array" ref="G28">Common_InputFunctions.Utility_DisplayArrayInTable(WasteSolid_SourceData.Waste_EmissionFactorsForWasteTreatment_Data(), Table_SourceData_WasteSolid_WasteTreatmentEFs[[#Headers],[Treatment type t]], 0)</f>
        <v>NGAF 2025 Table 19</v>
      </c>
    </row>
    <row r="29" spans="1:9" ht="20.100000000000001" customHeight="1" x14ac:dyDescent="0.25">
      <c r="D29" s="8" t="str" cm="1">
        <f t="array" ref="D29">Common_InputFunctions.Utility_DisplayArrayInTable(WasteSolid_SourceData.Waste_EmissionFactorsForWasteTreatment_Data(), Table_SourceData_WasteSolid_WasteTreatmentEFs[[#Headers],[Treatment type t]], 0)</f>
        <v>Anaerobic digestion</v>
      </c>
      <c r="E29" s="10" t="str" cm="1">
        <f t="array" ref="E29">Common_InputFunctions.Utility_DisplayArrayInTable(WasteSolid_SourceData.Waste_EmissionFactorsForWasteTreatment_Data(), Table_SourceData_WasteSolid_WasteTreatmentEFs[[#Headers],[Treatment type t]], 0)</f>
        <v>All organic waste</v>
      </c>
      <c r="F29" s="10" cm="1">
        <f t="array" ref="F29">Common_InputFunctions.Utility_DisplayArrayInTable(WasteSolid_SourceData.Waste_EmissionFactorsForWasteTreatment_Data(), Table_SourceData_WasteSolid_WasteTreatmentEFs[[#Headers],[Treatment type t]], 0)</f>
        <v>2.8000000000000001E-2</v>
      </c>
      <c r="G29" s="10" t="str" cm="1">
        <f t="array" ref="G29">Common_InputFunctions.Utility_DisplayArrayInTable(WasteSolid_SourceData.Waste_EmissionFactorsForWasteTreatment_Data(), Table_SourceData_WasteSolid_WasteTreatmentEFs[[#Headers],[Treatment type t]], 0)</f>
        <v>NGAF 2025 Table 19</v>
      </c>
    </row>
    <row r="30" spans="1:9" ht="20.100000000000001" customHeight="1" x14ac:dyDescent="0.25"/>
    <row r="31" spans="1:9" ht="20.100000000000001" customHeight="1" x14ac:dyDescent="0.25"/>
    <row r="32" spans="1:9" ht="20.100000000000001" customHeight="1" x14ac:dyDescent="0.25">
      <c r="D32" s="9" t="str" cm="1">
        <f t="array" ref="D32">WasteSolid_SourceData.Waste_WasteVolumeToMassConversion_Title()</f>
        <v>Volume to mass conversion factor for various waste types</v>
      </c>
    </row>
    <row r="33" spans="4:5" ht="20.100000000000001" customHeight="1" x14ac:dyDescent="0.25">
      <c r="D33" s="11" t="str" cm="1">
        <f t="array" ref="D33">WasteSolid_SourceData.Waste_WasteVolumeToMassConversion_Source()</f>
        <v>VEERG 2026: Table A.4.1.2</v>
      </c>
    </row>
    <row r="34" spans="4:5" ht="20.100000000000001" customHeight="1" x14ac:dyDescent="0.25">
      <c r="D34" s="12" t="str" cm="1">
        <f t="array" ref="D34">WasteSolid_SourceData.Waste_WasteVolumeToMassConversion_Variation()</f>
        <v>VARIATION OF SOURCE: Changed column header CFw to VTMw to match title variable.</v>
      </c>
    </row>
    <row r="35" spans="4:5" ht="20.100000000000001" customHeight="1" x14ac:dyDescent="0.25">
      <c r="D35" s="8" t="str" cm="1">
        <f t="array" ref="D35">WasteSolid_SourceData.Waste_WasteVolumeToMassConversion_Variable()</f>
        <v>VTMw</v>
      </c>
    </row>
    <row r="36" spans="4:5" ht="20.100000000000001" customHeight="1" x14ac:dyDescent="0.25">
      <c r="D36" s="13" t="str" cm="1">
        <f t="array" ref="D36">WasteSolid_SourceData.Waste_WasteVolumeToMassConversion_Unit()</f>
        <v>t/m3</v>
      </c>
    </row>
    <row r="37" spans="4:5" ht="20.100000000000001" customHeight="1" x14ac:dyDescent="0.25">
      <c r="D37" s="10" t="s">
        <v>784</v>
      </c>
      <c r="E37" s="10" t="s">
        <v>787</v>
      </c>
    </row>
    <row r="38" spans="4:5" ht="20.100000000000001" customHeight="1" x14ac:dyDescent="0.25">
      <c r="D38" s="10" t="str" cm="1">
        <f t="array" ref="D38">Common_InputFunctions.Utility_DisplayArrayInTable(WasteSolid_SourceData.Waste_WasteVolumeToMassConversion_Data(), Table_SourceData_WasteSolid_VolumeToMassConversion[[#Headers],[Waste type w]], 0)</f>
        <v>Food waste (including animal carcasses, spoiled animal feed or crop)</v>
      </c>
      <c r="E38" s="10" cm="1">
        <f t="array" ref="E38">Common_InputFunctions.Utility_DisplayArrayInTable(WasteSolid_SourceData.Waste_WasteVolumeToMassConversion_Data(), Table_SourceData_WasteSolid_VolumeToMassConversion[[#Headers],[Waste type w]], 0)</f>
        <v>0.5</v>
      </c>
    </row>
    <row r="39" spans="4:5" ht="20.100000000000001" customHeight="1" x14ac:dyDescent="0.25">
      <c r="D39" s="8" t="str" cm="1">
        <f t="array" ref="D39">Common_InputFunctions.Utility_DisplayArrayInTable(WasteSolid_SourceData.Waste_WasteVolumeToMassConversion_Data(), Table_SourceData_WasteSolid_VolumeToMassConversion[[#Headers],[Waste type w]], 0)</f>
        <v>Paper and cardboard</v>
      </c>
      <c r="E39" s="10" cm="1">
        <f t="array" ref="E39">Common_InputFunctions.Utility_DisplayArrayInTable(WasteSolid_SourceData.Waste_WasteVolumeToMassConversion_Data(), Table_SourceData_WasteSolid_VolumeToMassConversion[[#Headers],[Waste type w]], 0)</f>
        <v>0.09</v>
      </c>
    </row>
    <row r="40" spans="4:5" ht="20.100000000000001" customHeight="1" x14ac:dyDescent="0.25">
      <c r="D40" s="8" t="str" cm="1">
        <f t="array" ref="D40">Common_InputFunctions.Utility_DisplayArrayInTable(WasteSolid_SourceData.Waste_WasteVolumeToMassConversion_Data(), Table_SourceData_WasteSolid_VolumeToMassConversion[[#Headers],[Waste type w]], 0)</f>
        <v>Green waste (including crop residues or prunings)</v>
      </c>
      <c r="E40" s="10" cm="1">
        <f t="array" ref="E40">Common_InputFunctions.Utility_DisplayArrayInTable(WasteSolid_SourceData.Waste_WasteVolumeToMassConversion_Data(), Table_SourceData_WasteSolid_VolumeToMassConversion[[#Headers],[Waste type w]], 0)</f>
        <v>0.24</v>
      </c>
    </row>
    <row r="41" spans="4:5" ht="20.100000000000001" customHeight="1" x14ac:dyDescent="0.25">
      <c r="D41" s="8" t="str" cm="1">
        <f t="array" ref="D41">Common_InputFunctions.Utility_DisplayArrayInTable(WasteSolid_SourceData.Waste_WasteVolumeToMassConversion_Data(), Table_SourceData_WasteSolid_VolumeToMassConversion[[#Headers],[Waste type w]], 0)</f>
        <v>Wood</v>
      </c>
      <c r="E41" s="10" cm="1">
        <f t="array" ref="E41">Common_InputFunctions.Utility_DisplayArrayInTable(WasteSolid_SourceData.Waste_WasteVolumeToMassConversion_Data(), Table_SourceData_WasteSolid_VolumeToMassConversion[[#Headers],[Waste type w]], 0)</f>
        <v>0.15</v>
      </c>
    </row>
    <row r="42" spans="4:5" ht="20.100000000000001" customHeight="1" x14ac:dyDescent="0.25">
      <c r="D42" s="8" t="str" cm="1">
        <f t="array" ref="D42">Common_InputFunctions.Utility_DisplayArrayInTable(WasteSolid_SourceData.Waste_WasteVolumeToMassConversion_Data(), Table_SourceData_WasteSolid_VolumeToMassConversion[[#Headers],[Waste type w]], 0)</f>
        <v>Textiles</v>
      </c>
      <c r="E42" s="10" cm="1">
        <f t="array" ref="E42">Common_InputFunctions.Utility_DisplayArrayInTable(WasteSolid_SourceData.Waste_WasteVolumeToMassConversion_Data(), Table_SourceData_WasteSolid_VolumeToMassConversion[[#Headers],[Waste type w]], 0)</f>
        <v>0.14000000000000001</v>
      </c>
    </row>
    <row r="43" spans="4:5" ht="20.100000000000001" customHeight="1" x14ac:dyDescent="0.25">
      <c r="D43" s="8" t="str" cm="1">
        <f t="array" ref="D43">Common_InputFunctions.Utility_DisplayArrayInTable(WasteSolid_SourceData.Waste_WasteVolumeToMassConversion_Data(), Table_SourceData_WasteSolid_VolumeToMassConversion[[#Headers],[Waste type w]], 0)</f>
        <v>Sludge</v>
      </c>
      <c r="E43" s="10" cm="1">
        <f t="array" ref="E43">Common_InputFunctions.Utility_DisplayArrayInTable(WasteSolid_SourceData.Waste_WasteVolumeToMassConversion_Data(), Table_SourceData_WasteSolid_VolumeToMassConversion[[#Headers],[Waste type w]], 0)</f>
        <v>0.72</v>
      </c>
    </row>
    <row r="44" spans="4:5" ht="20.100000000000001" customHeight="1" x14ac:dyDescent="0.25">
      <c r="D44" s="8" t="str" cm="1">
        <f t="array" ref="D44">Common_InputFunctions.Utility_DisplayArrayInTable(WasteSolid_SourceData.Waste_WasteVolumeToMassConversion_Data(), Table_SourceData_WasteSolid_VolumeToMassConversion[[#Headers],[Waste type w]], 0)</f>
        <v>Rubber and leather</v>
      </c>
      <c r="E44" s="10" cm="1">
        <f t="array" ref="E44">Common_InputFunctions.Utility_DisplayArrayInTable(WasteSolid_SourceData.Waste_WasteVolumeToMassConversion_Data(), Table_SourceData_WasteSolid_VolumeToMassConversion[[#Headers],[Waste type w]], 0)</f>
        <v>0.14000000000000001</v>
      </c>
    </row>
    <row r="45" spans="4:5" ht="20.100000000000001" customHeight="1" x14ac:dyDescent="0.25">
      <c r="D45" s="8" t="str" cm="1">
        <f t="array" ref="D45">Common_InputFunctions.Utility_DisplayArrayInTable(WasteSolid_SourceData.Waste_WasteVolumeToMassConversion_Data(), Table_SourceData_WasteSolid_VolumeToMassConversion[[#Headers],[Waste type w]], 0)</f>
        <v>Inert waste (including concrete, metal, plastic or glass)</v>
      </c>
      <c r="E45" s="10" cm="1">
        <f t="array" ref="E45">Common_InputFunctions.Utility_DisplayArrayInTable(WasteSolid_SourceData.Waste_WasteVolumeToMassConversion_Data(), Table_SourceData_WasteSolid_VolumeToMassConversion[[#Headers],[Waste type w]], 0)</f>
        <v>0.42</v>
      </c>
    </row>
    <row r="46" spans="4:5" ht="20.100000000000001" customHeight="1" x14ac:dyDescent="0.25">
      <c r="D46" s="8" t="str" cm="1">
        <f t="array" ref="D46">Common_InputFunctions.Utility_DisplayArrayInTable(WasteSolid_SourceData.Waste_WasteVolumeToMassConversion_Data(), Table_SourceData_WasteSolid_VolumeToMassConversion[[#Headers],[Waste type w]], 0)</f>
        <v>Municipal solid waste</v>
      </c>
      <c r="E46" s="10" cm="1">
        <f t="array" ref="E46">Common_InputFunctions.Utility_DisplayArrayInTable(WasteSolid_SourceData.Waste_WasteVolumeToMassConversion_Data(), Table_SourceData_WasteSolid_VolumeToMassConversion[[#Headers],[Waste type w]], 0)</f>
        <v>0.36</v>
      </c>
    </row>
    <row r="47" spans="4:5" ht="20.100000000000001" customHeight="1" x14ac:dyDescent="0.25">
      <c r="D47" s="8" t="str" cm="1">
        <f t="array" ref="D47">Common_InputFunctions.Utility_DisplayArrayInTable(WasteSolid_SourceData.Waste_WasteVolumeToMassConversion_Data(), Table_SourceData_WasteSolid_VolumeToMassConversion[[#Headers],[Waste type w]], 0)</f>
        <v>Commercial and industrial waste</v>
      </c>
      <c r="E47" s="10" cm="1">
        <f t="array" ref="E47">Common_InputFunctions.Utility_DisplayArrayInTable(WasteSolid_SourceData.Waste_WasteVolumeToMassConversion_Data(), Table_SourceData_WasteSolid_VolumeToMassConversion[[#Headers],[Waste type w]], 0)</f>
        <v>0.33</v>
      </c>
    </row>
    <row r="48" spans="4:5" ht="20.100000000000001" customHeight="1" x14ac:dyDescent="0.25">
      <c r="D48" s="8" t="str" cm="1">
        <f t="array" ref="D48">Common_InputFunctions.Utility_DisplayArrayInTable(WasteSolid_SourceData.Waste_WasteVolumeToMassConversion_Data(), Table_SourceData_WasteSolid_VolumeToMassConversion[[#Headers],[Waste type w]], 0)</f>
        <v>Construction and demolition waste</v>
      </c>
      <c r="E48" s="10" cm="1">
        <f t="array" ref="E48">Common_InputFunctions.Utility_DisplayArrayInTable(WasteSolid_SourceData.Waste_WasteVolumeToMassConversion_Data(), Table_SourceData_WasteSolid_VolumeToMassConversion[[#Headers],[Waste type w]], 0)</f>
        <v>0.39</v>
      </c>
    </row>
    <row r="49" spans="1:1" ht="20.100000000000001" customHeight="1" x14ac:dyDescent="0.25">
      <c r="A49" s="56"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6"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E30" sqref="E30"/>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717</v>
      </c>
      <c r="F112" s="20" t="s">
        <v>718</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34" t="s">
        <v>94</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95</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96</v>
      </c>
      <c r="E142" s="3" t="s">
        <v>97</v>
      </c>
      <c r="F142" s="17"/>
      <c r="G142" s="17"/>
      <c r="H142" s="17"/>
      <c r="I142" s="17"/>
      <c r="J142" s="17"/>
      <c r="K142" s="17"/>
      <c r="L142" s="17"/>
    </row>
    <row r="143" spans="4:33" ht="20.100000000000001" customHeight="1" x14ac:dyDescent="0.25">
      <c r="D143" s="35" t="s">
        <v>98</v>
      </c>
      <c r="E143" s="3" t="s">
        <v>99</v>
      </c>
      <c r="F143" s="17"/>
      <c r="G143" s="17"/>
      <c r="H143" s="17"/>
      <c r="I143" s="17"/>
      <c r="J143" s="17"/>
      <c r="K143" s="17"/>
      <c r="L143" s="17"/>
    </row>
    <row r="144" spans="4:33" ht="20.100000000000001" customHeight="1" x14ac:dyDescent="0.25">
      <c r="D144" s="35" t="s">
        <v>100</v>
      </c>
      <c r="E144" s="3" t="s">
        <v>99</v>
      </c>
      <c r="F144" s="17"/>
      <c r="G144" s="17"/>
      <c r="H144" s="17"/>
      <c r="I144" s="17"/>
      <c r="J144" s="17"/>
      <c r="K144" s="17"/>
      <c r="L144" s="17"/>
    </row>
    <row r="145" spans="4:12" ht="20.100000000000001" customHeight="1" x14ac:dyDescent="0.25">
      <c r="D145" s="35" t="s">
        <v>101</v>
      </c>
      <c r="E145" s="3" t="s">
        <v>99</v>
      </c>
      <c r="F145" s="17"/>
      <c r="G145" s="17"/>
      <c r="H145" s="17"/>
      <c r="I145" s="17"/>
      <c r="J145" s="17"/>
      <c r="K145" s="17"/>
      <c r="L145" s="17"/>
    </row>
    <row r="146" spans="4:12" ht="20.100000000000001" customHeight="1" x14ac:dyDescent="0.25">
      <c r="D146" s="35" t="s">
        <v>102</v>
      </c>
      <c r="E146" s="3" t="s">
        <v>99</v>
      </c>
      <c r="F146" s="17"/>
      <c r="G146" s="17"/>
      <c r="H146" s="17"/>
      <c r="I146" s="17"/>
      <c r="J146" s="17"/>
      <c r="K146" s="17"/>
      <c r="L146" s="17"/>
    </row>
    <row r="147" spans="4:12" ht="20.100000000000001" customHeight="1" x14ac:dyDescent="0.25">
      <c r="D147" s="35" t="s">
        <v>103</v>
      </c>
      <c r="E147" s="3" t="s">
        <v>99</v>
      </c>
      <c r="F147" s="17"/>
      <c r="G147" s="17"/>
      <c r="H147" s="17"/>
      <c r="I147" s="17"/>
      <c r="J147" s="17"/>
      <c r="K147" s="17"/>
      <c r="L147" s="17"/>
    </row>
    <row r="148" spans="4:12" ht="20.100000000000001" customHeight="1" x14ac:dyDescent="0.25">
      <c r="D148" s="35" t="s">
        <v>104</v>
      </c>
      <c r="E148" s="3" t="s">
        <v>99</v>
      </c>
      <c r="F148" s="17"/>
      <c r="G148" s="17"/>
      <c r="H148" s="17"/>
      <c r="I148" s="17"/>
      <c r="J148" s="17"/>
      <c r="K148" s="17"/>
      <c r="L148" s="17"/>
    </row>
    <row r="149" spans="4:12" ht="20.100000000000001" customHeight="1" x14ac:dyDescent="0.25">
      <c r="D149" s="35" t="s">
        <v>105</v>
      </c>
      <c r="E149" s="3" t="s">
        <v>99</v>
      </c>
      <c r="F149" s="17"/>
      <c r="G149" s="17"/>
      <c r="H149" s="17"/>
      <c r="I149" s="17"/>
      <c r="J149" s="17"/>
      <c r="K149" s="17"/>
      <c r="L149" s="17"/>
    </row>
    <row r="150" spans="4:12" ht="20.100000000000001" customHeight="1" x14ac:dyDescent="0.25">
      <c r="D150" s="35" t="s">
        <v>106</v>
      </c>
      <c r="E150" s="3" t="s">
        <v>99</v>
      </c>
      <c r="F150" s="17"/>
      <c r="G150" s="17"/>
      <c r="H150" s="17"/>
      <c r="I150" s="17"/>
      <c r="J150" s="17"/>
      <c r="K150" s="17"/>
      <c r="L150" s="17"/>
    </row>
    <row r="151" spans="4:12" ht="20.100000000000001" customHeight="1" x14ac:dyDescent="0.25">
      <c r="D151" s="35" t="s">
        <v>107</v>
      </c>
      <c r="E151" s="3" t="s">
        <v>99</v>
      </c>
      <c r="F151" s="17"/>
      <c r="G151" s="17"/>
      <c r="H151" s="17"/>
      <c r="I151" s="17"/>
      <c r="J151" s="17"/>
      <c r="K151" s="17"/>
      <c r="L151" s="17"/>
    </row>
    <row r="152" spans="4:12" ht="20.100000000000001" customHeight="1" x14ac:dyDescent="0.25">
      <c r="D152" s="37" t="s">
        <v>108</v>
      </c>
      <c r="E152" s="14" t="s">
        <v>99</v>
      </c>
      <c r="F152" s="17"/>
      <c r="G152" s="17"/>
      <c r="H152" s="17"/>
      <c r="I152" s="17"/>
      <c r="J152" s="17"/>
      <c r="K152" s="17"/>
      <c r="L152" s="17"/>
    </row>
    <row r="153" spans="4:12" ht="20.100000000000001" customHeight="1" x14ac:dyDescent="0.25">
      <c r="D153" s="37" t="s">
        <v>109</v>
      </c>
      <c r="E153" s="14" t="s">
        <v>99</v>
      </c>
      <c r="F153" s="17"/>
      <c r="G153" s="17"/>
      <c r="H153" s="17"/>
      <c r="I153" s="17"/>
      <c r="J153" s="17"/>
      <c r="K153" s="17"/>
      <c r="L153" s="17"/>
    </row>
    <row r="154" spans="4:12" ht="20.100000000000001" customHeight="1" x14ac:dyDescent="0.25">
      <c r="D154" s="37" t="s">
        <v>110</v>
      </c>
      <c r="E154" s="14" t="s">
        <v>99</v>
      </c>
      <c r="F154" s="17"/>
      <c r="G154" s="17"/>
      <c r="H154" s="17"/>
      <c r="I154" s="17"/>
      <c r="J154" s="17"/>
      <c r="K154" s="17"/>
      <c r="L154" s="17"/>
    </row>
    <row r="155" spans="4:12" ht="20.100000000000001" customHeight="1" x14ac:dyDescent="0.25">
      <c r="D155" s="37" t="s">
        <v>111</v>
      </c>
      <c r="E155" s="14" t="s">
        <v>99</v>
      </c>
      <c r="F155" s="17"/>
      <c r="G155" s="17"/>
      <c r="H155" s="17"/>
      <c r="I155" s="17"/>
      <c r="J155" s="17"/>
      <c r="K155" s="17"/>
      <c r="L155" s="17"/>
    </row>
    <row r="156" spans="4:12" ht="20.100000000000001" customHeight="1" x14ac:dyDescent="0.25">
      <c r="D156" s="37" t="s">
        <v>112</v>
      </c>
      <c r="E156" s="14" t="s">
        <v>99</v>
      </c>
      <c r="F156" s="17"/>
      <c r="G156" s="17"/>
      <c r="H156" s="17"/>
      <c r="I156" s="17"/>
      <c r="J156" s="17"/>
      <c r="K156" s="17"/>
      <c r="L156" s="17"/>
    </row>
    <row r="157" spans="4:12" ht="20.100000000000001" customHeight="1" x14ac:dyDescent="0.25">
      <c r="D157" s="37" t="s">
        <v>113</v>
      </c>
      <c r="E157" s="14" t="s">
        <v>99</v>
      </c>
      <c r="F157" s="17"/>
      <c r="G157" s="17"/>
      <c r="H157" s="17"/>
      <c r="I157" s="17"/>
      <c r="J157" s="17"/>
      <c r="K157" s="17"/>
      <c r="L157" s="17"/>
    </row>
    <row r="158" spans="4:12" ht="20.100000000000001" customHeight="1" x14ac:dyDescent="0.25">
      <c r="D158" s="37" t="s">
        <v>114</v>
      </c>
      <c r="E158" s="14" t="s">
        <v>99</v>
      </c>
      <c r="F158" s="17"/>
      <c r="G158" s="17"/>
      <c r="H158" s="17"/>
      <c r="I158" s="17"/>
      <c r="J158" s="17"/>
      <c r="K158" s="17"/>
      <c r="L158" s="17"/>
    </row>
    <row r="159" spans="4:12" ht="20.100000000000001" customHeight="1" x14ac:dyDescent="0.25">
      <c r="D159" s="37" t="s">
        <v>115</v>
      </c>
      <c r="E159" s="14" t="s">
        <v>99</v>
      </c>
      <c r="F159" s="17"/>
      <c r="G159" s="17"/>
      <c r="H159" s="17"/>
      <c r="I159" s="17"/>
      <c r="J159" s="17"/>
      <c r="K159" s="17"/>
      <c r="L159" s="17"/>
    </row>
    <row r="160" spans="4:12" ht="20.100000000000001" customHeight="1" x14ac:dyDescent="0.25">
      <c r="D160" s="37" t="s">
        <v>95</v>
      </c>
      <c r="E160" s="14" t="s">
        <v>99</v>
      </c>
      <c r="F160" s="17"/>
      <c r="G160" s="17"/>
      <c r="H160" s="17"/>
      <c r="I160" s="17"/>
      <c r="J160" s="17"/>
      <c r="K160" s="17"/>
      <c r="L160" s="17"/>
    </row>
    <row r="161" spans="4:12" ht="20.100000000000001" customHeight="1" x14ac:dyDescent="0.25">
      <c r="D161" s="36"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578</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579</v>
      </c>
      <c r="E8" s="10" t="s">
        <v>580</v>
      </c>
      <c r="F8" s="10" t="s">
        <v>581</v>
      </c>
      <c r="G8" s="10" t="s">
        <v>582</v>
      </c>
      <c r="H8" s="10" t="s">
        <v>583</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584</v>
      </c>
      <c r="E19" s="10" t="s">
        <v>585</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586</v>
      </c>
      <c r="G26" s="9" t="s">
        <v>587</v>
      </c>
      <c r="J26" s="9" t="s">
        <v>588</v>
      </c>
      <c r="M26" s="8"/>
    </row>
    <row r="27" spans="1:13" ht="20.100000000000001" customHeight="1" x14ac:dyDescent="0.25">
      <c r="M27" s="8"/>
    </row>
    <row r="28" spans="1:13" ht="20.100000000000001" customHeight="1" x14ac:dyDescent="0.25">
      <c r="D28" s="163" t="s">
        <v>528</v>
      </c>
      <c r="E28" s="10" t="s">
        <v>331</v>
      </c>
      <c r="G28" s="163" t="s">
        <v>528</v>
      </c>
      <c r="H28" s="10" t="s">
        <v>331</v>
      </c>
      <c r="J28" s="163" t="s">
        <v>528</v>
      </c>
      <c r="K28" s="10" t="s">
        <v>331</v>
      </c>
      <c r="M28" s="8"/>
    </row>
    <row r="29" spans="1:13" ht="20.100000000000001" customHeight="1" x14ac:dyDescent="0.25">
      <c r="D29" s="10" t="s">
        <v>58</v>
      </c>
      <c r="E29" s="10" t="s">
        <v>589</v>
      </c>
      <c r="G29" s="10" t="s">
        <v>58</v>
      </c>
      <c r="H29" s="10" t="s">
        <v>589</v>
      </c>
      <c r="J29" s="10" t="s">
        <v>55</v>
      </c>
      <c r="K29" s="10" t="s">
        <v>590</v>
      </c>
      <c r="M29" s="8"/>
    </row>
    <row r="30" spans="1:13" ht="20.100000000000001" customHeight="1" x14ac:dyDescent="0.25">
      <c r="D30" s="10" t="s">
        <v>591</v>
      </c>
      <c r="E30" s="10" t="s">
        <v>592</v>
      </c>
      <c r="G30" s="10" t="s">
        <v>591</v>
      </c>
      <c r="H30" s="10" t="s">
        <v>592</v>
      </c>
      <c r="J30" s="10" t="s">
        <v>54</v>
      </c>
      <c r="K30" s="10" t="s">
        <v>593</v>
      </c>
      <c r="M30" s="8"/>
    </row>
    <row r="31" spans="1:13" ht="20.100000000000001" customHeight="1" x14ac:dyDescent="0.25">
      <c r="D31" s="10" t="s">
        <v>594</v>
      </c>
      <c r="E31" s="10" t="s">
        <v>595</v>
      </c>
      <c r="G31" s="10" t="s">
        <v>594</v>
      </c>
      <c r="H31" s="10" t="s">
        <v>595</v>
      </c>
      <c r="J31" s="8" t="s">
        <v>51</v>
      </c>
      <c r="K31" s="8" t="s">
        <v>596</v>
      </c>
      <c r="M31" s="8"/>
    </row>
    <row r="32" spans="1:13" ht="20.100000000000001" customHeight="1" x14ac:dyDescent="0.25">
      <c r="D32" s="10" t="s">
        <v>62</v>
      </c>
      <c r="E32" s="10" t="s">
        <v>597</v>
      </c>
      <c r="G32" s="10" t="s">
        <v>62</v>
      </c>
      <c r="H32" s="10" t="s">
        <v>597</v>
      </c>
      <c r="J32" s="10" t="s">
        <v>60</v>
      </c>
      <c r="K32" s="10" t="s">
        <v>598</v>
      </c>
      <c r="M32" s="8"/>
    </row>
    <row r="33" spans="4:13" ht="20.100000000000001" customHeight="1" x14ac:dyDescent="0.25">
      <c r="D33" s="10" t="s">
        <v>55</v>
      </c>
      <c r="E33" s="10" t="s">
        <v>590</v>
      </c>
      <c r="G33" s="8" t="s">
        <v>599</v>
      </c>
      <c r="H33" s="10" t="s">
        <v>599</v>
      </c>
      <c r="J33" s="10" t="s">
        <v>61</v>
      </c>
      <c r="K33" s="10" t="s">
        <v>600</v>
      </c>
      <c r="M33" s="8"/>
    </row>
    <row r="34" spans="4:13" ht="20.100000000000001" customHeight="1" x14ac:dyDescent="0.25">
      <c r="D34" s="10" t="s">
        <v>54</v>
      </c>
      <c r="E34" s="10" t="s">
        <v>593</v>
      </c>
      <c r="J34" s="8" t="s">
        <v>599</v>
      </c>
      <c r="K34" s="10" t="s">
        <v>599</v>
      </c>
      <c r="M34" s="8"/>
    </row>
    <row r="35" spans="4:13" ht="20.100000000000001" customHeight="1" x14ac:dyDescent="0.25">
      <c r="D35" s="8" t="s">
        <v>51</v>
      </c>
      <c r="E35" s="8" t="s">
        <v>596</v>
      </c>
      <c r="M35" s="8"/>
    </row>
    <row r="36" spans="4:13" ht="20.100000000000001" customHeight="1" x14ac:dyDescent="0.25">
      <c r="D36" s="10" t="s">
        <v>60</v>
      </c>
      <c r="E36" s="10" t="s">
        <v>598</v>
      </c>
      <c r="M36" s="8"/>
    </row>
    <row r="37" spans="4:13" ht="20.100000000000001" customHeight="1" x14ac:dyDescent="0.25">
      <c r="D37" s="10" t="s">
        <v>61</v>
      </c>
      <c r="E37" s="10" t="s">
        <v>600</v>
      </c>
      <c r="M37" s="8"/>
    </row>
    <row r="38" spans="4:13" ht="20.100000000000001" customHeight="1" x14ac:dyDescent="0.25">
      <c r="D38" s="8" t="s">
        <v>599</v>
      </c>
      <c r="E38" s="10" t="s">
        <v>599</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601</v>
      </c>
      <c r="M42" s="8"/>
    </row>
    <row r="43" spans="4:13" ht="20.100000000000001" customHeight="1" x14ac:dyDescent="0.25">
      <c r="M43" s="8"/>
    </row>
    <row r="44" spans="4:13" ht="20.100000000000001" customHeight="1" x14ac:dyDescent="0.25">
      <c r="D44" s="10" t="s">
        <v>145</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536</v>
      </c>
      <c r="E59" s="10" t="s">
        <v>602</v>
      </c>
      <c r="F59" s="10" t="s">
        <v>338</v>
      </c>
      <c r="G59" s="10" t="s">
        <v>314</v>
      </c>
      <c r="H59" s="10" t="s">
        <v>339</v>
      </c>
      <c r="I59" s="10" t="s">
        <v>438</v>
      </c>
      <c r="J59" s="10" t="s">
        <v>344</v>
      </c>
      <c r="K59" s="10" t="s">
        <v>396</v>
      </c>
      <c r="L59" s="10" t="s">
        <v>345</v>
      </c>
      <c r="M59" s="10" t="s">
        <v>393</v>
      </c>
      <c r="N59" s="10" t="s">
        <v>553</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528</v>
      </c>
      <c r="E75" s="10" t="s">
        <v>559</v>
      </c>
      <c r="F75" s="10" t="s">
        <v>553</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565</v>
      </c>
      <c r="E84" s="10" t="s">
        <v>566</v>
      </c>
      <c r="F84" s="10" t="s">
        <v>537</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565</v>
      </c>
      <c r="E97" s="10" t="s">
        <v>567</v>
      </c>
      <c r="F97" s="10" t="s">
        <v>537</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603</v>
      </c>
      <c r="E119" s="10" t="s">
        <v>569</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550</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Swine'!A1", "Swine")</f>
        <v>Swine</v>
      </c>
      <c r="D9" s="10" t="s">
        <v>147</v>
      </c>
      <c r="G9" s="10" t="s">
        <v>148</v>
      </c>
      <c r="M9" s="8"/>
    </row>
    <row r="10" spans="1:21" ht="20.100000000000001" customHeight="1" x14ac:dyDescent="0.25">
      <c r="A10" s="16"/>
      <c r="D10" s="8" t="s">
        <v>150</v>
      </c>
      <c r="G10" s="10" t="s">
        <v>152</v>
      </c>
      <c r="M10" s="8"/>
    </row>
    <row r="11" spans="1:21" ht="20.100000000000001" customHeight="1" x14ac:dyDescent="0.25">
      <c r="A11" s="21" t="s">
        <v>77</v>
      </c>
      <c r="G11" s="8" t="s">
        <v>155</v>
      </c>
      <c r="M11" s="8"/>
    </row>
    <row r="12" spans="1:21" ht="20.100000000000001" customHeight="1" x14ac:dyDescent="0.25">
      <c r="A12" s="16" t="str">
        <f>HYPERLINK("#'3.5.1.1-2 Enteric Methane'!A1", "3.5.1.1-2 Enteric Methane")</f>
        <v>3.5.1.1-2 Enteric Methane</v>
      </c>
      <c r="G12" s="8" t="s">
        <v>158</v>
      </c>
      <c r="M12" s="8"/>
    </row>
    <row r="13" spans="1:21" ht="20.100000000000001" customHeight="1" x14ac:dyDescent="0.25">
      <c r="G13" s="8" t="s">
        <v>160</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61" t="s">
        <v>551</v>
      </c>
      <c r="M24" s="8"/>
    </row>
    <row r="25" spans="1:13" ht="20.100000000000001" customHeight="1" x14ac:dyDescent="0.25">
      <c r="D25" s="11" t="str" cm="1">
        <f t="array" ref="D25">SourceData_Swine.SourceData_Swine_MMS_MCFs_Source()</f>
        <v>VEERG 2026: Table A.1.6.4: Swine - MCFs (MCFim)</v>
      </c>
      <c r="H25" s="161" t="s">
        <v>552</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528</v>
      </c>
      <c r="E28" s="10" t="s">
        <v>338</v>
      </c>
      <c r="F28" s="10" t="s">
        <v>314</v>
      </c>
      <c r="G28" s="10" t="s">
        <v>339</v>
      </c>
      <c r="H28" s="10" t="s">
        <v>438</v>
      </c>
      <c r="I28" s="10" t="s">
        <v>396</v>
      </c>
      <c r="J28" s="10" t="s">
        <v>393</v>
      </c>
      <c r="K28" s="10" t="s">
        <v>344</v>
      </c>
      <c r="L28" s="10" t="s">
        <v>345</v>
      </c>
      <c r="M28" s="10" t="s">
        <v>553</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554</v>
      </c>
      <c r="G38" s="9" t="s">
        <v>555</v>
      </c>
      <c r="K38" s="9" t="s">
        <v>556</v>
      </c>
      <c r="M38" s="8"/>
    </row>
    <row r="39" spans="4:13" ht="20.100000000000001" customHeight="1" x14ac:dyDescent="0.25">
      <c r="M39" s="8"/>
    </row>
    <row r="40" spans="4:13" ht="20.100000000000001" customHeight="1" x14ac:dyDescent="0.25">
      <c r="D40" s="163" t="s">
        <v>528</v>
      </c>
      <c r="E40" s="10" t="s">
        <v>331</v>
      </c>
      <c r="G40" s="163" t="s">
        <v>528</v>
      </c>
      <c r="H40" s="10" t="s">
        <v>331</v>
      </c>
      <c r="K40" s="163" t="s">
        <v>528</v>
      </c>
      <c r="L40" s="10" t="s">
        <v>331</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557</v>
      </c>
      <c r="G51" s="9" t="s">
        <v>558</v>
      </c>
      <c r="M51" s="8"/>
    </row>
    <row r="52" spans="1:13" ht="20.100000000000001" customHeight="1" x14ac:dyDescent="0.25">
      <c r="M52" s="8"/>
    </row>
    <row r="53" spans="1:13" ht="20.100000000000001" customHeight="1" x14ac:dyDescent="0.25">
      <c r="D53" s="163" t="s">
        <v>528</v>
      </c>
      <c r="E53" s="10" t="s">
        <v>559</v>
      </c>
      <c r="G53" s="10" t="s">
        <v>145</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324</v>
      </c>
      <c r="E67" s="10" t="s">
        <v>560</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324</v>
      </c>
      <c r="E78" s="10" t="s">
        <v>561</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324</v>
      </c>
      <c r="E89" s="10" t="s">
        <v>562</v>
      </c>
      <c r="F89" s="10" t="s">
        <v>563</v>
      </c>
      <c r="G89" s="10" t="s">
        <v>564</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565</v>
      </c>
      <c r="E99" s="10" t="s">
        <v>566</v>
      </c>
      <c r="F99" s="10" t="s">
        <v>537</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565</v>
      </c>
      <c r="E111" s="10" t="s">
        <v>567</v>
      </c>
      <c r="F111" s="10" t="s">
        <v>537</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568</v>
      </c>
      <c r="E127" s="10" t="s">
        <v>569</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525</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526</v>
      </c>
      <c r="G5" s="9" t="s">
        <v>527</v>
      </c>
      <c r="J5" s="9" t="s">
        <v>143</v>
      </c>
      <c r="M5" s="8"/>
    </row>
    <row r="6" spans="1:21" ht="20.100000000000001" customHeight="1" x14ac:dyDescent="0.25">
      <c r="A6" s="18"/>
      <c r="M6" s="8"/>
    </row>
    <row r="7" spans="1:21" ht="20.100000000000001" customHeight="1" x14ac:dyDescent="0.25">
      <c r="A7" s="19"/>
      <c r="D7" s="163" t="s">
        <v>528</v>
      </c>
      <c r="E7" s="10" t="s">
        <v>331</v>
      </c>
      <c r="G7" s="10" t="s">
        <v>145</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c r="D10" s="10" t="str">
        <f>'Constants - Common Livestock'!E11</f>
        <v>Drains to paddock</v>
      </c>
      <c r="E10" s="10" t="str">
        <f>'Constants - Common Livestock'!F11</f>
        <v>Drains to paddock (m=3b)</v>
      </c>
      <c r="J10" s="8" t="s">
        <v>155</v>
      </c>
      <c r="M10" s="8"/>
    </row>
    <row r="11" spans="1:21" ht="20.100000000000001" customHeight="1" x14ac:dyDescent="0.25">
      <c r="A11" s="21"/>
      <c r="D11" s="10" t="str">
        <f>'Constants - Common Livestock'!E12</f>
        <v>Solid storage</v>
      </c>
      <c r="E11" s="10" t="str">
        <f>'Constants - Common Livestock'!F12</f>
        <v>Solid storage (m=4)</v>
      </c>
      <c r="J11" s="8" t="s">
        <v>158</v>
      </c>
      <c r="M11" s="8"/>
    </row>
    <row r="12" spans="1:21" ht="20.100000000000001" customHeight="1" x14ac:dyDescent="0.25">
      <c r="A12" s="16"/>
      <c r="J12" s="8" t="s">
        <v>160</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507</v>
      </c>
      <c r="E21" s="10" t="s">
        <v>520</v>
      </c>
      <c r="F21" s="10" t="s">
        <v>529</v>
      </c>
      <c r="G21" s="10" t="s">
        <v>521</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507</v>
      </c>
      <c r="E38" s="10" t="s">
        <v>530</v>
      </c>
      <c r="F38" s="10" t="s">
        <v>531</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520</v>
      </c>
      <c r="E46" s="10" t="s">
        <v>529</v>
      </c>
      <c r="F46" s="10" t="s">
        <v>521</v>
      </c>
      <c r="G46" s="10" t="s">
        <v>530</v>
      </c>
      <c r="H46" s="10" t="s">
        <v>531</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520</v>
      </c>
      <c r="E54" s="164" t="s">
        <v>529</v>
      </c>
      <c r="F54" s="164" t="s">
        <v>521</v>
      </c>
      <c r="G54" s="164" t="s">
        <v>530</v>
      </c>
      <c r="H54" s="164" t="s">
        <v>531</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532</v>
      </c>
      <c r="E62" s="10" t="s">
        <v>533</v>
      </c>
      <c r="F62" s="10" t="s">
        <v>534</v>
      </c>
      <c r="G62" s="10" t="s">
        <v>535</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536</v>
      </c>
      <c r="E72" s="10" t="s">
        <v>314</v>
      </c>
      <c r="F72" s="10" t="s">
        <v>338</v>
      </c>
      <c r="G72" s="10" t="s">
        <v>438</v>
      </c>
      <c r="H72" s="10" t="s">
        <v>339</v>
      </c>
      <c r="I72" s="10" t="s">
        <v>396</v>
      </c>
      <c r="J72" s="10" t="s">
        <v>393</v>
      </c>
      <c r="K72" s="10" t="s">
        <v>344</v>
      </c>
      <c r="L72" s="10" t="s">
        <v>345</v>
      </c>
      <c r="M72" s="10" t="s">
        <v>537</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536</v>
      </c>
      <c r="E86" s="10" t="s">
        <v>538</v>
      </c>
      <c r="F86" s="10" t="s">
        <v>539</v>
      </c>
      <c r="G86" s="10" t="s">
        <v>537</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532</v>
      </c>
      <c r="E98" s="10" t="s">
        <v>540</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532</v>
      </c>
      <c r="E107" s="10" t="s">
        <v>541</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542</v>
      </c>
      <c r="E116" s="10" t="s">
        <v>147</v>
      </c>
      <c r="F116" s="10" t="s">
        <v>543</v>
      </c>
      <c r="G116" s="10" t="s">
        <v>544</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536</v>
      </c>
      <c r="E128" s="10" t="s">
        <v>538</v>
      </c>
      <c r="F128" s="10" t="s">
        <v>537</v>
      </c>
      <c r="G128" s="161" t="s">
        <v>545</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532</v>
      </c>
      <c r="E141" s="10" t="s">
        <v>546</v>
      </c>
      <c r="F141" s="10" t="s">
        <v>547</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Fraction of N that is lost through leaching and runoff</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Dimensionless</v>
      </c>
      <c r="M208" s="14"/>
    </row>
    <row r="209" spans="1:13" x14ac:dyDescent="0.25">
      <c r="D209" s="28" cm="1">
        <f t="array" ref="D209">SourceData_Dairy.SourceData_Dairy_FractionOfNitrogenLostThroughLeachingAndRunoff_Data()</f>
        <v>0.02</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85" zoomScaleNormal="85" workbookViewId="0">
      <selection activeCell="O28" sqref="O17:O2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449</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450</v>
      </c>
      <c r="G5" s="9" t="s">
        <v>143</v>
      </c>
      <c r="M5" s="8" t="s">
        <v>451</v>
      </c>
      <c r="O5" s="8" t="s">
        <v>452</v>
      </c>
      <c r="Q5" s="8" t="s">
        <v>453</v>
      </c>
      <c r="S5" s="8" t="s">
        <v>454</v>
      </c>
    </row>
    <row r="6" spans="1:21" ht="20.100000000000001" customHeight="1" x14ac:dyDescent="0.25">
      <c r="A6" s="19" t="s">
        <v>67</v>
      </c>
      <c r="M6" s="8"/>
    </row>
    <row r="7" spans="1:21" ht="20.100000000000001" customHeight="1" x14ac:dyDescent="0.25">
      <c r="A7" s="16" t="str">
        <f>HYPERLINK("#'Input - Site'!A1", "Site")</f>
        <v>Site</v>
      </c>
      <c r="D7" s="10" t="s">
        <v>145</v>
      </c>
      <c r="G7" s="10" t="s">
        <v>43</v>
      </c>
      <c r="M7" s="3" t="s">
        <v>389</v>
      </c>
      <c r="O7" s="10" t="s">
        <v>389</v>
      </c>
      <c r="Q7" s="10" t="s">
        <v>389</v>
      </c>
      <c r="S7" s="10" t="s">
        <v>389</v>
      </c>
    </row>
    <row r="8" spans="1:21" ht="20.100000000000001" customHeight="1" x14ac:dyDescent="0.25">
      <c r="A8" s="16" t="str">
        <f>HYPERLINK("#'Input - Pasture Beef'!A1", "Pasture Beef")</f>
        <v>Pasture Beef</v>
      </c>
      <c r="D8" s="10" t="str">
        <f>'Constants - Common'!$F$187</f>
        <v>Pasture</v>
      </c>
      <c r="G8" s="10" t="s">
        <v>148</v>
      </c>
      <c r="M8" s="10" t="s">
        <v>455</v>
      </c>
      <c r="O8" s="10" t="s">
        <v>456</v>
      </c>
      <c r="Q8" s="10" t="s">
        <v>457</v>
      </c>
      <c r="S8" s="10" t="s">
        <v>437</v>
      </c>
    </row>
    <row r="9" spans="1:21" ht="20.100000000000001" customHeight="1" x14ac:dyDescent="0.25">
      <c r="A9" s="16"/>
      <c r="D9" s="8" t="str">
        <f>'Constants - Common'!$F$188</f>
        <v>Crop</v>
      </c>
      <c r="G9" s="10" t="s">
        <v>152</v>
      </c>
      <c r="M9" s="10" t="s">
        <v>458</v>
      </c>
      <c r="O9" s="10" t="s">
        <v>459</v>
      </c>
      <c r="Q9" s="10" t="s">
        <v>460</v>
      </c>
    </row>
    <row r="10" spans="1:21" ht="20.100000000000001" customHeight="1" x14ac:dyDescent="0.25">
      <c r="A10" s="21" t="s">
        <v>77</v>
      </c>
      <c r="G10" s="8" t="s">
        <v>155</v>
      </c>
      <c r="M10" s="10" t="s">
        <v>461</v>
      </c>
      <c r="O10" s="10" t="s">
        <v>462</v>
      </c>
      <c r="Q10" s="10" t="s">
        <v>463</v>
      </c>
      <c r="S10" s="8" t="s">
        <v>464</v>
      </c>
    </row>
    <row r="11" spans="1:21" ht="20.100000000000001" customHeight="1" x14ac:dyDescent="0.25">
      <c r="A11" s="16" t="str">
        <f>HYPERLINK("#'3.2.1.1-2 Enteric Methane'!A1", "3.2.1.1-2 Enteric Methane")</f>
        <v>3.2.1.1-2 Enteric Methane</v>
      </c>
      <c r="G11" s="8" t="s">
        <v>158</v>
      </c>
      <c r="M11" s="8"/>
      <c r="Q11" s="10" t="s">
        <v>465</v>
      </c>
    </row>
    <row r="12" spans="1:21" ht="20.100000000000001" customHeight="1" x14ac:dyDescent="0.25">
      <c r="A12" s="16"/>
      <c r="G12" s="8" t="s">
        <v>160</v>
      </c>
      <c r="M12" s="8"/>
      <c r="S12" s="10" t="s">
        <v>389</v>
      </c>
    </row>
    <row r="13" spans="1:21" ht="20.100000000000001" customHeight="1" x14ac:dyDescent="0.25">
      <c r="A13" s="23" t="s">
        <v>78</v>
      </c>
      <c r="M13" s="8"/>
      <c r="S13" s="10" t="s">
        <v>437</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466</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O17" s="8" t="s">
        <v>518</v>
      </c>
      <c r="S17" s="10" t="s">
        <v>389</v>
      </c>
    </row>
    <row r="18" spans="1:19" ht="20.100000000000001" customHeight="1" x14ac:dyDescent="0.25">
      <c r="D18" s="10" t="s">
        <v>279</v>
      </c>
      <c r="E18" s="10" t="s">
        <v>389</v>
      </c>
      <c r="F18" s="10" t="s">
        <v>47</v>
      </c>
      <c r="G18" s="10" t="s">
        <v>467</v>
      </c>
      <c r="H18" s="10" t="s">
        <v>468</v>
      </c>
      <c r="I18" s="10" t="s">
        <v>469</v>
      </c>
      <c r="J18" s="10" t="s">
        <v>470</v>
      </c>
      <c r="K18" s="10" t="s">
        <v>471</v>
      </c>
      <c r="L18" s="10" t="s">
        <v>472</v>
      </c>
      <c r="M18" s="10" t="s">
        <v>473</v>
      </c>
      <c r="O18" s="10" t="s">
        <v>286</v>
      </c>
      <c r="S18" s="10" t="s">
        <v>437</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474</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437</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475</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437</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279</v>
      </c>
      <c r="E53" s="10" t="s">
        <v>389</v>
      </c>
      <c r="F53" s="10" t="s">
        <v>47</v>
      </c>
      <c r="G53" s="10" t="s">
        <v>476</v>
      </c>
      <c r="H53" s="10" t="s">
        <v>477</v>
      </c>
      <c r="I53" s="10" t="s">
        <v>478</v>
      </c>
      <c r="J53" s="10" t="s">
        <v>479</v>
      </c>
      <c r="K53" s="10" t="s">
        <v>480</v>
      </c>
      <c r="L53" s="10" t="s">
        <v>481</v>
      </c>
      <c r="M53" s="10" t="s">
        <v>482</v>
      </c>
      <c r="N53" s="10" t="s">
        <v>483</v>
      </c>
      <c r="O53" s="10" t="s">
        <v>484</v>
      </c>
      <c r="P53" s="10" t="s">
        <v>485</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486</v>
      </c>
      <c r="M84" s="8"/>
    </row>
    <row r="85" spans="4:22" ht="20.100000000000001" customHeight="1" x14ac:dyDescent="0.25">
      <c r="D85" s="10" t="s">
        <v>279</v>
      </c>
      <c r="E85" s="10" t="s">
        <v>389</v>
      </c>
      <c r="F85" s="10" t="s">
        <v>47</v>
      </c>
      <c r="G85" s="160" t="s">
        <v>487</v>
      </c>
      <c r="H85" s="160" t="s">
        <v>488</v>
      </c>
      <c r="I85" s="160" t="s">
        <v>489</v>
      </c>
      <c r="J85" s="160" t="s">
        <v>490</v>
      </c>
      <c r="K85" s="160" t="s">
        <v>491</v>
      </c>
      <c r="L85" s="160" t="s">
        <v>492</v>
      </c>
      <c r="M85" s="160" t="s">
        <v>493</v>
      </c>
      <c r="N85" s="160" t="s">
        <v>494</v>
      </c>
      <c r="O85" s="160" t="s">
        <v>495</v>
      </c>
      <c r="P85" s="160" t="s">
        <v>496</v>
      </c>
      <c r="V85" s="8"/>
    </row>
    <row r="86" spans="4:22" ht="20.100000000000001" customHeight="1" x14ac:dyDescent="0.25">
      <c r="D86" s="10" t="s">
        <v>314</v>
      </c>
      <c r="E86" s="10" t="s">
        <v>437</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314</v>
      </c>
      <c r="E87" s="10" t="s">
        <v>437</v>
      </c>
      <c r="F87" s="10" t="s">
        <v>497</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314</v>
      </c>
      <c r="E88" s="10" t="s">
        <v>437</v>
      </c>
      <c r="F88" s="10" t="s">
        <v>498</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314</v>
      </c>
      <c r="E89" s="10" t="s">
        <v>437</v>
      </c>
      <c r="F89" s="10" t="s">
        <v>499</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338</v>
      </c>
      <c r="E90" s="10" t="s">
        <v>437</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338</v>
      </c>
      <c r="E91" s="10" t="s">
        <v>437</v>
      </c>
      <c r="F91" s="10" t="s">
        <v>497</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338</v>
      </c>
      <c r="E92" s="10" t="s">
        <v>437</v>
      </c>
      <c r="F92" s="10" t="s">
        <v>498</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338</v>
      </c>
      <c r="E93" s="10" t="s">
        <v>437</v>
      </c>
      <c r="F93" s="10" t="s">
        <v>499</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396</v>
      </c>
      <c r="E94" s="10" t="s">
        <v>437</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396</v>
      </c>
      <c r="E95" s="10" t="s">
        <v>437</v>
      </c>
      <c r="F95" s="10" t="s">
        <v>497</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396</v>
      </c>
      <c r="E96" s="10" t="s">
        <v>437</v>
      </c>
      <c r="F96" s="10" t="s">
        <v>498</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396</v>
      </c>
      <c r="E97" s="10" t="s">
        <v>437</v>
      </c>
      <c r="F97" s="10" t="s">
        <v>499</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393</v>
      </c>
      <c r="E98" s="10" t="s">
        <v>437</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393</v>
      </c>
      <c r="E99" s="10" t="s">
        <v>437</v>
      </c>
      <c r="F99" s="10" t="s">
        <v>497</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393</v>
      </c>
      <c r="E100" s="10" t="s">
        <v>437</v>
      </c>
      <c r="F100" s="10" t="s">
        <v>498</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393</v>
      </c>
      <c r="E101" s="10" t="s">
        <v>437</v>
      </c>
      <c r="F101" s="10" t="s">
        <v>499</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344</v>
      </c>
      <c r="E102" s="10" t="s">
        <v>437</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344</v>
      </c>
      <c r="E103" s="10" t="s">
        <v>437</v>
      </c>
      <c r="F103" s="10" t="s">
        <v>497</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344</v>
      </c>
      <c r="E104" s="10" t="s">
        <v>437</v>
      </c>
      <c r="F104" s="10" t="s">
        <v>498</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344</v>
      </c>
      <c r="E105" s="10" t="s">
        <v>437</v>
      </c>
      <c r="F105" s="10" t="s">
        <v>499</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438</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438</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438</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438</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438</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438</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438</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438</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438</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438</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438</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438</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337</v>
      </c>
      <c r="E146" s="8" t="s">
        <v>437</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337</v>
      </c>
      <c r="E147" s="8" t="s">
        <v>437</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337</v>
      </c>
      <c r="E148" s="8" t="s">
        <v>437</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337</v>
      </c>
      <c r="E149" s="8" t="s">
        <v>437</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279</v>
      </c>
      <c r="E154" s="10" t="s">
        <v>389</v>
      </c>
      <c r="F154" s="10" t="s">
        <v>47</v>
      </c>
      <c r="G154" s="10" t="s">
        <v>476</v>
      </c>
      <c r="H154" s="10" t="s">
        <v>477</v>
      </c>
      <c r="I154" s="10" t="s">
        <v>500</v>
      </c>
      <c r="J154" s="10" t="s">
        <v>470</v>
      </c>
      <c r="K154" s="10" t="s">
        <v>501</v>
      </c>
      <c r="L154" s="10" t="s">
        <v>482</v>
      </c>
      <c r="M154" s="10" t="s">
        <v>502</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476</v>
      </c>
      <c r="H189" s="10" t="s">
        <v>477</v>
      </c>
      <c r="I189" s="10" t="s">
        <v>500</v>
      </c>
      <c r="J189" s="10" t="s">
        <v>470</v>
      </c>
      <c r="K189" s="10" t="s">
        <v>503</v>
      </c>
      <c r="L189" s="10" t="s">
        <v>504</v>
      </c>
      <c r="M189" s="10" t="s">
        <v>482</v>
      </c>
      <c r="N189" s="10" t="s">
        <v>483</v>
      </c>
      <c r="O189" s="10" t="s">
        <v>484</v>
      </c>
      <c r="P189" s="10" t="s">
        <v>485</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486</v>
      </c>
      <c r="M220" s="8"/>
    </row>
    <row r="221" spans="4:16" x14ac:dyDescent="0.25">
      <c r="M221" s="8"/>
    </row>
    <row r="222" spans="4:16" x14ac:dyDescent="0.25">
      <c r="D222" s="10" t="s">
        <v>279</v>
      </c>
      <c r="E222" s="10" t="s">
        <v>389</v>
      </c>
      <c r="F222" s="10" t="s">
        <v>47</v>
      </c>
      <c r="G222" s="160" t="s">
        <v>487</v>
      </c>
      <c r="H222" s="160" t="s">
        <v>488</v>
      </c>
      <c r="I222" s="160" t="s">
        <v>489</v>
      </c>
      <c r="J222" s="160" t="s">
        <v>490</v>
      </c>
      <c r="K222" s="160" t="s">
        <v>491</v>
      </c>
      <c r="L222" s="160" t="s">
        <v>492</v>
      </c>
      <c r="M222" s="160" t="s">
        <v>493</v>
      </c>
      <c r="N222" s="160" t="s">
        <v>494</v>
      </c>
      <c r="O222" s="160" t="s">
        <v>495</v>
      </c>
      <c r="P222" s="160" t="s">
        <v>496</v>
      </c>
    </row>
    <row r="223" spans="4:16" x14ac:dyDescent="0.25">
      <c r="D223" s="10" t="s">
        <v>314</v>
      </c>
      <c r="E223" s="10" t="s">
        <v>437</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437</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437</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437</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437</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437</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437</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437</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437</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437</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437</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437</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437</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437</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437</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437</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437</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437</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437</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437</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438</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438</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438</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438</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438</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438</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438</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438</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438</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438</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438</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438</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505</v>
      </c>
      <c r="G290" s="10" t="s">
        <v>497</v>
      </c>
      <c r="H290" s="10" t="s">
        <v>498</v>
      </c>
      <c r="I290" s="10" t="s">
        <v>499</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505</v>
      </c>
      <c r="G313" s="10" t="s">
        <v>497</v>
      </c>
      <c r="H313" s="10" t="s">
        <v>498</v>
      </c>
      <c r="I313" s="10" t="s">
        <v>499</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506</v>
      </c>
      <c r="M333" s="8"/>
    </row>
    <row r="334" spans="4:13" x14ac:dyDescent="0.25">
      <c r="D334" s="10" t="s">
        <v>507</v>
      </c>
      <c r="E334" s="10" t="s">
        <v>47</v>
      </c>
      <c r="F334" s="10" t="s">
        <v>508</v>
      </c>
      <c r="G334" s="10" t="s">
        <v>509</v>
      </c>
      <c r="I334" s="10" t="s">
        <v>507</v>
      </c>
      <c r="J334" s="10" t="s">
        <v>47</v>
      </c>
      <c r="K334" s="10" t="s">
        <v>508</v>
      </c>
      <c r="L334" s="10" t="s">
        <v>509</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510</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511</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510</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511</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512</v>
      </c>
      <c r="F350" s="10" t="s">
        <v>513</v>
      </c>
      <c r="G350" s="10" t="s">
        <v>478</v>
      </c>
      <c r="H350" s="10" t="s">
        <v>479</v>
      </c>
      <c r="I350" s="10" t="s">
        <v>514</v>
      </c>
      <c r="J350" s="10" t="s">
        <v>482</v>
      </c>
      <c r="K350" s="10" t="s">
        <v>502</v>
      </c>
      <c r="L350" s="10" t="s">
        <v>515</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60" t="s">
        <v>487</v>
      </c>
      <c r="F361" s="160" t="s">
        <v>488</v>
      </c>
      <c r="G361" s="160" t="s">
        <v>489</v>
      </c>
      <c r="H361" s="160" t="s">
        <v>490</v>
      </c>
      <c r="I361" s="160" t="s">
        <v>491</v>
      </c>
      <c r="J361" s="160" t="s">
        <v>492</v>
      </c>
      <c r="K361" s="160" t="s">
        <v>493</v>
      </c>
      <c r="L361" s="160" t="s">
        <v>494</v>
      </c>
      <c r="M361" s="160" t="s">
        <v>495</v>
      </c>
      <c r="N361" s="160" t="s">
        <v>496</v>
      </c>
      <c r="O361" s="10" t="s">
        <v>515</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516</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517</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517</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329</v>
      </c>
      <c r="E6" s="10" t="s">
        <v>330</v>
      </c>
      <c r="F6" s="10" t="s">
        <v>331</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217</v>
      </c>
      <c r="E28" s="10" t="s">
        <v>332</v>
      </c>
      <c r="F28" s="8" t="s">
        <v>333</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217</v>
      </c>
      <c r="E40" s="10" t="s">
        <v>332</v>
      </c>
      <c r="F40" s="8" t="s">
        <v>334</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4" type="noConversion"/>
  <pageMargins left="0.7" right="0.7" top="0.75" bottom="0.75" header="0.3" footer="0.3"/>
  <tableParts count="6">
    <tablePart r:id="rId1"/>
    <tablePart r:id="rId2"/>
    <tablePart r:id="rId3"/>
    <tablePart r:id="rId4"/>
    <tablePart r:id="rId5"/>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134</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141</v>
      </c>
      <c r="F40" s="9" t="s">
        <v>142</v>
      </c>
      <c r="H40" s="9" t="s">
        <v>143</v>
      </c>
      <c r="J40" s="9" t="s">
        <v>144</v>
      </c>
    </row>
    <row r="41" spans="4:10" ht="20.100000000000001" customHeight="1" x14ac:dyDescent="0.25">
      <c r="D41" s="10" t="s">
        <v>145</v>
      </c>
      <c r="F41" s="10" t="s">
        <v>145</v>
      </c>
      <c r="H41" s="10" t="s">
        <v>43</v>
      </c>
      <c r="J41" s="10" t="s">
        <v>146</v>
      </c>
    </row>
    <row r="42" spans="4:10" ht="20.100000000000001" customHeight="1" x14ac:dyDescent="0.25">
      <c r="D42" s="10" t="s">
        <v>147</v>
      </c>
      <c r="F42" s="10" t="s">
        <v>147</v>
      </c>
      <c r="H42" s="10" t="s">
        <v>148</v>
      </c>
      <c r="J42" s="10" t="s">
        <v>149</v>
      </c>
    </row>
    <row r="43" spans="4:10" ht="20.100000000000001" customHeight="1" x14ac:dyDescent="0.25">
      <c r="D43" s="8" t="s">
        <v>150</v>
      </c>
      <c r="F43" s="8" t="s">
        <v>151</v>
      </c>
      <c r="H43" s="10" t="s">
        <v>152</v>
      </c>
      <c r="J43" s="8" t="s">
        <v>153</v>
      </c>
    </row>
    <row r="44" spans="4:10" ht="20.100000000000001" customHeight="1" x14ac:dyDescent="0.25">
      <c r="F44" s="8" t="s">
        <v>154</v>
      </c>
      <c r="H44" s="8" t="s">
        <v>155</v>
      </c>
      <c r="J44" s="8" t="s">
        <v>156</v>
      </c>
    </row>
    <row r="45" spans="4:10" ht="20.100000000000001" customHeight="1" x14ac:dyDescent="0.25">
      <c r="F45" s="8" t="s">
        <v>157</v>
      </c>
      <c r="H45" s="8" t="s">
        <v>158</v>
      </c>
      <c r="J45" s="8" t="s">
        <v>159</v>
      </c>
    </row>
    <row r="46" spans="4:10" ht="20.100000000000001" customHeight="1" x14ac:dyDescent="0.25">
      <c r="H46" s="8" t="s">
        <v>160</v>
      </c>
      <c r="J46" s="8" t="s">
        <v>161</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135</v>
      </c>
      <c r="E50" s="10" t="s">
        <v>162</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163</v>
      </c>
      <c r="E65" s="10" t="s">
        <v>164</v>
      </c>
      <c r="F65" s="10" t="s">
        <v>165</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166</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167</v>
      </c>
      <c r="E89" s="10" t="s">
        <v>168</v>
      </c>
      <c r="F89" s="10" t="s">
        <v>169</v>
      </c>
      <c r="G89" s="67" t="s">
        <v>170</v>
      </c>
      <c r="H89" s="67" t="s">
        <v>97</v>
      </c>
      <c r="I89" s="67" t="s">
        <v>171</v>
      </c>
      <c r="J89" s="67" t="s">
        <v>172</v>
      </c>
      <c r="K89" s="67" t="s">
        <v>173</v>
      </c>
      <c r="L89" s="67" t="s">
        <v>174</v>
      </c>
      <c r="M89" s="67" t="s">
        <v>175</v>
      </c>
      <c r="N89" s="67" t="s">
        <v>176</v>
      </c>
      <c r="O89" s="10" t="s">
        <v>177</v>
      </c>
      <c r="P89" s="10" t="s">
        <v>178</v>
      </c>
      <c r="Q89" s="10" t="s">
        <v>179</v>
      </c>
      <c r="R89" s="67" t="s">
        <v>180</v>
      </c>
      <c r="S89" s="67" t="s">
        <v>181</v>
      </c>
      <c r="T89" s="10" t="s">
        <v>182</v>
      </c>
      <c r="U89" s="67" t="s">
        <v>183</v>
      </c>
      <c r="V89" s="67" t="s">
        <v>184</v>
      </c>
      <c r="W89" s="67" t="s">
        <v>185</v>
      </c>
      <c r="X89" s="67" t="s">
        <v>186</v>
      </c>
      <c r="Y89" s="67" t="s">
        <v>187</v>
      </c>
      <c r="Z89" s="10" t="s">
        <v>188</v>
      </c>
      <c r="AA89" s="10" t="s">
        <v>189</v>
      </c>
      <c r="AB89" s="10" t="s">
        <v>190</v>
      </c>
      <c r="AC89" s="10" t="s">
        <v>191</v>
      </c>
      <c r="AD89" s="10" t="s">
        <v>192</v>
      </c>
      <c r="AE89" s="10" t="s">
        <v>193</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226</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227</v>
      </c>
      <c r="E9" s="26" t="s">
        <v>228</v>
      </c>
      <c r="F9" s="26" t="s">
        <v>229</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227</v>
      </c>
      <c r="E24" s="65" t="s">
        <v>230</v>
      </c>
      <c r="F24" s="65" t="s">
        <v>231</v>
      </c>
      <c r="G24" s="65" t="s">
        <v>232</v>
      </c>
      <c r="H24" s="65" t="s">
        <v>233</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B524F-2762-4F91-A84A-6E4D78044FDF}">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4gCsIBwgTgAgACsAIABOAE8AeADiAKwgHC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zADk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CA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IA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D9/y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f8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P3/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HIAaQB0AGUAcgBpAGEAMQAgACoAIABjAHIAaQB0AGUAcgBpAGEAMgAgACoAIABBAG0AbwB1AG4AdABBAHAAcABsAGkAZQBk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yADE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VwBhAHMAdABlAFwAIgAsACAAMAAuADEAMQAwADAALAAgAFwAIgBcACIAOwBcAG4AIAAgACAAIAAgACAAIAAgAFwAIgBJAG4AYwBpAG4AZQByAGEAdABpAG8AbgBcACIALAAgAFwAIgBNAHUAbgBpAGMAaQBwAGEAbAAgAFMAbwBsAGkAZAAgAFcAYQBzAHQAZQBcACIALAAgADAALgAwADUAMwA3ACwAIABcACIATgBHAEEARgAgADIAMAAyADUAIABUAGEAYgBsAGUAIAAxADgAXAAiADsAXABuACAAIAAgACAAIAAgACAAIABcACIASQBuAGMAaQBuAGUAcgBhAHQAaQBvAG4AXAAiACwAIABcACIASQBuAGQAdQBzAHQAcgBpAGEAbAAgAFcAYQBzAHQAZQBcACIALAAgADEALgA2ADQAOQAsACAAXAAiAE4ARwBBAEYAIAAyADAAMgA1ACAAVABhAGIAbABlACAAMQA4AFwAIgA7AFwAbgAgACAAIAAgACAAIAAgACAAXAAiAEMAbwBtAHAAbwBzAHQAaQBuAGcAXAAiACwAIABcACIAQQBsAGwAIABvAHIAZwBhAG4AaQBjACAAdwBhAHMAdABlAFwAIgAsACAAMAAuADAANAA2ACwAIABcACIATgBHAEEARgAgADIAMAAyADUAIABUAGEAYgBsAGUAIAAxADkAXAAiADsAXABuACAAIAAgACAAIAAgACAAIABcACIAQQBuAGEAZQByAG8AYgBpAGMAIABkAGkAZwBlAHMAdABpAG8AbgBcACIALAAgAFwAIgBBAGwAbAAgAG8AcgBnAGEAbgBpAGMAIAB3AGEAcwB0AGUAXAAiACwAIAAwAC4AMAAyADgALAAgAFwAIgBOAEcAQQBGACAAMgAwADIANQAgAFQAYQBiAGwAZQAgADEAOQBcACIAXABuACAAIAAgACAAIAAgAH0ALAAgAHIALAAgAGMAKQBcAG4AKQApACkAOwBcAG4AXABuAFcAYQBzAHQAZQBfAEUAbQBpAHMAcwBpAG8AbgBGAGEAYwB0AG8AcgBzAEYAbwByAFcAYQBzAHQAZQBUAHIAZQBhAHQAbQBlAG4AdABfAFYAYQByAGkAYQB0AGkAbwBuAFwAbgA9AEwAQQBNAEIARABBACgAKABcACIAVgBBAFIASQBBAFQASQBPAE4AIABPAE4AIABTAE8AVQBSAEMARQA6ACAARgBpAHgAZQBkACAAdAB5AHAAbwAgAFwAdQAwADAAMgA3AHAAYQBwAGUAcgAgAGEAbgBkACAAYwBhAHIAYgBvAGEAcgBkAFwAdQAwADAAMgA3ACAAdABvACAAXAB1ADAAMAAyADcAcABhAHAAZQByACAAYQBuAGQAIABjAGEAcgBkAGIAbwBhAHIAZABcAHUAMAAwADIANwAuACAAQQBkAGQAZQBkACAARQBGACAAcwBvAHUAcgBjAGUAIABjAG8AbAB1AG0AbgAgAHcAaQB0AGgAIABzAHAAZQBjAGkAZgBpAGMAIAByAGUAZgBlAHIAZQBuAGMAZQBzAC4AXAAi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55</vt:i4>
      </vt:variant>
    </vt:vector>
  </HeadingPairs>
  <TitlesOfParts>
    <vt:vector size="80" baseType="lpstr">
      <vt:lpstr>Overview</vt:lpstr>
      <vt:lpstr>Results</vt:lpstr>
      <vt:lpstr>Input - Site</vt:lpstr>
      <vt:lpstr>Input - Fuel</vt:lpstr>
      <vt:lpstr>Input - Fertiliser</vt:lpstr>
      <vt:lpstr>Input - Farm Inputs</vt:lpstr>
      <vt:lpstr>Input - Freight</vt:lpstr>
      <vt:lpstr>Input - Waste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Table_E_g</vt:lpstr>
      <vt:lpstr>Table_E_g_Consumer_1</vt:lpstr>
      <vt:lpstr>Table_E_g_offsite</vt:lpstr>
      <vt:lpstr>Table_E_g_onsite</vt:lpstr>
      <vt:lpstr>Table_V_w_t_offsite</vt:lpstr>
      <vt:lpstr>Table_V_w_t_onsite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X_Cell_WasteSentOffsite_ManureIrrigationMethod</vt:lpstr>
      <vt:lpstr>X_Cell_WasteSentOffsite_ManureProductionSystem</vt:lpstr>
      <vt:lpstr>X_Cell_WasteSentOffsite_MassNitrogenManure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2026-07-22T06:42:28Z</dcterms:modified>
</cp:coreProperties>
</file>