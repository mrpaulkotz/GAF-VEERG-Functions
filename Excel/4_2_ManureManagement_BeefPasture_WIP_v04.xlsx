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DF33257-5B58-40E4-8000-439CB2452ADA}" xr6:coauthVersionLast="47" xr6:coauthVersionMax="47" xr10:uidLastSave="{00000000-0000-0000-0000-000000000000}"/>
  <bookViews>
    <workbookView xWindow="1230" yWindow="525" windowWidth="36000" windowHeight="18510" firstSheet="2" activeTab="4"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ture Beef" sheetId="79" r:id="rId9"/>
    <sheet name="Constants - Common" sheetId="104" r:id="rId10"/>
    <sheet name="Constants - Livestock" sheetId="43" r:id="rId11"/>
    <sheet name="Acknowledgements" sheetId="72" r:id="rId12"/>
    <sheet name="Tab template" sheetId="74" r:id="rId1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2, _xlfn.LAMBDA(_xlpm.r,_xlpm.c, INDEX({"D_j","number of days the animal is on the farm in each time-period (days)";"M_jkl","daily production of enteric methane in each time-period, class and subclass (kg CH4/head/day)";"N_jkl","number of beef cattle in each time-period, class and subclass (head)"},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2, _xlfn.LAMBDA(_xlpm.r,_xlpm.c, INDEX({"I_jkl","dry matter intake (kg DM/head/day)"},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2, _xlfn.LAMBDA(_xlpm.r,_xlpm.c, INDEX({"W_jkl","liveweight (kg)";"LWG_jkl","live weight gain (kg/head/day)";"MA_jk45","additional intake for milk production in cows greater than 2 years (kg/head/day)"},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2, _xlfn.LAMBDA(_xlpm.r,_xlpm.c, INDEX({"LC_jk45","proportion of cows greater than 1 year in calf in the season of calving expressed as a fraction";"FA_jk45","feed adjustment value for lactating cows in the season of calving and the season immediately after calving expressed as a fraction";"b","breed of cattle"}, _xlpm.r, _xlpm.c))))</definedName>
    <definedName name="EntericMethane_PastureBeef_Equations.VEERG_3_2_1_1__4_AdditionalIntakeForMilkProduction_ArgumentsVariation">_xlfn.LAMBDA(_xlfn.MAKEARRAY(4, 2, _xlfn.LAMBDA(_xlpm.r,_xlpm.c, INDEX({"LC_jk45","proportion of cows greater than 1 year in calf in the season of calving expressed as a fraction";"FA_jk45calv","feed adjustment value for lactating cows in the season of calving expressed as a fraction";"FA_jk45after","feed adjustment value for lactating cows in the season immediately after calving expressed as a fraction";"b","breed of cattle"},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2, _xlfn.LAMBDA(_xlpm.r,_xlpm.c, INDEX({"N_jkl","number of beef cattle in each time-period, class and subclass (head)";"M_jklm","methane production from manure in each time-period, class, subclass and MMS (kg/head/day)";"D_j","number of days in each time-period for each input class (days)"},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2, _xlfn.LAMBDA(_xlpm.r,_xlpm.c, INDEX({"VS_jkl","volatile solid production (kg/day)";"B_o","emissions potential (m3 CH4/kg VS)";"MMS_m","fraction of waste in each manure management system";"MCF_im","methane conversion factor for temperature zone and MMS";"rho","density of methane (kg/m3)";"i","state";"i","region"},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2, _xlfn.LAMBDA(_xlpm.r,_xlpm.c, INDEX({"I_jkl","dry matter intake as calculated in Chapter 3 Section 3.2.1 (kg/head/day)";"DMD_jkl","dry matter digestibility expressed as a fraction";"A","ash content of feed intake expressed as a fraction"},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72" i="69" l="1" a="1"/>
  <c r="V172" i="69" s="1"/>
  <c r="V171" i="69" a="1"/>
  <c r="V171" i="69" s="1"/>
  <c r="V163" i="69"/>
  <c r="U172" i="69"/>
  <c r="U171" i="69"/>
  <c r="U191" i="76" l="1"/>
  <c r="U190" i="76"/>
  <c r="U189" i="76"/>
  <c r="U188" i="76"/>
  <c r="U187" i="76"/>
  <c r="U186" i="76"/>
  <c r="U185" i="76"/>
  <c r="U184" i="76"/>
  <c r="U183" i="76"/>
  <c r="U182" i="76"/>
  <c r="U181" i="76"/>
  <c r="U180" i="76"/>
  <c r="U111" i="76"/>
  <c r="U110" i="76"/>
  <c r="U109" i="76"/>
  <c r="U108" i="76"/>
  <c r="U107" i="76"/>
  <c r="U106" i="76"/>
  <c r="U105" i="76"/>
  <c r="U104" i="76"/>
  <c r="U103" i="76"/>
  <c r="U102" i="76"/>
  <c r="U101" i="76"/>
  <c r="U100" i="76"/>
  <c r="U93" i="76"/>
  <c r="X92" i="76"/>
  <c r="W92" i="76"/>
  <c r="V92" i="76"/>
  <c r="U92" i="76"/>
  <c r="V181" i="76" s="1" a="1"/>
  <c r="V181" i="76" s="1"/>
  <c r="X22" i="69"/>
  <c r="W22" i="69"/>
  <c r="V22" i="69"/>
  <c r="G87" i="76"/>
  <c r="F87" i="76"/>
  <c r="E87" i="76"/>
  <c r="D87" i="76"/>
  <c r="D22" i="69"/>
  <c r="E33" i="69" s="1" a="1"/>
  <c r="E33" i="69" s="1"/>
  <c r="D13" i="69" a="1"/>
  <c r="D13" i="69" s="1"/>
  <c r="H13" i="69"/>
  <c r="H16" i="69"/>
  <c r="H14" i="69" s="1" a="1"/>
  <c r="H14" i="69" s="1"/>
  <c r="AH41" i="69"/>
  <c r="AH40" i="69"/>
  <c r="AH39" i="69"/>
  <c r="AH38" i="69"/>
  <c r="AH37" i="69"/>
  <c r="AH36" i="69"/>
  <c r="AH35" i="69"/>
  <c r="AH34" i="69"/>
  <c r="AH33" i="69"/>
  <c r="AH32" i="69"/>
  <c r="U23" i="69"/>
  <c r="U22" i="69"/>
  <c r="U39" i="69"/>
  <c r="U38" i="69"/>
  <c r="U37" i="69"/>
  <c r="U36" i="69"/>
  <c r="U35" i="69"/>
  <c r="U34" i="69"/>
  <c r="U33" i="69"/>
  <c r="U32" i="69"/>
  <c r="U31" i="69"/>
  <c r="U30" i="69"/>
  <c r="U29" i="69"/>
  <c r="U28" i="69"/>
  <c r="D120" i="70"/>
  <c r="D107" i="70"/>
  <c r="F120" i="70"/>
  <c r="E120" i="70"/>
  <c r="G120" i="70"/>
  <c r="D117" i="70"/>
  <c r="E113" i="70"/>
  <c r="D119" i="70" s="1"/>
  <c r="E112" i="70"/>
  <c r="D118" i="70" s="1"/>
  <c r="D6" i="69" a="1"/>
  <c r="D6" i="69" s="1"/>
  <c r="G22" i="69"/>
  <c r="F22" i="69"/>
  <c r="E22" i="69"/>
  <c r="D9" i="79"/>
  <c r="D8" i="79"/>
  <c r="G33" i="98"/>
  <c r="G158" i="69"/>
  <c r="E30" i="15"/>
  <c r="E33" i="15"/>
  <c r="E32" i="15"/>
  <c r="E31" i="15"/>
  <c r="G34" i="98"/>
  <c r="H30" i="97"/>
  <c r="H226" i="76"/>
  <c r="N39" i="98"/>
  <c r="G39" i="98"/>
  <c r="O38" i="97"/>
  <c r="G38" i="97"/>
  <c r="X270" i="76"/>
  <c r="G232" i="76"/>
  <c r="X279" i="69"/>
  <c r="G247" i="69"/>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c r="D202" i="104" a="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c r="D175" i="104" a="1"/>
  <c r="D174" i="104" a="1"/>
  <c r="D174" i="104" s="1"/>
  <c r="D173" i="104" a="1"/>
  <c r="D173" i="104" s="1"/>
  <c r="D170" i="104" a="1"/>
  <c r="D170" i="104" s="1"/>
  <c r="D169" i="104" a="1"/>
  <c r="D169" i="104" s="1"/>
  <c r="D168" i="104" a="1"/>
  <c r="D168" i="104" s="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c r="D116" i="104" a="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8" i="104" a="1"/>
  <c r="D98"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X158" i="76"/>
  <c r="X157" i="76"/>
  <c r="X156" i="76"/>
  <c r="X155" i="76"/>
  <c r="X154" i="76"/>
  <c r="X153" i="76"/>
  <c r="U153" i="76" a="1"/>
  <c r="U153" i="76" s="1"/>
  <c r="G147" i="76"/>
  <c r="G148" i="76"/>
  <c r="AC181" i="76" l="1" a="1"/>
  <c r="AC181" i="76" s="1"/>
  <c r="V104" i="76" a="1"/>
  <c r="V104" i="76" s="1"/>
  <c r="W104" i="76" s="1" a="1"/>
  <c r="W104" i="76" s="1"/>
  <c r="AC104" i="76" s="1" a="1"/>
  <c r="AC104" i="76" s="1"/>
  <c r="V191" i="76" a="1"/>
  <c r="V191" i="76" s="1"/>
  <c r="V105" i="76" a="1"/>
  <c r="V105" i="76" s="1"/>
  <c r="W105" i="76" s="1" a="1"/>
  <c r="W105" i="76" s="1"/>
  <c r="AC105" i="76" s="1" a="1"/>
  <c r="AC105" i="76" s="1"/>
  <c r="V182" i="76" a="1"/>
  <c r="V182" i="76" s="1"/>
  <c r="W182" i="76" s="1" a="1"/>
  <c r="W182" i="76" s="1"/>
  <c r="W181" i="76" a="1"/>
  <c r="W181" i="76" s="1"/>
  <c r="Y183" i="76" a="1"/>
  <c r="Y183" i="76" s="1"/>
  <c r="AC182" i="76" a="1"/>
  <c r="AC182" i="76" s="1"/>
  <c r="V106" i="76" a="1"/>
  <c r="V106" i="76" s="1"/>
  <c r="W106" i="76" s="1" a="1"/>
  <c r="W106" i="76" s="1"/>
  <c r="AC106" i="76" s="1" a="1"/>
  <c r="AC106" i="76" s="1"/>
  <c r="V107" i="76" a="1"/>
  <c r="V107" i="76" s="1"/>
  <c r="V183" i="76" a="1"/>
  <c r="V183" i="76" s="1"/>
  <c r="AC183" i="76" s="1" a="1"/>
  <c r="AC183" i="76" s="1"/>
  <c r="Y184" i="76" a="1"/>
  <c r="Y184" i="76" s="1"/>
  <c r="AC184" i="76" a="1"/>
  <c r="AC184" i="76" s="1"/>
  <c r="V108" i="76" a="1"/>
  <c r="V108" i="76" s="1"/>
  <c r="V109" i="76" a="1"/>
  <c r="V109" i="76" s="1"/>
  <c r="V184" i="76" a="1"/>
  <c r="V184" i="76" s="1"/>
  <c r="W184" i="76" s="1" a="1"/>
  <c r="W184" i="76" s="1"/>
  <c r="V110" i="76" a="1"/>
  <c r="V110" i="76" s="1"/>
  <c r="V111" i="76" a="1"/>
  <c r="V111" i="76" s="1"/>
  <c r="V185" i="76" a="1"/>
  <c r="V185" i="76" s="1"/>
  <c r="Y185" i="76" s="1" a="1"/>
  <c r="Y185" i="76" s="1"/>
  <c r="AC188" i="76" a="1"/>
  <c r="AC188" i="76" s="1"/>
  <c r="AA104" i="76" a="1"/>
  <c r="AA104" i="76" s="1"/>
  <c r="V186" i="76" a="1"/>
  <c r="V186" i="76" s="1"/>
  <c r="W186" i="76" s="1" a="1"/>
  <c r="W186" i="76" s="1"/>
  <c r="W187" i="76" a="1"/>
  <c r="W187" i="76" s="1"/>
  <c r="Y188" i="76" a="1"/>
  <c r="Y188" i="76" s="1"/>
  <c r="V100" i="76" a="1"/>
  <c r="V100" i="76" s="1"/>
  <c r="AB104" i="76" a="1"/>
  <c r="AB104" i="76" s="1"/>
  <c r="V187" i="76" a="1"/>
  <c r="V187" i="76" s="1"/>
  <c r="AC187" i="76" s="1" a="1"/>
  <c r="AC187" i="76" s="1"/>
  <c r="V101" i="76" a="1"/>
  <c r="V101" i="76" s="1"/>
  <c r="W101" i="76" s="1" a="1"/>
  <c r="W101" i="76" s="1"/>
  <c r="AC101" i="76" s="1" a="1"/>
  <c r="AC101" i="76" s="1"/>
  <c r="AA101" i="76" a="1"/>
  <c r="AA101" i="76" s="1"/>
  <c r="V180" i="76" a="1"/>
  <c r="V180" i="76" s="1"/>
  <c r="V188" i="76" a="1"/>
  <c r="V188" i="76" s="1"/>
  <c r="W188" i="76" s="1" a="1"/>
  <c r="W188" i="76" s="1"/>
  <c r="AC191" i="76" a="1"/>
  <c r="AC191" i="76" s="1"/>
  <c r="V102" i="76" a="1"/>
  <c r="V102" i="76" s="1"/>
  <c r="W102" i="76" s="1" a="1"/>
  <c r="W102" i="76" s="1"/>
  <c r="AA102" i="76" s="1" a="1"/>
  <c r="AA102" i="76" s="1"/>
  <c r="V189" i="76" a="1"/>
  <c r="V189" i="76" s="1"/>
  <c r="Y189" i="76" s="1" a="1"/>
  <c r="Y189" i="76" s="1"/>
  <c r="W191" i="76" a="1"/>
  <c r="W191" i="76" s="1"/>
  <c r="Y191" i="76" a="1"/>
  <c r="Y191" i="76" s="1"/>
  <c r="V103" i="76" a="1"/>
  <c r="V103" i="76" s="1"/>
  <c r="W103" i="76" s="1" a="1"/>
  <c r="W103" i="76" s="1"/>
  <c r="AC103" i="76" s="1" a="1"/>
  <c r="AC103" i="76" s="1"/>
  <c r="V190" i="76" a="1"/>
  <c r="V190" i="76" s="1"/>
  <c r="AC190" i="76" s="1" a="1"/>
  <c r="AC190" i="76" s="1"/>
  <c r="Y181" i="76" a="1"/>
  <c r="Y181" i="76" s="1"/>
  <c r="V37" i="69" a="1"/>
  <c r="V37" i="69" s="1"/>
  <c r="V31" i="69" a="1"/>
  <c r="V31" i="69" s="1"/>
  <c r="W31" i="69" s="1" a="1"/>
  <c r="W31" i="69" s="1"/>
  <c r="AB31" i="69" s="1" a="1"/>
  <c r="AB31" i="69" s="1"/>
  <c r="V32" i="69" a="1"/>
  <c r="V32" i="69" s="1"/>
  <c r="W32" i="69" s="1" a="1"/>
  <c r="W32" i="69" s="1"/>
  <c r="AC32" i="69" s="1" a="1"/>
  <c r="AC32" i="69" s="1"/>
  <c r="H15" i="69" a="1"/>
  <c r="H15" i="69" s="1"/>
  <c r="AC31" i="69" a="1"/>
  <c r="AC31" i="69" s="1"/>
  <c r="AA31" i="69" a="1"/>
  <c r="AA31"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30" i="69" a="1"/>
  <c r="E30" i="69" s="1"/>
  <c r="E31" i="69" a="1"/>
  <c r="E31" i="69" s="1"/>
  <c r="F31" i="69" s="1" a="1"/>
  <c r="F31" i="69" s="1"/>
  <c r="E32" i="69" a="1"/>
  <c r="E32" i="69" s="1"/>
  <c r="F32" i="69" s="1" a="1"/>
  <c r="F32" i="69" s="1"/>
  <c r="L32" i="69" s="1" a="1"/>
  <c r="L32" i="69" s="1"/>
  <c r="H54" i="104"/>
  <c r="H48" i="104"/>
  <c r="H50" i="104"/>
  <c r="E164" i="76" a="1"/>
  <c r="E164" i="76" s="1"/>
  <c r="E163" i="76" a="1"/>
  <c r="E163" i="76" s="1"/>
  <c r="E162" i="76" a="1"/>
  <c r="E162" i="76" s="1"/>
  <c r="E161" i="76" a="1"/>
  <c r="E161" i="76" s="1"/>
  <c r="H53" i="104"/>
  <c r="H49" i="104"/>
  <c r="H52" i="104"/>
  <c r="H51" i="104"/>
  <c r="M41" i="98" a="1"/>
  <c r="M41" i="98" s="1"/>
  <c r="K38" i="98" a="1"/>
  <c r="K38" i="98" s="1"/>
  <c r="K32" i="98" a="1"/>
  <c r="K32" i="98" s="1"/>
  <c r="F41" i="98" a="1"/>
  <c r="F41" i="98" s="1"/>
  <c r="D38" i="98" a="1"/>
  <c r="D38" i="98" s="1"/>
  <c r="D32" i="98" a="1"/>
  <c r="D32" i="98" s="1"/>
  <c r="E30" i="98" a="1"/>
  <c r="E30" i="98" s="1"/>
  <c r="M36" i="98" s="1"/>
  <c r="E29" i="98" a="1"/>
  <c r="E29" i="98" s="1"/>
  <c r="D25" i="98" a="1"/>
  <c r="D25" i="98" s="1"/>
  <c r="D24" i="98" a="1"/>
  <c r="D24" i="98" s="1"/>
  <c r="K13" i="98" a="1"/>
  <c r="K13" i="98" s="1"/>
  <c r="G18" i="98"/>
  <c r="G14" i="98" s="1"/>
  <c r="G17" i="98"/>
  <c r="G16" i="98"/>
  <c r="D13" i="98" a="1"/>
  <c r="D13" i="98" s="1"/>
  <c r="E11" i="98" a="1"/>
  <c r="E11" i="98" s="1"/>
  <c r="F20" i="98" s="1"/>
  <c r="E10" i="98" a="1"/>
  <c r="E10" i="98" s="1"/>
  <c r="D6" i="98" a="1"/>
  <c r="D6" i="98" s="1"/>
  <c r="D5" i="98" a="1"/>
  <c r="D5" i="98" s="1"/>
  <c r="N40" i="97" a="1"/>
  <c r="N40" i="97" s="1"/>
  <c r="L37" i="97" a="1"/>
  <c r="L37" i="97" s="1"/>
  <c r="L28" i="97" a="1"/>
  <c r="L28" i="97" s="1"/>
  <c r="N16" i="97"/>
  <c r="L13" i="97" a="1"/>
  <c r="L13" i="97" s="1"/>
  <c r="F40" i="97" a="1"/>
  <c r="F40" i="97" s="1"/>
  <c r="D37" i="97" a="1"/>
  <c r="D37" i="97" s="1"/>
  <c r="H32" i="97"/>
  <c r="H31" i="97"/>
  <c r="D28" i="97" a="1"/>
  <c r="D28" i="97" s="1"/>
  <c r="E26" i="97" a="1"/>
  <c r="E26" i="97" s="1"/>
  <c r="F35" i="97" s="1"/>
  <c r="G9" i="13" s="1"/>
  <c r="E25" i="97" a="1"/>
  <c r="E25" i="97" s="1"/>
  <c r="D21" i="97" a="1"/>
  <c r="D21" i="97" s="1"/>
  <c r="D20" i="97" a="1"/>
  <c r="D20" i="97" s="1"/>
  <c r="D438" i="79" a="1"/>
  <c r="D438" i="79" s="1"/>
  <c r="G15" i="98" s="1"/>
  <c r="D437" i="79" a="1"/>
  <c r="D437" i="79" s="1"/>
  <c r="D436" i="79" a="1"/>
  <c r="D436" i="79" s="1"/>
  <c r="D435" i="79" a="1"/>
  <c r="D435" i="79" s="1"/>
  <c r="D434" i="79" a="1"/>
  <c r="D434" i="79" s="1"/>
  <c r="D432" i="79" a="1"/>
  <c r="D432" i="79" s="1"/>
  <c r="H14" i="97" s="1"/>
  <c r="D431" i="79" a="1"/>
  <c r="D431" i="79" s="1"/>
  <c r="D430" i="79" a="1"/>
  <c r="D430" i="79" s="1"/>
  <c r="D429" i="79" a="1"/>
  <c r="D429" i="79" s="1"/>
  <c r="D428" i="79" a="1"/>
  <c r="D428" i="79" s="1"/>
  <c r="E22" i="97" a="1"/>
  <c r="E7" i="98" a="1"/>
  <c r="E26" i="98" a="1"/>
  <c r="E7" i="97" a="1"/>
  <c r="Y190" i="76" l="1" a="1"/>
  <c r="Y190" i="76" s="1"/>
  <c r="AC186" i="76" a="1"/>
  <c r="AC186" i="76" s="1"/>
  <c r="W183" i="76" a="1"/>
  <c r="W183" i="76" s="1"/>
  <c r="W189" i="76" a="1"/>
  <c r="W189" i="76" s="1"/>
  <c r="Y186" i="76" a="1"/>
  <c r="Y186" i="76" s="1"/>
  <c r="W185" i="76" a="1"/>
  <c r="W185" i="76" s="1"/>
  <c r="AB101" i="76" a="1"/>
  <c r="AB101" i="76" s="1"/>
  <c r="Y187" i="76" a="1"/>
  <c r="Y187" i="76" s="1"/>
  <c r="AB103" i="76" a="1"/>
  <c r="AB103" i="76" s="1"/>
  <c r="AC102" i="76" a="1"/>
  <c r="AC102" i="76" s="1"/>
  <c r="Y182" i="76" a="1"/>
  <c r="Y182" i="76" s="1"/>
  <c r="AB106" i="76" a="1"/>
  <c r="AB106" i="76" s="1"/>
  <c r="AC185" i="76" a="1"/>
  <c r="AC185" i="76" s="1"/>
  <c r="W190" i="76" a="1"/>
  <c r="W190" i="76" s="1"/>
  <c r="AC189" i="76" a="1"/>
  <c r="AC189" i="76" s="1"/>
  <c r="AA105" i="76" a="1"/>
  <c r="AA105" i="76" s="1"/>
  <c r="AA106" i="76" a="1"/>
  <c r="AA106" i="76" s="1"/>
  <c r="AB105" i="76" a="1"/>
  <c r="AB105" i="76" s="1"/>
  <c r="AA103" i="76" a="1"/>
  <c r="AA103" i="76" s="1"/>
  <c r="AB102" i="76" a="1"/>
  <c r="AB102" i="76" s="1"/>
  <c r="H29" i="97"/>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31" i="69" a="1"/>
  <c r="L31" i="69" s="1"/>
  <c r="K31" i="69" a="1"/>
  <c r="K31" i="69" s="1"/>
  <c r="J31" i="69" a="1"/>
  <c r="J31" i="69" s="1"/>
  <c r="K32" i="69" a="1"/>
  <c r="K32" i="69" s="1"/>
  <c r="J32" i="69" a="1"/>
  <c r="J32" i="69" s="1"/>
  <c r="N35" i="97"/>
  <c r="F36" i="98"/>
  <c r="G10" i="13" s="1"/>
  <c r="E26" i="98"/>
  <c r="M20" i="98"/>
  <c r="E7" i="98"/>
  <c r="E22" i="97"/>
  <c r="E7" i="97"/>
  <c r="D13" i="97" l="1" a="1"/>
  <c r="D13" i="97"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D184" i="76" a="1"/>
  <c r="D184" i="76" s="1"/>
  <c r="E182" i="76" a="1"/>
  <c r="E182" i="76" s="1"/>
  <c r="AF257" i="76" s="1"/>
  <c r="E181" i="76" a="1"/>
  <c r="E181" i="76" s="1"/>
  <c r="D177" i="76" a="1"/>
  <c r="D177" i="76" s="1"/>
  <c r="D176" i="76" a="1"/>
  <c r="D176" i="76" s="1"/>
  <c r="U151" i="76" a="1"/>
  <c r="U151" i="76" s="1"/>
  <c r="D142" i="76" a="1"/>
  <c r="D142" i="76" s="1"/>
  <c r="E140" i="76" a="1"/>
  <c r="E140" i="76" s="1"/>
  <c r="AF206" i="76" s="1"/>
  <c r="E139" i="76" a="1"/>
  <c r="E139" i="76" s="1"/>
  <c r="D135" i="76" a="1"/>
  <c r="D135" i="76" s="1"/>
  <c r="D134" i="76" a="1"/>
  <c r="D134" i="76" s="1"/>
  <c r="U115" i="76" a="1"/>
  <c r="U115" i="76" s="1"/>
  <c r="D111" i="76" a="1"/>
  <c r="D111" i="76" s="1"/>
  <c r="E109" i="76" a="1"/>
  <c r="E109" i="76" s="1"/>
  <c r="E108" i="76" a="1"/>
  <c r="E108" i="76" s="1"/>
  <c r="D103" i="76" a="1"/>
  <c r="D103" i="76" s="1"/>
  <c r="D102" i="76" a="1"/>
  <c r="D102" i="76" s="1"/>
  <c r="U87" i="76" a="1"/>
  <c r="U87" i="76" s="1"/>
  <c r="D78" i="76" a="1"/>
  <c r="D78" i="76" s="1"/>
  <c r="E76" i="76" a="1"/>
  <c r="E76" i="76" s="1"/>
  <c r="AH111" i="76" s="1"/>
  <c r="E75" i="76" a="1"/>
  <c r="E75" i="76" s="1"/>
  <c r="D70" i="76" a="1"/>
  <c r="D70" i="76" s="1"/>
  <c r="D69" i="76" a="1"/>
  <c r="D69" i="76" s="1"/>
  <c r="U51" i="76" a="1"/>
  <c r="U51" i="76" s="1"/>
  <c r="D48" i="76" a="1"/>
  <c r="D48" i="76" s="1"/>
  <c r="E46" i="76" a="1"/>
  <c r="E46" i="76" s="1"/>
  <c r="AF82" i="76" s="1"/>
  <c r="E45" i="76" a="1"/>
  <c r="E45" i="76" s="1"/>
  <c r="D41" i="76" a="1"/>
  <c r="D41" i="76" s="1"/>
  <c r="D40" i="76" a="1"/>
  <c r="D40" i="76" s="1"/>
  <c r="D13" i="76" a="1"/>
  <c r="D13" i="76" s="1"/>
  <c r="E11" i="76" a="1"/>
  <c r="E11" i="76" s="1"/>
  <c r="AF37" i="76" s="1"/>
  <c r="E10" i="76" a="1"/>
  <c r="E10" i="76" s="1"/>
  <c r="D6" i="76" a="1"/>
  <c r="D6" i="76" s="1"/>
  <c r="D5" i="76" a="1"/>
  <c r="D5" i="76" s="1"/>
  <c r="W272" i="76" a="1"/>
  <c r="W272" i="76" s="1"/>
  <c r="U269" i="76" a="1"/>
  <c r="U269" i="76"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AE227" i="76"/>
  <c r="AD227" i="76"/>
  <c r="AC227" i="76"/>
  <c r="AB227" i="76"/>
  <c r="AA227" i="76"/>
  <c r="Z227" i="76"/>
  <c r="Y227" i="76"/>
  <c r="X227" i="76"/>
  <c r="W227" i="76"/>
  <c r="V227" i="76"/>
  <c r="AE226" i="76"/>
  <c r="AD226" i="76"/>
  <c r="AC226" i="76"/>
  <c r="AB226" i="76"/>
  <c r="AA226" i="76"/>
  <c r="Z226" i="76"/>
  <c r="Y226" i="76"/>
  <c r="X226" i="76"/>
  <c r="W226" i="76"/>
  <c r="V226" i="76"/>
  <c r="AE225" i="76"/>
  <c r="AD225" i="76"/>
  <c r="AC225" i="76"/>
  <c r="AB225" i="76"/>
  <c r="AA225" i="76"/>
  <c r="Z225" i="76"/>
  <c r="Y225" i="76"/>
  <c r="X225" i="76"/>
  <c r="W225" i="76"/>
  <c r="V225" i="76"/>
  <c r="AE224" i="76"/>
  <c r="AD224" i="76"/>
  <c r="AC224" i="76"/>
  <c r="AB224" i="76"/>
  <c r="AA224" i="76"/>
  <c r="Z224" i="76"/>
  <c r="Y224" i="76"/>
  <c r="X224" i="76"/>
  <c r="W224" i="76"/>
  <c r="V224" i="76"/>
  <c r="AE223" i="76"/>
  <c r="AD223" i="76"/>
  <c r="AC223" i="76"/>
  <c r="AB223" i="76"/>
  <c r="AA223" i="76"/>
  <c r="Z223" i="76"/>
  <c r="Y223" i="76"/>
  <c r="X223" i="76"/>
  <c r="W223" i="76"/>
  <c r="V223" i="76"/>
  <c r="AE222" i="76"/>
  <c r="AD222" i="76"/>
  <c r="AC222" i="76"/>
  <c r="AB222" i="76"/>
  <c r="AA222" i="76"/>
  <c r="Z222" i="76"/>
  <c r="Y222" i="76"/>
  <c r="X222" i="76"/>
  <c r="W222" i="76"/>
  <c r="V222" i="76"/>
  <c r="AE221" i="76"/>
  <c r="AD221" i="76"/>
  <c r="AC221" i="76"/>
  <c r="AB221" i="76"/>
  <c r="AA221" i="76"/>
  <c r="Z221" i="76"/>
  <c r="Y221" i="76"/>
  <c r="X221" i="76"/>
  <c r="W221" i="76"/>
  <c r="V221" i="76"/>
  <c r="AE220" i="76"/>
  <c r="AD220" i="76"/>
  <c r="AC220" i="76"/>
  <c r="AB220" i="76"/>
  <c r="AA220" i="76"/>
  <c r="Z220" i="76"/>
  <c r="Y220" i="76"/>
  <c r="X220" i="76"/>
  <c r="W220" i="76"/>
  <c r="V220" i="76"/>
  <c r="AE219" i="76"/>
  <c r="AD219" i="76"/>
  <c r="AC219" i="76"/>
  <c r="AB219" i="76"/>
  <c r="AA219" i="76"/>
  <c r="Z219" i="76"/>
  <c r="Y219" i="76"/>
  <c r="X219" i="76"/>
  <c r="W219" i="76"/>
  <c r="V219" i="76"/>
  <c r="AE218" i="76"/>
  <c r="AD218" i="76"/>
  <c r="AC218" i="76"/>
  <c r="AB218" i="76"/>
  <c r="AA218" i="76"/>
  <c r="Z218" i="76"/>
  <c r="Y218" i="76"/>
  <c r="X218" i="76"/>
  <c r="W218" i="76"/>
  <c r="V218" i="76"/>
  <c r="AE217" i="76"/>
  <c r="AD217" i="76"/>
  <c r="AC217" i="76"/>
  <c r="AB217" i="76"/>
  <c r="AA217" i="76"/>
  <c r="Z217" i="76"/>
  <c r="Y217" i="76"/>
  <c r="X217" i="76"/>
  <c r="W217" i="76"/>
  <c r="V217" i="76"/>
  <c r="AE216" i="76"/>
  <c r="AD216" i="76"/>
  <c r="AC216" i="76"/>
  <c r="AB216" i="76"/>
  <c r="AA216" i="76"/>
  <c r="Z216" i="76"/>
  <c r="Y216" i="76"/>
  <c r="X216" i="76"/>
  <c r="W216" i="76"/>
  <c r="V216"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83" i="76"/>
  <c r="U82" i="76"/>
  <c r="U81" i="76"/>
  <c r="U80" i="76"/>
  <c r="U79" i="76"/>
  <c r="U78" i="76"/>
  <c r="U77" i="76"/>
  <c r="U76" i="76"/>
  <c r="U75" i="76"/>
  <c r="U74" i="76"/>
  <c r="U73" i="76"/>
  <c r="U72" i="76"/>
  <c r="U67" i="76"/>
  <c r="U66" i="76"/>
  <c r="U65" i="76"/>
  <c r="U64" i="76"/>
  <c r="U63" i="76"/>
  <c r="U62" i="76"/>
  <c r="U61" i="76"/>
  <c r="U60" i="76"/>
  <c r="U59" i="76"/>
  <c r="U58" i="76"/>
  <c r="U57" i="76"/>
  <c r="U56" i="76"/>
  <c r="A20" i="43"/>
  <c r="A19" i="43"/>
  <c r="A18" i="43"/>
  <c r="A17" i="43"/>
  <c r="A14" i="43"/>
  <c r="A13" i="43"/>
  <c r="A12" i="43"/>
  <c r="A11" i="43"/>
  <c r="A8" i="43"/>
  <c r="A7" i="43"/>
  <c r="A4" i="43"/>
  <c r="A3" i="43"/>
  <c r="A20" i="79"/>
  <c r="A19" i="79"/>
  <c r="A18" i="79"/>
  <c r="A17" i="79"/>
  <c r="A14" i="79"/>
  <c r="A13" i="79"/>
  <c r="A12" i="79"/>
  <c r="A11" i="79"/>
  <c r="A8" i="79"/>
  <c r="A7" i="79"/>
  <c r="A4" i="79"/>
  <c r="A3" i="79"/>
  <c r="A20" i="97"/>
  <c r="A19" i="97"/>
  <c r="A18" i="97"/>
  <c r="A17" i="97"/>
  <c r="A14" i="97"/>
  <c r="A13" i="97"/>
  <c r="A12" i="97"/>
  <c r="A11" i="97"/>
  <c r="A8" i="97"/>
  <c r="A7" i="97"/>
  <c r="A4" i="97"/>
  <c r="A3" i="97"/>
  <c r="A20" i="76"/>
  <c r="A19" i="76"/>
  <c r="A18" i="76"/>
  <c r="A17" i="76"/>
  <c r="A14" i="76"/>
  <c r="A13" i="76"/>
  <c r="A12" i="76"/>
  <c r="A11" i="76"/>
  <c r="A8" i="76"/>
  <c r="A7" i="76"/>
  <c r="A4" i="76"/>
  <c r="A3" i="76"/>
  <c r="A20" i="69"/>
  <c r="A19" i="69"/>
  <c r="A18" i="69"/>
  <c r="A17" i="69"/>
  <c r="A14" i="69"/>
  <c r="A13" i="69"/>
  <c r="A12" i="69"/>
  <c r="A11" i="69"/>
  <c r="A8" i="69"/>
  <c r="A7" i="69"/>
  <c r="A4" i="69"/>
  <c r="A3" i="69"/>
  <c r="A20" i="70"/>
  <c r="A19" i="70"/>
  <c r="A18" i="70"/>
  <c r="A17" i="70"/>
  <c r="A14" i="70"/>
  <c r="A13" i="70"/>
  <c r="A12" i="70"/>
  <c r="A11" i="70"/>
  <c r="A8" i="70"/>
  <c r="A7" i="70"/>
  <c r="A4" i="70"/>
  <c r="A3" i="70"/>
  <c r="A20" i="15"/>
  <c r="A19" i="15"/>
  <c r="A18" i="15"/>
  <c r="A17" i="15"/>
  <c r="A14" i="15"/>
  <c r="A13" i="15"/>
  <c r="A12" i="15"/>
  <c r="A11" i="15"/>
  <c r="A8" i="15"/>
  <c r="A7" i="15"/>
  <c r="A4" i="15"/>
  <c r="A3" i="15"/>
  <c r="A20" i="13"/>
  <c r="A19" i="13"/>
  <c r="A18" i="13"/>
  <c r="A17" i="13"/>
  <c r="A14" i="13"/>
  <c r="A13" i="13"/>
  <c r="A12" i="13"/>
  <c r="A11" i="13"/>
  <c r="A8" i="13"/>
  <c r="A7" i="13"/>
  <c r="A4" i="13"/>
  <c r="A3" i="13"/>
  <c r="A8" i="98"/>
  <c r="A11" i="98"/>
  <c r="A12" i="98"/>
  <c r="A13" i="98"/>
  <c r="A14" i="98"/>
  <c r="A17" i="98"/>
  <c r="D231" i="76" a="1"/>
  <c r="D231" i="76" s="1"/>
  <c r="F234" i="76" a="1"/>
  <c r="F234" i="76" s="1"/>
  <c r="H224" i="76"/>
  <c r="H185" i="76"/>
  <c r="H184" i="76"/>
  <c r="H186" i="76"/>
  <c r="N202" i="76"/>
  <c r="M202" i="76"/>
  <c r="L202" i="76"/>
  <c r="K202" i="76"/>
  <c r="J202" i="76"/>
  <c r="I202" i="76"/>
  <c r="H202" i="76"/>
  <c r="G202" i="76"/>
  <c r="F202" i="76"/>
  <c r="E202" i="76"/>
  <c r="N201" i="76"/>
  <c r="M201" i="76"/>
  <c r="L201" i="76"/>
  <c r="K201" i="76"/>
  <c r="J201" i="76"/>
  <c r="I201" i="76"/>
  <c r="H201" i="76"/>
  <c r="G201" i="76"/>
  <c r="F201" i="76"/>
  <c r="E201" i="76"/>
  <c r="N200" i="76"/>
  <c r="M200" i="76"/>
  <c r="L200" i="76"/>
  <c r="K200" i="76"/>
  <c r="J200" i="76"/>
  <c r="I200" i="76"/>
  <c r="H200" i="76"/>
  <c r="G200" i="76"/>
  <c r="F200" i="76"/>
  <c r="E200" i="76"/>
  <c r="N199" i="76"/>
  <c r="M199" i="76"/>
  <c r="L199" i="76"/>
  <c r="K199" i="76"/>
  <c r="J199" i="76"/>
  <c r="I199" i="76"/>
  <c r="H199" i="76"/>
  <c r="G199" i="76"/>
  <c r="F199" i="76"/>
  <c r="E199" i="76"/>
  <c r="N194" i="76"/>
  <c r="M194" i="76"/>
  <c r="L194" i="76"/>
  <c r="K194" i="76"/>
  <c r="J194" i="76"/>
  <c r="I194" i="76"/>
  <c r="H194" i="76"/>
  <c r="G194" i="76"/>
  <c r="F194" i="76"/>
  <c r="E194" i="76"/>
  <c r="N193" i="76"/>
  <c r="M193" i="76"/>
  <c r="L193" i="76"/>
  <c r="K193" i="76"/>
  <c r="J193" i="76"/>
  <c r="I193" i="76"/>
  <c r="H193" i="76"/>
  <c r="G193" i="76"/>
  <c r="F193" i="76"/>
  <c r="E193" i="76"/>
  <c r="N192" i="76"/>
  <c r="M192" i="76"/>
  <c r="L192" i="76"/>
  <c r="K192" i="76"/>
  <c r="J192" i="76"/>
  <c r="I192" i="76"/>
  <c r="H192" i="76"/>
  <c r="G192" i="76"/>
  <c r="F192" i="76"/>
  <c r="E192" i="76"/>
  <c r="N191" i="76"/>
  <c r="M191" i="76"/>
  <c r="L191" i="76"/>
  <c r="K191" i="76"/>
  <c r="J191" i="76"/>
  <c r="I191" i="76"/>
  <c r="H191" i="76"/>
  <c r="G191" i="76"/>
  <c r="F191" i="76"/>
  <c r="E191" i="76"/>
  <c r="G144" i="76"/>
  <c r="G143" i="76"/>
  <c r="G146" i="76"/>
  <c r="G145" i="76"/>
  <c r="G142" i="76"/>
  <c r="D122" i="76"/>
  <c r="D121" i="76"/>
  <c r="D120" i="76"/>
  <c r="D119" i="76"/>
  <c r="G114" i="76"/>
  <c r="G112" i="76"/>
  <c r="G111" i="76"/>
  <c r="G113" i="76"/>
  <c r="D98" i="76"/>
  <c r="E98" i="76" s="1" a="1"/>
  <c r="E98" i="76" s="1"/>
  <c r="D97" i="76"/>
  <c r="D96" i="76"/>
  <c r="D95" i="76"/>
  <c r="I79" i="76"/>
  <c r="I82" i="76"/>
  <c r="I78" i="76"/>
  <c r="G49" i="76"/>
  <c r="G48" i="76"/>
  <c r="U47" i="76"/>
  <c r="U46" i="76"/>
  <c r="U45" i="76"/>
  <c r="U44" i="76"/>
  <c r="U43" i="76"/>
  <c r="U42" i="76"/>
  <c r="U41" i="76"/>
  <c r="U40" i="76"/>
  <c r="U39" i="76"/>
  <c r="U38" i="76"/>
  <c r="U37" i="76"/>
  <c r="U36" i="76"/>
  <c r="U31" i="76"/>
  <c r="U30" i="76"/>
  <c r="U29" i="76"/>
  <c r="U28" i="76"/>
  <c r="U27" i="76"/>
  <c r="U26" i="76"/>
  <c r="U25" i="76"/>
  <c r="U24" i="76"/>
  <c r="U23" i="76"/>
  <c r="U22" i="76"/>
  <c r="U21" i="76"/>
  <c r="U20" i="76"/>
  <c r="D36" i="76"/>
  <c r="D35" i="76"/>
  <c r="D34" i="76"/>
  <c r="D33" i="76"/>
  <c r="D20" i="76"/>
  <c r="F14" i="76"/>
  <c r="F13" i="76"/>
  <c r="D23" i="76"/>
  <c r="D22" i="76"/>
  <c r="D21" i="76"/>
  <c r="W281" i="69" a="1"/>
  <c r="W281" i="69" s="1"/>
  <c r="U278" i="69" a="1"/>
  <c r="U278" i="69" s="1"/>
  <c r="U274" i="69"/>
  <c r="U273" i="69"/>
  <c r="U272" i="69"/>
  <c r="U271" i="69"/>
  <c r="U270" i="69"/>
  <c r="U269" i="69"/>
  <c r="U268" i="69"/>
  <c r="U267" i="69"/>
  <c r="U266" i="69"/>
  <c r="U265" i="69"/>
  <c r="U264" i="69"/>
  <c r="U263" i="69"/>
  <c r="U262" i="69"/>
  <c r="U261" i="69"/>
  <c r="U260" i="69"/>
  <c r="U259" i="69"/>
  <c r="U258" i="69"/>
  <c r="U257" i="69"/>
  <c r="U256" i="69"/>
  <c r="U255" i="69"/>
  <c r="U254" i="69"/>
  <c r="U253" i="69"/>
  <c r="U252" i="69"/>
  <c r="U251" i="69"/>
  <c r="H212" i="69"/>
  <c r="H214" i="69"/>
  <c r="U246" i="69"/>
  <c r="V262" i="69" s="1"/>
  <c r="U245" i="69"/>
  <c r="V261" i="69" s="1"/>
  <c r="U244" i="69"/>
  <c r="V260" i="69" s="1"/>
  <c r="U243" i="69"/>
  <c r="V259" i="69" s="1"/>
  <c r="U242" i="69"/>
  <c r="V258" i="69" s="1"/>
  <c r="U241" i="69"/>
  <c r="V257" i="69" s="1"/>
  <c r="U240" i="69"/>
  <c r="V256" i="69" s="1"/>
  <c r="U239" i="69"/>
  <c r="V255" i="69" s="1"/>
  <c r="U238" i="69"/>
  <c r="V254" i="69" s="1"/>
  <c r="U237" i="69"/>
  <c r="V253" i="69" s="1"/>
  <c r="U236" i="69"/>
  <c r="V264" i="69" s="1"/>
  <c r="U235" i="69"/>
  <c r="V263" i="69" s="1"/>
  <c r="AE230" i="69"/>
  <c r="AD230" i="69"/>
  <c r="AC230" i="69"/>
  <c r="AB230" i="69"/>
  <c r="AA230" i="69"/>
  <c r="Z230" i="69"/>
  <c r="Y230" i="69"/>
  <c r="X230" i="69"/>
  <c r="W230" i="69"/>
  <c r="V230" i="69"/>
  <c r="AE229" i="69"/>
  <c r="AD229" i="69"/>
  <c r="AC229" i="69"/>
  <c r="AB229" i="69"/>
  <c r="AA229" i="69"/>
  <c r="Z229" i="69"/>
  <c r="Y229" i="69"/>
  <c r="X229" i="69"/>
  <c r="W229" i="69"/>
  <c r="V229" i="69"/>
  <c r="AE228" i="69"/>
  <c r="AD228" i="69"/>
  <c r="AC228" i="69"/>
  <c r="AB228" i="69"/>
  <c r="AA228" i="69"/>
  <c r="Z228" i="69"/>
  <c r="Y228" i="69"/>
  <c r="X228" i="69"/>
  <c r="W228" i="69"/>
  <c r="V228" i="69"/>
  <c r="AE227" i="69"/>
  <c r="AD227" i="69"/>
  <c r="AC227" i="69"/>
  <c r="AB227" i="69"/>
  <c r="AA227" i="69"/>
  <c r="Z227" i="69"/>
  <c r="Y227" i="69"/>
  <c r="X227" i="69"/>
  <c r="W227" i="69"/>
  <c r="V227" i="69"/>
  <c r="AE226" i="69"/>
  <c r="AD226" i="69"/>
  <c r="AC226" i="69"/>
  <c r="AB226" i="69"/>
  <c r="AA226" i="69"/>
  <c r="Z226" i="69"/>
  <c r="Y226" i="69"/>
  <c r="X226" i="69"/>
  <c r="W226" i="69"/>
  <c r="V226" i="69"/>
  <c r="AE225" i="69"/>
  <c r="AD225" i="69"/>
  <c r="AC225" i="69"/>
  <c r="AB225" i="69"/>
  <c r="AA225" i="69"/>
  <c r="Z225" i="69"/>
  <c r="Y225" i="69"/>
  <c r="X225" i="69"/>
  <c r="W225" i="69"/>
  <c r="V225" i="69"/>
  <c r="AE224" i="69"/>
  <c r="AD224" i="69"/>
  <c r="AC224" i="69"/>
  <c r="AB224" i="69"/>
  <c r="AA224" i="69"/>
  <c r="Z224" i="69"/>
  <c r="Y224" i="69"/>
  <c r="X224" i="69"/>
  <c r="W224" i="69"/>
  <c r="V224" i="69"/>
  <c r="AE223" i="69"/>
  <c r="AD223" i="69"/>
  <c r="AC223" i="69"/>
  <c r="AB223" i="69"/>
  <c r="AA223" i="69"/>
  <c r="Z223" i="69"/>
  <c r="Y223" i="69"/>
  <c r="X223" i="69"/>
  <c r="W223" i="69"/>
  <c r="V223" i="69"/>
  <c r="AE222" i="69"/>
  <c r="AD222" i="69"/>
  <c r="AC222" i="69"/>
  <c r="AB222" i="69"/>
  <c r="AA222" i="69"/>
  <c r="Z222" i="69"/>
  <c r="Y222" i="69"/>
  <c r="X222" i="69"/>
  <c r="W222" i="69"/>
  <c r="V222" i="69"/>
  <c r="AE221" i="69"/>
  <c r="AD221" i="69"/>
  <c r="AC221" i="69"/>
  <c r="AB221" i="69"/>
  <c r="AA221" i="69"/>
  <c r="Z221" i="69"/>
  <c r="Y221" i="69"/>
  <c r="X221" i="69"/>
  <c r="W221" i="69"/>
  <c r="V221" i="69"/>
  <c r="AE220" i="69"/>
  <c r="AD220" i="69"/>
  <c r="AC220" i="69"/>
  <c r="AB220" i="69"/>
  <c r="AA220" i="69"/>
  <c r="Z220" i="69"/>
  <c r="Y220" i="69"/>
  <c r="X220" i="69"/>
  <c r="W220" i="69"/>
  <c r="V220" i="69"/>
  <c r="AE219" i="69"/>
  <c r="AD219" i="69"/>
  <c r="AC219" i="69"/>
  <c r="AB219" i="69"/>
  <c r="AA219" i="69"/>
  <c r="Z219" i="69"/>
  <c r="Y219" i="69"/>
  <c r="X219" i="69"/>
  <c r="W219" i="69"/>
  <c r="V219" i="69"/>
  <c r="U230" i="69"/>
  <c r="U229" i="69"/>
  <c r="U228" i="69"/>
  <c r="U227" i="69"/>
  <c r="U226" i="69"/>
  <c r="U225" i="69"/>
  <c r="U224" i="69"/>
  <c r="U223" i="69"/>
  <c r="U222" i="69"/>
  <c r="U221" i="69"/>
  <c r="U220" i="69"/>
  <c r="U219" i="69"/>
  <c r="D246" i="69" a="1"/>
  <c r="D246" i="69" s="1"/>
  <c r="F249" i="69" a="1"/>
  <c r="F249" i="69" s="1"/>
  <c r="D242" i="69"/>
  <c r="D241" i="69"/>
  <c r="D240" i="69"/>
  <c r="D239" i="69"/>
  <c r="D238" i="69"/>
  <c r="D237" i="69"/>
  <c r="D236" i="69"/>
  <c r="D235" i="69"/>
  <c r="D204" i="69" a="1"/>
  <c r="D204" i="69" s="1"/>
  <c r="N230" i="69"/>
  <c r="M230" i="69"/>
  <c r="L230" i="69"/>
  <c r="K230" i="69"/>
  <c r="J230" i="69"/>
  <c r="I230" i="69"/>
  <c r="H230" i="69"/>
  <c r="G230" i="69"/>
  <c r="F230" i="69"/>
  <c r="E230" i="69"/>
  <c r="N229" i="69"/>
  <c r="M229" i="69"/>
  <c r="L229" i="69"/>
  <c r="K229" i="69"/>
  <c r="J229" i="69"/>
  <c r="I229" i="69"/>
  <c r="H229" i="69"/>
  <c r="G229" i="69"/>
  <c r="F229" i="69"/>
  <c r="E229" i="69"/>
  <c r="N228" i="69"/>
  <c r="M228" i="69"/>
  <c r="L228" i="69"/>
  <c r="K228" i="69"/>
  <c r="J228" i="69"/>
  <c r="I228" i="69"/>
  <c r="H228" i="69"/>
  <c r="G228" i="69"/>
  <c r="F228" i="69"/>
  <c r="E228" i="69"/>
  <c r="N227" i="69"/>
  <c r="M227" i="69"/>
  <c r="L227" i="69"/>
  <c r="K227" i="69"/>
  <c r="J227" i="69"/>
  <c r="I227" i="69"/>
  <c r="H227" i="69"/>
  <c r="G227" i="69"/>
  <c r="F227" i="69"/>
  <c r="E227" i="69"/>
  <c r="N222" i="69"/>
  <c r="M222" i="69"/>
  <c r="L222" i="69"/>
  <c r="K222" i="69"/>
  <c r="J222" i="69"/>
  <c r="I222" i="69"/>
  <c r="H222" i="69"/>
  <c r="G222" i="69"/>
  <c r="F222" i="69"/>
  <c r="E222" i="69"/>
  <c r="N221" i="69"/>
  <c r="M221" i="69"/>
  <c r="L221" i="69"/>
  <c r="K221" i="69"/>
  <c r="J221" i="69"/>
  <c r="I221" i="69"/>
  <c r="H221" i="69"/>
  <c r="G221" i="69"/>
  <c r="F221" i="69"/>
  <c r="E221" i="69"/>
  <c r="N220" i="69"/>
  <c r="M220" i="69"/>
  <c r="L220" i="69"/>
  <c r="K220" i="69"/>
  <c r="J220" i="69"/>
  <c r="I220" i="69"/>
  <c r="H220" i="69"/>
  <c r="G220" i="69"/>
  <c r="F220" i="69"/>
  <c r="E220" i="69"/>
  <c r="N219" i="69"/>
  <c r="M219" i="69"/>
  <c r="L219" i="69"/>
  <c r="K219" i="69"/>
  <c r="J219" i="69"/>
  <c r="I219" i="69"/>
  <c r="H219" i="69"/>
  <c r="G219" i="69"/>
  <c r="F219" i="69"/>
  <c r="E219" i="69"/>
  <c r="H213" i="69"/>
  <c r="D212" i="69" a="1"/>
  <c r="D212" i="69" s="1"/>
  <c r="E210" i="69" a="1"/>
  <c r="E210" i="69" s="1"/>
  <c r="AG268" i="69" s="1"/>
  <c r="E209" i="69" a="1"/>
  <c r="E209" i="69" s="1"/>
  <c r="D205" i="69" a="1"/>
  <c r="D205" i="69" s="1"/>
  <c r="U200" i="69"/>
  <c r="U199" i="69"/>
  <c r="U198" i="69"/>
  <c r="U197" i="69"/>
  <c r="U196" i="69"/>
  <c r="U195" i="69"/>
  <c r="U194" i="69"/>
  <c r="U193" i="69"/>
  <c r="U192" i="69"/>
  <c r="U188" i="69"/>
  <c r="U187" i="69"/>
  <c r="U186" i="69"/>
  <c r="U185" i="69"/>
  <c r="U184" i="69"/>
  <c r="U183" i="69"/>
  <c r="U182" i="69"/>
  <c r="U181" i="69"/>
  <c r="U191" i="69"/>
  <c r="U190" i="69"/>
  <c r="U189" i="69"/>
  <c r="U180" i="69"/>
  <c r="U179" i="69"/>
  <c r="U178" i="69"/>
  <c r="U177" i="69"/>
  <c r="D184" i="69"/>
  <c r="D183" i="69"/>
  <c r="D182" i="69"/>
  <c r="D180" i="69"/>
  <c r="D179" i="69"/>
  <c r="D178" i="69"/>
  <c r="D147" i="69" a="1"/>
  <c r="D147" i="69" s="1"/>
  <c r="D181" i="69"/>
  <c r="D177" i="69"/>
  <c r="G160" i="69"/>
  <c r="D172" i="69"/>
  <c r="D171" i="69"/>
  <c r="D166" i="69"/>
  <c r="D165" i="69"/>
  <c r="G157" i="69"/>
  <c r="G156" i="69"/>
  <c r="D426" i="79" a="1"/>
  <c r="D426" i="79" s="1"/>
  <c r="G155" i="69" s="1"/>
  <c r="D425" i="79" a="1"/>
  <c r="D425" i="79" s="1"/>
  <c r="D424" i="79" a="1"/>
  <c r="D424" i="79" s="1"/>
  <c r="D423" i="79" a="1"/>
  <c r="D423" i="79" s="1"/>
  <c r="D422" i="79" a="1"/>
  <c r="D422" i="79" s="1"/>
  <c r="G154" i="69"/>
  <c r="D154" i="69" a="1"/>
  <c r="D154" i="69" s="1"/>
  <c r="E152" i="69" a="1"/>
  <c r="E152" i="69" s="1"/>
  <c r="AG194" i="69" s="1"/>
  <c r="E151" i="69" a="1"/>
  <c r="E151" i="69" s="1"/>
  <c r="D146" i="69" a="1"/>
  <c r="D146" i="69" s="1"/>
  <c r="U115" i="69"/>
  <c r="U131" i="69" s="1"/>
  <c r="V177" i="69" s="1"/>
  <c r="D164" i="70"/>
  <c r="D163" i="70"/>
  <c r="U125" i="69" s="1"/>
  <c r="U141" i="69" s="1"/>
  <c r="V187" i="69" s="1"/>
  <c r="D162" i="70"/>
  <c r="U124" i="69" s="1"/>
  <c r="U140" i="69" s="1"/>
  <c r="V186" i="69" s="1"/>
  <c r="D161" i="70"/>
  <c r="U123" i="69" s="1"/>
  <c r="U139" i="69" s="1"/>
  <c r="D160" i="70"/>
  <c r="U122" i="69" s="1"/>
  <c r="U138" i="69" s="1"/>
  <c r="D159" i="70"/>
  <c r="U121" i="69" s="1"/>
  <c r="U137" i="69" s="1"/>
  <c r="D158" i="70"/>
  <c r="U120" i="69" s="1"/>
  <c r="U136" i="69" s="1"/>
  <c r="D157" i="70"/>
  <c r="U119" i="69" s="1"/>
  <c r="U135" i="69" s="1"/>
  <c r="D156" i="70"/>
  <c r="U118" i="69" s="1"/>
  <c r="U134" i="69" s="1"/>
  <c r="V180" i="69" s="1"/>
  <c r="D155" i="70"/>
  <c r="U117" i="69" s="1"/>
  <c r="U133" i="69" s="1"/>
  <c r="V179" i="69" s="1"/>
  <c r="D154" i="70"/>
  <c r="U116" i="69" s="1"/>
  <c r="U132" i="69" s="1"/>
  <c r="V178" i="69" s="1"/>
  <c r="D153" i="70"/>
  <c r="D142" i="70"/>
  <c r="D141" i="70"/>
  <c r="D140" i="70"/>
  <c r="D139" i="70"/>
  <c r="D138" i="70"/>
  <c r="D137" i="70"/>
  <c r="D136" i="70"/>
  <c r="D135" i="70"/>
  <c r="D134" i="70"/>
  <c r="D133" i="70"/>
  <c r="D132" i="70"/>
  <c r="D131" i="70"/>
  <c r="G109" i="69"/>
  <c r="D420" i="79" a="1"/>
  <c r="D420" i="79" s="1"/>
  <c r="G110" i="69" s="1"/>
  <c r="D419" i="79" a="1"/>
  <c r="D419" i="79" s="1"/>
  <c r="D418" i="79" a="1"/>
  <c r="D418" i="79" s="1"/>
  <c r="D417" i="79" a="1"/>
  <c r="D417" i="79" s="1"/>
  <c r="D416" i="79" a="1"/>
  <c r="D416" i="79" s="1"/>
  <c r="G108" i="69"/>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42" i="76" a="1"/>
  <c r="E39" i="69" a="1"/>
  <c r="E218" i="76" a="1"/>
  <c r="E104" i="76" a="1"/>
  <c r="E101" i="69" a="1"/>
  <c r="E148" i="69" a="1"/>
  <c r="E178" i="76" a="1"/>
  <c r="E7" i="76" a="1"/>
  <c r="E136" i="76" a="1"/>
  <c r="E206" i="69" a="1"/>
  <c r="E95" i="76" l="1" a="1"/>
  <c r="E95" i="76" s="1"/>
  <c r="E96" i="76" a="1"/>
  <c r="E96" i="76" s="1"/>
  <c r="F96" i="76" s="1" a="1"/>
  <c r="F96" i="76" s="1"/>
  <c r="E97" i="76" a="1"/>
  <c r="E97" i="76" s="1"/>
  <c r="F97" i="76" s="1" a="1"/>
  <c r="F97" i="76" s="1"/>
  <c r="V252" i="69"/>
  <c r="V265" i="69"/>
  <c r="V266" i="69"/>
  <c r="V267" i="69"/>
  <c r="V268" i="69"/>
  <c r="V269" i="69"/>
  <c r="V270" i="69"/>
  <c r="V271" i="69"/>
  <c r="V272" i="69"/>
  <c r="V273" i="69"/>
  <c r="V274" i="69"/>
  <c r="V251" i="69"/>
  <c r="V196" i="69"/>
  <c r="V184" i="69"/>
  <c r="V185" i="69"/>
  <c r="V197" i="69"/>
  <c r="V195" i="69"/>
  <c r="V183" i="69"/>
  <c r="V193" i="69"/>
  <c r="V181" i="69"/>
  <c r="V182" i="69"/>
  <c r="V194" i="69"/>
  <c r="U126" i="69"/>
  <c r="U142" i="69" s="1"/>
  <c r="V188" i="69" s="1"/>
  <c r="V198" i="69"/>
  <c r="V199" i="69"/>
  <c r="V189" i="69"/>
  <c r="V190" i="69"/>
  <c r="V191" i="69"/>
  <c r="V192" i="69"/>
  <c r="P183" i="69"/>
  <c r="AG185" i="69"/>
  <c r="P177" i="69"/>
  <c r="AG255" i="69"/>
  <c r="AG190" i="69"/>
  <c r="AG256" i="69"/>
  <c r="AG195" i="69"/>
  <c r="AG264" i="69"/>
  <c r="AG193" i="69"/>
  <c r="AG257" i="69"/>
  <c r="AG196" i="69"/>
  <c r="AG267" i="69"/>
  <c r="AG189" i="69"/>
  <c r="AG253" i="69"/>
  <c r="AG197" i="69"/>
  <c r="AG181" i="69"/>
  <c r="AG198" i="69"/>
  <c r="P238" i="69"/>
  <c r="AG270" i="69"/>
  <c r="P184" i="69"/>
  <c r="AG187" i="69"/>
  <c r="AG188" i="69"/>
  <c r="AG179" i="69"/>
  <c r="AG269" i="69"/>
  <c r="AG182" i="69"/>
  <c r="AG199" i="69"/>
  <c r="P239" i="69"/>
  <c r="AG271" i="69"/>
  <c r="P236" i="69"/>
  <c r="P180" i="69"/>
  <c r="AG183" i="69"/>
  <c r="AG200" i="69"/>
  <c r="P240" i="69"/>
  <c r="AG186" i="69"/>
  <c r="P182" i="69"/>
  <c r="AG184" i="69"/>
  <c r="P242" i="69"/>
  <c r="AG259" i="69"/>
  <c r="AG273" i="69"/>
  <c r="P178" i="69"/>
  <c r="AG177" i="69"/>
  <c r="AG191" i="69"/>
  <c r="AG260" i="69"/>
  <c r="AG274" i="69"/>
  <c r="P179" i="69"/>
  <c r="AG178" i="69"/>
  <c r="AG192" i="69"/>
  <c r="F244" i="69"/>
  <c r="AG261" i="69"/>
  <c r="P241" i="69"/>
  <c r="AG258" i="69"/>
  <c r="AG272" i="69"/>
  <c r="AG262" i="69"/>
  <c r="P181" i="69"/>
  <c r="AG180" i="69"/>
  <c r="AG263" i="69"/>
  <c r="AG251" i="69"/>
  <c r="AG265" i="69"/>
  <c r="P235" i="69"/>
  <c r="AG252" i="69"/>
  <c r="AG266" i="69"/>
  <c r="P237" i="69"/>
  <c r="AG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218" i="76"/>
  <c r="E178" i="76"/>
  <c r="E136" i="76"/>
  <c r="E104" i="76"/>
  <c r="E42" i="76"/>
  <c r="E7" i="76"/>
  <c r="E206" i="69"/>
  <c r="E148" i="69"/>
  <c r="E101" i="69"/>
  <c r="E39" i="69"/>
  <c r="K97" i="76" l="1" a="1"/>
  <c r="K97" i="76" s="1"/>
  <c r="L97" i="76" a="1"/>
  <c r="L97" i="76" s="1"/>
  <c r="J97" i="76" a="1"/>
  <c r="J97" i="76" s="1"/>
  <c r="L96" i="76" a="1"/>
  <c r="L96" i="76" s="1"/>
  <c r="K96" i="76" a="1"/>
  <c r="K96" i="76" s="1"/>
  <c r="J96" i="76" a="1"/>
  <c r="J96" i="76" s="1"/>
  <c r="V200" i="69"/>
  <c r="G46" i="69"/>
  <c r="G45" i="69"/>
  <c r="D71" i="69"/>
  <c r="D70" i="69"/>
  <c r="D69" i="69"/>
  <c r="D68" i="69"/>
  <c r="D55" i="69"/>
  <c r="D54" i="69"/>
  <c r="D53" i="69"/>
  <c r="D52" i="69"/>
  <c r="G47" i="69"/>
  <c r="D45" i="69" a="1"/>
  <c r="D45" i="69" s="1"/>
  <c r="E43" i="69" a="1"/>
  <c r="E43" i="69" s="1"/>
  <c r="E42" i="69" a="1"/>
  <c r="E42" i="69" s="1"/>
  <c r="D38" i="69" a="1"/>
  <c r="D38" i="69" s="1"/>
  <c r="D37" i="69" a="1"/>
  <c r="D37" i="6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G400" i="79" a="1"/>
  <c r="G400" i="79" s="1"/>
  <c r="F400" i="79" a="1"/>
  <c r="F400" i="79" s="1"/>
  <c r="E400" i="79" a="1"/>
  <c r="E400" i="79" s="1"/>
  <c r="D400" i="79" a="1"/>
  <c r="D400" i="79" s="1"/>
  <c r="G399" i="79" a="1"/>
  <c r="G399" i="79" s="1"/>
  <c r="F399" i="79" a="1"/>
  <c r="F399" i="79" s="1"/>
  <c r="E399" i="79" a="1"/>
  <c r="E399" i="79" s="1"/>
  <c r="D399" i="79" a="1"/>
  <c r="D399" i="79" s="1"/>
  <c r="D397" i="79" a="1"/>
  <c r="D397" i="79" s="1"/>
  <c r="D396" i="79" a="1"/>
  <c r="D396" i="79" s="1"/>
  <c r="D395" i="79" a="1"/>
  <c r="D395" i="79" s="1"/>
  <c r="D394" i="79" a="1"/>
  <c r="D394" i="79" s="1"/>
  <c r="D393" i="79" a="1"/>
  <c r="D393"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D378" i="79" a="1"/>
  <c r="D378" i="79" s="1"/>
  <c r="E378" i="79" a="1"/>
  <c r="E378" i="79" s="1"/>
  <c r="F378" i="79" a="1"/>
  <c r="F378" i="79" s="1"/>
  <c r="G378" i="79" a="1"/>
  <c r="G378" i="79" s="1"/>
  <c r="D377" i="79" a="1"/>
  <c r="D377" i="79" s="1"/>
  <c r="E377" i="79" a="1"/>
  <c r="E377" i="79" s="1"/>
  <c r="F377" i="79" a="1"/>
  <c r="F377" i="79" s="1"/>
  <c r="G377" i="79" a="1"/>
  <c r="G377" i="79" s="1"/>
  <c r="G376" i="79" a="1"/>
  <c r="G376" i="79" s="1"/>
  <c r="F376" i="79" a="1"/>
  <c r="F376" i="79" s="1"/>
  <c r="E376" i="79" a="1"/>
  <c r="E376" i="79" s="1"/>
  <c r="D376" i="79" a="1"/>
  <c r="D376" i="79" s="1"/>
  <c r="D374" i="79" a="1"/>
  <c r="D374" i="79" s="1"/>
  <c r="D373" i="79" a="1"/>
  <c r="D373" i="79" s="1"/>
  <c r="D372" i="79" a="1"/>
  <c r="D372" i="79" s="1"/>
  <c r="D371" i="79" a="1"/>
  <c r="D371" i="79" s="1"/>
  <c r="D370" i="79" a="1"/>
  <c r="D370" i="79" s="1"/>
  <c r="D356" i="79" a="1"/>
  <c r="D356" i="79" s="1"/>
  <c r="D367" i="79" s="1"/>
  <c r="E356" i="79" a="1"/>
  <c r="E356" i="79" s="1"/>
  <c r="E367" i="79" s="1"/>
  <c r="F356" i="79" a="1"/>
  <c r="F356" i="79" s="1"/>
  <c r="F367" i="79" s="1"/>
  <c r="G356" i="79" a="1"/>
  <c r="G356" i="79" s="1"/>
  <c r="G367" i="79" s="1"/>
  <c r="H356" i="79" a="1"/>
  <c r="H356" i="79" s="1"/>
  <c r="H367" i="79" s="1"/>
  <c r="I356" i="79" a="1"/>
  <c r="I356" i="79" s="1"/>
  <c r="I367" i="79" s="1"/>
  <c r="J356" i="79" a="1"/>
  <c r="J356" i="79" s="1"/>
  <c r="K367" i="79" s="1"/>
  <c r="K356" i="79" a="1"/>
  <c r="K356" i="79" s="1"/>
  <c r="N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I366" i="79" s="1"/>
  <c r="J355" i="79" a="1"/>
  <c r="J355" i="79" s="1"/>
  <c r="K366" i="79" s="1"/>
  <c r="K355" i="79" a="1"/>
  <c r="K355" i="79" s="1"/>
  <c r="M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J365" i="79" s="1"/>
  <c r="J354" i="79" a="1"/>
  <c r="J354" i="79" s="1"/>
  <c r="K365" i="79" s="1"/>
  <c r="K354" i="79" a="1"/>
  <c r="K354" i="79" s="1"/>
  <c r="L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J364" i="79" s="1"/>
  <c r="J353" i="79" a="1"/>
  <c r="J353" i="79" s="1"/>
  <c r="K364" i="79" s="1"/>
  <c r="K353" i="79" a="1"/>
  <c r="K353" i="79" s="1"/>
  <c r="L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I363" i="79" s="1"/>
  <c r="J352" i="79" a="1"/>
  <c r="J352" i="79" s="1"/>
  <c r="K363" i="79" s="1"/>
  <c r="K352" i="79" a="1"/>
  <c r="K352" i="79" s="1"/>
  <c r="M363" i="79" s="1"/>
  <c r="L352" i="79" a="1"/>
  <c r="L352" i="79" s="1"/>
  <c r="O363" i="79" s="1"/>
  <c r="D351" i="79" a="1"/>
  <c r="D351" i="79" s="1"/>
  <c r="D362" i="79" s="1"/>
  <c r="E351" i="79" a="1"/>
  <c r="E351" i="79" s="1"/>
  <c r="E362" i="79" s="1"/>
  <c r="F351" i="79" a="1"/>
  <c r="F351" i="79" s="1"/>
  <c r="F362" i="79" s="1"/>
  <c r="G351" i="79" a="1"/>
  <c r="G351" i="79" s="1"/>
  <c r="G362" i="79" s="1"/>
  <c r="H351" i="79" a="1"/>
  <c r="H351" i="79" s="1"/>
  <c r="H362" i="79" s="1"/>
  <c r="I351" i="79" a="1"/>
  <c r="I351" i="79" s="1"/>
  <c r="I362" i="79" s="1"/>
  <c r="J351" i="79" a="1"/>
  <c r="J351" i="79" s="1"/>
  <c r="K362" i="79" s="1"/>
  <c r="K351" i="79" a="1"/>
  <c r="K351" i="79" s="1"/>
  <c r="N362" i="79" s="1"/>
  <c r="L351" i="79" a="1"/>
  <c r="L351" i="79" s="1"/>
  <c r="O362" i="79" s="1"/>
  <c r="D350" i="79" a="1"/>
  <c r="D350" i="79" s="1"/>
  <c r="D361" i="79" s="1"/>
  <c r="E350" i="79" a="1"/>
  <c r="E350" i="79" s="1"/>
  <c r="E361" i="79" s="1"/>
  <c r="F350" i="79" a="1"/>
  <c r="F350" i="79" s="1"/>
  <c r="F361" i="79" s="1"/>
  <c r="G350" i="79" a="1"/>
  <c r="G350" i="79" s="1"/>
  <c r="G361" i="79" s="1"/>
  <c r="H350" i="79" a="1"/>
  <c r="H350" i="79" s="1"/>
  <c r="H361" i="79" s="1"/>
  <c r="I350" i="79" a="1"/>
  <c r="I350" i="79" s="1"/>
  <c r="J361" i="79" s="1"/>
  <c r="J350" i="79" a="1"/>
  <c r="J350" i="79" s="1"/>
  <c r="K361" i="79" s="1"/>
  <c r="K350" i="79" a="1"/>
  <c r="K350" i="79" s="1"/>
  <c r="N361" i="79" s="1"/>
  <c r="L350" i="79" a="1"/>
  <c r="L350" i="79" s="1"/>
  <c r="O361" i="79" s="1"/>
  <c r="L349" i="79" a="1"/>
  <c r="L349" i="79" s="1"/>
  <c r="O360" i="79" s="1"/>
  <c r="K349" i="79" a="1"/>
  <c r="K349" i="79" s="1"/>
  <c r="N360" i="79" s="1"/>
  <c r="J349" i="79" a="1"/>
  <c r="J349" i="79" s="1"/>
  <c r="K360" i="79" s="1"/>
  <c r="I349" i="79" a="1"/>
  <c r="I349" i="79" s="1"/>
  <c r="J360" i="79" s="1"/>
  <c r="H349" i="79" a="1"/>
  <c r="H349" i="79" s="1"/>
  <c r="H360" i="79" s="1"/>
  <c r="G349" i="79" a="1"/>
  <c r="G349" i="79" s="1"/>
  <c r="G360" i="79" s="1"/>
  <c r="F349" i="79" a="1"/>
  <c r="F349" i="79" s="1"/>
  <c r="F360" i="79" s="1"/>
  <c r="E349" i="79" a="1"/>
  <c r="E349" i="79" s="1"/>
  <c r="E360" i="79" s="1"/>
  <c r="D349" i="79" a="1"/>
  <c r="D349" i="79" s="1"/>
  <c r="D360" i="79" s="1"/>
  <c r="D347" i="79" a="1"/>
  <c r="D347" i="79" s="1"/>
  <c r="D346" i="79" a="1"/>
  <c r="D346" i="79" s="1"/>
  <c r="D345" i="79" a="1"/>
  <c r="D345" i="79" s="1"/>
  <c r="D344" i="79" a="1"/>
  <c r="D344" i="79" s="1"/>
  <c r="D343" i="79" a="1"/>
  <c r="D343" i="79" s="1"/>
  <c r="D340" i="79" a="1"/>
  <c r="D340" i="79" s="1"/>
  <c r="E340" i="79" a="1"/>
  <c r="E340" i="79" s="1"/>
  <c r="F340" i="79" a="1"/>
  <c r="F340" i="79" s="1"/>
  <c r="G340" i="79" a="1"/>
  <c r="G340" i="79" s="1"/>
  <c r="D339" i="79" a="1"/>
  <c r="D339" i="79" s="1"/>
  <c r="I336" i="79" s="1"/>
  <c r="E339" i="79" a="1"/>
  <c r="E339" i="79" s="1"/>
  <c r="F339" i="79" a="1"/>
  <c r="F339" i="79" s="1"/>
  <c r="K336" i="79" s="1"/>
  <c r="G339" i="79" a="1"/>
  <c r="G339" i="79" s="1"/>
  <c r="L336" i="79" s="1"/>
  <c r="D338" i="79" a="1"/>
  <c r="D338" i="79" s="1"/>
  <c r="I335" i="79" s="1"/>
  <c r="E338" i="79" a="1"/>
  <c r="E338" i="79" s="1"/>
  <c r="F338" i="79" a="1"/>
  <c r="F338" i="79" s="1"/>
  <c r="K335" i="79" s="1"/>
  <c r="G338" i="79" a="1"/>
  <c r="G338" i="79" s="1"/>
  <c r="L335" i="79" s="1"/>
  <c r="D337" i="79" a="1"/>
  <c r="D337" i="79" s="1"/>
  <c r="E337" i="79" a="1"/>
  <c r="E337" i="79" s="1"/>
  <c r="F337" i="79" a="1"/>
  <c r="F337" i="79" s="1"/>
  <c r="G337" i="79" a="1"/>
  <c r="G337" i="79" s="1"/>
  <c r="D336" i="79" a="1"/>
  <c r="D336" i="79" s="1"/>
  <c r="E336" i="79" a="1"/>
  <c r="E336" i="79" s="1"/>
  <c r="F336" i="79" a="1"/>
  <c r="F336" i="79" s="1"/>
  <c r="G336" i="79" a="1"/>
  <c r="G336" i="79" s="1"/>
  <c r="D335" i="79" a="1"/>
  <c r="D335" i="79" s="1"/>
  <c r="E335" i="79" a="1"/>
  <c r="E335" i="79" s="1"/>
  <c r="F335" i="79" a="1"/>
  <c r="F335" i="79" s="1"/>
  <c r="G335" i="79" a="1"/>
  <c r="G335" i="79" s="1"/>
  <c r="D334" i="79" a="1"/>
  <c r="D334" i="79" s="1"/>
  <c r="I334" i="79" s="1"/>
  <c r="E334" i="79" a="1"/>
  <c r="E334" i="79" s="1"/>
  <c r="F334" i="79" a="1"/>
  <c r="F334" i="79" s="1"/>
  <c r="K334" i="79" s="1"/>
  <c r="G334" i="79" a="1"/>
  <c r="G334" i="79" s="1"/>
  <c r="L334" i="79" s="1"/>
  <c r="G333" i="79" a="1"/>
  <c r="G333" i="79" s="1"/>
  <c r="L333" i="79" s="1"/>
  <c r="F333" i="79" a="1"/>
  <c r="F333" i="79" s="1"/>
  <c r="K333" i="79" s="1"/>
  <c r="E333" i="79" a="1"/>
  <c r="E333" i="79" s="1"/>
  <c r="D333" i="79" a="1"/>
  <c r="D333" i="79" s="1"/>
  <c r="I333" i="79" s="1"/>
  <c r="D331" i="79" a="1"/>
  <c r="D331" i="79" s="1"/>
  <c r="D330" i="79" a="1"/>
  <c r="D330" i="79" s="1"/>
  <c r="D329" i="79" a="1"/>
  <c r="D329"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I313" i="79" a="1"/>
  <c r="I313" i="79" s="1"/>
  <c r="H313" i="79" a="1"/>
  <c r="H313" i="79" s="1"/>
  <c r="G313" i="79" a="1"/>
  <c r="G313" i="79" s="1"/>
  <c r="F313" i="79" a="1"/>
  <c r="F313" i="79" s="1"/>
  <c r="E313" i="79" a="1"/>
  <c r="E313" i="79" s="1"/>
  <c r="D313" i="79" a="1"/>
  <c r="D313" i="79" s="1"/>
  <c r="I312" i="79" a="1"/>
  <c r="I312" i="79" s="1"/>
  <c r="H312" i="79" a="1"/>
  <c r="H312" i="79" s="1"/>
  <c r="G312" i="79" a="1"/>
  <c r="G312" i="79" s="1"/>
  <c r="F312" i="79" a="1"/>
  <c r="F312" i="79" s="1"/>
  <c r="E312" i="79" a="1"/>
  <c r="E312" i="79" s="1"/>
  <c r="D312" i="79" a="1"/>
  <c r="D312" i="79" s="1"/>
  <c r="D310" i="79" a="1"/>
  <c r="D310" i="79" s="1"/>
  <c r="D309" i="79" a="1"/>
  <c r="D309" i="79" s="1"/>
  <c r="D308" i="79" a="1"/>
  <c r="D308" i="79" s="1"/>
  <c r="D307" i="79" a="1"/>
  <c r="D307" i="79" s="1"/>
  <c r="D306" i="79" a="1"/>
  <c r="D306"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D291" i="79" a="1"/>
  <c r="D291" i="79" s="1"/>
  <c r="E291" i="79" a="1"/>
  <c r="E291" i="79" s="1"/>
  <c r="F291" i="79" a="1"/>
  <c r="F291" i="79" s="1"/>
  <c r="G291" i="79" a="1"/>
  <c r="G291" i="79" s="1"/>
  <c r="H291" i="79" a="1"/>
  <c r="H291" i="79" s="1"/>
  <c r="I291" i="79" a="1"/>
  <c r="I291" i="79" s="1"/>
  <c r="D290" i="79" a="1"/>
  <c r="D290" i="79" s="1"/>
  <c r="E290" i="79" a="1"/>
  <c r="E290" i="79" s="1"/>
  <c r="F290" i="79" a="1"/>
  <c r="F290" i="79" s="1"/>
  <c r="G290" i="79" a="1"/>
  <c r="G290" i="79" s="1"/>
  <c r="H290" i="79" a="1"/>
  <c r="H290" i="79" s="1"/>
  <c r="I290" i="79" a="1"/>
  <c r="I290" i="79" s="1"/>
  <c r="I289" i="79" a="1"/>
  <c r="I289" i="79" s="1"/>
  <c r="H289" i="79" a="1"/>
  <c r="H289" i="79" s="1"/>
  <c r="G289" i="79" a="1"/>
  <c r="G289" i="79" s="1"/>
  <c r="F289" i="79" a="1"/>
  <c r="F289" i="79" s="1"/>
  <c r="E289" i="79" a="1"/>
  <c r="E289" i="79" s="1"/>
  <c r="D289" i="79" a="1"/>
  <c r="D289" i="79" s="1"/>
  <c r="D287" i="79" a="1"/>
  <c r="D287" i="79" s="1"/>
  <c r="D286" i="79" a="1"/>
  <c r="D286" i="79" s="1"/>
  <c r="D285" i="79" a="1"/>
  <c r="D285" i="79" s="1"/>
  <c r="D284" i="79" a="1"/>
  <c r="D284" i="79" s="1"/>
  <c r="D283" i="79" a="1"/>
  <c r="D283"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D190" i="79" a="1"/>
  <c r="D190" i="79" s="1"/>
  <c r="E190" i="79" a="1"/>
  <c r="E190" i="79" s="1"/>
  <c r="E255" i="79" s="1"/>
  <c r="F190" i="79" a="1"/>
  <c r="F190" i="79" s="1"/>
  <c r="F255" i="79" s="1"/>
  <c r="G190" i="79" a="1"/>
  <c r="G190" i="79" s="1"/>
  <c r="G255" i="79" s="1"/>
  <c r="H190" i="79" a="1"/>
  <c r="H190" i="79" s="1"/>
  <c r="H255" i="79" s="1"/>
  <c r="I190" i="79" a="1"/>
  <c r="I190" i="79" s="1"/>
  <c r="I255" i="79" s="1"/>
  <c r="J190" i="79" a="1"/>
  <c r="J190" i="79" s="1"/>
  <c r="J255" i="79" s="1"/>
  <c r="K190" i="79" a="1"/>
  <c r="K190" i="79" s="1"/>
  <c r="K255" i="79" s="1"/>
  <c r="L190" i="79" a="1"/>
  <c r="L190" i="79" s="1"/>
  <c r="L255" i="79" s="1"/>
  <c r="M190" i="79" a="1"/>
  <c r="M190" i="79" s="1"/>
  <c r="M255" i="79" s="1"/>
  <c r="N190" i="79" a="1"/>
  <c r="N190" i="79" s="1"/>
  <c r="N255" i="79" s="1"/>
  <c r="O190" i="79" a="1"/>
  <c r="O190" i="79" s="1"/>
  <c r="O255" i="79" s="1"/>
  <c r="P190" i="79" a="1"/>
  <c r="P190" i="79" s="1"/>
  <c r="P255" i="79" s="1"/>
  <c r="D189" i="79" a="1"/>
  <c r="D189" i="79" s="1"/>
  <c r="E189" i="79" a="1"/>
  <c r="E189" i="79" s="1"/>
  <c r="E254" i="79" s="1"/>
  <c r="F189" i="79" a="1"/>
  <c r="F189" i="79" s="1"/>
  <c r="F254" i="79" s="1"/>
  <c r="G189" i="79" a="1"/>
  <c r="G189" i="79" s="1"/>
  <c r="G254" i="79" s="1"/>
  <c r="H189" i="79" a="1"/>
  <c r="H189" i="79" s="1"/>
  <c r="H254" i="79" s="1"/>
  <c r="I189" i="79" a="1"/>
  <c r="I189" i="79" s="1"/>
  <c r="I254" i="79" s="1"/>
  <c r="J189" i="79" a="1"/>
  <c r="J189" i="79" s="1"/>
  <c r="J254" i="79" s="1"/>
  <c r="K189" i="79" a="1"/>
  <c r="K189" i="79" s="1"/>
  <c r="K254" i="79" s="1"/>
  <c r="L189" i="79" a="1"/>
  <c r="L189" i="79" s="1"/>
  <c r="L254" i="79" s="1"/>
  <c r="M189" i="79" a="1"/>
  <c r="M189" i="79" s="1"/>
  <c r="M254" i="79" s="1"/>
  <c r="N189" i="79" a="1"/>
  <c r="N189" i="79" s="1"/>
  <c r="N254" i="79" s="1"/>
  <c r="O189" i="79" a="1"/>
  <c r="O189" i="79" s="1"/>
  <c r="O254" i="79" s="1"/>
  <c r="P189" i="79" a="1"/>
  <c r="P189" i="79" s="1"/>
  <c r="P254" i="79" s="1"/>
  <c r="P188" i="79" a="1"/>
  <c r="P188" i="79" s="1"/>
  <c r="P253" i="79" s="1"/>
  <c r="O188" i="79" a="1"/>
  <c r="O188" i="79" s="1"/>
  <c r="O253" i="79" s="1"/>
  <c r="N188" i="79" a="1"/>
  <c r="N188" i="79" s="1"/>
  <c r="N253" i="79" s="1"/>
  <c r="M188" i="79" a="1"/>
  <c r="M188" i="79" s="1"/>
  <c r="M253" i="79" s="1"/>
  <c r="L188" i="79" a="1"/>
  <c r="L188" i="79" s="1"/>
  <c r="L253" i="79" s="1"/>
  <c r="K188" i="79" a="1"/>
  <c r="K188" i="79" s="1"/>
  <c r="K253" i="79" s="1"/>
  <c r="J188" i="79" a="1"/>
  <c r="J188" i="79" s="1"/>
  <c r="J253" i="79" s="1"/>
  <c r="I188" i="79" a="1"/>
  <c r="I188" i="79" s="1"/>
  <c r="I253" i="79" s="1"/>
  <c r="H188" i="79" a="1"/>
  <c r="H188" i="79" s="1"/>
  <c r="H253" i="79" s="1"/>
  <c r="G188" i="79" a="1"/>
  <c r="G188" i="79" s="1"/>
  <c r="G253" i="79" s="1"/>
  <c r="F188" i="79" a="1"/>
  <c r="F188" i="79" s="1"/>
  <c r="F253" i="79" s="1"/>
  <c r="E188" i="79" a="1"/>
  <c r="E188" i="79" s="1"/>
  <c r="E253" i="79" s="1"/>
  <c r="D188" i="79" a="1"/>
  <c r="D188" i="79" s="1"/>
  <c r="D186" i="79" a="1"/>
  <c r="D186" i="79" s="1"/>
  <c r="D185" i="79" a="1"/>
  <c r="D185" i="79" s="1"/>
  <c r="D184" i="79" a="1"/>
  <c r="D184" i="79" s="1"/>
  <c r="D183" i="79" a="1"/>
  <c r="D18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P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K251" i="79" s="1"/>
  <c r="L179" i="79" a="1"/>
  <c r="L179" i="79" s="1"/>
  <c r="M251" i="79" s="1"/>
  <c r="M179" i="79" a="1"/>
  <c r="M179" i="79" s="1"/>
  <c r="P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L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L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K248" i="79" s="1"/>
  <c r="L176" i="79" a="1"/>
  <c r="L176" i="79" s="1"/>
  <c r="M248" i="79" s="1"/>
  <c r="M176" i="79" a="1"/>
  <c r="M176" i="79" s="1"/>
  <c r="N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K247" i="79" s="1"/>
  <c r="L175" i="79" a="1"/>
  <c r="L175" i="79" s="1"/>
  <c r="M247" i="79" s="1"/>
  <c r="M175" i="79" a="1"/>
  <c r="M175" i="79" s="1"/>
  <c r="N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O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L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E242"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P242" i="79" s="1"/>
  <c r="D169" i="79" a="1"/>
  <c r="D169" i="79" s="1"/>
  <c r="E169" i="79" a="1"/>
  <c r="E169" i="79" s="1"/>
  <c r="E241" i="79" s="1"/>
  <c r="F169" i="79" a="1"/>
  <c r="F169" i="79" s="1"/>
  <c r="F241" i="79" s="1"/>
  <c r="G169" i="79" a="1"/>
  <c r="G169" i="79" s="1"/>
  <c r="G241" i="79" s="1"/>
  <c r="H169" i="79" a="1"/>
  <c r="H169" i="79" s="1"/>
  <c r="H241" i="79" s="1"/>
  <c r="I169" i="79" a="1"/>
  <c r="I169" i="79" s="1"/>
  <c r="I241" i="79" s="1"/>
  <c r="J169" i="79" a="1"/>
  <c r="J169" i="79" s="1"/>
  <c r="J241" i="79" s="1"/>
  <c r="K169" i="79" a="1"/>
  <c r="K169" i="79" s="1"/>
  <c r="L241" i="79" s="1"/>
  <c r="L169" i="79" a="1"/>
  <c r="L169" i="79" s="1"/>
  <c r="M241" i="79" s="1"/>
  <c r="M169" i="79" a="1"/>
  <c r="M169" i="79" s="1"/>
  <c r="P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K240" i="79" s="1"/>
  <c r="L168" i="79" a="1"/>
  <c r="L168" i="79" s="1"/>
  <c r="M240" i="79" s="1"/>
  <c r="M168" i="79" a="1"/>
  <c r="M168" i="79" s="1"/>
  <c r="N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O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P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K237" i="79" s="1"/>
  <c r="L165" i="79" a="1"/>
  <c r="L165" i="79" s="1"/>
  <c r="M237" i="79" s="1"/>
  <c r="M165" i="79" a="1"/>
  <c r="M165" i="79" s="1"/>
  <c r="P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L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L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K234" i="79" s="1"/>
  <c r="L162" i="79" a="1"/>
  <c r="L162" i="79" s="1"/>
  <c r="M234" i="79" s="1"/>
  <c r="M162" i="79" a="1"/>
  <c r="M162" i="79" s="1"/>
  <c r="N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K233" i="79" s="1"/>
  <c r="L161" i="79" a="1"/>
  <c r="L161" i="79" s="1"/>
  <c r="M233" i="79" s="1"/>
  <c r="M161" i="79" a="1"/>
  <c r="M161" i="79" s="1"/>
  <c r="N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O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30" i="79" s="1"/>
  <c r="G158" i="79" a="1"/>
  <c r="G158" i="79" s="1"/>
  <c r="G230" i="79" s="1"/>
  <c r="H158" i="79" a="1"/>
  <c r="H158" i="79" s="1"/>
  <c r="H230" i="79" s="1"/>
  <c r="I158" i="79" a="1"/>
  <c r="I158" i="79" s="1"/>
  <c r="I230" i="79" s="1"/>
  <c r="J158" i="79" a="1"/>
  <c r="J158" i="79" s="1"/>
  <c r="J230" i="79" s="1"/>
  <c r="K158" i="79" a="1"/>
  <c r="K158" i="79" s="1"/>
  <c r="L230" i="79" s="1"/>
  <c r="L158" i="79" a="1"/>
  <c r="L158" i="79" s="1"/>
  <c r="M230" i="79" s="1"/>
  <c r="M158" i="79" a="1"/>
  <c r="M158" i="79" s="1"/>
  <c r="P230" i="79" s="1"/>
  <c r="D157" i="79" a="1"/>
  <c r="D157" i="79" s="1"/>
  <c r="E157" i="79" a="1"/>
  <c r="E157" i="79" s="1"/>
  <c r="F157" i="79" a="1"/>
  <c r="F157" i="79" s="1"/>
  <c r="F229" i="79" s="1"/>
  <c r="G157" i="79" a="1"/>
  <c r="G157" i="79" s="1"/>
  <c r="G229" i="79" s="1"/>
  <c r="H157" i="79" a="1"/>
  <c r="H157" i="79" s="1"/>
  <c r="H229" i="79" s="1"/>
  <c r="I157" i="79" a="1"/>
  <c r="I157" i="79" s="1"/>
  <c r="I229" i="79" s="1"/>
  <c r="J157" i="79" a="1"/>
  <c r="J157" i="79" s="1"/>
  <c r="J229" i="79" s="1"/>
  <c r="K157" i="79" a="1"/>
  <c r="K157" i="79" s="1"/>
  <c r="L229" i="79" s="1"/>
  <c r="L157" i="79" a="1"/>
  <c r="L157" i="79" s="1"/>
  <c r="M229" i="79" s="1"/>
  <c r="M157" i="79" a="1"/>
  <c r="M157" i="79" s="1"/>
  <c r="P229" i="79" s="1"/>
  <c r="D156" i="79" a="1"/>
  <c r="D156" i="79" s="1"/>
  <c r="E156" i="79" a="1"/>
  <c r="E156" i="79" s="1"/>
  <c r="F156" i="79" a="1"/>
  <c r="F156" i="79" s="1"/>
  <c r="F224" i="79" s="1"/>
  <c r="G156" i="79" a="1"/>
  <c r="G156" i="79" s="1"/>
  <c r="G228" i="79" s="1"/>
  <c r="H156" i="79" a="1"/>
  <c r="H156" i="79" s="1"/>
  <c r="H224" i="79" s="1"/>
  <c r="I156" i="79" a="1"/>
  <c r="I156" i="79" s="1"/>
  <c r="I224" i="79" s="1"/>
  <c r="J156" i="79" a="1"/>
  <c r="J156" i="79" s="1"/>
  <c r="J224" i="79" s="1"/>
  <c r="K156" i="79" a="1"/>
  <c r="K156" i="79" s="1"/>
  <c r="L228" i="79" s="1"/>
  <c r="L156" i="79" a="1"/>
  <c r="L156" i="79" s="1"/>
  <c r="M224" i="79" s="1"/>
  <c r="M156" i="79" a="1"/>
  <c r="M156" i="79" s="1"/>
  <c r="P224" i="79" s="1"/>
  <c r="D155" i="79" a="1"/>
  <c r="D155" i="79" s="1"/>
  <c r="E155" i="79" a="1"/>
  <c r="E155" i="79" s="1"/>
  <c r="F155" i="79" a="1"/>
  <c r="F155" i="79" s="1"/>
  <c r="F227" i="79" s="1"/>
  <c r="G155" i="79" a="1"/>
  <c r="G155" i="79" s="1"/>
  <c r="G223" i="79" s="1"/>
  <c r="H155" i="79" a="1"/>
  <c r="H155" i="79" s="1"/>
  <c r="H223" i="79" s="1"/>
  <c r="I155" i="79" a="1"/>
  <c r="I155" i="79" s="1"/>
  <c r="I223" i="79" s="1"/>
  <c r="J155" i="79" a="1"/>
  <c r="J155" i="79" s="1"/>
  <c r="J223" i="79" s="1"/>
  <c r="K155" i="79" a="1"/>
  <c r="K155" i="79" s="1"/>
  <c r="K223" i="79" s="1"/>
  <c r="L155" i="79" a="1"/>
  <c r="L155" i="79" s="1"/>
  <c r="M223" i="79" s="1"/>
  <c r="M155" i="79" a="1"/>
  <c r="M155" i="79" s="1"/>
  <c r="N227" i="79" s="1"/>
  <c r="D154" i="79" a="1"/>
  <c r="D154" i="79" s="1"/>
  <c r="E154" i="79" a="1"/>
  <c r="E154" i="79" s="1"/>
  <c r="F154" i="79" a="1"/>
  <c r="F154" i="79" s="1"/>
  <c r="F226" i="79" s="1"/>
  <c r="G154" i="79" a="1"/>
  <c r="G154" i="79" s="1"/>
  <c r="G222" i="79" s="1"/>
  <c r="H154" i="79" a="1"/>
  <c r="H154" i="79" s="1"/>
  <c r="H222" i="79" s="1"/>
  <c r="I154" i="79" a="1"/>
  <c r="I154" i="79" s="1"/>
  <c r="I222" i="79" s="1"/>
  <c r="J154" i="79" a="1"/>
  <c r="J154" i="79" s="1"/>
  <c r="J222" i="79" s="1"/>
  <c r="K154" i="79" a="1"/>
  <c r="K154" i="79" s="1"/>
  <c r="K222" i="79" s="1"/>
  <c r="L154" i="79" a="1"/>
  <c r="L154" i="79" s="1"/>
  <c r="M222" i="79" s="1"/>
  <c r="M154" i="79" a="1"/>
  <c r="M154" i="79" s="1"/>
  <c r="N226" i="79" s="1"/>
  <c r="M153" i="79" a="1"/>
  <c r="M153" i="79" s="1"/>
  <c r="P221" i="79" s="1"/>
  <c r="L153" i="79" a="1"/>
  <c r="L153" i="79" s="1"/>
  <c r="M221" i="79" s="1"/>
  <c r="K153" i="79" a="1"/>
  <c r="K153" i="79" s="1"/>
  <c r="L221" i="79" s="1"/>
  <c r="J153" i="79" a="1"/>
  <c r="J153" i="79" s="1"/>
  <c r="J221" i="79" s="1"/>
  <c r="I153" i="79" a="1"/>
  <c r="I153" i="79" s="1"/>
  <c r="I221" i="79" s="1"/>
  <c r="H153" i="79" a="1"/>
  <c r="H153" i="79" s="1"/>
  <c r="H221" i="79" s="1"/>
  <c r="G153" i="79" a="1"/>
  <c r="G153" i="79" s="1"/>
  <c r="G225" i="79" s="1"/>
  <c r="F153" i="79" a="1"/>
  <c r="F153" i="79" s="1"/>
  <c r="F225" i="79" s="1"/>
  <c r="E153" i="79" a="1"/>
  <c r="E153" i="79" s="1"/>
  <c r="D153" i="79" a="1"/>
  <c r="D153" i="79" s="1"/>
  <c r="D151" i="79" a="1"/>
  <c r="D151" i="79" s="1"/>
  <c r="D150" i="79" a="1"/>
  <c r="D150" i="79" s="1"/>
  <c r="D149" i="79" a="1"/>
  <c r="D149" i="79" s="1"/>
  <c r="D148" i="79" a="1"/>
  <c r="D148" i="79" s="1"/>
  <c r="D99" i="70"/>
  <c r="D98" i="70"/>
  <c r="D97" i="70"/>
  <c r="D96" i="70"/>
  <c r="D95" i="70"/>
  <c r="D94" i="70"/>
  <c r="D93" i="70"/>
  <c r="D92" i="70"/>
  <c r="D91" i="70"/>
  <c r="D90" i="70"/>
  <c r="D89" i="70"/>
  <c r="D88" i="70"/>
  <c r="E7" i="70"/>
  <c r="D81" i="79" a="1"/>
  <c r="D81" i="79" s="1"/>
  <c r="E81" i="79" a="1"/>
  <c r="E81" i="79" s="1"/>
  <c r="E145" i="79" s="1"/>
  <c r="F81" i="79" a="1"/>
  <c r="F81" i="79" s="1"/>
  <c r="F145"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D108" i="69" a="1"/>
  <c r="D108" i="69" s="1"/>
  <c r="E106" i="69" a="1"/>
  <c r="E106" i="69" s="1"/>
  <c r="E105" i="69" a="1"/>
  <c r="E105" i="69" s="1"/>
  <c r="D100" i="69" a="1"/>
  <c r="D100" i="69" s="1"/>
  <c r="D99" i="69" a="1"/>
  <c r="D99" i="69" s="1"/>
  <c r="A20" i="98"/>
  <c r="A19" i="98"/>
  <c r="A18" i="98"/>
  <c r="A7" i="98"/>
  <c r="A4" i="98"/>
  <c r="A3" i="98"/>
  <c r="N74" i="70" l="1"/>
  <c r="M74" i="70"/>
  <c r="L74" i="70"/>
  <c r="K74" i="70"/>
  <c r="J74" i="70"/>
  <c r="H74" i="70"/>
  <c r="I74" i="70"/>
  <c r="G74" i="70"/>
  <c r="F74" i="70"/>
  <c r="E74" i="70"/>
  <c r="F89" i="70"/>
  <c r="E89" i="70"/>
  <c r="N89" i="70"/>
  <c r="M89" i="70"/>
  <c r="L89" i="70"/>
  <c r="K89" i="70"/>
  <c r="J89" i="70"/>
  <c r="I89" i="70"/>
  <c r="H89" i="70"/>
  <c r="G89" i="70"/>
  <c r="J73" i="70"/>
  <c r="I73" i="70"/>
  <c r="H73" i="70"/>
  <c r="G73" i="70"/>
  <c r="F73" i="70"/>
  <c r="E73" i="70"/>
  <c r="N73" i="70"/>
  <c r="M73" i="70"/>
  <c r="L73" i="70"/>
  <c r="K73" i="70"/>
  <c r="H76" i="70"/>
  <c r="E76" i="70"/>
  <c r="G76" i="70"/>
  <c r="F76" i="70"/>
  <c r="N76" i="70"/>
  <c r="M76" i="70"/>
  <c r="L76" i="70"/>
  <c r="K76" i="70"/>
  <c r="J76" i="70"/>
  <c r="I76" i="70"/>
  <c r="N91" i="70"/>
  <c r="M91" i="70"/>
  <c r="L91" i="70"/>
  <c r="K91" i="70"/>
  <c r="J91" i="70"/>
  <c r="I91" i="70"/>
  <c r="H91" i="70"/>
  <c r="G91" i="70"/>
  <c r="F91" i="70"/>
  <c r="E91" i="70"/>
  <c r="N99" i="70"/>
  <c r="M99" i="70"/>
  <c r="L99" i="70"/>
  <c r="K99" i="70"/>
  <c r="J99" i="70"/>
  <c r="I99" i="70"/>
  <c r="H99" i="70"/>
  <c r="G99" i="70"/>
  <c r="F99" i="70"/>
  <c r="E99" i="70"/>
  <c r="N88" i="70"/>
  <c r="M88" i="70"/>
  <c r="L88" i="70"/>
  <c r="K88" i="70"/>
  <c r="J88" i="70"/>
  <c r="I88" i="70"/>
  <c r="G88" i="70"/>
  <c r="H88" i="70"/>
  <c r="F88" i="70"/>
  <c r="E88" i="70"/>
  <c r="L77" i="70"/>
  <c r="K77" i="70"/>
  <c r="I77" i="70"/>
  <c r="J77" i="70"/>
  <c r="H77" i="70"/>
  <c r="G77" i="70"/>
  <c r="F77" i="70"/>
  <c r="E77" i="70"/>
  <c r="N77" i="70"/>
  <c r="M77" i="70"/>
  <c r="N92" i="70"/>
  <c r="M92" i="70"/>
  <c r="L92" i="70"/>
  <c r="K92" i="70"/>
  <c r="J92" i="70"/>
  <c r="I92" i="70"/>
  <c r="H92" i="70"/>
  <c r="G92" i="70"/>
  <c r="F92" i="70"/>
  <c r="E92" i="70"/>
  <c r="L163" i="70"/>
  <c r="H162" i="70"/>
  <c r="N160" i="70"/>
  <c r="J159" i="70"/>
  <c r="F158" i="70"/>
  <c r="L156" i="70"/>
  <c r="H155" i="70"/>
  <c r="N153" i="70"/>
  <c r="J142" i="70"/>
  <c r="F141" i="70"/>
  <c r="L139" i="70"/>
  <c r="H138" i="70"/>
  <c r="N136" i="70"/>
  <c r="J135" i="70"/>
  <c r="F134" i="70"/>
  <c r="L132" i="70"/>
  <c r="H131" i="70"/>
  <c r="J150" i="70"/>
  <c r="F149" i="70"/>
  <c r="L147" i="70"/>
  <c r="H128" i="70"/>
  <c r="N126" i="70"/>
  <c r="J125" i="70"/>
  <c r="F85" i="70"/>
  <c r="L83" i="70"/>
  <c r="H82" i="70"/>
  <c r="N62" i="70"/>
  <c r="J61" i="70"/>
  <c r="F60" i="70"/>
  <c r="G150" i="70"/>
  <c r="M148" i="70"/>
  <c r="I147" i="70"/>
  <c r="E128" i="70"/>
  <c r="K126" i="70"/>
  <c r="K163" i="70"/>
  <c r="G162" i="70"/>
  <c r="M160" i="70"/>
  <c r="I159" i="70"/>
  <c r="E158" i="70"/>
  <c r="K156" i="70"/>
  <c r="G155" i="70"/>
  <c r="M153" i="70"/>
  <c r="I142" i="70"/>
  <c r="E141" i="70"/>
  <c r="K139" i="70"/>
  <c r="G138" i="70"/>
  <c r="M136" i="70"/>
  <c r="I135" i="70"/>
  <c r="E134" i="70"/>
  <c r="K132" i="70"/>
  <c r="G131" i="70"/>
  <c r="I150" i="70"/>
  <c r="E149" i="70"/>
  <c r="K147" i="70"/>
  <c r="G128" i="70"/>
  <c r="M126" i="70"/>
  <c r="I125" i="70"/>
  <c r="E85" i="70"/>
  <c r="K83" i="70"/>
  <c r="G82" i="70"/>
  <c r="M62" i="70"/>
  <c r="I61" i="70"/>
  <c r="E60" i="70"/>
  <c r="M84" i="70"/>
  <c r="E82" i="70"/>
  <c r="K62" i="70"/>
  <c r="G61" i="70"/>
  <c r="L60" i="70"/>
  <c r="G148" i="70"/>
  <c r="I63" i="70"/>
  <c r="N61" i="70"/>
  <c r="N164" i="70"/>
  <c r="J163" i="70"/>
  <c r="F162" i="70"/>
  <c r="L160" i="70"/>
  <c r="H159" i="70"/>
  <c r="N157" i="70"/>
  <c r="J156" i="70"/>
  <c r="F155" i="70"/>
  <c r="L153" i="70"/>
  <c r="H142" i="70"/>
  <c r="N140" i="70"/>
  <c r="J139" i="70"/>
  <c r="F138" i="70"/>
  <c r="L136" i="70"/>
  <c r="H135" i="70"/>
  <c r="N133" i="70"/>
  <c r="J132" i="70"/>
  <c r="F131" i="70"/>
  <c r="H150" i="70"/>
  <c r="N148" i="70"/>
  <c r="J147" i="70"/>
  <c r="F128" i="70"/>
  <c r="L126" i="70"/>
  <c r="H125" i="70"/>
  <c r="N84" i="70"/>
  <c r="J83" i="70"/>
  <c r="F82" i="70"/>
  <c r="L62" i="70"/>
  <c r="H61" i="70"/>
  <c r="G125" i="70"/>
  <c r="I83" i="70"/>
  <c r="N82" i="70"/>
  <c r="M164" i="70"/>
  <c r="I163" i="70"/>
  <c r="E162" i="70"/>
  <c r="K160" i="70"/>
  <c r="G159" i="70"/>
  <c r="M157" i="70"/>
  <c r="I156" i="70"/>
  <c r="E155" i="70"/>
  <c r="K153" i="70"/>
  <c r="G142" i="70"/>
  <c r="M140" i="70"/>
  <c r="I139" i="70"/>
  <c r="E138" i="70"/>
  <c r="K136" i="70"/>
  <c r="G135" i="70"/>
  <c r="M133" i="70"/>
  <c r="I132" i="70"/>
  <c r="E131" i="70"/>
  <c r="M128" i="70"/>
  <c r="K85" i="70"/>
  <c r="M82" i="70"/>
  <c r="N125" i="70"/>
  <c r="L164" i="70"/>
  <c r="H163" i="70"/>
  <c r="N161" i="70"/>
  <c r="J160" i="70"/>
  <c r="F159" i="70"/>
  <c r="L157" i="70"/>
  <c r="H156" i="70"/>
  <c r="N154" i="70"/>
  <c r="J153" i="70"/>
  <c r="F142" i="70"/>
  <c r="L140" i="70"/>
  <c r="H139" i="70"/>
  <c r="N137" i="70"/>
  <c r="J136" i="70"/>
  <c r="F135" i="70"/>
  <c r="L133" i="70"/>
  <c r="H132" i="70"/>
  <c r="F150" i="70"/>
  <c r="L148" i="70"/>
  <c r="H147" i="70"/>
  <c r="N127" i="70"/>
  <c r="J126" i="70"/>
  <c r="F125" i="70"/>
  <c r="L84" i="70"/>
  <c r="H83" i="70"/>
  <c r="N63" i="70"/>
  <c r="J62" i="70"/>
  <c r="F61" i="70"/>
  <c r="K164" i="70"/>
  <c r="G163" i="70"/>
  <c r="M161" i="70"/>
  <c r="I160" i="70"/>
  <c r="E159" i="70"/>
  <c r="K157" i="70"/>
  <c r="G156" i="70"/>
  <c r="M154" i="70"/>
  <c r="I153" i="70"/>
  <c r="E142" i="70"/>
  <c r="K140" i="70"/>
  <c r="G139" i="70"/>
  <c r="M137" i="70"/>
  <c r="I136" i="70"/>
  <c r="E135" i="70"/>
  <c r="K133" i="70"/>
  <c r="G132" i="70"/>
  <c r="E150" i="70"/>
  <c r="K148" i="70"/>
  <c r="G147" i="70"/>
  <c r="M127" i="70"/>
  <c r="I126" i="70"/>
  <c r="E125" i="70"/>
  <c r="K84" i="70"/>
  <c r="G83" i="70"/>
  <c r="M63" i="70"/>
  <c r="I62" i="70"/>
  <c r="E61" i="70"/>
  <c r="F147" i="70"/>
  <c r="N85" i="70"/>
  <c r="L63" i="70"/>
  <c r="J164" i="70"/>
  <c r="F163" i="70"/>
  <c r="L161" i="70"/>
  <c r="H160" i="70"/>
  <c r="N158" i="70"/>
  <c r="J157" i="70"/>
  <c r="F156" i="70"/>
  <c r="L154" i="70"/>
  <c r="H153" i="70"/>
  <c r="N141" i="70"/>
  <c r="J140" i="70"/>
  <c r="F139" i="70"/>
  <c r="L137" i="70"/>
  <c r="H136" i="70"/>
  <c r="N134" i="70"/>
  <c r="J133" i="70"/>
  <c r="F132" i="70"/>
  <c r="N149" i="70"/>
  <c r="J148" i="70"/>
  <c r="L127" i="70"/>
  <c r="H126" i="70"/>
  <c r="J84" i="70"/>
  <c r="F83" i="70"/>
  <c r="H62" i="70"/>
  <c r="N60" i="70"/>
  <c r="L149" i="70"/>
  <c r="N128" i="70"/>
  <c r="H84" i="70"/>
  <c r="I127" i="70"/>
  <c r="F84" i="70"/>
  <c r="I164" i="70"/>
  <c r="E163" i="70"/>
  <c r="K161" i="70"/>
  <c r="G160" i="70"/>
  <c r="M158" i="70"/>
  <c r="I157" i="70"/>
  <c r="E156" i="70"/>
  <c r="K154" i="70"/>
  <c r="G153" i="70"/>
  <c r="M141" i="70"/>
  <c r="I140" i="70"/>
  <c r="E139" i="70"/>
  <c r="K137" i="70"/>
  <c r="G136" i="70"/>
  <c r="M134" i="70"/>
  <c r="I133" i="70"/>
  <c r="E132" i="70"/>
  <c r="M149" i="70"/>
  <c r="I148" i="70"/>
  <c r="E147" i="70"/>
  <c r="K127" i="70"/>
  <c r="G126" i="70"/>
  <c r="M85" i="70"/>
  <c r="I84" i="70"/>
  <c r="E83" i="70"/>
  <c r="K63" i="70"/>
  <c r="G62" i="70"/>
  <c r="M60" i="70"/>
  <c r="E173" i="70"/>
  <c r="H148" i="70"/>
  <c r="J127" i="70"/>
  <c r="F126" i="70"/>
  <c r="L85" i="70"/>
  <c r="J63" i="70"/>
  <c r="F62" i="70"/>
  <c r="E172" i="70"/>
  <c r="E126" i="70"/>
  <c r="E62" i="70"/>
  <c r="J85" i="70"/>
  <c r="H164" i="70"/>
  <c r="N162" i="70"/>
  <c r="J161" i="70"/>
  <c r="F160" i="70"/>
  <c r="L158" i="70"/>
  <c r="H157" i="70"/>
  <c r="N155" i="70"/>
  <c r="J154" i="70"/>
  <c r="F153" i="70"/>
  <c r="L141" i="70"/>
  <c r="H140" i="70"/>
  <c r="N138" i="70"/>
  <c r="J137" i="70"/>
  <c r="F136" i="70"/>
  <c r="L134" i="70"/>
  <c r="H133" i="70"/>
  <c r="N131" i="70"/>
  <c r="H63" i="70"/>
  <c r="G164" i="70"/>
  <c r="M162" i="70"/>
  <c r="I161" i="70"/>
  <c r="E160" i="70"/>
  <c r="K158" i="70"/>
  <c r="G157" i="70"/>
  <c r="M155" i="70"/>
  <c r="I154" i="70"/>
  <c r="E153" i="70"/>
  <c r="K141" i="70"/>
  <c r="G140" i="70"/>
  <c r="M138" i="70"/>
  <c r="I137" i="70"/>
  <c r="E136" i="70"/>
  <c r="K134" i="70"/>
  <c r="G133" i="70"/>
  <c r="M131" i="70"/>
  <c r="K149" i="70"/>
  <c r="G84" i="70"/>
  <c r="K60" i="70"/>
  <c r="J60" i="70"/>
  <c r="F164" i="70"/>
  <c r="L162" i="70"/>
  <c r="H161" i="70"/>
  <c r="N159" i="70"/>
  <c r="J158" i="70"/>
  <c r="F157" i="70"/>
  <c r="L155" i="70"/>
  <c r="H154" i="70"/>
  <c r="N142" i="70"/>
  <c r="J141" i="70"/>
  <c r="F140" i="70"/>
  <c r="L138" i="70"/>
  <c r="H137" i="70"/>
  <c r="N135" i="70"/>
  <c r="J134" i="70"/>
  <c r="F133" i="70"/>
  <c r="L131" i="70"/>
  <c r="N150" i="70"/>
  <c r="J149" i="70"/>
  <c r="F148" i="70"/>
  <c r="L128" i="70"/>
  <c r="H127" i="70"/>
  <c r="L82" i="70"/>
  <c r="E164" i="70"/>
  <c r="K162" i="70"/>
  <c r="G161" i="70"/>
  <c r="M159" i="70"/>
  <c r="I158" i="70"/>
  <c r="E157" i="70"/>
  <c r="K155" i="70"/>
  <c r="G154" i="70"/>
  <c r="M142" i="70"/>
  <c r="I141" i="70"/>
  <c r="E140" i="70"/>
  <c r="K138" i="70"/>
  <c r="G137" i="70"/>
  <c r="M135" i="70"/>
  <c r="I134" i="70"/>
  <c r="E133" i="70"/>
  <c r="K131" i="70"/>
  <c r="M150" i="70"/>
  <c r="I149" i="70"/>
  <c r="E148" i="70"/>
  <c r="K128" i="70"/>
  <c r="G127" i="70"/>
  <c r="M125" i="70"/>
  <c r="I85" i="70"/>
  <c r="E84" i="70"/>
  <c r="K82" i="70"/>
  <c r="G63" i="70"/>
  <c r="M61" i="70"/>
  <c r="I60" i="70"/>
  <c r="N163" i="70"/>
  <c r="J162" i="70"/>
  <c r="F161" i="70"/>
  <c r="L159" i="70"/>
  <c r="H158" i="70"/>
  <c r="N156" i="70"/>
  <c r="J155" i="70"/>
  <c r="F154" i="70"/>
  <c r="L142" i="70"/>
  <c r="H141" i="70"/>
  <c r="N139" i="70"/>
  <c r="J138" i="70"/>
  <c r="F137" i="70"/>
  <c r="L135" i="70"/>
  <c r="H134" i="70"/>
  <c r="N132" i="70"/>
  <c r="J131" i="70"/>
  <c r="L150" i="70"/>
  <c r="H149" i="70"/>
  <c r="N147" i="70"/>
  <c r="J128" i="70"/>
  <c r="F127" i="70"/>
  <c r="L125" i="70"/>
  <c r="H85" i="70"/>
  <c r="N83" i="70"/>
  <c r="J82" i="70"/>
  <c r="F63" i="70"/>
  <c r="L61" i="70"/>
  <c r="H60" i="70"/>
  <c r="K125" i="70"/>
  <c r="M83" i="70"/>
  <c r="E63" i="70"/>
  <c r="K61" i="70"/>
  <c r="M163" i="70"/>
  <c r="I162" i="70"/>
  <c r="E161" i="70"/>
  <c r="K159" i="70"/>
  <c r="G158" i="70"/>
  <c r="M156" i="70"/>
  <c r="I155" i="70"/>
  <c r="E154" i="70"/>
  <c r="K142" i="70"/>
  <c r="G141" i="70"/>
  <c r="M139" i="70"/>
  <c r="I138" i="70"/>
  <c r="E137" i="70"/>
  <c r="K135" i="70"/>
  <c r="G134" i="70"/>
  <c r="M132" i="70"/>
  <c r="I131" i="70"/>
  <c r="K150" i="70"/>
  <c r="G149" i="70"/>
  <c r="M147" i="70"/>
  <c r="I128" i="70"/>
  <c r="E127" i="70"/>
  <c r="G85" i="70"/>
  <c r="I82" i="70"/>
  <c r="G60" i="70"/>
  <c r="G159" i="69"/>
  <c r="F15" i="76"/>
  <c r="H93" i="70"/>
  <c r="G93" i="70"/>
  <c r="F93" i="70"/>
  <c r="E93" i="70"/>
  <c r="N93" i="70"/>
  <c r="M93" i="70"/>
  <c r="L93" i="70"/>
  <c r="K93" i="70"/>
  <c r="J93" i="70"/>
  <c r="I93" i="70"/>
  <c r="L94" i="70"/>
  <c r="K94" i="70"/>
  <c r="J94" i="70"/>
  <c r="I94" i="70"/>
  <c r="H94" i="70"/>
  <c r="G94" i="70"/>
  <c r="F94" i="70"/>
  <c r="E94" i="70"/>
  <c r="N94" i="70"/>
  <c r="M94" i="70"/>
  <c r="J66" i="70"/>
  <c r="I66" i="70"/>
  <c r="H66" i="70"/>
  <c r="G66" i="70"/>
  <c r="F66" i="70"/>
  <c r="E66" i="70"/>
  <c r="N66" i="70"/>
  <c r="M66" i="70"/>
  <c r="L66" i="70"/>
  <c r="K66" i="70"/>
  <c r="N95" i="70"/>
  <c r="M95" i="70"/>
  <c r="L95" i="70"/>
  <c r="K95" i="70"/>
  <c r="J95" i="70"/>
  <c r="I95" i="70"/>
  <c r="H95" i="70"/>
  <c r="G95" i="70"/>
  <c r="F95" i="70"/>
  <c r="E95" i="70"/>
  <c r="L70" i="70"/>
  <c r="I70" i="70"/>
  <c r="K70" i="70"/>
  <c r="J70" i="70"/>
  <c r="H70" i="70"/>
  <c r="F70" i="70"/>
  <c r="G70" i="70"/>
  <c r="E70" i="70"/>
  <c r="N70" i="70"/>
  <c r="M70" i="70"/>
  <c r="N67" i="70"/>
  <c r="K67" i="70"/>
  <c r="M67" i="70"/>
  <c r="L67" i="70"/>
  <c r="E67" i="70"/>
  <c r="J67" i="70"/>
  <c r="I67" i="70"/>
  <c r="H67" i="70"/>
  <c r="F67" i="70"/>
  <c r="G67" i="70"/>
  <c r="F96" i="70"/>
  <c r="E96" i="70"/>
  <c r="N96" i="70"/>
  <c r="M96" i="70"/>
  <c r="L96" i="70"/>
  <c r="K96" i="70"/>
  <c r="J96" i="70"/>
  <c r="I96" i="70"/>
  <c r="H96" i="70"/>
  <c r="G96" i="70"/>
  <c r="N68" i="70"/>
  <c r="M68" i="70"/>
  <c r="L68" i="70"/>
  <c r="J68" i="70"/>
  <c r="I68" i="70"/>
  <c r="K68" i="70"/>
  <c r="H68" i="70"/>
  <c r="G68" i="70"/>
  <c r="F68" i="70"/>
  <c r="E68" i="70"/>
  <c r="J97" i="70"/>
  <c r="I97" i="70"/>
  <c r="H97" i="70"/>
  <c r="G97" i="70"/>
  <c r="F97" i="70"/>
  <c r="E97" i="70"/>
  <c r="N97" i="70"/>
  <c r="M97" i="70"/>
  <c r="L97" i="70"/>
  <c r="K97" i="70"/>
  <c r="M71" i="70"/>
  <c r="N71" i="70"/>
  <c r="L71" i="70"/>
  <c r="J71" i="70"/>
  <c r="K71" i="70"/>
  <c r="H71" i="70"/>
  <c r="G71" i="70"/>
  <c r="I71" i="70"/>
  <c r="F71" i="70"/>
  <c r="E71" i="70"/>
  <c r="F72" i="70"/>
  <c r="E72" i="70"/>
  <c r="K72" i="70"/>
  <c r="N72" i="70"/>
  <c r="L72" i="70"/>
  <c r="M72" i="70"/>
  <c r="J72" i="70"/>
  <c r="I72" i="70"/>
  <c r="H72" i="70"/>
  <c r="G72" i="70"/>
  <c r="N75" i="70"/>
  <c r="M75" i="70"/>
  <c r="L75" i="70"/>
  <c r="J75" i="70"/>
  <c r="I75" i="70"/>
  <c r="K75" i="70"/>
  <c r="H75" i="70"/>
  <c r="G75" i="70"/>
  <c r="F75" i="70"/>
  <c r="E75" i="70"/>
  <c r="J90" i="70"/>
  <c r="I90" i="70"/>
  <c r="H90" i="70"/>
  <c r="G90" i="70"/>
  <c r="F90" i="70"/>
  <c r="E90" i="70"/>
  <c r="N90" i="70"/>
  <c r="M90" i="70"/>
  <c r="L90" i="70"/>
  <c r="K90" i="70"/>
  <c r="H69" i="70"/>
  <c r="G69" i="70"/>
  <c r="F69" i="70"/>
  <c r="E69" i="70"/>
  <c r="N69" i="70"/>
  <c r="M69" i="70"/>
  <c r="L69" i="70"/>
  <c r="K69" i="70"/>
  <c r="J69" i="70"/>
  <c r="I69" i="70"/>
  <c r="N98" i="70"/>
  <c r="M98" i="70"/>
  <c r="L98" i="70"/>
  <c r="K98" i="70"/>
  <c r="J98" i="70"/>
  <c r="I98" i="70"/>
  <c r="H98" i="70"/>
  <c r="G98" i="70"/>
  <c r="F98" i="70"/>
  <c r="E98" i="70"/>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AE239" i="76"/>
  <c r="AE242" i="69"/>
  <c r="AD240" i="76"/>
  <c r="AD243" i="69"/>
  <c r="AC241" i="76"/>
  <c r="AC244" i="69"/>
  <c r="AB242" i="76"/>
  <c r="AB245" i="69"/>
  <c r="V243" i="76"/>
  <c r="V246" i="69"/>
  <c r="AE238" i="76"/>
  <c r="AE241" i="69"/>
  <c r="K33" i="70"/>
  <c r="AB235" i="69"/>
  <c r="AB232" i="76"/>
  <c r="AD233" i="76"/>
  <c r="AD236" i="69"/>
  <c r="AE234" i="76"/>
  <c r="AE237" i="69"/>
  <c r="AE238" i="69"/>
  <c r="AE235" i="76"/>
  <c r="AA236" i="76"/>
  <c r="AA239" i="69"/>
  <c r="AD237" i="76"/>
  <c r="AD240" i="69"/>
  <c r="I81" i="76" a="1"/>
  <c r="I81" i="76" s="1"/>
  <c r="I80" i="76" a="1"/>
  <c r="I80" i="76" s="1"/>
  <c r="AF140" i="69"/>
  <c r="AF139" i="69"/>
  <c r="AF138" i="69"/>
  <c r="AF137" i="69"/>
  <c r="AF136" i="69"/>
  <c r="AF135" i="69"/>
  <c r="AF134" i="69"/>
  <c r="AF133" i="69"/>
  <c r="AF132" i="69"/>
  <c r="AF131" i="69"/>
  <c r="O134" i="69"/>
  <c r="O133" i="69"/>
  <c r="AF142" i="69"/>
  <c r="O132" i="69"/>
  <c r="AF141" i="69"/>
  <c r="O131" i="69"/>
  <c r="AF79" i="69"/>
  <c r="AF59" i="76" s="1"/>
  <c r="AF78" i="69"/>
  <c r="AF58" i="76" s="1"/>
  <c r="AF77" i="69"/>
  <c r="AF57" i="76" s="1"/>
  <c r="AF76" i="69"/>
  <c r="AF56" i="76" s="1"/>
  <c r="AF87" i="69"/>
  <c r="AF67" i="76" s="1"/>
  <c r="AF86" i="69"/>
  <c r="AF66" i="76" s="1"/>
  <c r="AF85" i="69"/>
  <c r="AF65" i="76" s="1"/>
  <c r="AF84" i="69"/>
  <c r="AF64" i="76" s="1"/>
  <c r="AF83" i="69"/>
  <c r="AF63" i="76" s="1"/>
  <c r="AF82" i="69"/>
  <c r="AF62" i="76" s="1"/>
  <c r="AF81" i="69"/>
  <c r="AF61" i="76" s="1"/>
  <c r="AF80" i="69"/>
  <c r="AF60" i="76" s="1"/>
  <c r="O87" i="69"/>
  <c r="O57" i="76" s="1"/>
  <c r="O86" i="69"/>
  <c r="O56" i="76" s="1"/>
  <c r="O85" i="69"/>
  <c r="O55" i="76" s="1"/>
  <c r="O84" i="69"/>
  <c r="O54" i="76" s="1"/>
  <c r="AH31" i="69"/>
  <c r="AH30" i="69"/>
  <c r="F32" i="70"/>
  <c r="Q31" i="69"/>
  <c r="Q32" i="69"/>
  <c r="Q33" i="69"/>
  <c r="Q30" i="69"/>
  <c r="L360" i="79"/>
  <c r="N366" i="79"/>
  <c r="J366" i="79"/>
  <c r="N363" i="79"/>
  <c r="I361" i="79"/>
  <c r="L361" i="79"/>
  <c r="M364" i="79"/>
  <c r="J362" i="79"/>
  <c r="L366" i="79"/>
  <c r="N364" i="79"/>
  <c r="J367" i="79"/>
  <c r="M365" i="79"/>
  <c r="L362" i="79"/>
  <c r="N365" i="79"/>
  <c r="I364" i="79"/>
  <c r="J363" i="79"/>
  <c r="L367" i="79"/>
  <c r="L363" i="79"/>
  <c r="M360" i="79"/>
  <c r="M367" i="79"/>
  <c r="M361" i="79"/>
  <c r="I360" i="79"/>
  <c r="I365" i="79"/>
  <c r="M362"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28" i="79"/>
  <c r="G224" i="79"/>
  <c r="N222" i="79"/>
  <c r="H225" i="79"/>
  <c r="H228" i="79"/>
  <c r="M228" i="79"/>
  <c r="K243" i="79"/>
  <c r="L237" i="79"/>
  <c r="N241" i="79"/>
  <c r="L251" i="79"/>
  <c r="P232" i="79"/>
  <c r="P239" i="79"/>
  <c r="P246" i="79"/>
  <c r="N223" i="79"/>
  <c r="I225" i="79"/>
  <c r="I228" i="79"/>
  <c r="N228" i="79"/>
  <c r="K232" i="79"/>
  <c r="K246" i="79"/>
  <c r="N232" i="79"/>
  <c r="L242" i="79"/>
  <c r="N246" i="79"/>
  <c r="O233" i="79"/>
  <c r="O240" i="79"/>
  <c r="O247" i="79"/>
  <c r="N224" i="79"/>
  <c r="J225" i="79"/>
  <c r="J228" i="79"/>
  <c r="N225" i="79"/>
  <c r="K235" i="79"/>
  <c r="K249" i="79"/>
  <c r="L233" i="79"/>
  <c r="N237" i="79"/>
  <c r="L247" i="79"/>
  <c r="N251" i="79"/>
  <c r="P233" i="79"/>
  <c r="P240" i="79"/>
  <c r="P247" i="79"/>
  <c r="N221" i="79"/>
  <c r="G226" i="79"/>
  <c r="K228" i="79"/>
  <c r="O225" i="79"/>
  <c r="K238" i="79"/>
  <c r="K252" i="79"/>
  <c r="N242" i="79"/>
  <c r="O234" i="79"/>
  <c r="O241" i="79"/>
  <c r="O248" i="79"/>
  <c r="K224" i="79"/>
  <c r="O221" i="79"/>
  <c r="H226" i="79"/>
  <c r="K225" i="79"/>
  <c r="P225" i="79"/>
  <c r="K241" i="79"/>
  <c r="K229" i="79"/>
  <c r="P234" i="79"/>
  <c r="P248" i="79"/>
  <c r="K221" i="79"/>
  <c r="I226" i="79"/>
  <c r="L225" i="79"/>
  <c r="O226" i="79"/>
  <c r="K230" i="79"/>
  <c r="K244" i="79"/>
  <c r="L234" i="79"/>
  <c r="N238" i="79"/>
  <c r="L248" i="79"/>
  <c r="N252" i="79"/>
  <c r="O235" i="79"/>
  <c r="O242" i="79"/>
  <c r="O249" i="79"/>
  <c r="O222" i="79"/>
  <c r="J226" i="79"/>
  <c r="M225" i="79"/>
  <c r="P226" i="79"/>
  <c r="L239" i="79"/>
  <c r="N243" i="79"/>
  <c r="N229" i="79"/>
  <c r="P235" i="79"/>
  <c r="P249" i="79"/>
  <c r="L222" i="79"/>
  <c r="P222" i="79"/>
  <c r="K226" i="79"/>
  <c r="L226" i="79"/>
  <c r="O227" i="79"/>
  <c r="K236" i="79"/>
  <c r="K250" i="79"/>
  <c r="O229" i="79"/>
  <c r="O236" i="79"/>
  <c r="O243" i="79"/>
  <c r="O250" i="79"/>
  <c r="L223" i="79"/>
  <c r="O223" i="79"/>
  <c r="G227" i="79"/>
  <c r="M226" i="79"/>
  <c r="P227" i="79"/>
  <c r="N239" i="79"/>
  <c r="P236" i="79"/>
  <c r="P250" i="79"/>
  <c r="L224" i="79"/>
  <c r="P223" i="79"/>
  <c r="H227" i="79"/>
  <c r="O228" i="79"/>
  <c r="N230" i="79"/>
  <c r="L240" i="79"/>
  <c r="N244" i="79"/>
  <c r="O230" i="79"/>
  <c r="O237" i="79"/>
  <c r="O244" i="79"/>
  <c r="O251" i="79"/>
  <c r="F221" i="79"/>
  <c r="O224" i="79"/>
  <c r="I227" i="79"/>
  <c r="L227" i="79"/>
  <c r="P228" i="79"/>
  <c r="K231" i="79"/>
  <c r="K245" i="79"/>
  <c r="F222" i="79"/>
  <c r="J227" i="79"/>
  <c r="M227" i="79"/>
  <c r="O231" i="79"/>
  <c r="O238" i="79"/>
  <c r="O245" i="79"/>
  <c r="O252" i="79"/>
  <c r="F223" i="79"/>
  <c r="G221" i="79"/>
  <c r="K227" i="79"/>
  <c r="N231" i="79"/>
  <c r="N245"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K87" i="79"/>
  <c r="N87" i="79"/>
  <c r="G91" i="79"/>
  <c r="K92" i="79"/>
  <c r="O91" i="79"/>
  <c r="K97" i="79"/>
  <c r="O95" i="79"/>
  <c r="L98" i="79"/>
  <c r="O99" i="79"/>
  <c r="L103" i="79"/>
  <c r="P103" i="79"/>
  <c r="L115" i="79"/>
  <c r="P106" i="79"/>
  <c r="P113" i="79"/>
  <c r="G88" i="79"/>
  <c r="K88" i="79"/>
  <c r="O87" i="79"/>
  <c r="K93" i="79"/>
  <c r="O92" i="79"/>
  <c r="L94" i="79"/>
  <c r="O96" i="79"/>
  <c r="L99" i="79"/>
  <c r="P99" i="79"/>
  <c r="L104" i="79"/>
  <c r="O104" i="79"/>
  <c r="L116" i="79"/>
  <c r="N112" i="79"/>
  <c r="O107" i="79"/>
  <c r="O114" i="79"/>
  <c r="H88" i="79"/>
  <c r="K89" i="79"/>
  <c r="P87" i="79"/>
  <c r="I91" i="79"/>
  <c r="L90" i="79"/>
  <c r="O93" i="79"/>
  <c r="L95" i="79"/>
  <c r="O97" i="79"/>
  <c r="L100" i="79"/>
  <c r="O100" i="79"/>
  <c r="L105" i="79"/>
  <c r="P104" i="79"/>
  <c r="L117" i="79"/>
  <c r="P107" i="79"/>
  <c r="P114" i="79"/>
  <c r="G89" i="79"/>
  <c r="L86" i="79"/>
  <c r="N88" i="79"/>
  <c r="J91" i="79"/>
  <c r="L91" i="79"/>
  <c r="O90" i="79"/>
  <c r="L96" i="79"/>
  <c r="P94" i="79"/>
  <c r="L101" i="79"/>
  <c r="P100" i="79"/>
  <c r="O105" i="79"/>
  <c r="N113" i="79"/>
  <c r="O108" i="79"/>
  <c r="O115" i="79"/>
  <c r="H89" i="79"/>
  <c r="L87" i="79"/>
  <c r="O88" i="79"/>
  <c r="L92" i="79"/>
  <c r="P90" i="79"/>
  <c r="P95" i="79"/>
  <c r="O101" i="79"/>
  <c r="P105" i="79"/>
  <c r="K107" i="79"/>
  <c r="K109" i="79"/>
  <c r="K111" i="79"/>
  <c r="K113" i="79"/>
  <c r="P108" i="79"/>
  <c r="P115" i="79"/>
  <c r="I86" i="79"/>
  <c r="P88" i="79"/>
  <c r="L93" i="79"/>
  <c r="P91" i="79"/>
  <c r="P96" i="79"/>
  <c r="P101" i="79"/>
  <c r="N103" i="79"/>
  <c r="L106" i="79"/>
  <c r="O109" i="79"/>
  <c r="O116" i="79"/>
  <c r="N89" i="79"/>
  <c r="I92" i="79"/>
  <c r="M90" i="79"/>
  <c r="P92" i="79"/>
  <c r="P97" i="79"/>
  <c r="F102" i="79"/>
  <c r="P109" i="79"/>
  <c r="P116" i="79"/>
  <c r="O89" i="79"/>
  <c r="J92" i="79"/>
  <c r="M91" i="79"/>
  <c r="P93" i="79"/>
  <c r="L108" i="79"/>
  <c r="O110" i="79"/>
  <c r="O117" i="79"/>
  <c r="I89" i="79"/>
  <c r="P89" i="79"/>
  <c r="P110" i="79"/>
  <c r="P117" i="79"/>
  <c r="J86" i="79"/>
  <c r="M88" i="79"/>
  <c r="L110" i="79"/>
  <c r="O111" i="79"/>
  <c r="M89" i="79"/>
  <c r="G90" i="79"/>
  <c r="N102" i="79"/>
  <c r="P111" i="79"/>
  <c r="N86" i="79"/>
  <c r="H90" i="79"/>
  <c r="J93" i="79"/>
  <c r="N98" i="79"/>
  <c r="O102" i="79"/>
  <c r="K112" i="79"/>
  <c r="K114" i="79"/>
  <c r="O112" i="79"/>
  <c r="O86" i="79"/>
  <c r="K90" i="79"/>
  <c r="N94" i="79"/>
  <c r="O98" i="79"/>
  <c r="K102" i="79"/>
  <c r="N106" i="79"/>
  <c r="P86" i="79"/>
  <c r="F98" i="76" l="1" a="1"/>
  <c r="F98" i="76" s="1"/>
  <c r="W109" i="76" a="1"/>
  <c r="W109" i="76" s="1"/>
  <c r="W107" i="76" a="1"/>
  <c r="W107" i="76" s="1"/>
  <c r="W108" i="76" a="1"/>
  <c r="W108" i="76" s="1"/>
  <c r="F95" i="76" a="1"/>
  <c r="F95" i="76" s="1"/>
  <c r="W110" i="76" a="1"/>
  <c r="W110" i="76" s="1"/>
  <c r="W100" i="76" a="1"/>
  <c r="W100" i="76" s="1"/>
  <c r="W111" i="76" a="1"/>
  <c r="W111" i="76" s="1"/>
  <c r="J98" i="76" a="1"/>
  <c r="J98" i="76" s="1"/>
  <c r="K98" i="76" a="1"/>
  <c r="K98" i="76" s="1"/>
  <c r="L98" i="76" a="1"/>
  <c r="L98" i="76" s="1"/>
  <c r="J95" i="76" a="1"/>
  <c r="J95" i="76" s="1"/>
  <c r="K95" i="76" a="1"/>
  <c r="K95" i="76" s="1"/>
  <c r="L95" i="76" a="1"/>
  <c r="L95" i="76" s="1"/>
  <c r="W39" i="69" a="1"/>
  <c r="W39" i="69" s="1"/>
  <c r="W38" i="69" a="1"/>
  <c r="W38" i="69" s="1"/>
  <c r="W28" i="69" a="1"/>
  <c r="W28" i="69" s="1"/>
  <c r="W37" i="69" a="1"/>
  <c r="W37" i="69" s="1"/>
  <c r="W36" i="69" a="1"/>
  <c r="W36" i="69" s="1"/>
  <c r="W35" i="69" a="1"/>
  <c r="W35" i="69" s="1"/>
  <c r="F30" i="69" a="1"/>
  <c r="F30" i="69" s="1"/>
  <c r="L30" i="69" s="1" a="1"/>
  <c r="L30" i="69" s="1"/>
  <c r="I28" i="76"/>
  <c r="D28" i="76"/>
  <c r="M28" i="76"/>
  <c r="L28" i="76"/>
  <c r="F28" i="76"/>
  <c r="E28" i="76"/>
  <c r="K28" i="76"/>
  <c r="H28" i="76"/>
  <c r="J28" i="76"/>
  <c r="G28" i="76"/>
  <c r="E171" i="69"/>
  <c r="E172" i="69"/>
  <c r="F33" i="69" a="1"/>
  <c r="F33" i="69" s="1"/>
  <c r="L33" i="69" s="1" a="1"/>
  <c r="L33" i="69" s="1"/>
  <c r="X159" i="76"/>
  <c r="X239" i="76"/>
  <c r="X242" i="69"/>
  <c r="AB236" i="76"/>
  <c r="AB239" i="69"/>
  <c r="AB235" i="76"/>
  <c r="AB238" i="69"/>
  <c r="Z245" i="69"/>
  <c r="Z242" i="76"/>
  <c r="AC234" i="76"/>
  <c r="AC237" i="69"/>
  <c r="AE240" i="76"/>
  <c r="AE243" i="69"/>
  <c r="X243" i="76"/>
  <c r="X246" i="69"/>
  <c r="W236" i="76"/>
  <c r="W239" i="69"/>
  <c r="Y236" i="76"/>
  <c r="Y239" i="69"/>
  <c r="X232" i="76"/>
  <c r="X235" i="69"/>
  <c r="AB240" i="76"/>
  <c r="AB243" i="69"/>
  <c r="W236" i="69"/>
  <c r="W233" i="76"/>
  <c r="Y243" i="76"/>
  <c r="Y246" i="69"/>
  <c r="X240" i="76"/>
  <c r="X243" i="69"/>
  <c r="V242" i="76"/>
  <c r="V245" i="69"/>
  <c r="AD235" i="76"/>
  <c r="AD238" i="69"/>
  <c r="W242" i="76"/>
  <c r="W245" i="69"/>
  <c r="Y238" i="76"/>
  <c r="Y241" i="69"/>
  <c r="AA244" i="69"/>
  <c r="AA241" i="76"/>
  <c r="AB242" i="69"/>
  <c r="AB239" i="76"/>
  <c r="W243" i="76"/>
  <c r="W246" i="69"/>
  <c r="AD238" i="76"/>
  <c r="AD241" i="69"/>
  <c r="V244" i="69"/>
  <c r="V241" i="76"/>
  <c r="AC238" i="76"/>
  <c r="AC241" i="69"/>
  <c r="AB234" i="76"/>
  <c r="AB237" i="69"/>
  <c r="AD242" i="76"/>
  <c r="AD245" i="69"/>
  <c r="W237" i="76"/>
  <c r="W240" i="69"/>
  <c r="Z238" i="69"/>
  <c r="Z235" i="76"/>
  <c r="AD232" i="76"/>
  <c r="AD235" i="69"/>
  <c r="W241" i="69"/>
  <c r="W238" i="76"/>
  <c r="AA242" i="69"/>
  <c r="AA239" i="76"/>
  <c r="Z239" i="76"/>
  <c r="Z242" i="69"/>
  <c r="AC237" i="76"/>
  <c r="AC240" i="69"/>
  <c r="AA242" i="76"/>
  <c r="AA245" i="69"/>
  <c r="AB233" i="76"/>
  <c r="AB236" i="69"/>
  <c r="V237" i="76"/>
  <c r="V240" i="69"/>
  <c r="AC242" i="76"/>
  <c r="AC245" i="69"/>
  <c r="X242" i="76"/>
  <c r="X245" i="69"/>
  <c r="Z236" i="76"/>
  <c r="Z239" i="69"/>
  <c r="W240" i="76"/>
  <c r="W243" i="69"/>
  <c r="X241" i="69"/>
  <c r="X238" i="76"/>
  <c r="AD241" i="76"/>
  <c r="AD244" i="69"/>
  <c r="AA233" i="76"/>
  <c r="AA236" i="69"/>
  <c r="Y241" i="76"/>
  <c r="Y244" i="69"/>
  <c r="V239" i="76"/>
  <c r="V242" i="69"/>
  <c r="W276" i="69" s="1"/>
  <c r="X237" i="76"/>
  <c r="X240" i="69"/>
  <c r="AC240" i="76"/>
  <c r="AC243" i="69"/>
  <c r="Z238" i="76"/>
  <c r="Z241" i="69"/>
  <c r="AB238" i="76"/>
  <c r="AB241" i="69"/>
  <c r="AC232" i="76"/>
  <c r="AC235" i="69"/>
  <c r="W241" i="76"/>
  <c r="W244" i="69"/>
  <c r="Z234" i="76"/>
  <c r="Z237" i="69"/>
  <c r="Y233" i="76"/>
  <c r="Y236" i="69"/>
  <c r="W235" i="76"/>
  <c r="W238" i="69"/>
  <c r="AE236" i="76"/>
  <c r="AE239" i="69"/>
  <c r="Z237" i="76"/>
  <c r="Z240" i="69"/>
  <c r="X241" i="76"/>
  <c r="X244" i="69"/>
  <c r="AA240" i="76"/>
  <c r="AA243" i="69"/>
  <c r="AE243" i="76"/>
  <c r="AE246" i="69"/>
  <c r="AC239" i="76"/>
  <c r="AC242" i="69"/>
  <c r="Y238" i="69"/>
  <c r="Y235" i="76"/>
  <c r="AE232" i="76"/>
  <c r="AE235" i="69"/>
  <c r="X236" i="76"/>
  <c r="X239" i="69"/>
  <c r="W239" i="76"/>
  <c r="W242" i="69"/>
  <c r="Y239" i="76"/>
  <c r="Y242" i="69"/>
  <c r="Y240" i="69"/>
  <c r="Y237" i="76"/>
  <c r="Z233" i="76"/>
  <c r="Z236" i="69"/>
  <c r="AB237" i="76"/>
  <c r="AB240" i="69"/>
  <c r="AC246" i="69"/>
  <c r="AC243" i="76"/>
  <c r="V233" i="76"/>
  <c r="V236" i="69"/>
  <c r="Z241" i="76"/>
  <c r="Z244" i="69"/>
  <c r="AD234" i="76"/>
  <c r="AD237" i="69"/>
  <c r="Y240" i="76"/>
  <c r="Y243" i="69"/>
  <c r="Z232" i="76"/>
  <c r="Z235" i="69"/>
  <c r="V236" i="76"/>
  <c r="V239" i="69"/>
  <c r="AA235" i="69"/>
  <c r="AA232" i="76"/>
  <c r="AA234" i="76"/>
  <c r="AA237" i="69"/>
  <c r="AE237" i="76"/>
  <c r="AE240" i="69"/>
  <c r="AA237" i="76"/>
  <c r="AA240" i="69"/>
  <c r="AA235" i="76"/>
  <c r="AA238" i="69"/>
  <c r="AA238" i="76"/>
  <c r="AA241" i="69"/>
  <c r="AE241" i="76"/>
  <c r="AE244" i="69"/>
  <c r="Z240" i="76"/>
  <c r="Z243" i="69"/>
  <c r="Y245" i="69"/>
  <c r="Y242" i="76"/>
  <c r="X233" i="76"/>
  <c r="X236" i="69"/>
  <c r="X234" i="76"/>
  <c r="X237" i="69"/>
  <c r="AD239" i="76"/>
  <c r="AD242" i="69"/>
  <c r="AE236" i="69"/>
  <c r="AE233" i="76"/>
  <c r="X235" i="76"/>
  <c r="X238" i="69"/>
  <c r="Y232" i="76"/>
  <c r="Y235" i="69"/>
  <c r="AE242" i="76"/>
  <c r="AE245" i="69"/>
  <c r="AC235" i="76"/>
  <c r="AC238" i="69"/>
  <c r="AC239" i="69"/>
  <c r="AC236" i="76"/>
  <c r="W234" i="76"/>
  <c r="W237" i="69"/>
  <c r="AD246" i="69"/>
  <c r="AD243" i="76"/>
  <c r="V238" i="76"/>
  <c r="V241" i="69"/>
  <c r="AC233" i="76"/>
  <c r="AC236" i="69"/>
  <c r="Z243" i="76"/>
  <c r="Z246" i="69"/>
  <c r="AD239" i="69"/>
  <c r="AD236" i="76"/>
  <c r="V232" i="76"/>
  <c r="V235" i="69"/>
  <c r="W232" i="76"/>
  <c r="W235" i="69"/>
  <c r="AA243" i="76"/>
  <c r="AA246" i="69"/>
  <c r="AB241" i="76"/>
  <c r="AB244" i="69"/>
  <c r="V240" i="76"/>
  <c r="V243" i="69"/>
  <c r="Y234" i="76"/>
  <c r="Y237" i="69"/>
  <c r="V235" i="76"/>
  <c r="V238" i="69"/>
  <c r="V237" i="69"/>
  <c r="V234" i="76"/>
  <c r="AB243" i="76"/>
  <c r="AB246" i="69"/>
  <c r="AB111" i="76" l="1"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J30" i="69" a="1"/>
  <c r="J30"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30" i="69" a="1"/>
  <c r="K30" i="69" s="1"/>
  <c r="J33" i="69" a="1"/>
  <c r="J33" i="69" s="1"/>
  <c r="K33" i="69" a="1"/>
  <c r="K33" i="69" s="1"/>
  <c r="AC180" i="76" a="1"/>
  <c r="AC180" i="76" s="1"/>
  <c r="W180" i="76" a="1"/>
  <c r="W180" i="76" s="1"/>
  <c r="Y180" i="76" a="1"/>
  <c r="Y180" i="76" s="1"/>
  <c r="E165" i="69" l="1"/>
  <c r="E166" i="69"/>
  <c r="AC22" i="76"/>
  <c r="AC38" i="76" s="1" a="1"/>
  <c r="AC38" i="76" s="1"/>
  <c r="Y22" i="76"/>
  <c r="Y38" i="76" s="1" a="1"/>
  <c r="Y38" i="76" s="1"/>
  <c r="AD22" i="76"/>
  <c r="AD38" i="76" s="1" a="1"/>
  <c r="AD38" i="76" s="1"/>
  <c r="X22" i="76"/>
  <c r="X38" i="76" s="1" a="1"/>
  <c r="X38" i="76" s="1"/>
  <c r="V22" i="76"/>
  <c r="V38" i="76" s="1" a="1"/>
  <c r="V38" i="76" s="1"/>
  <c r="AA22" i="76"/>
  <c r="AA38" i="76" s="1" a="1"/>
  <c r="AA38" i="76" s="1"/>
  <c r="AB22" i="76"/>
  <c r="AB38" i="76" s="1" a="1"/>
  <c r="AB38" i="76" s="1"/>
  <c r="W22" i="76"/>
  <c r="W38" i="76" s="1" a="1"/>
  <c r="W38" i="76" s="1"/>
  <c r="Z22" i="76"/>
  <c r="Z38" i="76" s="1" a="1"/>
  <c r="Z38" i="76" s="1"/>
  <c r="H227" i="76"/>
  <c r="H225" i="76" s="1"/>
  <c r="H33" i="97"/>
  <c r="F69" i="69" l="1"/>
  <c r="F120" i="76"/>
  <c r="AD51" i="69"/>
  <c r="AD27" i="76"/>
  <c r="AD43" i="76" s="1" a="1"/>
  <c r="AD43" i="76" s="1"/>
  <c r="I68" i="69"/>
  <c r="I119" i="76"/>
  <c r="Y66" i="69"/>
  <c r="Y126" i="76"/>
  <c r="AB51" i="69"/>
  <c r="AB27" i="76"/>
  <c r="AB43" i="76" s="1" a="1"/>
  <c r="AB43" i="76" s="1"/>
  <c r="M68" i="69"/>
  <c r="M119" i="76"/>
  <c r="Z54" i="69"/>
  <c r="Z86" i="69" s="1" a="1"/>
  <c r="Z86" i="69" s="1"/>
  <c r="Z30" i="76"/>
  <c r="Z46" i="76" s="1" a="1"/>
  <c r="Z46" i="76" s="1"/>
  <c r="AE63" i="69"/>
  <c r="AE123" i="76"/>
  <c r="AA68" i="69"/>
  <c r="AA128" i="76"/>
  <c r="AA67" i="69"/>
  <c r="AA127" i="76"/>
  <c r="AC49" i="69"/>
  <c r="AC25" i="76"/>
  <c r="AC41" i="76" s="1" a="1"/>
  <c r="AC41" i="76" s="1"/>
  <c r="AD54" i="69"/>
  <c r="AD86" i="69" s="1" a="1"/>
  <c r="AD86" i="69" s="1"/>
  <c r="AD30" i="76"/>
  <c r="AD46" i="76" s="1" a="1"/>
  <c r="AD46" i="76" s="1"/>
  <c r="AB53" i="69"/>
  <c r="AB29" i="76"/>
  <c r="AB45" i="76" s="1" a="1"/>
  <c r="AB45" i="76" s="1"/>
  <c r="Z71" i="69"/>
  <c r="Z131" i="76"/>
  <c r="AC51" i="69"/>
  <c r="AC27" i="76"/>
  <c r="AC43" i="76" s="1" a="1"/>
  <c r="AC43" i="76" s="1"/>
  <c r="AB49" i="69"/>
  <c r="AB25" i="76"/>
  <c r="AB41" i="76" s="1" a="1"/>
  <c r="AB41" i="76" s="1"/>
  <c r="AA50" i="69"/>
  <c r="AA26" i="76"/>
  <c r="AA42" i="76" s="1" a="1"/>
  <c r="AA42" i="76" s="1"/>
  <c r="AD70" i="69"/>
  <c r="AD130" i="76"/>
  <c r="V49" i="69"/>
  <c r="V25" i="76"/>
  <c r="V41" i="76" s="1" a="1"/>
  <c r="V41" i="76" s="1"/>
  <c r="AB62" i="69"/>
  <c r="AB122" i="76"/>
  <c r="AD69" i="69"/>
  <c r="AD129" i="76"/>
  <c r="V47" i="69"/>
  <c r="V23" i="76"/>
  <c r="V39" i="76" s="1" a="1"/>
  <c r="V39" i="76" s="1"/>
  <c r="AA49" i="69"/>
  <c r="AA25" i="76"/>
  <c r="AA41" i="76" s="1" a="1"/>
  <c r="AA41" i="76" s="1"/>
  <c r="Z49" i="69"/>
  <c r="Z25" i="76"/>
  <c r="Z41" i="76" s="1" a="1"/>
  <c r="Z41" i="76" s="1"/>
  <c r="Y53" i="69"/>
  <c r="Y29" i="76"/>
  <c r="Y45" i="76" s="1" a="1"/>
  <c r="Y45" i="76" s="1"/>
  <c r="F70" i="69"/>
  <c r="F121" i="76"/>
  <c r="Z122" i="69"/>
  <c r="Z171" i="76"/>
  <c r="X115" i="69"/>
  <c r="X164" i="76"/>
  <c r="AE120" i="69"/>
  <c r="AE169" i="76"/>
  <c r="F117" i="69"/>
  <c r="F155" i="76"/>
  <c r="Z116" i="69"/>
  <c r="Z165" i="76"/>
  <c r="G116" i="69"/>
  <c r="G154" i="76"/>
  <c r="W115" i="69"/>
  <c r="W164" i="76"/>
  <c r="AD115" i="69"/>
  <c r="AD164" i="76"/>
  <c r="Z115" i="69"/>
  <c r="Z164" i="76"/>
  <c r="AD124" i="69"/>
  <c r="AD173" i="76"/>
  <c r="M117" i="69"/>
  <c r="M155" i="76"/>
  <c r="W65" i="69"/>
  <c r="W125" i="76"/>
  <c r="AA64" i="69"/>
  <c r="AA124" i="76"/>
  <c r="Y50" i="69"/>
  <c r="Y82" i="69" s="1" a="1"/>
  <c r="Y82" i="69" s="1"/>
  <c r="Y26" i="76"/>
  <c r="Y42" i="76" s="1" a="1"/>
  <c r="Y42" i="76" s="1"/>
  <c r="V67" i="69"/>
  <c r="V127" i="76"/>
  <c r="AB52" i="69"/>
  <c r="AB28" i="76"/>
  <c r="AB44" i="76" s="1" a="1"/>
  <c r="AB44" i="76" s="1"/>
  <c r="AB70" i="69"/>
  <c r="AB130" i="76"/>
  <c r="Y52" i="69"/>
  <c r="Y28" i="76"/>
  <c r="Y44" i="76" s="1" a="1"/>
  <c r="Y44" i="76" s="1"/>
  <c r="H70" i="69"/>
  <c r="H121" i="76"/>
  <c r="L70" i="69"/>
  <c r="L121" i="76"/>
  <c r="X64" i="69"/>
  <c r="X124" i="76"/>
  <c r="Z55" i="69"/>
  <c r="Z31" i="76"/>
  <c r="Z47" i="76" s="1" a="1"/>
  <c r="Z47" i="76" s="1"/>
  <c r="Y55" i="69"/>
  <c r="Y31" i="76"/>
  <c r="Y47" i="76" s="1" a="1"/>
  <c r="Y47" i="76" s="1"/>
  <c r="H68" i="69"/>
  <c r="H119" i="76"/>
  <c r="X62" i="69"/>
  <c r="X122" i="76"/>
  <c r="G71" i="69"/>
  <c r="G122" i="76"/>
  <c r="AB48" i="69"/>
  <c r="AB24" i="76"/>
  <c r="AB40" i="76" s="1" a="1"/>
  <c r="AB40" i="76" s="1"/>
  <c r="AE49" i="69"/>
  <c r="AE25" i="76"/>
  <c r="AE41" i="76" s="1" a="1"/>
  <c r="AE41" i="76" s="1"/>
  <c r="AB71" i="69"/>
  <c r="AB131" i="76"/>
  <c r="Z52" i="69"/>
  <c r="Z28" i="76"/>
  <c r="Z44" i="76" s="1" a="1"/>
  <c r="Z44" i="76" s="1"/>
  <c r="W62" i="69"/>
  <c r="W122" i="76"/>
  <c r="AB50" i="69"/>
  <c r="AB26" i="76"/>
  <c r="AB42" i="76" s="1" a="1"/>
  <c r="AB42" i="76" s="1"/>
  <c r="I71" i="69"/>
  <c r="I122" i="76"/>
  <c r="F118" i="69"/>
  <c r="F156" i="76"/>
  <c r="F115" i="69"/>
  <c r="F153" i="76"/>
  <c r="X125" i="69"/>
  <c r="X174" i="76"/>
  <c r="G117" i="69"/>
  <c r="G155" i="76"/>
  <c r="AC121" i="69"/>
  <c r="AC170" i="76"/>
  <c r="Y126" i="69"/>
  <c r="Y175" i="76"/>
  <c r="Z126" i="69"/>
  <c r="Z175" i="76"/>
  <c r="W120" i="69"/>
  <c r="W169" i="76"/>
  <c r="AA122" i="69"/>
  <c r="AA171" i="76"/>
  <c r="I116" i="69"/>
  <c r="I154" i="76"/>
  <c r="AA126" i="69"/>
  <c r="AA175" i="76"/>
  <c r="AC68" i="69"/>
  <c r="AC128" i="76"/>
  <c r="AE60" i="69"/>
  <c r="AE120" i="76"/>
  <c r="AC53" i="69"/>
  <c r="AC29" i="76"/>
  <c r="AC45" i="76" s="1" a="1"/>
  <c r="AC45" i="76" s="1"/>
  <c r="X70" i="69"/>
  <c r="X130" i="76"/>
  <c r="AA51" i="69"/>
  <c r="AA83" i="69" s="1" a="1"/>
  <c r="AA83" i="69" s="1"/>
  <c r="AA27" i="76"/>
  <c r="AA43" i="76" s="1" a="1"/>
  <c r="AA43" i="76" s="1"/>
  <c r="AD62" i="69"/>
  <c r="AD122" i="76"/>
  <c r="Z60" i="69"/>
  <c r="Z120" i="76"/>
  <c r="W63" i="69"/>
  <c r="W123" i="76"/>
  <c r="M71" i="69"/>
  <c r="M122" i="76"/>
  <c r="Z47" i="69"/>
  <c r="Z23" i="76"/>
  <c r="Z39" i="76" s="1" a="1"/>
  <c r="Z39" i="76" s="1"/>
  <c r="W47" i="69"/>
  <c r="W79" i="69" s="1" a="1"/>
  <c r="W79" i="69" s="1"/>
  <c r="W23" i="76"/>
  <c r="W39" i="76" s="1" a="1"/>
  <c r="W39" i="76" s="1"/>
  <c r="V55" i="69"/>
  <c r="V31" i="76"/>
  <c r="V47" i="76" s="1" a="1"/>
  <c r="V47" i="76" s="1"/>
  <c r="N69" i="69"/>
  <c r="N120" i="76"/>
  <c r="AE51" i="69"/>
  <c r="AE83" i="69" s="1" a="1"/>
  <c r="AE83" i="69" s="1"/>
  <c r="AE27" i="76"/>
  <c r="AE43" i="76" s="1" a="1"/>
  <c r="AE43" i="76" s="1"/>
  <c r="AD50" i="69"/>
  <c r="AD26" i="76"/>
  <c r="AD42" i="76" s="1" a="1"/>
  <c r="AD42" i="76" s="1"/>
  <c r="Y67" i="69"/>
  <c r="Y127" i="76"/>
  <c r="W60" i="69"/>
  <c r="W120" i="76"/>
  <c r="AA70" i="69"/>
  <c r="AA130" i="76"/>
  <c r="AD48" i="69"/>
  <c r="AD80" i="69" s="1" a="1"/>
  <c r="AD80" i="69" s="1"/>
  <c r="AD24" i="76"/>
  <c r="AD40" i="76" s="1" a="1"/>
  <c r="AD40" i="76" s="1"/>
  <c r="L69" i="69"/>
  <c r="L120" i="76"/>
  <c r="H118" i="69"/>
  <c r="H156" i="76"/>
  <c r="V121" i="69"/>
  <c r="V170" i="76"/>
  <c r="I115" i="69"/>
  <c r="I153" i="76"/>
  <c r="V126" i="69"/>
  <c r="V175" i="76"/>
  <c r="AB123" i="69"/>
  <c r="AB172" i="76"/>
  <c r="AA124" i="69"/>
  <c r="AA173" i="76"/>
  <c r="K116" i="69"/>
  <c r="K154" i="76"/>
  <c r="X120" i="69"/>
  <c r="X169" i="76"/>
  <c r="X121" i="69"/>
  <c r="X170" i="76"/>
  <c r="W124" i="69"/>
  <c r="W173" i="76"/>
  <c r="AA119" i="69"/>
  <c r="AA168" i="76"/>
  <c r="AB119" i="69"/>
  <c r="AB168" i="76"/>
  <c r="AA48" i="69"/>
  <c r="AA80" i="69" s="1" a="1"/>
  <c r="AA80" i="69" s="1"/>
  <c r="AA24" i="76"/>
  <c r="AA40" i="76" s="1" a="1"/>
  <c r="AA40" i="76" s="1"/>
  <c r="AD67" i="69"/>
  <c r="AD127" i="76"/>
  <c r="AE62" i="69"/>
  <c r="AE122" i="76"/>
  <c r="AE54" i="69"/>
  <c r="AE30" i="76"/>
  <c r="AE46" i="76" s="1" a="1"/>
  <c r="AE46" i="76" s="1"/>
  <c r="Z63" i="69"/>
  <c r="Z123" i="76"/>
  <c r="AA55" i="69"/>
  <c r="AA31" i="76"/>
  <c r="AA47" i="76" s="1" a="1"/>
  <c r="AA47" i="76" s="1"/>
  <c r="AE67" i="69"/>
  <c r="AE127" i="76"/>
  <c r="X45" i="69"/>
  <c r="X21" i="76"/>
  <c r="X37" i="76" s="1" a="1"/>
  <c r="X37" i="76" s="1"/>
  <c r="AA63" i="69"/>
  <c r="AA123" i="76"/>
  <c r="Z50" i="69"/>
  <c r="Z26" i="76"/>
  <c r="Z42" i="76" s="1" a="1"/>
  <c r="Z42" i="76" s="1"/>
  <c r="AC44" i="69"/>
  <c r="AC20" i="76"/>
  <c r="AC36" i="76" s="1" a="1"/>
  <c r="AC36" i="76" s="1"/>
  <c r="K69" i="69"/>
  <c r="K120" i="76"/>
  <c r="X124" i="69"/>
  <c r="X173" i="76"/>
  <c r="H115" i="69"/>
  <c r="H153" i="76"/>
  <c r="AA117" i="69"/>
  <c r="AA166" i="76"/>
  <c r="Y121" i="69"/>
  <c r="Y170" i="76"/>
  <c r="V115" i="69"/>
  <c r="V164" i="76"/>
  <c r="W125" i="69"/>
  <c r="W174" i="76"/>
  <c r="J117" i="69"/>
  <c r="J155" i="76"/>
  <c r="AC119" i="69"/>
  <c r="AC168" i="76"/>
  <c r="X117" i="69"/>
  <c r="X166" i="76"/>
  <c r="M118" i="69"/>
  <c r="M156" i="76"/>
  <c r="X118" i="69"/>
  <c r="X167" i="76"/>
  <c r="AC126" i="69"/>
  <c r="AC175" i="76"/>
  <c r="W51" i="69"/>
  <c r="W27" i="76"/>
  <c r="W43" i="76" s="1" a="1"/>
  <c r="W43" i="76" s="1"/>
  <c r="AC61" i="69"/>
  <c r="AC121" i="76"/>
  <c r="AA71" i="69"/>
  <c r="AA131" i="76"/>
  <c r="X52" i="69"/>
  <c r="X28" i="76"/>
  <c r="X44" i="76" s="1" a="1"/>
  <c r="X44" i="76" s="1"/>
  <c r="AA69" i="69"/>
  <c r="AA129" i="76"/>
  <c r="AA45" i="69"/>
  <c r="AA21" i="76"/>
  <c r="AA37" i="76" s="1" a="1"/>
  <c r="AA37" i="76" s="1"/>
  <c r="V60" i="69"/>
  <c r="V120" i="76"/>
  <c r="AE69" i="69"/>
  <c r="AE129" i="76"/>
  <c r="F68" i="69"/>
  <c r="F119" i="76"/>
  <c r="Z48" i="69"/>
  <c r="Z24" i="76"/>
  <c r="Z40" i="76" s="1" a="1"/>
  <c r="Z40" i="76" s="1"/>
  <c r="X63" i="69"/>
  <c r="X123" i="76"/>
  <c r="X54" i="69"/>
  <c r="X86" i="69" s="1" a="1"/>
  <c r="X86" i="69" s="1"/>
  <c r="X30" i="76"/>
  <c r="X46" i="76" s="1" a="1"/>
  <c r="X46" i="76" s="1"/>
  <c r="Y63" i="69"/>
  <c r="Y123" i="76"/>
  <c r="Z65" i="69"/>
  <c r="Z125" i="76"/>
  <c r="AB47" i="69"/>
  <c r="AB23" i="76"/>
  <c r="AB39" i="76" s="1" a="1"/>
  <c r="AB39" i="76" s="1"/>
  <c r="H69" i="69"/>
  <c r="H120" i="76"/>
  <c r="E71" i="69"/>
  <c r="E122" i="76"/>
  <c r="I69" i="69"/>
  <c r="I120" i="76"/>
  <c r="AA118" i="69"/>
  <c r="AA167" i="76"/>
  <c r="AD126" i="69"/>
  <c r="AD175" i="76"/>
  <c r="AD121" i="69"/>
  <c r="AD170" i="76"/>
  <c r="L115" i="69"/>
  <c r="L153" i="76"/>
  <c r="AE124" i="69"/>
  <c r="AE173" i="76"/>
  <c r="AA115" i="69"/>
  <c r="AA164" i="76"/>
  <c r="AD117" i="69"/>
  <c r="AD166" i="76"/>
  <c r="Z118" i="69"/>
  <c r="Z167" i="76"/>
  <c r="AA121" i="69"/>
  <c r="AA170" i="76"/>
  <c r="W119" i="69"/>
  <c r="W168" i="76"/>
  <c r="Y125" i="69"/>
  <c r="Y174" i="76"/>
  <c r="Z125" i="69"/>
  <c r="Z174" i="76"/>
  <c r="Y61" i="69"/>
  <c r="Y121" i="76"/>
  <c r="AB44" i="69"/>
  <c r="AB20" i="76"/>
  <c r="AB36" i="76" s="1" a="1"/>
  <c r="AB36" i="76" s="1"/>
  <c r="X49" i="69"/>
  <c r="X25" i="76"/>
  <c r="X41" i="76" s="1" a="1"/>
  <c r="X41" i="76" s="1"/>
  <c r="H71" i="69"/>
  <c r="H122" i="76"/>
  <c r="AE71" i="69"/>
  <c r="AE131" i="76"/>
  <c r="G68" i="69"/>
  <c r="G119" i="76"/>
  <c r="AE55" i="69"/>
  <c r="AE31" i="76"/>
  <c r="AE47" i="76" s="1" a="1"/>
  <c r="AE47" i="76" s="1"/>
  <c r="L68" i="69"/>
  <c r="L119" i="76"/>
  <c r="AB63" i="69"/>
  <c r="AB123" i="76"/>
  <c r="AA61" i="69"/>
  <c r="AA121" i="76"/>
  <c r="AE52" i="69"/>
  <c r="AE28" i="76"/>
  <c r="AE44" i="76" s="1" a="1"/>
  <c r="AE44" i="76" s="1"/>
  <c r="X51" i="69"/>
  <c r="X83" i="69" s="1" a="1"/>
  <c r="X83" i="69" s="1"/>
  <c r="X27" i="76"/>
  <c r="X43" i="76" s="1" a="1"/>
  <c r="X43" i="76" s="1"/>
  <c r="AB60" i="69"/>
  <c r="AB120" i="76"/>
  <c r="AD65" i="69"/>
  <c r="AD125" i="76"/>
  <c r="X69" i="69"/>
  <c r="X129" i="76"/>
  <c r="AD47" i="69"/>
  <c r="AD23" i="76"/>
  <c r="AD39" i="76" s="1" a="1"/>
  <c r="AD39" i="76" s="1"/>
  <c r="AC69" i="69"/>
  <c r="AC129" i="76"/>
  <c r="AE44" i="69"/>
  <c r="AE20" i="76"/>
  <c r="AE36" i="76" s="1" a="1"/>
  <c r="AE36" i="76" s="1"/>
  <c r="K71" i="69"/>
  <c r="K122" i="76"/>
  <c r="M69" i="69"/>
  <c r="M120" i="76"/>
  <c r="G69" i="69"/>
  <c r="G120" i="76"/>
  <c r="W126" i="69"/>
  <c r="W175" i="76"/>
  <c r="M115" i="69"/>
  <c r="M153" i="76"/>
  <c r="Y120" i="69"/>
  <c r="Y169" i="76"/>
  <c r="Z119" i="69"/>
  <c r="Z168" i="76"/>
  <c r="X122" i="69"/>
  <c r="X171" i="76"/>
  <c r="AB115" i="69"/>
  <c r="AB164" i="76"/>
  <c r="H116" i="69"/>
  <c r="H154" i="76"/>
  <c r="I118" i="69"/>
  <c r="I156" i="76"/>
  <c r="AC115" i="69"/>
  <c r="AC164" i="76"/>
  <c r="AB121" i="69"/>
  <c r="AB170" i="76"/>
  <c r="Z123" i="69"/>
  <c r="Z172" i="76"/>
  <c r="V124" i="69"/>
  <c r="V173" i="76"/>
  <c r="Z121" i="69"/>
  <c r="Z170" i="76"/>
  <c r="Y64" i="69"/>
  <c r="Y124" i="76"/>
  <c r="Y69" i="69"/>
  <c r="Y129" i="76"/>
  <c r="X71" i="69"/>
  <c r="X131" i="76"/>
  <c r="W55" i="69"/>
  <c r="W87" i="69" s="1" a="1"/>
  <c r="W87" i="69" s="1"/>
  <c r="W31" i="76"/>
  <c r="W47" i="76" s="1" a="1"/>
  <c r="W47" i="76" s="1"/>
  <c r="W50" i="69"/>
  <c r="W26" i="76"/>
  <c r="W42" i="76" s="1" a="1"/>
  <c r="W42" i="76" s="1"/>
  <c r="AB67" i="69"/>
  <c r="AB127" i="76"/>
  <c r="Z67" i="69"/>
  <c r="Z127" i="76"/>
  <c r="F71" i="69"/>
  <c r="F122" i="76"/>
  <c r="Y70" i="69"/>
  <c r="Y130" i="76"/>
  <c r="AC50" i="69"/>
  <c r="AC26" i="76"/>
  <c r="AC42" i="76" s="1" a="1"/>
  <c r="AC42" i="76" s="1"/>
  <c r="Y45" i="69"/>
  <c r="Y77" i="69" s="1" a="1"/>
  <c r="Y77" i="69" s="1"/>
  <c r="Y21" i="76"/>
  <c r="Y37" i="76" s="1" a="1"/>
  <c r="Y37" i="76" s="1"/>
  <c r="E69" i="69"/>
  <c r="E120" i="76"/>
  <c r="AE65" i="69"/>
  <c r="AE125" i="76"/>
  <c r="W45" i="69"/>
  <c r="W21" i="76"/>
  <c r="W37" i="76" s="1" a="1"/>
  <c r="W37" i="76" s="1"/>
  <c r="Z64" i="69"/>
  <c r="Z124" i="76"/>
  <c r="Y68" i="69"/>
  <c r="Y128" i="76"/>
  <c r="W61" i="69"/>
  <c r="W121" i="76"/>
  <c r="W52" i="69"/>
  <c r="W28" i="76"/>
  <c r="W44" i="76" s="1" a="1"/>
  <c r="W44" i="76" s="1"/>
  <c r="AC45" i="69"/>
  <c r="AC21" i="76"/>
  <c r="AC37" i="76" s="1" a="1"/>
  <c r="AC37" i="76" s="1"/>
  <c r="AC120" i="69"/>
  <c r="AC169" i="76"/>
  <c r="AB124" i="69"/>
  <c r="AB173" i="76"/>
  <c r="AC123" i="69"/>
  <c r="AC172" i="76"/>
  <c r="K115" i="69"/>
  <c r="K153" i="76"/>
  <c r="V125" i="69"/>
  <c r="V174" i="76"/>
  <c r="AC118" i="69"/>
  <c r="AC167" i="76"/>
  <c r="E116" i="69"/>
  <c r="E154" i="76"/>
  <c r="AD71" i="69"/>
  <c r="AD131" i="76"/>
  <c r="E115" i="69"/>
  <c r="E153" i="76"/>
  <c r="V120" i="69"/>
  <c r="V169" i="76"/>
  <c r="AC125" i="69"/>
  <c r="AC174" i="76"/>
  <c r="AC65" i="69"/>
  <c r="AC125" i="76"/>
  <c r="AC64" i="69"/>
  <c r="AC124" i="76"/>
  <c r="Z53" i="69"/>
  <c r="Z85" i="69" s="1" a="1"/>
  <c r="Z85" i="69" s="1"/>
  <c r="Z29" i="76"/>
  <c r="Z45" i="76" s="1" a="1"/>
  <c r="Z45" i="76" s="1"/>
  <c r="Z61" i="69"/>
  <c r="Z121" i="76"/>
  <c r="AE70" i="69"/>
  <c r="AE130" i="76"/>
  <c r="X47" i="69"/>
  <c r="X23" i="76"/>
  <c r="X39" i="76" s="1" a="1"/>
  <c r="X39" i="76" s="1"/>
  <c r="V118" i="69"/>
  <c r="V167" i="76"/>
  <c r="K117" i="69"/>
  <c r="K155" i="76"/>
  <c r="L116" i="69"/>
  <c r="L154" i="76"/>
  <c r="AE115" i="69"/>
  <c r="AE164" i="76"/>
  <c r="G115" i="69"/>
  <c r="G153" i="76"/>
  <c r="AD118" i="69"/>
  <c r="AD167" i="76"/>
  <c r="Y116" i="69"/>
  <c r="Y165" i="76"/>
  <c r="W118" i="69"/>
  <c r="W167" i="76"/>
  <c r="Y124" i="69"/>
  <c r="Y173" i="76"/>
  <c r="AD125" i="69"/>
  <c r="AD174" i="76"/>
  <c r="X67" i="69"/>
  <c r="X127" i="76"/>
  <c r="Z62" i="69"/>
  <c r="Z122" i="76"/>
  <c r="AA62" i="69"/>
  <c r="AA122" i="76"/>
  <c r="AE46" i="69"/>
  <c r="AE22" i="76"/>
  <c r="AE38" i="76" s="1" a="1"/>
  <c r="AE38" i="76" s="1"/>
  <c r="Y71" i="69"/>
  <c r="Y131" i="76"/>
  <c r="AD53" i="69"/>
  <c r="AD29" i="76"/>
  <c r="AD45" i="76" s="1" a="1"/>
  <c r="AD45" i="76" s="1"/>
  <c r="W48" i="69"/>
  <c r="W24" i="76"/>
  <c r="W40" i="76" s="1" a="1"/>
  <c r="W40" i="76" s="1"/>
  <c r="AC66" i="69"/>
  <c r="AC126" i="76"/>
  <c r="AA44" i="69"/>
  <c r="AA20" i="76"/>
  <c r="AA36" i="76" s="1" a="1"/>
  <c r="AA36" i="76" s="1"/>
  <c r="W54" i="69"/>
  <c r="W30" i="76"/>
  <c r="W46" i="76" s="1" a="1"/>
  <c r="W46" i="76" s="1"/>
  <c r="AC70" i="69"/>
  <c r="AC130" i="76"/>
  <c r="J69" i="69"/>
  <c r="J120" i="76"/>
  <c r="AD68" i="69"/>
  <c r="AD128" i="76"/>
  <c r="Y51" i="69"/>
  <c r="Y27" i="76"/>
  <c r="Y43" i="76" s="1" a="1"/>
  <c r="Y43" i="76" s="1"/>
  <c r="X68" i="69"/>
  <c r="X128" i="76"/>
  <c r="Y44" i="69"/>
  <c r="Y76" i="69" s="1" a="1"/>
  <c r="Y76" i="69" s="1"/>
  <c r="Y20" i="76"/>
  <c r="Y36" i="76" s="1" a="1"/>
  <c r="Y36" i="76" s="1"/>
  <c r="AB64" i="69"/>
  <c r="AB124" i="76"/>
  <c r="AD60" i="69"/>
  <c r="AD120" i="76"/>
  <c r="AD49" i="69"/>
  <c r="AD25" i="76"/>
  <c r="AD41" i="76" s="1" a="1"/>
  <c r="AD41" i="76" s="1"/>
  <c r="AB61" i="69"/>
  <c r="AB121" i="76"/>
  <c r="AE48" i="69"/>
  <c r="AE80" i="69" s="1" a="1"/>
  <c r="AE80" i="69" s="1"/>
  <c r="AE24" i="76"/>
  <c r="AE40" i="76" s="1" a="1"/>
  <c r="AE40" i="76" s="1"/>
  <c r="AD64" i="69"/>
  <c r="AD124" i="76"/>
  <c r="AD55" i="69"/>
  <c r="AD31" i="76"/>
  <c r="AD47" i="76" s="1" a="1"/>
  <c r="AD47" i="76" s="1"/>
  <c r="V48" i="69"/>
  <c r="V24" i="76"/>
  <c r="V40" i="76" s="1" a="1"/>
  <c r="V40" i="76" s="1"/>
  <c r="W116" i="69"/>
  <c r="W165" i="76"/>
  <c r="Y115" i="69"/>
  <c r="Y164" i="76"/>
  <c r="AA123" i="69"/>
  <c r="AA172" i="76"/>
  <c r="G118" i="69"/>
  <c r="G156" i="76"/>
  <c r="X123" i="69"/>
  <c r="X172" i="76"/>
  <c r="V116" i="69"/>
  <c r="V165" i="76"/>
  <c r="Y118" i="69"/>
  <c r="Y167" i="76"/>
  <c r="AB120" i="69"/>
  <c r="AB169" i="76"/>
  <c r="AE119" i="69"/>
  <c r="AE168" i="76"/>
  <c r="AB69" i="69"/>
  <c r="AB129" i="76"/>
  <c r="AD116" i="69"/>
  <c r="AD165" i="76"/>
  <c r="Z124" i="69"/>
  <c r="Z173" i="76"/>
  <c r="AC60" i="69"/>
  <c r="AC120" i="76"/>
  <c r="J71" i="69"/>
  <c r="J122" i="76"/>
  <c r="W64" i="69"/>
  <c r="W124" i="76"/>
  <c r="V70" i="69"/>
  <c r="V130" i="76"/>
  <c r="I70" i="69"/>
  <c r="I121" i="76"/>
  <c r="K68" i="69"/>
  <c r="K119" i="76"/>
  <c r="J68" i="69"/>
  <c r="J119" i="76"/>
  <c r="V53" i="69"/>
  <c r="V29" i="76"/>
  <c r="V45" i="76" s="1" a="1"/>
  <c r="V45" i="76" s="1"/>
  <c r="AC71" i="69"/>
  <c r="AC131" i="76"/>
  <c r="AA53" i="69"/>
  <c r="AA29" i="76"/>
  <c r="AA45" i="76" s="1" a="1"/>
  <c r="AA45" i="76" s="1"/>
  <c r="G70" i="69"/>
  <c r="G121" i="76"/>
  <c r="AB55" i="69"/>
  <c r="AB87" i="69" s="1" a="1"/>
  <c r="AB87" i="69" s="1"/>
  <c r="AB31" i="76"/>
  <c r="AB47" i="76" s="1" a="1"/>
  <c r="AB47" i="76" s="1"/>
  <c r="X61" i="69"/>
  <c r="X121" i="76"/>
  <c r="AE53" i="69"/>
  <c r="AE85" i="69" s="1" a="1"/>
  <c r="AE85" i="69" s="1"/>
  <c r="AE29" i="76"/>
  <c r="AE45" i="76" s="1" a="1"/>
  <c r="AE45" i="76" s="1"/>
  <c r="X50" i="69"/>
  <c r="X26" i="76"/>
  <c r="X42" i="76" s="1" a="1"/>
  <c r="X42" i="76" s="1"/>
  <c r="AA47" i="69"/>
  <c r="AA23" i="76"/>
  <c r="AA39" i="76" s="1" a="1"/>
  <c r="AA39" i="76" s="1"/>
  <c r="X65" i="69"/>
  <c r="X125" i="76"/>
  <c r="AB65" i="69"/>
  <c r="AB125" i="76"/>
  <c r="AD122" i="69"/>
  <c r="AD171" i="76"/>
  <c r="Z120" i="69"/>
  <c r="Z169" i="76"/>
  <c r="AD123" i="69"/>
  <c r="AD172" i="76"/>
  <c r="AD120" i="69"/>
  <c r="AD169" i="76"/>
  <c r="AE126" i="69"/>
  <c r="AE175" i="76"/>
  <c r="W122" i="69"/>
  <c r="W171" i="76"/>
  <c r="V117" i="69"/>
  <c r="V166" i="76"/>
  <c r="AA116" i="69"/>
  <c r="AA165" i="76"/>
  <c r="I117" i="69"/>
  <c r="I155" i="76"/>
  <c r="AE123" i="69"/>
  <c r="AE172" i="76"/>
  <c r="W53" i="69"/>
  <c r="W29" i="76"/>
  <c r="W45" i="76" s="1" a="1"/>
  <c r="W45" i="76" s="1"/>
  <c r="Z69" i="69"/>
  <c r="Z129" i="76"/>
  <c r="V64" i="69"/>
  <c r="V124" i="76"/>
  <c r="AB68" i="69"/>
  <c r="AB128" i="76"/>
  <c r="AC55" i="69"/>
  <c r="AC87" i="69" s="1" a="1"/>
  <c r="AC87" i="69" s="1"/>
  <c r="AC31" i="76"/>
  <c r="AC47" i="76" s="1" a="1"/>
  <c r="AC47" i="76" s="1"/>
  <c r="AD61" i="69"/>
  <c r="AD121" i="76"/>
  <c r="X60" i="69"/>
  <c r="X120" i="76"/>
  <c r="AC63" i="69"/>
  <c r="AC123" i="76"/>
  <c r="V61" i="69"/>
  <c r="V121" i="76"/>
  <c r="W66" i="69"/>
  <c r="W126" i="76"/>
  <c r="Y60" i="69"/>
  <c r="Y120" i="76"/>
  <c r="AC52" i="69"/>
  <c r="AC84" i="69" s="1" a="1"/>
  <c r="AC84" i="69" s="1"/>
  <c r="AC28" i="76"/>
  <c r="AC44" i="76" s="1" a="1"/>
  <c r="AC44" i="76" s="1"/>
  <c r="AE66" i="69"/>
  <c r="AE126" i="76"/>
  <c r="AE50" i="69"/>
  <c r="AE26" i="76"/>
  <c r="AE42" i="76" s="1" a="1"/>
  <c r="AE42" i="76" s="1"/>
  <c r="AC47" i="69"/>
  <c r="AC79" i="69" s="1" a="1"/>
  <c r="AC79" i="69" s="1"/>
  <c r="AC23" i="76"/>
  <c r="AC39" i="76" s="1" a="1"/>
  <c r="AC39" i="76" s="1"/>
  <c r="AC62" i="69"/>
  <c r="AC122" i="76"/>
  <c r="V54" i="69"/>
  <c r="V30" i="76"/>
  <c r="V46" i="76" s="1" a="1"/>
  <c r="V46" i="76" s="1"/>
  <c r="V71" i="69"/>
  <c r="V131" i="76"/>
  <c r="AD44" i="69"/>
  <c r="AD20" i="76"/>
  <c r="AD36" i="76" s="1" a="1"/>
  <c r="AD36" i="76" s="1"/>
  <c r="E68" i="69"/>
  <c r="E119" i="76"/>
  <c r="Y54" i="69"/>
  <c r="Y30" i="76"/>
  <c r="Y46" i="76" s="1" a="1"/>
  <c r="Y46" i="76" s="1"/>
  <c r="AA66" i="69"/>
  <c r="AA126" i="76"/>
  <c r="J115" i="69"/>
  <c r="J153" i="76"/>
  <c r="AC124" i="69"/>
  <c r="AC173" i="76"/>
  <c r="L118" i="69"/>
  <c r="L156" i="76"/>
  <c r="AE116" i="69"/>
  <c r="AE165" i="76"/>
  <c r="Y122" i="69"/>
  <c r="Y171" i="76"/>
  <c r="J118" i="69"/>
  <c r="J156" i="76"/>
  <c r="E117" i="69"/>
  <c r="E155" i="76"/>
  <c r="N116" i="69"/>
  <c r="N154" i="76"/>
  <c r="J116" i="69"/>
  <c r="J154" i="76"/>
  <c r="AC117" i="69"/>
  <c r="AC166" i="76"/>
  <c r="AB122" i="69"/>
  <c r="AB171" i="76"/>
  <c r="H117" i="69"/>
  <c r="H155" i="76"/>
  <c r="W67" i="69"/>
  <c r="W127" i="76"/>
  <c r="AD45" i="69"/>
  <c r="AD21" i="76"/>
  <c r="AD37" i="76" s="1" a="1"/>
  <c r="AD37" i="76" s="1"/>
  <c r="X44" i="69"/>
  <c r="X20" i="76"/>
  <c r="X36" i="76" s="1" a="1"/>
  <c r="X36" i="76" s="1"/>
  <c r="AB54" i="69"/>
  <c r="AB86" i="69" s="1" a="1"/>
  <c r="AB86" i="69" s="1"/>
  <c r="AB30" i="76"/>
  <c r="AB46" i="76" s="1" a="1"/>
  <c r="AB46" i="76" s="1"/>
  <c r="AA60" i="69"/>
  <c r="AA120" i="76"/>
  <c r="Z51" i="69"/>
  <c r="Z83" i="69" s="1" a="1"/>
  <c r="Z83" i="69" s="1"/>
  <c r="Z27" i="76"/>
  <c r="Z43" i="76" s="1" a="1"/>
  <c r="Z43" i="76" s="1"/>
  <c r="Y65" i="69"/>
  <c r="Y125" i="76"/>
  <c r="V62" i="69"/>
  <c r="V122" i="76"/>
  <c r="W68" i="69"/>
  <c r="W128" i="76"/>
  <c r="Z70" i="69"/>
  <c r="Z130" i="76"/>
  <c r="AC48" i="69"/>
  <c r="AC24" i="76"/>
  <c r="AC40" i="76" s="1" a="1"/>
  <c r="AC40" i="76" s="1"/>
  <c r="W70" i="69"/>
  <c r="W130" i="76"/>
  <c r="X55" i="69"/>
  <c r="X87" i="69" s="1" a="1"/>
  <c r="X87" i="69" s="1"/>
  <c r="X31" i="76"/>
  <c r="X47" i="76" s="1" a="1"/>
  <c r="X47" i="76" s="1"/>
  <c r="V66" i="69"/>
  <c r="V126" i="76"/>
  <c r="V45" i="69"/>
  <c r="V77" i="69" s="1" a="1"/>
  <c r="V77" i="69" s="1"/>
  <c r="V21" i="76"/>
  <c r="V37" i="76" s="1" a="1"/>
  <c r="V37" i="76" s="1"/>
  <c r="AD63" i="69"/>
  <c r="AD123" i="76"/>
  <c r="AE68" i="69"/>
  <c r="AE128" i="76"/>
  <c r="W44" i="69"/>
  <c r="W76" i="69" s="1" a="1"/>
  <c r="W76" i="69" s="1"/>
  <c r="W20" i="76"/>
  <c r="W36" i="76" s="1" a="1"/>
  <c r="W36" i="76" s="1"/>
  <c r="V63" i="69"/>
  <c r="V123" i="76"/>
  <c r="W71" i="69"/>
  <c r="W131" i="76"/>
  <c r="Y119" i="69"/>
  <c r="Y168" i="76"/>
  <c r="V119" i="69"/>
  <c r="V168" i="76"/>
  <c r="W117" i="69"/>
  <c r="W166" i="76"/>
  <c r="AB126" i="69"/>
  <c r="AB175" i="76"/>
  <c r="K118" i="69"/>
  <c r="K156" i="76"/>
  <c r="Y117" i="69"/>
  <c r="Y166" i="76"/>
  <c r="AE125" i="69"/>
  <c r="AE174" i="76"/>
  <c r="E118" i="69"/>
  <c r="E156" i="76"/>
  <c r="V122" i="69"/>
  <c r="V171" i="76"/>
  <c r="AB118" i="69"/>
  <c r="AB167" i="76"/>
  <c r="N115" i="69"/>
  <c r="N153" i="76"/>
  <c r="AB117" i="69"/>
  <c r="AB166" i="76"/>
  <c r="AE61" i="69"/>
  <c r="AE121" i="76"/>
  <c r="V44" i="69"/>
  <c r="V20" i="76"/>
  <c r="V36" i="76" s="1" a="1"/>
  <c r="V36" i="76" s="1"/>
  <c r="V52" i="69"/>
  <c r="V28" i="76"/>
  <c r="V44" i="76" s="1" a="1"/>
  <c r="V44" i="76" s="1"/>
  <c r="W49" i="69"/>
  <c r="W25" i="76"/>
  <c r="W41" i="76" s="1" a="1"/>
  <c r="W41" i="76" s="1"/>
  <c r="Z45" i="69"/>
  <c r="Z77" i="69" s="1" a="1"/>
  <c r="Z77" i="69" s="1"/>
  <c r="Z21" i="76"/>
  <c r="Z37" i="76" s="1" a="1"/>
  <c r="Z37" i="76" s="1"/>
  <c r="AE45" i="69"/>
  <c r="AE21" i="76"/>
  <c r="AE37" i="76" s="1" a="1"/>
  <c r="AE37" i="76" s="1"/>
  <c r="J70" i="69"/>
  <c r="J121" i="76"/>
  <c r="N71" i="69"/>
  <c r="N122" i="76"/>
  <c r="Y47" i="69"/>
  <c r="Y79" i="69" s="1" a="1"/>
  <c r="Y79" i="69" s="1"/>
  <c r="Y23" i="76"/>
  <c r="Y39" i="76" s="1" a="1"/>
  <c r="Y39" i="76" s="1"/>
  <c r="V68" i="69"/>
  <c r="V128" i="76"/>
  <c r="AC67" i="69"/>
  <c r="AC127" i="76"/>
  <c r="AE47" i="69"/>
  <c r="AE79" i="69" s="1" a="1"/>
  <c r="AE79" i="69" s="1"/>
  <c r="AE23" i="76"/>
  <c r="AE39" i="76" s="1" a="1"/>
  <c r="AE39" i="76" s="1"/>
  <c r="AD66" i="69"/>
  <c r="AD126" i="76"/>
  <c r="V69" i="69"/>
  <c r="V129" i="76"/>
  <c r="AB116" i="69"/>
  <c r="AB165" i="76"/>
  <c r="Y123" i="69"/>
  <c r="Y172" i="76"/>
  <c r="AB125" i="69"/>
  <c r="AB174" i="76"/>
  <c r="M116" i="69"/>
  <c r="M154" i="76"/>
  <c r="W123" i="69"/>
  <c r="W172" i="76"/>
  <c r="Z117" i="69"/>
  <c r="Z166" i="76"/>
  <c r="N118" i="69"/>
  <c r="N156" i="76"/>
  <c r="W121" i="69"/>
  <c r="W170" i="76"/>
  <c r="AE117" i="69"/>
  <c r="AE166" i="76"/>
  <c r="AE122" i="69"/>
  <c r="AE171" i="76"/>
  <c r="X116" i="69"/>
  <c r="X165" i="76"/>
  <c r="Z68" i="69"/>
  <c r="Z128" i="76"/>
  <c r="AE121" i="69"/>
  <c r="AE170" i="76"/>
  <c r="W69" i="69"/>
  <c r="W129" i="76"/>
  <c r="V50" i="69"/>
  <c r="V26" i="76"/>
  <c r="V42" i="76" s="1" a="1"/>
  <c r="V42" i="76" s="1"/>
  <c r="N68" i="69"/>
  <c r="N119" i="76"/>
  <c r="Z66" i="69"/>
  <c r="Z126" i="76"/>
  <c r="X53" i="69"/>
  <c r="X29" i="76"/>
  <c r="X45" i="76" s="1" a="1"/>
  <c r="X45" i="76" s="1"/>
  <c r="E70" i="69"/>
  <c r="E121" i="76"/>
  <c r="AE64" i="69"/>
  <c r="AE124" i="76"/>
  <c r="Y48" i="69"/>
  <c r="Y80" i="69" s="1" a="1"/>
  <c r="Y80" i="69" s="1"/>
  <c r="Y24" i="76"/>
  <c r="Y40" i="76" s="1" a="1"/>
  <c r="Y40" i="76" s="1"/>
  <c r="AC54" i="69"/>
  <c r="AC30" i="76"/>
  <c r="AC46" i="76" s="1" a="1"/>
  <c r="AC46" i="76" s="1"/>
  <c r="L71" i="69"/>
  <c r="L122" i="76"/>
  <c r="V65" i="69"/>
  <c r="V125" i="76"/>
  <c r="V51" i="69"/>
  <c r="V83" i="69" s="1" a="1"/>
  <c r="V83" i="69" s="1"/>
  <c r="V27" i="76"/>
  <c r="V43" i="76" s="1" a="1"/>
  <c r="V43" i="76" s="1"/>
  <c r="Y49" i="69"/>
  <c r="Y25" i="76"/>
  <c r="Y41" i="76" s="1" a="1"/>
  <c r="Y41" i="76" s="1"/>
  <c r="Y62" i="69"/>
  <c r="Y122" i="76"/>
  <c r="AD52" i="69"/>
  <c r="AD84" i="69" s="1" a="1"/>
  <c r="AD84" i="69" s="1"/>
  <c r="AD28" i="76"/>
  <c r="AD44" i="76" s="1" a="1"/>
  <c r="AD44" i="76" s="1"/>
  <c r="AA52" i="69"/>
  <c r="AA28" i="76"/>
  <c r="AA44" i="76" s="1" a="1"/>
  <c r="AA44" i="76" s="1"/>
  <c r="Z44" i="69"/>
  <c r="Z20" i="76"/>
  <c r="Z36" i="76" s="1" a="1"/>
  <c r="Z36" i="76" s="1"/>
  <c r="AB66" i="69"/>
  <c r="AB126" i="76"/>
  <c r="AA65" i="69"/>
  <c r="AA125" i="76"/>
  <c r="AA54" i="69"/>
  <c r="AA86" i="69" s="1" a="1"/>
  <c r="AA86" i="69" s="1"/>
  <c r="AA30" i="76"/>
  <c r="AA46" i="76" s="1" a="1"/>
  <c r="AA46" i="76" s="1"/>
  <c r="AB45" i="69"/>
  <c r="AB21" i="76"/>
  <c r="AB37" i="76" s="1" a="1"/>
  <c r="AB37" i="76" s="1"/>
  <c r="K70" i="69"/>
  <c r="K121" i="76"/>
  <c r="N70" i="69"/>
  <c r="N121" i="76"/>
  <c r="X48" i="69"/>
  <c r="X24" i="76"/>
  <c r="X40" i="76" s="1" a="1"/>
  <c r="X40" i="76" s="1"/>
  <c r="X66" i="69"/>
  <c r="X126" i="76"/>
  <c r="M70" i="69"/>
  <c r="M121" i="76"/>
  <c r="N117" i="69"/>
  <c r="N155" i="76"/>
  <c r="L117" i="69"/>
  <c r="L155" i="76"/>
  <c r="AC122" i="69"/>
  <c r="AC171" i="76"/>
  <c r="AA125" i="69"/>
  <c r="AA174" i="76"/>
  <c r="F116" i="69"/>
  <c r="F154" i="76"/>
  <c r="AE118" i="69"/>
  <c r="AE167" i="76"/>
  <c r="X119" i="69"/>
  <c r="X168" i="76"/>
  <c r="AD119" i="69"/>
  <c r="AD168" i="76"/>
  <c r="AC116" i="69"/>
  <c r="AC165" i="76"/>
  <c r="V123" i="69"/>
  <c r="V172" i="76"/>
  <c r="AA120" i="69"/>
  <c r="AA169" i="76"/>
  <c r="X126" i="69"/>
  <c r="X175" i="76"/>
  <c r="L52" i="69"/>
  <c r="L20" i="76"/>
  <c r="L33" i="76" s="1" a="1"/>
  <c r="L33" i="76" s="1"/>
  <c r="J55" i="69"/>
  <c r="J23" i="76"/>
  <c r="J36" i="76" s="1" a="1"/>
  <c r="J36" i="76" s="1"/>
  <c r="AA46" i="69"/>
  <c r="AA78" i="69" s="1" a="1"/>
  <c r="AA78" i="69" s="1"/>
  <c r="K54" i="69"/>
  <c r="K22" i="76"/>
  <c r="K35" i="76" s="1" a="1"/>
  <c r="K35" i="76" s="1"/>
  <c r="E55" i="69"/>
  <c r="E23" i="76"/>
  <c r="E36" i="76" s="1" a="1"/>
  <c r="E36" i="76" s="1"/>
  <c r="I54" i="69"/>
  <c r="I22" i="76"/>
  <c r="I35" i="76" s="1" a="1"/>
  <c r="I35" i="76" s="1"/>
  <c r="N54" i="69"/>
  <c r="N22" i="76"/>
  <c r="N35" i="76" s="1" a="1"/>
  <c r="N35" i="76" s="1"/>
  <c r="I52" i="69"/>
  <c r="I20" i="76"/>
  <c r="I33" i="76" s="1" a="1"/>
  <c r="I33" i="76" s="1"/>
  <c r="N52" i="69"/>
  <c r="N20" i="76"/>
  <c r="N33" i="76" s="1" a="1"/>
  <c r="N33" i="76" s="1"/>
  <c r="X46" i="69"/>
  <c r="K52" i="69"/>
  <c r="K20" i="76"/>
  <c r="K33" i="76" s="1" a="1"/>
  <c r="K33" i="76" s="1"/>
  <c r="F55" i="69"/>
  <c r="F23" i="76"/>
  <c r="F36" i="76" s="1" a="1"/>
  <c r="F36" i="76" s="1"/>
  <c r="I53" i="69"/>
  <c r="I21" i="76"/>
  <c r="I34" i="76" s="1" a="1"/>
  <c r="I34" i="76" s="1"/>
  <c r="H52" i="69"/>
  <c r="H20" i="76"/>
  <c r="H33" i="76" s="1" a="1"/>
  <c r="H33" i="76" s="1"/>
  <c r="N55" i="69"/>
  <c r="N23" i="76"/>
  <c r="N36" i="76" s="1" a="1"/>
  <c r="N36" i="76" s="1"/>
  <c r="G55" i="69"/>
  <c r="G23" i="76"/>
  <c r="G36" i="76" s="1" a="1"/>
  <c r="G36" i="76" s="1"/>
  <c r="K53" i="69"/>
  <c r="K21" i="76"/>
  <c r="K34" i="76" s="1" a="1"/>
  <c r="K34" i="76" s="1"/>
  <c r="M55" i="69"/>
  <c r="M23" i="76"/>
  <c r="M36" i="76" s="1" a="1"/>
  <c r="M36" i="76" s="1"/>
  <c r="AC46" i="69"/>
  <c r="AC78" i="69" s="1" a="1"/>
  <c r="AC78" i="69" s="1"/>
  <c r="E52" i="69"/>
  <c r="E20" i="76"/>
  <c r="E33" i="76" s="1" a="1"/>
  <c r="E33" i="76" s="1"/>
  <c r="L55" i="69"/>
  <c r="L23" i="76"/>
  <c r="L36" i="76" s="1" a="1"/>
  <c r="L36" i="76" s="1"/>
  <c r="F53" i="69"/>
  <c r="F21" i="76"/>
  <c r="F34" i="76" s="1" a="1"/>
  <c r="F34" i="76" s="1"/>
  <c r="E54" i="69"/>
  <c r="E22" i="76"/>
  <c r="E35" i="76" s="1" a="1"/>
  <c r="E35" i="76" s="1"/>
  <c r="J54" i="69"/>
  <c r="J22" i="76"/>
  <c r="J35" i="76" s="1" a="1"/>
  <c r="J35" i="76" s="1"/>
  <c r="Y46" i="69"/>
  <c r="Y78" i="69" s="1" a="1"/>
  <c r="Y78" i="69" s="1"/>
  <c r="H54" i="69"/>
  <c r="H22" i="76"/>
  <c r="H35" i="76" s="1" a="1"/>
  <c r="H35" i="76" s="1"/>
  <c r="I55" i="69"/>
  <c r="I23" i="76"/>
  <c r="I36" i="76" s="1" a="1"/>
  <c r="I36" i="76" s="1"/>
  <c r="F52" i="69"/>
  <c r="F20" i="76"/>
  <c r="F33" i="76" s="1" a="1"/>
  <c r="F33" i="76" s="1"/>
  <c r="L54" i="69"/>
  <c r="L22" i="76"/>
  <c r="L35" i="76" s="1" a="1"/>
  <c r="L35" i="76" s="1"/>
  <c r="M52" i="69"/>
  <c r="M20" i="76"/>
  <c r="M33" i="76" s="1" a="1"/>
  <c r="M33" i="76" s="1"/>
  <c r="G53" i="69"/>
  <c r="G21" i="76"/>
  <c r="G34" i="76" s="1" a="1"/>
  <c r="G34" i="76" s="1"/>
  <c r="E53" i="69"/>
  <c r="E21" i="76"/>
  <c r="E34" i="76" s="1" a="1"/>
  <c r="E34" i="76" s="1"/>
  <c r="J52" i="69"/>
  <c r="J20" i="76"/>
  <c r="J33" i="76" s="1" a="1"/>
  <c r="J33" i="76" s="1"/>
  <c r="H55" i="69"/>
  <c r="H23" i="76"/>
  <c r="H36" i="76" s="1" a="1"/>
  <c r="H36" i="76" s="1"/>
  <c r="V46" i="69"/>
  <c r="V78" i="69" s="1" a="1"/>
  <c r="V78" i="69" s="1"/>
  <c r="W46" i="69"/>
  <c r="W78" i="69" s="1" a="1"/>
  <c r="W78" i="69" s="1"/>
  <c r="M53" i="69"/>
  <c r="M21" i="76"/>
  <c r="M34" i="76" s="1" a="1"/>
  <c r="M34" i="76" s="1"/>
  <c r="N53" i="69"/>
  <c r="N21" i="76"/>
  <c r="N34" i="76" s="1" a="1"/>
  <c r="N34" i="76" s="1"/>
  <c r="G54" i="69"/>
  <c r="G22" i="76"/>
  <c r="G35" i="76" s="1" a="1"/>
  <c r="G35" i="76" s="1"/>
  <c r="L53" i="69"/>
  <c r="L21" i="76"/>
  <c r="L34" i="76" s="1" a="1"/>
  <c r="L34" i="76" s="1"/>
  <c r="Z46" i="69"/>
  <c r="Z78" i="69" s="1" a="1"/>
  <c r="Z78" i="69" s="1"/>
  <c r="AB46" i="69"/>
  <c r="AB78" i="69" s="1" a="1"/>
  <c r="AB78" i="69" s="1"/>
  <c r="M54" i="69"/>
  <c r="M22" i="76"/>
  <c r="M35" i="76" s="1" a="1"/>
  <c r="M35" i="76" s="1"/>
  <c r="G52" i="69"/>
  <c r="G20" i="76"/>
  <c r="G33" i="76" s="1" a="1"/>
  <c r="G33" i="76" s="1"/>
  <c r="F54" i="69"/>
  <c r="F22" i="76"/>
  <c r="F35" i="76" s="1" a="1"/>
  <c r="F35" i="76" s="1"/>
  <c r="AD46" i="69"/>
  <c r="AD78" i="69" s="1" a="1"/>
  <c r="AD78" i="69" s="1"/>
  <c r="J53" i="69"/>
  <c r="J21" i="76"/>
  <c r="J34" i="76" s="1" a="1"/>
  <c r="J34" i="76" s="1"/>
  <c r="K55" i="69"/>
  <c r="K23" i="76"/>
  <c r="K36" i="76" s="1" a="1"/>
  <c r="K36" i="76" s="1"/>
  <c r="H53" i="69"/>
  <c r="H21" i="76"/>
  <c r="H34" i="76" s="1" a="1"/>
  <c r="H34" i="76" s="1"/>
  <c r="Y81" i="69" l="1" a="1"/>
  <c r="Y81" i="69" s="1"/>
  <c r="AD77" i="69" a="1"/>
  <c r="AD77" i="69" s="1"/>
  <c r="X82" i="69" a="1"/>
  <c r="X82" i="69" s="1"/>
  <c r="AA76" i="69" a="1"/>
  <c r="AA76" i="69" s="1"/>
  <c r="Z82" i="69" a="1"/>
  <c r="Z82" i="69" s="1"/>
  <c r="Y87" i="69" a="1"/>
  <c r="Y87" i="69" s="1"/>
  <c r="AB84" i="69" a="1"/>
  <c r="AB84" i="69" s="1"/>
  <c r="W81" i="69" a="1"/>
  <c r="W81" i="69" s="1"/>
  <c r="V86" i="69" a="1"/>
  <c r="V86" i="69" s="1"/>
  <c r="Y84" i="69" a="1"/>
  <c r="Y84" i="69" s="1"/>
  <c r="AE78" i="69" a="1"/>
  <c r="AE78" i="69" s="1"/>
  <c r="X79" i="69" a="1"/>
  <c r="X79" i="69" s="1"/>
  <c r="AE87" i="69" a="1"/>
  <c r="AE87" i="69" s="1"/>
  <c r="AB82" i="69" a="1"/>
  <c r="AB82" i="69" s="1"/>
  <c r="AA81" i="69" a="1"/>
  <c r="AA81" i="69" s="1"/>
  <c r="AB81" i="69" a="1"/>
  <c r="AB81" i="69" s="1"/>
  <c r="AD83" i="69" a="1"/>
  <c r="AD83" i="69" s="1"/>
  <c r="AC80" i="69" a="1"/>
  <c r="AC80" i="69" s="1"/>
  <c r="AA85" i="69" a="1"/>
  <c r="AA85" i="69" s="1"/>
  <c r="AA65" i="76" s="1"/>
  <c r="AB77" i="69" a="1"/>
  <c r="AB77" i="69" s="1"/>
  <c r="AB132" i="69" s="1" a="1"/>
  <c r="AB132" i="69" s="1"/>
  <c r="AC190" i="69" s="1" a="1"/>
  <c r="AC190" i="69" s="1"/>
  <c r="AC264" i="69" s="1" a="1"/>
  <c r="AC264" i="69" s="1"/>
  <c r="AA79" i="69" a="1"/>
  <c r="AA79" i="69" s="1"/>
  <c r="AA59" i="76" s="1"/>
  <c r="Z84" i="69" a="1"/>
  <c r="Z84" i="69" s="1"/>
  <c r="Z64" i="76" s="1"/>
  <c r="X78" i="69" a="1"/>
  <c r="X78" i="69" s="1"/>
  <c r="X85" i="69" a="1"/>
  <c r="X85" i="69" s="1"/>
  <c r="X140" i="69" s="1" a="1"/>
  <c r="X140" i="69" s="1"/>
  <c r="Y186" i="69" s="1" a="1"/>
  <c r="Y186" i="69" s="1"/>
  <c r="Y260" i="69" s="1" a="1"/>
  <c r="Y260" i="69" s="1"/>
  <c r="Y86" i="69" a="1"/>
  <c r="Y86" i="69" s="1"/>
  <c r="AE82" i="69" a="1"/>
  <c r="AE82" i="69" s="1"/>
  <c r="AC77" i="69" a="1"/>
  <c r="AC77" i="69" s="1"/>
  <c r="W82" i="69" a="1"/>
  <c r="W82" i="69" s="1"/>
  <c r="W137" i="69" s="1" a="1"/>
  <c r="W137" i="69" s="1"/>
  <c r="X195" i="69" s="1" a="1"/>
  <c r="X195" i="69" s="1"/>
  <c r="X269" i="69" s="1" a="1"/>
  <c r="X269" i="69" s="1"/>
  <c r="AE76" i="69" a="1"/>
  <c r="AE76" i="69" s="1"/>
  <c r="AE56" i="76" s="1"/>
  <c r="AE84" i="69" a="1"/>
  <c r="AE84" i="69" s="1"/>
  <c r="AE139" i="69" s="1" a="1"/>
  <c r="AE139" i="69" s="1"/>
  <c r="AF185" i="69" s="1" a="1"/>
  <c r="AF185" i="69" s="1"/>
  <c r="AF259" i="69" s="1" a="1"/>
  <c r="AF259" i="69" s="1"/>
  <c r="AA77" i="69" a="1"/>
  <c r="AA77" i="69" s="1"/>
  <c r="AA57" i="76" s="1"/>
  <c r="Z87" i="69" a="1"/>
  <c r="Z87" i="69" s="1"/>
  <c r="Z67" i="76" s="1"/>
  <c r="AB85" i="69" a="1"/>
  <c r="AB85" i="69" s="1"/>
  <c r="V85" i="69" a="1"/>
  <c r="V85" i="69" s="1"/>
  <c r="V140" i="69" s="1" a="1"/>
  <c r="V140" i="69" s="1"/>
  <c r="AD87" i="69" a="1"/>
  <c r="AD87" i="69" s="1"/>
  <c r="AD67" i="76" s="1"/>
  <c r="Y83" i="69" a="1"/>
  <c r="Y83" i="69" s="1"/>
  <c r="Y63" i="76" s="1"/>
  <c r="X81" i="69" a="1"/>
  <c r="X81" i="69" s="1"/>
  <c r="X77" i="69" a="1"/>
  <c r="X77" i="69" s="1"/>
  <c r="V87" i="69" a="1"/>
  <c r="V87" i="69" s="1"/>
  <c r="AE81" i="69" a="1"/>
  <c r="AE81" i="69" s="1"/>
  <c r="AB83" i="69" a="1"/>
  <c r="AB83" i="69" s="1"/>
  <c r="AB138" i="69" s="1" a="1"/>
  <c r="AB138" i="69" s="1"/>
  <c r="AC184" i="69" s="1" a="1"/>
  <c r="AC184" i="69" s="1"/>
  <c r="AC258" i="69" s="1" a="1"/>
  <c r="AC258" i="69" s="1"/>
  <c r="V84" i="69" a="1"/>
  <c r="V84" i="69" s="1"/>
  <c r="W80" i="69" a="1"/>
  <c r="W80" i="69" s="1"/>
  <c r="W135" i="69" s="1" a="1"/>
  <c r="W135" i="69" s="1"/>
  <c r="X193" i="69" s="1" a="1"/>
  <c r="X193" i="69" s="1"/>
  <c r="X267" i="69" s="1" a="1"/>
  <c r="X267" i="69" s="1"/>
  <c r="W84" i="69" a="1"/>
  <c r="W84" i="69" s="1"/>
  <c r="V81" i="69" a="1"/>
  <c r="V81" i="69" s="1"/>
  <c r="X80" i="69" a="1"/>
  <c r="X80" i="69" s="1"/>
  <c r="Z76" i="69" a="1"/>
  <c r="Z76" i="69" s="1"/>
  <c r="Z56" i="76" s="1"/>
  <c r="V76" i="69" a="1"/>
  <c r="V76" i="69" s="1"/>
  <c r="V56" i="76" s="1"/>
  <c r="AD76" i="69" a="1"/>
  <c r="AD76" i="69" s="1"/>
  <c r="AD85" i="69" a="1"/>
  <c r="AD85" i="69" s="1"/>
  <c r="AD65" i="76" s="1"/>
  <c r="AC82" i="69" a="1"/>
  <c r="AC82" i="69" s="1"/>
  <c r="AC137" i="69" s="1" a="1"/>
  <c r="AC137" i="69" s="1"/>
  <c r="AD195" i="69" s="1" a="1"/>
  <c r="AD195" i="69" s="1"/>
  <c r="AD269" i="69" s="1" a="1"/>
  <c r="AD269" i="69" s="1"/>
  <c r="AD79" i="69" a="1"/>
  <c r="AD79" i="69" s="1"/>
  <c r="AB76" i="69" a="1"/>
  <c r="AB76" i="69" s="1"/>
  <c r="X84" i="69" a="1"/>
  <c r="X84" i="69" s="1"/>
  <c r="AB80" i="69" a="1"/>
  <c r="AB80" i="69" s="1"/>
  <c r="Y85" i="69" a="1"/>
  <c r="Y85" i="69" s="1"/>
  <c r="Y140" i="69" s="1" a="1"/>
  <c r="Y140" i="69" s="1"/>
  <c r="AC81" i="69" a="1"/>
  <c r="AC81" i="69" s="1"/>
  <c r="AC61" i="76" s="1"/>
  <c r="W85" i="69" a="1"/>
  <c r="W85" i="69" s="1"/>
  <c r="AA84" i="69" a="1"/>
  <c r="AA84" i="69" s="1"/>
  <c r="AA139" i="69" s="1" a="1"/>
  <c r="AA139" i="69" s="1"/>
  <c r="AB197" i="69" s="1" a="1"/>
  <c r="AB197" i="69" s="1"/>
  <c r="AB271" i="69" s="1" a="1"/>
  <c r="AB271" i="69" s="1"/>
  <c r="AC86" i="69" a="1"/>
  <c r="AC86" i="69" s="1"/>
  <c r="V82" i="69" a="1"/>
  <c r="V82" i="69" s="1"/>
  <c r="V137" i="69" s="1" a="1"/>
  <c r="V137" i="69" s="1"/>
  <c r="AD81" i="69" a="1"/>
  <c r="AD81" i="69" s="1"/>
  <c r="AD136" i="69" s="1" a="1"/>
  <c r="AD136" i="69" s="1"/>
  <c r="AE182" i="69" s="1" a="1"/>
  <c r="AE182" i="69" s="1"/>
  <c r="AE256" i="69" s="1" a="1"/>
  <c r="AE256" i="69" s="1"/>
  <c r="Z80" i="69" a="1"/>
  <c r="Z80" i="69" s="1"/>
  <c r="AA87" i="69" a="1"/>
  <c r="AA87" i="69" s="1"/>
  <c r="AA67" i="76" s="1"/>
  <c r="Z79" i="69" a="1"/>
  <c r="Z79" i="69" s="1"/>
  <c r="Z134" i="69" s="1" a="1"/>
  <c r="Z134" i="69" s="1"/>
  <c r="AA192" i="69" s="1" a="1"/>
  <c r="AA192" i="69" s="1"/>
  <c r="AA266" i="69" s="1" a="1"/>
  <c r="AA266" i="69" s="1"/>
  <c r="AC85" i="69" a="1"/>
  <c r="AC85" i="69" s="1"/>
  <c r="Z81" i="69" a="1"/>
  <c r="Z81" i="69" s="1"/>
  <c r="Z136" i="69" s="1" a="1"/>
  <c r="Z136" i="69" s="1"/>
  <c r="AA82" i="69" a="1"/>
  <c r="AA82" i="69" s="1"/>
  <c r="AE77" i="69" a="1"/>
  <c r="AE77" i="69" s="1"/>
  <c r="AE57" i="76" s="1"/>
  <c r="X76" i="69" a="1"/>
  <c r="X76" i="69" s="1"/>
  <c r="X131" i="69" s="1" a="1"/>
  <c r="X131" i="69" s="1"/>
  <c r="Y189" i="69" s="1" a="1"/>
  <c r="Y189" i="69" s="1"/>
  <c r="Y263" i="69" s="1" a="1"/>
  <c r="Y263" i="69" s="1"/>
  <c r="V80" i="69" a="1"/>
  <c r="V80" i="69" s="1"/>
  <c r="V135" i="69" s="1" a="1"/>
  <c r="V135" i="69" s="1"/>
  <c r="W86" i="69" a="1"/>
  <c r="W86" i="69" s="1"/>
  <c r="W66" i="76" s="1"/>
  <c r="W77" i="69" a="1"/>
  <c r="W77" i="69" s="1"/>
  <c r="AB79" i="69" a="1"/>
  <c r="AB79" i="69" s="1"/>
  <c r="W83" i="69" a="1"/>
  <c r="W83" i="69" s="1"/>
  <c r="W138" i="69" s="1" a="1"/>
  <c r="W138" i="69" s="1"/>
  <c r="X184" i="69" s="1" a="1"/>
  <c r="X184" i="69" s="1"/>
  <c r="X258" i="69" s="1" a="1"/>
  <c r="X258" i="69" s="1"/>
  <c r="AC76" i="69" a="1"/>
  <c r="AC76" i="69" s="1"/>
  <c r="AC131" i="69" s="1" a="1"/>
  <c r="AC131" i="69" s="1"/>
  <c r="AD189" i="69" s="1" a="1"/>
  <c r="AD189" i="69" s="1"/>
  <c r="AD263" i="69" s="1" a="1"/>
  <c r="AD263" i="69" s="1"/>
  <c r="AE86" i="69" a="1"/>
  <c r="AE86" i="69" s="1"/>
  <c r="AD82" i="69" a="1"/>
  <c r="AD82" i="69" s="1"/>
  <c r="V79" i="69" a="1"/>
  <c r="V79" i="69" s="1"/>
  <c r="V59" i="76" s="1"/>
  <c r="AC83" i="69" a="1"/>
  <c r="AC83" i="69" s="1"/>
  <c r="Y58" i="76"/>
  <c r="AC63" i="76"/>
  <c r="AE134" i="69" a="1"/>
  <c r="AE134" i="69" s="1"/>
  <c r="AF192" i="69" s="1" a="1"/>
  <c r="AF192" i="69" s="1"/>
  <c r="AF266" i="69" s="1" a="1"/>
  <c r="AF266" i="69" s="1"/>
  <c r="H84" i="69" a="1"/>
  <c r="H84" i="69" s="1"/>
  <c r="H131" i="69" s="1" a="1"/>
  <c r="H131" i="69" s="1"/>
  <c r="I181" i="69" s="1" a="1"/>
  <c r="I181" i="69" s="1"/>
  <c r="I239" i="69" s="1" a="1"/>
  <c r="I239" i="69" s="1"/>
  <c r="AC142" i="69" a="1"/>
  <c r="AC142" i="69" s="1"/>
  <c r="AD200" i="69" s="1" a="1"/>
  <c r="AD200" i="69" s="1"/>
  <c r="AD274" i="69" s="1" a="1"/>
  <c r="AD274" i="69" s="1"/>
  <c r="AB59" i="76"/>
  <c r="G84" i="69" a="1"/>
  <c r="G84" i="69" s="1"/>
  <c r="G131" i="69" s="1" a="1"/>
  <c r="G131" i="69" s="1"/>
  <c r="H177" i="69" s="1" a="1"/>
  <c r="H177" i="69" s="1"/>
  <c r="H235" i="69" s="1" a="1"/>
  <c r="H235" i="69" s="1"/>
  <c r="AC134" i="69" a="1"/>
  <c r="AC134" i="69" s="1"/>
  <c r="AD192" i="69" s="1" a="1"/>
  <c r="AD192" i="69" s="1"/>
  <c r="AD266" i="69" s="1" a="1"/>
  <c r="AD266" i="69" s="1"/>
  <c r="AD62" i="76"/>
  <c r="J87" i="69" a="1"/>
  <c r="J87" i="69" s="1"/>
  <c r="J134" i="69" s="1" a="1"/>
  <c r="J134" i="69" s="1"/>
  <c r="K184" i="69" s="1" a="1"/>
  <c r="K184" i="69" s="1"/>
  <c r="K242" i="69" s="1" a="1"/>
  <c r="K242" i="69" s="1"/>
  <c r="V132" i="69" a="1"/>
  <c r="V132" i="69" s="1"/>
  <c r="W178" i="69" s="1" a="1"/>
  <c r="W178" i="69" s="1"/>
  <c r="W252" i="69" s="1" a="1"/>
  <c r="W252" i="69" s="1"/>
  <c r="AE140" i="69" a="1"/>
  <c r="AE140" i="69" s="1"/>
  <c r="AF186" i="69" s="1" a="1"/>
  <c r="AF186" i="69" s="1"/>
  <c r="AF260" i="69" s="1" a="1"/>
  <c r="AF260" i="69" s="1"/>
  <c r="W59" i="76"/>
  <c r="Z140" i="69" a="1"/>
  <c r="Z140" i="69" s="1"/>
  <c r="AA186" i="69" s="1" a="1"/>
  <c r="AA186" i="69" s="1"/>
  <c r="AA260" i="69" s="1" a="1"/>
  <c r="AA260" i="69" s="1"/>
  <c r="AC141" i="69" a="1"/>
  <c r="AC141" i="69" s="1"/>
  <c r="AD199" i="69" s="1" a="1"/>
  <c r="AD199" i="69" s="1"/>
  <c r="AD273" i="69" s="1" a="1"/>
  <c r="AD273" i="69" s="1"/>
  <c r="AB61" i="76"/>
  <c r="W136" i="69" a="1"/>
  <c r="W136" i="69" s="1"/>
  <c r="X194" i="69" s="1" a="1"/>
  <c r="X194" i="69" s="1"/>
  <c r="X268" i="69" s="1" a="1"/>
  <c r="X268" i="69" s="1"/>
  <c r="AD63" i="76"/>
  <c r="AB60" i="76"/>
  <c r="X138" i="69" a="1"/>
  <c r="X138" i="69" s="1"/>
  <c r="Y184" i="69" s="1" a="1"/>
  <c r="Y184" i="69" s="1"/>
  <c r="Y258" i="69" s="1" a="1"/>
  <c r="Y258" i="69" s="1"/>
  <c r="AD142" i="69" a="1"/>
  <c r="AD142" i="69" s="1"/>
  <c r="AE200" i="69" s="1" a="1"/>
  <c r="AE200" i="69" s="1"/>
  <c r="AE274" i="69" s="1" a="1"/>
  <c r="AE274" i="69" s="1"/>
  <c r="AA131" i="69" a="1"/>
  <c r="AA131" i="69" s="1"/>
  <c r="AB177" i="69" s="1" a="1"/>
  <c r="AB177" i="69" s="1"/>
  <c r="AB251" i="69" s="1" a="1"/>
  <c r="AB251" i="69" s="1"/>
  <c r="AB139" i="69" a="1"/>
  <c r="AB139" i="69" s="1"/>
  <c r="N84" i="69" a="1"/>
  <c r="N84" i="69" s="1"/>
  <c r="N131" i="69" s="1" a="1"/>
  <c r="N131" i="69" s="1"/>
  <c r="O177" i="69" s="1" a="1"/>
  <c r="O177" i="69" s="1"/>
  <c r="O235" i="69" s="1" a="1"/>
  <c r="O235" i="69" s="1"/>
  <c r="X139" i="69" a="1"/>
  <c r="X139" i="69" s="1"/>
  <c r="Y185" i="69" s="1" a="1"/>
  <c r="Y185" i="69" s="1"/>
  <c r="Y259" i="69" s="1" a="1"/>
  <c r="Y259" i="69" s="1"/>
  <c r="Y59" i="76"/>
  <c r="AB142" i="69" a="1"/>
  <c r="AB142" i="69" s="1"/>
  <c r="AC188" i="69" s="1" a="1"/>
  <c r="AC188" i="69" s="1"/>
  <c r="AC262" i="69" s="1" a="1"/>
  <c r="AC262" i="69" s="1"/>
  <c r="AE135" i="69" a="1"/>
  <c r="AE135" i="69" s="1"/>
  <c r="AF193" i="69" s="1" a="1"/>
  <c r="AF193" i="69" s="1"/>
  <c r="AF267" i="69" s="1" a="1"/>
  <c r="AF267" i="69" s="1"/>
  <c r="W67" i="76"/>
  <c r="X141" i="69" a="1"/>
  <c r="X141" i="69" s="1"/>
  <c r="Y199" i="69" s="1" a="1"/>
  <c r="Y199" i="69" s="1"/>
  <c r="Y273" i="69" s="1" a="1"/>
  <c r="Y273" i="69" s="1"/>
  <c r="AA60" i="76"/>
  <c r="Y62" i="76"/>
  <c r="AD141" i="69" a="1"/>
  <c r="AD141" i="69" s="1"/>
  <c r="AB140" i="69" a="1"/>
  <c r="AB140" i="69" s="1"/>
  <c r="AC186" i="69" s="1" a="1"/>
  <c r="AC186" i="69" s="1"/>
  <c r="AC260" i="69" s="1" a="1"/>
  <c r="AC260" i="69" s="1"/>
  <c r="AD139" i="69" a="1"/>
  <c r="AD139" i="69" s="1"/>
  <c r="AE197" i="69" s="1" a="1"/>
  <c r="AE197" i="69" s="1"/>
  <c r="AE271" i="69" s="1" a="1"/>
  <c r="AE271" i="69" s="1"/>
  <c r="AE142" i="69" a="1"/>
  <c r="AE142" i="69" s="1"/>
  <c r="AF188" i="69" s="1" a="1"/>
  <c r="AF188" i="69" s="1"/>
  <c r="AF262" i="69" s="1" a="1"/>
  <c r="AF262" i="69" s="1"/>
  <c r="I86" i="69" a="1"/>
  <c r="I86" i="69" s="1"/>
  <c r="I56" i="76" s="1"/>
  <c r="I64" i="76" s="1" a="1"/>
  <c r="I64" i="76" s="1"/>
  <c r="I129" i="76" s="1" a="1"/>
  <c r="I129" i="76" s="1"/>
  <c r="I171" i="76" s="1" a="1"/>
  <c r="I171" i="76" s="1"/>
  <c r="I209" i="76" s="1" a="1"/>
  <c r="I209" i="76" s="1"/>
  <c r="I85" i="69" a="1"/>
  <c r="I85" i="69" s="1"/>
  <c r="I55" i="76" s="1"/>
  <c r="I63" i="76" s="1" a="1"/>
  <c r="I63" i="76" s="1"/>
  <c r="I128" i="76" s="1" a="1"/>
  <c r="I128" i="76" s="1"/>
  <c r="I170" i="76" s="1" a="1"/>
  <c r="I170" i="76" s="1"/>
  <c r="I208" i="76" s="1" a="1"/>
  <c r="I208" i="76" s="1"/>
  <c r="AD131" i="69" a="1"/>
  <c r="AD131" i="69" s="1"/>
  <c r="AE177" i="69" s="1" a="1"/>
  <c r="AE177" i="69" s="1"/>
  <c r="AE251" i="69" s="1" a="1"/>
  <c r="AE251" i="69" s="1"/>
  <c r="X134" i="69" a="1"/>
  <c r="X134" i="69" s="1"/>
  <c r="Y192" i="69" s="1" a="1"/>
  <c r="Y192" i="69" s="1"/>
  <c r="Y266" i="69" s="1" a="1"/>
  <c r="Y266" i="69" s="1"/>
  <c r="L87" i="69" a="1"/>
  <c r="L87" i="69" s="1"/>
  <c r="L57" i="76" s="1"/>
  <c r="L65" i="76" s="1" a="1"/>
  <c r="L65" i="76" s="1"/>
  <c r="L130" i="76" s="1" a="1"/>
  <c r="L130" i="76" s="1"/>
  <c r="L172" i="76" s="1" a="1"/>
  <c r="L172" i="76" s="1"/>
  <c r="L210" i="76" s="1" a="1"/>
  <c r="L210" i="76" s="1"/>
  <c r="AD59" i="76"/>
  <c r="AE133" i="69" a="1"/>
  <c r="AE133" i="69" s="1"/>
  <c r="AF191" i="69" s="1" a="1"/>
  <c r="AF191" i="69" s="1"/>
  <c r="AF265" i="69" s="1" a="1"/>
  <c r="AF265" i="69" s="1"/>
  <c r="AE138" i="69" a="1"/>
  <c r="AE138" i="69" s="1"/>
  <c r="AF184" i="69" s="1" a="1"/>
  <c r="AF184" i="69" s="1"/>
  <c r="AF258" i="69" s="1" a="1"/>
  <c r="AF258" i="69" s="1"/>
  <c r="Z141" i="69" a="1"/>
  <c r="Z141" i="69" s="1"/>
  <c r="AA187" i="69" s="1" a="1"/>
  <c r="AA187" i="69" s="1"/>
  <c r="AA261" i="69" s="1" a="1"/>
  <c r="AA261" i="69" s="1"/>
  <c r="E85" i="69" a="1"/>
  <c r="E85" i="69" s="1"/>
  <c r="E132" i="69" s="1" a="1"/>
  <c r="E132" i="69" s="1"/>
  <c r="F178" i="69" s="1" a="1"/>
  <c r="F178" i="69" s="1"/>
  <c r="F236" i="69" s="1" a="1"/>
  <c r="F236" i="69" s="1"/>
  <c r="G87" i="69" a="1"/>
  <c r="G87" i="69" s="1"/>
  <c r="G57" i="76" s="1"/>
  <c r="E86" i="69" a="1"/>
  <c r="E86" i="69" s="1"/>
  <c r="E133" i="69" s="1" a="1"/>
  <c r="E133" i="69" s="1"/>
  <c r="F179" i="69" s="1" a="1"/>
  <c r="F179" i="69" s="1"/>
  <c r="F237" i="69" s="1" a="1"/>
  <c r="F237" i="69" s="1"/>
  <c r="Z62" i="76"/>
  <c r="Y136" i="69" a="1"/>
  <c r="Y136" i="69" s="1"/>
  <c r="W139" i="69" a="1"/>
  <c r="W139" i="69" s="1"/>
  <c r="X197" i="69" s="1" a="1"/>
  <c r="X197" i="69" s="1"/>
  <c r="X271" i="69" s="1" a="1"/>
  <c r="X271" i="69" s="1"/>
  <c r="AA138" i="69" a="1"/>
  <c r="AA138" i="69" s="1"/>
  <c r="AB196" i="69" s="1" a="1"/>
  <c r="AB196" i="69" s="1"/>
  <c r="AB270" i="69" s="1" a="1"/>
  <c r="AB270" i="69" s="1"/>
  <c r="AE136" i="69" a="1"/>
  <c r="AE136" i="69" s="1"/>
  <c r="AF182" i="69" s="1" a="1"/>
  <c r="AF182" i="69" s="1"/>
  <c r="AF256" i="69" s="1" a="1"/>
  <c r="AF256" i="69" s="1"/>
  <c r="X60" i="76"/>
  <c r="E87" i="69" a="1"/>
  <c r="E87" i="69" s="1"/>
  <c r="E134" i="69" s="1" a="1"/>
  <c r="E134" i="69" s="1"/>
  <c r="F184" i="69" s="1" a="1"/>
  <c r="F184" i="69" s="1"/>
  <c r="F242" i="69" s="1" a="1"/>
  <c r="F242" i="69" s="1"/>
  <c r="Z58" i="76"/>
  <c r="AB141" i="69" a="1"/>
  <c r="AB141" i="69" s="1"/>
  <c r="AC199" i="69" s="1" a="1"/>
  <c r="AC199" i="69" s="1"/>
  <c r="AC273" i="69" s="1" a="1"/>
  <c r="AC273" i="69" s="1"/>
  <c r="K87" i="69" a="1"/>
  <c r="K87" i="69" s="1"/>
  <c r="K57" i="76" s="1"/>
  <c r="M85" i="69" a="1"/>
  <c r="M85" i="69" s="1"/>
  <c r="M132" i="69" s="1" a="1"/>
  <c r="M132" i="69" s="1"/>
  <c r="N178" i="69" s="1" a="1"/>
  <c r="N178" i="69" s="1"/>
  <c r="N236" i="69" s="1" a="1"/>
  <c r="N236" i="69" s="1"/>
  <c r="F85" i="69" a="1"/>
  <c r="F85" i="69" s="1"/>
  <c r="F132" i="69" s="1" a="1"/>
  <c r="F132" i="69" s="1"/>
  <c r="G178" i="69" s="1" a="1"/>
  <c r="G178" i="69" s="1"/>
  <c r="G236" i="69" s="1" a="1"/>
  <c r="G236" i="69" s="1"/>
  <c r="Y131" i="69" a="1"/>
  <c r="Y131" i="69" s="1"/>
  <c r="Y142" i="69" a="1"/>
  <c r="Y142" i="69" s="1"/>
  <c r="H86" i="69" a="1"/>
  <c r="H86" i="69" s="1"/>
  <c r="H56" i="76" s="1"/>
  <c r="H64" i="76" s="1" a="1"/>
  <c r="H64" i="76" s="1"/>
  <c r="H129" i="76" s="1" a="1"/>
  <c r="H129" i="76" s="1"/>
  <c r="H171" i="76" s="1" a="1"/>
  <c r="H171" i="76" s="1"/>
  <c r="H209" i="76" s="1" a="1"/>
  <c r="H209" i="76" s="1"/>
  <c r="X133" i="69" a="1"/>
  <c r="X133" i="69" s="1"/>
  <c r="Y179" i="69" s="1" a="1"/>
  <c r="Y179" i="69" s="1"/>
  <c r="Y253" i="69" s="1" a="1"/>
  <c r="Y253" i="69" s="1"/>
  <c r="AA136" i="69" a="1"/>
  <c r="AA136" i="69" s="1"/>
  <c r="AB194" i="69" s="1" a="1"/>
  <c r="AB194" i="69" s="1"/>
  <c r="AB268" i="69" s="1" a="1"/>
  <c r="AB268" i="69" s="1"/>
  <c r="W131" i="69" a="1"/>
  <c r="W131" i="69" s="1"/>
  <c r="X189" i="69" s="1" a="1"/>
  <c r="X189" i="69" s="1"/>
  <c r="X263" i="69" s="1" a="1"/>
  <c r="X263" i="69" s="1"/>
  <c r="AC132" i="69" a="1"/>
  <c r="AC132" i="69" s="1"/>
  <c r="AD135" i="69" a="1"/>
  <c r="AD135" i="69" s="1"/>
  <c r="AE193" i="69" s="1" a="1"/>
  <c r="AE193" i="69" s="1"/>
  <c r="AE267" i="69" s="1" a="1"/>
  <c r="AE267" i="69" s="1"/>
  <c r="M84" i="69" a="1"/>
  <c r="M84" i="69" s="1"/>
  <c r="M131" i="69" s="1" a="1"/>
  <c r="M131" i="69" s="1"/>
  <c r="N177" i="69" s="1" a="1"/>
  <c r="N177" i="69" s="1"/>
  <c r="N235" i="69" s="1" a="1"/>
  <c r="N235" i="69" s="1"/>
  <c r="N87" i="69" a="1"/>
  <c r="N87" i="69" s="1"/>
  <c r="N57" i="76" s="1"/>
  <c r="N65" i="76" s="1" a="1"/>
  <c r="N65" i="76" s="1"/>
  <c r="N130" i="76" s="1" a="1"/>
  <c r="N130" i="76" s="1"/>
  <c r="N172" i="76" s="1" a="1"/>
  <c r="N172" i="76" s="1"/>
  <c r="N210" i="76" s="1" a="1"/>
  <c r="N210" i="76" s="1"/>
  <c r="N85" i="69" a="1"/>
  <c r="N85" i="69" s="1"/>
  <c r="N132" i="69" s="1" a="1"/>
  <c r="N132" i="69" s="1"/>
  <c r="L84" i="69" a="1"/>
  <c r="L84" i="69" s="1"/>
  <c r="L131" i="69" s="1" a="1"/>
  <c r="L131" i="69" s="1"/>
  <c r="M177" i="69" s="1" a="1"/>
  <c r="M177" i="69" s="1"/>
  <c r="M235" i="69" s="1" a="1"/>
  <c r="M235" i="69" s="1"/>
  <c r="AE137" i="69" a="1"/>
  <c r="AE137" i="69" s="1"/>
  <c r="Y57" i="76"/>
  <c r="X136" i="69" a="1"/>
  <c r="X136" i="69" s="1"/>
  <c r="Y194" i="69" s="1" a="1"/>
  <c r="Y194" i="69" s="1"/>
  <c r="Y268" i="69" s="1" a="1"/>
  <c r="Y268" i="69" s="1"/>
  <c r="X132" i="69" a="1"/>
  <c r="X132" i="69" s="1"/>
  <c r="V142" i="69" a="1"/>
  <c r="V142" i="69" s="1"/>
  <c r="W200" i="69" s="1" a="1"/>
  <c r="W200" i="69" s="1"/>
  <c r="W274" i="69" s="1" a="1"/>
  <c r="W274" i="69" s="1"/>
  <c r="V61" i="76"/>
  <c r="I84" i="69" a="1"/>
  <c r="I84" i="69" s="1"/>
  <c r="I131" i="69" s="1" a="1"/>
  <c r="I131" i="69" s="1"/>
  <c r="J177" i="69" s="1" a="1"/>
  <c r="J177" i="69" s="1"/>
  <c r="J235" i="69" s="1" a="1"/>
  <c r="J235" i="69" s="1"/>
  <c r="Z138" i="69" a="1"/>
  <c r="Z138" i="69" s="1"/>
  <c r="AC139" i="69" a="1"/>
  <c r="AC139" i="69" s="1"/>
  <c r="AB56" i="76"/>
  <c r="AD58" i="76"/>
  <c r="AC135" i="69" a="1"/>
  <c r="AC135" i="69" s="1"/>
  <c r="V133" i="69" a="1"/>
  <c r="V133" i="69" s="1"/>
  <c r="W191" i="69" s="1" a="1"/>
  <c r="W191" i="69" s="1"/>
  <c r="W265" i="69" s="1" a="1"/>
  <c r="W265" i="69" s="1"/>
  <c r="Y141" i="69" a="1"/>
  <c r="Y141" i="69" s="1"/>
  <c r="Z199" i="69" s="1" a="1"/>
  <c r="Z199" i="69" s="1"/>
  <c r="Z273" i="69" s="1" a="1"/>
  <c r="Z273" i="69" s="1"/>
  <c r="M86" i="69" a="1"/>
  <c r="M86" i="69" s="1"/>
  <c r="M133" i="69" s="1" a="1"/>
  <c r="M133" i="69" s="1"/>
  <c r="N179" i="69" s="1" a="1"/>
  <c r="N179" i="69" s="1"/>
  <c r="N237" i="69" s="1" a="1"/>
  <c r="N237" i="69" s="1"/>
  <c r="H87" i="69" a="1"/>
  <c r="H87" i="69" s="1"/>
  <c r="H134" i="69" s="1" a="1"/>
  <c r="H134" i="69" s="1"/>
  <c r="I180" i="69" s="1" a="1"/>
  <c r="I180" i="69" s="1"/>
  <c r="I238" i="69" s="1" a="1"/>
  <c r="I238" i="69" s="1"/>
  <c r="F84" i="69" a="1"/>
  <c r="F84" i="69" s="1"/>
  <c r="F131" i="69" s="1" a="1"/>
  <c r="F131" i="69" s="1"/>
  <c r="AB133" i="69" a="1"/>
  <c r="AB133" i="69" s="1"/>
  <c r="AC179" i="69" s="1" a="1"/>
  <c r="AC179" i="69" s="1"/>
  <c r="AC253" i="69" s="1" a="1"/>
  <c r="AC253" i="69" s="1"/>
  <c r="V141" i="69" a="1"/>
  <c r="V141" i="69" s="1"/>
  <c r="W199" i="69" s="1" a="1"/>
  <c r="W199" i="69" s="1"/>
  <c r="W273" i="69" s="1" a="1"/>
  <c r="W273" i="69" s="1"/>
  <c r="Y64" i="76"/>
  <c r="L85" i="69" a="1"/>
  <c r="L85" i="69" s="1"/>
  <c r="L132" i="69" s="1" a="1"/>
  <c r="L132" i="69" s="1"/>
  <c r="J84" i="69" a="1"/>
  <c r="J84" i="69" s="1"/>
  <c r="J131" i="69" s="1" a="1"/>
  <c r="J131" i="69" s="1"/>
  <c r="K181" i="69" s="1" a="1"/>
  <c r="K181" i="69" s="1"/>
  <c r="K239" i="69" s="1" a="1"/>
  <c r="K239" i="69" s="1"/>
  <c r="K85" i="69" a="1"/>
  <c r="K85" i="69" s="1"/>
  <c r="K55" i="76" s="1"/>
  <c r="J85" i="69" a="1"/>
  <c r="J85" i="69" s="1"/>
  <c r="J132" i="69" s="1" a="1"/>
  <c r="J132" i="69" s="1"/>
  <c r="K182" i="69" s="1" a="1"/>
  <c r="K182" i="69" s="1"/>
  <c r="K240" i="69" s="1" a="1"/>
  <c r="K240" i="69" s="1"/>
  <c r="G85" i="69" a="1"/>
  <c r="G85" i="69" s="1"/>
  <c r="G132" i="69" s="1" a="1"/>
  <c r="G132" i="69" s="1"/>
  <c r="H178" i="69" s="1" a="1"/>
  <c r="H178" i="69" s="1"/>
  <c r="H236" i="69" s="1" a="1"/>
  <c r="H236" i="69" s="1"/>
  <c r="L86" i="69" a="1"/>
  <c r="L86" i="69" s="1"/>
  <c r="L133" i="69" s="1" a="1"/>
  <c r="L133" i="69" s="1"/>
  <c r="M179" i="69" s="1" a="1"/>
  <c r="M179" i="69" s="1"/>
  <c r="M237" i="69" s="1" a="1"/>
  <c r="M237" i="69" s="1"/>
  <c r="N86" i="69" a="1"/>
  <c r="N86" i="69" s="1"/>
  <c r="N133" i="69" s="1" a="1"/>
  <c r="N133" i="69" s="1"/>
  <c r="O183" i="69" s="1" a="1"/>
  <c r="O183" i="69" s="1"/>
  <c r="O241" i="69" s="1" a="1"/>
  <c r="O241" i="69" s="1"/>
  <c r="I87" i="69" a="1"/>
  <c r="I87" i="69" s="1"/>
  <c r="I57" i="76" s="1"/>
  <c r="I65" i="76" s="1" a="1"/>
  <c r="I65" i="76" s="1"/>
  <c r="I130" i="76" s="1" a="1"/>
  <c r="I130" i="76" s="1"/>
  <c r="I172" i="76" s="1" a="1"/>
  <c r="I172" i="76" s="1"/>
  <c r="I210" i="76" s="1" a="1"/>
  <c r="I210" i="76" s="1"/>
  <c r="F87" i="69" a="1"/>
  <c r="F87" i="69" s="1"/>
  <c r="F57" i="76" s="1"/>
  <c r="F65" i="76" s="1" a="1"/>
  <c r="F65" i="76" s="1"/>
  <c r="F130" i="76" s="1" a="1"/>
  <c r="F130" i="76" s="1"/>
  <c r="F172" i="76" s="1" a="1"/>
  <c r="F172" i="76" s="1"/>
  <c r="F210" i="76" s="1" a="1"/>
  <c r="F210" i="76" s="1"/>
  <c r="H85" i="69" a="1"/>
  <c r="H85" i="69" s="1"/>
  <c r="H132" i="69" s="1" a="1"/>
  <c r="H132" i="69" s="1"/>
  <c r="I178" i="69" s="1" a="1"/>
  <c r="I178" i="69" s="1"/>
  <c r="I236" i="69" s="1" a="1"/>
  <c r="I236" i="69" s="1"/>
  <c r="M87" i="69" a="1"/>
  <c r="M87" i="69" s="1"/>
  <c r="M134" i="69" s="1" a="1"/>
  <c r="M134" i="69" s="1"/>
  <c r="N180" i="69" s="1" a="1"/>
  <c r="N180" i="69" s="1"/>
  <c r="N238" i="69" s="1" a="1"/>
  <c r="N238" i="69" s="1"/>
  <c r="K84" i="69" a="1"/>
  <c r="K84" i="69" s="1"/>
  <c r="K131" i="69" s="1" a="1"/>
  <c r="K131" i="69" s="1"/>
  <c r="K86" i="69" a="1"/>
  <c r="K86" i="69" s="1"/>
  <c r="K133" i="69" s="1" a="1"/>
  <c r="K133" i="69" s="1"/>
  <c r="F86" i="69" a="1"/>
  <c r="F86" i="69" s="1"/>
  <c r="F56" i="76" s="1"/>
  <c r="F64" i="76" s="1" a="1"/>
  <c r="F64" i="76" s="1"/>
  <c r="F129" i="76" s="1" a="1"/>
  <c r="F129" i="76" s="1"/>
  <c r="F171" i="76" s="1" a="1"/>
  <c r="F171" i="76" s="1"/>
  <c r="F209" i="76" s="1" a="1"/>
  <c r="F209" i="76" s="1"/>
  <c r="AA141" i="69" a="1"/>
  <c r="AA141" i="69" s="1"/>
  <c r="AB199" i="69" s="1" a="1"/>
  <c r="AB199" i="69" s="1"/>
  <c r="AB273" i="69" s="1" a="1"/>
  <c r="AB273" i="69" s="1"/>
  <c r="AD57" i="76"/>
  <c r="AA137" i="69" a="1"/>
  <c r="AA137" i="69" s="1"/>
  <c r="W140" i="69" a="1"/>
  <c r="W140" i="69" s="1"/>
  <c r="X137" i="69" a="1"/>
  <c r="X137" i="69" s="1"/>
  <c r="G86" i="69" a="1"/>
  <c r="G86" i="69" s="1"/>
  <c r="G56" i="76" s="1"/>
  <c r="AC133" i="69" a="1"/>
  <c r="AC133" i="69" s="1"/>
  <c r="AD191" i="69" s="1" a="1"/>
  <c r="AD191" i="69" s="1"/>
  <c r="AD265" i="69" s="1" a="1"/>
  <c r="AD265" i="69" s="1"/>
  <c r="AC58" i="76"/>
  <c r="E84" i="69" a="1"/>
  <c r="E84" i="69" s="1"/>
  <c r="Z132" i="69" a="1"/>
  <c r="Z132" i="69" s="1"/>
  <c r="Z57" i="76"/>
  <c r="J86" i="69" a="1"/>
  <c r="J86" i="69" s="1"/>
  <c r="Y135" i="69" a="1"/>
  <c r="Y135" i="69" s="1"/>
  <c r="Z193" i="69" s="1" a="1"/>
  <c r="Z193" i="69" s="1"/>
  <c r="Z267" i="69" s="1" a="1"/>
  <c r="Z267" i="69" s="1"/>
  <c r="Y60" i="76"/>
  <c r="X142" i="69" a="1"/>
  <c r="X142" i="69" s="1"/>
  <c r="Y188" i="69" s="1" a="1"/>
  <c r="Y188" i="69" s="1"/>
  <c r="Y262" i="69" s="1" a="1"/>
  <c r="Y262" i="69" s="1"/>
  <c r="X67" i="76"/>
  <c r="W133" i="69" a="1"/>
  <c r="W133" i="69" s="1"/>
  <c r="X179" i="69" s="1" a="1"/>
  <c r="X179" i="69" s="1"/>
  <c r="X253" i="69" s="1" a="1"/>
  <c r="X253" i="69" s="1"/>
  <c r="W58" i="76"/>
  <c r="V138" i="69" a="1"/>
  <c r="V138" i="69" s="1"/>
  <c r="W196" i="69" s="1" a="1"/>
  <c r="W196" i="69" s="1"/>
  <c r="W270" i="69" s="1" a="1"/>
  <c r="W270" i="69" s="1"/>
  <c r="V63" i="76"/>
  <c r="AB137" i="69" a="1"/>
  <c r="AB137" i="69" s="1"/>
  <c r="AC195" i="69" s="1" a="1"/>
  <c r="AC195" i="69" s="1"/>
  <c r="AC269" i="69" s="1" a="1"/>
  <c r="AC269" i="69" s="1"/>
  <c r="AB62" i="76"/>
  <c r="A39" i="74"/>
  <c r="A38" i="74"/>
  <c r="A37" i="74"/>
  <c r="A36" i="74"/>
  <c r="A33" i="74"/>
  <c r="A30" i="74"/>
  <c r="A29" i="74"/>
  <c r="A28" i="74"/>
  <c r="A27" i="74"/>
  <c r="A26" i="74"/>
  <c r="A25" i="74"/>
  <c r="A24" i="74"/>
  <c r="A19" i="74"/>
  <c r="A18" i="74"/>
  <c r="A15" i="74"/>
  <c r="A14" i="74"/>
  <c r="A13" i="74"/>
  <c r="A12" i="74"/>
  <c r="A11" i="74"/>
  <c r="A10" i="74"/>
  <c r="A9" i="74"/>
  <c r="A8" i="74"/>
  <c r="A7" i="74"/>
  <c r="A4" i="74"/>
  <c r="AD83" i="76" l="1" a="1"/>
  <c r="AD83" i="76" s="1"/>
  <c r="AD147" i="76" s="1" a="1"/>
  <c r="AD147" i="76" s="1"/>
  <c r="AD207" i="76" s="1" a="1"/>
  <c r="AD207" i="76" s="1"/>
  <c r="AD259" i="76" s="1" a="1"/>
  <c r="AD259" i="76" s="1"/>
  <c r="W199" i="76" a="1"/>
  <c r="W199" i="76" s="1"/>
  <c r="Z204" i="76" a="1"/>
  <c r="Z204" i="76" s="1"/>
  <c r="AD202" i="76" a="1"/>
  <c r="AD202" i="76" s="1"/>
  <c r="W206" i="76" a="1"/>
  <c r="W206" i="76" s="1"/>
  <c r="Y197" i="76" a="1"/>
  <c r="Y197" i="76" s="1"/>
  <c r="AD137" i="69" a="1"/>
  <c r="AD137" i="69" s="1"/>
  <c r="AE195" i="69" s="1" a="1"/>
  <c r="AE195" i="69" s="1"/>
  <c r="AE269" i="69" s="1" a="1"/>
  <c r="AE269" i="69" s="1"/>
  <c r="AC59" i="76"/>
  <c r="H54" i="76"/>
  <c r="H62" i="76" s="1" a="1"/>
  <c r="H62" i="76" s="1"/>
  <c r="H127" i="76" s="1" a="1"/>
  <c r="H127" i="76" s="1"/>
  <c r="H169" i="76" s="1" a="1"/>
  <c r="H169" i="76" s="1"/>
  <c r="H207" i="76" s="1" a="1"/>
  <c r="H207" i="76" s="1"/>
  <c r="AC138" i="69" a="1"/>
  <c r="AC138" i="69" s="1"/>
  <c r="AD184" i="69" s="1" a="1"/>
  <c r="AD184" i="69" s="1"/>
  <c r="AD258" i="69" s="1" a="1"/>
  <c r="AD258" i="69" s="1"/>
  <c r="Y133" i="69" a="1"/>
  <c r="Y133" i="69" s="1"/>
  <c r="Z191" i="69" s="1" a="1"/>
  <c r="Z191" i="69" s="1"/>
  <c r="Z265" i="69" s="1" a="1"/>
  <c r="Z265" i="69" s="1"/>
  <c r="AE59" i="76"/>
  <c r="AC67" i="76"/>
  <c r="W63" i="76"/>
  <c r="X56" i="76"/>
  <c r="X65" i="76"/>
  <c r="G54" i="76"/>
  <c r="AB134" i="69" a="1"/>
  <c r="AB134" i="69" s="1"/>
  <c r="AC180" i="69" s="1" a="1"/>
  <c r="AC180" i="69" s="1"/>
  <c r="AC254" i="69" s="1" a="1"/>
  <c r="AC254" i="69" s="1"/>
  <c r="W134" i="69" a="1"/>
  <c r="W134" i="69" s="1"/>
  <c r="X180" i="69" s="1" a="1"/>
  <c r="X180" i="69" s="1"/>
  <c r="X254" i="69" s="1" a="1"/>
  <c r="X254" i="69" s="1"/>
  <c r="Y73" i="76" a="1"/>
  <c r="Y73" i="76" s="1"/>
  <c r="Y137" i="76" s="1" a="1"/>
  <c r="Y137" i="76" s="1"/>
  <c r="Y75" i="76" a="1"/>
  <c r="Y75" i="76" s="1"/>
  <c r="Y139" i="76" s="1" a="1"/>
  <c r="Y139" i="76" s="1"/>
  <c r="Y199" i="76" s="1" a="1"/>
  <c r="Y199" i="76" s="1"/>
  <c r="Y79" i="76" a="1"/>
  <c r="Y79" i="76" s="1"/>
  <c r="Y143" i="76" s="1" a="1"/>
  <c r="Y143" i="76" s="1"/>
  <c r="Y203" i="76" s="1" a="1"/>
  <c r="Y203" i="76" s="1"/>
  <c r="W75" i="76" a="1"/>
  <c r="W75" i="76" s="1"/>
  <c r="W139" i="76" s="1" a="1"/>
  <c r="W13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5" i="76" a="1"/>
  <c r="AC75" i="76" s="1"/>
  <c r="AC139" i="76" s="1" a="1"/>
  <c r="AC139" i="76" s="1"/>
  <c r="W74" i="76" a="1"/>
  <c r="W74" i="76" s="1"/>
  <c r="W138" i="76" s="1" a="1"/>
  <c r="W138" i="76" s="1"/>
  <c r="W198" i="76" s="1" a="1"/>
  <c r="W198"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AE73" i="76" a="1"/>
  <c r="AE73" i="76" s="1"/>
  <c r="AE137" i="76" s="1" a="1"/>
  <c r="AE137" i="76" s="1"/>
  <c r="AE197" i="76" s="1" a="1"/>
  <c r="AE197" i="76" s="1"/>
  <c r="V57" i="76"/>
  <c r="J57" i="76"/>
  <c r="J65" i="76" s="1" a="1"/>
  <c r="J65" i="76" s="1"/>
  <c r="J130" i="76" s="1" a="1"/>
  <c r="J130" i="76" s="1"/>
  <c r="J172" i="76" s="1" a="1"/>
  <c r="J172" i="76" s="1"/>
  <c r="J210" i="76" s="1" a="1"/>
  <c r="J210" i="76" s="1"/>
  <c r="AE65" i="76"/>
  <c r="AE132" i="69" a="1"/>
  <c r="AE132" i="69" s="1"/>
  <c r="AF178" i="69" s="1" a="1"/>
  <c r="AF178" i="69" s="1"/>
  <c r="AF252" i="69" s="1" a="1"/>
  <c r="AF252" i="69" s="1"/>
  <c r="AC66" i="76"/>
  <c r="AA64" i="76"/>
  <c r="V134" i="69" a="1"/>
  <c r="V134" i="69" s="1"/>
  <c r="W180" i="69" s="1" a="1"/>
  <c r="W180" i="69" s="1"/>
  <c r="W254" i="69" s="1" a="1"/>
  <c r="W254" i="69" s="1"/>
  <c r="AE188" i="69" a="1"/>
  <c r="AE188" i="69" s="1"/>
  <c r="AE262" i="69" s="1" a="1"/>
  <c r="AE262" i="69" s="1"/>
  <c r="W141" i="69" a="1"/>
  <c r="W141" i="69" s="1"/>
  <c r="X199" i="69" s="1" a="1"/>
  <c r="X199" i="69" s="1"/>
  <c r="X273" i="69" s="1" a="1"/>
  <c r="X273" i="69" s="1"/>
  <c r="AB136" i="69" a="1"/>
  <c r="AB136" i="69" s="1"/>
  <c r="AC194" i="69" s="1" a="1"/>
  <c r="AC194" i="69" s="1"/>
  <c r="AC268" i="69" s="1" a="1"/>
  <c r="AC268" i="69" s="1"/>
  <c r="G134" i="69" a="1"/>
  <c r="G134" i="69" s="1"/>
  <c r="H180" i="69" s="1" a="1"/>
  <c r="H180" i="69" s="1"/>
  <c r="H238" i="69" s="1" a="1"/>
  <c r="H238" i="69" s="1"/>
  <c r="Z65" i="76"/>
  <c r="AD140" i="69" a="1"/>
  <c r="AD140" i="69" s="1"/>
  <c r="AE198" i="69" s="1" a="1"/>
  <c r="AE198" i="69" s="1"/>
  <c r="AE272" i="69" s="1" a="1"/>
  <c r="AE272" i="69" s="1"/>
  <c r="M55" i="76"/>
  <c r="M63" i="76" s="1" a="1"/>
  <c r="M63" i="76" s="1"/>
  <c r="M128" i="76" s="1" a="1"/>
  <c r="M128" i="76" s="1"/>
  <c r="M170" i="76" s="1" a="1"/>
  <c r="M170" i="76" s="1"/>
  <c r="M208" i="76" s="1" a="1"/>
  <c r="M208" i="76" s="1"/>
  <c r="W62" i="76"/>
  <c r="AE131" i="69" a="1"/>
  <c r="AE131" i="69" s="1"/>
  <c r="AF189" i="69" s="1" a="1"/>
  <c r="AF189" i="69" s="1"/>
  <c r="AF263" i="69" s="1" a="1"/>
  <c r="AF263" i="69" s="1"/>
  <c r="E55" i="76"/>
  <c r="E63" i="76" s="1" a="1"/>
  <c r="E63" i="76" s="1"/>
  <c r="E128" i="76" s="1" a="1"/>
  <c r="E128" i="76" s="1"/>
  <c r="E170" i="76" s="1" a="1"/>
  <c r="E170" i="76" s="1"/>
  <c r="E208" i="76" s="1" a="1"/>
  <c r="E208" i="76" s="1"/>
  <c r="I132" i="69" a="1"/>
  <c r="I132" i="69" s="1"/>
  <c r="J178" i="69" s="1" a="1"/>
  <c r="J178" i="69" s="1"/>
  <c r="J236" i="69" s="1" a="1"/>
  <c r="J236" i="69" s="1"/>
  <c r="AD66" i="76"/>
  <c r="AE64" i="76"/>
  <c r="J55" i="76"/>
  <c r="J63" i="76" s="1" a="1"/>
  <c r="J63" i="76" s="1"/>
  <c r="J128" i="76" s="1" a="1"/>
  <c r="J128" i="76" s="1"/>
  <c r="J170" i="76" s="1" a="1"/>
  <c r="J170" i="76" s="1"/>
  <c r="J208" i="76" s="1" a="1"/>
  <c r="J208" i="76" s="1"/>
  <c r="AD61" i="76"/>
  <c r="AD138" i="69" a="1"/>
  <c r="AD138" i="69" s="1"/>
  <c r="AE184" i="69" s="1" a="1"/>
  <c r="AE184" i="69" s="1"/>
  <c r="AE258" i="69" s="1" a="1"/>
  <c r="AE258" i="69" s="1"/>
  <c r="W61" i="76"/>
  <c r="AB65" i="76"/>
  <c r="F55" i="76"/>
  <c r="F63" i="76" s="1" a="1"/>
  <c r="F63" i="76" s="1"/>
  <c r="F128" i="76" s="1" a="1"/>
  <c r="F128" i="76" s="1"/>
  <c r="F170" i="76" s="1" a="1"/>
  <c r="F170" i="76" s="1"/>
  <c r="F208" i="76" s="1" a="1"/>
  <c r="F208" i="76" s="1"/>
  <c r="Y132" i="69" a="1"/>
  <c r="Y132" i="69" s="1"/>
  <c r="Z190" i="69" s="1" a="1"/>
  <c r="Z190" i="69" s="1"/>
  <c r="Z264" i="69" s="1" a="1"/>
  <c r="Z264" i="69" s="1"/>
  <c r="Y134" i="69" a="1"/>
  <c r="Y134" i="69" s="1"/>
  <c r="Z180" i="69" s="1" a="1"/>
  <c r="Z180" i="69" s="1"/>
  <c r="Z254" i="69" s="1" a="1"/>
  <c r="Z254" i="69" s="1"/>
  <c r="AA134" i="69" a="1"/>
  <c r="AA134" i="69" s="1"/>
  <c r="AB180" i="69" s="1" a="1"/>
  <c r="AB180" i="69" s="1"/>
  <c r="AB254" i="69" s="1" a="1"/>
  <c r="AB254" i="69" s="1"/>
  <c r="L134" i="69" a="1"/>
  <c r="L134" i="69" s="1"/>
  <c r="M180" i="69" s="1" a="1"/>
  <c r="M180" i="69" s="1"/>
  <c r="M238" i="69" s="1" a="1"/>
  <c r="M238" i="69" s="1"/>
  <c r="X135" i="69" a="1"/>
  <c r="X135" i="69" s="1"/>
  <c r="Y193" i="69" s="1" a="1"/>
  <c r="Y193" i="69" s="1"/>
  <c r="Y267" i="69" s="1" a="1"/>
  <c r="Y267" i="69" s="1"/>
  <c r="Y139" i="69" a="1"/>
  <c r="Y139" i="69" s="1"/>
  <c r="Z197" i="69" s="1" a="1"/>
  <c r="Z197" i="69" s="1"/>
  <c r="Z271" i="69" s="1" a="1"/>
  <c r="Z271" i="69" s="1"/>
  <c r="V67" i="76"/>
  <c r="AA135" i="69" a="1"/>
  <c r="AA135" i="69" s="1"/>
  <c r="AB181" i="69" s="1" a="1"/>
  <c r="AB181" i="69" s="1"/>
  <c r="AB255" i="69" s="1" a="1"/>
  <c r="AB255" i="69" s="1"/>
  <c r="X59" i="76"/>
  <c r="M57" i="76"/>
  <c r="M65" i="76" s="1" a="1"/>
  <c r="M65" i="76" s="1"/>
  <c r="M130" i="76" s="1" a="1"/>
  <c r="M130" i="76" s="1"/>
  <c r="M172" i="76" s="1" a="1"/>
  <c r="M172" i="76" s="1"/>
  <c r="M210" i="76" s="1" a="1"/>
  <c r="M210" i="76" s="1"/>
  <c r="Z131" i="69" a="1"/>
  <c r="Z131" i="69" s="1"/>
  <c r="AA177" i="69" s="1" a="1"/>
  <c r="AA177" i="69" s="1"/>
  <c r="AA251" i="69" s="1" a="1"/>
  <c r="AA251" i="69" s="1"/>
  <c r="K134" i="69" a="1"/>
  <c r="K134" i="69" s="1"/>
  <c r="L184" i="69" s="1" a="1"/>
  <c r="L184" i="69" s="1"/>
  <c r="L242" i="69" s="1" a="1"/>
  <c r="L242" i="69" s="1"/>
  <c r="X58" i="76"/>
  <c r="Y200" i="69" a="1"/>
  <c r="Y200" i="69" s="1"/>
  <c r="Y274" i="69" s="1" a="1"/>
  <c r="Y274" i="69" s="1"/>
  <c r="Y137" i="69" a="1"/>
  <c r="Y137" i="69" s="1"/>
  <c r="Z195" i="69" s="1" a="1"/>
  <c r="Z195" i="69" s="1"/>
  <c r="Z269" i="69" s="1" a="1"/>
  <c r="Z269" i="69" s="1"/>
  <c r="I134" i="69" a="1"/>
  <c r="I134" i="69" s="1"/>
  <c r="J184" i="69" s="1" a="1"/>
  <c r="J184" i="69" s="1"/>
  <c r="J242" i="69" s="1" a="1"/>
  <c r="J242" i="69" s="1"/>
  <c r="AB57" i="76"/>
  <c r="AA132" i="69" a="1"/>
  <c r="AA132" i="69" s="1"/>
  <c r="AB178" i="69" s="1" a="1"/>
  <c r="AB178" i="69" s="1"/>
  <c r="AB252" i="69" s="1" a="1"/>
  <c r="AB252" i="69" s="1"/>
  <c r="X196" i="69" a="1"/>
  <c r="X196" i="69" s="1"/>
  <c r="X270" i="69" s="1" a="1"/>
  <c r="X270" i="69" s="1"/>
  <c r="E57" i="76"/>
  <c r="E65" i="76" s="1" a="1"/>
  <c r="E65" i="76" s="1"/>
  <c r="E130" i="76" s="1" a="1"/>
  <c r="E130" i="76" s="1"/>
  <c r="E172" i="76" s="1" a="1"/>
  <c r="E172" i="76" s="1"/>
  <c r="E210" i="76" s="1" a="1"/>
  <c r="E210" i="76" s="1"/>
  <c r="AB135" i="69" a="1"/>
  <c r="AB135" i="69" s="1"/>
  <c r="AC181" i="69" s="1" a="1"/>
  <c r="AC181" i="69" s="1"/>
  <c r="AC255" i="69" s="1" a="1"/>
  <c r="AC255" i="69" s="1"/>
  <c r="L56" i="76"/>
  <c r="L64" i="76" s="1" a="1"/>
  <c r="L64" i="76" s="1"/>
  <c r="L129" i="76" s="1" a="1"/>
  <c r="L129" i="76" s="1"/>
  <c r="L171" i="76" s="1" a="1"/>
  <c r="L171" i="76" s="1"/>
  <c r="L209" i="76" s="1" a="1"/>
  <c r="L209" i="76" s="1"/>
  <c r="L54" i="76"/>
  <c r="L62" i="76" s="1" a="1"/>
  <c r="L62" i="76" s="1"/>
  <c r="L127" i="76" s="1" a="1"/>
  <c r="L127" i="76" s="1"/>
  <c r="L169" i="76" s="1" a="1"/>
  <c r="L169" i="76" s="1"/>
  <c r="L207" i="76" s="1" a="1"/>
  <c r="L207" i="76" s="1"/>
  <c r="Z66" i="76"/>
  <c r="AE183" i="69" a="1"/>
  <c r="AE183" i="69" s="1"/>
  <c r="AE257" i="69" s="1" a="1"/>
  <c r="AE257" i="69" s="1"/>
  <c r="AB66" i="76"/>
  <c r="Z142" i="69" a="1"/>
  <c r="Z142" i="69" s="1"/>
  <c r="AA200" i="69" s="1" a="1"/>
  <c r="AA200" i="69" s="1"/>
  <c r="AA274" i="69" s="1" a="1"/>
  <c r="AA274" i="69" s="1"/>
  <c r="W60" i="76"/>
  <c r="H55" i="76"/>
  <c r="H63" i="76" s="1" a="1"/>
  <c r="H63" i="76" s="1"/>
  <c r="H128" i="76" s="1" a="1"/>
  <c r="H128" i="76" s="1"/>
  <c r="H170" i="76" s="1" a="1"/>
  <c r="H170" i="76" s="1"/>
  <c r="H208" i="76" s="1" a="1"/>
  <c r="H208" i="76" s="1"/>
  <c r="I54" i="76"/>
  <c r="I62" i="76" s="1" a="1"/>
  <c r="I62" i="76" s="1"/>
  <c r="I127" i="76" s="1" a="1"/>
  <c r="I127" i="76" s="1"/>
  <c r="I169" i="76" s="1" a="1"/>
  <c r="I169" i="76" s="1"/>
  <c r="I207" i="76" s="1" a="1"/>
  <c r="I207" i="76" s="1"/>
  <c r="V131" i="69" a="1"/>
  <c r="V131" i="69" s="1"/>
  <c r="W177" i="69" s="1" a="1"/>
  <c r="W177" i="69" s="1"/>
  <c r="W251" i="69" s="1" a="1"/>
  <c r="W251" i="69" s="1"/>
  <c r="AF198" i="69" a="1"/>
  <c r="AF198" i="69" s="1"/>
  <c r="AF272" i="69" s="1" a="1"/>
  <c r="AF272" i="69" s="1"/>
  <c r="N54" i="76"/>
  <c r="N62" i="76" s="1" a="1"/>
  <c r="N62" i="76" s="1"/>
  <c r="N127" i="76" s="1" a="1"/>
  <c r="N127" i="76" s="1"/>
  <c r="N169" i="76" s="1" a="1"/>
  <c r="N169" i="76" s="1"/>
  <c r="N207" i="76" s="1" a="1"/>
  <c r="N207" i="76" s="1"/>
  <c r="M54" i="76"/>
  <c r="M62" i="76" s="1" a="1"/>
  <c r="M62" i="76" s="1"/>
  <c r="M127" i="76" s="1" a="1"/>
  <c r="M127" i="76" s="1"/>
  <c r="M169" i="76" s="1" a="1"/>
  <c r="M169" i="76" s="1"/>
  <c r="M207" i="76" s="1" a="1"/>
  <c r="M207" i="76" s="1"/>
  <c r="AE63" i="76"/>
  <c r="W64" i="76"/>
  <c r="G133" i="69" a="1"/>
  <c r="G133" i="69" s="1"/>
  <c r="H179" i="69" s="1" a="1"/>
  <c r="H179" i="69" s="1"/>
  <c r="H237" i="69" s="1" a="1"/>
  <c r="H237" i="69" s="1"/>
  <c r="Z59" i="76"/>
  <c r="AB131" i="69" a="1"/>
  <c r="AB131" i="69" s="1"/>
  <c r="AC189" i="69" s="1" a="1"/>
  <c r="AC189" i="69" s="1"/>
  <c r="AC263" i="69" s="1" a="1"/>
  <c r="AC263" i="69" s="1"/>
  <c r="F133" i="69" a="1"/>
  <c r="F133" i="69" s="1"/>
  <c r="G179" i="69" s="1" a="1"/>
  <c r="G179" i="69" s="1"/>
  <c r="G237" i="69" s="1" a="1"/>
  <c r="G237" i="69" s="1"/>
  <c r="I133" i="69" a="1"/>
  <c r="I133" i="69" s="1"/>
  <c r="J183" i="69" s="1" a="1"/>
  <c r="J183" i="69" s="1"/>
  <c r="J241" i="69" s="1" a="1"/>
  <c r="J241" i="69" s="1"/>
  <c r="E56" i="76"/>
  <c r="E64" i="76" s="1" a="1"/>
  <c r="E64" i="76" s="1"/>
  <c r="E129" i="76" s="1" a="1"/>
  <c r="E129" i="76" s="1"/>
  <c r="E171" i="76" s="1" a="1"/>
  <c r="E171" i="76" s="1"/>
  <c r="E209" i="76" s="1" a="1"/>
  <c r="E209" i="76" s="1"/>
  <c r="AB64" i="76"/>
  <c r="AD64" i="76"/>
  <c r="Y61" i="76"/>
  <c r="AC197" i="69" a="1"/>
  <c r="AC197" i="69" s="1"/>
  <c r="AC271" i="69" s="1" a="1"/>
  <c r="AC271" i="69" s="1"/>
  <c r="AC185" i="69" a="1"/>
  <c r="AC185" i="69" s="1"/>
  <c r="AC259" i="69" s="1" a="1"/>
  <c r="AC259" i="69" s="1"/>
  <c r="W142" i="69" a="1"/>
  <c r="W142" i="69" s="1"/>
  <c r="X188" i="69" s="1" a="1"/>
  <c r="X188" i="69" s="1"/>
  <c r="X262" i="69" s="1" a="1"/>
  <c r="X262" i="69" s="1"/>
  <c r="V136" i="69" a="1"/>
  <c r="V136" i="69" s="1"/>
  <c r="W194" i="69" s="1" a="1"/>
  <c r="W194" i="69" s="1"/>
  <c r="W268" i="69" s="1" a="1"/>
  <c r="W268" i="69" s="1"/>
  <c r="M56" i="76"/>
  <c r="M64" i="76" s="1" a="1"/>
  <c r="M64" i="76" s="1"/>
  <c r="M129" i="76" s="1" a="1"/>
  <c r="M129" i="76" s="1"/>
  <c r="M171" i="76" s="1" a="1"/>
  <c r="M171" i="76" s="1"/>
  <c r="M209" i="76" s="1" a="1"/>
  <c r="M209" i="76" s="1"/>
  <c r="X66" i="76"/>
  <c r="AE67" i="76"/>
  <c r="Z139" i="69" a="1"/>
  <c r="Z139" i="69" s="1"/>
  <c r="AA197" i="69" s="1" a="1"/>
  <c r="AA197" i="69" s="1"/>
  <c r="AA271" i="69" s="1" a="1"/>
  <c r="AA271" i="69" s="1"/>
  <c r="AD133" i="69" a="1"/>
  <c r="AD133" i="69" s="1"/>
  <c r="AE179" i="69" s="1" a="1"/>
  <c r="AE179" i="69" s="1"/>
  <c r="AE253" i="69" s="1" a="1"/>
  <c r="AE253" i="69" s="1"/>
  <c r="X63" i="76"/>
  <c r="N184" i="69" a="1"/>
  <c r="N184" i="69" s="1"/>
  <c r="N242" i="69" s="1" a="1"/>
  <c r="N242" i="69" s="1"/>
  <c r="Z133" i="69" a="1"/>
  <c r="Z133" i="69" s="1"/>
  <c r="AA179" i="69" s="1" a="1"/>
  <c r="AA179" i="69" s="1"/>
  <c r="AA253" i="69" s="1" a="1"/>
  <c r="AA253" i="69" s="1"/>
  <c r="AC183" i="69" a="1"/>
  <c r="AC183" i="69" s="1"/>
  <c r="AC257" i="69" s="1" a="1"/>
  <c r="AC257" i="69" s="1"/>
  <c r="Y66" i="76"/>
  <c r="AA142" i="69" a="1"/>
  <c r="AA142" i="69" s="1"/>
  <c r="AB188" i="69" s="1" a="1"/>
  <c r="AB188" i="69" s="1"/>
  <c r="AB262" i="69" s="1" a="1"/>
  <c r="AB262" i="69" s="1"/>
  <c r="AE60" i="76"/>
  <c r="AD134" i="69" a="1"/>
  <c r="AD134" i="69" s="1"/>
  <c r="AE192" i="69" s="1" a="1"/>
  <c r="AE192" i="69" s="1"/>
  <c r="AE266" i="69" s="1" a="1"/>
  <c r="AE266" i="69" s="1"/>
  <c r="Y56" i="76"/>
  <c r="X64" i="76"/>
  <c r="Z181" i="69" a="1"/>
  <c r="Z181" i="69" s="1"/>
  <c r="Z255" i="69" s="1" a="1"/>
  <c r="Z255" i="69" s="1"/>
  <c r="AA61" i="76"/>
  <c r="Z137" i="69" a="1"/>
  <c r="Z137" i="69" s="1"/>
  <c r="AA195" i="69" s="1" a="1"/>
  <c r="AA195" i="69" s="1"/>
  <c r="AA269" i="69" s="1" a="1"/>
  <c r="AA269" i="69" s="1"/>
  <c r="X61" i="76"/>
  <c r="Y191" i="69" a="1"/>
  <c r="Y191" i="69" s="1"/>
  <c r="Y265" i="69" s="1" a="1"/>
  <c r="Y265" i="69" s="1"/>
  <c r="AB67" i="76"/>
  <c r="AC62" i="76"/>
  <c r="V65" i="76"/>
  <c r="X182" i="69" a="1"/>
  <c r="X182" i="69" s="1"/>
  <c r="X256" i="69" s="1" a="1"/>
  <c r="X256" i="69" s="1"/>
  <c r="Y196" i="69" a="1"/>
  <c r="Y196" i="69" s="1"/>
  <c r="Y270" i="69" s="1" a="1"/>
  <c r="Y270" i="69" s="1"/>
  <c r="AD56" i="76"/>
  <c r="AB63" i="76"/>
  <c r="AA56" i="76"/>
  <c r="L177" i="69" a="1"/>
  <c r="L177" i="69" s="1"/>
  <c r="L235" i="69" s="1" a="1"/>
  <c r="L235" i="69" s="1"/>
  <c r="L181" i="69" a="1"/>
  <c r="L181" i="69" s="1"/>
  <c r="L239" i="69" s="1" a="1"/>
  <c r="L239" i="69" s="1"/>
  <c r="X191" i="69" a="1"/>
  <c r="X191" i="69" s="1"/>
  <c r="X265" i="69" s="1" a="1"/>
  <c r="X265" i="69" s="1"/>
  <c r="X57" i="76"/>
  <c r="F54" i="76"/>
  <c r="F62" i="76" s="1" a="1"/>
  <c r="F62" i="76" s="1"/>
  <c r="F127" i="76" s="1" a="1"/>
  <c r="F127" i="76" s="1"/>
  <c r="F169" i="76" s="1" a="1"/>
  <c r="F169" i="76" s="1"/>
  <c r="F207" i="76" s="1" a="1"/>
  <c r="F207" i="76" s="1"/>
  <c r="K54" i="76"/>
  <c r="K62" i="76" s="1" a="1"/>
  <c r="K62" i="76" s="1"/>
  <c r="K127" i="76" s="1" a="1"/>
  <c r="K127" i="76" s="1"/>
  <c r="K169" i="76" s="1" a="1"/>
  <c r="K169" i="76" s="1"/>
  <c r="K207" i="76" s="1" a="1"/>
  <c r="K207" i="76" s="1"/>
  <c r="W190" i="69" a="1"/>
  <c r="W190" i="69" s="1"/>
  <c r="W264" i="69" s="1" a="1"/>
  <c r="W264" i="69" s="1"/>
  <c r="Y187" i="69" a="1"/>
  <c r="Y187" i="69" s="1"/>
  <c r="Y261" i="69" s="1" a="1"/>
  <c r="Y261" i="69" s="1"/>
  <c r="W56" i="76"/>
  <c r="AA196" i="69" a="1"/>
  <c r="AA196" i="69" s="1"/>
  <c r="AA270" i="69" s="1" a="1"/>
  <c r="AA270" i="69" s="1"/>
  <c r="AA184" i="69" a="1"/>
  <c r="AA184" i="69" s="1"/>
  <c r="AA258" i="69" s="1" a="1"/>
  <c r="AA258" i="69" s="1"/>
  <c r="AD179" i="69" a="1"/>
  <c r="AD179" i="69" s="1"/>
  <c r="AD253" i="69" s="1" a="1"/>
  <c r="AD253" i="69" s="1"/>
  <c r="AE185" i="69" a="1"/>
  <c r="AE185" i="69" s="1"/>
  <c r="AE259" i="69" s="1" a="1"/>
  <c r="AE259" i="69" s="1"/>
  <c r="V66" i="76"/>
  <c r="AD60" i="76"/>
  <c r="AB58" i="76"/>
  <c r="AC200" i="69" a="1"/>
  <c r="AC200" i="69" s="1"/>
  <c r="AC274" i="69" s="1" a="1"/>
  <c r="AC274" i="69" s="1"/>
  <c r="AB185" i="69" a="1"/>
  <c r="AB185" i="69" s="1"/>
  <c r="AB259" i="69" s="1" a="1"/>
  <c r="AB259" i="69" s="1"/>
  <c r="Z63" i="76"/>
  <c r="AA140" i="69" a="1"/>
  <c r="AA140" i="69" s="1"/>
  <c r="AB198" i="69" s="1" a="1"/>
  <c r="AB198" i="69" s="1"/>
  <c r="AB272" i="69" s="1" a="1"/>
  <c r="AB272" i="69" s="1"/>
  <c r="AC64" i="76"/>
  <c r="AD196" i="69" a="1"/>
  <c r="AD196" i="69" s="1"/>
  <c r="AD270" i="69" s="1" a="1"/>
  <c r="AD270" i="69" s="1"/>
  <c r="G177" i="69" a="1"/>
  <c r="G177" i="69" s="1"/>
  <c r="G235" i="69" s="1" a="1"/>
  <c r="G235" i="69" s="1"/>
  <c r="G181" i="69" a="1"/>
  <c r="G181" i="69" s="1"/>
  <c r="G239" i="69" s="1" a="1"/>
  <c r="G239" i="69" s="1"/>
  <c r="X181" i="69" a="1"/>
  <c r="X181" i="69" s="1"/>
  <c r="X255" i="69" s="1" a="1"/>
  <c r="X255" i="69" s="1"/>
  <c r="AE194" i="69" a="1"/>
  <c r="AE194" i="69" s="1"/>
  <c r="AE268" i="69" s="1" a="1"/>
  <c r="AE268" i="69" s="1"/>
  <c r="AD183" i="69" a="1"/>
  <c r="AD183" i="69" s="1"/>
  <c r="AD257" i="69" s="1" a="1"/>
  <c r="AD257" i="69" s="1"/>
  <c r="AE58" i="76"/>
  <c r="AD187" i="69" a="1"/>
  <c r="AD187" i="69" s="1"/>
  <c r="AD261" i="69" s="1" a="1"/>
  <c r="AD261" i="69" s="1"/>
  <c r="AC57" i="76"/>
  <c r="K180" i="69" a="1"/>
  <c r="K180" i="69" s="1"/>
  <c r="K238" i="69" s="1" a="1"/>
  <c r="K238" i="69" s="1"/>
  <c r="Z61" i="76"/>
  <c r="Z194" i="69" a="1"/>
  <c r="Z194" i="69" s="1"/>
  <c r="Z268" i="69" s="1" a="1"/>
  <c r="Z268" i="69" s="1"/>
  <c r="Z182" i="69" a="1"/>
  <c r="Z182" i="69" s="1"/>
  <c r="Z256" i="69" s="1" a="1"/>
  <c r="Z256" i="69" s="1"/>
  <c r="W181" i="69" a="1"/>
  <c r="W181" i="69" s="1"/>
  <c r="W255" i="69" s="1" a="1"/>
  <c r="W255" i="69" s="1"/>
  <c r="W193" i="69" a="1"/>
  <c r="W193" i="69" s="1"/>
  <c r="W267" i="69" s="1" a="1"/>
  <c r="W267" i="69" s="1"/>
  <c r="AF183" i="69" a="1"/>
  <c r="AF183" i="69" s="1"/>
  <c r="AF257" i="69" s="1" a="1"/>
  <c r="AF257" i="69" s="1"/>
  <c r="AF195" i="69" a="1"/>
  <c r="AF195" i="69" s="1"/>
  <c r="AF269" i="69" s="1" a="1"/>
  <c r="AF269" i="69" s="1"/>
  <c r="AD193" i="69" a="1"/>
  <c r="AD193" i="69" s="1"/>
  <c r="AD267" i="69" s="1" a="1"/>
  <c r="AD267" i="69" s="1"/>
  <c r="AD181" i="69" a="1"/>
  <c r="AD181" i="69" s="1"/>
  <c r="AD255" i="69" s="1" a="1"/>
  <c r="AD255" i="69" s="1"/>
  <c r="H181" i="69" a="1"/>
  <c r="H181" i="69" s="1"/>
  <c r="H239" i="69" s="1" a="1"/>
  <c r="H239" i="69" s="1"/>
  <c r="AC60" i="76"/>
  <c r="V60" i="76"/>
  <c r="G182" i="69" a="1"/>
  <c r="G182" i="69" s="1"/>
  <c r="G240" i="69" s="1" a="1"/>
  <c r="G240" i="69" s="1"/>
  <c r="AE62" i="76"/>
  <c r="N183" i="69" a="1"/>
  <c r="N183" i="69" s="1"/>
  <c r="N241" i="69" s="1" a="1"/>
  <c r="N241" i="69" s="1"/>
  <c r="Y67" i="76"/>
  <c r="N182" i="69" a="1"/>
  <c r="N182" i="69" s="1"/>
  <c r="N240" i="69" s="1" a="1"/>
  <c r="N240" i="69" s="1"/>
  <c r="AC136" i="69" a="1"/>
  <c r="AC136" i="69" s="1"/>
  <c r="AD194" i="69" s="1" a="1"/>
  <c r="AD194" i="69" s="1"/>
  <c r="AD268" i="69" s="1" a="1"/>
  <c r="AD268" i="69" s="1"/>
  <c r="H133" i="69" a="1"/>
  <c r="H133" i="69" s="1"/>
  <c r="K132" i="69" a="1"/>
  <c r="K132" i="69" s="1"/>
  <c r="L178" i="69" s="1" a="1"/>
  <c r="L178" i="69" s="1"/>
  <c r="L236" i="69" s="1" a="1"/>
  <c r="L236" i="69" s="1"/>
  <c r="AC56" i="76"/>
  <c r="F134" i="69" a="1"/>
  <c r="F134" i="69" s="1"/>
  <c r="G184" i="69" s="1" a="1"/>
  <c r="G184" i="69" s="1"/>
  <c r="G242" i="69" s="1" a="1"/>
  <c r="G242" i="69" s="1"/>
  <c r="M181" i="69" a="1"/>
  <c r="M181" i="69" s="1"/>
  <c r="M239" i="69" s="1" a="1"/>
  <c r="M239" i="69" s="1"/>
  <c r="AE61" i="76"/>
  <c r="AA180" i="69" a="1"/>
  <c r="AA180" i="69" s="1"/>
  <c r="AA254" i="69" s="1" a="1"/>
  <c r="AA254" i="69" s="1"/>
  <c r="L55" i="76"/>
  <c r="L63" i="76" s="1" a="1"/>
  <c r="L63" i="76" s="1"/>
  <c r="L128" i="76" s="1" a="1"/>
  <c r="L128" i="76" s="1"/>
  <c r="L170" i="76" s="1" a="1"/>
  <c r="L170" i="76" s="1"/>
  <c r="L208" i="76" s="1" a="1"/>
  <c r="L208" i="76" s="1"/>
  <c r="N134" i="69" a="1"/>
  <c r="N134" i="69" s="1"/>
  <c r="O184" i="69" s="1" a="1"/>
  <c r="O184" i="69" s="1"/>
  <c r="O242" i="69" s="1" a="1"/>
  <c r="O242" i="69" s="1"/>
  <c r="F182" i="69" a="1"/>
  <c r="F182" i="69" s="1"/>
  <c r="F240" i="69" s="1" a="1"/>
  <c r="F240" i="69" s="1"/>
  <c r="V62" i="76"/>
  <c r="AC198" i="69" a="1"/>
  <c r="AC198" i="69" s="1"/>
  <c r="AC272" i="69" s="1" a="1"/>
  <c r="AC272" i="69" s="1"/>
  <c r="AD132" i="69" a="1"/>
  <c r="AD132" i="69" s="1"/>
  <c r="AE190" i="69" s="1" a="1"/>
  <c r="AE190" i="69" s="1"/>
  <c r="AE264" i="69" s="1" a="1"/>
  <c r="AE264" i="69" s="1"/>
  <c r="M183" i="69" a="1"/>
  <c r="M183" i="69" s="1"/>
  <c r="M241" i="69" s="1" a="1"/>
  <c r="M241" i="69" s="1"/>
  <c r="AA63" i="76"/>
  <c r="G55" i="76"/>
  <c r="G63" i="76" s="1" a="1"/>
  <c r="G63" i="76" s="1"/>
  <c r="G128" i="76" s="1" a="1"/>
  <c r="G128" i="76" s="1"/>
  <c r="G170" i="76" s="1" a="1"/>
  <c r="G170" i="76" s="1"/>
  <c r="G208" i="76" s="1" a="1"/>
  <c r="G208" i="76" s="1"/>
  <c r="N55" i="76"/>
  <c r="N63" i="76" s="1" a="1"/>
  <c r="N63" i="76" s="1"/>
  <c r="N128" i="76" s="1" a="1"/>
  <c r="N128" i="76" s="1"/>
  <c r="N170" i="76" s="1" a="1"/>
  <c r="N170" i="76" s="1"/>
  <c r="N208" i="76" s="1" a="1"/>
  <c r="N208" i="76" s="1"/>
  <c r="H57" i="76"/>
  <c r="H65" i="76" s="1" a="1"/>
  <c r="H65" i="76" s="1"/>
  <c r="H130" i="76" s="1" a="1"/>
  <c r="H130" i="76" s="1"/>
  <c r="H172" i="76" s="1" a="1"/>
  <c r="H172" i="76" s="1"/>
  <c r="H210" i="76" s="1" a="1"/>
  <c r="H210" i="76" s="1"/>
  <c r="X177" i="69" a="1"/>
  <c r="X177" i="69" s="1"/>
  <c r="X251" i="69" s="1" a="1"/>
  <c r="X251" i="69" s="1"/>
  <c r="Y178" i="69" a="1"/>
  <c r="Y178" i="69" s="1"/>
  <c r="Y252" i="69" s="1" a="1"/>
  <c r="Y252" i="69" s="1"/>
  <c r="Y190" i="69" a="1"/>
  <c r="Y190" i="69" s="1"/>
  <c r="Y264" i="69" s="1" a="1"/>
  <c r="Y264" i="69" s="1"/>
  <c r="AB195" i="69" a="1"/>
  <c r="AB195" i="69" s="1"/>
  <c r="AB269" i="69" s="1" a="1"/>
  <c r="AB269" i="69" s="1"/>
  <c r="AB183" i="69" a="1"/>
  <c r="AB183" i="69" s="1"/>
  <c r="AB257" i="69" s="1" a="1"/>
  <c r="AB257" i="69" s="1"/>
  <c r="W183" i="69" a="1"/>
  <c r="W183" i="69" s="1"/>
  <c r="W257" i="69" s="1" a="1"/>
  <c r="W257" i="69" s="1"/>
  <c r="W195" i="69" a="1"/>
  <c r="W195" i="69" s="1"/>
  <c r="W269" i="69" s="1" a="1"/>
  <c r="W269" i="69" s="1"/>
  <c r="AA194" i="69" a="1"/>
  <c r="AA194" i="69" s="1"/>
  <c r="AA268" i="69" s="1" a="1"/>
  <c r="AA268" i="69" s="1"/>
  <c r="AA182" i="69" a="1"/>
  <c r="AA182" i="69" s="1"/>
  <c r="AA256" i="69" s="1" a="1"/>
  <c r="AA256" i="69" s="1"/>
  <c r="O182" i="69" a="1"/>
  <c r="O182" i="69" s="1"/>
  <c r="O240" i="69" s="1" a="1"/>
  <c r="O240" i="69" s="1"/>
  <c r="O178" i="69" a="1"/>
  <c r="O178" i="69" s="1"/>
  <c r="O236" i="69" s="1" a="1"/>
  <c r="O236" i="69" s="1"/>
  <c r="Z188" i="69" a="1"/>
  <c r="Z188" i="69" s="1"/>
  <c r="Z262" i="69" s="1" a="1"/>
  <c r="Z262" i="69" s="1"/>
  <c r="Z200" i="69" a="1"/>
  <c r="Z200" i="69" s="1"/>
  <c r="Z274" i="69" s="1" a="1"/>
  <c r="Z274" i="69" s="1"/>
  <c r="M182" i="69" a="1"/>
  <c r="M182" i="69" s="1"/>
  <c r="M240" i="69" s="1" a="1"/>
  <c r="M240" i="69" s="1"/>
  <c r="M178" i="69" a="1"/>
  <c r="M178" i="69" s="1"/>
  <c r="M236" i="69" s="1" a="1"/>
  <c r="M236" i="69" s="1"/>
  <c r="Z186" i="69" a="1"/>
  <c r="Z186" i="69" s="1"/>
  <c r="Z260" i="69" s="1" a="1"/>
  <c r="Z260" i="69" s="1"/>
  <c r="Z198" i="69" a="1"/>
  <c r="Z198" i="69" s="1"/>
  <c r="Z272" i="69" s="1" a="1"/>
  <c r="Z272" i="69" s="1"/>
  <c r="Z177" i="69" a="1"/>
  <c r="Z177" i="69" s="1"/>
  <c r="Z251" i="69" s="1" a="1"/>
  <c r="Z251" i="69" s="1"/>
  <c r="Z189" i="69" a="1"/>
  <c r="Z189" i="69" s="1"/>
  <c r="Z263" i="69" s="1" a="1"/>
  <c r="Z263" i="69" s="1"/>
  <c r="AD197" i="69" a="1"/>
  <c r="AD197" i="69" s="1"/>
  <c r="AD271" i="69" s="1" a="1"/>
  <c r="AD271" i="69" s="1"/>
  <c r="AD185" i="69" a="1"/>
  <c r="AD185" i="69" s="1"/>
  <c r="AD259" i="69" s="1" a="1"/>
  <c r="AD259" i="69" s="1"/>
  <c r="W187" i="69" a="1"/>
  <c r="W187" i="69" s="1"/>
  <c r="W261" i="69" s="1" a="1"/>
  <c r="W261" i="69" s="1"/>
  <c r="N56" i="76"/>
  <c r="N64" i="76" s="1" a="1"/>
  <c r="N64" i="76" s="1"/>
  <c r="N129" i="76" s="1" a="1"/>
  <c r="N129" i="76" s="1"/>
  <c r="N171" i="76" s="1" a="1"/>
  <c r="N171" i="76" s="1"/>
  <c r="N209" i="76" s="1" a="1"/>
  <c r="N209" i="76" s="1"/>
  <c r="V58" i="76"/>
  <c r="AA66" i="76"/>
  <c r="Y65" i="76"/>
  <c r="AC187" i="69" a="1"/>
  <c r="AC187" i="69" s="1"/>
  <c r="AC261" i="69" s="1" a="1"/>
  <c r="AC261" i="69" s="1"/>
  <c r="AA62" i="76"/>
  <c r="AD177" i="69" a="1"/>
  <c r="AD177" i="69" s="1"/>
  <c r="AD251" i="69" s="1" a="1"/>
  <c r="AD251" i="69" s="1"/>
  <c r="O181" i="69" a="1"/>
  <c r="O181" i="69" s="1"/>
  <c r="O239" i="69" s="1" a="1"/>
  <c r="O239" i="69" s="1"/>
  <c r="X185" i="69" a="1"/>
  <c r="X185" i="69" s="1"/>
  <c r="X259" i="69" s="1" a="1"/>
  <c r="X259" i="69" s="1"/>
  <c r="N181" i="69" a="1"/>
  <c r="N181" i="69" s="1"/>
  <c r="N239" i="69" s="1" a="1"/>
  <c r="N239" i="69" s="1"/>
  <c r="AC192" i="69" a="1"/>
  <c r="AC192" i="69" s="1"/>
  <c r="AC266" i="69" s="1" a="1"/>
  <c r="AC266" i="69" s="1"/>
  <c r="J54" i="76"/>
  <c r="J62" i="76" s="1" a="1"/>
  <c r="J62" i="76" s="1"/>
  <c r="J127" i="76" s="1" a="1"/>
  <c r="J127" i="76" s="1"/>
  <c r="J169" i="76" s="1" a="1"/>
  <c r="J169" i="76" s="1"/>
  <c r="J207" i="76" s="1" a="1"/>
  <c r="J207" i="76" s="1"/>
  <c r="X62" i="76"/>
  <c r="I182" i="69" a="1"/>
  <c r="I182" i="69" s="1"/>
  <c r="I240" i="69" s="1" a="1"/>
  <c r="I240" i="69" s="1"/>
  <c r="AB182" i="69" a="1"/>
  <c r="AB182" i="69" s="1"/>
  <c r="AB256" i="69" s="1" a="1"/>
  <c r="AB256" i="69" s="1"/>
  <c r="AE189" i="69" a="1"/>
  <c r="AE189" i="69" s="1"/>
  <c r="AE263" i="69" s="1" a="1"/>
  <c r="AE263" i="69" s="1"/>
  <c r="AC191" i="69" a="1"/>
  <c r="AC191" i="69" s="1"/>
  <c r="AC265" i="69" s="1" a="1"/>
  <c r="AC265" i="69" s="1"/>
  <c r="AE181" i="69" a="1"/>
  <c r="AE181" i="69" s="1"/>
  <c r="AE255" i="69" s="1" a="1"/>
  <c r="AE255" i="69" s="1"/>
  <c r="W65" i="76"/>
  <c r="Y138" i="69" a="1"/>
  <c r="Y138" i="69" s="1"/>
  <c r="Y180" i="69" a="1"/>
  <c r="Y180" i="69" s="1"/>
  <c r="Y254" i="69" s="1" a="1"/>
  <c r="Y254" i="69" s="1"/>
  <c r="L179" i="69" a="1"/>
  <c r="L179" i="69" s="1"/>
  <c r="L237" i="69" s="1" a="1"/>
  <c r="L237" i="69" s="1"/>
  <c r="L183" i="69" a="1"/>
  <c r="L183" i="69" s="1"/>
  <c r="L241" i="69" s="1" a="1"/>
  <c r="L241" i="69" s="1"/>
  <c r="X186" i="69" a="1"/>
  <c r="X186" i="69" s="1"/>
  <c r="X260" i="69" s="1" a="1"/>
  <c r="X260" i="69" s="1"/>
  <c r="X198" i="69" a="1"/>
  <c r="X198" i="69" s="1"/>
  <c r="X272" i="69" s="1" a="1"/>
  <c r="X272" i="69" s="1"/>
  <c r="O179" i="69" a="1"/>
  <c r="O179" i="69" s="1"/>
  <c r="O237" i="69" s="1" a="1"/>
  <c r="O237" i="69" s="1"/>
  <c r="I184" i="69" a="1"/>
  <c r="I184" i="69" s="1"/>
  <c r="I242" i="69" s="1" a="1"/>
  <c r="I242" i="69" s="1"/>
  <c r="W179" i="69" a="1"/>
  <c r="W179" i="69" s="1"/>
  <c r="W253" i="69" s="1" a="1"/>
  <c r="W253" i="69" s="1"/>
  <c r="AB187" i="69" a="1"/>
  <c r="AB187" i="69" s="1"/>
  <c r="AB261" i="69" s="1" a="1"/>
  <c r="AB261" i="69" s="1"/>
  <c r="K56" i="76"/>
  <c r="K64" i="76" s="1" a="1"/>
  <c r="K64" i="76" s="1"/>
  <c r="K129" i="76" s="1" a="1"/>
  <c r="K129" i="76" s="1"/>
  <c r="K171" i="76" s="1" a="1"/>
  <c r="K171" i="76" s="1"/>
  <c r="K209" i="76" s="1" a="1"/>
  <c r="K209" i="76" s="1"/>
  <c r="W184" i="69" a="1"/>
  <c r="W184" i="69" s="1"/>
  <c r="W258" i="69" s="1" a="1"/>
  <c r="W258" i="69" s="1"/>
  <c r="F183" i="69" a="1"/>
  <c r="F183" i="69" s="1"/>
  <c r="F241" i="69" s="1" a="1"/>
  <c r="F241" i="69" s="1"/>
  <c r="Y182" i="69" a="1"/>
  <c r="Y182" i="69" s="1"/>
  <c r="Y256" i="69" s="1" a="1"/>
  <c r="Y256" i="69" s="1"/>
  <c r="W188" i="69" a="1"/>
  <c r="W188" i="69" s="1"/>
  <c r="W262" i="69" s="1" a="1"/>
  <c r="W262" i="69" s="1"/>
  <c r="H182" i="69" a="1"/>
  <c r="H182" i="69" s="1"/>
  <c r="H240" i="69" s="1" a="1"/>
  <c r="H240" i="69" s="1"/>
  <c r="AD180" i="69" a="1"/>
  <c r="AD180" i="69" s="1"/>
  <c r="AD254" i="69" s="1" a="1"/>
  <c r="AD254" i="69" s="1"/>
  <c r="AB189" i="69" a="1"/>
  <c r="AB189" i="69" s="1"/>
  <c r="AB263" i="69" s="1" a="1"/>
  <c r="AB263" i="69" s="1"/>
  <c r="AB184" i="69" a="1"/>
  <c r="AB184" i="69" s="1"/>
  <c r="AB258" i="69" s="1" a="1"/>
  <c r="AB258" i="69" s="1"/>
  <c r="AF196" i="69" a="1"/>
  <c r="AF196" i="69" s="1"/>
  <c r="AF270" i="69" s="1" a="1"/>
  <c r="AF270" i="69" s="1"/>
  <c r="F180" i="69" a="1"/>
  <c r="F180" i="69" s="1"/>
  <c r="F238" i="69" s="1" a="1"/>
  <c r="F238" i="69" s="1"/>
  <c r="X183" i="69" a="1"/>
  <c r="X183" i="69" s="1"/>
  <c r="X257" i="69" s="1" a="1"/>
  <c r="X257" i="69" s="1"/>
  <c r="Y198" i="69" a="1"/>
  <c r="Y198" i="69" s="1"/>
  <c r="Y272" i="69" s="1" a="1"/>
  <c r="Y272" i="69" s="1"/>
  <c r="AF197" i="69" a="1"/>
  <c r="AF197" i="69" s="1"/>
  <c r="AF271" i="69" s="1" a="1"/>
  <c r="AF271" i="69" s="1"/>
  <c r="AD188" i="69" a="1"/>
  <c r="AD188" i="69" s="1"/>
  <c r="AD262" i="69" s="1" a="1"/>
  <c r="AD262" i="69" s="1"/>
  <c r="AF179" i="69" a="1"/>
  <c r="AF179" i="69" s="1"/>
  <c r="AF253" i="69" s="1" a="1"/>
  <c r="AF253" i="69" s="1"/>
  <c r="Y177" i="69" a="1"/>
  <c r="Y177" i="69" s="1"/>
  <c r="Y251" i="69" s="1" a="1"/>
  <c r="Y251" i="69" s="1"/>
  <c r="AC196" i="69" a="1"/>
  <c r="AC196" i="69" s="1"/>
  <c r="AC270" i="69" s="1" a="1"/>
  <c r="AC270" i="69" s="1"/>
  <c r="AA199" i="69" a="1"/>
  <c r="AA199" i="69" s="1"/>
  <c r="AA273" i="69" s="1" a="1"/>
  <c r="AA273" i="69" s="1"/>
  <c r="K177" i="69" a="1"/>
  <c r="K177" i="69" s="1"/>
  <c r="K235" i="69" s="1" a="1"/>
  <c r="K235" i="69" s="1"/>
  <c r="V77" i="76" a="1"/>
  <c r="V77" i="76" s="1"/>
  <c r="V141" i="76" s="1" a="1"/>
  <c r="V141" i="76" s="1"/>
  <c r="V201" i="76" s="1" a="1"/>
  <c r="V201" i="76" s="1"/>
  <c r="AE199" i="69" a="1"/>
  <c r="AE199" i="69" s="1"/>
  <c r="AE273" i="69" s="1" a="1"/>
  <c r="AE273" i="69" s="1"/>
  <c r="AE187" i="69" a="1"/>
  <c r="AE187" i="69" s="1"/>
  <c r="AE261" i="69" s="1" a="1"/>
  <c r="AE261" i="69" s="1"/>
  <c r="Z135" i="69" a="1"/>
  <c r="Z135" i="69" s="1"/>
  <c r="Z60" i="76"/>
  <c r="AF181" i="69" a="1"/>
  <c r="AF181" i="69" s="1"/>
  <c r="AF255" i="69" s="1" a="1"/>
  <c r="AF255" i="69" s="1"/>
  <c r="X76" i="76" a="1"/>
  <c r="X76" i="76" s="1"/>
  <c r="X140" i="76" s="1" a="1"/>
  <c r="X140" i="76" s="1"/>
  <c r="X200" i="76" s="1" a="1"/>
  <c r="X200" i="76" s="1"/>
  <c r="V75" i="76" a="1"/>
  <c r="V75" i="76" s="1"/>
  <c r="V139" i="76" s="1" a="1"/>
  <c r="V139" i="76" s="1"/>
  <c r="V199" i="76" s="1" a="1"/>
  <c r="V199" i="76" s="1"/>
  <c r="AF194" i="69" a="1"/>
  <c r="AF194" i="69" s="1"/>
  <c r="AF268" i="69" s="1" a="1"/>
  <c r="AF268" i="69" s="1"/>
  <c r="AC178" i="69" a="1"/>
  <c r="AC178" i="69" s="1"/>
  <c r="AC252" i="69" s="1" a="1"/>
  <c r="AC252" i="69" s="1"/>
  <c r="E131" i="69" a="1"/>
  <c r="E131" i="69" s="1"/>
  <c r="E54" i="76"/>
  <c r="K178" i="69" a="1"/>
  <c r="K178" i="69" s="1"/>
  <c r="K236" i="69" s="1" a="1"/>
  <c r="K236" i="69" s="1"/>
  <c r="AB77" i="76" a="1"/>
  <c r="AB77" i="76" s="1"/>
  <c r="AB141" i="76" s="1" a="1"/>
  <c r="AB141" i="76" s="1"/>
  <c r="AB201" i="76" s="1" a="1"/>
  <c r="AB201" i="76" s="1"/>
  <c r="W198" i="69" a="1"/>
  <c r="W198" i="69" s="1"/>
  <c r="W272" i="69" s="1" a="1"/>
  <c r="W272" i="69" s="1"/>
  <c r="W186" i="69" a="1"/>
  <c r="W186" i="69" s="1"/>
  <c r="W260" i="69" s="1" a="1"/>
  <c r="W260" i="69" s="1"/>
  <c r="Y197" i="69" a="1"/>
  <c r="Y197" i="69" s="1"/>
  <c r="Y271" i="69" s="1" a="1"/>
  <c r="Y271" i="69" s="1"/>
  <c r="J181" i="69" a="1"/>
  <c r="J181" i="69" s="1"/>
  <c r="J239" i="69" s="1" a="1"/>
  <c r="J239" i="69" s="1"/>
  <c r="V79" i="76" a="1"/>
  <c r="V79" i="76" s="1"/>
  <c r="V143" i="76" s="1" a="1"/>
  <c r="V143" i="76" s="1"/>
  <c r="V203" i="76" s="1" a="1"/>
  <c r="V203" i="76" s="1"/>
  <c r="Y195" i="69" a="1"/>
  <c r="Y195" i="69" s="1"/>
  <c r="Y269" i="69" s="1" a="1"/>
  <c r="Y269" i="69" s="1"/>
  <c r="Y183" i="69" a="1"/>
  <c r="Y183" i="69" s="1"/>
  <c r="Y257" i="69" s="1" a="1"/>
  <c r="Y257" i="69" s="1"/>
  <c r="G65" i="76" a="1"/>
  <c r="G65" i="76" s="1"/>
  <c r="G130" i="76" s="1" a="1"/>
  <c r="G130" i="76" s="1"/>
  <c r="G172" i="76" s="1" a="1"/>
  <c r="G172" i="76" s="1"/>
  <c r="G210" i="76" s="1" a="1"/>
  <c r="G210" i="76" s="1"/>
  <c r="J133" i="69" a="1"/>
  <c r="J133" i="69" s="1"/>
  <c r="J56" i="76"/>
  <c r="J64" i="76" s="1" a="1"/>
  <c r="J64" i="76" s="1"/>
  <c r="J129" i="76" s="1" a="1"/>
  <c r="J129" i="76" s="1"/>
  <c r="J171" i="76" s="1" a="1"/>
  <c r="J171" i="76" s="1"/>
  <c r="J209" i="76" s="1" a="1"/>
  <c r="J209" i="76" s="1"/>
  <c r="G64" i="76" a="1"/>
  <c r="G64" i="76" s="1"/>
  <c r="G129" i="76" s="1" a="1"/>
  <c r="G129" i="76" s="1"/>
  <c r="G171" i="76" s="1" a="1"/>
  <c r="G171" i="76" s="1"/>
  <c r="G209" i="76" s="1" a="1"/>
  <c r="G209" i="76" s="1"/>
  <c r="AA178" i="69" a="1"/>
  <c r="AA178" i="69" s="1"/>
  <c r="AA252" i="69" s="1" a="1"/>
  <c r="AA252" i="69" s="1"/>
  <c r="AA190" i="69" a="1"/>
  <c r="AA190" i="69" s="1"/>
  <c r="AA264" i="69" s="1" a="1"/>
  <c r="AA264" i="69" s="1"/>
  <c r="AD178" i="69" a="1"/>
  <c r="AD178" i="69" s="1"/>
  <c r="AD252" i="69" s="1" a="1"/>
  <c r="AD252" i="69" s="1"/>
  <c r="AD190" i="69" a="1"/>
  <c r="AD190" i="69" s="1"/>
  <c r="AD264" i="69" s="1" a="1"/>
  <c r="AD264" i="69" s="1"/>
  <c r="K63" i="76" a="1"/>
  <c r="K63" i="76" s="1"/>
  <c r="K128" i="76" s="1" a="1"/>
  <c r="K128" i="76" s="1"/>
  <c r="K170" i="76" s="1" a="1"/>
  <c r="K170" i="76" s="1"/>
  <c r="K208" i="76" s="1" a="1"/>
  <c r="K208" i="76" s="1"/>
  <c r="V139" i="69" a="1"/>
  <c r="V139" i="69" s="1"/>
  <c r="V64" i="76"/>
  <c r="V72" i="76" a="1"/>
  <c r="V72" i="76" s="1"/>
  <c r="V136" i="76" s="1" a="1"/>
  <c r="V136" i="76" s="1"/>
  <c r="V196" i="76" s="1" a="1"/>
  <c r="V196" i="76" s="1"/>
  <c r="AF180" i="69" a="1"/>
  <c r="AF180" i="69" s="1"/>
  <c r="AF254" i="69" s="1" a="1"/>
  <c r="AF254" i="69" s="1"/>
  <c r="X83" i="76" a="1"/>
  <c r="X83" i="76" s="1"/>
  <c r="X147" i="76" s="1" a="1"/>
  <c r="X147" i="76" s="1"/>
  <c r="X207" i="76" s="1" a="1"/>
  <c r="X207" i="76" s="1"/>
  <c r="AE66" i="76"/>
  <c r="AE141" i="69" a="1"/>
  <c r="AE141" i="69" s="1"/>
  <c r="AA198" i="69" a="1"/>
  <c r="AA198" i="69" s="1"/>
  <c r="AA272" i="69" s="1" a="1"/>
  <c r="AA272" i="69" s="1"/>
  <c r="Z187" i="69" a="1"/>
  <c r="Z187" i="69" s="1"/>
  <c r="Z261" i="69" s="1" a="1"/>
  <c r="Z261" i="69" s="1"/>
  <c r="W57" i="76"/>
  <c r="W132" i="69" a="1"/>
  <c r="W132" i="69" s="1"/>
  <c r="AA58" i="76"/>
  <c r="AA133" i="69" a="1"/>
  <c r="AA133" i="69" s="1"/>
  <c r="AB76" i="76" a="1"/>
  <c r="AB76" i="76" s="1"/>
  <c r="AB140" i="76" s="1" a="1"/>
  <c r="AB140" i="76" s="1"/>
  <c r="AB200" i="76" s="1" a="1"/>
  <c r="AB200" i="76" s="1"/>
  <c r="AF200" i="69" a="1"/>
  <c r="AF200" i="69" s="1"/>
  <c r="AF274" i="69" s="1" a="1"/>
  <c r="AF274" i="69" s="1"/>
  <c r="K65" i="76" a="1"/>
  <c r="K65" i="76" s="1"/>
  <c r="K130" i="76" s="1" a="1"/>
  <c r="K130" i="76" s="1"/>
  <c r="K172" i="76" s="1" a="1"/>
  <c r="K172" i="76" s="1"/>
  <c r="K210" i="76" s="1" a="1"/>
  <c r="K210" i="76" s="1"/>
  <c r="AC65" i="76"/>
  <c r="AC140" i="69" a="1"/>
  <c r="AC140" i="69" s="1"/>
  <c r="AB75" i="76" a="1"/>
  <c r="AB75" i="76" s="1"/>
  <c r="AB139" i="76" s="1" a="1"/>
  <c r="AB139" i="76" s="1"/>
  <c r="AB199" i="76" s="1" a="1"/>
  <c r="AB199" i="76" s="1"/>
  <c r="AB72" i="76" a="1"/>
  <c r="AB72" i="76" s="1"/>
  <c r="AB136" i="76" s="1" a="1"/>
  <c r="AB136" i="76" s="1"/>
  <c r="AB196" i="76" s="1" a="1"/>
  <c r="AB196" i="76" s="1"/>
  <c r="G62" i="76" a="1"/>
  <c r="G62" i="76" s="1"/>
  <c r="G127" i="76" s="1" a="1"/>
  <c r="G127" i="76" s="1"/>
  <c r="G169" i="76" s="1" a="1"/>
  <c r="G169" i="76" s="1"/>
  <c r="G207" i="76" s="1" a="1"/>
  <c r="G207" i="76" s="1"/>
  <c r="I177" i="69" a="1"/>
  <c r="I177" i="69" s="1"/>
  <c r="I235" i="69" s="1" a="1"/>
  <c r="I235" i="69" s="1"/>
  <c r="X81" i="76" l="1" a="1"/>
  <c r="X81" i="76" s="1"/>
  <c r="X145" i="76" s="1" a="1"/>
  <c r="X145" i="76" s="1"/>
  <c r="X205" i="76" a="1"/>
  <c r="X205" i="76" s="1"/>
  <c r="X72" i="76" a="1"/>
  <c r="X72" i="76" s="1"/>
  <c r="X136" i="76" s="1" a="1"/>
  <c r="X136" i="76" s="1"/>
  <c r="X196" i="76" a="1"/>
  <c r="X196" i="76" s="1"/>
  <c r="V73" i="76" a="1"/>
  <c r="V73" i="76" s="1"/>
  <c r="V137" i="76" s="1" a="1"/>
  <c r="V137" i="76" s="1"/>
  <c r="V197" i="76" a="1"/>
  <c r="V197" i="76" s="1"/>
  <c r="W79" i="76" a="1"/>
  <c r="W79" i="76" s="1"/>
  <c r="W143" i="76" s="1" a="1"/>
  <c r="W143" i="76" s="1"/>
  <c r="W203" i="76" a="1"/>
  <c r="W203"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X203" i="76" a="1"/>
  <c r="X203" i="76" s="1"/>
  <c r="AC199" i="76" a="1"/>
  <c r="AC199" i="76" s="1"/>
  <c r="AA201" i="76" a="1"/>
  <c r="AA201" i="76" s="1"/>
  <c r="AE207" i="76" a="1"/>
  <c r="AE207" i="76" s="1"/>
  <c r="V204" i="76" a="1"/>
  <c r="V204" i="76" s="1"/>
  <c r="X199" i="76" a="1"/>
  <c r="X199" i="76" s="1"/>
  <c r="AD200" i="76" a="1"/>
  <c r="AD200" i="76" s="1"/>
  <c r="V206" i="76" a="1"/>
  <c r="V206" i="76" s="1"/>
  <c r="AD206" i="76" a="1"/>
  <c r="AD206" i="76" s="1"/>
  <c r="AF177" i="69" a="1"/>
  <c r="AF177" i="69" s="1"/>
  <c r="AF251" i="69" s="1" a="1"/>
  <c r="AF251" i="69" s="1"/>
  <c r="Z179" i="69" a="1"/>
  <c r="Z179" i="69" s="1"/>
  <c r="Z253" i="69" s="1" a="1"/>
  <c r="Z253" i="69" s="1"/>
  <c r="X192" i="69" a="1"/>
  <c r="X192" i="69" s="1"/>
  <c r="X266" i="69" s="1" a="1"/>
  <c r="X266" i="69" s="1"/>
  <c r="Y250" i="76" a="1"/>
  <c r="Y250" i="76" s="1"/>
  <c r="Y249" i="76" a="1"/>
  <c r="Y249" i="76" s="1"/>
  <c r="X79" i="76" a="1"/>
  <c r="X79" i="76" s="1"/>
  <c r="X143" i="76" s="1" a="1"/>
  <c r="X143" i="76" s="1"/>
  <c r="AE78" i="76" a="1"/>
  <c r="AE78" i="76" s="1"/>
  <c r="AE142" i="76" s="1" a="1"/>
  <c r="AE142" i="76" s="1"/>
  <c r="AE202" i="76" s="1" a="1"/>
  <c r="AE202" i="76" s="1"/>
  <c r="AA77" i="76" a="1"/>
  <c r="AA77" i="76" s="1"/>
  <c r="AA141" i="76" s="1" a="1"/>
  <c r="AA141" i="76" s="1"/>
  <c r="AE83" i="76" a="1"/>
  <c r="AE83" i="76" s="1"/>
  <c r="AE147" i="76" s="1" a="1"/>
  <c r="AE14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AA252" i="76" a="1"/>
  <c r="AA252" i="76" s="1"/>
  <c r="Y254" i="76" a="1"/>
  <c r="Y254" i="76" s="1"/>
  <c r="AD76" i="76" a="1"/>
  <c r="AD76" i="76" s="1"/>
  <c r="AD140" i="76" s="1" a="1"/>
  <c r="AD14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V249" i="76" a="1"/>
  <c r="V249"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F190" i="69" a="1"/>
  <c r="AF190" i="69" s="1"/>
  <c r="AF264" i="69" s="1" a="1"/>
  <c r="AF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AC251" i="76" a="1"/>
  <c r="AC251"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W255" i="76" a="1"/>
  <c r="W255"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X257" i="76" a="1"/>
  <c r="X257" i="76" s="1"/>
  <c r="X248" i="76" a="1"/>
  <c r="X248"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W192" i="69" a="1"/>
  <c r="W192" i="69" s="1"/>
  <c r="W266" i="69" s="1" a="1"/>
  <c r="W266" i="69" s="1"/>
  <c r="X187" i="69" a="1"/>
  <c r="X187" i="69" s="1"/>
  <c r="X261" i="69" s="1" a="1"/>
  <c r="X261" i="69" s="1"/>
  <c r="AE186" i="69" a="1"/>
  <c r="AE186" i="69" s="1"/>
  <c r="AE260" i="69" s="1" a="1"/>
  <c r="AE260" i="69" s="1"/>
  <c r="H184" i="69" a="1"/>
  <c r="H184" i="69" s="1"/>
  <c r="H242" i="69" s="1" a="1"/>
  <c r="H242" i="69" s="1"/>
  <c r="AC182" i="69" a="1"/>
  <c r="AC182" i="69" s="1"/>
  <c r="AC256" i="69" s="1" a="1"/>
  <c r="AC256" i="69" s="1"/>
  <c r="Z185" i="69" a="1"/>
  <c r="Z185" i="69" s="1"/>
  <c r="Z259" i="69" s="1" a="1"/>
  <c r="Z259" i="69" s="1"/>
  <c r="J182" i="69" a="1"/>
  <c r="J182" i="69" s="1"/>
  <c r="J240" i="69" s="1" a="1"/>
  <c r="J240" i="69" s="1"/>
  <c r="AE196" i="69" a="1"/>
  <c r="AE196" i="69" s="1"/>
  <c r="AE270" i="69" s="1" a="1"/>
  <c r="AE270" i="69" s="1"/>
  <c r="Z192" i="69" a="1"/>
  <c r="Z192" i="69" s="1"/>
  <c r="Z266" i="69" s="1" a="1"/>
  <c r="Z266" i="69" s="1"/>
  <c r="Z178" i="69" a="1"/>
  <c r="Z178" i="69" s="1"/>
  <c r="Z252" i="69" s="1" a="1"/>
  <c r="Z252" i="69" s="1"/>
  <c r="AA189" i="69" a="1"/>
  <c r="AA189" i="69" s="1"/>
  <c r="AA263" i="69" s="1" a="1"/>
  <c r="AA263" i="69" s="1"/>
  <c r="M184" i="69" a="1"/>
  <c r="M184" i="69" s="1"/>
  <c r="M242" i="69" s="1" a="1"/>
  <c r="M242" i="69" s="1"/>
  <c r="AC193" i="69" a="1"/>
  <c r="AC193" i="69" s="1"/>
  <c r="AC267" i="69" s="1" a="1"/>
  <c r="AC267" i="69" s="1"/>
  <c r="Y181" i="69" a="1"/>
  <c r="Y181" i="69" s="1"/>
  <c r="Y255" i="69" s="1" a="1"/>
  <c r="Y255" i="69" s="1"/>
  <c r="AB192" i="69" a="1"/>
  <c r="AB192" i="69" s="1"/>
  <c r="AB266" i="69" s="1" a="1"/>
  <c r="AB266" i="69" s="1"/>
  <c r="H183" i="69" a="1"/>
  <c r="H183" i="69" s="1"/>
  <c r="H241" i="69" s="1" a="1"/>
  <c r="H241" i="69" s="1"/>
  <c r="L180" i="69" a="1"/>
  <c r="L180" i="69" s="1"/>
  <c r="L238" i="69" s="1" a="1"/>
  <c r="L238" i="69" s="1"/>
  <c r="AB193" i="69" a="1"/>
  <c r="AB193" i="69" s="1"/>
  <c r="AB267" i="69" s="1" a="1"/>
  <c r="AB267" i="69" s="1"/>
  <c r="AE191" i="69" a="1"/>
  <c r="AE191" i="69" s="1"/>
  <c r="AE265" i="69" s="1" a="1"/>
  <c r="AE265" i="69" s="1"/>
  <c r="AA188" i="69" a="1"/>
  <c r="AA188" i="69" s="1"/>
  <c r="AA262" i="69" s="1" a="1"/>
  <c r="AA262" i="69" s="1"/>
  <c r="J179" i="69" a="1"/>
  <c r="J179" i="69" s="1"/>
  <c r="J237" i="69" s="1" a="1"/>
  <c r="J237" i="69" s="1"/>
  <c r="Z183" i="69" a="1"/>
  <c r="Z183" i="69" s="1"/>
  <c r="Z257" i="69" s="1" a="1"/>
  <c r="Z257" i="69" s="1"/>
  <c r="J180" i="69" a="1"/>
  <c r="J180" i="69" s="1"/>
  <c r="J238" i="69" s="1" a="1"/>
  <c r="J238" i="69" s="1"/>
  <c r="AB186" i="69" a="1"/>
  <c r="AB186" i="69" s="1"/>
  <c r="AB260" i="69" s="1" a="1"/>
  <c r="AB260" i="69" s="1"/>
  <c r="AC177" i="69" a="1"/>
  <c r="AC177" i="69" s="1"/>
  <c r="AC251" i="69" s="1" a="1"/>
  <c r="AC251" i="69" s="1"/>
  <c r="W182" i="69" a="1"/>
  <c r="W182" i="69" s="1"/>
  <c r="W256" i="69" s="1" a="1"/>
  <c r="W256" i="69" s="1"/>
  <c r="AB200" i="69" a="1"/>
  <c r="AB200" i="69" s="1"/>
  <c r="AB274" i="69" s="1" a="1"/>
  <c r="AB274" i="69" s="1"/>
  <c r="AB190" i="69" a="1"/>
  <c r="AB190" i="69" s="1"/>
  <c r="AB264" i="69" s="1" a="1"/>
  <c r="AB264" i="69" s="1"/>
  <c r="W189" i="69" a="1"/>
  <c r="W189" i="69" s="1"/>
  <c r="W263" i="69" s="1" a="1"/>
  <c r="W263" i="69" s="1"/>
  <c r="X200" i="69" a="1"/>
  <c r="X200" i="69" s="1"/>
  <c r="X274" i="69" s="1" a="1"/>
  <c r="X274" i="69" s="1"/>
  <c r="O180" i="69" a="1"/>
  <c r="O180" i="69" s="1"/>
  <c r="O238" i="69" s="1" a="1"/>
  <c r="O238" i="69" s="1"/>
  <c r="AA185" i="69" a="1"/>
  <c r="AA185" i="69" s="1"/>
  <c r="AA259" i="69" s="1" a="1"/>
  <c r="AA259" i="69" s="1"/>
  <c r="G183" i="69" a="1"/>
  <c r="G183" i="69" s="1"/>
  <c r="G241" i="69" s="1" a="1"/>
  <c r="G241" i="69" s="1"/>
  <c r="L182" i="69" a="1"/>
  <c r="L182" i="69" s="1"/>
  <c r="L240" i="69" s="1" a="1"/>
  <c r="L240" i="69" s="1"/>
  <c r="AA191" i="69" a="1"/>
  <c r="AA191" i="69" s="1"/>
  <c r="AA265" i="69" s="1" a="1"/>
  <c r="AA265" i="69" s="1"/>
  <c r="AA183" i="69" a="1"/>
  <c r="AA183" i="69" s="1"/>
  <c r="AA257" i="69" s="1" a="1"/>
  <c r="AA257" i="69" s="1"/>
  <c r="AE180" i="69" a="1"/>
  <c r="AE180" i="69" s="1"/>
  <c r="AE254" i="69" s="1" a="1"/>
  <c r="AE254" i="69" s="1"/>
  <c r="AE178" i="69" a="1"/>
  <c r="AE178" i="69" s="1"/>
  <c r="AE252" i="69" s="1" a="1"/>
  <c r="AE252" i="69" s="1"/>
  <c r="AD182" i="69" a="1"/>
  <c r="AD182" i="69" s="1"/>
  <c r="AD256" i="69" s="1" a="1"/>
  <c r="AD256" i="69" s="1"/>
  <c r="G180" i="69" a="1"/>
  <c r="G180" i="69" s="1"/>
  <c r="G238" i="69" s="1" a="1"/>
  <c r="G238" i="69" s="1"/>
  <c r="I179" i="69" a="1"/>
  <c r="I179" i="69" s="1"/>
  <c r="I237" i="69" s="1" a="1"/>
  <c r="I237" i="69" s="1"/>
  <c r="I183" i="69" a="1"/>
  <c r="I183" i="69" s="1"/>
  <c r="I241" i="69" s="1" a="1"/>
  <c r="I241" i="69" s="1"/>
  <c r="Z184" i="69" a="1"/>
  <c r="Z184" i="69" s="1"/>
  <c r="Z258" i="69" s="1" a="1"/>
  <c r="Z258" i="69" s="1"/>
  <c r="Z196" i="69" a="1"/>
  <c r="Z196" i="69" s="1"/>
  <c r="Z270" i="69" s="1" a="1"/>
  <c r="Z270" i="69" s="1"/>
  <c r="X190" i="69" a="1"/>
  <c r="X190" i="69" s="1"/>
  <c r="X264" i="69" s="1" a="1"/>
  <c r="X264" i="69" s="1"/>
  <c r="X178" i="69" a="1"/>
  <c r="X178" i="69" s="1"/>
  <c r="X252" i="69" s="1" a="1"/>
  <c r="X252" i="69" s="1"/>
  <c r="E62" i="76" a="1"/>
  <c r="E62" i="76" s="1"/>
  <c r="E127" i="76" s="1" a="1"/>
  <c r="E127" i="76" s="1"/>
  <c r="E169" i="76" s="1" a="1"/>
  <c r="E169" i="76" s="1"/>
  <c r="E207" i="76" s="1" a="1"/>
  <c r="E207" i="76" s="1"/>
  <c r="E212" i="76" s="1"/>
  <c r="G13" i="98" s="1"/>
  <c r="E20" i="98" s="1" a="1"/>
  <c r="E20" i="98" s="1"/>
  <c r="W197" i="69" a="1"/>
  <c r="W197" i="69" s="1"/>
  <c r="W271" i="69" s="1" a="1"/>
  <c r="W271" i="69" s="1"/>
  <c r="W185" i="69" a="1"/>
  <c r="W185" i="69" s="1"/>
  <c r="W259" i="69" s="1" a="1"/>
  <c r="W259" i="69" s="1"/>
  <c r="F177" i="69" a="1"/>
  <c r="F177" i="69" s="1"/>
  <c r="F235" i="69" s="1" a="1"/>
  <c r="F235" i="69" s="1"/>
  <c r="F181" i="69" a="1"/>
  <c r="F181" i="69" s="1"/>
  <c r="F239" i="69" s="1" a="1"/>
  <c r="F239" i="69" s="1"/>
  <c r="AA181" i="69" a="1"/>
  <c r="AA181" i="69" s="1"/>
  <c r="AA255" i="69" s="1" a="1"/>
  <c r="AA255" i="69" s="1"/>
  <c r="AA193" i="69" a="1"/>
  <c r="AA193" i="69" s="1"/>
  <c r="AA267" i="69" s="1" a="1"/>
  <c r="AA267" i="69" s="1"/>
  <c r="AF199" i="69" a="1"/>
  <c r="AF199" i="69" s="1"/>
  <c r="AF273" i="69" s="1" a="1"/>
  <c r="AF273" i="69" s="1"/>
  <c r="AF187" i="69" a="1"/>
  <c r="AF187" i="69" s="1"/>
  <c r="AF261" i="69" s="1" a="1"/>
  <c r="AF261" i="69" s="1"/>
  <c r="AB191" i="69" a="1"/>
  <c r="AB191" i="69" s="1"/>
  <c r="AB265" i="69" s="1" a="1"/>
  <c r="AB265" i="69" s="1"/>
  <c r="AB179" i="69" a="1"/>
  <c r="AB179" i="69" s="1"/>
  <c r="AB253" i="69" s="1" a="1"/>
  <c r="AB253" i="69" s="1"/>
  <c r="K179" i="69" a="1"/>
  <c r="K179" i="69" s="1"/>
  <c r="K237" i="69" s="1" a="1"/>
  <c r="K237" i="69" s="1"/>
  <c r="K183" i="69" a="1"/>
  <c r="K183" i="69" s="1"/>
  <c r="K241" i="69" s="1" a="1"/>
  <c r="K241" i="69" s="1"/>
  <c r="AD186" i="69" a="1"/>
  <c r="AD186" i="69" s="1"/>
  <c r="AD260" i="69" s="1" a="1"/>
  <c r="AD260" i="69" s="1"/>
  <c r="AD198" i="69" a="1"/>
  <c r="AD198" i="69" s="1"/>
  <c r="AD272" i="69" s="1" a="1"/>
  <c r="AD272"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Z255" i="76" l="1"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N32" i="98"/>
  <c r="L36" i="98" s="1" a="1"/>
  <c r="L36" i="98" s="1"/>
  <c r="G32" i="98"/>
  <c r="E36" i="98" s="1" a="1"/>
  <c r="E36" i="98" s="1"/>
  <c r="V276" i="69"/>
  <c r="X278" i="69" s="1"/>
  <c r="V281" i="69" s="1" a="1"/>
  <c r="V281" i="69" s="1"/>
  <c r="I7" i="13" s="1"/>
  <c r="E244" i="69"/>
  <c r="G246" i="69" s="1"/>
  <c r="E249" i="69" s="1" a="1"/>
  <c r="E249" i="69" s="1"/>
  <c r="H7" i="13" s="1"/>
  <c r="E229" i="76" a="1"/>
  <c r="E229" i="76" s="1"/>
  <c r="H13" i="97"/>
  <c r="E16" i="97" s="1" a="1"/>
  <c r="E16" i="97" s="1"/>
  <c r="H28" i="97" s="1"/>
  <c r="E35" i="97" s="1" a="1"/>
  <c r="E35" i="97" s="1"/>
  <c r="E29" i="15"/>
  <c r="V261" i="76" l="1"/>
  <c r="E7" i="13"/>
  <c r="F7" i="13"/>
  <c r="E10" i="13"/>
  <c r="G38" i="98"/>
  <c r="E41" i="98" s="1" a="1"/>
  <c r="E41" i="98" s="1"/>
  <c r="H10" i="13" s="1"/>
  <c r="G37" i="97"/>
  <c r="E40" i="97" s="1" a="1"/>
  <c r="E40" i="97" s="1"/>
  <c r="H9" i="13" s="1"/>
  <c r="E9" i="13"/>
  <c r="F10" i="13"/>
  <c r="N38" i="98"/>
  <c r="L41" i="98" s="1" a="1"/>
  <c r="L41" i="98" s="1"/>
  <c r="I10" i="13" s="1"/>
  <c r="G231" i="76"/>
  <c r="E234" i="76" s="1" a="1"/>
  <c r="E234" i="76" s="1"/>
  <c r="H8" i="13" s="1"/>
  <c r="E8" i="13"/>
  <c r="E13" i="15"/>
  <c r="V267" i="76" l="1" a="1"/>
  <c r="V267" i="76" s="1"/>
  <c r="N13" i="98"/>
  <c r="L20" i="98" s="1" a="1"/>
  <c r="L20" i="98" s="1"/>
  <c r="P13" i="97"/>
  <c r="M16" i="97" s="1" a="1"/>
  <c r="M16" i="97" s="1"/>
  <c r="P28" i="97" s="1"/>
  <c r="M35" i="97" s="1" a="1"/>
  <c r="M35" i="97" s="1"/>
  <c r="H11" i="13"/>
  <c r="O37" i="97" l="1"/>
  <c r="M40" i="97" s="1" a="1"/>
  <c r="M40" i="97" s="1"/>
  <c r="I9" i="13" s="1"/>
  <c r="F9" i="13"/>
  <c r="X269" i="76"/>
  <c r="V272" i="76" s="1" a="1"/>
  <c r="V272" i="76" s="1"/>
  <c r="I8" i="13" s="1"/>
  <c r="F8" i="13"/>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<sst xmlns="http://schemas.openxmlformats.org/spreadsheetml/2006/main" count="1830" uniqueCount="353">
  <si>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</si>
  <si>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</si>
  <si>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</si>
  <si>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</si>
  <si>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</si>
  <si>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</si>
  <si>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</si>
  <si>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</si>
  <si>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</si>
  <si>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</si>
  <si>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</si>
  <si>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</si>
  <si>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</si>
  <si>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</si>
  <si>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</si>
  <si>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</si>
  <si>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</si>
  <si>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</si>
  <si>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</si>
  <si>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</si>
  <si>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</si>
  <si>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</si>
  <si>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</si>
  <si>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</si>
  <si>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</si>
  <si>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</si>
  <si>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</si>
  <si>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</si>
  <si>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</si>
  <si>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</si>
  <si>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</si>
  <si>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</si>
  <si>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</si>
  <si>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</si>
  <si>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</si>
  <si>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</si>
  <si>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</si>
  <si>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</si>
  <si>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</si>
  <si>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</si>
  <si>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</si>
  <si>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</si>
  <si>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</si>
  <si>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</si>
  <si>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</si>
  <si>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</si>
  <si>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</si>
  <si>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</si>
  <si>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</si>
  <si>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</si>
  <si>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</si>
  <si>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</si>
  <si>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</si>
  <si>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</si>
  <si>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</si>
  <si>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</si>
  <si>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</si>
  <si>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</si>
  <si>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</si>
  <si>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</si>
  <si>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</si>
  <si>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</si>
  <si>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</si>
  <si>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</si>
  <si>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</si>
  <si>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</si>
  <si>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</si>
  <si>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</si>
  <si>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</si>
  <si>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</si>
  <si>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</si>
  <si>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</si>
  <si>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</si>
  <si>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</si>
  <si>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</si>
  <si>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</si>
  <si>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</si>
  <si>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</si>
  <si>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</si>
  <si>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</si>
  <si>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</si>
  <si>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</si>
  <si>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</si>
  <si>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</si>
  <si>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</si>
  <si>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</si>
  <si>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</si>
  <si>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</si>
  <si>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</si>
  <si>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</si>
  <si>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</si>
  <si>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</si>
  <si>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</si>
  <si>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</si>
  <si>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</si>
  <si>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</si>
  <si>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</si>
  <si>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</si>
  <si>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</si>
  <si>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</si>
  <si>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</si>
  <si>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</si>
  <si>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</si>
  <si>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</si>
  <si>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</si>
  <si>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</si>
  <si>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</si>
  <si>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</si>
  <si>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</si>
  <si>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</si>
  <si>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</si>
  <si>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</si>
  <si>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</si>
  <si>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</si>
  <si>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</si>
  <si>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</si>
  <si>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</si>
  <si>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</si>
  <si>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</si>
  <si>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</si>
  <si>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</si>
  <si>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</si>
  <si>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</si>
  <si>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</si>
  <si>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</si>
  <si>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</si>
  <si>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</si>
  <si>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</si>
  <si>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</si>
  <si>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</si>
  <si>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</si>
  <si>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</si>
  <si>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</si>
  <si>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</si>
  <si>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</si>
  <si>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</si>
  <si>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</si>
  <si>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</si>
  <si>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</si>
  <si>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</si>
  <si>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</si>
  <si>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</si>
  <si>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</si>
  <si>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</si>
  <si>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</si>
  <si>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</si>
  <si>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</si>
  <si>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</si>
  <si>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</si>
  <si>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</si>
  <si>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</si>
  <si>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</si>
  <si>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</si>
  <si>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</si>
  <si>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</si>
  <si>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</si>
  <si>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</si>
  <si>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</si>
  <si>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</si>
  <si>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</si>
  <si>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</si>
  <si>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</si>
  <si>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</si>
  <si>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</si>
  <si>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</si>
  <si>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</si>
  <si>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</si>
  <si>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</si>
  <si>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</si>
  <si>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</si>
  <si>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</si>
  <si>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</si>
  <si>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</si>
  <si>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</si>
  <si>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</si>
  <si>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</si>
  <si>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</si>
  <si>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</si>
  <si>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</si>
  <si>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</si>
  <si>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</si>
  <si>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</si>
  <si>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</si>
  <si>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</si>
  <si>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</si>
  <si>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</si>
  <si>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</si>
  <si>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</si>
  <si>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</si>
  <si>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</si>
  <si>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</si>
  <si>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</si>
  <si>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</si>
  <si>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</si>
  <si>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</si>
  <si>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</si>
  <si>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</si>
  <si>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</si>
  <si>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</si>
  <si>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</si>
  <si>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</si>
  <si>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</si>
  <si>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</si>
  <si>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</si>
  <si>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</si>
  <si>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</si>
  <si>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</si>
  <si>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</si>
  <si>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</si>
  <si>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</si>
  <si>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</si>
  <si>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</si>
  <si>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</si>
  <si>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</si>
  <si>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</si>
  <si>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</si>
  <si>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</si>
  <si>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</si>
  <si>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</si>
  <si>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</si>
  <si>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</si>
  <si>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</si>
  <si>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</si>
  <si>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</si>
  <si>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</si>
  <si>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</si>
  <si>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</si>
  <si>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</si>
  <si>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</si>
  <si>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</si>
  <si>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</si>
  <si>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</si>
  <si>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</si>
  <si>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</si>
  <si>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</si>
  <si>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</si>
  <si>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</si>
  <si>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</si>
  <si>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</si>
  <si>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</si>
  <si>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</si>
  <si>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</si>
  <si>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M1_Table_LW_j_k_l</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</si>
  <si>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</si>
  <si>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</si>
  <si>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</si>
  <si>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</si>
  <si>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</si>
  <si>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</si>
  <si>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</si>
  <si>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</si>
  <si>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</si>
  <si>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</si>
  <si>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</si>
  <si>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</si>
  <si>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</si>
  <si>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</si>
  <si>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</si>
  <si>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</si>
  <si>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</si>
  <si>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</si>
  <si>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</si>
  <si>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</si>
  <si>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</si>
  <si>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</si>
  <si>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</si>
  <si>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</si>
  <si>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</si>
  <si>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</si>
  <si>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</si>
  <si>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</si>
  <si>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r>
      <t>MMS</t>
    </r>
    <r>
      <rPr>
        <b/>
        <vertAlign val="subscript"/>
        <sz val="11"/>
        <color rgb="FF183C1B"/>
        <rFont val="Times New Roman"/>
        <family val="1"/>
      </rPr>
      <t>m</t>
    </r>
  </si>
  <si>
    <t>Methane conversion factor</t>
  </si>
  <si>
    <t>M1_Table_M_j_k_l_m</t>
  </si>
  <si>
    <t>Methane production from manure (Method 1)</t>
  </si>
  <si>
    <t>M2_Table_M_j_k_l_m</t>
  </si>
  <si>
    <t>Methane production from manure (Method 2)</t>
  </si>
  <si>
    <t>Do method 2 temperature zone</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</si>
  <si>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</si>
  <si>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</si>
  <si>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</si>
  <si>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</si>
  <si>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</si>
  <si>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</si>
  <si>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</si>
  <si>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</si>
  <si>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</si>
  <si>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</si>
  <si>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</si>
  <si>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</si>
  <si>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Variable is LW in Methane</t>
  </si>
  <si>
    <t>Standard reference weight</t>
  </si>
  <si>
    <t>Table_SRW_k</t>
  </si>
  <si>
    <t>M1_Table_Z_j_k_l</t>
  </si>
  <si>
    <t>Relative size (Method 1)</t>
  </si>
  <si>
    <t>M2_Table_Z_j_k_l</t>
  </si>
  <si>
    <t>Relative size (Method 2)</t>
  </si>
  <si>
    <t>M1_Table_L_j_k_l</t>
  </si>
  <si>
    <t>M1_Table_MP_j_k-4-5</t>
  </si>
  <si>
    <t>Methane equation subscript is 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</si>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</sst>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s>
  <fills count="15">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5">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cellStyleXfs>
  <cellXfs count="120">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35" fillId="4" borderId="19" xfId="55" applyBorder="1" applyAlignment="1">
      <alignment vertical="center"/>
    </xf>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cellXfs>
  <cellStyles count="65">
    <cellStyle name="Alert" xfId="62" xr:uid="{34EFE908-8095-4010-8F93-8CFE88055637}"/>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mc:Choice xmlns:a14="http://schemas.microsoft.com/office/drawing/2010/main"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mc:Choice xmlns:a14="http://schemas.microsoft.com/office/drawing/2010/main"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00"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99"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98"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97"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96"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95"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94"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93"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92"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9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9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8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8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8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8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8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8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8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8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8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80"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5" totalsRowShown="0">
  <autoFilter ref="D85:P145"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2:M180" totalsRowShown="0">
  <autoFilter ref="D152:M180"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79"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78"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77"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76"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75"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74"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73"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72"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71"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7:P215" totalsRowShown="0">
  <autoFilter ref="D187:P215"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7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6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6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6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6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6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6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6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6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6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6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5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0:P280" totalsRowShown="0">
  <autoFilter ref="D220:P280"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E157</calculatedColumnFormula>
    </tableColumn>
    <tableColumn id="3" xr3:uid="{AC2B56C3-EAA6-4EB7-8AE8-595B24DDA286}" name="Season">
      <calculatedColumnFormula>F157</calculatedColumnFormula>
    </tableColumn>
    <tableColumn id="4" xr3:uid="{08B8437B-3F1B-4B67-96D6-D3205B887359}" name="Bulls &lt; 1 year">
      <calculatedColumnFormula>G157</calculatedColumnFormula>
    </tableColumn>
    <tableColumn id="5" xr3:uid="{CD173C65-37CB-47D4-9539-A607834353CA}" name="Bulls &gt; 1 year">
      <calculatedColumnFormula>H157</calculatedColumnFormula>
    </tableColumn>
    <tableColumn id="6" xr3:uid="{F0F0A114-C329-4154-B2DB-771A6B064444}" name="Cows &lt; 1 year">
      <calculatedColumnFormula>I157</calculatedColumnFormula>
    </tableColumn>
    <tableColumn id="7" xr3:uid="{761E5345-3D87-40AC-B840-E970BEAD4881}" name="Cows 1-2 years">
      <calculatedColumnFormula>J157</calculatedColumnFormula>
    </tableColumn>
    <tableColumn id="8" xr3:uid="{61CEB2F6-1825-4DC6-9E30-29B9B1373F7D}" name="Cows 2-3 years">
      <calculatedColumnFormula>K157</calculatedColumnFormula>
    </tableColumn>
    <tableColumn id="9" xr3:uid="{CB252A06-219C-4E93-8701-6BF8F198053D}" name="Cows &gt; 3 years">
      <calculatedColumnFormula>L157</calculatedColumnFormula>
    </tableColumn>
    <tableColumn id="10" xr3:uid="{6B66DB24-C04A-4D4C-B9BD-CDC6F4F5F354}" name="Steers &lt; 1 year">
      <calculatedColumnFormula>M157</calculatedColumnFormula>
    </tableColumn>
    <tableColumn id="11" xr3:uid="{9C7A5F7A-D394-46BB-8AC1-693C660CFDB6}" name="Steers 1-2 years">
      <calculatedColumnFormula>N157</calculatedColumnFormula>
    </tableColumn>
    <tableColumn id="12" xr3:uid="{83B5303D-9DB1-46F1-BB3E-05B25A2AEFB1}" name="Steers 2-3 years">
      <calculatedColumnFormula>O157</calculatedColumnFormula>
    </tableColumn>
    <tableColumn id="13" xr3:uid="{22665AE4-33C3-49E0-ADD0-40C083DBA62A}" name="Steers &gt;3 years">
      <calculatedColumnFormula>P157</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88:I303" totalsRowShown="0">
  <autoFilter ref="D288:I303"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5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5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5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5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5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1:I326" totalsRowShown="0" dataDxfId="53" dataCellStyle="Content normal">
  <autoFilter ref="D311:I326"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5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5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5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4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4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4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2:G340" totalsRowShown="0">
  <autoFilter ref="D332:G340"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46"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4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4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48:L356" totalsRowShown="0">
  <autoFilter ref="D348:L356"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4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4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4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4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3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3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3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3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59:O367" totalsRowShown="0">
  <autoFilter ref="D359:O367"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35" dataCellStyle="Content normal">
      <calculatedColumnFormula>D349</calculatedColumnFormula>
    </tableColumn>
    <tableColumn id="2" xr3:uid="{B172192B-EDB5-47A5-A010-C82516ED13B5}" name="Bulls &lt; 1 year" dataDxfId="34" dataCellStyle="Content normal">
      <calculatedColumnFormula>E349</calculatedColumnFormula>
    </tableColumn>
    <tableColumn id="3" xr3:uid="{F83B528D-B6D7-4E92-967F-018ED1475D9B}" name="Bulls &gt; 1 year" dataDxfId="33" dataCellStyle="Content normal">
      <calculatedColumnFormula>F349</calculatedColumnFormula>
    </tableColumn>
    <tableColumn id="4" xr3:uid="{E83019D4-F113-4C9E-ADA7-433997A968A1}" name="Cows &lt; 1 year" dataDxfId="32" dataCellStyle="Content normal">
      <calculatedColumnFormula>G349</calculatedColumnFormula>
    </tableColumn>
    <tableColumn id="5" xr3:uid="{B51413B2-710F-409C-8C3C-6B72C8E99B49}" name="Cows 1-2 years" dataDxfId="31" dataCellStyle="Content normal">
      <calculatedColumnFormula>H349</calculatedColumnFormula>
    </tableColumn>
    <tableColumn id="6" xr3:uid="{F7B12596-1E7F-417C-83F5-67964BA7AAAE}" name="Cows 2-3 years" dataDxfId="30" dataCellStyle="Content normal">
      <calculatedColumnFormula>I349</calculatedColumnFormula>
    </tableColumn>
    <tableColumn id="7" xr3:uid="{C1B8EAD9-BCCE-49FF-9E3D-15E99DEC329C}" name="Cows &gt; 3 years" dataDxfId="29" dataCellStyle="Content normal">
      <calculatedColumnFormula>I349</calculatedColumnFormula>
    </tableColumn>
    <tableColumn id="8" xr3:uid="{6AB556D2-AF6C-4E98-9AA1-A8C6DC5F5CA9}" name="Steers &lt; 1 year" dataDxfId="28" dataCellStyle="Content normal">
      <calculatedColumnFormula>J349</calculatedColumnFormula>
    </tableColumn>
    <tableColumn id="9" xr3:uid="{46DC3CBA-6FB0-4A95-A39E-B2179DC8CFE6}" name="Steers 1-2 years" dataDxfId="27" dataCellStyle="Content normal">
      <calculatedColumnFormula>K349</calculatedColumnFormula>
    </tableColumn>
    <tableColumn id="10" xr3:uid="{105CEA90-EFAD-4757-B82A-B19E9A3F2664}" name="Steers 2-3 years" dataDxfId="26" dataCellStyle="Content normal"/>
    <tableColumn id="11" xr3:uid="{5E2A59D6-56CA-4967-885E-8602CA905B74}" name="Steers &gt;3 years" dataDxfId="25" dataCellStyle="Content normal"/>
    <tableColumn id="12" xr3:uid="{1C306FC1-FFBA-4C23-8EAD-1C07A5BAAA50}" name="State abbreviation" dataDxfId="24"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5:G390" totalsRowShown="0">
  <autoFilter ref="D375:G390"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23"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2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2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398:G413" totalsRowShown="0" dataDxfId="20" dataCellStyle="Content normal">
  <autoFilter ref="D398:G413"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19"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1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1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1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2:L336" totalsRowShown="0">
  <autoFilter ref="I332:L336"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15"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1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1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3B1D119-AE36-4882-A86A-C523EA50793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7C242BB-51B4-423F-A8D2-BC23E743AC2B}" name="State/Territory">
      <calculatedColumnFormula array="1">Common_InputFunctions.Utility_DisplayArrayInTable(Common_SourceData.Common_SourceData_AustralianStatesTerritories_Data(),Table_AustralianStates[[#Headers],[State/Territory]],0)</calculatedColumnFormula>
    </tableColumn>
    <tableColumn id="2" xr3:uid="{755EF525-9892-4708-8112-D3FC5D810E35}" name="Common Name">
      <calculatedColumnFormula array="1">Common_InputFunctions.Utility_DisplayArrayInTable(Common_SourceData.Common_SourceData_AustralianStatesTerritories_Data(),Table_AustralianStates[[#Headers],[State/Territory]],0)</calculatedColumnFormula>
    </tableColumn>
    <tableColumn id="3" xr3:uid="{F3E1EE38-CE4A-4E0B-B9E9-203FC2D4BCDF}"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AD9DB27-C0F3-47F1-9E26-32B61AC03A74}" name="Table_WASA4Areas" displayName="Table_WASA4Areas" ref="D20:D30" totalsRowShown="0">
  <autoFilter ref="D20:D30" xr:uid="{5FA81339-C6C8-4D36-BEEA-6C4AEDD9E676}">
    <filterColumn colId="0" hiddenButton="1"/>
  </autoFilter>
  <tableColumns count="1">
    <tableColumn id="1" xr3:uid="{F63BCE24-4288-4C54-84AB-8F2BAEE7932F}"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E6DF6A3-BEFD-4C6A-8BEF-804415ECB5E4}" name="Table_GWPData" displayName="Table_GWPData" ref="D36:E43" totalsRowShown="0">
  <autoFilter ref="D36:E43" xr:uid="{B8E87A66-3E41-4AD3-925D-01EE21B43D7A}">
    <filterColumn colId="0" hiddenButton="1"/>
    <filterColumn colId="1" hiddenButton="1"/>
  </autoFilter>
  <tableColumns count="2">
    <tableColumn id="1" xr3:uid="{3EB7F9C6-2222-4699-98C4-8D80995BB551}" name="Gas">
      <calculatedColumnFormula array="1">Common_InputFunctions.Utility_DisplayArrayInTable(Common_SourceData.Common_SourceData_GWP_Data(), Table_GWPData[[#Headers],[Gas]], 0)</calculatedColumnFormula>
    </tableColumn>
    <tableColumn id="2" xr3:uid="{5B792409-270E-419D-A290-B3B8D7C30B1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A0DE11D-BE36-4C25-A45B-65CA8679D17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CF3D168-A12F-43E8-85D7-62E6D0E507B6}" name="Gas">
      <calculatedColumnFormula array="1">Common_InputFunctions.Utility_DisplayArrayInTable(Common_SourceData.Common_SourceData_ConvertGasElementalToMolecular_Data(),Table_GasToMolecularConversionFactor[[#Headers],[Gas]], 0)</calculatedColumnFormula>
    </tableColumn>
    <tableColumn id="5" xr3:uid="{E4EAE0E1-2718-46DB-8C7D-3C9370742BE8}" name="Conversion factor">
      <calculatedColumnFormula array="1">Common_InputFunctions.Utility_DisplayArrayInTable(Common_SourceData.Common_SourceData_ConvertGasElementalToMolecular_Data(),Table_GasToMolecularConversionFactor[[#Headers],[Gas]], 0)</calculatedColumnFormula>
    </tableColumn>
    <tableColumn id="2" xr3:uid="{4646E153-46BA-42A4-ADFA-394C3D97CBC0}"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F768D75-330E-4E1B-9C46-A5613B0AEEA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4BE4B44-15A5-4798-963B-BB09DAB2460A}"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8B6FD77-14E4-4BE8-9058-941E5E30D9E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0F6EBAD-BA5B-454C-915C-884A9A40AB7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D7AC8D9-9EB0-47D9-806E-AC81058A98BE}" name="MAT" totalsRowDxfId="135" totalsRowCellStyle="Content bold">
      <calculatedColumnFormula array="1">Common_InputFunctions.Utility_DisplayArrayInTable(Common_SourceData.Common_SourceData_ClimateZones_Data(), Table_SourceData_ClimateZones[[#Headers],[Climate zone]], 0)</calculatedColumnFormula>
    </tableColumn>
    <tableColumn id="3" xr3:uid="{64C27ED9-1413-4931-9A4F-D4FFDA5E0746}" name="MAP" totalsRowDxfId="134" totalsRowCellStyle="Content bold">
      <calculatedColumnFormula array="1">Common_InputFunctions.Utility_DisplayArrayInTable(Common_SourceData.Common_SourceData_ClimateZones_Data(), Table_SourceData_ClimateZones[[#Headers],[Climate zone]], 0)</calculatedColumnFormula>
    </tableColumn>
    <tableColumn id="4" xr3:uid="{99C890E6-523A-43B6-8EFF-3CED5099B43B}" name="Frost days per year" totalsRowDxfId="133" totalsRowCellStyle="Content bold">
      <calculatedColumnFormula array="1">Common_InputFunctions.Utility_DisplayArrayInTable(Common_SourceData.Common_SourceData_ClimateZones_Data(), Table_SourceData_ClimateZones[[#Headers],[Climate zone]], 0)</calculatedColumnFormula>
    </tableColumn>
    <tableColumn id="5" xr3:uid="{8404FAB5-F155-4A1D-9D5D-EF231D470CD5}" name="Elevation" totalsRowDxfId="132" totalsRowCellStyle="Content bold">
      <calculatedColumnFormula array="1">Common_InputFunctions.Utility_DisplayArrayInTable(Common_SourceData.Common_SourceData_ClimateZones_Data(), Table_SourceData_ClimateZones[[#Headers],[Climate zone]], 0)</calculatedColumnFormula>
    </tableColumn>
    <tableColumn id="6" xr3:uid="{B2149590-2AA4-472E-85C2-8EEE94F806D4}" name="MAP:PET"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7" xr3:uid="{6FAF9C10-4F71-45EB-937E-A6B48F24AB3A}" name="Min temp"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8" xr3:uid="{07865798-26C0-436E-8D22-A62570ABCFAE}" name="Max temp"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9" xr3:uid="{5EBD3B07-2DF7-4F2C-AE47-709797F0CAFA}" name="Min rainfall"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10" xr3:uid="{523DC766-99EB-4736-9468-530DEFD393C3}" name="Max rainfall"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11" xr3:uid="{9CAC9BDD-B280-46F9-8689-DEF713A90B48}" name="Min frost days"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15" xr3:uid="{50ED932C-C2F2-4BBF-A976-306EF039AFCC}" name="Max frost days"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12" xr3:uid="{97B86707-34B4-491C-B5B6-9C97A2C4B66C}" name="Min elevation"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6" xr3:uid="{291FAF29-BB9B-4F5C-90A2-F932A17B744D}" name="Max elevation"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3" xr3:uid="{2854EE77-5E7B-43E3-A57F-1BDDD57F86CB}" name="Min MAP:PET"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17" xr3:uid="{CD758545-F6EE-4A63-B29E-F48B5FEAF0E2}" name="Max MAP:PET" totalsRowDxfId="1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6DF7ACF-0C48-4224-99C4-EC5059D1B819}"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271FBC5-1C52-420B-9141-769BD16BA4B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2944AC3-AD2E-4190-939D-478DA214D15F}" name="Wet or Dry Zone" totalsRowDxfId="1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9DC4EB0-B7E4-4583-BEA5-856AFD9E9776}"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D121535-0315-4F9E-B52E-C199FA8B2AAB}" name="Temperature Zone">
      <calculatedColumnFormula array="1">Common_InputFunctions.Utility_DisplayArrayInTable(Common_SourceData.Common_SourceData_TemperatureZones_Data(),Table_SourceData_TemperatureZones[[#Headers],[Temperature Zone]],0)</calculatedColumnFormula>
    </tableColumn>
    <tableColumn id="2" xr3:uid="{BCBF1AAD-2CE9-475A-8CDF-928707F7DAA6}" name="MAT">
      <calculatedColumnFormula array="1">Common_InputFunctions.Utility_DisplayArrayInTable(Common_SourceData.Common_SourceData_TemperatureZones_Data(),Table_SourceData_TemperatureZones[[#Headers],[Temperature Zone]],0)</calculatedColumnFormula>
    </tableColumn>
    <tableColumn id="3" xr3:uid="{0B56E810-4EE5-4520-B13A-358A744F042C}" name="Min MAT">
      <calculatedColumnFormula array="1">Common_InputFunctions.Utility_DisplayArrayInTable(Common_SourceData.Common_SourceData_TemperatureZones_Data(),Table_SourceData_TemperatureZones[[#Headers],[Temperature Zone]],0)</calculatedColumnFormula>
    </tableColumn>
    <tableColumn id="4" xr3:uid="{3586F58B-6C8B-4C19-8B74-D9EB642150A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E0009E0-04B4-4C50-8030-D113C746F92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DF0AF09-AD65-4500-BF8B-3C364B125D3F}" name="Rainfall Zone">
      <calculatedColumnFormula array="1">Common_InputFunctions.Utility_DisplayArrayInTable(Common_SourceData.Common_SourceData_RainfallZones_Data(),Table_SourceData_RainfallZones[[#Headers],[Rainfall Zone]],0)</calculatedColumnFormula>
    </tableColumn>
    <tableColumn id="2" xr3:uid="{3F479EE2-0ADC-48A2-81F6-7195669EC16F}" name="Annual rainfall">
      <calculatedColumnFormula array="1">Common_InputFunctions.Utility_DisplayArrayInTable(Common_SourceData.Common_SourceData_RainfallZones_Data(),Table_SourceData_RainfallZones[[#Headers],[Rainfall Zone]],0)</calculatedColumnFormula>
    </tableColumn>
    <tableColumn id="3" xr3:uid="{66321ADA-6F22-4172-89F0-E78A3A96EF9F}" name="Min rainfall">
      <calculatedColumnFormula array="1">Common_InputFunctions.Utility_DisplayArrayInTable(Common_SourceData.Common_SourceData_RainfallZones_Data(),Table_SourceData_RainfallZones[[#Headers],[Rainfall Zone]],0)</calculatedColumnFormula>
    </tableColumn>
    <tableColumn id="4" xr3:uid="{56980B5B-88EC-4031-8C4A-B19CE7B44C7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D54477F-BE1F-43C2-8F1C-B6AA54EC00D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217CA27-53C4-4E35-A087-FDDBD9F94030}" name="Leaching Zone">
      <calculatedColumnFormula array="1">Common_InputFunctions.Utility_DisplayArrayInTable(Common_SourceData.Common_SourceData_LeachingZones_Data(), Table_SourceData_LeachingZones[[#Headers],[Leaching Zone]], 0)</calculatedColumnFormula>
    </tableColumn>
    <tableColumn id="2" xr3:uid="{ED90CE9D-0DE4-47F4-A6FB-385401DCE21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B408603-DA46-421E-A8F5-AF040D1456A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CAC6AF4-946A-4525-B1B5-DE4FB3BF4592}" name="Data source">
      <calculatedColumnFormula array="1">Common_InputFunctions.Utility_DisplayArrayInTable(Common_SourceData.Common_SourceData_DataScores_Scope3_Data(), Table_SourceData_DataScores_Scope3[[#Headers],[Data source]], 0)</calculatedColumnFormula>
    </tableColumn>
    <tableColumn id="2" xr3:uid="{7663365C-00F2-466F-9DFC-03D11587663C}"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0EB687A-8167-441C-A98A-B0093FFF5073}" name="Table_SourceData_FracWET" displayName="Table_SourceData_FracWET" ref="D134:E136" totalsRowShown="0">
  <autoFilter ref="D134:E136" xr:uid="{308E99BE-FE1F-47A4-B2CA-97217277C4E9}">
    <filterColumn colId="0" hiddenButton="1"/>
    <filterColumn colId="1" hiddenButton="1"/>
  </autoFilter>
  <tableColumns count="2">
    <tableColumn id="1" xr3:uid="{E0EDD8E8-5C30-4980-B532-D077D1342F55}" name="Is in leaching zone">
      <calculatedColumnFormula array="1">Common_InputFunctions.Utility_DisplayArrayInTable(Common_SourceData.Common_SourceData_FracWET_Data(),Table_SourceData_FracWET[[#Headers],[Is in leaching zone]],0)</calculatedColumnFormula>
    </tableColumn>
    <tableColumn id="2" xr3:uid="{640C967A-A7E6-47BC-A125-9E34FC97D19B}" name="FracWET" dataDxfId="1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BBDED0F-A082-4E38-A730-6B54F100546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8A5E791-7EC8-471A-896B-79D9B8CA6B6D}" name="Production system j">
      <calculatedColumnFormula array="1">Common_InputFunctions.Utility_DisplayArrayInTable(Common_SourceData.Common_SourceData_EFN2O_Data(), Table_SourceData_Common_EFN2O[[#Headers],[Production system j]], 0)</calculatedColumnFormula>
    </tableColumn>
    <tableColumn id="2" xr3:uid="{A43EBE5D-8CC7-4C0A-8046-B8D0E86E212D}" name="EFN2O">
      <calculatedColumnFormula array="1">Common_InputFunctions.Utility_DisplayArrayInTable(Common_SourceData.Common_SourceData_EFN2O_Data(), Table_SourceData_Common_EFN2O[[#Headers],[Production system j]], 0)</calculatedColumnFormula>
    </tableColumn>
    <tableColumn id="3" xr3:uid="{73778775-C182-4844-A8DD-5D29CC4492D9}" name="Production system only">
      <calculatedColumnFormula array="1">Common_InputFunctions.Utility_DisplayArrayInTable(Common_SourceData.Common_SourceData_EFN2O_Data(), Table_SourceData_Common_EFN2O[[#Headers],[Production system j]], 0)</calculatedColumnFormula>
    </tableColumn>
    <tableColumn id="4" xr3:uid="{58F54CB8-EAEE-4B7E-95F9-516199121632}" name="Irrigation method">
      <calculatedColumnFormula array="1">Common_InputFunctions.Utility_DisplayArrayInTable(Common_SourceData.Common_SourceData_EFN2O_Data(), Table_SourceData_Common_EFN2O[[#Headers],[Production system j]], 0)</calculatedColumnFormula>
    </tableColumn>
    <tableColumn id="5" xr3:uid="{195F57C0-0476-4870-9B0B-8DC45478E73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890194F-3644-4E7E-9F32-1D8579630B2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660F8AF-06C4-444B-909A-C7DEB94C6063}" name="Irrigation type i">
      <calculatedColumnFormula array="1">Common_InputFunctions.Utility_DisplayArrayInTable(Common_SourceData.Common_SourceData_FracWETIrrigation_Data(), Table_SourceData_FracWETIrrigation[[#Headers],[Irrigation type i]], 0)</calculatedColumnFormula>
    </tableColumn>
    <tableColumn id="2" xr3:uid="{50F6B56B-7701-4FFA-96C8-33D110261069}" name="FracWET" dataDxfId="1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0FC6200-342C-436C-8038-ED5EAF59376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E507615-79DC-4CFB-8830-FF8BE120BA7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34501F0-A89E-4116-BA95-70287FF5C983}" name="EFPRP" dataDxfId="1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7F4C072-3A77-4172-ABA5-E214F7D5DE6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831DA29-D20A-4178-8784-FD4E7BF8F065}" name="Month">
      <calculatedColumnFormula array="1">Common_InputFunctions.Utility_DisplayArrayInTable(Common_SourceData.Common_SourceData_MonthsToSeasons_Data(), Table_SourceData_Common_MonthToSeason[[#Headers],[Month]], 0)</calculatedColumnFormula>
    </tableColumn>
    <tableColumn id="2" xr3:uid="{D5DFBC4A-8915-4694-8151-AD8ABD10F441}" name="Season" dataDxfId="1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7011D9F-092D-4F38-9A18-3D63607C3A3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EA3BB5D-268F-4AE9-B3B8-0C2F4E50C58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C94923A-D7C2-4051-BDD8-91C0D35864A5}" name="MAT (ºC)" dataDxfId="1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CD5F318-6A9E-40FC-BC79-6EC488136CEC}" name="Anaerobic lagoon" dataDxfId="1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9BBFE6C-F111-41EC-81E7-F4EAB0A9D5EC}" name="Digester / covered lagoons" dataDxfId="1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013E0A3-185E-4369-9171-0F8BF77FDA96}" name="Liquid systems" dataDxfId="1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E5B2E2-CAF4-471D-A0E0-0C926E7FBB62}" name="Daily spread"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4DABEB7-C68C-43FA-8A3E-E208ED444B93}" name="Composting (passive windrow)"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E667CF7-6361-4051-B2D3-6F9998387F6A}" name="Solid storage"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38D4E36-9D97-4B0B-81FF-3F86AD43AFE1}" name="Pit storage"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FEC635F-D027-4431-AE82-0E41CC2F15E0}" name="Deep litter"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094B0ACC-CEDE-430C-AD86-FF115D425BB7}" name="Poultry manure with bedding"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99F7296-C242-4F97-9551-5B322DDC23CA}" name="Poultry manure without bedding"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D4D342D-7FBD-4C5F-AB1E-FC7ED5C82C79}" name="Direct processing"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5A7BA27-604E-4278-B1CE-EEF41D9A8F81}" name="Direct application"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FB987EE2-EC7C-493C-8A4A-AEEBD8F6AD6F}" name="Pasture range and paddock"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32D4467-904E-487F-8B40-0B769499F342}" name="MAT raw"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20" sqref="D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8" t="e" vm="1">
        <v>#VALUE!</v>
      </c>
      <c r="C1" s="116" t="s">
        <v>162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HYPERLINK("#'Results'!A1", "Results")</f>
        <v>Results</v>
      </c>
      <c r="C4" s="22"/>
      <c r="D4" s="6" t="s">
        <v>5</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3</v>
      </c>
      <c r="C6" s="22"/>
      <c r="D6" s="115" t="s">
        <v>114</v>
      </c>
      <c r="E6" s="115" t="s">
        <v>157</v>
      </c>
      <c r="F6" s="115" t="s">
        <v>158</v>
      </c>
      <c r="G6" s="115" t="s">
        <v>127</v>
      </c>
      <c r="H6" s="115" t="s">
        <v>159</v>
      </c>
      <c r="I6" s="115" t="s">
        <v>160</v>
      </c>
      <c r="J6" s="115" t="s">
        <v>128</v>
      </c>
      <c r="K6" s="22"/>
    </row>
    <row r="7" spans="1:11" ht="20.100000000000001" customHeight="1" x14ac:dyDescent="0.25">
      <c r="A7" s="17" t="str">
        <f>HYPERLINK("#'Input - Site'!A1", "Site")</f>
        <v>Site</v>
      </c>
      <c r="C7" s="22"/>
      <c r="D7" s="1" t="s">
        <v>163</v>
      </c>
      <c r="E7" s="112">
        <f>'4.2.1.1-2 Methane'!$E$244</f>
        <v>2.1554251385118715</v>
      </c>
      <c r="F7" s="112">
        <f>'4.2.1.1-2 Methane'!V276</f>
        <v>2.1745073472420153</v>
      </c>
      <c r="G7" s="54" t="s">
        <v>148</v>
      </c>
      <c r="H7" s="112">
        <f>'4.2.1.1-2 Methane'!$E$249</f>
        <v>60.351903878332401</v>
      </c>
      <c r="I7" s="112">
        <f>'4.2.1.1-2 Methane'!$V$281</f>
        <v>60.886205722776431</v>
      </c>
      <c r="J7" s="54" t="s">
        <v>153</v>
      </c>
      <c r="K7" s="22"/>
    </row>
    <row r="8" spans="1:11" ht="20.100000000000001" customHeight="1" x14ac:dyDescent="0.25">
      <c r="A8" s="17" t="str">
        <f>HYPERLINK("#'Input - Pasture Beef'!A1", "Pasture Beef")</f>
        <v>Pasture Beef</v>
      </c>
      <c r="C8" s="22"/>
      <c r="D8" s="1" t="s">
        <v>309</v>
      </c>
      <c r="E8" s="112">
        <f>'4.2.1.3-4 Soil direct N20'!$E$229</f>
        <v>0.1875463266040821</v>
      </c>
      <c r="F8" s="112">
        <f>'4.2.1.3-4 Soil direct N20'!$V$267</f>
        <v>0.18859599419036183</v>
      </c>
      <c r="G8" s="54" t="s">
        <v>308</v>
      </c>
      <c r="H8" s="112">
        <f>'4.2.1.3-4 Soil direct N20'!$E$234</f>
        <v>49.699776550081758</v>
      </c>
      <c r="I8" s="112">
        <f>'4.2.1.3-4 Soil direct N20'!$V$272</f>
        <v>49.977938460445884</v>
      </c>
      <c r="J8" s="54" t="s">
        <v>153</v>
      </c>
      <c r="K8" s="22"/>
    </row>
    <row r="9" spans="1:11" ht="20.100000000000001" customHeight="1" x14ac:dyDescent="0.25">
      <c r="A9" s="17"/>
      <c r="C9" s="22"/>
      <c r="D9" s="1" t="s">
        <v>310</v>
      </c>
      <c r="E9" s="112">
        <f>'4.2.1.5-6 Soil Atmos Dep'!$E$35</f>
        <v>3.5446255728171526E-2</v>
      </c>
      <c r="F9" s="112">
        <f>'4.2.1.5-6 Soil Atmos Dep'!$M$35</f>
        <v>3.5644642901978378E-2</v>
      </c>
      <c r="G9" s="54" t="str">
        <f>'4.2.1.5-6 Soil Atmos Dep'!$F$35</f>
        <v>t N2O</v>
      </c>
      <c r="H9" s="112">
        <f>'4.2.1.5-6 Soil Atmos Dep'!$E$40</f>
        <v>9.393257767965455</v>
      </c>
      <c r="I9" s="112">
        <f>'4.2.1.5-6 Soil Atmos Dep'!$M$40</f>
        <v>9.4458303690242698</v>
      </c>
      <c r="J9" s="54" t="s">
        <v>153</v>
      </c>
      <c r="K9" s="22"/>
    </row>
    <row r="10" spans="1:11" ht="20.100000000000001" customHeight="1" x14ac:dyDescent="0.25">
      <c r="A10" s="19" t="s">
        <v>77</v>
      </c>
      <c r="C10" s="22"/>
      <c r="D10" s="1" t="s">
        <v>311</v>
      </c>
      <c r="E10" s="112">
        <f>'4.2.1.7-8 Soil leach runoff'!$E$36</f>
        <v>0</v>
      </c>
      <c r="F10" s="112">
        <f>'4.2.1.7-8 Soil leach runoff'!$L$36</f>
        <v>0</v>
      </c>
      <c r="G10" s="54" t="str">
        <f>'4.2.1.7-8 Soil leach runoff'!$F$36</f>
        <v>t N2O</v>
      </c>
      <c r="H10" s="112">
        <f>'4.2.1.7-8 Soil leach runoff'!$E$41</f>
        <v>0</v>
      </c>
      <c r="I10" s="112">
        <f>'4.2.1.7-8 Soil leach runoff'!$L$41</f>
        <v>0</v>
      </c>
      <c r="J10" s="54" t="s">
        <v>153</v>
      </c>
      <c r="K10" s="22"/>
    </row>
    <row r="11" spans="1:11" ht="20.100000000000001" customHeight="1" x14ac:dyDescent="0.3">
      <c r="A11" s="17" t="str">
        <f>HYPERLINK("#'4.2.1.1-2 Methane'!A1", "4.2.1.1-2 Methane")</f>
        <v>4.2.1.1-2 Methane</v>
      </c>
      <c r="C11" s="22"/>
      <c r="D11" s="29" t="s">
        <v>126</v>
      </c>
      <c r="E11" s="23"/>
      <c r="F11" s="23"/>
      <c r="G11" s="29"/>
      <c r="H11" s="114">
        <f>SUM(H7:H10)</f>
        <v>119.44493819637961</v>
      </c>
      <c r="I11" s="114">
        <f>SUM(I7:I10)</f>
        <v>120.30997455224659</v>
      </c>
      <c r="J11" s="105" t="s">
        <v>153</v>
      </c>
      <c r="K11" s="22"/>
    </row>
    <row r="12" spans="1:11" ht="20.100000000000001" customHeight="1" x14ac:dyDescent="0.25">
      <c r="A12" s="17" t="str">
        <f>HYPERLINK("#'4.2.1.3-4 Soil direct N2O'!A1", "4.2.1.3-4 Soil direct N2O")</f>
        <v>4.2.1.3-4 Soil direct N2O</v>
      </c>
      <c r="C12" s="22"/>
      <c r="D12" s="1"/>
      <c r="E12" s="1"/>
      <c r="F12" s="1"/>
      <c r="G12" s="24"/>
      <c r="H12" s="22"/>
      <c r="I12" s="1"/>
      <c r="J12" s="1"/>
      <c r="K12" s="22"/>
    </row>
    <row r="13" spans="1:11" ht="20.100000000000001" customHeight="1" x14ac:dyDescent="0.25">
      <c r="A13" s="17" t="str">
        <f>HYPERLINK("#'4.2.1.5-6 Soil Atmos Dep'!A1", "4.2.1.5-6 Soil atm. deposition")</f>
        <v>4.2.1.5-6 Soil atm. deposition</v>
      </c>
      <c r="C13" s="22"/>
      <c r="D13" s="1"/>
      <c r="E13" s="1"/>
      <c r="F13" s="1"/>
      <c r="G13" s="1"/>
      <c r="H13" s="24"/>
      <c r="I13" s="22"/>
      <c r="J13" s="22"/>
      <c r="K13" s="22"/>
    </row>
    <row r="14" spans="1:11" ht="20.100000000000001" customHeight="1" x14ac:dyDescent="0.3">
      <c r="A14" s="17" t="str">
        <f>HYPERLINK("#'4.2.1.7-8 Soil leach runoff'!A1", "4.2.1.7-8 Soil leach &amp; runoff")</f>
        <v>4.2.1.7-8 Soil leach &amp; runoff</v>
      </c>
      <c r="C14" s="22"/>
      <c r="D14" s="1"/>
      <c r="E14" s="1"/>
      <c r="F14" s="1"/>
      <c r="G14" s="1"/>
      <c r="H14" s="27"/>
      <c r="I14" s="22"/>
      <c r="J14" s="22"/>
      <c r="K14" s="22"/>
    </row>
    <row r="15" spans="1:11" ht="20.100000000000001" customHeight="1" x14ac:dyDescent="0.3">
      <c r="A15" s="17"/>
      <c r="C15" s="22"/>
      <c r="D15" s="1"/>
      <c r="E15" s="1"/>
      <c r="F15" s="1"/>
      <c r="G15" s="1"/>
      <c r="H15" s="27"/>
      <c r="I15" s="22"/>
      <c r="J15" s="22"/>
      <c r="K15" s="22"/>
    </row>
    <row r="16" spans="1:11" ht="20.100000000000001" customHeight="1" x14ac:dyDescent="0.3">
      <c r="A16" s="18" t="s">
        <v>4</v>
      </c>
      <c r="C16" s="22"/>
      <c r="D16" s="1"/>
      <c r="E16" s="1"/>
      <c r="F16" s="1"/>
      <c r="G16" s="1"/>
      <c r="H16" s="27"/>
      <c r="I16" s="22"/>
      <c r="J16" s="22"/>
      <c r="K16" s="22"/>
    </row>
    <row r="17" spans="1:11" ht="20.100000000000001" customHeight="1" x14ac:dyDescent="0.3">
      <c r="A17" s="17" t="str">
        <f>HYPERLINK("#'Constants - Pasture Beef'!A1", "Constants - Pasture Beef")</f>
        <v>Constants - Pasture Beef</v>
      </c>
      <c r="C17" s="22"/>
      <c r="D17" s="1"/>
      <c r="E17" s="1"/>
      <c r="F17" s="1"/>
      <c r="G17" s="1"/>
      <c r="H17" s="27"/>
      <c r="I17" s="22"/>
      <c r="J17" s="22"/>
      <c r="K17" s="22"/>
    </row>
    <row r="18" spans="1:11" ht="20.100000000000001" customHeight="1" x14ac:dyDescent="0.3">
      <c r="A18" s="17" t="str">
        <f>HYPERLINK("#'Constants - Livestock'!A1", "Constants - Livestock")</f>
        <v>Constants - Livestock</v>
      </c>
      <c r="C18" s="22"/>
      <c r="D18" s="1"/>
      <c r="E18" s="1"/>
      <c r="F18" s="1"/>
      <c r="G18" s="1"/>
      <c r="H18" s="27"/>
      <c r="I18" s="22"/>
      <c r="J18" s="22"/>
      <c r="K18" s="22"/>
    </row>
    <row r="19" spans="1:11" ht="20.100000000000001" customHeight="1" x14ac:dyDescent="0.3">
      <c r="A19" s="17" t="str">
        <f>HYPERLINK("#'Constants - Common'!A1", "Constants - Common")</f>
        <v>Constants - Common</v>
      </c>
      <c r="C19" s="22"/>
      <c r="D19" s="1"/>
      <c r="E19" s="1"/>
      <c r="F19" s="1"/>
      <c r="G19" s="1"/>
      <c r="H19" s="27"/>
      <c r="I19" s="22"/>
      <c r="J19" s="22"/>
      <c r="K19" s="22"/>
    </row>
    <row r="20" spans="1:11" ht="20.100000000000001" customHeight="1" x14ac:dyDescent="0.3">
      <c r="A20" s="17" t="str">
        <f>HYPERLINK("#'Acknowledgements'!A1", "Acknowledgements")</f>
        <v>Acknowledgements</v>
      </c>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11"/>
      <c r="J38" s="111"/>
      <c r="K38" s="22"/>
    </row>
    <row r="39" spans="3:11" ht="20.100000000000001" customHeight="1" x14ac:dyDescent="0.25">
      <c r="C39" s="22"/>
      <c r="D39" s="1"/>
      <c r="E39" s="1"/>
      <c r="F39" s="1"/>
      <c r="G39" s="1"/>
      <c r="H39" s="1"/>
      <c r="I39" s="111"/>
      <c r="J39" s="111"/>
      <c r="K39" s="22"/>
    </row>
    <row r="40" spans="3:11" ht="20.100000000000001" customHeight="1" x14ac:dyDescent="0.25">
      <c r="C40" s="22"/>
      <c r="D40" s="1"/>
      <c r="E40" s="1"/>
      <c r="F40" s="1"/>
      <c r="G40" s="1"/>
      <c r="H40" s="1"/>
      <c r="I40" s="111"/>
      <c r="J40" s="111"/>
      <c r="K40" s="22"/>
    </row>
    <row r="41" spans="3:11" ht="20.100000000000001" customHeight="1" x14ac:dyDescent="0.25">
      <c r="C41" s="22"/>
      <c r="D41" s="1"/>
      <c r="E41" s="1"/>
      <c r="F41" s="1"/>
      <c r="G41" s="1"/>
      <c r="H41" s="1"/>
      <c r="I41" s="111"/>
      <c r="J41" s="111"/>
      <c r="K41" s="22"/>
    </row>
    <row r="42" spans="3:11" ht="20.100000000000001" customHeight="1" x14ac:dyDescent="0.25">
      <c r="C42" s="22"/>
      <c r="D42" s="1"/>
      <c r="E42" s="1"/>
      <c r="F42" s="1"/>
      <c r="G42" s="1"/>
      <c r="H42" s="1"/>
      <c r="I42" s="111"/>
      <c r="J42" s="111"/>
      <c r="K42" s="22"/>
    </row>
    <row r="43" spans="3:11" ht="20.100000000000001" customHeight="1" x14ac:dyDescent="0.25">
      <c r="C43" s="22"/>
      <c r="D43" s="1"/>
      <c r="E43" s="1"/>
      <c r="F43" s="1"/>
      <c r="G43" s="1"/>
      <c r="H43" s="1"/>
      <c r="I43" s="111"/>
      <c r="J43" s="111"/>
      <c r="K43" s="22"/>
    </row>
    <row r="44" spans="3:11" ht="20.100000000000001" customHeight="1" x14ac:dyDescent="0.25">
      <c r="C44" s="22"/>
      <c r="D44" s="1"/>
      <c r="E44" s="1"/>
      <c r="F44" s="1"/>
      <c r="G44" s="1"/>
      <c r="H44" s="1"/>
      <c r="I44" s="111"/>
      <c r="J44" s="111"/>
      <c r="K44" s="22"/>
    </row>
    <row r="45" spans="3:11" ht="20.100000000000001" customHeight="1" x14ac:dyDescent="0.25">
      <c r="C45" s="22"/>
      <c r="D45" s="1"/>
      <c r="E45" s="1"/>
      <c r="F45" s="1"/>
      <c r="G45" s="1"/>
      <c r="H45" s="1"/>
      <c r="I45" s="111"/>
      <c r="J45" s="111"/>
      <c r="K45" s="22"/>
    </row>
    <row r="46" spans="3:11" ht="20.100000000000001" customHeight="1" x14ac:dyDescent="0.25">
      <c r="C46" s="22"/>
      <c r="D46" s="1"/>
      <c r="E46" s="1"/>
      <c r="F46" s="1"/>
      <c r="G46" s="1"/>
      <c r="H46" s="1"/>
      <c r="I46" s="111"/>
      <c r="J46" s="111"/>
      <c r="K46" s="22"/>
    </row>
    <row r="47" spans="3:11" ht="20.100000000000001" customHeight="1" x14ac:dyDescent="0.25">
      <c r="C47" s="22"/>
      <c r="D47" s="1"/>
      <c r="E47" s="1"/>
      <c r="F47" s="1"/>
      <c r="G47" s="1"/>
      <c r="H47" s="1"/>
      <c r="I47" s="111"/>
      <c r="J47" s="111"/>
      <c r="K47" s="22"/>
    </row>
    <row r="48" spans="3:11" ht="20.100000000000001" customHeight="1" x14ac:dyDescent="0.25">
      <c r="C48" s="22"/>
      <c r="D48" s="1"/>
      <c r="E48" s="1"/>
      <c r="F48" s="1"/>
      <c r="G48" s="1"/>
      <c r="H48" s="1"/>
      <c r="I48" s="111"/>
      <c r="J48" s="111"/>
      <c r="K48" s="22"/>
    </row>
    <row r="49" spans="3:11" ht="20.100000000000001" customHeight="1" x14ac:dyDescent="0.25">
      <c r="C49" s="22"/>
      <c r="D49" s="1"/>
      <c r="E49" s="1"/>
      <c r="F49" s="1"/>
      <c r="G49" s="1"/>
      <c r="H49" s="111"/>
      <c r="I49" s="111"/>
      <c r="J49" s="111"/>
      <c r="K49" s="22"/>
    </row>
    <row r="50" spans="3:11" ht="20.100000000000001" customHeight="1" x14ac:dyDescent="0.25">
      <c r="C50" s="22"/>
      <c r="D50" s="1"/>
      <c r="E50" s="1"/>
      <c r="F50" s="1"/>
      <c r="G50" s="1"/>
      <c r="H50" s="111"/>
      <c r="I50" s="111"/>
      <c r="J50" s="111"/>
      <c r="K50" s="22"/>
    </row>
    <row r="51" spans="3:11" ht="20.100000000000001" customHeight="1" x14ac:dyDescent="0.25">
      <c r="C51" s="22"/>
      <c r="D51" s="1"/>
      <c r="E51" s="1"/>
      <c r="F51" s="1"/>
      <c r="G51" s="1"/>
      <c r="H51" s="111"/>
      <c r="I51" s="111"/>
      <c r="J51" s="111"/>
      <c r="K51" s="22"/>
    </row>
    <row r="52" spans="3:11" ht="20.100000000000001" customHeight="1" x14ac:dyDescent="0.25">
      <c r="C52" s="22"/>
      <c r="D52" s="1"/>
      <c r="E52" s="1"/>
      <c r="F52" s="1"/>
      <c r="G52" s="1"/>
      <c r="H52" s="111"/>
      <c r="I52" s="111"/>
      <c r="J52" s="111"/>
      <c r="K52" s="22"/>
    </row>
    <row r="53" spans="3:11" ht="20.100000000000001" customHeight="1" x14ac:dyDescent="0.25">
      <c r="C53" s="22"/>
      <c r="D53" s="1"/>
      <c r="E53" s="1"/>
      <c r="F53" s="1"/>
      <c r="G53" s="1"/>
      <c r="H53" s="111"/>
      <c r="I53" s="111"/>
      <c r="J53" s="11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5" zoomScaleNormal="100" workbookViewId="0">
      <selection activeCell="A3" sqref="A3:A2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8" t="e" vm="1">
        <v>#VALUE!</v>
      </c>
      <c r="C1" s="12" t="s">
        <v>92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9"/>
      <c r="D4" s="69"/>
      <c r="E4" s="69"/>
      <c r="F4" s="69"/>
      <c r="G4" s="69"/>
      <c r="H4" s="69"/>
      <c r="I4" s="69"/>
      <c r="J4" s="69"/>
      <c r="K4" s="69"/>
    </row>
    <row r="5" spans="1:24" ht="20.100000000000001" customHeight="1" x14ac:dyDescent="0.25">
      <c r="D5" s="6" t="s">
        <v>15</v>
      </c>
      <c r="N5" s="40"/>
    </row>
    <row r="6" spans="1:24" ht="20.100000000000001" customHeight="1" x14ac:dyDescent="0.25">
      <c r="A6" s="20" t="s">
        <v>3</v>
      </c>
      <c r="D6" s="14"/>
      <c r="N6" s="41"/>
    </row>
    <row r="7" spans="1:24" ht="20.100000000000001" customHeight="1" x14ac:dyDescent="0.25">
      <c r="A7" s="17" t="str">
        <f>HYPERLINK("#'Input - Site'!A1", "Site")</f>
        <v>Site</v>
      </c>
      <c r="D7" s="1" t="s">
        <v>7</v>
      </c>
      <c r="E7" s="33" t="s">
        <v>6</v>
      </c>
      <c r="F7" s="2"/>
    </row>
    <row r="8" spans="1:24" ht="20.100000000000001" customHeight="1" x14ac:dyDescent="0.25">
      <c r="A8" s="17" t="str">
        <f>HYPERLINK("#'Input - Pasture Beef'!A1", "Pasture Beef")</f>
        <v>Pasture Beef</v>
      </c>
      <c r="D8" s="10" t="s">
        <v>73</v>
      </c>
      <c r="E8" s="33" t="s">
        <v>74</v>
      </c>
    </row>
    <row r="9" spans="1:24" ht="20.100000000000001" customHeight="1" x14ac:dyDescent="0.25">
      <c r="A9" s="17"/>
      <c r="N9" s="42"/>
    </row>
    <row r="10" spans="1:24" ht="20.100000000000001" customHeight="1" x14ac:dyDescent="0.25">
      <c r="A10" s="19" t="s">
        <v>77</v>
      </c>
      <c r="D10" s="94" t="s">
        <v>91</v>
      </c>
      <c r="E10" s="92"/>
      <c r="F10" s="95"/>
      <c r="G10" s="89"/>
      <c r="N10" s="42"/>
    </row>
    <row r="11" spans="1:24" ht="20.100000000000001" customHeight="1" x14ac:dyDescent="0.25">
      <c r="A11" s="17" t="str">
        <f>HYPERLINK("#'4.2.1.1-2 Methane'!A1", "4.2.1.1-2 Methane")</f>
        <v>4.2.1.1-2 Methane</v>
      </c>
      <c r="N11" s="43"/>
    </row>
    <row r="12" spans="1:24" ht="20.100000000000001" customHeight="1" x14ac:dyDescent="0.25">
      <c r="A12" s="17" t="str">
        <f>HYPERLINK("#'4.2.1.3-4 Soil direct N2O'!A1", "4.2.1.3-4 Soil direct N2O")</f>
        <v>4.2.1.3-4 Soil direct N2O</v>
      </c>
      <c r="D12" s="10" t="s">
        <v>97</v>
      </c>
      <c r="E12" s="64">
        <v>45292</v>
      </c>
      <c r="F12" s="2" t="s">
        <v>71</v>
      </c>
    </row>
    <row r="13" spans="1:24" ht="20.100000000000001" customHeight="1" x14ac:dyDescent="0.25">
      <c r="A13" s="17" t="str">
        <f>HYPERLINK("#'4.2.1.5-6 Soil Atmos Dep'!A1", "4.2.1.5-6 Soil atm. deposition")</f>
        <v>4.2.1.5-6 Soil atm. deposition</v>
      </c>
      <c r="D13" s="10" t="s">
        <v>98</v>
      </c>
      <c r="E13" s="70">
        <f>DATE(YEAR(E12)+1,MONTH(E12),DAY(E12))-1</f>
        <v>45657</v>
      </c>
      <c r="F13" s="2" t="s">
        <v>17</v>
      </c>
      <c r="N13" s="38"/>
      <c r="O13" s="38"/>
    </row>
    <row r="14" spans="1:24" ht="20.100000000000001" customHeight="1" x14ac:dyDescent="0.25">
      <c r="A14" s="17" t="str">
        <f>HYPERLINK("#'4.2.1.7-8 Soil leach runoff'!A1", "4.2.1.7-8 Soil leach &amp; runoff")</f>
        <v>4.2.1.7-8 Soil leach &amp; runoff</v>
      </c>
      <c r="N14" s="38"/>
      <c r="O14" s="38"/>
    </row>
    <row r="15" spans="1:24" ht="20.100000000000001" customHeight="1" x14ac:dyDescent="0.25">
      <c r="A15" s="17"/>
      <c r="N15" s="38"/>
      <c r="O15" s="38"/>
    </row>
    <row r="16" spans="1:24" ht="20.100000000000001" customHeight="1" x14ac:dyDescent="0.25">
      <c r="A16" s="18" t="s">
        <v>4</v>
      </c>
      <c r="D16" s="6" t="s">
        <v>14</v>
      </c>
      <c r="N16" s="38"/>
      <c r="O16" s="38"/>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Livestock'!A1", "Constants - Livestock")</f>
        <v>Constants - Livestock</v>
      </c>
      <c r="D18" s="96" t="s">
        <v>16</v>
      </c>
      <c r="E18" s="91"/>
      <c r="F18" s="91"/>
      <c r="G18" s="87"/>
    </row>
    <row r="19" spans="1:25" ht="20.100000000000001" customHeight="1" x14ac:dyDescent="0.25">
      <c r="A19" s="17" t="str">
        <f>HYPERLINK("#'Constants - Common'!A1", "Constants - Common")</f>
        <v>Constants - Common</v>
      </c>
      <c r="D19" s="93" t="s">
        <v>72</v>
      </c>
      <c r="E19" s="90"/>
      <c r="F19" s="90"/>
      <c r="G19" s="88"/>
      <c r="N19" s="40"/>
    </row>
    <row r="20" spans="1:25" ht="20.100000000000001" customHeight="1" x14ac:dyDescent="0.25">
      <c r="A20" s="17" t="str">
        <f>HYPERLINK("#'Acknowledgements'!A1", "Acknowledgements")</f>
        <v>Acknowledgements</v>
      </c>
      <c r="D20" s="1"/>
      <c r="E20" s="31"/>
      <c r="F20" s="2"/>
      <c r="N20" s="41"/>
    </row>
    <row r="21" spans="1:25" ht="20.100000000000001" customHeight="1" x14ac:dyDescent="0.25">
      <c r="A21"/>
      <c r="D21" s="1" t="s">
        <v>8</v>
      </c>
      <c r="E21" s="39" t="s">
        <v>218</v>
      </c>
      <c r="F21" s="2" t="s">
        <v>11</v>
      </c>
    </row>
    <row r="22" spans="1:25" ht="20.100000000000001" customHeight="1" x14ac:dyDescent="0.25">
      <c r="A22" s="17"/>
      <c r="D22" s="1" t="s">
        <v>26</v>
      </c>
      <c r="E22" s="39" t="s">
        <v>35</v>
      </c>
      <c r="F22" s="2" t="s">
        <v>11</v>
      </c>
      <c r="G22" s="1"/>
    </row>
    <row r="23" spans="1:25" ht="20.100000000000001" customHeight="1" x14ac:dyDescent="0.25">
      <c r="A23" s="17"/>
      <c r="D23" s="1" t="s">
        <v>9</v>
      </c>
      <c r="E23" s="39" t="s">
        <v>96</v>
      </c>
      <c r="F23" s="2" t="s">
        <v>11</v>
      </c>
    </row>
    <row r="24" spans="1:25" ht="20.100000000000001" customHeight="1" x14ac:dyDescent="0.25">
      <c r="A24" s="17"/>
      <c r="D24" s="1" t="s">
        <v>40</v>
      </c>
      <c r="E24" s="33">
        <v>307.7</v>
      </c>
      <c r="F24" s="2" t="s">
        <v>54</v>
      </c>
    </row>
    <row r="25" spans="1:25" ht="20.100000000000001" customHeight="1" x14ac:dyDescent="0.25">
      <c r="A25"/>
      <c r="D25" s="1" t="s">
        <v>62</v>
      </c>
      <c r="E25" s="33">
        <v>18</v>
      </c>
      <c r="F25" s="2" t="s">
        <v>12</v>
      </c>
      <c r="N25" s="41"/>
    </row>
    <row r="26" spans="1:25" ht="20.100000000000001" customHeight="1" x14ac:dyDescent="0.25">
      <c r="A26"/>
      <c r="D26" s="1" t="s">
        <v>63</v>
      </c>
      <c r="E26" s="33">
        <v>601</v>
      </c>
      <c r="F26" s="2" t="s">
        <v>13</v>
      </c>
    </row>
    <row r="27" spans="1:25" ht="20.100000000000001" customHeight="1" x14ac:dyDescent="0.25">
      <c r="A27"/>
      <c r="D27" s="10" t="s">
        <v>64</v>
      </c>
      <c r="E27" s="33">
        <v>1326</v>
      </c>
      <c r="F27" s="2" t="s">
        <v>13</v>
      </c>
    </row>
    <row r="28" spans="1:25" ht="20.100000000000001" customHeight="1" x14ac:dyDescent="0.25">
      <c r="A28"/>
      <c r="D28" s="1" t="s">
        <v>65</v>
      </c>
      <c r="E28" s="33">
        <v>7</v>
      </c>
      <c r="F28" s="2" t="s">
        <v>55</v>
      </c>
    </row>
    <row r="29" spans="1:25" ht="20.100000000000001" customHeight="1" x14ac:dyDescent="0.25">
      <c r="A29"/>
      <c r="D29" s="10" t="s">
        <v>61</v>
      </c>
      <c r="E29" s="52">
        <f>E26/E27</f>
        <v>0.45324283559577677</v>
      </c>
      <c r="F29" s="2"/>
    </row>
    <row r="30" spans="1:25" ht="20.100000000000001" customHeight="1" x14ac:dyDescent="0.25">
      <c r="A30"/>
      <c r="D30" s="10" t="s">
        <v>36</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93</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53</v>
      </c>
      <c r="E33" s="52" t="str">
        <f>Common_InputFunctions.Utility_LookupItemFromMinMax(E25,Table_SourceData_TemperatureZones[Min MAT],Table_SourceData_TemperatureZones[Max MAT],Table_SourceData_TemperatureZones[Temperature Zone])</f>
        <v>Temperate</v>
      </c>
      <c r="G33" s="71"/>
      <c r="L33" s="47"/>
      <c r="M33" s="47"/>
      <c r="N33" s="47"/>
      <c r="O33" s="47"/>
      <c r="P33" s="47"/>
      <c r="Q33" s="47"/>
      <c r="R33" s="47"/>
      <c r="S33" s="47"/>
      <c r="T33" s="47"/>
      <c r="U33" s="47"/>
      <c r="V33" s="47"/>
      <c r="W33" s="47"/>
      <c r="X33" s="47"/>
      <c r="Y33" s="47"/>
    </row>
    <row r="34" spans="1:25" ht="20.100000000000001" customHeight="1" x14ac:dyDescent="0.25">
      <c r="A34"/>
      <c r="J34" s="61"/>
      <c r="K34" s="74"/>
      <c r="L34" s="47"/>
      <c r="M34" s="47"/>
      <c r="N34" s="47"/>
      <c r="O34" s="47"/>
      <c r="P34" s="47"/>
      <c r="Q34" s="47"/>
      <c r="R34" s="47"/>
      <c r="S34" s="47"/>
      <c r="T34" s="47"/>
      <c r="U34" s="47"/>
      <c r="V34" s="47"/>
      <c r="W34" s="47"/>
      <c r="X34" s="47"/>
      <c r="Y34" s="47"/>
    </row>
    <row r="35" spans="1:25" ht="20.100000000000001" customHeight="1" x14ac:dyDescent="0.25">
      <c r="A35"/>
      <c r="J35" s="61"/>
      <c r="K35" s="74"/>
      <c r="L35" s="47"/>
      <c r="M35" s="47"/>
      <c r="N35" s="47"/>
      <c r="O35" s="47"/>
      <c r="P35" s="47"/>
      <c r="Q35" s="47"/>
      <c r="R35" s="47"/>
      <c r="S35" s="47"/>
      <c r="T35" s="47"/>
      <c r="U35" s="47"/>
      <c r="V35" s="47"/>
      <c r="W35" s="47"/>
      <c r="X35" s="47"/>
      <c r="Y35" s="47"/>
    </row>
    <row r="36" spans="1:25" ht="20.100000000000001" customHeight="1" x14ac:dyDescent="0.25">
      <c r="A36"/>
      <c r="D36" s="72"/>
      <c r="E36" s="72"/>
      <c r="F36" s="73"/>
      <c r="G36" s="61"/>
      <c r="H36" s="61"/>
      <c r="I36" s="62"/>
      <c r="J36" s="61"/>
      <c r="K36" s="74"/>
      <c r="L36" s="47"/>
      <c r="M36" s="47"/>
      <c r="N36" s="47"/>
      <c r="O36" s="47"/>
      <c r="P36" s="47"/>
      <c r="Q36" s="47"/>
      <c r="R36" s="47"/>
      <c r="S36" s="47"/>
      <c r="T36" s="47"/>
      <c r="U36" s="47"/>
      <c r="V36" s="47"/>
      <c r="W36" s="47"/>
      <c r="X36" s="47"/>
      <c r="Y36" s="47"/>
    </row>
    <row r="37" spans="1:25" ht="20.100000000000001" customHeight="1" x14ac:dyDescent="0.25">
      <c r="A37"/>
      <c r="D37" s="72"/>
      <c r="E37" s="72"/>
      <c r="F37" s="73"/>
      <c r="G37" s="61"/>
      <c r="H37" s="61"/>
      <c r="I37" s="62"/>
      <c r="J37" s="61"/>
      <c r="K37" s="74"/>
      <c r="L37" s="47"/>
      <c r="M37" s="47"/>
      <c r="N37" s="47"/>
      <c r="O37" s="47"/>
      <c r="P37" s="47"/>
      <c r="Q37" s="47"/>
      <c r="R37" s="47"/>
      <c r="S37" s="47"/>
      <c r="T37" s="47"/>
      <c r="U37" s="47"/>
      <c r="V37" s="47"/>
      <c r="W37" s="47"/>
      <c r="X37" s="47"/>
      <c r="Y37" s="47"/>
    </row>
    <row r="38" spans="1:25" ht="20.100000000000001" customHeight="1" x14ac:dyDescent="0.25">
      <c r="A38"/>
      <c r="D38" s="72"/>
      <c r="E38" s="72"/>
      <c r="F38" s="73"/>
      <c r="G38" s="61"/>
      <c r="H38" s="61"/>
      <c r="I38" s="62"/>
      <c r="J38" s="61"/>
      <c r="K38" s="74"/>
      <c r="L38" s="47"/>
      <c r="M38" s="47"/>
      <c r="N38" s="47"/>
      <c r="O38" s="47"/>
      <c r="P38" s="47"/>
      <c r="Q38" s="47"/>
      <c r="R38" s="47"/>
      <c r="S38" s="47"/>
      <c r="T38" s="47"/>
      <c r="U38" s="47"/>
      <c r="V38" s="47"/>
      <c r="W38" s="47"/>
      <c r="X38" s="47"/>
      <c r="Y38" s="47"/>
    </row>
    <row r="39" spans="1:25" ht="20.100000000000001" customHeight="1" x14ac:dyDescent="0.25">
      <c r="A39"/>
      <c r="D39" s="72"/>
      <c r="E39" s="72"/>
      <c r="F39" s="73"/>
      <c r="G39" s="61"/>
      <c r="H39" s="61"/>
      <c r="I39" s="62"/>
      <c r="J39" s="61"/>
      <c r="K39" s="74"/>
      <c r="L39" s="47"/>
      <c r="M39" s="47"/>
      <c r="N39" s="47"/>
      <c r="O39" s="47"/>
      <c r="P39" s="47"/>
      <c r="Q39" s="47"/>
      <c r="R39" s="47"/>
      <c r="S39" s="47"/>
      <c r="T39" s="47"/>
      <c r="U39" s="47"/>
      <c r="V39" s="47"/>
      <c r="W39" s="47"/>
      <c r="X39" s="47"/>
      <c r="Y39" s="47"/>
    </row>
    <row r="40" spans="1:25" ht="20.100000000000001" customHeight="1" x14ac:dyDescent="0.25">
      <c r="A40"/>
      <c r="D40" s="75"/>
      <c r="E40" s="75"/>
      <c r="F40" s="75"/>
      <c r="G40" s="76"/>
      <c r="H40" s="77"/>
      <c r="I40" s="77"/>
      <c r="J40" s="77"/>
      <c r="K40" s="77"/>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8"/>
      <c r="E47" s="78"/>
      <c r="F47" s="78"/>
      <c r="G47" s="78"/>
      <c r="H47" s="78"/>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9"/>
      <c r="E51" s="80"/>
      <c r="F51" s="80"/>
      <c r="G51" s="80"/>
      <c r="H51" s="81"/>
    </row>
    <row r="52" spans="4:8" ht="20.100000000000001" customHeight="1" x14ac:dyDescent="0.25"/>
    <row r="53" spans="4:8" ht="20.100000000000001" customHeight="1" x14ac:dyDescent="0.25"/>
    <row r="54" spans="4:8" ht="20.100000000000001" customHeight="1" x14ac:dyDescent="0.25">
      <c r="G54" s="82"/>
    </row>
    <row r="55" spans="4:8" ht="20.100000000000001" customHeight="1" x14ac:dyDescent="0.25">
      <c r="D55" s="6"/>
    </row>
    <row r="56" spans="4:8" ht="20.100000000000001" customHeight="1" x14ac:dyDescent="0.25"/>
    <row r="57" spans="4:8" ht="20.100000000000001" customHeight="1" x14ac:dyDescent="0.25">
      <c r="D57" s="21"/>
      <c r="F57" s="83"/>
    </row>
    <row r="58" spans="4:8" ht="20.100000000000001" customHeight="1" x14ac:dyDescent="0.25">
      <c r="D58" s="1"/>
      <c r="E58" s="84"/>
    </row>
    <row r="59" spans="4:8" ht="20.100000000000001" customHeight="1" x14ac:dyDescent="0.25">
      <c r="D59" s="1"/>
      <c r="E59" s="84"/>
    </row>
    <row r="60" spans="4:8" ht="20.100000000000001" customHeight="1" x14ac:dyDescent="0.25">
      <c r="D60" s="1"/>
      <c r="E60" s="85"/>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4"/>
    </row>
    <row r="65" spans="4:9" ht="20.100000000000001" customHeight="1" x14ac:dyDescent="0.25">
      <c r="D65" s="1"/>
      <c r="E65" s="84"/>
    </row>
    <row r="66" spans="4:9" ht="20.100000000000001" customHeight="1" x14ac:dyDescent="0.25">
      <c r="D66" s="1"/>
      <c r="E66" s="85"/>
    </row>
    <row r="67" spans="4:9" ht="20.100000000000001" customHeight="1" x14ac:dyDescent="0.25"/>
    <row r="68" spans="4:9" ht="20.100000000000001" customHeight="1" x14ac:dyDescent="0.25"/>
    <row r="69" spans="4:9" ht="20.100000000000001" customHeight="1" x14ac:dyDescent="0.25">
      <c r="D69" s="60"/>
      <c r="E69" s="60"/>
      <c r="F69" s="60"/>
      <c r="G69" s="60"/>
      <c r="H69" s="60"/>
      <c r="I69" s="60"/>
    </row>
    <row r="70" spans="4:9" ht="20.100000000000001" customHeight="1" x14ac:dyDescent="0.25">
      <c r="D70" s="60"/>
      <c r="E70" s="60"/>
      <c r="F70" s="60"/>
      <c r="G70" s="60"/>
      <c r="H70" s="60"/>
      <c r="I70" s="60"/>
    </row>
    <row r="71" spans="4:9" ht="20.100000000000001" customHeight="1" x14ac:dyDescent="0.25">
      <c r="D71" s="60"/>
      <c r="E71" s="60"/>
      <c r="F71" s="60"/>
      <c r="G71" s="60"/>
      <c r="H71" s="60"/>
      <c r="I71" s="60"/>
    </row>
    <row r="72" spans="4:9" ht="20.100000000000001" customHeight="1" x14ac:dyDescent="0.25">
      <c r="D72" s="60"/>
      <c r="E72" s="60"/>
      <c r="F72" s="60"/>
      <c r="G72" s="60"/>
      <c r="H72" s="60"/>
      <c r="I72" s="60"/>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A150" zoomScale="85" zoomScaleNormal="85" workbookViewId="0">
      <selection activeCell="D182" sqref="D182"/>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6" customWidth="1"/>
    <col min="19" max="24" width="30.7109375" style="56" customWidth="1"/>
    <col min="25" max="25" width="4.7109375" style="56" customWidth="1"/>
  </cols>
  <sheetData>
    <row r="1" spans="1:25" s="68" customFormat="1" ht="30" customHeight="1" x14ac:dyDescent="0.35">
      <c r="A1" s="68" t="e" vm="1">
        <v>#VALUE!</v>
      </c>
      <c r="C1" s="68" t="s">
        <v>161</v>
      </c>
      <c r="Q1" s="56"/>
      <c r="R1" s="56"/>
      <c r="S1" s="56"/>
      <c r="T1" s="56"/>
      <c r="U1" s="56"/>
      <c r="V1" s="56"/>
      <c r="W1" s="56"/>
      <c r="X1" s="56"/>
      <c r="Y1" s="56"/>
    </row>
    <row r="2" spans="1:25" s="9" customFormat="1" ht="20.100000000000001" customHeight="1" x14ac:dyDescent="0.25">
      <c r="Q2" s="56"/>
      <c r="R2" s="56"/>
      <c r="S2" s="56"/>
      <c r="T2" s="56"/>
      <c r="U2" s="56"/>
      <c r="V2" s="56"/>
      <c r="W2" s="56"/>
      <c r="X2" s="56"/>
      <c r="Y2" s="56"/>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101</v>
      </c>
      <c r="P5" s="3"/>
      <c r="T5" s="7"/>
    </row>
    <row r="6" spans="1:25" ht="20.100000000000001" customHeight="1" x14ac:dyDescent="0.25">
      <c r="A6" s="20" t="s">
        <v>3</v>
      </c>
      <c r="P6" s="3"/>
      <c r="T6" s="7"/>
    </row>
    <row r="7" spans="1:25" ht="20.100000000000001" customHeight="1" x14ac:dyDescent="0.25">
      <c r="A7" s="17" t="str">
        <f>HYPERLINK("#'Input - Site'!A1", "Site")</f>
        <v>Site</v>
      </c>
      <c r="D7" s="1" t="s">
        <v>8</v>
      </c>
      <c r="E7" s="52" t="str">
        <f>'Input - Site'!$E$21</f>
        <v>Western Australia</v>
      </c>
      <c r="P7" s="3"/>
      <c r="T7" s="7"/>
    </row>
    <row r="8" spans="1:25" ht="20.100000000000001" customHeight="1" x14ac:dyDescent="0.25">
      <c r="A8" s="17" t="str">
        <f>HYPERLINK("#'Input - Pasture Beef'!A1", "Pasture Beef")</f>
        <v>Pasture Beef</v>
      </c>
      <c r="D8" s="1" t="s">
        <v>204</v>
      </c>
      <c r="E8" s="39" t="s">
        <v>209</v>
      </c>
      <c r="F8" s="2" t="s">
        <v>11</v>
      </c>
      <c r="P8" s="3"/>
      <c r="T8" s="7"/>
    </row>
    <row r="9" spans="1:25" ht="20.100000000000001" customHeight="1" x14ac:dyDescent="0.25">
      <c r="A9" s="17"/>
      <c r="D9" s="1" t="s">
        <v>231</v>
      </c>
      <c r="E9" s="39" t="s">
        <v>239</v>
      </c>
      <c r="F9" s="2" t="s">
        <v>11</v>
      </c>
      <c r="T9" s="7"/>
    </row>
    <row r="10" spans="1:25" ht="20.100000000000001" customHeight="1" x14ac:dyDescent="0.25">
      <c r="A10" s="19" t="s">
        <v>77</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D12" s="94" t="s">
        <v>181</v>
      </c>
      <c r="E12" s="95"/>
      <c r="F12" s="95"/>
      <c r="G12" s="89"/>
      <c r="T12" s="7"/>
    </row>
    <row r="13" spans="1:25" ht="20.100000000000001" customHeight="1" x14ac:dyDescent="0.25">
      <c r="A13" s="17" t="str">
        <f>HYPERLINK("#'4.2.1.5-6 Soil Atmos Dep'!A1", "4.2.1.5-6 Soil atm. deposition")</f>
        <v>4.2.1.5-6 Soil atm. deposition</v>
      </c>
      <c r="T13" s="38"/>
    </row>
    <row r="14" spans="1:25" ht="20.100000000000001" customHeight="1" x14ac:dyDescent="0.25">
      <c r="A14" s="17" t="str">
        <f>HYPERLINK("#'4.2.1.7-8 Soil leach runoff'!A1", "4.2.1.7-8 Soil leach &amp; runoff")</f>
        <v>4.2.1.7-8 Soil leach &amp; runoff</v>
      </c>
      <c r="D14" s="48" t="s">
        <v>178</v>
      </c>
      <c r="T14" s="38"/>
    </row>
    <row r="15" spans="1:25" ht="20.100000000000001" customHeight="1" x14ac:dyDescent="0.25">
      <c r="A15" s="17"/>
      <c r="D15" s="63" t="s">
        <v>179</v>
      </c>
      <c r="E15" s="63" t="s">
        <v>131</v>
      </c>
      <c r="F15" s="63" t="s">
        <v>130</v>
      </c>
      <c r="G15" s="63" t="s">
        <v>165</v>
      </c>
      <c r="H15" s="63" t="s">
        <v>166</v>
      </c>
      <c r="I15" s="63" t="s">
        <v>167</v>
      </c>
      <c r="J15" s="63" t="s">
        <v>168</v>
      </c>
      <c r="K15" s="63" t="s">
        <v>169</v>
      </c>
      <c r="L15" s="63" t="s">
        <v>170</v>
      </c>
      <c r="M15" s="63" t="s">
        <v>171</v>
      </c>
      <c r="N15" s="63" t="s">
        <v>172</v>
      </c>
      <c r="T15" s="38"/>
    </row>
    <row r="16" spans="1:25" ht="20.100000000000001" customHeight="1" x14ac:dyDescent="0.25">
      <c r="A16" s="18" t="s">
        <v>4</v>
      </c>
      <c r="D16" s="1" t="s">
        <v>173</v>
      </c>
      <c r="E16" s="52">
        <v>91.25</v>
      </c>
      <c r="F16" s="52">
        <v>91.25</v>
      </c>
      <c r="G16" s="52">
        <v>91.25</v>
      </c>
      <c r="H16" s="52">
        <v>91.25</v>
      </c>
      <c r="I16" s="52">
        <v>91.25</v>
      </c>
      <c r="J16" s="52">
        <v>91.25</v>
      </c>
      <c r="K16" s="52">
        <v>91.25</v>
      </c>
      <c r="L16" s="52">
        <v>91.25</v>
      </c>
      <c r="M16" s="52">
        <v>91.25</v>
      </c>
      <c r="N16" s="52">
        <v>91.25</v>
      </c>
      <c r="O16" s="2" t="s">
        <v>55</v>
      </c>
      <c r="T16" s="38"/>
    </row>
    <row r="17" spans="1:20" ht="20.100000000000001" customHeight="1" x14ac:dyDescent="0.25">
      <c r="A17" s="17" t="str">
        <f>HYPERLINK("#'Constants - Pasture Beef'!A1", "Constants - Pasture Beef")</f>
        <v>Constants - Pasture Beef</v>
      </c>
      <c r="D17" s="1" t="s">
        <v>174</v>
      </c>
      <c r="E17" s="52">
        <v>91.25</v>
      </c>
      <c r="F17" s="52">
        <v>91.25</v>
      </c>
      <c r="G17" s="52">
        <v>91.25</v>
      </c>
      <c r="H17" s="52">
        <v>91.25</v>
      </c>
      <c r="I17" s="52">
        <v>91.25</v>
      </c>
      <c r="J17" s="52">
        <v>91.25</v>
      </c>
      <c r="K17" s="52">
        <v>91.25</v>
      </c>
      <c r="L17" s="52">
        <v>91.25</v>
      </c>
      <c r="M17" s="52">
        <v>91.25</v>
      </c>
      <c r="N17" s="52">
        <v>91.25</v>
      </c>
      <c r="O17" s="2" t="s">
        <v>55</v>
      </c>
      <c r="T17" s="7"/>
    </row>
    <row r="18" spans="1:20" ht="20.100000000000001" customHeight="1" x14ac:dyDescent="0.25">
      <c r="A18" s="17" t="str">
        <f>HYPERLINK("#'Constants - Livestock'!A1", "Constants - Livestock")</f>
        <v>Constants - Livestock</v>
      </c>
      <c r="D18" s="1" t="s">
        <v>175</v>
      </c>
      <c r="E18" s="52">
        <v>91.25</v>
      </c>
      <c r="F18" s="52">
        <v>91.25</v>
      </c>
      <c r="G18" s="52">
        <v>91.25</v>
      </c>
      <c r="H18" s="52">
        <v>91.25</v>
      </c>
      <c r="I18" s="52">
        <v>91.25</v>
      </c>
      <c r="J18" s="52">
        <v>91.25</v>
      </c>
      <c r="K18" s="52">
        <v>91.25</v>
      </c>
      <c r="L18" s="52">
        <v>91.25</v>
      </c>
      <c r="M18" s="52">
        <v>91.25</v>
      </c>
      <c r="N18" s="52">
        <v>91.25</v>
      </c>
      <c r="O18" s="2" t="s">
        <v>55</v>
      </c>
      <c r="T18" s="7"/>
    </row>
    <row r="19" spans="1:20" ht="20.100000000000001" customHeight="1" x14ac:dyDescent="0.25">
      <c r="A19" s="17" t="str">
        <f>HYPERLINK("#'Constants - Common'!A1", "Constants - Common")</f>
        <v>Constants - Common</v>
      </c>
      <c r="D19" s="1" t="s">
        <v>176</v>
      </c>
      <c r="E19" s="52">
        <v>91.25</v>
      </c>
      <c r="F19" s="52">
        <v>91.25</v>
      </c>
      <c r="G19" s="52">
        <v>91.25</v>
      </c>
      <c r="H19" s="52">
        <v>91.25</v>
      </c>
      <c r="I19" s="52">
        <v>91.25</v>
      </c>
      <c r="J19" s="52">
        <v>91.25</v>
      </c>
      <c r="K19" s="52">
        <v>91.25</v>
      </c>
      <c r="L19" s="52">
        <v>91.25</v>
      </c>
      <c r="M19" s="52">
        <v>91.25</v>
      </c>
      <c r="N19" s="52">
        <v>91.25</v>
      </c>
      <c r="O19" s="2" t="s">
        <v>55</v>
      </c>
      <c r="T19" s="7"/>
    </row>
    <row r="20" spans="1:20" ht="20.100000000000001" customHeight="1" x14ac:dyDescent="0.25">
      <c r="A20" s="17" t="str">
        <f>HYPERLINK("#'Acknowledgements'!A1", "Acknowledgements")</f>
        <v>Acknowledgements</v>
      </c>
      <c r="T20" s="7"/>
    </row>
    <row r="21" spans="1:20" ht="20.100000000000001" customHeight="1" x14ac:dyDescent="0.25">
      <c r="D21" s="63" t="s">
        <v>180</v>
      </c>
      <c r="E21" s="63" t="s">
        <v>131</v>
      </c>
      <c r="F21" s="63" t="s">
        <v>130</v>
      </c>
      <c r="G21" s="63" t="s">
        <v>165</v>
      </c>
      <c r="H21" s="63" t="s">
        <v>166</v>
      </c>
      <c r="I21" s="63" t="s">
        <v>167</v>
      </c>
      <c r="J21" s="63" t="s">
        <v>168</v>
      </c>
      <c r="K21" s="63" t="s">
        <v>169</v>
      </c>
      <c r="L21" s="63" t="s">
        <v>170</v>
      </c>
      <c r="M21" s="63" t="s">
        <v>171</v>
      </c>
      <c r="N21" s="63" t="s">
        <v>172</v>
      </c>
      <c r="T21" s="7"/>
    </row>
    <row r="22" spans="1:20" ht="20.100000000000001" customHeight="1" x14ac:dyDescent="0.25">
      <c r="A22" s="17"/>
      <c r="D22" s="1" t="str">
        <f>TEXT('Input - Site'!$E$12, "mmmm yyyy")</f>
        <v>January 2024</v>
      </c>
      <c r="E22" s="66">
        <f t="shared" ref="E22:N33" si="0">DAY(EOMONTH($D22,0))</f>
        <v>31</v>
      </c>
      <c r="F22" s="66">
        <f t="shared" si="0"/>
        <v>31</v>
      </c>
      <c r="G22" s="66">
        <f t="shared" si="0"/>
        <v>31</v>
      </c>
      <c r="H22" s="66">
        <f t="shared" si="0"/>
        <v>31</v>
      </c>
      <c r="I22" s="66">
        <f t="shared" si="0"/>
        <v>31</v>
      </c>
      <c r="J22" s="66">
        <f t="shared" si="0"/>
        <v>31</v>
      </c>
      <c r="K22" s="66">
        <f t="shared" si="0"/>
        <v>31</v>
      </c>
      <c r="L22" s="66">
        <f t="shared" si="0"/>
        <v>31</v>
      </c>
      <c r="M22" s="66">
        <f t="shared" si="0"/>
        <v>31</v>
      </c>
      <c r="N22" s="66">
        <f t="shared" si="0"/>
        <v>31</v>
      </c>
      <c r="O22" s="2" t="s">
        <v>55</v>
      </c>
      <c r="T22" s="7"/>
    </row>
    <row r="23" spans="1:20" ht="20.100000000000001" customHeight="1" x14ac:dyDescent="0.25">
      <c r="A23" s="17"/>
      <c r="D23" s="1" t="str">
        <f>TEXT(EDATE('Input - Site'!$E$12,1), "mmmm yyyy")</f>
        <v>February 2024</v>
      </c>
      <c r="E23" s="66">
        <f t="shared" si="0"/>
        <v>29</v>
      </c>
      <c r="F23" s="66">
        <f t="shared" si="0"/>
        <v>29</v>
      </c>
      <c r="G23" s="66">
        <f t="shared" si="0"/>
        <v>29</v>
      </c>
      <c r="H23" s="66">
        <f t="shared" si="0"/>
        <v>29</v>
      </c>
      <c r="I23" s="66">
        <f t="shared" si="0"/>
        <v>29</v>
      </c>
      <c r="J23" s="66">
        <f t="shared" si="0"/>
        <v>29</v>
      </c>
      <c r="K23" s="66">
        <f t="shared" si="0"/>
        <v>29</v>
      </c>
      <c r="L23" s="66">
        <f t="shared" si="0"/>
        <v>29</v>
      </c>
      <c r="M23" s="66">
        <f t="shared" si="0"/>
        <v>29</v>
      </c>
      <c r="N23" s="66">
        <f t="shared" si="0"/>
        <v>29</v>
      </c>
      <c r="O23" s="2" t="s">
        <v>55</v>
      </c>
      <c r="T23" s="7"/>
    </row>
    <row r="24" spans="1:20" ht="20.100000000000001" customHeight="1" x14ac:dyDescent="0.25">
      <c r="A24" s="17"/>
      <c r="D24" s="1" t="str">
        <f>TEXT(EDATE('Input - Site'!$E$12,2), "mmmm yyyy")</f>
        <v>March 2024</v>
      </c>
      <c r="E24" s="66">
        <f t="shared" si="0"/>
        <v>31</v>
      </c>
      <c r="F24" s="66">
        <f t="shared" si="0"/>
        <v>31</v>
      </c>
      <c r="G24" s="66">
        <f t="shared" si="0"/>
        <v>31</v>
      </c>
      <c r="H24" s="66">
        <f t="shared" si="0"/>
        <v>31</v>
      </c>
      <c r="I24" s="66">
        <f t="shared" si="0"/>
        <v>31</v>
      </c>
      <c r="J24" s="66">
        <f t="shared" si="0"/>
        <v>31</v>
      </c>
      <c r="K24" s="66">
        <f t="shared" si="0"/>
        <v>31</v>
      </c>
      <c r="L24" s="66">
        <f t="shared" si="0"/>
        <v>31</v>
      </c>
      <c r="M24" s="66">
        <f t="shared" si="0"/>
        <v>31</v>
      </c>
      <c r="N24" s="66">
        <f t="shared" si="0"/>
        <v>31</v>
      </c>
      <c r="O24" s="2" t="s">
        <v>55</v>
      </c>
      <c r="T24" s="7"/>
    </row>
    <row r="25" spans="1:20" ht="20.100000000000001" customHeight="1" x14ac:dyDescent="0.25">
      <c r="D25" s="1" t="str">
        <f>TEXT(EDATE('Input - Site'!$E$12,3), "mmmm yyyy")</f>
        <v>April 2024</v>
      </c>
      <c r="E25" s="66">
        <f t="shared" si="0"/>
        <v>30</v>
      </c>
      <c r="F25" s="66">
        <f t="shared" si="0"/>
        <v>30</v>
      </c>
      <c r="G25" s="66">
        <f t="shared" si="0"/>
        <v>30</v>
      </c>
      <c r="H25" s="66">
        <f t="shared" si="0"/>
        <v>30</v>
      </c>
      <c r="I25" s="66">
        <f t="shared" si="0"/>
        <v>30</v>
      </c>
      <c r="J25" s="66">
        <f t="shared" si="0"/>
        <v>30</v>
      </c>
      <c r="K25" s="66">
        <f t="shared" si="0"/>
        <v>30</v>
      </c>
      <c r="L25" s="66">
        <f t="shared" si="0"/>
        <v>30</v>
      </c>
      <c r="M25" s="66">
        <f t="shared" si="0"/>
        <v>30</v>
      </c>
      <c r="N25" s="66">
        <f t="shared" si="0"/>
        <v>30</v>
      </c>
      <c r="O25" s="2" t="s">
        <v>55</v>
      </c>
      <c r="T25" s="7"/>
    </row>
    <row r="26" spans="1:20" ht="20.100000000000001" customHeight="1" x14ac:dyDescent="0.25">
      <c r="A26" s="17"/>
      <c r="D26" s="1" t="str">
        <f>TEXT(EDATE('Input - Site'!$E$12,4), "mmmm yyyy")</f>
        <v>May 2024</v>
      </c>
      <c r="E26" s="66">
        <f t="shared" si="0"/>
        <v>31</v>
      </c>
      <c r="F26" s="66">
        <f t="shared" si="0"/>
        <v>31</v>
      </c>
      <c r="G26" s="66">
        <f t="shared" si="0"/>
        <v>31</v>
      </c>
      <c r="H26" s="66">
        <f t="shared" si="0"/>
        <v>31</v>
      </c>
      <c r="I26" s="66">
        <f t="shared" si="0"/>
        <v>31</v>
      </c>
      <c r="J26" s="66">
        <f t="shared" si="0"/>
        <v>31</v>
      </c>
      <c r="K26" s="66">
        <f t="shared" si="0"/>
        <v>31</v>
      </c>
      <c r="L26" s="66">
        <f t="shared" si="0"/>
        <v>31</v>
      </c>
      <c r="M26" s="66">
        <f t="shared" si="0"/>
        <v>31</v>
      </c>
      <c r="N26" s="66">
        <f t="shared" si="0"/>
        <v>31</v>
      </c>
      <c r="O26" s="2" t="s">
        <v>55</v>
      </c>
      <c r="T26" s="7"/>
    </row>
    <row r="27" spans="1:20" ht="20.100000000000001" customHeight="1" x14ac:dyDescent="0.25">
      <c r="A27" s="17"/>
      <c r="D27" s="1" t="str">
        <f>TEXT(EDATE('Input - Site'!$E$12,5), "mmmm yyyy")</f>
        <v>June 2024</v>
      </c>
      <c r="E27" s="66">
        <f t="shared" si="0"/>
        <v>30</v>
      </c>
      <c r="F27" s="66">
        <f t="shared" si="0"/>
        <v>30</v>
      </c>
      <c r="G27" s="66">
        <f t="shared" si="0"/>
        <v>30</v>
      </c>
      <c r="H27" s="66">
        <f t="shared" si="0"/>
        <v>30</v>
      </c>
      <c r="I27" s="66">
        <f t="shared" si="0"/>
        <v>30</v>
      </c>
      <c r="J27" s="66">
        <f t="shared" si="0"/>
        <v>30</v>
      </c>
      <c r="K27" s="66">
        <f t="shared" si="0"/>
        <v>30</v>
      </c>
      <c r="L27" s="66">
        <f t="shared" si="0"/>
        <v>30</v>
      </c>
      <c r="M27" s="66">
        <f t="shared" si="0"/>
        <v>30</v>
      </c>
      <c r="N27" s="66">
        <f t="shared" si="0"/>
        <v>30</v>
      </c>
      <c r="O27" s="2" t="s">
        <v>55</v>
      </c>
      <c r="T27" s="7"/>
    </row>
    <row r="28" spans="1:20" ht="20.100000000000001" customHeight="1" x14ac:dyDescent="0.25">
      <c r="A28" s="17"/>
      <c r="D28" s="1" t="str">
        <f>TEXT(EDATE('Input - Site'!$E$12,6), "mmmm yyyy")</f>
        <v>July 2024</v>
      </c>
      <c r="E28" s="66">
        <f t="shared" si="0"/>
        <v>31</v>
      </c>
      <c r="F28" s="66">
        <f t="shared" si="0"/>
        <v>31</v>
      </c>
      <c r="G28" s="66">
        <f t="shared" si="0"/>
        <v>31</v>
      </c>
      <c r="H28" s="66">
        <f t="shared" si="0"/>
        <v>31</v>
      </c>
      <c r="I28" s="66">
        <f t="shared" si="0"/>
        <v>31</v>
      </c>
      <c r="J28" s="66">
        <f t="shared" si="0"/>
        <v>31</v>
      </c>
      <c r="K28" s="66">
        <f t="shared" si="0"/>
        <v>31</v>
      </c>
      <c r="L28" s="66">
        <f t="shared" si="0"/>
        <v>31</v>
      </c>
      <c r="M28" s="66">
        <f t="shared" si="0"/>
        <v>31</v>
      </c>
      <c r="N28" s="66">
        <f t="shared" si="0"/>
        <v>31</v>
      </c>
      <c r="O28" s="2" t="s">
        <v>55</v>
      </c>
      <c r="T28" s="7"/>
    </row>
    <row r="29" spans="1:20" ht="20.100000000000001" customHeight="1" x14ac:dyDescent="0.25">
      <c r="A29" s="17"/>
      <c r="D29" s="1" t="str">
        <f>TEXT(EDATE('Input - Site'!$E$12,7), "mmmm yyyy")</f>
        <v>August 2024</v>
      </c>
      <c r="E29" s="66">
        <f t="shared" si="0"/>
        <v>31</v>
      </c>
      <c r="F29" s="66">
        <f t="shared" si="0"/>
        <v>31</v>
      </c>
      <c r="G29" s="66">
        <f t="shared" si="0"/>
        <v>31</v>
      </c>
      <c r="H29" s="66">
        <f t="shared" si="0"/>
        <v>31</v>
      </c>
      <c r="I29" s="66">
        <f t="shared" si="0"/>
        <v>31</v>
      </c>
      <c r="J29" s="66">
        <f t="shared" si="0"/>
        <v>31</v>
      </c>
      <c r="K29" s="66">
        <f t="shared" si="0"/>
        <v>31</v>
      </c>
      <c r="L29" s="66">
        <f t="shared" si="0"/>
        <v>31</v>
      </c>
      <c r="M29" s="66">
        <f t="shared" si="0"/>
        <v>31</v>
      </c>
      <c r="N29" s="66">
        <f t="shared" si="0"/>
        <v>31</v>
      </c>
      <c r="O29" s="2" t="s">
        <v>55</v>
      </c>
      <c r="T29" s="7"/>
    </row>
    <row r="30" spans="1:20" ht="20.100000000000001" customHeight="1" x14ac:dyDescent="0.25">
      <c r="A30" s="17"/>
      <c r="D30" s="1" t="str">
        <f>TEXT(EDATE('Input - Site'!$E$12,8), "mmmm yyyy")</f>
        <v>September 2024</v>
      </c>
      <c r="E30" s="66">
        <f t="shared" si="0"/>
        <v>30</v>
      </c>
      <c r="F30" s="66">
        <f t="shared" si="0"/>
        <v>30</v>
      </c>
      <c r="G30" s="66">
        <f t="shared" si="0"/>
        <v>30</v>
      </c>
      <c r="H30" s="66">
        <f t="shared" si="0"/>
        <v>30</v>
      </c>
      <c r="I30" s="66">
        <f t="shared" si="0"/>
        <v>30</v>
      </c>
      <c r="J30" s="66">
        <f t="shared" si="0"/>
        <v>30</v>
      </c>
      <c r="K30" s="66">
        <f t="shared" si="0"/>
        <v>30</v>
      </c>
      <c r="L30" s="66">
        <f t="shared" si="0"/>
        <v>30</v>
      </c>
      <c r="M30" s="66">
        <f t="shared" si="0"/>
        <v>30</v>
      </c>
      <c r="N30" s="66">
        <f t="shared" si="0"/>
        <v>30</v>
      </c>
      <c r="O30" s="2" t="s">
        <v>55</v>
      </c>
      <c r="T30" s="7"/>
    </row>
    <row r="31" spans="1:20" ht="20.100000000000001" customHeight="1" x14ac:dyDescent="0.25">
      <c r="A31" s="67"/>
      <c r="D31" s="1" t="str">
        <f>TEXT(EDATE('Input - Site'!$E$12,9), "mmmm yyyy")</f>
        <v>October 2024</v>
      </c>
      <c r="E31" s="66">
        <f t="shared" si="0"/>
        <v>31</v>
      </c>
      <c r="F31" s="66">
        <f t="shared" si="0"/>
        <v>31</v>
      </c>
      <c r="G31" s="66">
        <f t="shared" si="0"/>
        <v>31</v>
      </c>
      <c r="H31" s="66">
        <f t="shared" si="0"/>
        <v>31</v>
      </c>
      <c r="I31" s="66">
        <f t="shared" si="0"/>
        <v>31</v>
      </c>
      <c r="J31" s="66">
        <f t="shared" si="0"/>
        <v>31</v>
      </c>
      <c r="K31" s="66">
        <f t="shared" si="0"/>
        <v>31</v>
      </c>
      <c r="L31" s="66">
        <f t="shared" si="0"/>
        <v>31</v>
      </c>
      <c r="M31" s="66">
        <f t="shared" si="0"/>
        <v>31</v>
      </c>
      <c r="N31" s="66">
        <f t="shared" si="0"/>
        <v>31</v>
      </c>
      <c r="O31" s="2" t="s">
        <v>55</v>
      </c>
      <c r="T31" s="7"/>
    </row>
    <row r="32" spans="1:20" ht="20.100000000000001" customHeight="1" x14ac:dyDescent="0.25">
      <c r="A32" s="67"/>
      <c r="D32" s="1" t="str">
        <f>TEXT(EDATE('Input - Site'!$E$12,10), "mmmm yyyy")</f>
        <v>November 2024</v>
      </c>
      <c r="E32" s="66">
        <f t="shared" si="0"/>
        <v>30</v>
      </c>
      <c r="F32" s="66">
        <f t="shared" si="0"/>
        <v>30</v>
      </c>
      <c r="G32" s="66">
        <f t="shared" si="0"/>
        <v>30</v>
      </c>
      <c r="H32" s="66">
        <f t="shared" si="0"/>
        <v>30</v>
      </c>
      <c r="I32" s="66">
        <f t="shared" si="0"/>
        <v>30</v>
      </c>
      <c r="J32" s="66">
        <f t="shared" si="0"/>
        <v>30</v>
      </c>
      <c r="K32" s="66">
        <f t="shared" si="0"/>
        <v>30</v>
      </c>
      <c r="L32" s="66">
        <f t="shared" si="0"/>
        <v>30</v>
      </c>
      <c r="M32" s="66">
        <f t="shared" si="0"/>
        <v>30</v>
      </c>
      <c r="N32" s="66">
        <f t="shared" si="0"/>
        <v>30</v>
      </c>
      <c r="O32" s="2" t="s">
        <v>55</v>
      </c>
      <c r="T32" s="7"/>
    </row>
    <row r="33" spans="1:20" ht="20.100000000000001" customHeight="1" x14ac:dyDescent="0.25">
      <c r="A33" s="17"/>
      <c r="D33" s="1" t="str">
        <f>TEXT(EDATE('Input - Site'!$E$12,11), "mmmm yyyy")</f>
        <v>December 2024</v>
      </c>
      <c r="E33" s="66">
        <f t="shared" si="0"/>
        <v>31</v>
      </c>
      <c r="F33" s="66">
        <f t="shared" si="0"/>
        <v>31</v>
      </c>
      <c r="G33" s="66">
        <f t="shared" si="0"/>
        <v>31</v>
      </c>
      <c r="H33" s="66">
        <f t="shared" si="0"/>
        <v>31</v>
      </c>
      <c r="I33" s="66">
        <f t="shared" si="0"/>
        <v>31</v>
      </c>
      <c r="J33" s="66">
        <f t="shared" si="0"/>
        <v>31</v>
      </c>
      <c r="K33" s="66">
        <f t="shared" si="0"/>
        <v>31</v>
      </c>
      <c r="L33" s="66">
        <f t="shared" si="0"/>
        <v>31</v>
      </c>
      <c r="M33" s="66">
        <f t="shared" si="0"/>
        <v>31</v>
      </c>
      <c r="N33" s="66">
        <f t="shared" si="0"/>
        <v>31</v>
      </c>
      <c r="O33" s="2" t="s">
        <v>55</v>
      </c>
      <c r="T33" s="7"/>
    </row>
    <row r="34" spans="1:20" ht="20.100000000000001" customHeight="1" x14ac:dyDescent="0.25">
      <c r="T34" s="7"/>
    </row>
    <row r="35" spans="1:20" ht="20.100000000000001" customHeight="1" x14ac:dyDescent="0.25">
      <c r="T35" s="7"/>
    </row>
    <row r="36" spans="1:20" ht="20.100000000000001" customHeight="1" x14ac:dyDescent="0.25">
      <c r="D36" s="48" t="s">
        <v>103</v>
      </c>
      <c r="T36" s="7"/>
    </row>
    <row r="37" spans="1:20" ht="20.100000000000001" customHeight="1" x14ac:dyDescent="0.25">
      <c r="D37" s="63" t="s">
        <v>136</v>
      </c>
      <c r="E37" s="63" t="s">
        <v>131</v>
      </c>
      <c r="F37" s="63" t="s">
        <v>130</v>
      </c>
      <c r="G37" s="63" t="s">
        <v>165</v>
      </c>
      <c r="H37" s="63" t="s">
        <v>166</v>
      </c>
      <c r="I37" s="63" t="s">
        <v>167</v>
      </c>
      <c r="J37" s="63" t="s">
        <v>168</v>
      </c>
      <c r="K37" s="63" t="s">
        <v>169</v>
      </c>
      <c r="L37" s="63" t="s">
        <v>170</v>
      </c>
      <c r="M37" s="63" t="s">
        <v>171</v>
      </c>
      <c r="N37" s="63" t="s">
        <v>172</v>
      </c>
      <c r="T37" s="7"/>
    </row>
    <row r="38" spans="1:20" ht="20.100000000000001" customHeight="1" x14ac:dyDescent="0.25">
      <c r="D38" s="1" t="s">
        <v>173</v>
      </c>
      <c r="E38" s="66">
        <v>100</v>
      </c>
      <c r="F38" s="66">
        <v>100</v>
      </c>
      <c r="G38" s="66">
        <v>100</v>
      </c>
      <c r="H38" s="66">
        <v>100</v>
      </c>
      <c r="I38" s="66">
        <v>100</v>
      </c>
      <c r="J38" s="66">
        <v>100</v>
      </c>
      <c r="K38" s="66">
        <v>100</v>
      </c>
      <c r="L38" s="66">
        <v>100</v>
      </c>
      <c r="M38" s="66">
        <v>100</v>
      </c>
      <c r="N38" s="66">
        <v>100</v>
      </c>
      <c r="O38" s="2" t="s">
        <v>103</v>
      </c>
      <c r="T38" s="7"/>
    </row>
    <row r="39" spans="1:20" ht="20.100000000000001" customHeight="1" x14ac:dyDescent="0.25">
      <c r="A39" s="17"/>
      <c r="D39" s="1" t="s">
        <v>174</v>
      </c>
      <c r="E39" s="66">
        <v>100</v>
      </c>
      <c r="F39" s="66">
        <v>100</v>
      </c>
      <c r="G39" s="66">
        <v>100</v>
      </c>
      <c r="H39" s="66">
        <v>100</v>
      </c>
      <c r="I39" s="66">
        <v>100</v>
      </c>
      <c r="J39" s="66">
        <v>100</v>
      </c>
      <c r="K39" s="66">
        <v>100</v>
      </c>
      <c r="L39" s="66">
        <v>100</v>
      </c>
      <c r="M39" s="66">
        <v>100</v>
      </c>
      <c r="N39" s="66">
        <v>100</v>
      </c>
      <c r="O39" s="2" t="s">
        <v>103</v>
      </c>
      <c r="T39" s="7"/>
    </row>
    <row r="40" spans="1:20" ht="20.100000000000001" customHeight="1" x14ac:dyDescent="0.25">
      <c r="D40" s="1" t="s">
        <v>175</v>
      </c>
      <c r="E40" s="66">
        <v>100</v>
      </c>
      <c r="F40" s="66">
        <v>100</v>
      </c>
      <c r="G40" s="66">
        <v>100</v>
      </c>
      <c r="H40" s="66">
        <v>100</v>
      </c>
      <c r="I40" s="66">
        <v>100</v>
      </c>
      <c r="J40" s="66">
        <v>100</v>
      </c>
      <c r="K40" s="66">
        <v>100</v>
      </c>
      <c r="L40" s="66">
        <v>100</v>
      </c>
      <c r="M40" s="66">
        <v>100</v>
      </c>
      <c r="N40" s="66">
        <v>100</v>
      </c>
      <c r="O40" s="2" t="s">
        <v>103</v>
      </c>
      <c r="T40" s="7"/>
    </row>
    <row r="41" spans="1:20" ht="20.100000000000001" customHeight="1" x14ac:dyDescent="0.25">
      <c r="A41" s="44"/>
      <c r="D41" s="1" t="s">
        <v>176</v>
      </c>
      <c r="E41" s="66">
        <v>100</v>
      </c>
      <c r="F41" s="66">
        <v>100</v>
      </c>
      <c r="G41" s="66">
        <v>100</v>
      </c>
      <c r="H41" s="66">
        <v>100</v>
      </c>
      <c r="I41" s="66">
        <v>100</v>
      </c>
      <c r="J41" s="66">
        <v>100</v>
      </c>
      <c r="K41" s="66">
        <v>100</v>
      </c>
      <c r="L41" s="66">
        <v>100</v>
      </c>
      <c r="M41" s="66">
        <v>100</v>
      </c>
      <c r="N41" s="66">
        <v>100</v>
      </c>
      <c r="O41" s="2" t="s">
        <v>103</v>
      </c>
      <c r="T41" s="7"/>
    </row>
    <row r="42" spans="1:20" ht="20.100000000000001" customHeight="1" x14ac:dyDescent="0.25">
      <c r="O42" s="2"/>
      <c r="T42" s="7"/>
    </row>
    <row r="43" spans="1:20" ht="20.100000000000001" customHeight="1" x14ac:dyDescent="0.25">
      <c r="D43" s="63" t="s">
        <v>137</v>
      </c>
      <c r="E43" s="63" t="s">
        <v>131</v>
      </c>
      <c r="F43" s="63" t="s">
        <v>130</v>
      </c>
      <c r="G43" s="63" t="s">
        <v>165</v>
      </c>
      <c r="H43" s="63" t="s">
        <v>166</v>
      </c>
      <c r="I43" s="63" t="s">
        <v>167</v>
      </c>
      <c r="J43" s="63" t="s">
        <v>168</v>
      </c>
      <c r="K43" s="63" t="s">
        <v>169</v>
      </c>
      <c r="L43" s="63" t="s">
        <v>170</v>
      </c>
      <c r="M43" s="63" t="s">
        <v>171</v>
      </c>
      <c r="N43" s="63" t="s">
        <v>172</v>
      </c>
      <c r="O43" s="2"/>
      <c r="T43" s="7"/>
    </row>
    <row r="44" spans="1:20" ht="20.100000000000001" customHeight="1" x14ac:dyDescent="0.25">
      <c r="D44" s="1" t="str">
        <f>TEXT('Input - Site'!$E$12, "mmmm yyyy")</f>
        <v>January 2024</v>
      </c>
      <c r="E44" s="66">
        <v>100</v>
      </c>
      <c r="F44" s="66">
        <v>100</v>
      </c>
      <c r="G44" s="66">
        <v>100</v>
      </c>
      <c r="H44" s="66">
        <v>100</v>
      </c>
      <c r="I44" s="66">
        <v>100</v>
      </c>
      <c r="J44" s="66">
        <v>100</v>
      </c>
      <c r="K44" s="66">
        <v>100</v>
      </c>
      <c r="L44" s="66">
        <v>100</v>
      </c>
      <c r="M44" s="66">
        <v>100</v>
      </c>
      <c r="N44" s="66">
        <v>100</v>
      </c>
      <c r="O44" s="2" t="s">
        <v>103</v>
      </c>
      <c r="T44" s="7"/>
    </row>
    <row r="45" spans="1:20" ht="20.100000000000001" customHeight="1" x14ac:dyDescent="0.25">
      <c r="D45" s="1" t="str">
        <f>TEXT(EDATE('Input - Site'!$E$12,1), "mmmm yyyy")</f>
        <v>February 2024</v>
      </c>
      <c r="E45" s="66">
        <v>100</v>
      </c>
      <c r="F45" s="66">
        <v>100</v>
      </c>
      <c r="G45" s="66">
        <v>100</v>
      </c>
      <c r="H45" s="66">
        <v>100</v>
      </c>
      <c r="I45" s="66">
        <v>100</v>
      </c>
      <c r="J45" s="66">
        <v>100</v>
      </c>
      <c r="K45" s="66">
        <v>100</v>
      </c>
      <c r="L45" s="66">
        <v>100</v>
      </c>
      <c r="M45" s="66">
        <v>100</v>
      </c>
      <c r="N45" s="66">
        <v>100</v>
      </c>
      <c r="O45" s="2" t="s">
        <v>103</v>
      </c>
      <c r="T45" s="7"/>
    </row>
    <row r="46" spans="1:20" ht="20.100000000000001" customHeight="1" x14ac:dyDescent="0.25">
      <c r="D46" s="1" t="str">
        <f>TEXT(EDATE('Input - Site'!$E$12,2), "mmmm yyyy")</f>
        <v>March 2024</v>
      </c>
      <c r="E46" s="66">
        <v>100</v>
      </c>
      <c r="F46" s="66">
        <v>100</v>
      </c>
      <c r="G46" s="66">
        <v>100</v>
      </c>
      <c r="H46" s="66">
        <v>100</v>
      </c>
      <c r="I46" s="66">
        <v>100</v>
      </c>
      <c r="J46" s="66">
        <v>100</v>
      </c>
      <c r="K46" s="66">
        <v>100</v>
      </c>
      <c r="L46" s="66">
        <v>100</v>
      </c>
      <c r="M46" s="66">
        <v>100</v>
      </c>
      <c r="N46" s="66">
        <v>100</v>
      </c>
      <c r="O46" s="2" t="s">
        <v>103</v>
      </c>
      <c r="T46" s="7"/>
    </row>
    <row r="47" spans="1:20" ht="20.100000000000001" customHeight="1" x14ac:dyDescent="0.25">
      <c r="D47" s="1" t="str">
        <f>TEXT(EDATE('Input - Site'!$E$12,3), "mmmm yyyy")</f>
        <v>April 2024</v>
      </c>
      <c r="E47" s="66">
        <v>100</v>
      </c>
      <c r="F47" s="66">
        <v>100</v>
      </c>
      <c r="G47" s="66">
        <v>100</v>
      </c>
      <c r="H47" s="66">
        <v>100</v>
      </c>
      <c r="I47" s="66">
        <v>100</v>
      </c>
      <c r="J47" s="66">
        <v>100</v>
      </c>
      <c r="K47" s="66">
        <v>100</v>
      </c>
      <c r="L47" s="66">
        <v>100</v>
      </c>
      <c r="M47" s="66">
        <v>100</v>
      </c>
      <c r="N47" s="66">
        <v>100</v>
      </c>
      <c r="O47" s="2" t="s">
        <v>103</v>
      </c>
      <c r="T47" s="7"/>
    </row>
    <row r="48" spans="1:20" ht="20.100000000000001" customHeight="1" x14ac:dyDescent="0.25">
      <c r="D48" s="1" t="str">
        <f>TEXT(EDATE('Input - Site'!$E$12,4), "mmmm yyyy")</f>
        <v>May 2024</v>
      </c>
      <c r="E48" s="66">
        <v>100</v>
      </c>
      <c r="F48" s="66">
        <v>100</v>
      </c>
      <c r="G48" s="66">
        <v>100</v>
      </c>
      <c r="H48" s="66">
        <v>100</v>
      </c>
      <c r="I48" s="66">
        <v>100</v>
      </c>
      <c r="J48" s="66">
        <v>100</v>
      </c>
      <c r="K48" s="66">
        <v>100</v>
      </c>
      <c r="L48" s="66">
        <v>100</v>
      </c>
      <c r="M48" s="66">
        <v>100</v>
      </c>
      <c r="N48" s="66">
        <v>100</v>
      </c>
      <c r="O48" s="2" t="s">
        <v>103</v>
      </c>
      <c r="T48" s="7"/>
    </row>
    <row r="49" spans="4:20" ht="20.100000000000001" customHeight="1" x14ac:dyDescent="0.25">
      <c r="D49" s="1" t="str">
        <f>TEXT(EDATE('Input - Site'!$E$12,5), "mmmm yyyy")</f>
        <v>June 2024</v>
      </c>
      <c r="E49" s="66">
        <v>100</v>
      </c>
      <c r="F49" s="66">
        <v>100</v>
      </c>
      <c r="G49" s="66">
        <v>100</v>
      </c>
      <c r="H49" s="66">
        <v>100</v>
      </c>
      <c r="I49" s="66">
        <v>100</v>
      </c>
      <c r="J49" s="66">
        <v>100</v>
      </c>
      <c r="K49" s="66">
        <v>100</v>
      </c>
      <c r="L49" s="66">
        <v>100</v>
      </c>
      <c r="M49" s="66">
        <v>100</v>
      </c>
      <c r="N49" s="66">
        <v>100</v>
      </c>
      <c r="O49" s="2" t="s">
        <v>103</v>
      </c>
      <c r="T49" s="7"/>
    </row>
    <row r="50" spans="4:20" ht="20.100000000000001" customHeight="1" x14ac:dyDescent="0.25">
      <c r="D50" s="1" t="str">
        <f>TEXT(EDATE('Input - Site'!$E$12,6), "mmmm yyyy")</f>
        <v>July 2024</v>
      </c>
      <c r="E50" s="66">
        <v>100</v>
      </c>
      <c r="F50" s="66">
        <v>100</v>
      </c>
      <c r="G50" s="66">
        <v>100</v>
      </c>
      <c r="H50" s="66">
        <v>100</v>
      </c>
      <c r="I50" s="66">
        <v>100</v>
      </c>
      <c r="J50" s="66">
        <v>100</v>
      </c>
      <c r="K50" s="66">
        <v>100</v>
      </c>
      <c r="L50" s="66">
        <v>100</v>
      </c>
      <c r="M50" s="66">
        <v>100</v>
      </c>
      <c r="N50" s="66">
        <v>100</v>
      </c>
      <c r="O50" s="2" t="s">
        <v>103</v>
      </c>
      <c r="P50" s="3"/>
      <c r="T50" s="7"/>
    </row>
    <row r="51" spans="4:20" ht="20.100000000000001" customHeight="1" x14ac:dyDescent="0.25">
      <c r="D51" s="1" t="str">
        <f>TEXT(EDATE('Input - Site'!$E$12,7), "mmmm yyyy")</f>
        <v>August 2024</v>
      </c>
      <c r="E51" s="66">
        <v>100</v>
      </c>
      <c r="F51" s="66">
        <v>100</v>
      </c>
      <c r="G51" s="66">
        <v>100</v>
      </c>
      <c r="H51" s="66">
        <v>100</v>
      </c>
      <c r="I51" s="66">
        <v>100</v>
      </c>
      <c r="J51" s="66">
        <v>100</v>
      </c>
      <c r="K51" s="66">
        <v>100</v>
      </c>
      <c r="L51" s="66">
        <v>100</v>
      </c>
      <c r="M51" s="66">
        <v>100</v>
      </c>
      <c r="N51" s="66">
        <v>100</v>
      </c>
      <c r="O51" s="2" t="s">
        <v>103</v>
      </c>
      <c r="P51" s="3"/>
      <c r="T51" s="7"/>
    </row>
    <row r="52" spans="4:20" ht="20.100000000000001" customHeight="1" x14ac:dyDescent="0.25">
      <c r="D52" s="1" t="str">
        <f>TEXT(EDATE('Input - Site'!$E$12,8), "mmmm yyyy")</f>
        <v>September 2024</v>
      </c>
      <c r="E52" s="66">
        <v>100</v>
      </c>
      <c r="F52" s="66">
        <v>100</v>
      </c>
      <c r="G52" s="66">
        <v>100</v>
      </c>
      <c r="H52" s="66">
        <v>100</v>
      </c>
      <c r="I52" s="66">
        <v>100</v>
      </c>
      <c r="J52" s="66">
        <v>100</v>
      </c>
      <c r="K52" s="66">
        <v>100</v>
      </c>
      <c r="L52" s="66">
        <v>100</v>
      </c>
      <c r="M52" s="66">
        <v>100</v>
      </c>
      <c r="N52" s="66">
        <v>100</v>
      </c>
      <c r="O52" s="2" t="s">
        <v>103</v>
      </c>
      <c r="P52" s="3"/>
      <c r="T52" s="7"/>
    </row>
    <row r="53" spans="4:20" ht="20.100000000000001" customHeight="1" x14ac:dyDescent="0.25">
      <c r="D53" s="1" t="str">
        <f>TEXT(EDATE('Input - Site'!$E$12,9), "mmmm yyyy")</f>
        <v>October 2024</v>
      </c>
      <c r="E53" s="66">
        <v>100</v>
      </c>
      <c r="F53" s="66">
        <v>100</v>
      </c>
      <c r="G53" s="66">
        <v>100</v>
      </c>
      <c r="H53" s="66">
        <v>100</v>
      </c>
      <c r="I53" s="66">
        <v>100</v>
      </c>
      <c r="J53" s="66">
        <v>100</v>
      </c>
      <c r="K53" s="66">
        <v>100</v>
      </c>
      <c r="L53" s="66">
        <v>100</v>
      </c>
      <c r="M53" s="66">
        <v>100</v>
      </c>
      <c r="N53" s="66">
        <v>100</v>
      </c>
      <c r="O53" s="2" t="s">
        <v>103</v>
      </c>
      <c r="P53" s="3"/>
      <c r="T53" s="7"/>
    </row>
    <row r="54" spans="4:20" ht="20.100000000000001" customHeight="1" x14ac:dyDescent="0.25">
      <c r="D54" s="1" t="str">
        <f>TEXT(EDATE('Input - Site'!$E$12,10), "mmmm yyyy")</f>
        <v>November 2024</v>
      </c>
      <c r="E54" s="66">
        <v>100</v>
      </c>
      <c r="F54" s="66">
        <v>100</v>
      </c>
      <c r="G54" s="66">
        <v>100</v>
      </c>
      <c r="H54" s="66">
        <v>100</v>
      </c>
      <c r="I54" s="66">
        <v>100</v>
      </c>
      <c r="J54" s="66">
        <v>100</v>
      </c>
      <c r="K54" s="66">
        <v>100</v>
      </c>
      <c r="L54" s="66">
        <v>100</v>
      </c>
      <c r="M54" s="66">
        <v>100</v>
      </c>
      <c r="N54" s="66">
        <v>100</v>
      </c>
      <c r="O54" s="2" t="s">
        <v>103</v>
      </c>
      <c r="P54" s="3"/>
      <c r="T54" s="7"/>
    </row>
    <row r="55" spans="4:20" ht="20.100000000000001" customHeight="1" x14ac:dyDescent="0.25">
      <c r="D55" s="1" t="str">
        <f>TEXT(EDATE('Input - Site'!$E$12,11), "mmmm yyyy")</f>
        <v>December 2024</v>
      </c>
      <c r="E55" s="66">
        <v>100</v>
      </c>
      <c r="F55" s="66">
        <v>100</v>
      </c>
      <c r="G55" s="66">
        <v>100</v>
      </c>
      <c r="H55" s="66">
        <v>100</v>
      </c>
      <c r="I55" s="66">
        <v>100</v>
      </c>
      <c r="J55" s="66">
        <v>100</v>
      </c>
      <c r="K55" s="66">
        <v>100</v>
      </c>
      <c r="L55" s="66">
        <v>100</v>
      </c>
      <c r="M55" s="66">
        <v>100</v>
      </c>
      <c r="N55" s="66">
        <v>100</v>
      </c>
      <c r="O55" s="2" t="s">
        <v>103</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8" t="s">
        <v>140</v>
      </c>
      <c r="P58" s="3"/>
      <c r="T58" s="7"/>
    </row>
    <row r="59" spans="4:20" ht="20.100000000000001" customHeight="1" x14ac:dyDescent="0.25">
      <c r="D59" s="63" t="s">
        <v>179</v>
      </c>
      <c r="E59" s="63" t="s">
        <v>131</v>
      </c>
      <c r="F59" s="63" t="s">
        <v>130</v>
      </c>
      <c r="G59" s="63" t="s">
        <v>165</v>
      </c>
      <c r="H59" s="63" t="s">
        <v>166</v>
      </c>
      <c r="I59" s="63" t="s">
        <v>167</v>
      </c>
      <c r="J59" s="63" t="s">
        <v>168</v>
      </c>
      <c r="K59" s="63" t="s">
        <v>169</v>
      </c>
      <c r="L59" s="63" t="s">
        <v>170</v>
      </c>
      <c r="M59" s="63" t="s">
        <v>171</v>
      </c>
      <c r="N59" s="63" t="s">
        <v>172</v>
      </c>
      <c r="P59" s="3"/>
      <c r="T59" s="7"/>
    </row>
    <row r="60" spans="4:20" ht="20.100000000000001" customHeight="1" x14ac:dyDescent="0.25">
      <c r="D60" s="1" t="s">
        <v>173</v>
      </c>
      <c r="E60" s="52">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2">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2">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2">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2">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2">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2">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2">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2">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2">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133</v>
      </c>
      <c r="P60" s="3"/>
      <c r="T60" s="7"/>
    </row>
    <row r="61" spans="4:20" ht="20.100000000000001" customHeight="1" x14ac:dyDescent="0.25">
      <c r="D61" s="1" t="s">
        <v>174</v>
      </c>
      <c r="E61" s="52">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2">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2">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2">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2">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2">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2">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2">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2">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2">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133</v>
      </c>
      <c r="P61" s="3"/>
      <c r="T61" s="7"/>
    </row>
    <row r="62" spans="4:20" ht="20.100000000000001" customHeight="1" x14ac:dyDescent="0.25">
      <c r="D62" s="1" t="s">
        <v>175</v>
      </c>
      <c r="E62" s="52">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2">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2">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2">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2">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2">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2">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2">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2">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2">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133</v>
      </c>
      <c r="P62" s="3"/>
      <c r="T62" s="7"/>
    </row>
    <row r="63" spans="4:20" ht="20.100000000000001" customHeight="1" x14ac:dyDescent="0.25">
      <c r="D63" s="1" t="s">
        <v>176</v>
      </c>
      <c r="E63" s="52">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2">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2">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2">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2">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2">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2">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2">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2">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2">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133</v>
      </c>
      <c r="P63" s="3"/>
      <c r="T63" s="7"/>
    </row>
    <row r="64" spans="4:20" ht="20.100000000000001" customHeight="1" x14ac:dyDescent="0.25">
      <c r="O64" s="2"/>
      <c r="P64" s="3"/>
      <c r="T64" s="7"/>
    </row>
    <row r="65" spans="4:20" ht="20.100000000000001" customHeight="1" x14ac:dyDescent="0.25">
      <c r="D65" s="63" t="s">
        <v>180</v>
      </c>
      <c r="E65" s="63" t="s">
        <v>131</v>
      </c>
      <c r="F65" s="63" t="s">
        <v>130</v>
      </c>
      <c r="G65" s="63" t="s">
        <v>165</v>
      </c>
      <c r="H65" s="63" t="s">
        <v>166</v>
      </c>
      <c r="I65" s="63" t="s">
        <v>167</v>
      </c>
      <c r="J65" s="63" t="s">
        <v>168</v>
      </c>
      <c r="K65" s="63" t="s">
        <v>169</v>
      </c>
      <c r="L65" s="63" t="s">
        <v>170</v>
      </c>
      <c r="M65" s="63" t="s">
        <v>171</v>
      </c>
      <c r="N65" s="63" t="s">
        <v>172</v>
      </c>
      <c r="O65" s="2"/>
      <c r="P65" s="3"/>
      <c r="T65" s="7"/>
    </row>
    <row r="66" spans="4:20" ht="20.100000000000001" customHeight="1" x14ac:dyDescent="0.25">
      <c r="D66" s="1" t="str">
        <f>TEXT('Input - Site'!$E$12, "mmmm yyyy")</f>
        <v>January 2024</v>
      </c>
      <c r="E66" s="66">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6">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6">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6">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6">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6">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6">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6">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6">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6">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133</v>
      </c>
      <c r="P66" s="3"/>
      <c r="T66" s="7"/>
    </row>
    <row r="67" spans="4:20" ht="20.100000000000001" customHeight="1" x14ac:dyDescent="0.25">
      <c r="D67" s="1" t="str">
        <f>TEXT(EDATE('Input - Site'!$E$12,1), "mmmm yyyy")</f>
        <v>February 2024</v>
      </c>
      <c r="E67" s="66">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6">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6">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6">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6">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6">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6">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6">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6">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6">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133</v>
      </c>
      <c r="P67" s="3"/>
      <c r="T67" s="7"/>
    </row>
    <row r="68" spans="4:20" ht="20.100000000000001" customHeight="1" x14ac:dyDescent="0.25">
      <c r="D68" s="1" t="str">
        <f>TEXT(EDATE('Input - Site'!$E$12,2), "mmmm yyyy")</f>
        <v>March 2024</v>
      </c>
      <c r="E68" s="66">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6">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6">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6">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6">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6">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6">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6">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6">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6">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133</v>
      </c>
      <c r="P68" s="3"/>
      <c r="T68" s="7"/>
    </row>
    <row r="69" spans="4:20" ht="20.100000000000001" customHeight="1" x14ac:dyDescent="0.25">
      <c r="D69" s="1" t="str">
        <f>TEXT(EDATE('Input - Site'!$E$12,3), "mmmm yyyy")</f>
        <v>April 2024</v>
      </c>
      <c r="E69" s="66">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6">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6">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6">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6">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6">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6">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6">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6">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6">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133</v>
      </c>
      <c r="P69" s="3"/>
      <c r="T69" s="7"/>
    </row>
    <row r="70" spans="4:20" ht="20.100000000000001" customHeight="1" x14ac:dyDescent="0.25">
      <c r="D70" s="1" t="str">
        <f>TEXT(EDATE('Input - Site'!$E$12,4), "mmmm yyyy")</f>
        <v>May 2024</v>
      </c>
      <c r="E70" s="66">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6">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6">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6">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6">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6">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6">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6">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6">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6">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133</v>
      </c>
      <c r="P70" s="3"/>
      <c r="T70" s="7"/>
    </row>
    <row r="71" spans="4:20" ht="20.100000000000001" customHeight="1" x14ac:dyDescent="0.25">
      <c r="D71" s="1" t="str">
        <f>TEXT(EDATE('Input - Site'!$E$12,5), "mmmm yyyy")</f>
        <v>June 2024</v>
      </c>
      <c r="E71" s="66">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6">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6">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6">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6">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6">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6">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6">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6">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6">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133</v>
      </c>
      <c r="P71" s="3"/>
      <c r="T71" s="7"/>
    </row>
    <row r="72" spans="4:20" ht="20.100000000000001" customHeight="1" x14ac:dyDescent="0.25">
      <c r="D72" s="1" t="str">
        <f>TEXT(EDATE('Input - Site'!$E$12,6), "mmmm yyyy")</f>
        <v>July 2024</v>
      </c>
      <c r="E72" s="66">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6">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6">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6">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6">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6">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6">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6">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6">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6">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133</v>
      </c>
      <c r="T72" s="7"/>
    </row>
    <row r="73" spans="4:20" ht="20.100000000000001" customHeight="1" x14ac:dyDescent="0.25">
      <c r="D73" s="1" t="str">
        <f>TEXT(EDATE('Input - Site'!$E$12,7), "mmmm yyyy")</f>
        <v>August 2024</v>
      </c>
      <c r="E73" s="66">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6">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6">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6">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6">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6">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6">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6">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6">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6">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133</v>
      </c>
      <c r="T73" s="7"/>
    </row>
    <row r="74" spans="4:20" ht="20.100000000000001" customHeight="1" x14ac:dyDescent="0.25">
      <c r="D74" s="1" t="str">
        <f>TEXT(EDATE('Input - Site'!$E$12,8), "mmmm yyyy")</f>
        <v>September 2024</v>
      </c>
      <c r="E74" s="66">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6">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6">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6">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6">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6">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6">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6">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6">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6">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133</v>
      </c>
      <c r="T74" s="7"/>
    </row>
    <row r="75" spans="4:20" ht="20.100000000000001" customHeight="1" x14ac:dyDescent="0.25">
      <c r="D75" s="1" t="str">
        <f>TEXT(EDATE('Input - Site'!$E$12,9), "mmmm yyyy")</f>
        <v>October 2024</v>
      </c>
      <c r="E75" s="66">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6">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6">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6">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6">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6">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6">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6">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6">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6">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133</v>
      </c>
      <c r="T75" s="7"/>
    </row>
    <row r="76" spans="4:20" ht="20.100000000000001" customHeight="1" x14ac:dyDescent="0.25">
      <c r="D76" s="1" t="str">
        <f>TEXT(EDATE('Input - Site'!$E$12,10), "mmmm yyyy")</f>
        <v>November 2024</v>
      </c>
      <c r="E76" s="66">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6">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6">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6">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6">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6">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6">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6">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6">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6">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133</v>
      </c>
      <c r="T76" s="7"/>
    </row>
    <row r="77" spans="4:20" ht="20.100000000000001" customHeight="1" x14ac:dyDescent="0.25">
      <c r="D77" s="1" t="str">
        <f>TEXT(EDATE('Input - Site'!$E$12,11), "mmmm yyyy")</f>
        <v>December 2024</v>
      </c>
      <c r="E77" s="66">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6">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6">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6">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6">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6">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6">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6">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6">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6">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133</v>
      </c>
      <c r="T77" s="7"/>
    </row>
    <row r="78" spans="4:20" ht="20.100000000000001" customHeight="1" x14ac:dyDescent="0.25">
      <c r="T78" s="7"/>
    </row>
    <row r="79" spans="4:20" ht="20.100000000000001" customHeight="1" x14ac:dyDescent="0.25">
      <c r="T79" s="7"/>
    </row>
    <row r="80" spans="4:20" ht="20.100000000000001" customHeight="1" x14ac:dyDescent="0.25">
      <c r="D80" s="48" t="s">
        <v>177</v>
      </c>
      <c r="T80" s="7"/>
    </row>
    <row r="81" spans="4:20" ht="20.100000000000001" customHeight="1" x14ac:dyDescent="0.25">
      <c r="D81" s="63" t="s">
        <v>179</v>
      </c>
      <c r="E81" s="63" t="s">
        <v>131</v>
      </c>
      <c r="F81" s="63" t="s">
        <v>130</v>
      </c>
      <c r="G81" s="63" t="s">
        <v>165</v>
      </c>
      <c r="H81" s="63" t="s">
        <v>166</v>
      </c>
      <c r="I81" s="63" t="s">
        <v>167</v>
      </c>
      <c r="J81" s="63" t="s">
        <v>168</v>
      </c>
      <c r="K81" s="63" t="s">
        <v>169</v>
      </c>
      <c r="L81" s="63" t="s">
        <v>170</v>
      </c>
      <c r="M81" s="63" t="s">
        <v>171</v>
      </c>
      <c r="N81" s="63" t="s">
        <v>172</v>
      </c>
      <c r="T81" s="7"/>
    </row>
    <row r="82" spans="4:20" ht="20.100000000000001" customHeight="1" x14ac:dyDescent="0.25">
      <c r="D82" s="1" t="s">
        <v>173</v>
      </c>
      <c r="E82" s="52">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2">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2">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2">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2">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2">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2">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2">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2">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2">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134</v>
      </c>
      <c r="T82" s="7"/>
    </row>
    <row r="83" spans="4:20" ht="20.100000000000001" customHeight="1" x14ac:dyDescent="0.25">
      <c r="D83" s="1" t="s">
        <v>174</v>
      </c>
      <c r="E83" s="52">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2">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2">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2">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2">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2">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2">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2">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2">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2">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134</v>
      </c>
      <c r="T83" s="7"/>
    </row>
    <row r="84" spans="4:20" ht="20.100000000000001" customHeight="1" x14ac:dyDescent="0.25">
      <c r="D84" s="1" t="s">
        <v>175</v>
      </c>
      <c r="E84" s="52">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2">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2">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2">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2">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2">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2">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2">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2">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2">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134</v>
      </c>
      <c r="T84" s="7"/>
    </row>
    <row r="85" spans="4:20" ht="20.100000000000001" customHeight="1" x14ac:dyDescent="0.25">
      <c r="D85" s="1" t="s">
        <v>176</v>
      </c>
      <c r="E85" s="52">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2">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2">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2">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2">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2">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2">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2">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2">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2">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134</v>
      </c>
      <c r="T85" s="7"/>
    </row>
    <row r="86" spans="4:20" ht="20.100000000000001" customHeight="1" x14ac:dyDescent="0.25">
      <c r="O86" s="2"/>
      <c r="T86" s="7"/>
    </row>
    <row r="87" spans="4:20" ht="20.100000000000001" customHeight="1" x14ac:dyDescent="0.25">
      <c r="D87" s="63" t="s">
        <v>180</v>
      </c>
      <c r="E87" s="63" t="s">
        <v>131</v>
      </c>
      <c r="F87" s="63" t="s">
        <v>130</v>
      </c>
      <c r="G87" s="63" t="s">
        <v>165</v>
      </c>
      <c r="H87" s="63" t="s">
        <v>166</v>
      </c>
      <c r="I87" s="63" t="s">
        <v>167</v>
      </c>
      <c r="J87" s="63" t="s">
        <v>168</v>
      </c>
      <c r="K87" s="63" t="s">
        <v>169</v>
      </c>
      <c r="L87" s="63" t="s">
        <v>170</v>
      </c>
      <c r="M87" s="63" t="s">
        <v>171</v>
      </c>
      <c r="N87" s="63" t="s">
        <v>172</v>
      </c>
      <c r="O87" s="2"/>
      <c r="T87" s="7"/>
    </row>
    <row r="88" spans="4:20" ht="20.100000000000001" customHeight="1" x14ac:dyDescent="0.25">
      <c r="D88" s="1" t="str">
        <f>TEXT('Input - Site'!$E$12, "mmmm yyyy")</f>
        <v>January 2024</v>
      </c>
      <c r="E88" s="66">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6">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6">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6">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6">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6">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6">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6">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6">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6">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134</v>
      </c>
      <c r="T88" s="7"/>
    </row>
    <row r="89" spans="4:20" ht="20.100000000000001" customHeight="1" x14ac:dyDescent="0.25">
      <c r="D89" s="1" t="str">
        <f>TEXT(EDATE('Input - Site'!$E$12,1), "mmmm yyyy")</f>
        <v>February 2024</v>
      </c>
      <c r="E89" s="66">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6">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6">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6">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6">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6">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6">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6">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6">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6">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134</v>
      </c>
      <c r="T89" s="7"/>
    </row>
    <row r="90" spans="4:20" ht="20.100000000000001" customHeight="1" x14ac:dyDescent="0.25">
      <c r="D90" s="1" t="str">
        <f>TEXT(EDATE('Input - Site'!$E$12,2), "mmmm yyyy")</f>
        <v>March 2024</v>
      </c>
      <c r="E90" s="66">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6">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6">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6">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6">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6">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6">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6">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6">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6">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134</v>
      </c>
      <c r="T90" s="7"/>
    </row>
    <row r="91" spans="4:20" ht="20.100000000000001" customHeight="1" x14ac:dyDescent="0.25">
      <c r="D91" s="1" t="str">
        <f>TEXT(EDATE('Input - Site'!$E$12,3), "mmmm yyyy")</f>
        <v>April 2024</v>
      </c>
      <c r="E91" s="66">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6">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6">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6">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6">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6">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6">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6">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6">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6">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134</v>
      </c>
      <c r="T91" s="7"/>
    </row>
    <row r="92" spans="4:20" ht="20.100000000000001" customHeight="1" x14ac:dyDescent="0.25">
      <c r="D92" s="1" t="str">
        <f>TEXT(EDATE('Input - Site'!$E$12,4), "mmmm yyyy")</f>
        <v>May 2024</v>
      </c>
      <c r="E92" s="66">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6">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6">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6">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6">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6">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6">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6">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6">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6">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134</v>
      </c>
      <c r="T92" s="7"/>
    </row>
    <row r="93" spans="4:20" ht="20.100000000000001" customHeight="1" x14ac:dyDescent="0.25">
      <c r="D93" s="1" t="str">
        <f>TEXT(EDATE('Input - Site'!$E$12,5), "mmmm yyyy")</f>
        <v>June 2024</v>
      </c>
      <c r="E93" s="66">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6">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6">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6">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6">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6">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6">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6">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6">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6">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134</v>
      </c>
      <c r="T93" s="7"/>
    </row>
    <row r="94" spans="4:20" ht="20.100000000000001" customHeight="1" x14ac:dyDescent="0.25">
      <c r="D94" s="1" t="str">
        <f>TEXT(EDATE('Input - Site'!$E$12,6), "mmmm yyyy")</f>
        <v>July 2024</v>
      </c>
      <c r="E94" s="66">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6">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6">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6">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6">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6">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6">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6">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6">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6">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134</v>
      </c>
      <c r="T94" s="7"/>
    </row>
    <row r="95" spans="4:20" ht="20.100000000000001" customHeight="1" x14ac:dyDescent="0.25">
      <c r="D95" s="1" t="str">
        <f>TEXT(EDATE('Input - Site'!$E$12,7), "mmmm yyyy")</f>
        <v>August 2024</v>
      </c>
      <c r="E95" s="66">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6">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6">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6">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6">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6">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6">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6">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6">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6">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134</v>
      </c>
      <c r="T95" s="7"/>
    </row>
    <row r="96" spans="4:20" ht="20.100000000000001" customHeight="1" x14ac:dyDescent="0.25">
      <c r="D96" s="1" t="str">
        <f>TEXT(EDATE('Input - Site'!$E$12,8), "mmmm yyyy")</f>
        <v>September 2024</v>
      </c>
      <c r="E96" s="66">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6">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6">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6">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6">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6">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6">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6">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6">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6">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134</v>
      </c>
      <c r="T96" s="7"/>
    </row>
    <row r="97" spans="4:20" ht="20.100000000000001" customHeight="1" x14ac:dyDescent="0.25">
      <c r="D97" s="1" t="str">
        <f>TEXT(EDATE('Input - Site'!$E$12,9), "mmmm yyyy")</f>
        <v>October 2024</v>
      </c>
      <c r="E97" s="66">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6">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6">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6">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6">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6">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6">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6">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6">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6">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134</v>
      </c>
      <c r="T97" s="7"/>
    </row>
    <row r="98" spans="4:20" ht="20.100000000000001" customHeight="1" x14ac:dyDescent="0.25">
      <c r="D98" s="1" t="str">
        <f>TEXT(EDATE('Input - Site'!$E$12,10), "mmmm yyyy")</f>
        <v>November 2024</v>
      </c>
      <c r="E98" s="66">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6">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6">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6">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6">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6">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6">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6">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6">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6">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134</v>
      </c>
      <c r="T98" s="7"/>
    </row>
    <row r="99" spans="4:20" ht="20.100000000000001" customHeight="1" x14ac:dyDescent="0.25">
      <c r="D99" s="1" t="str">
        <f>TEXT(EDATE('Input - Site'!$E$12,11), "mmmm yyyy")</f>
        <v>December 2024</v>
      </c>
      <c r="E99" s="66">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6">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6">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6">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6">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6">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6">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6">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6">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6">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134</v>
      </c>
      <c r="T99" s="7"/>
    </row>
    <row r="100" spans="4:20" ht="20.100000000000001" customHeight="1" x14ac:dyDescent="0.25">
      <c r="T100" s="7"/>
    </row>
    <row r="101" spans="4:20" ht="20.100000000000001" customHeight="1" x14ac:dyDescent="0.25">
      <c r="T101" s="7"/>
    </row>
    <row r="102" spans="4:20" ht="20.100000000000001" customHeight="1" x14ac:dyDescent="0.25">
      <c r="D102" s="48" t="s">
        <v>229</v>
      </c>
      <c r="K102" s="2"/>
      <c r="L102" s="2"/>
      <c r="M102" s="2"/>
      <c r="N102" s="2"/>
      <c r="O102" s="2"/>
      <c r="T102" s="7"/>
    </row>
    <row r="103" spans="4:20" ht="20.100000000000001" customHeight="1" x14ac:dyDescent="0.25">
      <c r="D103" s="63" t="s">
        <v>136</v>
      </c>
      <c r="E103" s="63"/>
      <c r="F103" s="63"/>
      <c r="G103" s="63"/>
      <c r="T103" s="7"/>
    </row>
    <row r="104" spans="4:20" ht="20.100000000000001" customHeight="1" x14ac:dyDescent="0.25">
      <c r="D104" s="1" t="s">
        <v>247</v>
      </c>
      <c r="E104" s="39" t="s">
        <v>176</v>
      </c>
      <c r="F104" s="2" t="s">
        <v>11</v>
      </c>
      <c r="T104" s="7"/>
    </row>
    <row r="105" spans="4:20" ht="20.100000000000001" customHeight="1" x14ac:dyDescent="0.25">
      <c r="T105" s="7"/>
    </row>
    <row r="106" spans="4:20" ht="20.100000000000001" customHeight="1" x14ac:dyDescent="0.25">
      <c r="E106" s="63" t="s">
        <v>166</v>
      </c>
      <c r="F106" s="63" t="s">
        <v>167</v>
      </c>
      <c r="G106" s="63" t="s">
        <v>168</v>
      </c>
      <c r="L106" s="2"/>
      <c r="M106" s="2"/>
      <c r="N106" s="2"/>
      <c r="O106" s="2"/>
      <c r="T106" s="7"/>
    </row>
    <row r="107" spans="4:20" ht="20.100000000000001" customHeight="1" x14ac:dyDescent="0.25">
      <c r="D107" s="1" t="str">
        <f>"Proportion of cows &gt; 1 years in calf in " &amp; E104</f>
        <v>Proportion of cows &gt; 1 years in calf in Winter</v>
      </c>
      <c r="E107" s="46">
        <v>0.9</v>
      </c>
      <c r="F107" s="46">
        <v>0.5</v>
      </c>
      <c r="G107" s="46">
        <v>0.5</v>
      </c>
      <c r="H107" s="2" t="s">
        <v>19</v>
      </c>
      <c r="L107" s="2"/>
      <c r="M107" s="2"/>
      <c r="N107" s="2"/>
      <c r="O107" s="2"/>
    </row>
    <row r="108" spans="4:20" ht="20.100000000000001" customHeight="1" x14ac:dyDescent="0.25"/>
    <row r="109" spans="4:20" ht="20.100000000000001" customHeight="1" x14ac:dyDescent="0.25"/>
    <row r="110" spans="4:20" ht="20.100000000000001" customHeight="1" x14ac:dyDescent="0.25">
      <c r="D110" s="63" t="s">
        <v>137</v>
      </c>
      <c r="E110" s="63"/>
      <c r="F110" s="63"/>
      <c r="G110" s="63"/>
    </row>
    <row r="111" spans="4:20" ht="20.100000000000001" customHeight="1" x14ac:dyDescent="0.25">
      <c r="D111" s="1" t="s">
        <v>352</v>
      </c>
      <c r="E111" s="39" t="s">
        <v>348</v>
      </c>
      <c r="F111" s="2" t="s">
        <v>11</v>
      </c>
    </row>
    <row r="112" spans="4:20" ht="20.100000000000001" customHeight="1" x14ac:dyDescent="0.25">
      <c r="D112" s="1" t="s">
        <v>346</v>
      </c>
      <c r="E112" s="52" t="str">
        <f>TEXT(EDATE(E111,1), "mmmm yyyy")</f>
        <v>September 2024</v>
      </c>
    </row>
    <row r="113" spans="4:15" ht="20.100000000000001" customHeight="1" x14ac:dyDescent="0.25">
      <c r="D113" s="1" t="s">
        <v>347</v>
      </c>
      <c r="E113" s="52" t="str">
        <f>TEXT(EDATE(E111,2), "mmmm yyyy")</f>
        <v>October 2024</v>
      </c>
    </row>
    <row r="114" spans="4:15" ht="20.100000000000001" customHeight="1" x14ac:dyDescent="0.25"/>
    <row r="115" spans="4:15" ht="20.100000000000001" customHeight="1" x14ac:dyDescent="0.25"/>
    <row r="116" spans="4:15" ht="20.100000000000001" customHeight="1" x14ac:dyDescent="0.25">
      <c r="E116" s="63" t="s">
        <v>166</v>
      </c>
      <c r="F116" s="63" t="s">
        <v>167</v>
      </c>
      <c r="G116" s="63" t="s">
        <v>168</v>
      </c>
      <c r="L116" s="2"/>
      <c r="M116" s="2"/>
      <c r="N116" s="2"/>
      <c r="O116" s="2"/>
    </row>
    <row r="117" spans="4:15" ht="20.100000000000001" customHeight="1" x14ac:dyDescent="0.25">
      <c r="D117" s="1" t="str">
        <f>E111</f>
        <v>August 2024</v>
      </c>
      <c r="E117" s="46">
        <v>0.25</v>
      </c>
      <c r="F117" s="46">
        <v>0.25</v>
      </c>
      <c r="G117" s="46">
        <v>0.25</v>
      </c>
      <c r="H117" s="2" t="s">
        <v>19</v>
      </c>
      <c r="L117" s="2"/>
      <c r="M117" s="2"/>
      <c r="N117" s="2"/>
      <c r="O117" s="2"/>
    </row>
    <row r="118" spans="4:15" ht="20.100000000000001" customHeight="1" x14ac:dyDescent="0.25">
      <c r="D118" s="1" t="str">
        <f>E112</f>
        <v>September 2024</v>
      </c>
      <c r="E118" s="46">
        <v>0.25</v>
      </c>
      <c r="F118" s="46">
        <v>0.25</v>
      </c>
      <c r="G118" s="46">
        <v>0.25</v>
      </c>
      <c r="H118" s="2" t="s">
        <v>19</v>
      </c>
    </row>
    <row r="119" spans="4:15" ht="20.100000000000001" customHeight="1" x14ac:dyDescent="0.25">
      <c r="D119" s="1" t="str">
        <f>E113</f>
        <v>October 2024</v>
      </c>
      <c r="E119" s="46">
        <v>0.25</v>
      </c>
      <c r="F119" s="46">
        <v>0.25</v>
      </c>
      <c r="G119" s="46">
        <v>0.25</v>
      </c>
      <c r="H119" s="2" t="s">
        <v>19</v>
      </c>
    </row>
    <row r="120" spans="4:15" ht="20.100000000000001" customHeight="1" x14ac:dyDescent="0.25">
      <c r="D120" s="1" t="str">
        <f>"Proportion of cows &gt; 1 years in calf in " &amp; D117 &amp; " to " &amp; D119</f>
        <v>Proportion of cows &gt; 1 years in calf in August 2024 to October 2024</v>
      </c>
      <c r="E120" s="97">
        <f>SUM(E117:E119)</f>
        <v>0.75</v>
      </c>
      <c r="F120" s="97">
        <f>SUM(F117:F119)</f>
        <v>0.75</v>
      </c>
      <c r="G120" s="97">
        <f>SUM(G117:G119)</f>
        <v>0.75</v>
      </c>
      <c r="H120" s="2" t="s">
        <v>19</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8" t="s">
        <v>18</v>
      </c>
      <c r="K123" s="2"/>
      <c r="L123" s="2"/>
      <c r="M123" s="2"/>
      <c r="N123" s="2"/>
      <c r="O123" s="2"/>
    </row>
    <row r="124" spans="4:15" ht="20.100000000000001" customHeight="1" x14ac:dyDescent="0.25">
      <c r="D124" s="63" t="s">
        <v>179</v>
      </c>
      <c r="E124" s="63" t="s">
        <v>131</v>
      </c>
      <c r="F124" s="63" t="s">
        <v>130</v>
      </c>
      <c r="G124" s="63" t="s">
        <v>165</v>
      </c>
      <c r="H124" s="63" t="s">
        <v>166</v>
      </c>
      <c r="I124" s="63" t="s">
        <v>167</v>
      </c>
      <c r="J124" s="63" t="s">
        <v>168</v>
      </c>
      <c r="K124" s="63" t="s">
        <v>169</v>
      </c>
      <c r="L124" s="63" t="s">
        <v>170</v>
      </c>
      <c r="M124" s="63" t="s">
        <v>171</v>
      </c>
      <c r="N124" s="63" t="s">
        <v>172</v>
      </c>
    </row>
    <row r="125" spans="4:15" ht="20.100000000000001" customHeight="1" x14ac:dyDescent="0.25">
      <c r="D125" s="1" t="s">
        <v>173</v>
      </c>
      <c r="E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2">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141</v>
      </c>
    </row>
    <row r="126" spans="4:15" ht="20.100000000000001" customHeight="1" x14ac:dyDescent="0.25">
      <c r="D126" s="1" t="s">
        <v>174</v>
      </c>
      <c r="E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2">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141</v>
      </c>
    </row>
    <row r="127" spans="4:15" ht="20.100000000000001" customHeight="1" x14ac:dyDescent="0.25">
      <c r="D127" s="1" t="s">
        <v>175</v>
      </c>
      <c r="E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2">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141</v>
      </c>
    </row>
    <row r="128" spans="4:15" ht="20.100000000000001" customHeight="1" x14ac:dyDescent="0.25">
      <c r="D128" s="1" t="s">
        <v>176</v>
      </c>
      <c r="E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2">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141</v>
      </c>
    </row>
    <row r="129" spans="4:15" ht="20.100000000000001" customHeight="1" x14ac:dyDescent="0.25"/>
    <row r="130" spans="4:15" ht="20.100000000000001" customHeight="1" x14ac:dyDescent="0.25">
      <c r="D130" s="63" t="s">
        <v>180</v>
      </c>
      <c r="E130" s="63" t="s">
        <v>131</v>
      </c>
      <c r="F130" s="63" t="s">
        <v>130</v>
      </c>
      <c r="G130" s="63" t="s">
        <v>165</v>
      </c>
      <c r="H130" s="63" t="s">
        <v>166</v>
      </c>
      <c r="I130" s="63" t="s">
        <v>167</v>
      </c>
      <c r="J130" s="63" t="s">
        <v>168</v>
      </c>
      <c r="K130" s="63" t="s">
        <v>169</v>
      </c>
      <c r="L130" s="63" t="s">
        <v>170</v>
      </c>
      <c r="M130" s="63" t="s">
        <v>171</v>
      </c>
      <c r="N130" s="63" t="s">
        <v>172</v>
      </c>
    </row>
    <row r="131" spans="4:15" ht="20.100000000000001" customHeight="1" x14ac:dyDescent="0.25">
      <c r="D131" s="1" t="str">
        <f>TEXT('Input - Site'!$E$12, "mmmm yyyy")</f>
        <v>January 2024</v>
      </c>
      <c r="E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6">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141</v>
      </c>
    </row>
    <row r="132" spans="4:15" ht="20.100000000000001" customHeight="1" x14ac:dyDescent="0.25">
      <c r="D132" s="1" t="str">
        <f>TEXT(EDATE('Input - Site'!$E$12,1), "mmmm yyyy")</f>
        <v>February 2024</v>
      </c>
      <c r="E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6">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141</v>
      </c>
    </row>
    <row r="133" spans="4:15" ht="20.100000000000001" customHeight="1" x14ac:dyDescent="0.25">
      <c r="D133" s="1" t="str">
        <f>TEXT(EDATE('Input - Site'!$E$12,2), "mmmm yyyy")</f>
        <v>March 2024</v>
      </c>
      <c r="E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6">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141</v>
      </c>
    </row>
    <row r="134" spans="4:15" ht="20.100000000000001" customHeight="1" x14ac:dyDescent="0.25">
      <c r="D134" s="1" t="str">
        <f>TEXT(EDATE('Input - Site'!$E$12,3), "mmmm yyyy")</f>
        <v>April 2024</v>
      </c>
      <c r="E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6">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141</v>
      </c>
    </row>
    <row r="135" spans="4:15" ht="20.100000000000001" customHeight="1" x14ac:dyDescent="0.25">
      <c r="D135" s="1" t="str">
        <f>TEXT(EDATE('Input - Site'!$E$12,4), "mmmm yyyy")</f>
        <v>May 2024</v>
      </c>
      <c r="E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6">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141</v>
      </c>
    </row>
    <row r="136" spans="4:15" ht="20.100000000000001" customHeight="1" x14ac:dyDescent="0.25">
      <c r="D136" s="1" t="str">
        <f>TEXT(EDATE('Input - Site'!$E$12,5), "mmmm yyyy")</f>
        <v>June 2024</v>
      </c>
      <c r="E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6">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141</v>
      </c>
    </row>
    <row r="137" spans="4:15" ht="20.100000000000001" customHeight="1" x14ac:dyDescent="0.25">
      <c r="D137" s="1" t="str">
        <f>TEXT(EDATE('Input - Site'!$E$12,6), "mmmm yyyy")</f>
        <v>July 2024</v>
      </c>
      <c r="E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6">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141</v>
      </c>
    </row>
    <row r="138" spans="4:15" ht="20.100000000000001" customHeight="1" x14ac:dyDescent="0.25">
      <c r="D138" s="1" t="str">
        <f>TEXT(EDATE('Input - Site'!$E$12,7), "mmmm yyyy")</f>
        <v>August 2024</v>
      </c>
      <c r="E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6">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141</v>
      </c>
    </row>
    <row r="139" spans="4:15" ht="20.100000000000001" customHeight="1" x14ac:dyDescent="0.25">
      <c r="D139" s="1" t="str">
        <f>TEXT(EDATE('Input - Site'!$E$12,8), "mmmm yyyy")</f>
        <v>September 2024</v>
      </c>
      <c r="E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141</v>
      </c>
    </row>
    <row r="140" spans="4:15" ht="20.100000000000001" customHeight="1" x14ac:dyDescent="0.25">
      <c r="D140" s="1" t="str">
        <f>TEXT(EDATE('Input - Site'!$E$12,9), "mmmm yyyy")</f>
        <v>October 2024</v>
      </c>
      <c r="E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141</v>
      </c>
    </row>
    <row r="141" spans="4:15" ht="20.100000000000001" customHeight="1" x14ac:dyDescent="0.25">
      <c r="D141" s="1" t="str">
        <f>TEXT(EDATE('Input - Site'!$E$12,10), "mmmm yyyy")</f>
        <v>November 2024</v>
      </c>
      <c r="E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141</v>
      </c>
    </row>
    <row r="142" spans="4:15" ht="20.100000000000001" customHeight="1" x14ac:dyDescent="0.25">
      <c r="D142" s="1" t="str">
        <f>TEXT(EDATE('Input - Site'!$E$12,11), "mmmm yyyy")</f>
        <v>December 2024</v>
      </c>
      <c r="E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141</v>
      </c>
    </row>
    <row r="143" spans="4:15" ht="20.100000000000001" customHeight="1" x14ac:dyDescent="0.25"/>
    <row r="144" spans="4:15" ht="20.100000000000001" customHeight="1" x14ac:dyDescent="0.25"/>
    <row r="145" spans="4:15" ht="20.100000000000001" customHeight="1" x14ac:dyDescent="0.25">
      <c r="D145" s="48" t="s">
        <v>105</v>
      </c>
      <c r="K145" s="2"/>
      <c r="L145" s="2"/>
      <c r="M145" s="2"/>
      <c r="N145" s="2"/>
      <c r="O145" s="2"/>
    </row>
    <row r="146" spans="4:15" ht="20.100000000000001" customHeight="1" x14ac:dyDescent="0.25">
      <c r="D146" s="63" t="s">
        <v>179</v>
      </c>
      <c r="E146" s="63" t="s">
        <v>131</v>
      </c>
      <c r="F146" s="63" t="s">
        <v>130</v>
      </c>
      <c r="G146" s="63" t="s">
        <v>165</v>
      </c>
      <c r="H146" s="63" t="s">
        <v>166</v>
      </c>
      <c r="I146" s="63" t="s">
        <v>167</v>
      </c>
      <c r="J146" s="63" t="s">
        <v>168</v>
      </c>
      <c r="K146" s="63" t="s">
        <v>169</v>
      </c>
      <c r="L146" s="63" t="s">
        <v>170</v>
      </c>
      <c r="M146" s="63" t="s">
        <v>171</v>
      </c>
      <c r="N146" s="63" t="s">
        <v>172</v>
      </c>
    </row>
    <row r="147" spans="4:15" ht="20.100000000000001" customHeight="1" x14ac:dyDescent="0.25">
      <c r="D147" s="1" t="s">
        <v>173</v>
      </c>
      <c r="E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2">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141</v>
      </c>
    </row>
    <row r="148" spans="4:15" ht="20.100000000000001" customHeight="1" x14ac:dyDescent="0.25">
      <c r="D148" s="1" t="s">
        <v>174</v>
      </c>
      <c r="E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2">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141</v>
      </c>
    </row>
    <row r="149" spans="4:15" ht="20.100000000000001" customHeight="1" x14ac:dyDescent="0.25">
      <c r="D149" s="1" t="s">
        <v>175</v>
      </c>
      <c r="E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2">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141</v>
      </c>
    </row>
    <row r="150" spans="4:15" ht="20.100000000000001" customHeight="1" x14ac:dyDescent="0.25">
      <c r="D150" s="1" t="s">
        <v>176</v>
      </c>
      <c r="E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2">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141</v>
      </c>
    </row>
    <row r="151" spans="4:15" ht="20.100000000000001" customHeight="1" x14ac:dyDescent="0.25"/>
    <row r="152" spans="4:15" ht="20.100000000000001" customHeight="1" x14ac:dyDescent="0.25">
      <c r="D152" s="63" t="s">
        <v>180</v>
      </c>
      <c r="E152" s="63" t="s">
        <v>131</v>
      </c>
      <c r="F152" s="63" t="s">
        <v>130</v>
      </c>
      <c r="G152" s="63" t="s">
        <v>165</v>
      </c>
      <c r="H152" s="63" t="s">
        <v>166</v>
      </c>
      <c r="I152" s="63" t="s">
        <v>167</v>
      </c>
      <c r="J152" s="63" t="s">
        <v>168</v>
      </c>
      <c r="K152" s="63" t="s">
        <v>169</v>
      </c>
      <c r="L152" s="63" t="s">
        <v>170</v>
      </c>
      <c r="M152" s="63" t="s">
        <v>171</v>
      </c>
      <c r="N152" s="63" t="s">
        <v>172</v>
      </c>
    </row>
    <row r="153" spans="4:15" ht="20.100000000000001" customHeight="1" x14ac:dyDescent="0.25">
      <c r="D153" s="1" t="str">
        <f>TEXT('Input - Site'!$E$12, "mmmm yyyy")</f>
        <v>January 2024</v>
      </c>
      <c r="E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6">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141</v>
      </c>
    </row>
    <row r="154" spans="4:15" ht="20.100000000000001" customHeight="1" x14ac:dyDescent="0.25">
      <c r="D154" s="1" t="str">
        <f>TEXT(EDATE('Input - Site'!$E$12,1), "mmmm yyyy")</f>
        <v>February 2024</v>
      </c>
      <c r="E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6">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141</v>
      </c>
    </row>
    <row r="155" spans="4:15" ht="20.100000000000001" customHeight="1" x14ac:dyDescent="0.25">
      <c r="D155" s="1" t="str">
        <f>TEXT(EDATE('Input - Site'!$E$12,2), "mmmm yyyy")</f>
        <v>March 2024</v>
      </c>
      <c r="E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6">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141</v>
      </c>
    </row>
    <row r="156" spans="4:15" ht="20.100000000000001" customHeight="1" x14ac:dyDescent="0.25">
      <c r="D156" s="1" t="str">
        <f>TEXT(EDATE('Input - Site'!$E$12,3), "mmmm yyyy")</f>
        <v>April 2024</v>
      </c>
      <c r="E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6">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141</v>
      </c>
    </row>
    <row r="157" spans="4:15" ht="20.100000000000001" customHeight="1" x14ac:dyDescent="0.25">
      <c r="D157" s="1" t="str">
        <f>TEXT(EDATE('Input - Site'!$E$12,4), "mmmm yyyy")</f>
        <v>May 2024</v>
      </c>
      <c r="E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6">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141</v>
      </c>
    </row>
    <row r="158" spans="4:15" ht="20.100000000000001" customHeight="1" x14ac:dyDescent="0.25">
      <c r="D158" s="1" t="str">
        <f>TEXT(EDATE('Input - Site'!$E$12,5), "mmmm yyyy")</f>
        <v>June 2024</v>
      </c>
      <c r="E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6">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141</v>
      </c>
    </row>
    <row r="159" spans="4:15" ht="20.100000000000001" customHeight="1" x14ac:dyDescent="0.25">
      <c r="D159" s="1" t="str">
        <f>TEXT(EDATE('Input - Site'!$E$12,6), "mmmm yyyy")</f>
        <v>July 2024</v>
      </c>
      <c r="E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6">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141</v>
      </c>
    </row>
    <row r="160" spans="4:15" ht="20.100000000000001" customHeight="1" x14ac:dyDescent="0.25">
      <c r="D160" s="1" t="str">
        <f>TEXT(EDATE('Input - Site'!$E$12,7), "mmmm yyyy")</f>
        <v>August 2024</v>
      </c>
      <c r="E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6">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141</v>
      </c>
    </row>
    <row r="161" spans="4:15" ht="20.100000000000001" customHeight="1" x14ac:dyDescent="0.25">
      <c r="D161" s="1" t="str">
        <f>TEXT(EDATE('Input - Site'!$E$12,8), "mmmm yyyy")</f>
        <v>September 2024</v>
      </c>
      <c r="E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6">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141</v>
      </c>
    </row>
    <row r="162" spans="4:15" ht="20.100000000000001" customHeight="1" x14ac:dyDescent="0.25">
      <c r="D162" s="1" t="str">
        <f>TEXT(EDATE('Input - Site'!$E$12,9), "mmmm yyyy")</f>
        <v>October 2024</v>
      </c>
      <c r="E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6">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141</v>
      </c>
    </row>
    <row r="163" spans="4:15" ht="20.100000000000001" customHeight="1" x14ac:dyDescent="0.25">
      <c r="D163" s="1" t="str">
        <f>TEXT(EDATE('Input - Site'!$E$12,10), "mmmm yyyy")</f>
        <v>November 2024</v>
      </c>
      <c r="E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6">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141</v>
      </c>
    </row>
    <row r="164" spans="4:15" ht="20.100000000000001" customHeight="1" x14ac:dyDescent="0.25">
      <c r="D164" s="1" t="str">
        <f>TEXT(EDATE('Input - Site'!$E$12,11), "mmmm yyyy")</f>
        <v>December 2024</v>
      </c>
      <c r="E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6">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141</v>
      </c>
    </row>
    <row r="165" spans="4:15" ht="20.100000000000001" customHeight="1" x14ac:dyDescent="0.25">
      <c r="L165" s="2"/>
      <c r="M165" s="2"/>
      <c r="N165" s="2"/>
      <c r="O165" s="2"/>
    </row>
    <row r="166" spans="4:15" x14ac:dyDescent="0.25">
      <c r="L166" s="2"/>
      <c r="M166" s="2"/>
      <c r="N166" s="2"/>
      <c r="O166" s="2"/>
    </row>
    <row r="167" spans="4:15" ht="18.75" x14ac:dyDescent="0.25">
      <c r="D167" s="48" t="s">
        <v>264</v>
      </c>
      <c r="L167" s="2"/>
      <c r="M167" s="2"/>
      <c r="N167" s="2"/>
      <c r="O167" s="2"/>
    </row>
    <row r="169" spans="4:15" x14ac:dyDescent="0.25">
      <c r="D169" s="1" t="s">
        <v>265</v>
      </c>
      <c r="E169" s="39" t="s">
        <v>139</v>
      </c>
      <c r="F169" s="2" t="s">
        <v>11</v>
      </c>
      <c r="L169" s="2"/>
      <c r="M169" s="2"/>
      <c r="N169" s="2"/>
      <c r="O169" s="2"/>
    </row>
    <row r="171" spans="4:15" x14ac:dyDescent="0.25">
      <c r="D171" s="63" t="s">
        <v>21</v>
      </c>
      <c r="E171" s="63" t="s">
        <v>266</v>
      </c>
      <c r="L171" s="2"/>
      <c r="M171" s="2"/>
      <c r="N171" s="2"/>
      <c r="O171" s="2"/>
    </row>
    <row r="172" spans="4:15" x14ac:dyDescent="0.25">
      <c r="D172" s="1" t="s">
        <v>138</v>
      </c>
      <c r="E172" s="119">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19</v>
      </c>
      <c r="L172" s="2"/>
      <c r="M172" s="2"/>
      <c r="N172" s="2"/>
      <c r="O172" s="2"/>
    </row>
    <row r="173" spans="4:15" x14ac:dyDescent="0.25">
      <c r="D173" s="1" t="s">
        <v>267</v>
      </c>
      <c r="E173" s="119">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19</v>
      </c>
      <c r="L173" s="2"/>
      <c r="M173" s="2"/>
      <c r="N173" s="2"/>
      <c r="O173" s="2"/>
    </row>
    <row r="174" spans="4:15" x14ac:dyDescent="0.25">
      <c r="L174" s="2"/>
      <c r="M174" s="2"/>
      <c r="N174" s="2"/>
      <c r="O174" s="2"/>
    </row>
    <row r="176" spans="4:15" x14ac:dyDescent="0.25">
      <c r="D176" s="1" t="s">
        <v>326</v>
      </c>
      <c r="E176" s="39" t="s">
        <v>331</v>
      </c>
      <c r="F176" s="2" t="s">
        <v>11</v>
      </c>
      <c r="L176" s="2"/>
      <c r="M176" s="2"/>
      <c r="N176" s="2"/>
      <c r="O176" s="2"/>
    </row>
    <row r="177" spans="5:6" x14ac:dyDescent="0.25">
      <c r="E177" s="39" t="s">
        <v>121</v>
      </c>
      <c r="F177" s="2" t="s">
        <v>11</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6"/>
    </row>
  </sheetData>
  <conditionalFormatting sqref="I106:O107">
    <cfRule type="cellIs" dxfId="12" priority="4" operator="lessThan">
      <formula>0</formula>
    </cfRule>
  </conditionalFormatting>
  <conditionalFormatting sqref="I123:O123">
    <cfRule type="cellIs" dxfId="11" priority="9" operator="lessThan">
      <formula>0</formula>
    </cfRule>
  </conditionalFormatting>
  <conditionalFormatting sqref="E102:O102 I122:O122 L165:O167 L169:O169 L171:O174 L176:O176 L199:O199 L202:O202 L207:O210 L212:O212 L214:O217 L219:O219 J223:J225 J228:J230 J243:K243 J248:K248 J253:K253 J258:K262 J264:K264 J266:K269 J271:K271 J277:K277 J282:K282 J287:K287 J292:K296 J298:K298 J300:K303 J305:K305">
    <cfRule type="cellIs" dxfId="10" priority="32" operator="lessThan">
      <formula>0</formula>
    </cfRule>
  </conditionalFormatting>
  <conditionalFormatting sqref="F245:F246">
    <cfRule type="cellIs" dxfId="9" priority="23" operator="lessThan">
      <formula>0</formula>
    </cfRule>
  </conditionalFormatting>
  <conditionalFormatting sqref="F250:F251">
    <cfRule type="cellIs" dxfId="8" priority="22" operator="lessThan">
      <formula>0</formula>
    </cfRule>
  </conditionalFormatting>
  <conditionalFormatting sqref="F255:F256">
    <cfRule type="cellIs" dxfId="7" priority="21" operator="lessThan">
      <formula>0</formula>
    </cfRule>
  </conditionalFormatting>
  <conditionalFormatting sqref="F279:F280">
    <cfRule type="cellIs" dxfId="6" priority="15" operator="lessThan">
      <formula>0</formula>
    </cfRule>
  </conditionalFormatting>
  <conditionalFormatting sqref="F284:F285">
    <cfRule type="cellIs" dxfId="5" priority="14" operator="lessThan">
      <formula>0</formula>
    </cfRule>
  </conditionalFormatting>
  <conditionalFormatting sqref="F289:F290">
    <cfRule type="cellIs" dxfId="4" priority="13" operator="lessThan">
      <formula>0</formula>
    </cfRule>
  </conditionalFormatting>
  <conditionalFormatting sqref="H116:O116 I117:O117">
    <cfRule type="cellIs" dxfId="3" priority="3"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81"/>
  <sheetViews>
    <sheetView showGridLines="0" tabSelected="1" topLeftCell="A153" zoomScaleNormal="100" workbookViewId="0">
      <selection activeCell="V172" sqref="V172"/>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8" t="e" vm="1">
        <v>#VALUE!</v>
      </c>
      <c r="C1" s="8" t="s">
        <v>164</v>
      </c>
    </row>
    <row r="2" spans="1:35" s="9" customFormat="1" ht="20.100000000000001" customHeight="1" x14ac:dyDescent="0.25"/>
    <row r="3" spans="1:35" ht="20.100000000000001" customHeight="1" x14ac:dyDescent="0.25">
      <c r="A3" s="17" t="str">
        <f>HYPERLINK("#'Home'!A1", "Home")</f>
        <v>Home</v>
      </c>
      <c r="C3" s="4"/>
      <c r="D3" s="4" t="s">
        <v>108</v>
      </c>
      <c r="E3" s="4"/>
      <c r="F3" s="4"/>
      <c r="G3" s="4"/>
      <c r="H3" s="4"/>
      <c r="I3" s="4"/>
      <c r="J3" s="4"/>
      <c r="K3" s="4"/>
      <c r="L3" s="4"/>
      <c r="M3" s="4"/>
      <c r="N3" s="4"/>
      <c r="O3" s="4"/>
      <c r="P3" s="4"/>
      <c r="Q3" s="4"/>
      <c r="R3" s="4"/>
      <c r="T3" s="4"/>
      <c r="U3" s="4" t="s">
        <v>109</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3</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27</v>
      </c>
      <c r="E7" s="13" t="s">
        <v>349</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77</v>
      </c>
      <c r="D10" s="53" t="s">
        <v>30</v>
      </c>
      <c r="E10" s="1" t="str" cm="1">
        <f t="array" ref="E10">EntericMethane_PastureBeef_Equations.VEERG_3_2_1_1__4_AdditionalIntakeForMilkProduction_Variable()</f>
        <v>MA_jk45</v>
      </c>
    </row>
    <row r="11" spans="1:35" ht="20.100000000000001" customHeight="1" x14ac:dyDescent="0.25">
      <c r="A11" s="17" t="str">
        <f>HYPERLINK("#'4.2.1.1-2 Methane'!A1", "4.2.1.1-2 Methane")</f>
        <v>4.2.1.1-2 Methane</v>
      </c>
      <c r="D11" s="53" t="s">
        <v>20</v>
      </c>
      <c r="E11" s="54" t="str" cm="1">
        <f t="array" ref="E11">EntericMethane_PastureBeef_Equations.VEERG_3_2_1_1__4_AdditionalIntakeForMilkProduction_Unit()</f>
        <v>fraction</v>
      </c>
    </row>
    <row r="12" spans="1:35" ht="20.100000000000001" customHeight="1" x14ac:dyDescent="0.25">
      <c r="A12" s="17" t="str">
        <f>HYPERLINK("#'4.2.1.3-4 Soil direct N2O'!A1", "4.2.1.3-4 Soil direct N2O")</f>
        <v>4.2.1.3-4 Soil direct N2O</v>
      </c>
    </row>
    <row r="13" spans="1:35" ht="20.100000000000001" customHeight="1" x14ac:dyDescent="0.25">
      <c r="A13" s="17" t="str">
        <f>HYPERLINK("#'4.2.1.5-6 Soil Atmos Dep'!A1", "4.2.1.5-6 Soil atm. deposition")</f>
        <v>4.2.1.5-6 Soil atm. deposition</v>
      </c>
      <c r="D13" s="57" t="str" cm="1">
        <f t="array" ref="D13:E16">EntericMethane_PastureBeef_Equations.VEERG_3_2_1_1__4_AdditionalIntakeForMilkProduction_ArgumentsVariation()</f>
        <v>LC_jk45</v>
      </c>
      <c r="E13" s="58" t="str">
        <v>proportion of cows greater than 1 year in calf in the season of calving expressed as a fraction</v>
      </c>
      <c r="F13" s="59"/>
      <c r="G13" s="58"/>
      <c r="H13" s="57" t="str">
        <f>"See " &amp; $D$19</f>
        <v>See M1_Table_LC_j_k-4-5</v>
      </c>
    </row>
    <row r="14" spans="1:35" ht="20.100000000000001" customHeight="1" x14ac:dyDescent="0.25">
      <c r="A14" s="17" t="str">
        <f>HYPERLINK("#'4.2.1.7-8 Soil leach runoff'!A1", "4.2.1.7-8 Soil leach &amp; runoff")</f>
        <v>4.2.1.7-8 Soil leach &amp; runoff</v>
      </c>
      <c r="D14" s="57" t="str">
        <v>FA_jk45calv</v>
      </c>
      <c r="E14" s="58" t="str">
        <v>feed adjustment value for lactating cows in the season of calving expressed as a fraction</v>
      </c>
      <c r="F14" s="59"/>
      <c r="G14" s="58"/>
      <c r="H14" s="57" cm="1">
        <f t="array" ref="H14">_xlfn.XLOOKUP(1, (Table_SourceData_PastureBeef_FeedIntakeAdjustment_Variation[Breed]=$H$16)*(Table_SourceData_PastureBeef_FeedIntakeAdjustment_Variation[Season]=+"Calving season"),Table_SourceData_PastureBeef_FeedIntakeAdjustment_Variation[Feed adjustment])</f>
        <v>1.3</v>
      </c>
    </row>
    <row r="15" spans="1:35" ht="20.100000000000001" customHeight="1" x14ac:dyDescent="0.25">
      <c r="A15" s="17"/>
      <c r="D15" s="57" t="str">
        <v>FA_jk45after</v>
      </c>
      <c r="E15" s="58" t="str">
        <v>feed adjustment value for lactating cows in the season immediately after calving expressed as a fraction</v>
      </c>
      <c r="F15" s="100"/>
      <c r="G15" s="100"/>
      <c r="H15" s="57" cm="1">
        <f t="array" ref="H15">_xlfn.XLOOKUP(1, (Table_SourceData_PastureBeef_FeedIntakeAdjustment_Variation[Breed]=$H$16)*(Table_SourceData_PastureBeef_FeedIntakeAdjustment_Variation[Season]=+"Season after calving"),Table_SourceData_PastureBeef_FeedIntakeAdjustment_Variation[Feed adjustment])</f>
        <v>1.1000000000000001</v>
      </c>
    </row>
    <row r="16" spans="1:35" ht="20.100000000000001" customHeight="1" x14ac:dyDescent="0.25">
      <c r="A16" s="18" t="s">
        <v>4</v>
      </c>
      <c r="D16" s="57" t="str">
        <v>b</v>
      </c>
      <c r="E16" s="58" t="str">
        <v>breed of cattle</v>
      </c>
      <c r="F16" s="100"/>
      <c r="G16" s="59"/>
      <c r="H16" s="57" t="str">
        <f>'Input - Pasture Beef'!$E$9</f>
        <v>Hereford or Shorthorn breeds</v>
      </c>
    </row>
    <row r="17" spans="1:34" ht="20.100000000000001" customHeight="1" x14ac:dyDescent="0.25">
      <c r="A17" s="17" t="str">
        <f>HYPERLINK("#'Constants - Pasture Beef'!A1", "Constants - Pasture Beef")</f>
        <v>Constants - Pasture Beef</v>
      </c>
    </row>
    <row r="18" spans="1:34" ht="20.100000000000001" customHeight="1" x14ac:dyDescent="0.25">
      <c r="A18" s="17" t="str">
        <f>HYPERLINK("#'Constants - Livestock'!A1", "Constants - Livestock")</f>
        <v>Constants - Livestock</v>
      </c>
    </row>
    <row r="19" spans="1:34" ht="20.100000000000001" customHeight="1" x14ac:dyDescent="0.25">
      <c r="A19" s="17" t="str">
        <f>HYPERLINK("#'Constants - Common'!A1", "Constants - Common")</f>
        <v>Constants - Common</v>
      </c>
      <c r="D19" s="99" t="s">
        <v>230</v>
      </c>
      <c r="U19" s="99" t="s">
        <v>250</v>
      </c>
    </row>
    <row r="20" spans="1:34" ht="20.100000000000001" customHeight="1" x14ac:dyDescent="0.25">
      <c r="A20" s="17" t="str">
        <f>HYPERLINK("#'Acknowledgements'!A1", "Acknowledgements")</f>
        <v>Acknowledgements</v>
      </c>
      <c r="D20" s="98" t="s">
        <v>254</v>
      </c>
      <c r="U20" s="98" t="s">
        <v>251</v>
      </c>
    </row>
    <row r="21" spans="1:34" ht="20.100000000000001" customHeight="1" x14ac:dyDescent="0.25">
      <c r="D21" s="51" t="s">
        <v>184</v>
      </c>
      <c r="E21" s="51" t="s">
        <v>166</v>
      </c>
      <c r="F21" s="51" t="s">
        <v>167</v>
      </c>
      <c r="G21" s="51" t="s">
        <v>168</v>
      </c>
      <c r="U21" s="51" t="s">
        <v>132</v>
      </c>
      <c r="V21" s="51" t="s">
        <v>166</v>
      </c>
      <c r="W21" s="51" t="s">
        <v>167</v>
      </c>
      <c r="X21" s="51" t="s">
        <v>168</v>
      </c>
    </row>
    <row r="22" spans="1:34" ht="20.100000000000001" customHeight="1" x14ac:dyDescent="0.25">
      <c r="A22" s="17"/>
      <c r="D22" s="52" t="str">
        <f>'Input - Pasture Beef'!$E$104</f>
        <v>Winter</v>
      </c>
      <c r="E22" s="52">
        <f>'Input - Pasture Beef'!$E$107</f>
        <v>0.9</v>
      </c>
      <c r="F22" s="52">
        <f>'Input - Pasture Beef'!$F$107</f>
        <v>0.5</v>
      </c>
      <c r="G22" s="52">
        <f>'Input - Pasture Beef'!$G$107</f>
        <v>0.5</v>
      </c>
      <c r="H22" s="2" t="s">
        <v>100</v>
      </c>
      <c r="U22" s="52" t="str">
        <f>TEXT(EDATE('Input - Pasture Beef'!$D$117,0), "mmmm") &amp; ", " &amp; TEXT(EDATE('Input - Pasture Beef'!$D$118,0), "mmmm") &amp; ", " &amp; TEXT(EDATE('Input - Pasture Beef'!$D$119,0), "mmmm")</f>
        <v>August, September, October</v>
      </c>
      <c r="V22" s="52">
        <f>'Input - Pasture Beef'!$E$120</f>
        <v>0.75</v>
      </c>
      <c r="W22" s="52">
        <f>'Input - Pasture Beef'!$F$120</f>
        <v>0.75</v>
      </c>
      <c r="X22" s="52">
        <f>'Input - Pasture Beef'!$G$120</f>
        <v>0.75</v>
      </c>
      <c r="Y22" s="2" t="s">
        <v>100</v>
      </c>
    </row>
    <row r="23" spans="1:34" ht="20.100000000000001" customHeight="1" x14ac:dyDescent="0.25">
      <c r="A23" s="17"/>
      <c r="U23" s="52" t="str">
        <f>TEXT(EDATE('Input - Pasture Beef'!$D$119,1), "mmmm") &amp; ", " &amp; TEXT(EDATE('Input - Pasture Beef'!$D$119,2), "mmmm") &amp; ", " &amp; TEXT(EDATE('Input - Pasture Beef'!$D$119,3), "mmmm")</f>
        <v>November, December, January</v>
      </c>
      <c r="Y23" s="2"/>
    </row>
    <row r="24" spans="1:34" ht="20.100000000000001" customHeight="1" x14ac:dyDescent="0.25">
      <c r="Y24" s="2"/>
    </row>
    <row r="25" spans="1:34" ht="20.100000000000001" customHeight="1" x14ac:dyDescent="0.25">
      <c r="U25" s="99" t="s">
        <v>252</v>
      </c>
    </row>
    <row r="26" spans="1:34" ht="20.100000000000001" customHeight="1" x14ac:dyDescent="0.25">
      <c r="U26" s="98" t="s">
        <v>253</v>
      </c>
    </row>
    <row r="27" spans="1:34" ht="20.100000000000001" customHeight="1" x14ac:dyDescent="0.25">
      <c r="D27" s="99" t="s">
        <v>240</v>
      </c>
      <c r="U27" s="51" t="s">
        <v>132</v>
      </c>
      <c r="V27" s="51" t="s">
        <v>247</v>
      </c>
      <c r="W27" s="51" t="s">
        <v>345</v>
      </c>
      <c r="X27" s="51" t="s">
        <v>131</v>
      </c>
      <c r="Y27" s="51" t="s">
        <v>130</v>
      </c>
      <c r="Z27" s="51" t="s">
        <v>165</v>
      </c>
      <c r="AA27" s="51" t="s">
        <v>166</v>
      </c>
      <c r="AB27" s="51" t="s">
        <v>167</v>
      </c>
      <c r="AC27" s="51" t="s">
        <v>168</v>
      </c>
      <c r="AD27" s="51" t="s">
        <v>169</v>
      </c>
      <c r="AE27" s="51" t="s">
        <v>170</v>
      </c>
      <c r="AF27" s="51" t="s">
        <v>171</v>
      </c>
    </row>
    <row r="28" spans="1:34" ht="20.100000000000001" customHeight="1" x14ac:dyDescent="0.25">
      <c r="D28" s="98" t="s">
        <v>241</v>
      </c>
      <c r="U28" s="52" t="str">
        <f>TEXT('Input - Site'!$E$12,"mmmm")</f>
        <v>January</v>
      </c>
      <c r="V28" s="52" t="str" cm="1">
        <f t="array" ref="V28">IFERROR(_xlfn.IFS(SUMPRODUCT(ISNUMBER(SEARCH(TRIM(_xlfn.TEXTSPLIT($U$22,",")),U28))*1)&gt;0,"Calving season",SUMPRODUCT(ISNUMBER(SEARCH(TRIM(_xlfn.TEXTSPLIT($U$23,",")),U28))*1)&gt;0,"Season after calving"), "")</f>
        <v>Season after calving</v>
      </c>
      <c r="W28" s="52" cm="1">
        <f t="array" ref="W28">_xlfn.IFS(V28="Calving season", $H$14, V28="Season after calving", $H$15, V28="", "")</f>
        <v>1.1000000000000001</v>
      </c>
      <c r="X28" s="52">
        <v>1</v>
      </c>
      <c r="Y28" s="52">
        <v>1</v>
      </c>
      <c r="Z28" s="52">
        <v>1</v>
      </c>
      <c r="AA28" s="52" cm="1">
        <f t="array" ref="AA28">IFERROR(EntericMethane_PastureBeef_Equations.VEERG_3_2_1_1__4_AdditionalIntakeForMilkProduction(V$22,$W28), 1)</f>
        <v>1.0750000000000002</v>
      </c>
      <c r="AB28" s="52" cm="1">
        <f t="array" ref="AB28">IFERROR(EntericMethane_PastureBeef_Equations.VEERG_3_2_1_1__4_AdditionalIntakeForMilkProduction(W$22,$W28), 1)</f>
        <v>1.0750000000000002</v>
      </c>
      <c r="AC28" s="52" cm="1">
        <f t="array" ref="AC28">IFERROR(EntericMethane_PastureBeef_Equations.VEERG_3_2_1_1__4_AdditionalIntakeForMilkProduction(X$22,$W28), 1)</f>
        <v>1.0750000000000002</v>
      </c>
      <c r="AD28" s="52">
        <v>1</v>
      </c>
      <c r="AE28" s="52">
        <v>1</v>
      </c>
      <c r="AF28" s="52">
        <v>1</v>
      </c>
    </row>
    <row r="29" spans="1:34" ht="20.100000000000001" customHeight="1" x14ac:dyDescent="0.25">
      <c r="D29" s="51" t="s">
        <v>184</v>
      </c>
      <c r="E29" s="51" t="s">
        <v>247</v>
      </c>
      <c r="F29" s="51" t="s">
        <v>345</v>
      </c>
      <c r="G29" s="51" t="s">
        <v>131</v>
      </c>
      <c r="H29" s="51" t="s">
        <v>130</v>
      </c>
      <c r="I29" s="51" t="s">
        <v>165</v>
      </c>
      <c r="J29" s="51" t="s">
        <v>166</v>
      </c>
      <c r="K29" s="51" t="s">
        <v>167</v>
      </c>
      <c r="L29" s="51" t="s">
        <v>168</v>
      </c>
      <c r="M29" s="51" t="s">
        <v>169</v>
      </c>
      <c r="N29" s="51" t="s">
        <v>170</v>
      </c>
      <c r="O29" s="51" t="s">
        <v>171</v>
      </c>
      <c r="P29" s="51" t="s">
        <v>172</v>
      </c>
      <c r="U29" s="52" t="str">
        <f>TEXT(EDATE('Input - Site'!$E$12,1), "mmmm")</f>
        <v>February</v>
      </c>
      <c r="V29" s="52" t="str" cm="1">
        <f t="array" ref="V29">IFERROR(_xlfn.IFS(SUMPRODUCT(ISNUMBER(SEARCH(TRIM(_xlfn.TEXTSPLIT($U$22,",")),U29))*1)&gt;0,"Calving season",SUMPRODUCT(ISNUMBER(SEARCH(TRIM(_xlfn.TEXTSPLIT($U$23,",")),U29))*1)&gt;0,"Season after calving"), "")</f>
        <v/>
      </c>
      <c r="W29" s="52" t="str" cm="1">
        <f t="array" ref="W29">_xlfn.IFS(V29="Calving season", $H$14, V29="Season after calving", $H$15, V29="", "")</f>
        <v/>
      </c>
      <c r="X29" s="52">
        <v>1</v>
      </c>
      <c r="Y29" s="52">
        <v>1</v>
      </c>
      <c r="Z29" s="52">
        <v>1</v>
      </c>
      <c r="AA29" s="52" cm="1">
        <f t="array" ref="AA29">IFERROR(EntericMethane_PastureBeef_Equations.VEERG_3_2_1_1__4_AdditionalIntakeForMilkProduction(V$22,$W29), 1)</f>
        <v>1</v>
      </c>
      <c r="AB29" s="52" cm="1">
        <f t="array" ref="AB29">IFERROR(EntericMethane_PastureBeef_Equations.VEERG_3_2_1_1__4_AdditionalIntakeForMilkProduction(W$22,$W29), 1)</f>
        <v>1</v>
      </c>
      <c r="AC29" s="52" cm="1">
        <f t="array" ref="AC29">IFERROR(EntericMethane_PastureBeef_Equations.VEERG_3_2_1_1__4_AdditionalIntakeForMilkProduction(X$22,$W29), 1)</f>
        <v>1</v>
      </c>
      <c r="AD29" s="52">
        <v>1</v>
      </c>
      <c r="AE29" s="52">
        <v>1</v>
      </c>
      <c r="AF29" s="52">
        <v>1</v>
      </c>
      <c r="AG29" s="51" t="s">
        <v>172</v>
      </c>
    </row>
    <row r="30" spans="1:34" ht="20.100000000000001" customHeight="1" x14ac:dyDescent="0.25">
      <c r="D30" s="52" t="s">
        <v>173</v>
      </c>
      <c r="E30" s="52" t="str" cm="1">
        <f t="array" ref="E30">_xlfn.IFS(D22=D30, "Calving season", D22=D33, "Season after calving", D22=D31, "", D22=D32, "")</f>
        <v>Season after calving</v>
      </c>
      <c r="F30" s="52" cm="1">
        <f t="array" ref="F30">_xlfn.IFS(E30="Calving season", $H$14, E30="Season after calving", $H$15, E30="", "")</f>
        <v>1.1000000000000001</v>
      </c>
      <c r="G30" s="52">
        <v>1</v>
      </c>
      <c r="H30" s="52">
        <v>1</v>
      </c>
      <c r="I30" s="52">
        <v>1</v>
      </c>
      <c r="J30" s="52" cm="1">
        <f t="array" ref="J30">IFERROR(EntericMethane_PastureBeef_Equations.VEERG_3_2_1_1__4_AdditionalIntakeForMilkProduction(E$22,$F30), 1)</f>
        <v>1.0900000000000001</v>
      </c>
      <c r="K30" s="52" cm="1">
        <f t="array" ref="K30">IFERROR(EntericMethane_PastureBeef_Equations.VEERG_3_2_1_1__4_AdditionalIntakeForMilkProduction(F$22,$F30), 1)</f>
        <v>1.05</v>
      </c>
      <c r="L30" s="52" cm="1">
        <f t="array" ref="L30">IFERROR(EntericMethane_PastureBeef_Equations.VEERG_3_2_1_1__4_AdditionalIntakeForMilkProduction(G$22,$F30), 1)</f>
        <v>1.05</v>
      </c>
      <c r="M30" s="52">
        <v>1</v>
      </c>
      <c r="N30" s="52">
        <v>1</v>
      </c>
      <c r="O30" s="52">
        <v>1</v>
      </c>
      <c r="P30" s="52">
        <v>1</v>
      </c>
      <c r="Q30" s="2" t="str">
        <f>$E$11</f>
        <v>fraction</v>
      </c>
      <c r="U30" s="52" t="str">
        <f>TEXT(EDATE('Input - Site'!$E$12,2), "mmmm")</f>
        <v>March</v>
      </c>
      <c r="V30" s="52" t="str" cm="1">
        <f t="array" ref="V30">IFERROR(_xlfn.IFS(SUMPRODUCT(ISNUMBER(SEARCH(TRIM(_xlfn.TEXTSPLIT($U$22,",")),U30))*1)&gt;0,"Calving season",SUMPRODUCT(ISNUMBER(SEARCH(TRIM(_xlfn.TEXTSPLIT($U$23,",")),U30))*1)&gt;0,"Season after calving"), "")</f>
        <v/>
      </c>
      <c r="W30" s="52" t="str" cm="1">
        <f t="array" ref="W30">_xlfn.IFS(V30="Calving season", $H$14, V30="Season after calving", $H$15, V30="", "")</f>
        <v/>
      </c>
      <c r="X30" s="52">
        <v>1</v>
      </c>
      <c r="Y30" s="52">
        <v>1</v>
      </c>
      <c r="Z30" s="52">
        <v>1</v>
      </c>
      <c r="AA30" s="52" cm="1">
        <f t="array" ref="AA30">IFERROR(EntericMethane_PastureBeef_Equations.VEERG_3_2_1_1__4_AdditionalIntakeForMilkProduction(V$22,$W30), 1)</f>
        <v>1</v>
      </c>
      <c r="AB30" s="52" cm="1">
        <f t="array" ref="AB30">IFERROR(EntericMethane_PastureBeef_Equations.VEERG_3_2_1_1__4_AdditionalIntakeForMilkProduction(W$22,$W30), 1)</f>
        <v>1</v>
      </c>
      <c r="AC30" s="52" cm="1">
        <f t="array" ref="AC30">IFERROR(EntericMethane_PastureBeef_Equations.VEERG_3_2_1_1__4_AdditionalIntakeForMilkProduction(X$22,$W30), 1)</f>
        <v>1</v>
      </c>
      <c r="AD30" s="52">
        <v>1</v>
      </c>
      <c r="AE30" s="52">
        <v>1</v>
      </c>
      <c r="AF30" s="52">
        <v>1</v>
      </c>
      <c r="AG30" s="52">
        <v>1</v>
      </c>
      <c r="AH30" s="2" t="str">
        <f>$E$11</f>
        <v>fraction</v>
      </c>
    </row>
    <row r="31" spans="1:34" ht="20.100000000000001" customHeight="1" x14ac:dyDescent="0.25">
      <c r="D31" s="52" t="s">
        <v>174</v>
      </c>
      <c r="E31" s="52" t="str" cm="1">
        <f t="array" ref="E31">_xlfn.IFS(D22=D31, "Calving season", D22=D30, "Season after calving", D22=D32, "", D22=D33, "")</f>
        <v/>
      </c>
      <c r="F31" s="52" t="str" cm="1">
        <f t="array" ref="F31">_xlfn.IFS(E31="Calving season", $H$14, E31="Season after calving", $H$15, E31="", "")</f>
        <v/>
      </c>
      <c r="G31" s="52">
        <v>1</v>
      </c>
      <c r="H31" s="52">
        <v>1</v>
      </c>
      <c r="I31" s="52">
        <v>1</v>
      </c>
      <c r="J31" s="52" cm="1">
        <f t="array" ref="J31">IFERROR(EntericMethane_PastureBeef_Equations.VEERG_3_2_1_1__4_AdditionalIntakeForMilkProduction(E$22,$F31), 1)</f>
        <v>1</v>
      </c>
      <c r="K31" s="52" cm="1">
        <f t="array" ref="K31">IFERROR(EntericMethane_PastureBeef_Equations.VEERG_3_2_1_1__4_AdditionalIntakeForMilkProduction(F$22,$F31), 1)</f>
        <v>1</v>
      </c>
      <c r="L31" s="52" cm="1">
        <f t="array" ref="L31">IFERROR(EntericMethane_PastureBeef_Equations.VEERG_3_2_1_1__4_AdditionalIntakeForMilkProduction(G$22,$F31), 1)</f>
        <v>1</v>
      </c>
      <c r="M31" s="52">
        <v>1</v>
      </c>
      <c r="N31" s="52">
        <v>1</v>
      </c>
      <c r="O31" s="52">
        <v>1</v>
      </c>
      <c r="P31" s="52">
        <v>1</v>
      </c>
      <c r="Q31" s="2" t="str">
        <f t="shared" ref="Q31:Q33" si="0">$E$11</f>
        <v>fraction</v>
      </c>
      <c r="U31" s="52" t="str">
        <f>TEXT(EDATE('Input - Site'!$E$12,3), "mmmm")</f>
        <v>April</v>
      </c>
      <c r="V31" s="52" t="str" cm="1">
        <f t="array" ref="V31">IFERROR(_xlfn.IFS(SUMPRODUCT(ISNUMBER(SEARCH(TRIM(_xlfn.TEXTSPLIT($U$22,",")),U31))*1)&gt;0,"Calving season",SUMPRODUCT(ISNUMBER(SEARCH(TRIM(_xlfn.TEXTSPLIT($U$23,",")),U31))*1)&gt;0,"Season after calving"), "")</f>
        <v/>
      </c>
      <c r="W31" s="52" t="str" cm="1">
        <f t="array" ref="W31">_xlfn.IFS(V31="Calving season", $H$14, V31="Season after calving", $H$15, V31="", "")</f>
        <v/>
      </c>
      <c r="X31" s="52">
        <v>1</v>
      </c>
      <c r="Y31" s="52">
        <v>1</v>
      </c>
      <c r="Z31" s="52">
        <v>1</v>
      </c>
      <c r="AA31" s="52" cm="1">
        <f t="array" ref="AA31">IFERROR(EntericMethane_PastureBeef_Equations.VEERG_3_2_1_1__4_AdditionalIntakeForMilkProduction(V$22,$W31), 1)</f>
        <v>1</v>
      </c>
      <c r="AB31" s="52" cm="1">
        <f t="array" ref="AB31">IFERROR(EntericMethane_PastureBeef_Equations.VEERG_3_2_1_1__4_AdditionalIntakeForMilkProduction(W$22,$W31), 1)</f>
        <v>1</v>
      </c>
      <c r="AC31" s="52" cm="1">
        <f t="array" ref="AC31">IFERROR(EntericMethane_PastureBeef_Equations.VEERG_3_2_1_1__4_AdditionalIntakeForMilkProduction(X$22,$W31), 1)</f>
        <v>1</v>
      </c>
      <c r="AD31" s="52">
        <v>1</v>
      </c>
      <c r="AE31" s="52">
        <v>1</v>
      </c>
      <c r="AF31" s="52">
        <v>1</v>
      </c>
      <c r="AG31" s="52">
        <v>1</v>
      </c>
      <c r="AH31" s="2" t="str">
        <f t="shared" ref="AH31:AH41" si="1">$E$11</f>
        <v>fraction</v>
      </c>
    </row>
    <row r="32" spans="1:34" ht="20.100000000000001" customHeight="1" x14ac:dyDescent="0.25">
      <c r="D32" s="52" t="s">
        <v>175</v>
      </c>
      <c r="E32" s="52" t="str" cm="1">
        <f t="array" ref="E32">_xlfn.IFS(D22=D32, "Calving season", D22=D31, "Season after calving", D22=D33, "", D22=D30, "")</f>
        <v/>
      </c>
      <c r="F32" s="52" t="str" cm="1">
        <f t="array" ref="F32">_xlfn.IFS(E32="Calving season", $H$14, E32="Season after calving", $H$15, E32="", "")</f>
        <v/>
      </c>
      <c r="G32" s="52">
        <v>1</v>
      </c>
      <c r="H32" s="52">
        <v>1</v>
      </c>
      <c r="I32" s="52">
        <v>1</v>
      </c>
      <c r="J32" s="52" cm="1">
        <f t="array" ref="J32">IFERROR(EntericMethane_PastureBeef_Equations.VEERG_3_2_1_1__4_AdditionalIntakeForMilkProduction(E$22,$F32), 1)</f>
        <v>1</v>
      </c>
      <c r="K32" s="52" cm="1">
        <f t="array" ref="K32">IFERROR(EntericMethane_PastureBeef_Equations.VEERG_3_2_1_1__4_AdditionalIntakeForMilkProduction(F$22,$F32), 1)</f>
        <v>1</v>
      </c>
      <c r="L32" s="52" cm="1">
        <f t="array" ref="L32">IFERROR(EntericMethane_PastureBeef_Equations.VEERG_3_2_1_1__4_AdditionalIntakeForMilkProduction(G$22,$F32), 1)</f>
        <v>1</v>
      </c>
      <c r="M32" s="52">
        <v>1</v>
      </c>
      <c r="N32" s="52">
        <v>1</v>
      </c>
      <c r="O32" s="52">
        <v>1</v>
      </c>
      <c r="P32" s="52">
        <v>1</v>
      </c>
      <c r="Q32" s="2" t="str">
        <f t="shared" si="0"/>
        <v>fraction</v>
      </c>
      <c r="U32" s="52" t="str">
        <f>TEXT(EDATE('Input - Site'!$E$12,4), "mmmm")</f>
        <v>May</v>
      </c>
      <c r="V32" s="52" t="str" cm="1">
        <f t="array" ref="V32">IFERROR(_xlfn.IFS(SUMPRODUCT(ISNUMBER(SEARCH(TRIM(_xlfn.TEXTSPLIT($U$22,",")),U32))*1)&gt;0,"Calving season",SUMPRODUCT(ISNUMBER(SEARCH(TRIM(_xlfn.TEXTSPLIT($U$23,",")),U32))*1)&gt;0,"Season after calving"), "")</f>
        <v/>
      </c>
      <c r="W32" s="52" t="str" cm="1">
        <f t="array" ref="W32">_xlfn.IFS(V32="Calving season", $H$14, V32="Season after calving", $H$15, V32="", "")</f>
        <v/>
      </c>
      <c r="X32" s="52">
        <v>1</v>
      </c>
      <c r="Y32" s="52">
        <v>1</v>
      </c>
      <c r="Z32" s="52">
        <v>1</v>
      </c>
      <c r="AA32" s="52" cm="1">
        <f t="array" ref="AA32">IFERROR(EntericMethane_PastureBeef_Equations.VEERG_3_2_1_1__4_AdditionalIntakeForMilkProduction(V$22,$W32), 1)</f>
        <v>1</v>
      </c>
      <c r="AB32" s="52" cm="1">
        <f t="array" ref="AB32">IFERROR(EntericMethane_PastureBeef_Equations.VEERG_3_2_1_1__4_AdditionalIntakeForMilkProduction(W$22,$W32), 1)</f>
        <v>1</v>
      </c>
      <c r="AC32" s="52" cm="1">
        <f t="array" ref="AC32">IFERROR(EntericMethane_PastureBeef_Equations.VEERG_3_2_1_1__4_AdditionalIntakeForMilkProduction(X$22,$W32), 1)</f>
        <v>1</v>
      </c>
      <c r="AD32" s="52">
        <v>1</v>
      </c>
      <c r="AE32" s="52">
        <v>1</v>
      </c>
      <c r="AF32" s="52">
        <v>1</v>
      </c>
      <c r="AG32" s="52">
        <v>1</v>
      </c>
      <c r="AH32" s="2" t="str">
        <f t="shared" si="1"/>
        <v>fraction</v>
      </c>
    </row>
    <row r="33" spans="3:34" ht="20.100000000000001" customHeight="1" x14ac:dyDescent="0.25">
      <c r="D33" s="52" t="s">
        <v>176</v>
      </c>
      <c r="E33" s="52" t="str" cm="1">
        <f t="array" ref="E33">_xlfn.IFS(D22=D33, "Calving season", D22=D32, "Season after calving", D22=D30, "", D22=D31, "")</f>
        <v>Calving season</v>
      </c>
      <c r="F33" s="52" cm="1">
        <f t="array" ref="F33">_xlfn.IFS(E33="Calving season", $H$14, E33="Season after calving", $H$15, E33="", "")</f>
        <v>1.3</v>
      </c>
      <c r="G33" s="52">
        <v>1</v>
      </c>
      <c r="H33" s="52">
        <v>1</v>
      </c>
      <c r="I33" s="52">
        <v>1</v>
      </c>
      <c r="J33" s="52" cm="1">
        <f t="array" ref="J33">IFERROR(EntericMethane_PastureBeef_Equations.VEERG_3_2_1_1__4_AdditionalIntakeForMilkProduction(E$22,$F33), 1)</f>
        <v>1.27</v>
      </c>
      <c r="K33" s="52" cm="1">
        <f t="array" ref="K33">IFERROR(EntericMethane_PastureBeef_Equations.VEERG_3_2_1_1__4_AdditionalIntakeForMilkProduction(F$22,$F33), 1)</f>
        <v>1.1499999999999999</v>
      </c>
      <c r="L33" s="52" cm="1">
        <f t="array" ref="L33">IFERROR(EntericMethane_PastureBeef_Equations.VEERG_3_2_1_1__4_AdditionalIntakeForMilkProduction(G$22,$F33), 1)</f>
        <v>1.1499999999999999</v>
      </c>
      <c r="M33" s="52">
        <v>1</v>
      </c>
      <c r="N33" s="52">
        <v>1</v>
      </c>
      <c r="O33" s="52">
        <v>1</v>
      </c>
      <c r="P33" s="52">
        <v>1</v>
      </c>
      <c r="Q33" s="2" t="str">
        <f t="shared" si="0"/>
        <v>fraction</v>
      </c>
      <c r="U33" s="52" t="str">
        <f>TEXT(EDATE('Input - Site'!$E$12,5), "mmmm")</f>
        <v>June</v>
      </c>
      <c r="V33" s="52" t="str" cm="1">
        <f t="array" ref="V33">IFERROR(_xlfn.IFS(SUMPRODUCT(ISNUMBER(SEARCH(TRIM(_xlfn.TEXTSPLIT($U$22,",")),U33))*1)&gt;0,"Calving season",SUMPRODUCT(ISNUMBER(SEARCH(TRIM(_xlfn.TEXTSPLIT($U$23,",")),U33))*1)&gt;0,"Season after calving"), "")</f>
        <v/>
      </c>
      <c r="W33" s="52" t="str" cm="1">
        <f t="array" ref="W33">_xlfn.IFS(V33="Calving season", $H$14, V33="Season after calving", $H$15, V33="", "")</f>
        <v/>
      </c>
      <c r="X33" s="52">
        <v>1</v>
      </c>
      <c r="Y33" s="52">
        <v>1</v>
      </c>
      <c r="Z33" s="52">
        <v>1</v>
      </c>
      <c r="AA33" s="52" cm="1">
        <f t="array" ref="AA33">IFERROR(EntericMethane_PastureBeef_Equations.VEERG_3_2_1_1__4_AdditionalIntakeForMilkProduction(V$22,$W33), 1)</f>
        <v>1</v>
      </c>
      <c r="AB33" s="52" cm="1">
        <f t="array" ref="AB33">IFERROR(EntericMethane_PastureBeef_Equations.VEERG_3_2_1_1__4_AdditionalIntakeForMilkProduction(W$22,$W33), 1)</f>
        <v>1</v>
      </c>
      <c r="AC33" s="52" cm="1">
        <f t="array" ref="AC33">IFERROR(EntericMethane_PastureBeef_Equations.VEERG_3_2_1_1__4_AdditionalIntakeForMilkProduction(X$22,$W33), 1)</f>
        <v>1</v>
      </c>
      <c r="AD33" s="52">
        <v>1</v>
      </c>
      <c r="AE33" s="52">
        <v>1</v>
      </c>
      <c r="AF33" s="52">
        <v>1</v>
      </c>
      <c r="AG33" s="52">
        <v>1</v>
      </c>
      <c r="AH33" s="2" t="str">
        <f t="shared" si="1"/>
        <v>fraction</v>
      </c>
    </row>
    <row r="34" spans="3:34" ht="20.100000000000001" customHeight="1" x14ac:dyDescent="0.25">
      <c r="U34" s="52" t="str">
        <f>TEXT(EDATE('Input - Site'!$E$12,6), "mmmm")</f>
        <v>July</v>
      </c>
      <c r="V34" s="52" t="str" cm="1">
        <f t="array" ref="V34">IFERROR(_xlfn.IFS(SUMPRODUCT(ISNUMBER(SEARCH(TRIM(_xlfn.TEXTSPLIT($U$22,",")),U34))*1)&gt;0,"Calving season",SUMPRODUCT(ISNUMBER(SEARCH(TRIM(_xlfn.TEXTSPLIT($U$23,",")),U34))*1)&gt;0,"Season after calving"), "")</f>
        <v/>
      </c>
      <c r="W34" s="52" t="str" cm="1">
        <f t="array" ref="W34">_xlfn.IFS(V34="Calving season", $H$14, V34="Season after calving", $H$15, V34="", "")</f>
        <v/>
      </c>
      <c r="X34" s="52">
        <v>1</v>
      </c>
      <c r="Y34" s="52">
        <v>1</v>
      </c>
      <c r="Z34" s="52">
        <v>1</v>
      </c>
      <c r="AA34" s="52" cm="1">
        <f t="array" ref="AA34">IFERROR(EntericMethane_PastureBeef_Equations.VEERG_3_2_1_1__4_AdditionalIntakeForMilkProduction(V$22,$W34), 1)</f>
        <v>1</v>
      </c>
      <c r="AB34" s="52" cm="1">
        <f t="array" ref="AB34">IFERROR(EntericMethane_PastureBeef_Equations.VEERG_3_2_1_1__4_AdditionalIntakeForMilkProduction(W$22,$W34), 1)</f>
        <v>1</v>
      </c>
      <c r="AC34" s="52" cm="1">
        <f t="array" ref="AC34">IFERROR(EntericMethane_PastureBeef_Equations.VEERG_3_2_1_1__4_AdditionalIntakeForMilkProduction(X$22,$W34), 1)</f>
        <v>1</v>
      </c>
      <c r="AD34" s="52">
        <v>1</v>
      </c>
      <c r="AE34" s="52">
        <v>1</v>
      </c>
      <c r="AF34" s="52">
        <v>1</v>
      </c>
      <c r="AG34" s="52">
        <v>1</v>
      </c>
      <c r="AH34" s="2" t="str">
        <f t="shared" si="1"/>
        <v>fraction</v>
      </c>
    </row>
    <row r="35" spans="3:34" ht="20.100000000000001" customHeight="1" x14ac:dyDescent="0.25">
      <c r="U35" s="52" t="str">
        <f>TEXT(EDATE('Input - Site'!$E$12,7), "mmmm")</f>
        <v>August</v>
      </c>
      <c r="V35" s="52" t="str" cm="1">
        <f t="array" ref="V35">IFERROR(_xlfn.IFS(SUMPRODUCT(ISNUMBER(SEARCH(TRIM(_xlfn.TEXTSPLIT($U$22,",")),U35))*1)&gt;0,"Calving season",SUMPRODUCT(ISNUMBER(SEARCH(TRIM(_xlfn.TEXTSPLIT($U$23,",")),U35))*1)&gt;0,"Season after calving"), "")</f>
        <v>Calving season</v>
      </c>
      <c r="W35" s="52" cm="1">
        <f t="array" ref="W35">_xlfn.IFS(V35="Calving season", $H$14, V35="Season after calving", $H$15, V35="", "")</f>
        <v>1.3</v>
      </c>
      <c r="X35" s="52">
        <v>1</v>
      </c>
      <c r="Y35" s="52">
        <v>1</v>
      </c>
      <c r="Z35" s="52">
        <v>1</v>
      </c>
      <c r="AA35" s="52" cm="1">
        <f t="array" ref="AA35">IFERROR(EntericMethane_PastureBeef_Equations.VEERG_3_2_1_1__4_AdditionalIntakeForMilkProduction(V$22,$W35), 1)</f>
        <v>1.2250000000000001</v>
      </c>
      <c r="AB35" s="52" cm="1">
        <f t="array" ref="AB35">IFERROR(EntericMethane_PastureBeef_Equations.VEERG_3_2_1_1__4_AdditionalIntakeForMilkProduction(W$22,$W35), 1)</f>
        <v>1.2250000000000001</v>
      </c>
      <c r="AC35" s="52" cm="1">
        <f t="array" ref="AC35">IFERROR(EntericMethane_PastureBeef_Equations.VEERG_3_2_1_1__4_AdditionalIntakeForMilkProduction(X$22,$W35), 1)</f>
        <v>1.2250000000000001</v>
      </c>
      <c r="AD35" s="52">
        <v>1</v>
      </c>
      <c r="AE35" s="52">
        <v>1</v>
      </c>
      <c r="AF35" s="52">
        <v>1</v>
      </c>
      <c r="AG35" s="52">
        <v>1</v>
      </c>
      <c r="AH35" s="2" t="str">
        <f t="shared" si="1"/>
        <v>fraction</v>
      </c>
    </row>
    <row r="36" spans="3:34" ht="20.100000000000001" customHeight="1" x14ac:dyDescent="0.25">
      <c r="C36" s="45"/>
      <c r="D36" s="45"/>
      <c r="E36" s="45"/>
      <c r="F36" s="45"/>
      <c r="G36" s="45"/>
      <c r="H36" s="45"/>
      <c r="I36" s="45"/>
      <c r="J36" s="45"/>
      <c r="K36" s="45"/>
      <c r="L36" s="45"/>
      <c r="M36" s="45"/>
      <c r="N36" s="45"/>
      <c r="O36" s="45"/>
      <c r="P36" s="45"/>
      <c r="Q36" s="45"/>
      <c r="R36" s="45"/>
      <c r="U36" s="52" t="str">
        <f>TEXT(EDATE('Input - Site'!$E$12,8), "mmmm")</f>
        <v>September</v>
      </c>
      <c r="V36" s="52" t="str" cm="1">
        <f t="array" ref="V36">IFERROR(_xlfn.IFS(SUMPRODUCT(ISNUMBER(SEARCH(TRIM(_xlfn.TEXTSPLIT($U$22,",")),U36))*1)&gt;0,"Calving season",SUMPRODUCT(ISNUMBER(SEARCH(TRIM(_xlfn.TEXTSPLIT($U$23,",")),U36))*1)&gt;0,"Season after calving"), "")</f>
        <v>Calving season</v>
      </c>
      <c r="W36" s="52" cm="1">
        <f t="array" ref="W36">_xlfn.IFS(V36="Calving season", $H$14, V36="Season after calving", $H$15, V36="", "")</f>
        <v>1.3</v>
      </c>
      <c r="X36" s="52">
        <v>1</v>
      </c>
      <c r="Y36" s="52">
        <v>1</v>
      </c>
      <c r="Z36" s="52">
        <v>1</v>
      </c>
      <c r="AA36" s="52" cm="1">
        <f t="array" ref="AA36">IFERROR(EntericMethane_PastureBeef_Equations.VEERG_3_2_1_1__4_AdditionalIntakeForMilkProduction(V$22,$W36), 1)</f>
        <v>1.2250000000000001</v>
      </c>
      <c r="AB36" s="52" cm="1">
        <f t="array" ref="AB36">IFERROR(EntericMethane_PastureBeef_Equations.VEERG_3_2_1_1__4_AdditionalIntakeForMilkProduction(W$22,$W36), 1)</f>
        <v>1.2250000000000001</v>
      </c>
      <c r="AC36" s="52" cm="1">
        <f t="array" ref="AC36">IFERROR(EntericMethane_PastureBeef_Equations.VEERG_3_2_1_1__4_AdditionalIntakeForMilkProduction(X$22,$W36), 1)</f>
        <v>1.2250000000000001</v>
      </c>
      <c r="AD36" s="52">
        <v>1</v>
      </c>
      <c r="AE36" s="52">
        <v>1</v>
      </c>
      <c r="AF36" s="52">
        <v>1</v>
      </c>
      <c r="AG36" s="52">
        <v>1</v>
      </c>
      <c r="AH36" s="2" t="str">
        <f t="shared" si="1"/>
        <v>fraction</v>
      </c>
    </row>
    <row r="37" spans="3:34" ht="20.100000000000001" customHeight="1" x14ac:dyDescent="0.25">
      <c r="D37" s="6" t="str" cm="1">
        <f t="array" ref="D37">EntericMethane_PastureBeef_Equations.VEERG_3_2_1_1__3_FeedIntakeForGrazingBeef_Title()</f>
        <v>Feed intake for grazing beef cattle</v>
      </c>
      <c r="U37" s="52" t="str">
        <f>TEXT(EDATE('Input - Site'!$E$12,9), "mmmm")</f>
        <v>October</v>
      </c>
      <c r="V37" s="52" t="str" cm="1">
        <f t="array" ref="V37">IFERROR(_xlfn.IFS(SUMPRODUCT(ISNUMBER(SEARCH(TRIM(_xlfn.TEXTSPLIT($U$22,",")),U37))*1)&gt;0,"Calving season",SUMPRODUCT(ISNUMBER(SEARCH(TRIM(_xlfn.TEXTSPLIT($U$23,",")),U37))*1)&gt;0,"Season after calving"), "")</f>
        <v>Calving season</v>
      </c>
      <c r="W37" s="52" cm="1">
        <f t="array" ref="W37">_xlfn.IFS(V37="Calving season", $H$14, V37="Season after calving", $H$15, V37="", "")</f>
        <v>1.3</v>
      </c>
      <c r="X37" s="52">
        <v>1</v>
      </c>
      <c r="Y37" s="52">
        <v>1</v>
      </c>
      <c r="Z37" s="52">
        <v>1</v>
      </c>
      <c r="AA37" s="52" cm="1">
        <f t="array" ref="AA37">IFERROR(EntericMethane_PastureBeef_Equations.VEERG_3_2_1_1__4_AdditionalIntakeForMilkProduction(V$22,$W37), 1)</f>
        <v>1.2250000000000001</v>
      </c>
      <c r="AB37" s="52" cm="1">
        <f t="array" ref="AB37">IFERROR(EntericMethane_PastureBeef_Equations.VEERG_3_2_1_1__4_AdditionalIntakeForMilkProduction(W$22,$W37), 1)</f>
        <v>1.2250000000000001</v>
      </c>
      <c r="AC37" s="52" cm="1">
        <f t="array" ref="AC37">IFERROR(EntericMethane_PastureBeef_Equations.VEERG_3_2_1_1__4_AdditionalIntakeForMilkProduction(X$22,$W37), 1)</f>
        <v>1.2250000000000001</v>
      </c>
      <c r="AD37" s="52">
        <v>1</v>
      </c>
      <c r="AE37" s="52">
        <v>1</v>
      </c>
      <c r="AF37" s="52">
        <v>1</v>
      </c>
      <c r="AG37" s="52">
        <v>1</v>
      </c>
      <c r="AH37" s="2" t="str">
        <f t="shared" si="1"/>
        <v>fraction</v>
      </c>
    </row>
    <row r="38" spans="3:34" ht="20.100000000000001" customHeight="1" x14ac:dyDescent="0.25">
      <c r="D38" s="5" t="str" cm="1">
        <f t="array" ref="D38">EntericMethane_PastureBeef_Equations.VEERG_3_2_1_1__3_FeedIntakeForGrazingBeef_Source()</f>
        <v>VEERG 2026: 3.2.1.1, Equation (3)</v>
      </c>
      <c r="U38" s="52" t="str">
        <f>TEXT(EDATE('Input - Site'!$E$12,10), "mmmm")</f>
        <v>November</v>
      </c>
      <c r="V38" s="52" t="str" cm="1">
        <f t="array" ref="V38">IFERROR(_xlfn.IFS(SUMPRODUCT(ISNUMBER(SEARCH(TRIM(_xlfn.TEXTSPLIT($U$22,",")),U38))*1)&gt;0,"Calving season",SUMPRODUCT(ISNUMBER(SEARCH(TRIM(_xlfn.TEXTSPLIT($U$23,",")),U38))*1)&gt;0,"Season after calving"), "")</f>
        <v>Season after calving</v>
      </c>
      <c r="W38" s="52" cm="1">
        <f t="array" ref="W38">_xlfn.IFS(V38="Calving season", $H$14, V38="Season after calving", $H$15, V38="", "")</f>
        <v>1.1000000000000001</v>
      </c>
      <c r="X38" s="52">
        <v>1</v>
      </c>
      <c r="Y38" s="52">
        <v>1</v>
      </c>
      <c r="Z38" s="52">
        <v>1</v>
      </c>
      <c r="AA38" s="52" cm="1">
        <f t="array" ref="AA38">IFERROR(EntericMethane_PastureBeef_Equations.VEERG_3_2_1_1__4_AdditionalIntakeForMilkProduction(V$22,$W38), 1)</f>
        <v>1.0750000000000002</v>
      </c>
      <c r="AB38" s="52" cm="1">
        <f t="array" ref="AB38">IFERROR(EntericMethane_PastureBeef_Equations.VEERG_3_2_1_1__4_AdditionalIntakeForMilkProduction(W$22,$W38), 1)</f>
        <v>1.0750000000000002</v>
      </c>
      <c r="AC38" s="52" cm="1">
        <f t="array" ref="AC38">IFERROR(EntericMethane_PastureBeef_Equations.VEERG_3_2_1_1__4_AdditionalIntakeForMilkProduction(X$22,$W38), 1)</f>
        <v>1.0750000000000002</v>
      </c>
      <c r="AD38" s="52">
        <v>1</v>
      </c>
      <c r="AE38" s="52">
        <v>1</v>
      </c>
      <c r="AF38" s="52">
        <v>1</v>
      </c>
      <c r="AG38" s="52">
        <v>1</v>
      </c>
      <c r="AH38" s="2" t="str">
        <f t="shared" si="1"/>
        <v>fraction</v>
      </c>
    </row>
    <row r="39" spans="3:34" ht="20.100000000000001" customHeight="1" x14ac:dyDescent="0.25">
      <c r="D39" s="13" t="s">
        <v>27</v>
      </c>
      <c r="E39" s="13" t="str" cm="1">
        <f t="array" aca="1" ref="E39" ca="1">Common_InputFunctions.Utility_DisplayFunctionName($E$84)</f>
        <v>=EntericMethane_PastureBeef_Equations.VEERG_3_2_1_1__3_FeedIntakeForGrazingBeef</v>
      </c>
      <c r="U39" s="52" t="str">
        <f>TEXT(EDATE('Input - Site'!$E$12,11), "mmmm")</f>
        <v>December</v>
      </c>
      <c r="V39" s="52" t="str" cm="1">
        <f t="array" ref="V39">IFERROR(_xlfn.IFS(SUMPRODUCT(ISNUMBER(SEARCH(TRIM(_xlfn.TEXTSPLIT($U$22,",")),U39))*1)&gt;0,"Calving season",SUMPRODUCT(ISNUMBER(SEARCH(TRIM(_xlfn.TEXTSPLIT($U$23,",")),U39))*1)&gt;0,"Season after calving"), "")</f>
        <v>Season after calving</v>
      </c>
      <c r="W39" s="52" cm="1">
        <f t="array" ref="W39">_xlfn.IFS(V39="Calving season", $H$14, V39="Season after calving", $H$15, V39="", "")</f>
        <v>1.1000000000000001</v>
      </c>
      <c r="X39" s="52">
        <v>1</v>
      </c>
      <c r="Y39" s="52">
        <v>1</v>
      </c>
      <c r="Z39" s="52">
        <v>1</v>
      </c>
      <c r="AA39" s="52" cm="1">
        <f t="array" ref="AA39">IFERROR(EntericMethane_PastureBeef_Equations.VEERG_3_2_1_1__4_AdditionalIntakeForMilkProduction(V$22,$W39), 1)</f>
        <v>1.0750000000000002</v>
      </c>
      <c r="AB39" s="52" cm="1">
        <f t="array" ref="AB39">IFERROR(EntericMethane_PastureBeef_Equations.VEERG_3_2_1_1__4_AdditionalIntakeForMilkProduction(W$22,$W39), 1)</f>
        <v>1.0750000000000002</v>
      </c>
      <c r="AC39" s="52" cm="1">
        <f t="array" ref="AC39">IFERROR(EntericMethane_PastureBeef_Equations.VEERG_3_2_1_1__4_AdditionalIntakeForMilkProduction(X$22,$W39), 1)</f>
        <v>1.0750000000000002</v>
      </c>
      <c r="AD39" s="52">
        <v>1</v>
      </c>
      <c r="AE39" s="52">
        <v>1</v>
      </c>
      <c r="AF39" s="52">
        <v>1</v>
      </c>
      <c r="AG39" s="52">
        <v>1</v>
      </c>
      <c r="AH39" s="2" t="str">
        <f t="shared" si="1"/>
        <v>fraction</v>
      </c>
    </row>
    <row r="40" spans="3:34" ht="20.100000000000001" customHeight="1" x14ac:dyDescent="0.25">
      <c r="AG40" s="52">
        <v>1</v>
      </c>
      <c r="AH40" s="2" t="str">
        <f t="shared" si="1"/>
        <v>fraction</v>
      </c>
    </row>
    <row r="41" spans="3:34" ht="20.100000000000001" customHeight="1" x14ac:dyDescent="0.25">
      <c r="U41" s="99" t="s">
        <v>255</v>
      </c>
      <c r="AG41" s="52">
        <v>1</v>
      </c>
      <c r="AH41" s="2" t="str">
        <f t="shared" si="1"/>
        <v>fraction</v>
      </c>
    </row>
    <row r="42" spans="3:34" ht="20.100000000000001" customHeight="1" x14ac:dyDescent="0.25">
      <c r="D42" s="53" t="s">
        <v>30</v>
      </c>
      <c r="E42" s="1" t="str" cm="1">
        <f t="array" ref="E42">EntericMethane_PastureBeef_Equations.VEERG_3_2_1_1__3_FeedIntakeForGrazingBeef_Variable()</f>
        <v>I_jkl</v>
      </c>
      <c r="U42" s="98" t="s">
        <v>256</v>
      </c>
    </row>
    <row r="43" spans="3:34" ht="20.100000000000001" customHeight="1" x14ac:dyDescent="0.25">
      <c r="D43" s="53" t="s">
        <v>20</v>
      </c>
      <c r="E43" s="54" t="str" cm="1">
        <f t="array" ref="E43">EntericMethane_PastureBeef_Equations.VEERG_3_2_1_1__3_FeedIntakeForGrazingBeef_Unit()</f>
        <v>kg DM/head/day</v>
      </c>
      <c r="U43" s="51" t="s">
        <v>132</v>
      </c>
      <c r="V43" s="51" t="s">
        <v>131</v>
      </c>
      <c r="W43" s="51" t="s">
        <v>130</v>
      </c>
      <c r="X43" s="51" t="s">
        <v>165</v>
      </c>
      <c r="Y43" s="51" t="s">
        <v>166</v>
      </c>
      <c r="Z43" s="51" t="s">
        <v>167</v>
      </c>
      <c r="AA43" s="51" t="s">
        <v>168</v>
      </c>
      <c r="AB43" s="51" t="s">
        <v>169</v>
      </c>
      <c r="AC43" s="51" t="s">
        <v>170</v>
      </c>
      <c r="AD43" s="51" t="s">
        <v>171</v>
      </c>
      <c r="AE43" s="51" t="s">
        <v>172</v>
      </c>
      <c r="AF43" s="2"/>
    </row>
    <row r="44" spans="3:34" ht="20.100000000000001" customHeight="1" x14ac:dyDescent="0.25">
      <c r="U44" s="52" t="str">
        <f>TEXT('Input - Site'!$E$12, "mmmm yyyy")</f>
        <v>January 2024</v>
      </c>
      <c r="V44" s="52">
        <f>'Input - Pasture Beef'!E66</f>
        <v>380</v>
      </c>
      <c r="W44" s="52">
        <f>'Input - Pasture Beef'!F66</f>
        <v>780</v>
      </c>
      <c r="X44" s="52">
        <f>'Input - Pasture Beef'!G66</f>
        <v>300</v>
      </c>
      <c r="Y44" s="52">
        <f>'Input - Pasture Beef'!H66</f>
        <v>450</v>
      </c>
      <c r="Z44" s="52">
        <f>'Input - Pasture Beef'!I66</f>
        <v>530</v>
      </c>
      <c r="AA44" s="52">
        <f>'Input - Pasture Beef'!J66</f>
        <v>530</v>
      </c>
      <c r="AB44" s="52">
        <f>'Input - Pasture Beef'!K66</f>
        <v>340</v>
      </c>
      <c r="AC44" s="52">
        <f>'Input - Pasture Beef'!L66</f>
        <v>470</v>
      </c>
      <c r="AD44" s="52">
        <f>'Input - Pasture Beef'!M66</f>
        <v>470</v>
      </c>
      <c r="AE44" s="52">
        <f>'Input - Pasture Beef'!N66</f>
        <v>470</v>
      </c>
      <c r="AF44" s="2" t="s">
        <v>133</v>
      </c>
    </row>
    <row r="45" spans="3:34" ht="20.100000000000001" customHeight="1" x14ac:dyDescent="0.25">
      <c r="D45" s="57" t="str" cm="1">
        <f t="array" ref="D45:E47">EntericMethane_PastureBeef_Equations.VEERG_3_2_1_1__3_FeedIntakeForGrazingBeef_Arguments()</f>
        <v>W_jkl</v>
      </c>
      <c r="E45" s="58" t="str">
        <v>liveweight (kg)</v>
      </c>
      <c r="F45" s="59"/>
      <c r="G45" s="57" t="str">
        <f>"See " &amp; D49</f>
        <v>See M1_Table_LW_j_k_l</v>
      </c>
      <c r="U45" s="52" t="str">
        <f>TEXT(EDATE('Input - Site'!$E$12,1), "mmmm yyyy")</f>
        <v>February 2024</v>
      </c>
      <c r="V45" s="52">
        <f>'Input - Pasture Beef'!E67</f>
        <v>380</v>
      </c>
      <c r="W45" s="52">
        <f>'Input - Pasture Beef'!F67</f>
        <v>780</v>
      </c>
      <c r="X45" s="52">
        <f>'Input - Pasture Beef'!G67</f>
        <v>300</v>
      </c>
      <c r="Y45" s="52">
        <f>'Input - Pasture Beef'!H67</f>
        <v>450</v>
      </c>
      <c r="Z45" s="52">
        <f>'Input - Pasture Beef'!I67</f>
        <v>530</v>
      </c>
      <c r="AA45" s="52">
        <f>'Input - Pasture Beef'!J67</f>
        <v>530</v>
      </c>
      <c r="AB45" s="52">
        <f>'Input - Pasture Beef'!K67</f>
        <v>340</v>
      </c>
      <c r="AC45" s="52">
        <f>'Input - Pasture Beef'!L67</f>
        <v>470</v>
      </c>
      <c r="AD45" s="52">
        <f>'Input - Pasture Beef'!M67</f>
        <v>470</v>
      </c>
      <c r="AE45" s="52">
        <f>'Input - Pasture Beef'!N67</f>
        <v>470</v>
      </c>
      <c r="AF45" s="2" t="s">
        <v>133</v>
      </c>
    </row>
    <row r="46" spans="3:34" ht="20.100000000000001" customHeight="1" x14ac:dyDescent="0.25">
      <c r="D46" s="57" t="str">
        <v>LWG_jkl</v>
      </c>
      <c r="E46" s="58" t="str">
        <v>live weight gain (kg/head/day)</v>
      </c>
      <c r="F46" s="59"/>
      <c r="G46" s="57" t="str">
        <f>"See " &amp; D65</f>
        <v>See M1_Table_LWG_j_k_l</v>
      </c>
      <c r="U46" s="52" t="str">
        <f>TEXT(EDATE('Input - Site'!$E$12,2), "mmmm yyyy")</f>
        <v>March 2024</v>
      </c>
      <c r="V46" s="52">
        <f>'Input - Pasture Beef'!E68</f>
        <v>100</v>
      </c>
      <c r="W46" s="52">
        <f>'Input - Pasture Beef'!F68</f>
        <v>680</v>
      </c>
      <c r="X46" s="52">
        <f>'Input - Pasture Beef'!G68</f>
        <v>80</v>
      </c>
      <c r="Y46" s="52">
        <f>'Input - Pasture Beef'!H68</f>
        <v>320</v>
      </c>
      <c r="Z46" s="52">
        <f>'Input - Pasture Beef'!I68</f>
        <v>480</v>
      </c>
      <c r="AA46" s="52">
        <f>'Input - Pasture Beef'!J68</f>
        <v>480</v>
      </c>
      <c r="AB46" s="52">
        <f>'Input - Pasture Beef'!K68</f>
        <v>100</v>
      </c>
      <c r="AC46" s="52">
        <f>'Input - Pasture Beef'!L68</f>
        <v>340</v>
      </c>
      <c r="AD46" s="52">
        <f>'Input - Pasture Beef'!M68</f>
        <v>340</v>
      </c>
      <c r="AE46" s="52">
        <f>'Input - Pasture Beef'!N68</f>
        <v>340</v>
      </c>
      <c r="AF46" s="2" t="s">
        <v>133</v>
      </c>
    </row>
    <row r="47" spans="3:34" ht="20.100000000000001" customHeight="1" x14ac:dyDescent="0.25">
      <c r="D47" s="57" t="str">
        <v>MA_jk45</v>
      </c>
      <c r="E47" s="58" t="str">
        <v>additional intake for milk production in cows greater than 2 years (kg/head/day)</v>
      </c>
      <c r="F47" s="59"/>
      <c r="G47" s="57" t="str">
        <f>"See " &amp; D27</f>
        <v>See M1_Table_MA_j_k-4-5</v>
      </c>
      <c r="U47" s="52" t="str">
        <f>TEXT(EDATE('Input - Site'!$E$12,3), "mmmm yyyy")</f>
        <v>April 2024</v>
      </c>
      <c r="V47" s="52">
        <f>'Input - Pasture Beef'!E69</f>
        <v>100</v>
      </c>
      <c r="W47" s="52">
        <f>'Input - Pasture Beef'!F69</f>
        <v>680</v>
      </c>
      <c r="X47" s="52">
        <f>'Input - Pasture Beef'!G69</f>
        <v>80</v>
      </c>
      <c r="Y47" s="52">
        <f>'Input - Pasture Beef'!H69</f>
        <v>320</v>
      </c>
      <c r="Z47" s="52">
        <f>'Input - Pasture Beef'!I69</f>
        <v>480</v>
      </c>
      <c r="AA47" s="52">
        <f>'Input - Pasture Beef'!J69</f>
        <v>480</v>
      </c>
      <c r="AB47" s="52">
        <f>'Input - Pasture Beef'!K69</f>
        <v>100</v>
      </c>
      <c r="AC47" s="52">
        <f>'Input - Pasture Beef'!L69</f>
        <v>340</v>
      </c>
      <c r="AD47" s="52">
        <f>'Input - Pasture Beef'!M69</f>
        <v>340</v>
      </c>
      <c r="AE47" s="52">
        <f>'Input - Pasture Beef'!N69</f>
        <v>340</v>
      </c>
      <c r="AF47" s="2" t="s">
        <v>133</v>
      </c>
    </row>
    <row r="48" spans="3:34" ht="20.100000000000001" customHeight="1" x14ac:dyDescent="0.25">
      <c r="U48" s="52" t="str">
        <f>TEXT(EDATE('Input - Site'!$E$12,4), "mmmm yyyy")</f>
        <v>May 2024</v>
      </c>
      <c r="V48" s="52">
        <f>'Input - Pasture Beef'!E70</f>
        <v>100</v>
      </c>
      <c r="W48" s="52">
        <f>'Input - Pasture Beef'!F70</f>
        <v>680</v>
      </c>
      <c r="X48" s="52">
        <f>'Input - Pasture Beef'!G70</f>
        <v>80</v>
      </c>
      <c r="Y48" s="52">
        <f>'Input - Pasture Beef'!H70</f>
        <v>320</v>
      </c>
      <c r="Z48" s="52">
        <f>'Input - Pasture Beef'!I70</f>
        <v>480</v>
      </c>
      <c r="AA48" s="52">
        <f>'Input - Pasture Beef'!J70</f>
        <v>480</v>
      </c>
      <c r="AB48" s="52">
        <f>'Input - Pasture Beef'!K70</f>
        <v>100</v>
      </c>
      <c r="AC48" s="52">
        <f>'Input - Pasture Beef'!L70</f>
        <v>340</v>
      </c>
      <c r="AD48" s="52">
        <f>'Input - Pasture Beef'!M70</f>
        <v>340</v>
      </c>
      <c r="AE48" s="52">
        <f>'Input - Pasture Beef'!N70</f>
        <v>340</v>
      </c>
      <c r="AF48" s="2" t="s">
        <v>133</v>
      </c>
    </row>
    <row r="49" spans="4:34" ht="20.100000000000001" customHeight="1" x14ac:dyDescent="0.25">
      <c r="D49" s="99" t="s">
        <v>242</v>
      </c>
      <c r="U49" s="52" t="str">
        <f>TEXT(EDATE('Input - Site'!$E$12,5), "mmmm yyyy")</f>
        <v>June 2024</v>
      </c>
      <c r="V49" s="52">
        <f>'Input - Pasture Beef'!E71</f>
        <v>190</v>
      </c>
      <c r="W49" s="52">
        <f>'Input - Pasture Beef'!F71</f>
        <v>700</v>
      </c>
      <c r="X49" s="52">
        <f>'Input - Pasture Beef'!G71</f>
        <v>150</v>
      </c>
      <c r="Y49" s="52">
        <f>'Input - Pasture Beef'!H71</f>
        <v>330</v>
      </c>
      <c r="Z49" s="52">
        <f>'Input - Pasture Beef'!I71</f>
        <v>490</v>
      </c>
      <c r="AA49" s="52">
        <f>'Input - Pasture Beef'!J71</f>
        <v>490</v>
      </c>
      <c r="AB49" s="52">
        <f>'Input - Pasture Beef'!K71</f>
        <v>170</v>
      </c>
      <c r="AC49" s="52">
        <f>'Input - Pasture Beef'!L71</f>
        <v>360</v>
      </c>
      <c r="AD49" s="52">
        <f>'Input - Pasture Beef'!M71</f>
        <v>360</v>
      </c>
      <c r="AE49" s="52">
        <f>'Input - Pasture Beef'!N71</f>
        <v>360</v>
      </c>
      <c r="AF49" s="2" t="s">
        <v>133</v>
      </c>
    </row>
    <row r="50" spans="4:34" ht="20.100000000000001" customHeight="1" x14ac:dyDescent="0.25">
      <c r="D50" s="98" t="s">
        <v>245</v>
      </c>
      <c r="U50" s="52" t="str">
        <f>TEXT(EDATE('Input - Site'!$E$12,6), "mmmm yyyy")</f>
        <v>July 2024</v>
      </c>
      <c r="V50" s="52">
        <f>'Input - Pasture Beef'!E72</f>
        <v>190</v>
      </c>
      <c r="W50" s="52">
        <f>'Input - Pasture Beef'!F72</f>
        <v>700</v>
      </c>
      <c r="X50" s="52">
        <f>'Input - Pasture Beef'!G72</f>
        <v>150</v>
      </c>
      <c r="Y50" s="52">
        <f>'Input - Pasture Beef'!H72</f>
        <v>330</v>
      </c>
      <c r="Z50" s="52">
        <f>'Input - Pasture Beef'!I72</f>
        <v>490</v>
      </c>
      <c r="AA50" s="52">
        <f>'Input - Pasture Beef'!J72</f>
        <v>490</v>
      </c>
      <c r="AB50" s="52">
        <f>'Input - Pasture Beef'!K72</f>
        <v>170</v>
      </c>
      <c r="AC50" s="52">
        <f>'Input - Pasture Beef'!L72</f>
        <v>360</v>
      </c>
      <c r="AD50" s="52">
        <f>'Input - Pasture Beef'!M72</f>
        <v>360</v>
      </c>
      <c r="AE50" s="52">
        <f>'Input - Pasture Beef'!N72</f>
        <v>360</v>
      </c>
      <c r="AF50" s="2" t="s">
        <v>133</v>
      </c>
    </row>
    <row r="51" spans="4:34" ht="20.100000000000001" customHeight="1" x14ac:dyDescent="0.25">
      <c r="D51" s="51" t="s">
        <v>184</v>
      </c>
      <c r="E51" s="51" t="s">
        <v>131</v>
      </c>
      <c r="F51" s="51" t="s">
        <v>130</v>
      </c>
      <c r="G51" s="51" t="s">
        <v>165</v>
      </c>
      <c r="H51" s="51" t="s">
        <v>166</v>
      </c>
      <c r="I51" s="51" t="s">
        <v>167</v>
      </c>
      <c r="J51" s="51" t="s">
        <v>168</v>
      </c>
      <c r="K51" s="51" t="s">
        <v>169</v>
      </c>
      <c r="L51" s="51" t="s">
        <v>170</v>
      </c>
      <c r="M51" s="51" t="s">
        <v>171</v>
      </c>
      <c r="N51" s="51" t="s">
        <v>172</v>
      </c>
      <c r="U51" s="52" t="str">
        <f>TEXT(EDATE('Input - Site'!$E$12,7), "mmmm yyyy")</f>
        <v>August 2024</v>
      </c>
      <c r="V51" s="52">
        <f>'Input - Pasture Beef'!E73</f>
        <v>190</v>
      </c>
      <c r="W51" s="52">
        <f>'Input - Pasture Beef'!F73</f>
        <v>700</v>
      </c>
      <c r="X51" s="52">
        <f>'Input - Pasture Beef'!G73</f>
        <v>150</v>
      </c>
      <c r="Y51" s="52">
        <f>'Input - Pasture Beef'!H73</f>
        <v>330</v>
      </c>
      <c r="Z51" s="52">
        <f>'Input - Pasture Beef'!I73</f>
        <v>490</v>
      </c>
      <c r="AA51" s="52">
        <f>'Input - Pasture Beef'!J73</f>
        <v>490</v>
      </c>
      <c r="AB51" s="52">
        <f>'Input - Pasture Beef'!K73</f>
        <v>170</v>
      </c>
      <c r="AC51" s="52">
        <f>'Input - Pasture Beef'!L73</f>
        <v>360</v>
      </c>
      <c r="AD51" s="52">
        <f>'Input - Pasture Beef'!M73</f>
        <v>360</v>
      </c>
      <c r="AE51" s="52">
        <f>'Input - Pasture Beef'!N73</f>
        <v>360</v>
      </c>
      <c r="AF51" s="2" t="s">
        <v>133</v>
      </c>
      <c r="AG51" s="2"/>
      <c r="AH51" s="2"/>
    </row>
    <row r="52" spans="4:34" ht="20.100000000000001" customHeight="1" x14ac:dyDescent="0.25">
      <c r="D52" s="52" t="str">
        <f>'Input - Pasture Beef'!D60</f>
        <v>Spring</v>
      </c>
      <c r="E52" s="52">
        <f>'Input - Pasture Beef'!E60</f>
        <v>340</v>
      </c>
      <c r="F52" s="52">
        <f>'Input - Pasture Beef'!F60</f>
        <v>800</v>
      </c>
      <c r="G52" s="52">
        <f>'Input - Pasture Beef'!G60</f>
        <v>260</v>
      </c>
      <c r="H52" s="52">
        <f>'Input - Pasture Beef'!H60</f>
        <v>420</v>
      </c>
      <c r="I52" s="52">
        <f>'Input - Pasture Beef'!I60</f>
        <v>550</v>
      </c>
      <c r="J52" s="52">
        <f>'Input - Pasture Beef'!J60</f>
        <v>550</v>
      </c>
      <c r="K52" s="52">
        <f>'Input - Pasture Beef'!K60</f>
        <v>300</v>
      </c>
      <c r="L52" s="52">
        <f>'Input - Pasture Beef'!L60</f>
        <v>480</v>
      </c>
      <c r="M52" s="52">
        <f>'Input - Pasture Beef'!M60</f>
        <v>480</v>
      </c>
      <c r="N52" s="52">
        <f>'Input - Pasture Beef'!N60</f>
        <v>480</v>
      </c>
      <c r="O52" s="2" t="s">
        <v>133</v>
      </c>
      <c r="P52" s="2"/>
      <c r="Q52" s="2"/>
      <c r="U52" s="52" t="str">
        <f>TEXT(EDATE('Input - Site'!$E$12,8), "mmmm yyyy")</f>
        <v>September 2024</v>
      </c>
      <c r="V52" s="52">
        <f>'Input - Pasture Beef'!E74</f>
        <v>340</v>
      </c>
      <c r="W52" s="52">
        <f>'Input - Pasture Beef'!F74</f>
        <v>800</v>
      </c>
      <c r="X52" s="52">
        <f>'Input - Pasture Beef'!G74</f>
        <v>260</v>
      </c>
      <c r="Y52" s="52">
        <f>'Input - Pasture Beef'!H74</f>
        <v>420</v>
      </c>
      <c r="Z52" s="52">
        <f>'Input - Pasture Beef'!I74</f>
        <v>550</v>
      </c>
      <c r="AA52" s="52">
        <f>'Input - Pasture Beef'!J74</f>
        <v>550</v>
      </c>
      <c r="AB52" s="52">
        <f>'Input - Pasture Beef'!K74</f>
        <v>300</v>
      </c>
      <c r="AC52" s="52">
        <f>'Input - Pasture Beef'!L74</f>
        <v>480</v>
      </c>
      <c r="AD52" s="52">
        <f>'Input - Pasture Beef'!M74</f>
        <v>480</v>
      </c>
      <c r="AE52" s="52">
        <f>'Input - Pasture Beef'!N74</f>
        <v>480</v>
      </c>
      <c r="AF52" s="2" t="s">
        <v>133</v>
      </c>
      <c r="AG52" s="2"/>
      <c r="AH52" s="2"/>
    </row>
    <row r="53" spans="4:34" ht="20.100000000000001" customHeight="1" x14ac:dyDescent="0.25">
      <c r="D53" s="52" t="str">
        <f>'Input - Pasture Beef'!D61</f>
        <v>Summer</v>
      </c>
      <c r="E53" s="52">
        <f>'Input - Pasture Beef'!E61</f>
        <v>380</v>
      </c>
      <c r="F53" s="52">
        <f>'Input - Pasture Beef'!F61</f>
        <v>780</v>
      </c>
      <c r="G53" s="52">
        <f>'Input - Pasture Beef'!G61</f>
        <v>300</v>
      </c>
      <c r="H53" s="52">
        <f>'Input - Pasture Beef'!H61</f>
        <v>450</v>
      </c>
      <c r="I53" s="52">
        <f>'Input - Pasture Beef'!I61</f>
        <v>530</v>
      </c>
      <c r="J53" s="52">
        <f>'Input - Pasture Beef'!J61</f>
        <v>530</v>
      </c>
      <c r="K53" s="52">
        <f>'Input - Pasture Beef'!K61</f>
        <v>340</v>
      </c>
      <c r="L53" s="52">
        <f>'Input - Pasture Beef'!L61</f>
        <v>470</v>
      </c>
      <c r="M53" s="52">
        <f>'Input - Pasture Beef'!M61</f>
        <v>470</v>
      </c>
      <c r="N53" s="52">
        <f>'Input - Pasture Beef'!N61</f>
        <v>470</v>
      </c>
      <c r="O53" s="2" t="s">
        <v>133</v>
      </c>
      <c r="P53" s="2"/>
      <c r="Q53" s="2"/>
      <c r="U53" s="52" t="str">
        <f>TEXT(EDATE('Input - Site'!$E$12,9), "mmmm yyyy")</f>
        <v>October 2024</v>
      </c>
      <c r="V53" s="52">
        <f>'Input - Pasture Beef'!E75</f>
        <v>340</v>
      </c>
      <c r="W53" s="52">
        <f>'Input - Pasture Beef'!F75</f>
        <v>800</v>
      </c>
      <c r="X53" s="52">
        <f>'Input - Pasture Beef'!G75</f>
        <v>260</v>
      </c>
      <c r="Y53" s="52">
        <f>'Input - Pasture Beef'!H75</f>
        <v>420</v>
      </c>
      <c r="Z53" s="52">
        <f>'Input - Pasture Beef'!I75</f>
        <v>550</v>
      </c>
      <c r="AA53" s="52">
        <f>'Input - Pasture Beef'!J75</f>
        <v>550</v>
      </c>
      <c r="AB53" s="52">
        <f>'Input - Pasture Beef'!K75</f>
        <v>300</v>
      </c>
      <c r="AC53" s="52">
        <f>'Input - Pasture Beef'!L75</f>
        <v>480</v>
      </c>
      <c r="AD53" s="52">
        <f>'Input - Pasture Beef'!M75</f>
        <v>480</v>
      </c>
      <c r="AE53" s="52">
        <f>'Input - Pasture Beef'!N75</f>
        <v>480</v>
      </c>
      <c r="AF53" s="2" t="s">
        <v>133</v>
      </c>
      <c r="AG53" s="2"/>
      <c r="AH53" s="2"/>
    </row>
    <row r="54" spans="4:34" ht="20.100000000000001" customHeight="1" x14ac:dyDescent="0.25">
      <c r="D54" s="52" t="str">
        <f>'Input - Pasture Beef'!D62</f>
        <v>Autumn</v>
      </c>
      <c r="E54" s="52">
        <f>'Input - Pasture Beef'!E62</f>
        <v>100</v>
      </c>
      <c r="F54" s="52">
        <f>'Input - Pasture Beef'!F62</f>
        <v>680</v>
      </c>
      <c r="G54" s="52">
        <f>'Input - Pasture Beef'!G62</f>
        <v>80</v>
      </c>
      <c r="H54" s="52">
        <f>'Input - Pasture Beef'!H62</f>
        <v>320</v>
      </c>
      <c r="I54" s="52">
        <f>'Input - Pasture Beef'!I62</f>
        <v>480</v>
      </c>
      <c r="J54" s="52">
        <f>'Input - Pasture Beef'!J62</f>
        <v>480</v>
      </c>
      <c r="K54" s="52">
        <f>'Input - Pasture Beef'!K62</f>
        <v>100</v>
      </c>
      <c r="L54" s="52">
        <f>'Input - Pasture Beef'!L62</f>
        <v>340</v>
      </c>
      <c r="M54" s="52">
        <f>'Input - Pasture Beef'!M62</f>
        <v>340</v>
      </c>
      <c r="N54" s="52">
        <f>'Input - Pasture Beef'!N62</f>
        <v>340</v>
      </c>
      <c r="O54" s="2" t="s">
        <v>133</v>
      </c>
      <c r="P54" s="2"/>
      <c r="Q54" s="2"/>
      <c r="U54" s="52" t="str">
        <f>TEXT(EDATE('Input - Site'!$E$12,10), "mmmm yyyy")</f>
        <v>November 2024</v>
      </c>
      <c r="V54" s="52">
        <f>'Input - Pasture Beef'!E76</f>
        <v>340</v>
      </c>
      <c r="W54" s="52">
        <f>'Input - Pasture Beef'!F76</f>
        <v>800</v>
      </c>
      <c r="X54" s="52">
        <f>'Input - Pasture Beef'!G76</f>
        <v>260</v>
      </c>
      <c r="Y54" s="52">
        <f>'Input - Pasture Beef'!H76</f>
        <v>420</v>
      </c>
      <c r="Z54" s="52">
        <f>'Input - Pasture Beef'!I76</f>
        <v>550</v>
      </c>
      <c r="AA54" s="52">
        <f>'Input - Pasture Beef'!J76</f>
        <v>550</v>
      </c>
      <c r="AB54" s="52">
        <f>'Input - Pasture Beef'!K76</f>
        <v>300</v>
      </c>
      <c r="AC54" s="52">
        <f>'Input - Pasture Beef'!L76</f>
        <v>480</v>
      </c>
      <c r="AD54" s="52">
        <f>'Input - Pasture Beef'!M76</f>
        <v>480</v>
      </c>
      <c r="AE54" s="52">
        <f>'Input - Pasture Beef'!N76</f>
        <v>480</v>
      </c>
      <c r="AF54" s="2" t="s">
        <v>133</v>
      </c>
      <c r="AG54" s="2"/>
      <c r="AH54" s="2"/>
    </row>
    <row r="55" spans="4:34" ht="20.100000000000001" customHeight="1" x14ac:dyDescent="0.25">
      <c r="D55" s="52" t="str">
        <f>'Input - Pasture Beef'!D63</f>
        <v>Winter</v>
      </c>
      <c r="E55" s="52">
        <f>'Input - Pasture Beef'!E63</f>
        <v>190</v>
      </c>
      <c r="F55" s="52">
        <f>'Input - Pasture Beef'!F63</f>
        <v>700</v>
      </c>
      <c r="G55" s="52">
        <f>'Input - Pasture Beef'!G63</f>
        <v>150</v>
      </c>
      <c r="H55" s="52">
        <f>'Input - Pasture Beef'!H63</f>
        <v>330</v>
      </c>
      <c r="I55" s="52">
        <f>'Input - Pasture Beef'!I63</f>
        <v>490</v>
      </c>
      <c r="J55" s="52">
        <f>'Input - Pasture Beef'!J63</f>
        <v>490</v>
      </c>
      <c r="K55" s="52">
        <f>'Input - Pasture Beef'!K63</f>
        <v>170</v>
      </c>
      <c r="L55" s="52">
        <f>'Input - Pasture Beef'!L63</f>
        <v>360</v>
      </c>
      <c r="M55" s="52">
        <f>'Input - Pasture Beef'!M63</f>
        <v>360</v>
      </c>
      <c r="N55" s="52">
        <f>'Input - Pasture Beef'!N63</f>
        <v>360</v>
      </c>
      <c r="O55" s="2" t="s">
        <v>133</v>
      </c>
      <c r="P55" s="2"/>
      <c r="Q55" s="2"/>
      <c r="U55" s="52" t="str">
        <f>TEXT(EDATE('Input - Site'!$E$12,11), "mmmm yyyy")</f>
        <v>December 2024</v>
      </c>
      <c r="V55" s="52">
        <f>'Input - Pasture Beef'!E77</f>
        <v>380</v>
      </c>
      <c r="W55" s="52">
        <f>'Input - Pasture Beef'!F77</f>
        <v>780</v>
      </c>
      <c r="X55" s="52">
        <f>'Input - Pasture Beef'!G77</f>
        <v>300</v>
      </c>
      <c r="Y55" s="52">
        <f>'Input - Pasture Beef'!H77</f>
        <v>450</v>
      </c>
      <c r="Z55" s="52">
        <f>'Input - Pasture Beef'!I77</f>
        <v>530</v>
      </c>
      <c r="AA55" s="52">
        <f>'Input - Pasture Beef'!J77</f>
        <v>530</v>
      </c>
      <c r="AB55" s="52">
        <f>'Input - Pasture Beef'!K77</f>
        <v>340</v>
      </c>
      <c r="AC55" s="52">
        <f>'Input - Pasture Beef'!L77</f>
        <v>470</v>
      </c>
      <c r="AD55" s="52">
        <f>'Input - Pasture Beef'!M77</f>
        <v>470</v>
      </c>
      <c r="AE55" s="52">
        <f>'Input - Pasture Beef'!N77</f>
        <v>470</v>
      </c>
      <c r="AF55" s="2" t="s">
        <v>133</v>
      </c>
      <c r="AG55" s="2"/>
      <c r="AH55" s="2"/>
    </row>
    <row r="56" spans="4:34" ht="20.100000000000001" customHeight="1" x14ac:dyDescent="0.25">
      <c r="AG56" s="2"/>
      <c r="AH56" s="2"/>
    </row>
    <row r="57" spans="4:34" ht="20.100000000000001" customHeight="1" x14ac:dyDescent="0.25">
      <c r="U57" s="99" t="s">
        <v>257</v>
      </c>
      <c r="AG57" s="2"/>
      <c r="AH57" s="2"/>
    </row>
    <row r="58" spans="4:34" ht="20.100000000000001" customHeight="1" x14ac:dyDescent="0.25">
      <c r="U58" s="98" t="s">
        <v>258</v>
      </c>
      <c r="AG58" s="2"/>
      <c r="AH58" s="2"/>
    </row>
    <row r="59" spans="4:34" ht="20.100000000000001" customHeight="1" x14ac:dyDescent="0.25">
      <c r="U59" s="51" t="s">
        <v>132</v>
      </c>
      <c r="V59" s="51" t="s">
        <v>131</v>
      </c>
      <c r="W59" s="51" t="s">
        <v>130</v>
      </c>
      <c r="X59" s="51" t="s">
        <v>165</v>
      </c>
      <c r="Y59" s="51" t="s">
        <v>166</v>
      </c>
      <c r="Z59" s="51" t="s">
        <v>167</v>
      </c>
      <c r="AA59" s="51" t="s">
        <v>168</v>
      </c>
      <c r="AB59" s="51" t="s">
        <v>169</v>
      </c>
      <c r="AC59" s="51" t="s">
        <v>170</v>
      </c>
      <c r="AD59" s="51" t="s">
        <v>171</v>
      </c>
      <c r="AE59" s="51" t="s">
        <v>172</v>
      </c>
      <c r="AG59" s="2"/>
      <c r="AH59" s="2"/>
    </row>
    <row r="60" spans="4:34" ht="20.100000000000001" customHeight="1" x14ac:dyDescent="0.25">
      <c r="U60" s="52" t="str">
        <f>TEXT('Input - Site'!$E$12, "mmmm yyyy")</f>
        <v>January 2024</v>
      </c>
      <c r="V60" s="52">
        <f>'Input - Pasture Beef'!E88</f>
        <v>0.44</v>
      </c>
      <c r="W60" s="52">
        <f>'Input - Pasture Beef'!F88</f>
        <v>-0.22</v>
      </c>
      <c r="X60" s="52">
        <f>'Input - Pasture Beef'!G88</f>
        <v>0.44</v>
      </c>
      <c r="Y60" s="52">
        <f>'Input - Pasture Beef'!H88</f>
        <v>0.33</v>
      </c>
      <c r="Z60" s="52">
        <f>'Input - Pasture Beef'!I88</f>
        <v>-0.22</v>
      </c>
      <c r="AA60" s="52">
        <f>'Input - Pasture Beef'!J88</f>
        <v>-0.22</v>
      </c>
      <c r="AB60" s="52">
        <f>'Input - Pasture Beef'!K88</f>
        <v>0.44</v>
      </c>
      <c r="AC60" s="52">
        <f>'Input - Pasture Beef'!L88</f>
        <v>-0.11</v>
      </c>
      <c r="AD60" s="52">
        <f>'Input - Pasture Beef'!M88</f>
        <v>-0.11</v>
      </c>
      <c r="AE60" s="52">
        <f>'Input - Pasture Beef'!N88</f>
        <v>-0.11</v>
      </c>
      <c r="AF60" s="2" t="s">
        <v>134</v>
      </c>
      <c r="AG60" s="2"/>
      <c r="AH60" s="2"/>
    </row>
    <row r="61" spans="4:34" ht="20.100000000000001" customHeight="1" x14ac:dyDescent="0.25">
      <c r="U61" s="52" t="str">
        <f>TEXT(EDATE('Input - Site'!$E$12,1), "mmmm yyyy")</f>
        <v>February 2024</v>
      </c>
      <c r="V61" s="52">
        <f>'Input - Pasture Beef'!E89</f>
        <v>0.44</v>
      </c>
      <c r="W61" s="52">
        <f>'Input - Pasture Beef'!F89</f>
        <v>-0.22</v>
      </c>
      <c r="X61" s="52">
        <f>'Input - Pasture Beef'!G89</f>
        <v>0.44</v>
      </c>
      <c r="Y61" s="52">
        <f>'Input - Pasture Beef'!H89</f>
        <v>0.33</v>
      </c>
      <c r="Z61" s="52">
        <f>'Input - Pasture Beef'!I89</f>
        <v>-0.22</v>
      </c>
      <c r="AA61" s="52">
        <f>'Input - Pasture Beef'!J89</f>
        <v>-0.22</v>
      </c>
      <c r="AB61" s="52">
        <f>'Input - Pasture Beef'!K89</f>
        <v>0.44</v>
      </c>
      <c r="AC61" s="52">
        <f>'Input - Pasture Beef'!L89</f>
        <v>-0.11</v>
      </c>
      <c r="AD61" s="52">
        <f>'Input - Pasture Beef'!M89</f>
        <v>-0.11</v>
      </c>
      <c r="AE61" s="52">
        <f>'Input - Pasture Beef'!N89</f>
        <v>-0.11</v>
      </c>
      <c r="AF61" s="2" t="s">
        <v>134</v>
      </c>
      <c r="AG61" s="2"/>
      <c r="AH61" s="2"/>
    </row>
    <row r="62" spans="4:34" ht="20.100000000000001" customHeight="1" x14ac:dyDescent="0.25">
      <c r="U62" s="52" t="str">
        <f>TEXT(EDATE('Input - Site'!$E$12,2), "mmmm yyyy")</f>
        <v>March 2024</v>
      </c>
      <c r="V62" s="52">
        <f>'Input - Pasture Beef'!E90</f>
        <v>0.6</v>
      </c>
      <c r="W62" s="52">
        <f>'Input - Pasture Beef'!F90</f>
        <v>0</v>
      </c>
      <c r="X62" s="52">
        <f>'Input - Pasture Beef'!G90</f>
        <v>0.6</v>
      </c>
      <c r="Y62" s="52">
        <f>'Input - Pasture Beef'!H90</f>
        <v>0.22</v>
      </c>
      <c r="Z62" s="52">
        <f>'Input - Pasture Beef'!I90</f>
        <v>-0.55000000000000004</v>
      </c>
      <c r="AA62" s="52">
        <f>'Input - Pasture Beef'!J90</f>
        <v>-0.55000000000000004</v>
      </c>
      <c r="AB62" s="52">
        <f>'Input - Pasture Beef'!K90</f>
        <v>0.6</v>
      </c>
      <c r="AC62" s="52">
        <f>'Input - Pasture Beef'!L90</f>
        <v>0</v>
      </c>
      <c r="AD62" s="52">
        <f>'Input - Pasture Beef'!M90</f>
        <v>0</v>
      </c>
      <c r="AE62" s="52">
        <f>'Input - Pasture Beef'!N90</f>
        <v>0</v>
      </c>
      <c r="AF62" s="2" t="s">
        <v>134</v>
      </c>
      <c r="AG62" s="2"/>
      <c r="AH62" s="2"/>
    </row>
    <row r="63" spans="4:34" ht="20.100000000000001" customHeight="1" x14ac:dyDescent="0.25">
      <c r="U63" s="52" t="str">
        <f>TEXT(EDATE('Input - Site'!$E$12,3), "mmmm yyyy")</f>
        <v>April 2024</v>
      </c>
      <c r="V63" s="52">
        <f>'Input - Pasture Beef'!E91</f>
        <v>0.6</v>
      </c>
      <c r="W63" s="52">
        <f>'Input - Pasture Beef'!F91</f>
        <v>0</v>
      </c>
      <c r="X63" s="52">
        <f>'Input - Pasture Beef'!G91</f>
        <v>0.6</v>
      </c>
      <c r="Y63" s="52">
        <f>'Input - Pasture Beef'!H91</f>
        <v>0.22</v>
      </c>
      <c r="Z63" s="52">
        <f>'Input - Pasture Beef'!I91</f>
        <v>-0.55000000000000004</v>
      </c>
      <c r="AA63" s="52">
        <f>'Input - Pasture Beef'!J91</f>
        <v>-0.55000000000000004</v>
      </c>
      <c r="AB63" s="52">
        <f>'Input - Pasture Beef'!K91</f>
        <v>0.6</v>
      </c>
      <c r="AC63" s="52">
        <f>'Input - Pasture Beef'!L91</f>
        <v>0</v>
      </c>
      <c r="AD63" s="52">
        <f>'Input - Pasture Beef'!M91</f>
        <v>0</v>
      </c>
      <c r="AE63" s="52">
        <f>'Input - Pasture Beef'!N91</f>
        <v>0</v>
      </c>
      <c r="AF63" s="2" t="s">
        <v>134</v>
      </c>
      <c r="AG63" s="2"/>
      <c r="AH63" s="2"/>
    </row>
    <row r="64" spans="4:34" ht="20.100000000000001" customHeight="1" x14ac:dyDescent="0.25">
      <c r="U64" s="52" t="str">
        <f>TEXT(EDATE('Input - Site'!$E$12,4), "mmmm yyyy")</f>
        <v>May 2024</v>
      </c>
      <c r="V64" s="52">
        <f>'Input - Pasture Beef'!E92</f>
        <v>0.6</v>
      </c>
      <c r="W64" s="52">
        <f>'Input - Pasture Beef'!F92</f>
        <v>0</v>
      </c>
      <c r="X64" s="52">
        <f>'Input - Pasture Beef'!G92</f>
        <v>0.6</v>
      </c>
      <c r="Y64" s="52">
        <f>'Input - Pasture Beef'!H92</f>
        <v>0.22</v>
      </c>
      <c r="Z64" s="52">
        <f>'Input - Pasture Beef'!I92</f>
        <v>-0.55000000000000004</v>
      </c>
      <c r="AA64" s="52">
        <f>'Input - Pasture Beef'!J92</f>
        <v>-0.55000000000000004</v>
      </c>
      <c r="AB64" s="52">
        <f>'Input - Pasture Beef'!K92</f>
        <v>0.6</v>
      </c>
      <c r="AC64" s="52">
        <f>'Input - Pasture Beef'!L92</f>
        <v>0</v>
      </c>
      <c r="AD64" s="52">
        <f>'Input - Pasture Beef'!M92</f>
        <v>0</v>
      </c>
      <c r="AE64" s="52">
        <f>'Input - Pasture Beef'!N92</f>
        <v>0</v>
      </c>
      <c r="AF64" s="2" t="s">
        <v>134</v>
      </c>
    </row>
    <row r="65" spans="4:34" ht="20.100000000000001" customHeight="1" x14ac:dyDescent="0.25">
      <c r="D65" s="99" t="s">
        <v>243</v>
      </c>
      <c r="U65" s="52" t="str">
        <f>TEXT(EDATE('Input - Site'!$E$12,5), "mmmm yyyy")</f>
        <v>June 2024</v>
      </c>
      <c r="V65" s="52">
        <f>'Input - Pasture Beef'!E93</f>
        <v>0.99</v>
      </c>
      <c r="W65" s="52">
        <f>'Input - Pasture Beef'!F93</f>
        <v>0.22</v>
      </c>
      <c r="X65" s="52">
        <f>'Input - Pasture Beef'!G93</f>
        <v>0.77</v>
      </c>
      <c r="Y65" s="52">
        <f>'Input - Pasture Beef'!H93</f>
        <v>0.11</v>
      </c>
      <c r="Z65" s="52">
        <f>'Input - Pasture Beef'!I93</f>
        <v>0.11</v>
      </c>
      <c r="AA65" s="52">
        <f>'Input - Pasture Beef'!J93</f>
        <v>0.11</v>
      </c>
      <c r="AB65" s="52">
        <f>'Input - Pasture Beef'!K93</f>
        <v>0.77</v>
      </c>
      <c r="AC65" s="52">
        <f>'Input - Pasture Beef'!L93</f>
        <v>0.44</v>
      </c>
      <c r="AD65" s="52">
        <f>'Input - Pasture Beef'!M93</f>
        <v>0.44</v>
      </c>
      <c r="AE65" s="52">
        <f>'Input - Pasture Beef'!N93</f>
        <v>0.44</v>
      </c>
      <c r="AF65" s="2" t="s">
        <v>134</v>
      </c>
    </row>
    <row r="66" spans="4:34" ht="20.100000000000001" customHeight="1" x14ac:dyDescent="0.25">
      <c r="D66" s="98" t="s">
        <v>244</v>
      </c>
      <c r="U66" s="52" t="str">
        <f>TEXT(EDATE('Input - Site'!$E$12,6), "mmmm yyyy")</f>
        <v>July 2024</v>
      </c>
      <c r="V66" s="52">
        <f>'Input - Pasture Beef'!E94</f>
        <v>0.99</v>
      </c>
      <c r="W66" s="52">
        <f>'Input - Pasture Beef'!F94</f>
        <v>0.22</v>
      </c>
      <c r="X66" s="52">
        <f>'Input - Pasture Beef'!G94</f>
        <v>0.77</v>
      </c>
      <c r="Y66" s="52">
        <f>'Input - Pasture Beef'!H94</f>
        <v>0.11</v>
      </c>
      <c r="Z66" s="52">
        <f>'Input - Pasture Beef'!I94</f>
        <v>0.11</v>
      </c>
      <c r="AA66" s="52">
        <f>'Input - Pasture Beef'!J94</f>
        <v>0.11</v>
      </c>
      <c r="AB66" s="52">
        <f>'Input - Pasture Beef'!K94</f>
        <v>0.77</v>
      </c>
      <c r="AC66" s="52">
        <f>'Input - Pasture Beef'!L94</f>
        <v>0.44</v>
      </c>
      <c r="AD66" s="52">
        <f>'Input - Pasture Beef'!M94</f>
        <v>0.44</v>
      </c>
      <c r="AE66" s="52">
        <f>'Input - Pasture Beef'!N94</f>
        <v>0.44</v>
      </c>
      <c r="AF66" s="2" t="s">
        <v>134</v>
      </c>
    </row>
    <row r="67" spans="4:34" ht="20.100000000000001" customHeight="1" x14ac:dyDescent="0.25">
      <c r="D67" s="51" t="s">
        <v>184</v>
      </c>
      <c r="E67" s="51" t="s">
        <v>131</v>
      </c>
      <c r="F67" s="51" t="s">
        <v>130</v>
      </c>
      <c r="G67" s="51" t="s">
        <v>165</v>
      </c>
      <c r="H67" s="51" t="s">
        <v>166</v>
      </c>
      <c r="I67" s="51" t="s">
        <v>167</v>
      </c>
      <c r="J67" s="51" t="s">
        <v>168</v>
      </c>
      <c r="K67" s="51" t="s">
        <v>169</v>
      </c>
      <c r="L67" s="51" t="s">
        <v>170</v>
      </c>
      <c r="M67" s="51" t="s">
        <v>171</v>
      </c>
      <c r="N67" s="51" t="s">
        <v>172</v>
      </c>
      <c r="U67" s="52" t="str">
        <f>TEXT(EDATE('Input - Site'!$E$12,7), "mmmm yyyy")</f>
        <v>August 2024</v>
      </c>
      <c r="V67" s="52">
        <f>'Input - Pasture Beef'!E95</f>
        <v>0.99</v>
      </c>
      <c r="W67" s="52">
        <f>'Input - Pasture Beef'!F95</f>
        <v>0.22</v>
      </c>
      <c r="X67" s="52">
        <f>'Input - Pasture Beef'!G95</f>
        <v>0.77</v>
      </c>
      <c r="Y67" s="52">
        <f>'Input - Pasture Beef'!H95</f>
        <v>0.11</v>
      </c>
      <c r="Z67" s="52">
        <f>'Input - Pasture Beef'!I95</f>
        <v>0.11</v>
      </c>
      <c r="AA67" s="52">
        <f>'Input - Pasture Beef'!J95</f>
        <v>0.11</v>
      </c>
      <c r="AB67" s="52">
        <f>'Input - Pasture Beef'!K95</f>
        <v>0.77</v>
      </c>
      <c r="AC67" s="52">
        <f>'Input - Pasture Beef'!L95</f>
        <v>0.44</v>
      </c>
      <c r="AD67" s="52">
        <f>'Input - Pasture Beef'!M95</f>
        <v>0.44</v>
      </c>
      <c r="AE67" s="52">
        <f>'Input - Pasture Beef'!N95</f>
        <v>0.44</v>
      </c>
      <c r="AF67" s="2" t="s">
        <v>134</v>
      </c>
    </row>
    <row r="68" spans="4:34" ht="20.100000000000001" customHeight="1" x14ac:dyDescent="0.25">
      <c r="D68" s="52" t="str">
        <f>'Input - Pasture Beef'!D82</f>
        <v>Spring</v>
      </c>
      <c r="E68" s="52">
        <f>'Input - Pasture Beef'!E82</f>
        <v>1.64</v>
      </c>
      <c r="F68" s="52">
        <f>'Input - Pasture Beef'!F82</f>
        <v>1.1000000000000001</v>
      </c>
      <c r="G68" s="52">
        <f>'Input - Pasture Beef'!G82</f>
        <v>1.21</v>
      </c>
      <c r="H68" s="52">
        <f>'Input - Pasture Beef'!H82</f>
        <v>0.99</v>
      </c>
      <c r="I68" s="52">
        <f>'Input - Pasture Beef'!I82</f>
        <v>0.66</v>
      </c>
      <c r="J68" s="52">
        <f>'Input - Pasture Beef'!J82</f>
        <v>0.66</v>
      </c>
      <c r="K68" s="52">
        <f>'Input - Pasture Beef'!K82</f>
        <v>1.42</v>
      </c>
      <c r="L68" s="52">
        <f>'Input - Pasture Beef'!L82</f>
        <v>1.1000000000000001</v>
      </c>
      <c r="M68" s="52">
        <f>'Input - Pasture Beef'!M82</f>
        <v>1.1000000000000001</v>
      </c>
      <c r="N68" s="52">
        <f>'Input - Pasture Beef'!N82</f>
        <v>1.1000000000000001</v>
      </c>
      <c r="O68" s="2" t="s">
        <v>133</v>
      </c>
      <c r="P68" s="2"/>
      <c r="Q68" s="2"/>
      <c r="U68" s="52" t="str">
        <f>TEXT(EDATE('Input - Site'!$E$12,8), "mmmm yyyy")</f>
        <v>September 2024</v>
      </c>
      <c r="V68" s="52">
        <f>'Input - Pasture Beef'!E96</f>
        <v>1.64</v>
      </c>
      <c r="W68" s="52">
        <f>'Input - Pasture Beef'!F96</f>
        <v>1.1000000000000001</v>
      </c>
      <c r="X68" s="52">
        <f>'Input - Pasture Beef'!G96</f>
        <v>1.21</v>
      </c>
      <c r="Y68" s="52">
        <f>'Input - Pasture Beef'!H96</f>
        <v>0.99</v>
      </c>
      <c r="Z68" s="52">
        <f>'Input - Pasture Beef'!I96</f>
        <v>0.66</v>
      </c>
      <c r="AA68" s="52">
        <f>'Input - Pasture Beef'!J96</f>
        <v>0.66</v>
      </c>
      <c r="AB68" s="52">
        <f>'Input - Pasture Beef'!K96</f>
        <v>1.42</v>
      </c>
      <c r="AC68" s="52">
        <f>'Input - Pasture Beef'!L96</f>
        <v>1.1000000000000001</v>
      </c>
      <c r="AD68" s="52">
        <f>'Input - Pasture Beef'!M96</f>
        <v>1.1000000000000001</v>
      </c>
      <c r="AE68" s="52">
        <f>'Input - Pasture Beef'!N96</f>
        <v>1.1000000000000001</v>
      </c>
      <c r="AF68" s="2" t="s">
        <v>134</v>
      </c>
      <c r="AG68" s="2"/>
      <c r="AH68" s="2"/>
    </row>
    <row r="69" spans="4:34" ht="20.100000000000001" customHeight="1" x14ac:dyDescent="0.25">
      <c r="D69" s="52" t="str">
        <f>'Input - Pasture Beef'!D83</f>
        <v>Summer</v>
      </c>
      <c r="E69" s="52">
        <f>'Input - Pasture Beef'!E83</f>
        <v>0.44</v>
      </c>
      <c r="F69" s="52">
        <f>'Input - Pasture Beef'!F83</f>
        <v>-0.22</v>
      </c>
      <c r="G69" s="52">
        <f>'Input - Pasture Beef'!G83</f>
        <v>0.44</v>
      </c>
      <c r="H69" s="52">
        <f>'Input - Pasture Beef'!H83</f>
        <v>0.33</v>
      </c>
      <c r="I69" s="52">
        <f>'Input - Pasture Beef'!I83</f>
        <v>-0.22</v>
      </c>
      <c r="J69" s="52">
        <f>'Input - Pasture Beef'!J83</f>
        <v>-0.22</v>
      </c>
      <c r="K69" s="52">
        <f>'Input - Pasture Beef'!K83</f>
        <v>0.44</v>
      </c>
      <c r="L69" s="52">
        <f>'Input - Pasture Beef'!L83</f>
        <v>-0.11</v>
      </c>
      <c r="M69" s="52">
        <f>'Input - Pasture Beef'!M83</f>
        <v>-0.11</v>
      </c>
      <c r="N69" s="52">
        <f>'Input - Pasture Beef'!N83</f>
        <v>-0.11</v>
      </c>
      <c r="O69" s="2" t="s">
        <v>133</v>
      </c>
      <c r="P69" s="2"/>
      <c r="Q69" s="2"/>
      <c r="U69" s="52" t="str">
        <f>TEXT(EDATE('Input - Site'!$E$12,9), "mmmm yyyy")</f>
        <v>October 2024</v>
      </c>
      <c r="V69" s="52">
        <f>'Input - Pasture Beef'!E97</f>
        <v>1.64</v>
      </c>
      <c r="W69" s="52">
        <f>'Input - Pasture Beef'!F97</f>
        <v>1.1000000000000001</v>
      </c>
      <c r="X69" s="52">
        <f>'Input - Pasture Beef'!G97</f>
        <v>1.21</v>
      </c>
      <c r="Y69" s="52">
        <f>'Input - Pasture Beef'!H97</f>
        <v>0.99</v>
      </c>
      <c r="Z69" s="52">
        <f>'Input - Pasture Beef'!I97</f>
        <v>0.66</v>
      </c>
      <c r="AA69" s="52">
        <f>'Input - Pasture Beef'!J97</f>
        <v>0.66</v>
      </c>
      <c r="AB69" s="52">
        <f>'Input - Pasture Beef'!K97</f>
        <v>1.42</v>
      </c>
      <c r="AC69" s="52">
        <f>'Input - Pasture Beef'!L97</f>
        <v>1.1000000000000001</v>
      </c>
      <c r="AD69" s="52">
        <f>'Input - Pasture Beef'!M97</f>
        <v>1.1000000000000001</v>
      </c>
      <c r="AE69" s="52">
        <f>'Input - Pasture Beef'!N97</f>
        <v>1.1000000000000001</v>
      </c>
      <c r="AF69" s="2" t="s">
        <v>134</v>
      </c>
      <c r="AG69" s="2"/>
      <c r="AH69" s="2"/>
    </row>
    <row r="70" spans="4:34" ht="20.100000000000001" customHeight="1" x14ac:dyDescent="0.25">
      <c r="D70" s="52" t="str">
        <f>'Input - Pasture Beef'!D84</f>
        <v>Autumn</v>
      </c>
      <c r="E70" s="52">
        <f>'Input - Pasture Beef'!E84</f>
        <v>0.6</v>
      </c>
      <c r="F70" s="52">
        <f>'Input - Pasture Beef'!F84</f>
        <v>0</v>
      </c>
      <c r="G70" s="52">
        <f>'Input - Pasture Beef'!G84</f>
        <v>0.6</v>
      </c>
      <c r="H70" s="52">
        <f>'Input - Pasture Beef'!H84</f>
        <v>0.22</v>
      </c>
      <c r="I70" s="52">
        <f>'Input - Pasture Beef'!I84</f>
        <v>-0.55000000000000004</v>
      </c>
      <c r="J70" s="52">
        <f>'Input - Pasture Beef'!J84</f>
        <v>-0.55000000000000004</v>
      </c>
      <c r="K70" s="52">
        <f>'Input - Pasture Beef'!K84</f>
        <v>0.6</v>
      </c>
      <c r="L70" s="52">
        <f>'Input - Pasture Beef'!L84</f>
        <v>0</v>
      </c>
      <c r="M70" s="52">
        <f>'Input - Pasture Beef'!M84</f>
        <v>0</v>
      </c>
      <c r="N70" s="52">
        <f>'Input - Pasture Beef'!N84</f>
        <v>0</v>
      </c>
      <c r="O70" s="2" t="s">
        <v>133</v>
      </c>
      <c r="P70" s="2"/>
      <c r="Q70" s="2"/>
      <c r="U70" s="52" t="str">
        <f>TEXT(EDATE('Input - Site'!$E$12,10), "mmmm yyyy")</f>
        <v>November 2024</v>
      </c>
      <c r="V70" s="52">
        <f>'Input - Pasture Beef'!E98</f>
        <v>1.64</v>
      </c>
      <c r="W70" s="52">
        <f>'Input - Pasture Beef'!F98</f>
        <v>1.1000000000000001</v>
      </c>
      <c r="X70" s="52">
        <f>'Input - Pasture Beef'!G98</f>
        <v>1.21</v>
      </c>
      <c r="Y70" s="52">
        <f>'Input - Pasture Beef'!H98</f>
        <v>0.99</v>
      </c>
      <c r="Z70" s="52">
        <f>'Input - Pasture Beef'!I98</f>
        <v>0.66</v>
      </c>
      <c r="AA70" s="52">
        <f>'Input - Pasture Beef'!J98</f>
        <v>0.66</v>
      </c>
      <c r="AB70" s="52">
        <f>'Input - Pasture Beef'!K98</f>
        <v>1.42</v>
      </c>
      <c r="AC70" s="52">
        <f>'Input - Pasture Beef'!L98</f>
        <v>1.1000000000000001</v>
      </c>
      <c r="AD70" s="52">
        <f>'Input - Pasture Beef'!M98</f>
        <v>1.1000000000000001</v>
      </c>
      <c r="AE70" s="52">
        <f>'Input - Pasture Beef'!N98</f>
        <v>1.1000000000000001</v>
      </c>
      <c r="AF70" s="2" t="s">
        <v>134</v>
      </c>
      <c r="AG70" s="2"/>
      <c r="AH70" s="2"/>
    </row>
    <row r="71" spans="4:34" ht="20.100000000000001" customHeight="1" x14ac:dyDescent="0.25">
      <c r="D71" s="52" t="str">
        <f>'Input - Pasture Beef'!D85</f>
        <v>Winter</v>
      </c>
      <c r="E71" s="52">
        <f>'Input - Pasture Beef'!E85</f>
        <v>0.99</v>
      </c>
      <c r="F71" s="52">
        <f>'Input - Pasture Beef'!F85</f>
        <v>0.22</v>
      </c>
      <c r="G71" s="52">
        <f>'Input - Pasture Beef'!G85</f>
        <v>0.77</v>
      </c>
      <c r="H71" s="52">
        <f>'Input - Pasture Beef'!H85</f>
        <v>0.11</v>
      </c>
      <c r="I71" s="52">
        <f>'Input - Pasture Beef'!I85</f>
        <v>0.11</v>
      </c>
      <c r="J71" s="52">
        <f>'Input - Pasture Beef'!J85</f>
        <v>0.11</v>
      </c>
      <c r="K71" s="52">
        <f>'Input - Pasture Beef'!K85</f>
        <v>0.77</v>
      </c>
      <c r="L71" s="52">
        <f>'Input - Pasture Beef'!L85</f>
        <v>0.44</v>
      </c>
      <c r="M71" s="52">
        <f>'Input - Pasture Beef'!M85</f>
        <v>0.44</v>
      </c>
      <c r="N71" s="52">
        <f>'Input - Pasture Beef'!N85</f>
        <v>0.44</v>
      </c>
      <c r="O71" s="2" t="s">
        <v>133</v>
      </c>
      <c r="P71" s="2"/>
      <c r="Q71" s="2"/>
      <c r="U71" s="52" t="str">
        <f>TEXT(EDATE('Input - Site'!$E$12,11), "mmmm yyyy")</f>
        <v>December 2024</v>
      </c>
      <c r="V71" s="52">
        <f>'Input - Pasture Beef'!E99</f>
        <v>0.44</v>
      </c>
      <c r="W71" s="52">
        <f>'Input - Pasture Beef'!F99</f>
        <v>-0.22</v>
      </c>
      <c r="X71" s="52">
        <f>'Input - Pasture Beef'!G99</f>
        <v>0.44</v>
      </c>
      <c r="Y71" s="52">
        <f>'Input - Pasture Beef'!H99</f>
        <v>0.33</v>
      </c>
      <c r="Z71" s="52">
        <f>'Input - Pasture Beef'!I99</f>
        <v>-0.22</v>
      </c>
      <c r="AA71" s="52">
        <f>'Input - Pasture Beef'!J99</f>
        <v>-0.22</v>
      </c>
      <c r="AB71" s="52">
        <f>'Input - Pasture Beef'!K99</f>
        <v>0.44</v>
      </c>
      <c r="AC71" s="52">
        <f>'Input - Pasture Beef'!L99</f>
        <v>-0.11</v>
      </c>
      <c r="AD71" s="52">
        <f>'Input - Pasture Beef'!M99</f>
        <v>-0.11</v>
      </c>
      <c r="AE71" s="52">
        <f>'Input - Pasture Beef'!N99</f>
        <v>-0.11</v>
      </c>
      <c r="AF71" s="2" t="s">
        <v>134</v>
      </c>
      <c r="AG71" s="2"/>
      <c r="AH71" s="2"/>
    </row>
    <row r="72" spans="4:34" ht="20.100000000000001" customHeight="1" x14ac:dyDescent="0.25">
      <c r="AG72" s="2"/>
      <c r="AH72" s="2"/>
    </row>
    <row r="73" spans="4:34" ht="20.100000000000001" customHeight="1" x14ac:dyDescent="0.25">
      <c r="U73" s="99" t="s">
        <v>259</v>
      </c>
      <c r="AG73" s="2"/>
      <c r="AH73" s="2"/>
    </row>
    <row r="74" spans="4:34" ht="20.100000000000001" customHeight="1" x14ac:dyDescent="0.25">
      <c r="U74" s="98" t="s">
        <v>143</v>
      </c>
      <c r="AG74" s="2"/>
      <c r="AH74" s="2"/>
    </row>
    <row r="75" spans="4:34" ht="20.100000000000001" customHeight="1" x14ac:dyDescent="0.25">
      <c r="U75" s="51" t="s">
        <v>132</v>
      </c>
      <c r="V75" s="51" t="s">
        <v>131</v>
      </c>
      <c r="W75" s="51" t="s">
        <v>130</v>
      </c>
      <c r="X75" s="51" t="s">
        <v>165</v>
      </c>
      <c r="Y75" s="51" t="s">
        <v>166</v>
      </c>
      <c r="Z75" s="51" t="s">
        <v>167</v>
      </c>
      <c r="AA75" s="51" t="s">
        <v>168</v>
      </c>
      <c r="AB75" s="51" t="s">
        <v>169</v>
      </c>
      <c r="AC75" s="51" t="s">
        <v>170</v>
      </c>
      <c r="AD75" s="51" t="s">
        <v>171</v>
      </c>
      <c r="AE75" s="51" t="s">
        <v>172</v>
      </c>
      <c r="AG75" s="2"/>
      <c r="AH75" s="2"/>
    </row>
    <row r="76" spans="4:34" ht="20.100000000000001" customHeight="1" x14ac:dyDescent="0.25">
      <c r="U76" s="52" t="str">
        <f>TEXT('Input - Site'!$E$12, "mmmm yyyy")</f>
        <v>January 2024</v>
      </c>
      <c r="V76" s="52" cm="1">
        <f t="array" ref="V76">EntericMethane_PastureBeef_Equations.VEERG_3_2_1_1__3_FeedIntakeForGrazingBeef(V44,V60,X28)</f>
        <v>7.1468536895999959</v>
      </c>
      <c r="W76" s="52" cm="1">
        <f t="array" ref="W76">EntericMethane_PastureBeef_Equations.VEERG_3_2_1_1__3_FeedIntakeForGrazingBeef(W44,W60,Y28)</f>
        <v>9.4559940036000008</v>
      </c>
      <c r="X76" s="52" cm="1">
        <f t="array" ref="X76">EntericMethane_PastureBeef_Equations.VEERG_3_2_1_1__3_FeedIntakeForGrazingBeef(X44,X60,Z28)</f>
        <v>6.010342559999998</v>
      </c>
      <c r="Y76" s="52" cm="1">
        <f t="array" ref="Y76">EntericMethane_PastureBeef_Equations.VEERG_3_2_1_1__3_FeedIntakeForGrazingBeef(Y44,Y60,AA28)</f>
        <v>8.4608409301875014</v>
      </c>
      <c r="Z76" s="52" cm="1">
        <f t="array" ref="Z76">EntericMethane_PastureBeef_Equations.VEERG_3_2_1_1__3_FeedIntakeForGrazingBeef(Z44,Z60,AB28)</f>
        <v>8.3772677761199983</v>
      </c>
      <c r="AA76" s="52" cm="1">
        <f t="array" ref="AA76">EntericMethane_PastureBeef_Equations.VEERG_3_2_1_1__3_FeedIntakeForGrazingBeef(AA44,AA60,AC28)</f>
        <v>8.3772677761199983</v>
      </c>
      <c r="AB76" s="52" cm="1">
        <f t="array" ref="AB76">EntericMethane_PastureBeef_Equations.VEERG_3_2_1_1__3_FeedIntakeForGrazingBeef(AB44,AB60,AD28)</f>
        <v>6.5876408896000003</v>
      </c>
      <c r="AC76" s="52" cm="1">
        <f t="array" ref="AC76">EntericMethane_PastureBeef_Equations.VEERG_3_2_1_1__3_FeedIntakeForGrazingBeef(AC44,AC60,AE28)</f>
        <v>7.3430702361</v>
      </c>
      <c r="AD76" s="52" cm="1">
        <f t="array" ref="AD76">EntericMethane_PastureBeef_Equations.VEERG_3_2_1_1__3_FeedIntakeForGrazingBeef(AD44,AD60,AF28)</f>
        <v>7.3430702361</v>
      </c>
      <c r="AE76" s="52" cm="1">
        <f t="array" ref="AE76">EntericMethane_PastureBeef_Equations.VEERG_3_2_1_1__3_FeedIntakeForGrazingBeef(AE44,AE60,AG30)</f>
        <v>7.3430702361</v>
      </c>
      <c r="AF76" s="2" t="str">
        <f t="shared" ref="AF76:AF87" si="2">$E$43</f>
        <v>kg DM/head/day</v>
      </c>
      <c r="AG76" s="2"/>
      <c r="AH76" s="2"/>
    </row>
    <row r="77" spans="4:34" ht="20.100000000000001" customHeight="1" x14ac:dyDescent="0.25">
      <c r="U77" s="52" t="str">
        <f>TEXT(EDATE('Input - Site'!$E$12,1), "mmmm yyyy")</f>
        <v>February 2024</v>
      </c>
      <c r="V77" s="52" cm="1">
        <f t="array" ref="V77">EntericMethane_PastureBeef_Equations.VEERG_3_2_1_1__3_FeedIntakeForGrazingBeef(V45,V61,X29)</f>
        <v>7.1468536895999959</v>
      </c>
      <c r="W77" s="52" cm="1">
        <f t="array" ref="W77">EntericMethane_PastureBeef_Equations.VEERG_3_2_1_1__3_FeedIntakeForGrazingBeef(W45,W61,Y29)</f>
        <v>9.4559940036000008</v>
      </c>
      <c r="X77" s="52" cm="1">
        <f t="array" ref="X77">EntericMethane_PastureBeef_Equations.VEERG_3_2_1_1__3_FeedIntakeForGrazingBeef(X45,X61,Z29)</f>
        <v>6.010342559999998</v>
      </c>
      <c r="Y77" s="52" cm="1">
        <f t="array" ref="Y77">EntericMethane_PastureBeef_Equations.VEERG_3_2_1_1__3_FeedIntakeForGrazingBeef(Y45,Y61,AA29)</f>
        <v>7.8705497025</v>
      </c>
      <c r="Z77" s="52" cm="1">
        <f t="array" ref="Z77">EntericMethane_PastureBeef_Equations.VEERG_3_2_1_1__3_FeedIntakeForGrazingBeef(Z45,Z61,AB29)</f>
        <v>7.7928072335999978</v>
      </c>
      <c r="AA77" s="52" cm="1">
        <f t="array" ref="AA77">EntericMethane_PastureBeef_Equations.VEERG_3_2_1_1__3_FeedIntakeForGrazingBeef(AA45,AA61,AC29)</f>
        <v>7.7928072335999978</v>
      </c>
      <c r="AB77" s="52" cm="1">
        <f t="array" ref="AB77">EntericMethane_PastureBeef_Equations.VEERG_3_2_1_1__3_FeedIntakeForGrazingBeef(AB45,AB61,AD29)</f>
        <v>6.5876408896000003</v>
      </c>
      <c r="AC77" s="52" cm="1">
        <f t="array" ref="AC77">EntericMethane_PastureBeef_Equations.VEERG_3_2_1_1__3_FeedIntakeForGrazingBeef(AC45,AC61,AE29)</f>
        <v>7.3430702361</v>
      </c>
      <c r="AD77" s="52" cm="1">
        <f t="array" ref="AD77">EntericMethane_PastureBeef_Equations.VEERG_3_2_1_1__3_FeedIntakeForGrazingBeef(AD45,AD61,AF29)</f>
        <v>7.3430702361</v>
      </c>
      <c r="AE77" s="52" cm="1">
        <f t="array" ref="AE77">EntericMethane_PastureBeef_Equations.VEERG_3_2_1_1__3_FeedIntakeForGrazingBeef(AE45,AE61,AG31)</f>
        <v>7.3430702361</v>
      </c>
      <c r="AF77" s="2" t="str">
        <f t="shared" si="2"/>
        <v>kg DM/head/day</v>
      </c>
      <c r="AG77" s="2"/>
      <c r="AH77" s="2"/>
    </row>
    <row r="78" spans="4:34" ht="20.100000000000001" customHeight="1" x14ac:dyDescent="0.25">
      <c r="U78" s="52" t="str">
        <f>TEXT(EDATE('Input - Site'!$E$12,2), "mmmm yyyy")</f>
        <v>March 2024</v>
      </c>
      <c r="V78" s="52" cm="1">
        <f t="array" ref="V78">EntericMethane_PastureBeef_Equations.VEERG_3_2_1_1__3_FeedIntakeForGrazingBeef(V46,V62,X30)</f>
        <v>3.247204</v>
      </c>
      <c r="W78" s="52" cm="1">
        <f t="array" ref="W78">EntericMethane_PastureBeef_Equations.VEERG_3_2_1_1__3_FeedIntakeForGrazingBeef(W46,W62,Y30)</f>
        <v>9.4246544015999998</v>
      </c>
      <c r="X78" s="52" cm="1">
        <f t="array" ref="X78">EntericMethane_PastureBeef_Equations.VEERG_3_2_1_1__3_FeedIntakeForGrazingBeef(X46,X62,Z30)</f>
        <v>2.9603267136000002</v>
      </c>
      <c r="Y78" s="52" cm="1">
        <f t="array" ref="Y78">EntericMethane_PastureBeef_Equations.VEERG_3_2_1_1__3_FeedIntakeForGrazingBeef(Y46,Y62,AA30)</f>
        <v>5.9577975395999987</v>
      </c>
      <c r="Z78" s="52" cm="1">
        <f t="array" ref="Z78">EntericMethane_PastureBeef_Equations.VEERG_3_2_1_1__3_FeedIntakeForGrazingBeef(Z46,Z62,AB30)</f>
        <v>6.7179974480999993</v>
      </c>
      <c r="AA78" s="52" cm="1">
        <f t="array" ref="AA78">EntericMethane_PastureBeef_Equations.VEERG_3_2_1_1__3_FeedIntakeForGrazingBeef(AA46,AA62,AC30)</f>
        <v>6.7179974480999993</v>
      </c>
      <c r="AB78" s="52" cm="1">
        <f t="array" ref="AB78">EntericMethane_PastureBeef_Equations.VEERG_3_2_1_1__3_FeedIntakeForGrazingBeef(AB46,AB62,AD30)</f>
        <v>3.247204</v>
      </c>
      <c r="AC78" s="52" cm="1">
        <f t="array" ref="AC78">EntericMethane_PastureBeef_Equations.VEERG_3_2_1_1__3_FeedIntakeForGrazingBeef(AC46,AC62,AE30)</f>
        <v>5.8953782416000013</v>
      </c>
      <c r="AD78" s="52" cm="1">
        <f t="array" ref="AD78">EntericMethane_PastureBeef_Equations.VEERG_3_2_1_1__3_FeedIntakeForGrazingBeef(AD46,AD62,AF30)</f>
        <v>5.8953782416000013</v>
      </c>
      <c r="AE78" s="52" cm="1">
        <f t="array" ref="AE78">EntericMethane_PastureBeef_Equations.VEERG_3_2_1_1__3_FeedIntakeForGrazingBeef(AE46,AE62,AG32)</f>
        <v>5.8953782416000013</v>
      </c>
      <c r="AF78" s="2" t="str">
        <f t="shared" si="2"/>
        <v>kg DM/head/day</v>
      </c>
      <c r="AG78" s="2"/>
      <c r="AH78" s="2"/>
    </row>
    <row r="79" spans="4:34" ht="20.100000000000001" customHeight="1" x14ac:dyDescent="0.25">
      <c r="U79" s="52" t="str">
        <f>TEXT(EDATE('Input - Site'!$E$12,3), "mmmm yyyy")</f>
        <v>April 2024</v>
      </c>
      <c r="V79" s="52" cm="1">
        <f t="array" ref="V79">EntericMethane_PastureBeef_Equations.VEERG_3_2_1_1__3_FeedIntakeForGrazingBeef(V47,V63,X31)</f>
        <v>3.247204</v>
      </c>
      <c r="W79" s="52" cm="1">
        <f t="array" ref="W79">EntericMethane_PastureBeef_Equations.VEERG_3_2_1_1__3_FeedIntakeForGrazingBeef(W47,W63,Y31)</f>
        <v>9.4246544015999998</v>
      </c>
      <c r="X79" s="52" cm="1">
        <f t="array" ref="X79">EntericMethane_PastureBeef_Equations.VEERG_3_2_1_1__3_FeedIntakeForGrazingBeef(X47,X63,Z31)</f>
        <v>2.9603267136000002</v>
      </c>
      <c r="Y79" s="52" cm="1">
        <f t="array" ref="Y79">EntericMethane_PastureBeef_Equations.VEERG_3_2_1_1__3_FeedIntakeForGrazingBeef(Y47,Y63,AA31)</f>
        <v>5.9577975395999987</v>
      </c>
      <c r="Z79" s="52" cm="1">
        <f t="array" ref="Z79">EntericMethane_PastureBeef_Equations.VEERG_3_2_1_1__3_FeedIntakeForGrazingBeef(Z47,Z63,AB31)</f>
        <v>6.7179974480999993</v>
      </c>
      <c r="AA79" s="52" cm="1">
        <f t="array" ref="AA79">EntericMethane_PastureBeef_Equations.VEERG_3_2_1_1__3_FeedIntakeForGrazingBeef(AA47,AA63,AC31)</f>
        <v>6.7179974480999993</v>
      </c>
      <c r="AB79" s="52" cm="1">
        <f t="array" ref="AB79">EntericMethane_PastureBeef_Equations.VEERG_3_2_1_1__3_FeedIntakeForGrazingBeef(AB47,AB63,AD31)</f>
        <v>3.247204</v>
      </c>
      <c r="AC79" s="52" cm="1">
        <f t="array" ref="AC79">EntericMethane_PastureBeef_Equations.VEERG_3_2_1_1__3_FeedIntakeForGrazingBeef(AC47,AC63,AE31)</f>
        <v>5.8953782416000013</v>
      </c>
      <c r="AD79" s="52" cm="1">
        <f t="array" ref="AD79">EntericMethane_PastureBeef_Equations.VEERG_3_2_1_1__3_FeedIntakeForGrazingBeef(AD47,AD63,AF31)</f>
        <v>5.8953782416000013</v>
      </c>
      <c r="AE79" s="52" cm="1">
        <f t="array" ref="AE79">EntericMethane_PastureBeef_Equations.VEERG_3_2_1_1__3_FeedIntakeForGrazingBeef(AE47,AE63,AG33)</f>
        <v>5.8953782416000013</v>
      </c>
      <c r="AF79" s="2" t="str">
        <f t="shared" si="2"/>
        <v>kg DM/head/day</v>
      </c>
      <c r="AG79" s="2"/>
      <c r="AH79" s="2"/>
    </row>
    <row r="80" spans="4:34" ht="20.100000000000001" customHeight="1" x14ac:dyDescent="0.25">
      <c r="U80" s="52" t="str">
        <f>TEXT(EDATE('Input - Site'!$E$12,4), "mmmm yyyy")</f>
        <v>May 2024</v>
      </c>
      <c r="V80" s="52" cm="1">
        <f t="array" ref="V80">EntericMethane_PastureBeef_Equations.VEERG_3_2_1_1__3_FeedIntakeForGrazingBeef(V48,V64,X32)</f>
        <v>3.247204</v>
      </c>
      <c r="W80" s="52" cm="1">
        <f t="array" ref="W80">EntericMethane_PastureBeef_Equations.VEERG_3_2_1_1__3_FeedIntakeForGrazingBeef(W48,W64,Y32)</f>
        <v>9.4246544015999998</v>
      </c>
      <c r="X80" s="52" cm="1">
        <f t="array" ref="X80">EntericMethane_PastureBeef_Equations.VEERG_3_2_1_1__3_FeedIntakeForGrazingBeef(X48,X64,Z32)</f>
        <v>2.9603267136000002</v>
      </c>
      <c r="Y80" s="52" cm="1">
        <f t="array" ref="Y80">EntericMethane_PastureBeef_Equations.VEERG_3_2_1_1__3_FeedIntakeForGrazingBeef(Y48,Y64,AA32)</f>
        <v>5.9577975395999987</v>
      </c>
      <c r="Z80" s="52" cm="1">
        <f t="array" ref="Z80">EntericMethane_PastureBeef_Equations.VEERG_3_2_1_1__3_FeedIntakeForGrazingBeef(Z48,Z64,AB32)</f>
        <v>6.7179974480999993</v>
      </c>
      <c r="AA80" s="52" cm="1">
        <f t="array" ref="AA80">EntericMethane_PastureBeef_Equations.VEERG_3_2_1_1__3_FeedIntakeForGrazingBeef(AA48,AA64,AC32)</f>
        <v>6.7179974480999993</v>
      </c>
      <c r="AB80" s="52" cm="1">
        <f t="array" ref="AB80">EntericMethane_PastureBeef_Equations.VEERG_3_2_1_1__3_FeedIntakeForGrazingBeef(AB48,AB64,AD32)</f>
        <v>3.247204</v>
      </c>
      <c r="AC80" s="52" cm="1">
        <f t="array" ref="AC80">EntericMethane_PastureBeef_Equations.VEERG_3_2_1_1__3_FeedIntakeForGrazingBeef(AC48,AC64,AE32)</f>
        <v>5.8953782416000013</v>
      </c>
      <c r="AD80" s="52" cm="1">
        <f t="array" ref="AD80">EntericMethane_PastureBeef_Equations.VEERG_3_2_1_1__3_FeedIntakeForGrazingBeef(AD48,AD64,AF32)</f>
        <v>5.8953782416000013</v>
      </c>
      <c r="AE80" s="52" cm="1">
        <f t="array" ref="AE80">EntericMethane_PastureBeef_Equations.VEERG_3_2_1_1__3_FeedIntakeForGrazingBeef(AE48,AE64,AG34)</f>
        <v>5.8953782416000013</v>
      </c>
      <c r="AF80" s="2" t="str">
        <f t="shared" si="2"/>
        <v>kg DM/head/day</v>
      </c>
    </row>
    <row r="81" spans="4:34" ht="20.100000000000001" customHeight="1" x14ac:dyDescent="0.25">
      <c r="D81" s="99" t="s">
        <v>246</v>
      </c>
      <c r="U81" s="52" t="str">
        <f>TEXT(EDATE('Input - Site'!$E$12,5), "mmmm yyyy")</f>
        <v>June 2024</v>
      </c>
      <c r="V81" s="52" cm="1">
        <f t="array" ref="V81">EntericMethane_PastureBeef_Equations.VEERG_3_2_1_1__3_FeedIntakeForGrazingBeef(V49,V65,X33)</f>
        <v>5.1328980481000004</v>
      </c>
      <c r="W81" s="52" cm="1">
        <f t="array" ref="W81">EntericMethane_PastureBeef_Equations.VEERG_3_2_1_1__3_FeedIntakeForGrazingBeef(W49,W65,Y33)</f>
        <v>9.9748588899999984</v>
      </c>
      <c r="X81" s="52" cm="1">
        <f t="array" ref="X81">EntericMethane_PastureBeef_Equations.VEERG_3_2_1_1__3_FeedIntakeForGrazingBeef(X49,X65,Z33)</f>
        <v>4.202705002500001</v>
      </c>
      <c r="Y81" s="52" cm="1">
        <f t="array" ref="Y81">EntericMethane_PastureBeef_Equations.VEERG_3_2_1_1__3_FeedIntakeForGrazingBeef(Y49,Y65,AA33)</f>
        <v>5.9278127841000021</v>
      </c>
      <c r="Z81" s="52" cm="1">
        <f t="array" ref="Z81">EntericMethane_PastureBeef_Equations.VEERG_3_2_1_1__3_FeedIntakeForGrazingBeef(Z49,Z65,AB33)</f>
        <v>7.952343600099999</v>
      </c>
      <c r="AA81" s="52" cm="1">
        <f t="array" ref="AA81">EntericMethane_PastureBeef_Equations.VEERG_3_2_1_1__3_FeedIntakeForGrazingBeef(AA49,AA65,AC33)</f>
        <v>7.952343600099999</v>
      </c>
      <c r="AB81" s="52" cm="1">
        <f t="array" ref="AB81">EntericMethane_PastureBeef_Equations.VEERG_3_2_1_1__3_FeedIntakeForGrazingBeef(AB49,AB65,AD33)</f>
        <v>4.5122681240999984</v>
      </c>
      <c r="AC81" s="52" cm="1">
        <f t="array" ref="AC81">EntericMethane_PastureBeef_Equations.VEERG_3_2_1_1__3_FeedIntakeForGrazingBeef(AC49,AC65,AE33)</f>
        <v>6.8698506815999991</v>
      </c>
      <c r="AD81" s="52" cm="1">
        <f t="array" ref="AD81">EntericMethane_PastureBeef_Equations.VEERG_3_2_1_1__3_FeedIntakeForGrazingBeef(AD49,AD65,AF33)</f>
        <v>6.8698506815999991</v>
      </c>
      <c r="AE81" s="52" cm="1">
        <f t="array" ref="AE81">EntericMethane_PastureBeef_Equations.VEERG_3_2_1_1__3_FeedIntakeForGrazingBeef(AE49,AE65,AG35)</f>
        <v>6.8698506815999991</v>
      </c>
      <c r="AF81" s="2" t="str">
        <f t="shared" si="2"/>
        <v>kg DM/head/day</v>
      </c>
    </row>
    <row r="82" spans="4:34" ht="20.100000000000001" customHeight="1" x14ac:dyDescent="0.25">
      <c r="D82" s="98" t="s">
        <v>144</v>
      </c>
      <c r="U82" s="52" t="str">
        <f>TEXT(EDATE('Input - Site'!$E$12,6), "mmmm yyyy")</f>
        <v>July 2024</v>
      </c>
      <c r="V82" s="52" cm="1">
        <f t="array" ref="V82">EntericMethane_PastureBeef_Equations.VEERG_3_2_1_1__3_FeedIntakeForGrazingBeef(V50,V66,X34)</f>
        <v>5.1328980481000004</v>
      </c>
      <c r="W82" s="52" cm="1">
        <f t="array" ref="W82">EntericMethane_PastureBeef_Equations.VEERG_3_2_1_1__3_FeedIntakeForGrazingBeef(W50,W66,Y34)</f>
        <v>9.9748588899999984</v>
      </c>
      <c r="X82" s="52" cm="1">
        <f t="array" ref="X82">EntericMethane_PastureBeef_Equations.VEERG_3_2_1_1__3_FeedIntakeForGrazingBeef(X50,X66,Z34)</f>
        <v>4.202705002500001</v>
      </c>
      <c r="Y82" s="52" cm="1">
        <f t="array" ref="Y82">EntericMethane_PastureBeef_Equations.VEERG_3_2_1_1__3_FeedIntakeForGrazingBeef(Y50,Y66,AA34)</f>
        <v>5.9278127841000021</v>
      </c>
      <c r="Z82" s="52" cm="1">
        <f t="array" ref="Z82">EntericMethane_PastureBeef_Equations.VEERG_3_2_1_1__3_FeedIntakeForGrazingBeef(Z50,Z66,AB34)</f>
        <v>7.952343600099999</v>
      </c>
      <c r="AA82" s="52" cm="1">
        <f t="array" ref="AA82">EntericMethane_PastureBeef_Equations.VEERG_3_2_1_1__3_FeedIntakeForGrazingBeef(AA50,AA66,AC34)</f>
        <v>7.952343600099999</v>
      </c>
      <c r="AB82" s="52" cm="1">
        <f t="array" ref="AB82">EntericMethane_PastureBeef_Equations.VEERG_3_2_1_1__3_FeedIntakeForGrazingBeef(AB50,AB66,AD34)</f>
        <v>4.5122681240999984</v>
      </c>
      <c r="AC82" s="52" cm="1">
        <f t="array" ref="AC82">EntericMethane_PastureBeef_Equations.VEERG_3_2_1_1__3_FeedIntakeForGrazingBeef(AC50,AC66,AE34)</f>
        <v>6.8698506815999991</v>
      </c>
      <c r="AD82" s="52" cm="1">
        <f t="array" ref="AD82">EntericMethane_PastureBeef_Equations.VEERG_3_2_1_1__3_FeedIntakeForGrazingBeef(AD50,AD66,AF34)</f>
        <v>6.8698506815999991</v>
      </c>
      <c r="AE82" s="52" cm="1">
        <f t="array" ref="AE82">EntericMethane_PastureBeef_Equations.VEERG_3_2_1_1__3_FeedIntakeForGrazingBeef(AE50,AE66,AG36)</f>
        <v>6.8698506815999991</v>
      </c>
      <c r="AF82" s="2" t="str">
        <f t="shared" si="2"/>
        <v>kg DM/head/day</v>
      </c>
    </row>
    <row r="83" spans="4:34" ht="20.100000000000001" customHeight="1" x14ac:dyDescent="0.25">
      <c r="D83" s="51" t="s">
        <v>184</v>
      </c>
      <c r="E83" s="51" t="s">
        <v>131</v>
      </c>
      <c r="F83" s="51" t="s">
        <v>130</v>
      </c>
      <c r="G83" s="51" t="s">
        <v>165</v>
      </c>
      <c r="H83" s="51" t="s">
        <v>166</v>
      </c>
      <c r="I83" s="51" t="s">
        <v>167</v>
      </c>
      <c r="J83" s="51" t="s">
        <v>168</v>
      </c>
      <c r="K83" s="51" t="s">
        <v>169</v>
      </c>
      <c r="L83" s="51" t="s">
        <v>170</v>
      </c>
      <c r="M83" s="51" t="s">
        <v>171</v>
      </c>
      <c r="N83" s="51" t="s">
        <v>172</v>
      </c>
      <c r="U83" s="52" t="str">
        <f>TEXT(EDATE('Input - Site'!$E$12,7), "mmmm yyyy")</f>
        <v>August 2024</v>
      </c>
      <c r="V83" s="52" cm="1">
        <f t="array" ref="V83">EntericMethane_PastureBeef_Equations.VEERG_3_2_1_1__3_FeedIntakeForGrazingBeef(V51,V67,X35)</f>
        <v>5.1328980481000004</v>
      </c>
      <c r="W83" s="52" cm="1">
        <f t="array" ref="W83">EntericMethane_PastureBeef_Equations.VEERG_3_2_1_1__3_FeedIntakeForGrazingBeef(W51,W67,Y35)</f>
        <v>9.9748588899999984</v>
      </c>
      <c r="X83" s="52" cm="1">
        <f t="array" ref="X83">EntericMethane_PastureBeef_Equations.VEERG_3_2_1_1__3_FeedIntakeForGrazingBeef(X51,X67,Z35)</f>
        <v>4.202705002500001</v>
      </c>
      <c r="Y83" s="52" cm="1">
        <f t="array" ref="Y83">EntericMethane_PastureBeef_Equations.VEERG_3_2_1_1__3_FeedIntakeForGrazingBeef(Y51,Y67,AA35)</f>
        <v>7.2615706605225032</v>
      </c>
      <c r="Z83" s="52" cm="1">
        <f t="array" ref="Z83">EntericMethane_PastureBeef_Equations.VEERG_3_2_1_1__3_FeedIntakeForGrazingBeef(Z51,Z67,AB35)</f>
        <v>9.7416209101224993</v>
      </c>
      <c r="AA83" s="52" cm="1">
        <f t="array" ref="AA83">EntericMethane_PastureBeef_Equations.VEERG_3_2_1_1__3_FeedIntakeForGrazingBeef(AA51,AA67,AC35)</f>
        <v>9.7416209101224993</v>
      </c>
      <c r="AB83" s="52" cm="1">
        <f t="array" ref="AB83">EntericMethane_PastureBeef_Equations.VEERG_3_2_1_1__3_FeedIntakeForGrazingBeef(AB51,AB67,AD35)</f>
        <v>4.5122681240999984</v>
      </c>
      <c r="AC83" s="52" cm="1">
        <f t="array" ref="AC83">EntericMethane_PastureBeef_Equations.VEERG_3_2_1_1__3_FeedIntakeForGrazingBeef(AC51,AC67,AE35)</f>
        <v>6.8698506815999991</v>
      </c>
      <c r="AD83" s="52" cm="1">
        <f t="array" ref="AD83">EntericMethane_PastureBeef_Equations.VEERG_3_2_1_1__3_FeedIntakeForGrazingBeef(AD51,AD67,AF35)</f>
        <v>6.8698506815999991</v>
      </c>
      <c r="AE83" s="52" cm="1">
        <f t="array" ref="AE83">EntericMethane_PastureBeef_Equations.VEERG_3_2_1_1__3_FeedIntakeForGrazingBeef(AE51,AE67,AG37)</f>
        <v>6.8698506815999991</v>
      </c>
      <c r="AF83" s="2" t="str">
        <f t="shared" si="2"/>
        <v>kg DM/head/day</v>
      </c>
    </row>
    <row r="84" spans="4:34" ht="20.100000000000001" customHeight="1" x14ac:dyDescent="0.25">
      <c r="D84" s="52" t="s">
        <v>173</v>
      </c>
      <c r="E84" s="52" cm="1">
        <f t="array" ref="E84">EntericMethane_PastureBeef_Equations.VEERG_3_2_1_1__3_FeedIntakeForGrazingBeef(E52,E68,G30)</f>
        <v>8.6709047296000001</v>
      </c>
      <c r="F84" s="52" cm="1">
        <f t="array" ref="F84">EntericMethane_PastureBeef_Equations.VEERG_3_2_1_1__3_FeedIntakeForGrazingBeef(F52,F68,H30)</f>
        <v>12.246500250000002</v>
      </c>
      <c r="G84" s="52" cm="1">
        <f t="array" ref="G84">EntericMethane_PastureBeef_Equations.VEERG_3_2_1_1__3_FeedIntakeForGrazingBeef(G52,G68,I30)</f>
        <v>6.6089612241000006</v>
      </c>
      <c r="H84" s="52" cm="1">
        <f t="array" ref="H84">EntericMethane_PastureBeef_Equations.VEERG_3_2_1_1__3_FeedIntakeForGrazingBeef(H52,H68,J30)</f>
        <v>9.4536614511090029</v>
      </c>
      <c r="I84" s="52" cm="1">
        <f t="array" ref="I84">EntericMethane_PastureBeef_Equations.VEERG_3_2_1_1__3_FeedIntakeForGrazingBeef(I52,I68,K30)</f>
        <v>10.112646138000002</v>
      </c>
      <c r="J84" s="52" cm="1">
        <f t="array" ref="J84">EntericMethane_PastureBeef_Equations.VEERG_3_2_1_1__3_FeedIntakeForGrazingBeef(J52,J68,L30)</f>
        <v>10.112646138000002</v>
      </c>
      <c r="K84" s="52" cm="1">
        <f t="array" ref="K84">EntericMethane_PastureBeef_Equations.VEERG_3_2_1_1__3_FeedIntakeForGrazingBeef(K52,K68,M30)</f>
        <v>7.6192560899999977</v>
      </c>
      <c r="L84" s="52" cm="1">
        <f t="array" ref="L84">EntericMethane_PastureBeef_Equations.VEERG_3_2_1_1__3_FeedIntakeForGrazingBeef(L52,L68,N30)</f>
        <v>9.6824279555999979</v>
      </c>
      <c r="M84" s="52" cm="1">
        <f t="array" ref="M84">EntericMethane_PastureBeef_Equations.VEERG_3_2_1_1__3_FeedIntakeForGrazingBeef(M52,M68,O30)</f>
        <v>9.6824279555999979</v>
      </c>
      <c r="N84" s="52" cm="1">
        <f t="array" ref="N84">EntericMethane_PastureBeef_Equations.VEERG_3_2_1_1__3_FeedIntakeForGrazingBeef(N52,N68,P30)</f>
        <v>9.6824279555999979</v>
      </c>
      <c r="O84" s="2" t="str">
        <f>$E$43</f>
        <v>kg DM/head/day</v>
      </c>
      <c r="P84" s="2"/>
      <c r="Q84" s="2"/>
      <c r="U84" s="52" t="str">
        <f>TEXT(EDATE('Input - Site'!$E$12,8), "mmmm yyyy")</f>
        <v>September 2024</v>
      </c>
      <c r="V84" s="52" cm="1">
        <f t="array" ref="V84">EntericMethane_PastureBeef_Equations.VEERG_3_2_1_1__3_FeedIntakeForGrazingBeef(V52,V68,X36)</f>
        <v>8.6709047296000001</v>
      </c>
      <c r="W84" s="52" cm="1">
        <f t="array" ref="W84">EntericMethane_PastureBeef_Equations.VEERG_3_2_1_1__3_FeedIntakeForGrazingBeef(W52,W68,Y36)</f>
        <v>12.246500250000002</v>
      </c>
      <c r="X84" s="52" cm="1">
        <f t="array" ref="X84">EntericMethane_PastureBeef_Equations.VEERG_3_2_1_1__3_FeedIntakeForGrazingBeef(X52,X68,Z36)</f>
        <v>6.6089612241000006</v>
      </c>
      <c r="Y84" s="52" cm="1">
        <f t="array" ref="Y84">EntericMethane_PastureBeef_Equations.VEERG_3_2_1_1__3_FeedIntakeForGrazingBeef(Y52,Y68,AA36)</f>
        <v>10.624527777622504</v>
      </c>
      <c r="Z84" s="52" cm="1">
        <f t="array" ref="Z84">EntericMethane_PastureBeef_Equations.VEERG_3_2_1_1__3_FeedIntakeForGrazingBeef(Z52,Z68,AB36)</f>
        <v>11.798087161000003</v>
      </c>
      <c r="AA84" s="52" cm="1">
        <f t="array" ref="AA84">EntericMethane_PastureBeef_Equations.VEERG_3_2_1_1__3_FeedIntakeForGrazingBeef(AA52,AA68,AC36)</f>
        <v>11.798087161000003</v>
      </c>
      <c r="AB84" s="52" cm="1">
        <f t="array" ref="AB84">EntericMethane_PastureBeef_Equations.VEERG_3_2_1_1__3_FeedIntakeForGrazingBeef(AB52,AB68,AD36)</f>
        <v>7.6192560899999977</v>
      </c>
      <c r="AC84" s="52" cm="1">
        <f t="array" ref="AC84">EntericMethane_PastureBeef_Equations.VEERG_3_2_1_1__3_FeedIntakeForGrazingBeef(AC52,AC68,AE36)</f>
        <v>9.6824279555999979</v>
      </c>
      <c r="AD84" s="52" cm="1">
        <f t="array" ref="AD84">EntericMethane_PastureBeef_Equations.VEERG_3_2_1_1__3_FeedIntakeForGrazingBeef(AD52,AD68,AF36)</f>
        <v>9.6824279555999979</v>
      </c>
      <c r="AE84" s="52" cm="1">
        <f t="array" ref="AE84">EntericMethane_PastureBeef_Equations.VEERG_3_2_1_1__3_FeedIntakeForGrazingBeef(AE52,AE68,AG38)</f>
        <v>9.6824279555999979</v>
      </c>
      <c r="AF84" s="2" t="str">
        <f t="shared" si="2"/>
        <v>kg DM/head/day</v>
      </c>
      <c r="AG84" s="2"/>
      <c r="AH84" s="2"/>
    </row>
    <row r="85" spans="4:34" ht="20.100000000000001" customHeight="1" x14ac:dyDescent="0.25">
      <c r="D85" s="52" t="s">
        <v>174</v>
      </c>
      <c r="E85" s="52" cm="1">
        <f t="array" ref="E85">EntericMethane_PastureBeef_Equations.VEERG_3_2_1_1__3_FeedIntakeForGrazingBeef(E53,E69,G31)</f>
        <v>7.1468536895999959</v>
      </c>
      <c r="F85" s="52" cm="1">
        <f t="array" ref="F85">EntericMethane_PastureBeef_Equations.VEERG_3_2_1_1__3_FeedIntakeForGrazingBeef(F53,F69,H31)</f>
        <v>9.4559940036000008</v>
      </c>
      <c r="G85" s="52" cm="1">
        <f t="array" ref="G85">EntericMethane_PastureBeef_Equations.VEERG_3_2_1_1__3_FeedIntakeForGrazingBeef(G53,G69,I31)</f>
        <v>6.010342559999998</v>
      </c>
      <c r="H85" s="52" cm="1">
        <f t="array" ref="H85">EntericMethane_PastureBeef_Equations.VEERG_3_2_1_1__3_FeedIntakeForGrazingBeef(H53,H69,J31)</f>
        <v>7.8705497025</v>
      </c>
      <c r="I85" s="52" cm="1">
        <f t="array" ref="I85">EntericMethane_PastureBeef_Equations.VEERG_3_2_1_1__3_FeedIntakeForGrazingBeef(I53,I69,K31)</f>
        <v>7.7928072335999978</v>
      </c>
      <c r="J85" s="52" cm="1">
        <f t="array" ref="J85">EntericMethane_PastureBeef_Equations.VEERG_3_2_1_1__3_FeedIntakeForGrazingBeef(J53,J69,L31)</f>
        <v>7.7928072335999978</v>
      </c>
      <c r="K85" s="52" cm="1">
        <f t="array" ref="K85">EntericMethane_PastureBeef_Equations.VEERG_3_2_1_1__3_FeedIntakeForGrazingBeef(K53,K69,M31)</f>
        <v>6.5876408896000003</v>
      </c>
      <c r="L85" s="52" cm="1">
        <f t="array" ref="L85">EntericMethane_PastureBeef_Equations.VEERG_3_2_1_1__3_FeedIntakeForGrazingBeef(L53,L69,N31)</f>
        <v>7.3430702361</v>
      </c>
      <c r="M85" s="52" cm="1">
        <f t="array" ref="M85">EntericMethane_PastureBeef_Equations.VEERG_3_2_1_1__3_FeedIntakeForGrazingBeef(M53,M69,O31)</f>
        <v>7.3430702361</v>
      </c>
      <c r="N85" s="52" cm="1">
        <f t="array" ref="N85">EntericMethane_PastureBeef_Equations.VEERG_3_2_1_1__3_FeedIntakeForGrazingBeef(N53,N69,P31)</f>
        <v>7.3430702361</v>
      </c>
      <c r="O85" s="2" t="str">
        <f>$E$43</f>
        <v>kg DM/head/day</v>
      </c>
      <c r="P85" s="2"/>
      <c r="Q85" s="2"/>
      <c r="U85" s="52" t="str">
        <f>TEXT(EDATE('Input - Site'!$E$12,9), "mmmm yyyy")</f>
        <v>October 2024</v>
      </c>
      <c r="V85" s="52" cm="1">
        <f t="array" ref="V85">EntericMethane_PastureBeef_Equations.VEERG_3_2_1_1__3_FeedIntakeForGrazingBeef(V53,V69,X37)</f>
        <v>8.6709047296000001</v>
      </c>
      <c r="W85" s="52" cm="1">
        <f t="array" ref="W85">EntericMethane_PastureBeef_Equations.VEERG_3_2_1_1__3_FeedIntakeForGrazingBeef(W53,W69,Y37)</f>
        <v>12.246500250000002</v>
      </c>
      <c r="X85" s="52" cm="1">
        <f t="array" ref="X85">EntericMethane_PastureBeef_Equations.VEERG_3_2_1_1__3_FeedIntakeForGrazingBeef(X53,X69,Z37)</f>
        <v>6.6089612241000006</v>
      </c>
      <c r="Y85" s="52" cm="1">
        <f t="array" ref="Y85">EntericMethane_PastureBeef_Equations.VEERG_3_2_1_1__3_FeedIntakeForGrazingBeef(Y53,Y69,AA37)</f>
        <v>10.624527777622504</v>
      </c>
      <c r="Z85" s="52" cm="1">
        <f t="array" ref="Z85">EntericMethane_PastureBeef_Equations.VEERG_3_2_1_1__3_FeedIntakeForGrazingBeef(Z53,Z69,AB37)</f>
        <v>11.798087161000003</v>
      </c>
      <c r="AA85" s="52" cm="1">
        <f t="array" ref="AA85">EntericMethane_PastureBeef_Equations.VEERG_3_2_1_1__3_FeedIntakeForGrazingBeef(AA53,AA69,AC37)</f>
        <v>11.798087161000003</v>
      </c>
      <c r="AB85" s="52" cm="1">
        <f t="array" ref="AB85">EntericMethane_PastureBeef_Equations.VEERG_3_2_1_1__3_FeedIntakeForGrazingBeef(AB53,AB69,AD37)</f>
        <v>7.6192560899999977</v>
      </c>
      <c r="AC85" s="52" cm="1">
        <f t="array" ref="AC85">EntericMethane_PastureBeef_Equations.VEERG_3_2_1_1__3_FeedIntakeForGrazingBeef(AC53,AC69,AE37)</f>
        <v>9.6824279555999979</v>
      </c>
      <c r="AD85" s="52" cm="1">
        <f t="array" ref="AD85">EntericMethane_PastureBeef_Equations.VEERG_3_2_1_1__3_FeedIntakeForGrazingBeef(AD53,AD69,AF37)</f>
        <v>9.6824279555999979</v>
      </c>
      <c r="AE85" s="52" cm="1">
        <f t="array" ref="AE85">EntericMethane_PastureBeef_Equations.VEERG_3_2_1_1__3_FeedIntakeForGrazingBeef(AE53,AE69,AG39)</f>
        <v>9.6824279555999979</v>
      </c>
      <c r="AF85" s="2" t="str">
        <f t="shared" si="2"/>
        <v>kg DM/head/day</v>
      </c>
      <c r="AG85" s="2"/>
      <c r="AH85" s="2"/>
    </row>
    <row r="86" spans="4:34" ht="20.100000000000001" customHeight="1" x14ac:dyDescent="0.25">
      <c r="D86" s="52" t="s">
        <v>175</v>
      </c>
      <c r="E86" s="52" cm="1">
        <f t="array" ref="E86">EntericMethane_PastureBeef_Equations.VEERG_3_2_1_1__3_FeedIntakeForGrazingBeef(E54,E70,G32)</f>
        <v>3.247204</v>
      </c>
      <c r="F86" s="52" cm="1">
        <f t="array" ref="F86">EntericMethane_PastureBeef_Equations.VEERG_3_2_1_1__3_FeedIntakeForGrazingBeef(F54,F70,H32)</f>
        <v>9.4246544015999998</v>
      </c>
      <c r="G86" s="52" cm="1">
        <f t="array" ref="G86">EntericMethane_PastureBeef_Equations.VEERG_3_2_1_1__3_FeedIntakeForGrazingBeef(G54,G70,I32)</f>
        <v>2.9603267136000002</v>
      </c>
      <c r="H86" s="52" cm="1">
        <f t="array" ref="H86">EntericMethane_PastureBeef_Equations.VEERG_3_2_1_1__3_FeedIntakeForGrazingBeef(H54,H70,J32)</f>
        <v>5.9577975395999987</v>
      </c>
      <c r="I86" s="52" cm="1">
        <f t="array" ref="I86">EntericMethane_PastureBeef_Equations.VEERG_3_2_1_1__3_FeedIntakeForGrazingBeef(I54,I70,K32)</f>
        <v>6.7179974480999993</v>
      </c>
      <c r="J86" s="52" cm="1">
        <f t="array" ref="J86">EntericMethane_PastureBeef_Equations.VEERG_3_2_1_1__3_FeedIntakeForGrazingBeef(J54,J70,L32)</f>
        <v>6.7179974480999993</v>
      </c>
      <c r="K86" s="52" cm="1">
        <f t="array" ref="K86">EntericMethane_PastureBeef_Equations.VEERG_3_2_1_1__3_FeedIntakeForGrazingBeef(K54,K70,M32)</f>
        <v>3.247204</v>
      </c>
      <c r="L86" s="52" cm="1">
        <f t="array" ref="L86">EntericMethane_PastureBeef_Equations.VEERG_3_2_1_1__3_FeedIntakeForGrazingBeef(L54,L70,N32)</f>
        <v>5.8953782416000013</v>
      </c>
      <c r="M86" s="52" cm="1">
        <f t="array" ref="M86">EntericMethane_PastureBeef_Equations.VEERG_3_2_1_1__3_FeedIntakeForGrazingBeef(M54,M70,O32)</f>
        <v>5.8953782416000013</v>
      </c>
      <c r="N86" s="52" cm="1">
        <f t="array" ref="N86">EntericMethane_PastureBeef_Equations.VEERG_3_2_1_1__3_FeedIntakeForGrazingBeef(N54,N70,P32)</f>
        <v>5.8953782416000013</v>
      </c>
      <c r="O86" s="2" t="str">
        <f>$E$43</f>
        <v>kg DM/head/day</v>
      </c>
      <c r="P86" s="2"/>
      <c r="Q86" s="2"/>
      <c r="U86" s="52" t="str">
        <f>TEXT(EDATE('Input - Site'!$E$12,10), "mmmm yyyy")</f>
        <v>November 2024</v>
      </c>
      <c r="V86" s="52" cm="1">
        <f t="array" ref="V86">EntericMethane_PastureBeef_Equations.VEERG_3_2_1_1__3_FeedIntakeForGrazingBeef(V54,V70,X38)</f>
        <v>8.6709047296000001</v>
      </c>
      <c r="W86" s="52" cm="1">
        <f t="array" ref="W86">EntericMethane_PastureBeef_Equations.VEERG_3_2_1_1__3_FeedIntakeForGrazingBeef(W54,W70,Y38)</f>
        <v>12.246500250000002</v>
      </c>
      <c r="X86" s="52" cm="1">
        <f t="array" ref="X86">EntericMethane_PastureBeef_Equations.VEERG_3_2_1_1__3_FeedIntakeForGrazingBeef(X54,X70,Z38)</f>
        <v>6.6089612241000006</v>
      </c>
      <c r="Y86" s="52" cm="1">
        <f t="array" ref="Y86">EntericMethane_PastureBeef_Equations.VEERG_3_2_1_1__3_FeedIntakeForGrazingBeef(Y54,Y70,AA38)</f>
        <v>9.3235651926075036</v>
      </c>
      <c r="Z86" s="52" cm="1">
        <f t="array" ref="Z86">EntericMethane_PastureBeef_Equations.VEERG_3_2_1_1__3_FeedIntakeForGrazingBeef(Z54,Z70,AB38)</f>
        <v>10.353423427000003</v>
      </c>
      <c r="AA86" s="52" cm="1">
        <f t="array" ref="AA86">EntericMethane_PastureBeef_Equations.VEERG_3_2_1_1__3_FeedIntakeForGrazingBeef(AA54,AA70,AC38)</f>
        <v>10.353423427000003</v>
      </c>
      <c r="AB86" s="52" cm="1">
        <f t="array" ref="AB86">EntericMethane_PastureBeef_Equations.VEERG_3_2_1_1__3_FeedIntakeForGrazingBeef(AB54,AB70,AD38)</f>
        <v>7.6192560899999977</v>
      </c>
      <c r="AC86" s="52" cm="1">
        <f t="array" ref="AC86">EntericMethane_PastureBeef_Equations.VEERG_3_2_1_1__3_FeedIntakeForGrazingBeef(AC54,AC70,AE38)</f>
        <v>9.6824279555999979</v>
      </c>
      <c r="AD86" s="52" cm="1">
        <f t="array" ref="AD86">EntericMethane_PastureBeef_Equations.VEERG_3_2_1_1__3_FeedIntakeForGrazingBeef(AD54,AD70,AF38)</f>
        <v>9.6824279555999979</v>
      </c>
      <c r="AE86" s="52" cm="1">
        <f t="array" ref="AE86">EntericMethane_PastureBeef_Equations.VEERG_3_2_1_1__3_FeedIntakeForGrazingBeef(AE54,AE70,AG40)</f>
        <v>9.6824279555999979</v>
      </c>
      <c r="AF86" s="2" t="str">
        <f t="shared" si="2"/>
        <v>kg DM/head/day</v>
      </c>
      <c r="AG86" s="2"/>
      <c r="AH86" s="2"/>
    </row>
    <row r="87" spans="4:34" ht="20.100000000000001" customHeight="1" x14ac:dyDescent="0.25">
      <c r="D87" s="52" t="s">
        <v>176</v>
      </c>
      <c r="E87" s="52" cm="1">
        <f t="array" ref="E87">EntericMethane_PastureBeef_Equations.VEERG_3_2_1_1__3_FeedIntakeForGrazingBeef(E55,E71,G33)</f>
        <v>5.1328980481000004</v>
      </c>
      <c r="F87" s="52" cm="1">
        <f t="array" ref="F87">EntericMethane_PastureBeef_Equations.VEERG_3_2_1_1__3_FeedIntakeForGrazingBeef(F55,F71,H33)</f>
        <v>9.9748588899999984</v>
      </c>
      <c r="G87" s="52" cm="1">
        <f t="array" ref="G87">EntericMethane_PastureBeef_Equations.VEERG_3_2_1_1__3_FeedIntakeForGrazingBeef(G55,G71,I33)</f>
        <v>4.202705002500001</v>
      </c>
      <c r="H87" s="52" cm="1">
        <f t="array" ref="H87">EntericMethane_PastureBeef_Equations.VEERG_3_2_1_1__3_FeedIntakeForGrazingBeef(H55,H71,J33)</f>
        <v>7.5283222358070025</v>
      </c>
      <c r="I87" s="52" cm="1">
        <f t="array" ref="I87">EntericMethane_PastureBeef_Equations.VEERG_3_2_1_1__3_FeedIntakeForGrazingBeef(I55,I71,K33)</f>
        <v>9.145195140114998</v>
      </c>
      <c r="J87" s="52" cm="1">
        <f t="array" ref="J87">EntericMethane_PastureBeef_Equations.VEERG_3_2_1_1__3_FeedIntakeForGrazingBeef(J55,J71,L33)</f>
        <v>9.145195140114998</v>
      </c>
      <c r="K87" s="52" cm="1">
        <f t="array" ref="K87">EntericMethane_PastureBeef_Equations.VEERG_3_2_1_1__3_FeedIntakeForGrazingBeef(K55,K71,M33)</f>
        <v>4.5122681240999984</v>
      </c>
      <c r="L87" s="52" cm="1">
        <f t="array" ref="L87">EntericMethane_PastureBeef_Equations.VEERG_3_2_1_1__3_FeedIntakeForGrazingBeef(L55,L71,N33)</f>
        <v>6.8698506815999991</v>
      </c>
      <c r="M87" s="52" cm="1">
        <f t="array" ref="M87">EntericMethane_PastureBeef_Equations.VEERG_3_2_1_1__3_FeedIntakeForGrazingBeef(M55,M71,O33)</f>
        <v>6.8698506815999991</v>
      </c>
      <c r="N87" s="52" cm="1">
        <f t="array" ref="N87">EntericMethane_PastureBeef_Equations.VEERG_3_2_1_1__3_FeedIntakeForGrazingBeef(N55,N71,P33)</f>
        <v>6.8698506815999991</v>
      </c>
      <c r="O87" s="2" t="str">
        <f>$E$43</f>
        <v>kg DM/head/day</v>
      </c>
      <c r="P87" s="2"/>
      <c r="Q87" s="2"/>
      <c r="U87" s="52" t="str">
        <f>TEXT(EDATE('Input - Site'!$E$12,11), "mmmm yyyy")</f>
        <v>December 2024</v>
      </c>
      <c r="V87" s="52" cm="1">
        <f t="array" ref="V87">EntericMethane_PastureBeef_Equations.VEERG_3_2_1_1__3_FeedIntakeForGrazingBeef(V55,V71,X39)</f>
        <v>7.1468536895999959</v>
      </c>
      <c r="W87" s="52" cm="1">
        <f t="array" ref="W87">EntericMethane_PastureBeef_Equations.VEERG_3_2_1_1__3_FeedIntakeForGrazingBeef(W55,W71,Y39)</f>
        <v>9.4559940036000008</v>
      </c>
      <c r="X87" s="52" cm="1">
        <f t="array" ref="X87">EntericMethane_PastureBeef_Equations.VEERG_3_2_1_1__3_FeedIntakeForGrazingBeef(X55,X71,Z39)</f>
        <v>6.010342559999998</v>
      </c>
      <c r="Y87" s="52" cm="1">
        <f t="array" ref="Y87">EntericMethane_PastureBeef_Equations.VEERG_3_2_1_1__3_FeedIntakeForGrazingBeef(Y55,Y71,AA39)</f>
        <v>8.4608409301875014</v>
      </c>
      <c r="Z87" s="52" cm="1">
        <f t="array" ref="Z87">EntericMethane_PastureBeef_Equations.VEERG_3_2_1_1__3_FeedIntakeForGrazingBeef(Z55,Z71,AB39)</f>
        <v>8.3772677761199983</v>
      </c>
      <c r="AA87" s="52" cm="1">
        <f t="array" ref="AA87">EntericMethane_PastureBeef_Equations.VEERG_3_2_1_1__3_FeedIntakeForGrazingBeef(AA55,AA71,AC39)</f>
        <v>8.3772677761199983</v>
      </c>
      <c r="AB87" s="52" cm="1">
        <f t="array" ref="AB87">EntericMethane_PastureBeef_Equations.VEERG_3_2_1_1__3_FeedIntakeForGrazingBeef(AB55,AB71,AD39)</f>
        <v>6.5876408896000003</v>
      </c>
      <c r="AC87" s="52" cm="1">
        <f t="array" ref="AC87">EntericMethane_PastureBeef_Equations.VEERG_3_2_1_1__3_FeedIntakeForGrazingBeef(AC55,AC71,AE39)</f>
        <v>7.3430702361</v>
      </c>
      <c r="AD87" s="52" cm="1">
        <f t="array" ref="AD87">EntericMethane_PastureBeef_Equations.VEERG_3_2_1_1__3_FeedIntakeForGrazingBeef(AD55,AD71,AF39)</f>
        <v>7.3430702361</v>
      </c>
      <c r="AE87" s="52" cm="1">
        <f t="array" ref="AE87">EntericMethane_PastureBeef_Equations.VEERG_3_2_1_1__3_FeedIntakeForGrazingBeef(AE55,AE71,AG41)</f>
        <v>7.3430702361</v>
      </c>
      <c r="AF87" s="2" t="str">
        <f t="shared" si="2"/>
        <v>kg DM/head/day</v>
      </c>
      <c r="AG87" s="2"/>
      <c r="AH87" s="2"/>
    </row>
    <row r="88" spans="4:34" ht="20.100000000000001" customHeight="1" x14ac:dyDescent="0.25">
      <c r="AG88" s="2"/>
      <c r="AH88" s="2"/>
    </row>
    <row r="89" spans="4:34" ht="20.100000000000001" customHeight="1" x14ac:dyDescent="0.25">
      <c r="AG89" s="2"/>
      <c r="AH89" s="2"/>
    </row>
    <row r="90" spans="4:34" ht="20.100000000000001" customHeight="1" x14ac:dyDescent="0.25">
      <c r="AG90" s="2"/>
      <c r="AH90" s="2"/>
    </row>
    <row r="91" spans="4:34" ht="20.100000000000001" customHeight="1" x14ac:dyDescent="0.25">
      <c r="AG91" s="2"/>
      <c r="AH91" s="2"/>
    </row>
    <row r="92" spans="4:34" ht="20.100000000000001" customHeight="1" x14ac:dyDescent="0.25">
      <c r="AG92" s="2"/>
      <c r="AH92" s="2"/>
    </row>
    <row r="93" spans="4:34" ht="20.100000000000001" customHeight="1" x14ac:dyDescent="0.25">
      <c r="AG93" s="2"/>
      <c r="AH93" s="2"/>
    </row>
    <row r="94" spans="4:34" ht="20.100000000000001" customHeight="1" x14ac:dyDescent="0.25">
      <c r="AG94" s="2"/>
      <c r="AH94" s="2"/>
    </row>
    <row r="95" spans="4:34" ht="20.100000000000001" customHeight="1" x14ac:dyDescent="0.25">
      <c r="AG95" s="2"/>
      <c r="AH95" s="2"/>
    </row>
    <row r="96" spans="4:34" ht="20.100000000000001" customHeight="1" x14ac:dyDescent="0.25"/>
    <row r="97" spans="3:35" ht="20.100000000000001" customHeight="1" x14ac:dyDescent="0.25"/>
    <row r="98" spans="3:35" ht="20.100000000000001" customHeight="1" x14ac:dyDescent="0.25">
      <c r="C98" s="45"/>
      <c r="D98" s="45"/>
      <c r="E98" s="45"/>
      <c r="F98" s="45"/>
      <c r="G98" s="45"/>
      <c r="H98" s="45"/>
      <c r="I98" s="45"/>
      <c r="J98" s="45"/>
      <c r="K98" s="45"/>
      <c r="L98" s="45"/>
      <c r="M98" s="45"/>
      <c r="N98" s="45"/>
      <c r="O98" s="45"/>
      <c r="P98" s="45"/>
      <c r="Q98" s="45"/>
      <c r="R98" s="45"/>
      <c r="T98" s="45"/>
      <c r="U98" s="45"/>
      <c r="V98" s="45"/>
      <c r="W98" s="45"/>
      <c r="X98" s="45"/>
      <c r="Y98" s="45"/>
      <c r="Z98" s="45"/>
      <c r="AA98" s="45"/>
      <c r="AB98" s="45"/>
      <c r="AC98" s="45"/>
      <c r="AD98" s="45"/>
      <c r="AE98" s="45"/>
      <c r="AF98" s="45"/>
      <c r="AG98" s="45"/>
      <c r="AH98" s="45"/>
      <c r="AI98" s="45"/>
    </row>
    <row r="99" spans="3:35" ht="20.100000000000001" customHeight="1" x14ac:dyDescent="0.25">
      <c r="D99" s="6" t="str" cm="1">
        <f t="array" ref="D99">MMS_PastureBeef_Methane_Equations.VEERG_4_2_1_1__3_VolatileSolidProductionFromGrazingBeef_Title()</f>
        <v>Volatile solid production from grazing beef</v>
      </c>
    </row>
    <row r="100" spans="3:35" ht="20.100000000000001" customHeight="1" x14ac:dyDescent="0.25">
      <c r="D100" s="5" t="str" cm="1">
        <f t="array" ref="D100">MMS_PastureBeef_Methane_Equations.VEERG_4_2_1_1__3_VolatileSolidProductionFromGrazingBeef_Source()</f>
        <v>VEERG 2026: 4.2.1.1, Equation (3)</v>
      </c>
    </row>
    <row r="101" spans="3:35" ht="20.100000000000001" customHeight="1" x14ac:dyDescent="0.25">
      <c r="D101" s="13" t="s">
        <v>27</v>
      </c>
      <c r="E101" s="13" t="str" cm="1">
        <f t="array" aca="1" ref="E101" ca="1">Common_InputFunctions.Utility_DisplayFunctionName($E$131)</f>
        <v>=MMS_PastureBeef_Methane_Equations.VEERG_4_2_1_1__3_VolatileSolidProductionFromGrazingBeef</v>
      </c>
    </row>
    <row r="102" spans="3:35" ht="20.100000000000001" customHeight="1" x14ac:dyDescent="0.25"/>
    <row r="103" spans="3:35" ht="20.100000000000001" customHeight="1" x14ac:dyDescent="0.25"/>
    <row r="104" spans="3:35" ht="20.100000000000001" customHeight="1" x14ac:dyDescent="0.25"/>
    <row r="105" spans="3:35" ht="20.100000000000001" customHeight="1" x14ac:dyDescent="0.25">
      <c r="D105" s="53" t="s">
        <v>30</v>
      </c>
      <c r="E105" s="1" t="str" cm="1">
        <f t="array" ref="E105">MMS_PastureBeef_Methane_Equations.VEERG_4_2_1_1__3_VolatileSolidProductionFromGrazingBeef_Variable()</f>
        <v>VS_jkl</v>
      </c>
    </row>
    <row r="106" spans="3:35" ht="20.100000000000001" customHeight="1" x14ac:dyDescent="0.25">
      <c r="D106" s="53" t="s">
        <v>20</v>
      </c>
      <c r="E106" s="54" t="str" cm="1">
        <f t="array" ref="E106">MMS_PastureBeef_Methane_Equations.VEERG_4_2_1_1__3_VolatileSolidProductionFromGrazingBeef_Unit()</f>
        <v>kg/head/day</v>
      </c>
    </row>
    <row r="107" spans="3:35" ht="20.100000000000001" customHeight="1" x14ac:dyDescent="0.25"/>
    <row r="108" spans="3:35" ht="20.100000000000001" customHeight="1" x14ac:dyDescent="0.25">
      <c r="D108" s="57" t="str" cm="1">
        <f t="array" ref="D108:E110">MMS_PastureBeef_Methane_Equations.VEERG_4_2_1_1__3_VolatileSolidProductionFromGrazingBeef_Arguments()</f>
        <v>I_jkl</v>
      </c>
      <c r="E108" s="58" t="str">
        <v>dry matter intake as calculated in Chapter 3 Section 3.2.1 (kg/head/day)</v>
      </c>
      <c r="F108" s="59"/>
      <c r="G108" s="57" t="str">
        <f>"See " &amp; D81</f>
        <v>See M1_Table_I_j_k_l</v>
      </c>
    </row>
    <row r="109" spans="3:35" ht="20.100000000000001" customHeight="1" x14ac:dyDescent="0.25">
      <c r="D109" s="57" t="str">
        <v>DMD_jkl</v>
      </c>
      <c r="E109" s="58" t="str">
        <v>dry matter digestibility expressed as a fraction</v>
      </c>
      <c r="F109" s="59"/>
      <c r="G109" s="57" t="str">
        <f>"See " &amp; D112</f>
        <v>See M1_Table_DMD_j_k_l</v>
      </c>
    </row>
    <row r="110" spans="3:35" ht="20.100000000000001" customHeight="1" x14ac:dyDescent="0.25">
      <c r="D110" s="57" t="str">
        <v>A</v>
      </c>
      <c r="E110" s="58" t="str">
        <v>ash content of feed intake expressed as a fraction</v>
      </c>
      <c r="F110" s="59"/>
      <c r="G110" s="57">
        <f>'Constants - Pature Beef'!$D$420</f>
        <v>0.08</v>
      </c>
    </row>
    <row r="111" spans="3:35" ht="20.100000000000001" customHeight="1" x14ac:dyDescent="0.25"/>
    <row r="112" spans="3:35" ht="20.100000000000001" customHeight="1" x14ac:dyDescent="0.25">
      <c r="D112" s="99" t="s">
        <v>260</v>
      </c>
      <c r="U112" s="99" t="s">
        <v>261</v>
      </c>
    </row>
    <row r="113" spans="4:34" ht="20.100000000000001" customHeight="1" x14ac:dyDescent="0.25">
      <c r="D113" s="98" t="s">
        <v>112</v>
      </c>
      <c r="U113" s="98" t="s">
        <v>142</v>
      </c>
    </row>
    <row r="114" spans="4:34" ht="20.100000000000001" customHeight="1" x14ac:dyDescent="0.25">
      <c r="D114" s="51" t="s">
        <v>184</v>
      </c>
      <c r="E114" s="51" t="s">
        <v>131</v>
      </c>
      <c r="F114" s="51" t="s">
        <v>130</v>
      </c>
      <c r="G114" s="51" t="s">
        <v>165</v>
      </c>
      <c r="H114" s="51" t="s">
        <v>166</v>
      </c>
      <c r="I114" s="51" t="s">
        <v>167</v>
      </c>
      <c r="J114" s="51" t="s">
        <v>168</v>
      </c>
      <c r="K114" s="51" t="s">
        <v>169</v>
      </c>
      <c r="L114" s="51" t="s">
        <v>170</v>
      </c>
      <c r="M114" s="51" t="s">
        <v>171</v>
      </c>
      <c r="N114" s="51" t="s">
        <v>172</v>
      </c>
      <c r="U114" s="51" t="s">
        <v>132</v>
      </c>
      <c r="V114" s="51" t="s">
        <v>131</v>
      </c>
      <c r="W114" s="51" t="s">
        <v>130</v>
      </c>
      <c r="X114" s="51" t="s">
        <v>165</v>
      </c>
      <c r="Y114" s="51" t="s">
        <v>166</v>
      </c>
      <c r="Z114" s="51" t="s">
        <v>167</v>
      </c>
      <c r="AA114" s="51" t="s">
        <v>168</v>
      </c>
      <c r="AB114" s="51" t="s">
        <v>169</v>
      </c>
      <c r="AC114" s="51" t="s">
        <v>170</v>
      </c>
      <c r="AD114" s="51" t="s">
        <v>171</v>
      </c>
      <c r="AE114" s="51" t="s">
        <v>172</v>
      </c>
    </row>
    <row r="115" spans="4:34" ht="20.100000000000001" customHeight="1" x14ac:dyDescent="0.25">
      <c r="D115" s="52" t="s">
        <v>173</v>
      </c>
      <c r="E115" s="52">
        <f>'Input - Pasture Beef'!E147</f>
        <v>0.2</v>
      </c>
      <c r="F115" s="52">
        <f>'Input - Pasture Beef'!F147</f>
        <v>0.2</v>
      </c>
      <c r="G115" s="52">
        <f>'Input - Pasture Beef'!G147</f>
        <v>0.2</v>
      </c>
      <c r="H115" s="52">
        <f>'Input - Pasture Beef'!H147</f>
        <v>0.2</v>
      </c>
      <c r="I115" s="52">
        <f>'Input - Pasture Beef'!I147</f>
        <v>0.2</v>
      </c>
      <c r="J115" s="52">
        <f>'Input - Pasture Beef'!J147</f>
        <v>0.2</v>
      </c>
      <c r="K115" s="52">
        <f>'Input - Pasture Beef'!K147</f>
        <v>0.2</v>
      </c>
      <c r="L115" s="52">
        <f>'Input - Pasture Beef'!L147</f>
        <v>0.2</v>
      </c>
      <c r="M115" s="52">
        <f>'Input - Pasture Beef'!M147</f>
        <v>0.2</v>
      </c>
      <c r="N115" s="52">
        <f>'Input - Pasture Beef'!N147</f>
        <v>0.2</v>
      </c>
      <c r="O115" s="2" t="s">
        <v>141</v>
      </c>
      <c r="P115" s="2"/>
      <c r="Q115" s="2"/>
      <c r="U115" s="52" t="str">
        <f>'Input - Pasture Beef'!D153</f>
        <v>January 2024</v>
      </c>
      <c r="V115" s="52">
        <f>'Input - Pasture Beef'!E153</f>
        <v>0.09</v>
      </c>
      <c r="W115" s="52">
        <f>'Input - Pasture Beef'!F153</f>
        <v>0.09</v>
      </c>
      <c r="X115" s="52">
        <f>'Input - Pasture Beef'!G153</f>
        <v>0.09</v>
      </c>
      <c r="Y115" s="52">
        <f>'Input - Pasture Beef'!H153</f>
        <v>0.09</v>
      </c>
      <c r="Z115" s="52">
        <f>'Input - Pasture Beef'!I153</f>
        <v>0.09</v>
      </c>
      <c r="AA115" s="52">
        <f>'Input - Pasture Beef'!J153</f>
        <v>0.09</v>
      </c>
      <c r="AB115" s="52">
        <f>'Input - Pasture Beef'!K153</f>
        <v>0.09</v>
      </c>
      <c r="AC115" s="52">
        <f>'Input - Pasture Beef'!L153</f>
        <v>0.09</v>
      </c>
      <c r="AD115" s="52">
        <f>'Input - Pasture Beef'!M153</f>
        <v>0.09</v>
      </c>
      <c r="AE115" s="52">
        <f>'Input - Pasture Beef'!N153</f>
        <v>0.09</v>
      </c>
      <c r="AF115" s="2" t="s">
        <v>141</v>
      </c>
      <c r="AG115" s="2"/>
      <c r="AH115" s="2"/>
    </row>
    <row r="116" spans="4:34" ht="20.100000000000001" customHeight="1" x14ac:dyDescent="0.25">
      <c r="D116" s="52" t="s">
        <v>174</v>
      </c>
      <c r="E116" s="52">
        <f>'Input - Pasture Beef'!E148</f>
        <v>0.09</v>
      </c>
      <c r="F116" s="52">
        <f>'Input - Pasture Beef'!F148</f>
        <v>0.09</v>
      </c>
      <c r="G116" s="52">
        <f>'Input - Pasture Beef'!G148</f>
        <v>0.09</v>
      </c>
      <c r="H116" s="52">
        <f>'Input - Pasture Beef'!H148</f>
        <v>0.09</v>
      </c>
      <c r="I116" s="52">
        <f>'Input - Pasture Beef'!I148</f>
        <v>0.09</v>
      </c>
      <c r="J116" s="52">
        <f>'Input - Pasture Beef'!J148</f>
        <v>0.09</v>
      </c>
      <c r="K116" s="52">
        <f>'Input - Pasture Beef'!K148</f>
        <v>0.09</v>
      </c>
      <c r="L116" s="52">
        <f>'Input - Pasture Beef'!L148</f>
        <v>0.09</v>
      </c>
      <c r="M116" s="52">
        <f>'Input - Pasture Beef'!M148</f>
        <v>0.09</v>
      </c>
      <c r="N116" s="52">
        <f>'Input - Pasture Beef'!N148</f>
        <v>0.09</v>
      </c>
      <c r="O116" s="2" t="s">
        <v>141</v>
      </c>
      <c r="P116" s="2"/>
      <c r="Q116" s="2"/>
      <c r="U116" s="52" t="str">
        <f>'Input - Pasture Beef'!D154</f>
        <v>February 2024</v>
      </c>
      <c r="V116" s="52">
        <f>'Input - Pasture Beef'!E154</f>
        <v>0.09</v>
      </c>
      <c r="W116" s="52">
        <f>'Input - Pasture Beef'!F154</f>
        <v>0.09</v>
      </c>
      <c r="X116" s="52">
        <f>'Input - Pasture Beef'!G154</f>
        <v>0.09</v>
      </c>
      <c r="Y116" s="52">
        <f>'Input - Pasture Beef'!H154</f>
        <v>0.09</v>
      </c>
      <c r="Z116" s="52">
        <f>'Input - Pasture Beef'!I154</f>
        <v>0.09</v>
      </c>
      <c r="AA116" s="52">
        <f>'Input - Pasture Beef'!J154</f>
        <v>0.09</v>
      </c>
      <c r="AB116" s="52">
        <f>'Input - Pasture Beef'!K154</f>
        <v>0.09</v>
      </c>
      <c r="AC116" s="52">
        <f>'Input - Pasture Beef'!L154</f>
        <v>0.09</v>
      </c>
      <c r="AD116" s="52">
        <f>'Input - Pasture Beef'!M154</f>
        <v>0.09</v>
      </c>
      <c r="AE116" s="52">
        <f>'Input - Pasture Beef'!N154</f>
        <v>0.09</v>
      </c>
      <c r="AF116" s="2" t="s">
        <v>141</v>
      </c>
      <c r="AG116" s="2"/>
      <c r="AH116" s="2"/>
    </row>
    <row r="117" spans="4:34" ht="20.100000000000001" customHeight="1" x14ac:dyDescent="0.25">
      <c r="D117" s="52" t="s">
        <v>175</v>
      </c>
      <c r="E117" s="52">
        <f>'Input - Pasture Beef'!E149</f>
        <v>0.06</v>
      </c>
      <c r="F117" s="52">
        <f>'Input - Pasture Beef'!F149</f>
        <v>0.06</v>
      </c>
      <c r="G117" s="52">
        <f>'Input - Pasture Beef'!G149</f>
        <v>0.06</v>
      </c>
      <c r="H117" s="52">
        <f>'Input - Pasture Beef'!H149</f>
        <v>0.06</v>
      </c>
      <c r="I117" s="52">
        <f>'Input - Pasture Beef'!I149</f>
        <v>0.06</v>
      </c>
      <c r="J117" s="52">
        <f>'Input - Pasture Beef'!J149</f>
        <v>0.06</v>
      </c>
      <c r="K117" s="52">
        <f>'Input - Pasture Beef'!K149</f>
        <v>0.06</v>
      </c>
      <c r="L117" s="52">
        <f>'Input - Pasture Beef'!L149</f>
        <v>0.06</v>
      </c>
      <c r="M117" s="52">
        <f>'Input - Pasture Beef'!M149</f>
        <v>0.06</v>
      </c>
      <c r="N117" s="52">
        <f>'Input - Pasture Beef'!N149</f>
        <v>0.06</v>
      </c>
      <c r="O117" s="2" t="s">
        <v>141</v>
      </c>
      <c r="P117" s="2"/>
      <c r="Q117" s="2"/>
      <c r="U117" s="52" t="str">
        <f>'Input - Pasture Beef'!D155</f>
        <v>March 2024</v>
      </c>
      <c r="V117" s="52">
        <f>'Input - Pasture Beef'!E155</f>
        <v>0.06</v>
      </c>
      <c r="W117" s="52">
        <f>'Input - Pasture Beef'!F155</f>
        <v>0.06</v>
      </c>
      <c r="X117" s="52">
        <f>'Input - Pasture Beef'!G155</f>
        <v>0.06</v>
      </c>
      <c r="Y117" s="52">
        <f>'Input - Pasture Beef'!H155</f>
        <v>0.06</v>
      </c>
      <c r="Z117" s="52">
        <f>'Input - Pasture Beef'!I155</f>
        <v>0.06</v>
      </c>
      <c r="AA117" s="52">
        <f>'Input - Pasture Beef'!J155</f>
        <v>0.06</v>
      </c>
      <c r="AB117" s="52">
        <f>'Input - Pasture Beef'!K155</f>
        <v>0.06</v>
      </c>
      <c r="AC117" s="52">
        <f>'Input - Pasture Beef'!L155</f>
        <v>0.06</v>
      </c>
      <c r="AD117" s="52">
        <f>'Input - Pasture Beef'!M155</f>
        <v>0.06</v>
      </c>
      <c r="AE117" s="52">
        <f>'Input - Pasture Beef'!N155</f>
        <v>0.06</v>
      </c>
      <c r="AF117" s="2" t="s">
        <v>141</v>
      </c>
      <c r="AG117" s="2"/>
      <c r="AH117" s="2"/>
    </row>
    <row r="118" spans="4:34" ht="20.100000000000001" customHeight="1" x14ac:dyDescent="0.25">
      <c r="D118" s="52" t="s">
        <v>176</v>
      </c>
      <c r="E118" s="52">
        <f>'Input - Pasture Beef'!E150</f>
        <v>0.2</v>
      </c>
      <c r="F118" s="52">
        <f>'Input - Pasture Beef'!F150</f>
        <v>0.2</v>
      </c>
      <c r="G118" s="52">
        <f>'Input - Pasture Beef'!G150</f>
        <v>0.2</v>
      </c>
      <c r="H118" s="52">
        <f>'Input - Pasture Beef'!H150</f>
        <v>0.2</v>
      </c>
      <c r="I118" s="52">
        <f>'Input - Pasture Beef'!I150</f>
        <v>0.2</v>
      </c>
      <c r="J118" s="52">
        <f>'Input - Pasture Beef'!J150</f>
        <v>0.2</v>
      </c>
      <c r="K118" s="52">
        <f>'Input - Pasture Beef'!K150</f>
        <v>0.2</v>
      </c>
      <c r="L118" s="52">
        <f>'Input - Pasture Beef'!L150</f>
        <v>0.2</v>
      </c>
      <c r="M118" s="52">
        <f>'Input - Pasture Beef'!M150</f>
        <v>0.2</v>
      </c>
      <c r="N118" s="52">
        <f>'Input - Pasture Beef'!N150</f>
        <v>0.2</v>
      </c>
      <c r="O118" s="2" t="s">
        <v>141</v>
      </c>
      <c r="P118" s="2"/>
      <c r="Q118" s="2"/>
      <c r="U118" s="52" t="str">
        <f>'Input - Pasture Beef'!D156</f>
        <v>April 2024</v>
      </c>
      <c r="V118" s="52">
        <f>'Input - Pasture Beef'!E156</f>
        <v>0.06</v>
      </c>
      <c r="W118" s="52">
        <f>'Input - Pasture Beef'!F156</f>
        <v>0.06</v>
      </c>
      <c r="X118" s="52">
        <f>'Input - Pasture Beef'!G156</f>
        <v>0.06</v>
      </c>
      <c r="Y118" s="52">
        <f>'Input - Pasture Beef'!H156</f>
        <v>0.06</v>
      </c>
      <c r="Z118" s="52">
        <f>'Input - Pasture Beef'!I156</f>
        <v>0.06</v>
      </c>
      <c r="AA118" s="52">
        <f>'Input - Pasture Beef'!J156</f>
        <v>0.06</v>
      </c>
      <c r="AB118" s="52">
        <f>'Input - Pasture Beef'!K156</f>
        <v>0.06</v>
      </c>
      <c r="AC118" s="52">
        <f>'Input - Pasture Beef'!L156</f>
        <v>0.06</v>
      </c>
      <c r="AD118" s="52">
        <f>'Input - Pasture Beef'!M156</f>
        <v>0.06</v>
      </c>
      <c r="AE118" s="52">
        <f>'Input - Pasture Beef'!N156</f>
        <v>0.06</v>
      </c>
      <c r="AF118" s="2" t="s">
        <v>141</v>
      </c>
      <c r="AG118" s="2"/>
      <c r="AH118" s="2"/>
    </row>
    <row r="119" spans="4:34" ht="20.100000000000001" customHeight="1" x14ac:dyDescent="0.25">
      <c r="U119" s="52" t="str">
        <f>'Input - Pasture Beef'!D157</f>
        <v>May 2024</v>
      </c>
      <c r="V119" s="52">
        <f>'Input - Pasture Beef'!E157</f>
        <v>0.06</v>
      </c>
      <c r="W119" s="52">
        <f>'Input - Pasture Beef'!F157</f>
        <v>0.06</v>
      </c>
      <c r="X119" s="52">
        <f>'Input - Pasture Beef'!G157</f>
        <v>0.06</v>
      </c>
      <c r="Y119" s="52">
        <f>'Input - Pasture Beef'!H157</f>
        <v>0.06</v>
      </c>
      <c r="Z119" s="52">
        <f>'Input - Pasture Beef'!I157</f>
        <v>0.06</v>
      </c>
      <c r="AA119" s="52">
        <f>'Input - Pasture Beef'!J157</f>
        <v>0.06</v>
      </c>
      <c r="AB119" s="52">
        <f>'Input - Pasture Beef'!K157</f>
        <v>0.06</v>
      </c>
      <c r="AC119" s="52">
        <f>'Input - Pasture Beef'!L157</f>
        <v>0.06</v>
      </c>
      <c r="AD119" s="52">
        <f>'Input - Pasture Beef'!M157</f>
        <v>0.06</v>
      </c>
      <c r="AE119" s="52">
        <f>'Input - Pasture Beef'!N157</f>
        <v>0.06</v>
      </c>
      <c r="AF119" s="2" t="s">
        <v>141</v>
      </c>
      <c r="AG119" s="2"/>
      <c r="AH119" s="2"/>
    </row>
    <row r="120" spans="4:34" ht="20.100000000000001" customHeight="1" x14ac:dyDescent="0.25">
      <c r="U120" s="52" t="str">
        <f>'Input - Pasture Beef'!D158</f>
        <v>June 2024</v>
      </c>
      <c r="V120" s="52">
        <f>'Input - Pasture Beef'!E158</f>
        <v>0.2</v>
      </c>
      <c r="W120" s="52">
        <f>'Input - Pasture Beef'!F158</f>
        <v>0.2</v>
      </c>
      <c r="X120" s="52">
        <f>'Input - Pasture Beef'!G158</f>
        <v>0.2</v>
      </c>
      <c r="Y120" s="52">
        <f>'Input - Pasture Beef'!H158</f>
        <v>0.2</v>
      </c>
      <c r="Z120" s="52">
        <f>'Input - Pasture Beef'!I158</f>
        <v>0.2</v>
      </c>
      <c r="AA120" s="52">
        <f>'Input - Pasture Beef'!J158</f>
        <v>0.2</v>
      </c>
      <c r="AB120" s="52">
        <f>'Input - Pasture Beef'!K158</f>
        <v>0.2</v>
      </c>
      <c r="AC120" s="52">
        <f>'Input - Pasture Beef'!L158</f>
        <v>0.2</v>
      </c>
      <c r="AD120" s="52">
        <f>'Input - Pasture Beef'!M158</f>
        <v>0.2</v>
      </c>
      <c r="AE120" s="52">
        <f>'Input - Pasture Beef'!N158</f>
        <v>0.2</v>
      </c>
      <c r="AF120" s="2" t="s">
        <v>141</v>
      </c>
      <c r="AG120" s="2"/>
      <c r="AH120" s="2"/>
    </row>
    <row r="121" spans="4:34" ht="20.100000000000001" customHeight="1" x14ac:dyDescent="0.25">
      <c r="U121" s="52" t="str">
        <f>'Input - Pasture Beef'!D159</f>
        <v>July 2024</v>
      </c>
      <c r="V121" s="52">
        <f>'Input - Pasture Beef'!E159</f>
        <v>0.2</v>
      </c>
      <c r="W121" s="52">
        <f>'Input - Pasture Beef'!F159</f>
        <v>0.2</v>
      </c>
      <c r="X121" s="52">
        <f>'Input - Pasture Beef'!G159</f>
        <v>0.2</v>
      </c>
      <c r="Y121" s="52">
        <f>'Input - Pasture Beef'!H159</f>
        <v>0.2</v>
      </c>
      <c r="Z121" s="52">
        <f>'Input - Pasture Beef'!I159</f>
        <v>0.2</v>
      </c>
      <c r="AA121" s="52">
        <f>'Input - Pasture Beef'!J159</f>
        <v>0.2</v>
      </c>
      <c r="AB121" s="52">
        <f>'Input - Pasture Beef'!K159</f>
        <v>0.2</v>
      </c>
      <c r="AC121" s="52">
        <f>'Input - Pasture Beef'!L159</f>
        <v>0.2</v>
      </c>
      <c r="AD121" s="52">
        <f>'Input - Pasture Beef'!M159</f>
        <v>0.2</v>
      </c>
      <c r="AE121" s="52">
        <f>'Input - Pasture Beef'!N159</f>
        <v>0.2</v>
      </c>
      <c r="AF121" s="2" t="s">
        <v>141</v>
      </c>
      <c r="AG121" s="2"/>
      <c r="AH121" s="2"/>
    </row>
    <row r="122" spans="4:34" ht="20.100000000000001" customHeight="1" x14ac:dyDescent="0.25">
      <c r="U122" s="52" t="str">
        <f>'Input - Pasture Beef'!D160</f>
        <v>August 2024</v>
      </c>
      <c r="V122" s="52">
        <f>'Input - Pasture Beef'!E160</f>
        <v>0.2</v>
      </c>
      <c r="W122" s="52">
        <f>'Input - Pasture Beef'!F160</f>
        <v>0.2</v>
      </c>
      <c r="X122" s="52">
        <f>'Input - Pasture Beef'!G160</f>
        <v>0.2</v>
      </c>
      <c r="Y122" s="52">
        <f>'Input - Pasture Beef'!H160</f>
        <v>0.2</v>
      </c>
      <c r="Z122" s="52">
        <f>'Input - Pasture Beef'!I160</f>
        <v>0.2</v>
      </c>
      <c r="AA122" s="52">
        <f>'Input - Pasture Beef'!J160</f>
        <v>0.2</v>
      </c>
      <c r="AB122" s="52">
        <f>'Input - Pasture Beef'!K160</f>
        <v>0.2</v>
      </c>
      <c r="AC122" s="52">
        <f>'Input - Pasture Beef'!L160</f>
        <v>0.2</v>
      </c>
      <c r="AD122" s="52">
        <f>'Input - Pasture Beef'!M160</f>
        <v>0.2</v>
      </c>
      <c r="AE122" s="52">
        <f>'Input - Pasture Beef'!N160</f>
        <v>0.2</v>
      </c>
      <c r="AF122" s="2" t="s">
        <v>141</v>
      </c>
      <c r="AG122" s="2"/>
      <c r="AH122" s="2"/>
    </row>
    <row r="123" spans="4:34" ht="20.100000000000001" customHeight="1" x14ac:dyDescent="0.25">
      <c r="U123" s="52" t="str">
        <f>'Input - Pasture Beef'!D161</f>
        <v>September 2024</v>
      </c>
      <c r="V123" s="52">
        <f>'Input - Pasture Beef'!E161</f>
        <v>0.2</v>
      </c>
      <c r="W123" s="52">
        <f>'Input - Pasture Beef'!F161</f>
        <v>0.2</v>
      </c>
      <c r="X123" s="52">
        <f>'Input - Pasture Beef'!G161</f>
        <v>0.2</v>
      </c>
      <c r="Y123" s="52">
        <f>'Input - Pasture Beef'!H161</f>
        <v>0.2</v>
      </c>
      <c r="Z123" s="52">
        <f>'Input - Pasture Beef'!I161</f>
        <v>0.2</v>
      </c>
      <c r="AA123" s="52">
        <f>'Input - Pasture Beef'!J161</f>
        <v>0.2</v>
      </c>
      <c r="AB123" s="52">
        <f>'Input - Pasture Beef'!K161</f>
        <v>0.2</v>
      </c>
      <c r="AC123" s="52">
        <f>'Input - Pasture Beef'!L161</f>
        <v>0.2</v>
      </c>
      <c r="AD123" s="52">
        <f>'Input - Pasture Beef'!M161</f>
        <v>0.2</v>
      </c>
      <c r="AE123" s="52">
        <f>'Input - Pasture Beef'!N161</f>
        <v>0.2</v>
      </c>
      <c r="AF123" s="2" t="s">
        <v>141</v>
      </c>
      <c r="AG123" s="2"/>
      <c r="AH123" s="2"/>
    </row>
    <row r="124" spans="4:34" ht="20.100000000000001" customHeight="1" x14ac:dyDescent="0.25">
      <c r="U124" s="52" t="str">
        <f>'Input - Pasture Beef'!D162</f>
        <v>October 2024</v>
      </c>
      <c r="V124" s="52">
        <f>'Input - Pasture Beef'!E162</f>
        <v>0.2</v>
      </c>
      <c r="W124" s="52">
        <f>'Input - Pasture Beef'!F162</f>
        <v>0.2</v>
      </c>
      <c r="X124" s="52">
        <f>'Input - Pasture Beef'!G162</f>
        <v>0.2</v>
      </c>
      <c r="Y124" s="52">
        <f>'Input - Pasture Beef'!H162</f>
        <v>0.2</v>
      </c>
      <c r="Z124" s="52">
        <f>'Input - Pasture Beef'!I162</f>
        <v>0.2</v>
      </c>
      <c r="AA124" s="52">
        <f>'Input - Pasture Beef'!J162</f>
        <v>0.2</v>
      </c>
      <c r="AB124" s="52">
        <f>'Input - Pasture Beef'!K162</f>
        <v>0.2</v>
      </c>
      <c r="AC124" s="52">
        <f>'Input - Pasture Beef'!L162</f>
        <v>0.2</v>
      </c>
      <c r="AD124" s="52">
        <f>'Input - Pasture Beef'!M162</f>
        <v>0.2</v>
      </c>
      <c r="AE124" s="52">
        <f>'Input - Pasture Beef'!N162</f>
        <v>0.2</v>
      </c>
      <c r="AF124" s="2" t="s">
        <v>141</v>
      </c>
      <c r="AG124" s="2"/>
      <c r="AH124" s="2"/>
    </row>
    <row r="125" spans="4:34" ht="20.100000000000001" customHeight="1" x14ac:dyDescent="0.25">
      <c r="U125" s="52" t="str">
        <f>'Input - Pasture Beef'!D163</f>
        <v>November 2024</v>
      </c>
      <c r="V125" s="52">
        <f>'Input - Pasture Beef'!E163</f>
        <v>0.2</v>
      </c>
      <c r="W125" s="52">
        <f>'Input - Pasture Beef'!F163</f>
        <v>0.2</v>
      </c>
      <c r="X125" s="52">
        <f>'Input - Pasture Beef'!G163</f>
        <v>0.2</v>
      </c>
      <c r="Y125" s="52">
        <f>'Input - Pasture Beef'!H163</f>
        <v>0.2</v>
      </c>
      <c r="Z125" s="52">
        <f>'Input - Pasture Beef'!I163</f>
        <v>0.2</v>
      </c>
      <c r="AA125" s="52">
        <f>'Input - Pasture Beef'!J163</f>
        <v>0.2</v>
      </c>
      <c r="AB125" s="52">
        <f>'Input - Pasture Beef'!K163</f>
        <v>0.2</v>
      </c>
      <c r="AC125" s="52">
        <f>'Input - Pasture Beef'!L163</f>
        <v>0.2</v>
      </c>
      <c r="AD125" s="52">
        <f>'Input - Pasture Beef'!M163</f>
        <v>0.2</v>
      </c>
      <c r="AE125" s="52">
        <f>'Input - Pasture Beef'!N163</f>
        <v>0.2</v>
      </c>
      <c r="AF125" s="2" t="s">
        <v>141</v>
      </c>
      <c r="AG125" s="2"/>
      <c r="AH125" s="2"/>
    </row>
    <row r="126" spans="4:34" ht="20.100000000000001" customHeight="1" x14ac:dyDescent="0.25">
      <c r="U126" s="52" t="str">
        <f>'Input - Pasture Beef'!D164</f>
        <v>December 2024</v>
      </c>
      <c r="V126" s="52">
        <f>'Input - Pasture Beef'!E164</f>
        <v>0.09</v>
      </c>
      <c r="W126" s="52">
        <f>'Input - Pasture Beef'!F164</f>
        <v>0.09</v>
      </c>
      <c r="X126" s="52">
        <f>'Input - Pasture Beef'!G164</f>
        <v>0.09</v>
      </c>
      <c r="Y126" s="52">
        <f>'Input - Pasture Beef'!H164</f>
        <v>0.09</v>
      </c>
      <c r="Z126" s="52">
        <f>'Input - Pasture Beef'!I164</f>
        <v>0.09</v>
      </c>
      <c r="AA126" s="52">
        <f>'Input - Pasture Beef'!J164</f>
        <v>0.09</v>
      </c>
      <c r="AB126" s="52">
        <f>'Input - Pasture Beef'!K164</f>
        <v>0.09</v>
      </c>
      <c r="AC126" s="52">
        <f>'Input - Pasture Beef'!L164</f>
        <v>0.09</v>
      </c>
      <c r="AD126" s="52">
        <f>'Input - Pasture Beef'!M164</f>
        <v>0.09</v>
      </c>
      <c r="AE126" s="52">
        <f>'Input - Pasture Beef'!N164</f>
        <v>0.09</v>
      </c>
      <c r="AF126" s="2" t="s">
        <v>141</v>
      </c>
      <c r="AG126" s="2"/>
      <c r="AH126" s="2"/>
    </row>
    <row r="127" spans="4:34" ht="20.100000000000001" customHeight="1" x14ac:dyDescent="0.25"/>
    <row r="128" spans="4:34" ht="20.100000000000001" customHeight="1" x14ac:dyDescent="0.25">
      <c r="D128" s="99" t="s">
        <v>262</v>
      </c>
      <c r="U128" s="99" t="s">
        <v>263</v>
      </c>
    </row>
    <row r="129" spans="4:34" ht="20.100000000000001" customHeight="1" x14ac:dyDescent="0.25">
      <c r="D129" s="98" t="s">
        <v>111</v>
      </c>
      <c r="U129" s="98" t="s">
        <v>113</v>
      </c>
    </row>
    <row r="130" spans="4:34" ht="20.100000000000001" customHeight="1" x14ac:dyDescent="0.25">
      <c r="D130" s="51" t="s">
        <v>184</v>
      </c>
      <c r="E130" s="51" t="s">
        <v>131</v>
      </c>
      <c r="F130" s="51" t="s">
        <v>130</v>
      </c>
      <c r="G130" s="51" t="s">
        <v>165</v>
      </c>
      <c r="H130" s="51" t="s">
        <v>166</v>
      </c>
      <c r="I130" s="51" t="s">
        <v>167</v>
      </c>
      <c r="J130" s="51" t="s">
        <v>168</v>
      </c>
      <c r="K130" s="51" t="s">
        <v>169</v>
      </c>
      <c r="L130" s="51" t="s">
        <v>170</v>
      </c>
      <c r="M130" s="51" t="s">
        <v>171</v>
      </c>
      <c r="N130" s="51" t="s">
        <v>172</v>
      </c>
      <c r="U130" s="51" t="s">
        <v>132</v>
      </c>
      <c r="V130" s="51" t="s">
        <v>131</v>
      </c>
      <c r="W130" s="51" t="s">
        <v>130</v>
      </c>
      <c r="X130" s="51" t="s">
        <v>165</v>
      </c>
      <c r="Y130" s="51" t="s">
        <v>166</v>
      </c>
      <c r="Z130" s="51" t="s">
        <v>167</v>
      </c>
      <c r="AA130" s="51" t="s">
        <v>168</v>
      </c>
      <c r="AB130" s="51" t="s">
        <v>169</v>
      </c>
      <c r="AC130" s="51" t="s">
        <v>170</v>
      </c>
      <c r="AD130" s="51" t="s">
        <v>171</v>
      </c>
      <c r="AE130" s="51" t="s">
        <v>172</v>
      </c>
    </row>
    <row r="131" spans="4:34" ht="20.100000000000001" customHeight="1" x14ac:dyDescent="0.25">
      <c r="D131" s="52" t="s">
        <v>173</v>
      </c>
      <c r="E131" s="52" cm="1">
        <f t="array" ref="E131">MMS_PastureBeef_Methane_Equations.VEERG_4_2_1_1__3_VolatileSolidProductionFromGrazingBeef(E84,E115,$G$110)</f>
        <v>6.7008751750348807</v>
      </c>
      <c r="F131" s="52" cm="1">
        <f t="array" ref="F131">MMS_PastureBeef_Methane_Equations.VEERG_4_2_1_1__3_VolatileSolidProductionFromGrazingBeef(F84,F115,$G$110)</f>
        <v>9.4640953932000045</v>
      </c>
      <c r="G131" s="52" cm="1">
        <f t="array" ref="G131">MMS_PastureBeef_Methane_Equations.VEERG_4_2_1_1__3_VolatileSolidProductionFromGrazingBeef(G84,G115,$G$110)</f>
        <v>5.1074052339844807</v>
      </c>
      <c r="H131" s="52" cm="1">
        <f t="array" ref="H131">MMS_PastureBeef_Methane_Equations.VEERG_4_2_1_1__3_VolatileSolidProductionFromGrazingBeef(H84,H115,$G$110)</f>
        <v>7.3057895694170378</v>
      </c>
      <c r="I131" s="52" cm="1">
        <f t="array" ref="I131">MMS_PastureBeef_Methane_Equations.VEERG_4_2_1_1__3_VolatileSolidProductionFromGrazingBeef(I84,I115,$G$110)</f>
        <v>7.8150529354464018</v>
      </c>
      <c r="J131" s="52" cm="1">
        <f t="array" ref="J131">MMS_PastureBeef_Methane_Equations.VEERG_4_2_1_1__3_VolatileSolidProductionFromGrazingBeef(J84,J115,$G$110)</f>
        <v>7.8150529354464018</v>
      </c>
      <c r="K131" s="52" cm="1">
        <f t="array" ref="K131">MMS_PastureBeef_Methane_Equations.VEERG_4_2_1_1__3_VolatileSolidProductionFromGrazingBeef(K84,K115,$G$110)</f>
        <v>5.8881611063519994</v>
      </c>
      <c r="L131" s="52" cm="1">
        <f t="array" ref="L131">MMS_PastureBeef_Methane_Equations.VEERG_4_2_1_1__3_VolatileSolidProductionFromGrazingBeef(L84,L115,$G$110)</f>
        <v>7.4825803240876798</v>
      </c>
      <c r="M131" s="52" cm="1">
        <f t="array" ref="M131">MMS_PastureBeef_Methane_Equations.VEERG_4_2_1_1__3_VolatileSolidProductionFromGrazingBeef(M84,M115,$G$110)</f>
        <v>7.4825803240876798</v>
      </c>
      <c r="N131" s="52" cm="1">
        <f t="array" ref="N131">MMS_PastureBeef_Methane_Equations.VEERG_4_2_1_1__3_VolatileSolidProductionFromGrazingBeef(N84,N115,$G$110)</f>
        <v>7.4825803240876798</v>
      </c>
      <c r="O131" s="2" t="str">
        <f>$E$106</f>
        <v>kg/head/day</v>
      </c>
      <c r="P131" s="2"/>
      <c r="Q131" s="2"/>
      <c r="U131" s="52" t="str">
        <f>U115</f>
        <v>January 2024</v>
      </c>
      <c r="V131" s="52" cm="1">
        <f t="array" ref="V131">MMS_PastureBeef_Methane_Equations.VEERG_4_2_1_1__3_VolatileSolidProductionFromGrazingBeef(V76,V115,$G$110)</f>
        <v>6.2463501247103963</v>
      </c>
      <c r="W131" s="52" cm="1">
        <f t="array" ref="W131">MMS_PastureBeef_Methane_Equations.VEERG_4_2_1_1__3_VolatileSolidProductionFromGrazingBeef(W76,W115,$G$110)</f>
        <v>8.2645387591464008</v>
      </c>
      <c r="X131" s="52" cm="1">
        <f t="array" ref="X131">MMS_PastureBeef_Methane_Equations.VEERG_4_2_1_1__3_VolatileSolidProductionFromGrazingBeef(X76,X115,$G$110)</f>
        <v>5.2530393974399985</v>
      </c>
      <c r="Y131" s="52" cm="1">
        <f t="array" ref="Y131">MMS_PastureBeef_Methane_Equations.VEERG_4_2_1_1__3_VolatileSolidProductionFromGrazingBeef(Y76,Y115,$G$110)</f>
        <v>7.3947749729838765</v>
      </c>
      <c r="Z131" s="52" cm="1">
        <f t="array" ref="Z131">MMS_PastureBeef_Methane_Equations.VEERG_4_2_1_1__3_VolatileSolidProductionFromGrazingBeef(Z76,Z115,$G$110)</f>
        <v>7.3217320363288785</v>
      </c>
      <c r="AA131" s="52" cm="1">
        <f t="array" ref="AA131">MMS_PastureBeef_Methane_Equations.VEERG_4_2_1_1__3_VolatileSolidProductionFromGrazingBeef(AA76,AA115,$G$110)</f>
        <v>7.3217320363288785</v>
      </c>
      <c r="AB131" s="52" cm="1">
        <f t="array" ref="AB131">MMS_PastureBeef_Methane_Equations.VEERG_4_2_1_1__3_VolatileSolidProductionFromGrazingBeef(AB76,AB115,$G$110)</f>
        <v>5.7575981375104002</v>
      </c>
      <c r="AC131" s="52" cm="1">
        <f t="array" ref="AC131">MMS_PastureBeef_Methane_Equations.VEERG_4_2_1_1__3_VolatileSolidProductionFromGrazingBeef(AC76,AC115,$G$110)</f>
        <v>6.4178433863514002</v>
      </c>
      <c r="AD131" s="52" cm="1">
        <f t="array" ref="AD131">MMS_PastureBeef_Methane_Equations.VEERG_4_2_1_1__3_VolatileSolidProductionFromGrazingBeef(AD76,AD115,$G$110)</f>
        <v>6.4178433863514002</v>
      </c>
      <c r="AE131" s="52" cm="1">
        <f t="array" ref="AE131">MMS_PastureBeef_Methane_Equations.VEERG_4_2_1_1__3_VolatileSolidProductionFromGrazingBeef(AE76,AE115,$G$110)</f>
        <v>6.4178433863514002</v>
      </c>
      <c r="AF131" s="2" t="str">
        <f t="shared" ref="AF131:AF142" si="3">$E$106</f>
        <v>kg/head/day</v>
      </c>
      <c r="AG131" s="2"/>
      <c r="AH131" s="2"/>
    </row>
    <row r="132" spans="4:34" ht="20.100000000000001" customHeight="1" x14ac:dyDescent="0.25">
      <c r="D132" s="52" t="s">
        <v>174</v>
      </c>
      <c r="E132" s="52" cm="1">
        <f t="array" ref="E132">MMS_PastureBeef_Methane_Equations.VEERG_4_2_1_1__3_VolatileSolidProductionFromGrazingBeef(E85,E116,$G$110)</f>
        <v>6.2463501247103963</v>
      </c>
      <c r="F132" s="52" cm="1">
        <f t="array" ref="F132">MMS_PastureBeef_Methane_Equations.VEERG_4_2_1_1__3_VolatileSolidProductionFromGrazingBeef(F85,F116,$G$110)</f>
        <v>8.2645387591464008</v>
      </c>
      <c r="G132" s="52" cm="1">
        <f t="array" ref="G132">MMS_PastureBeef_Methane_Equations.VEERG_4_2_1_1__3_VolatileSolidProductionFromGrazingBeef(G85,G116,$G$110)</f>
        <v>5.2530393974399985</v>
      </c>
      <c r="H132" s="52" cm="1">
        <f t="array" ref="H132">MMS_PastureBeef_Methane_Equations.VEERG_4_2_1_1__3_VolatileSolidProductionFromGrazingBeef(H85,H116,$G$110)</f>
        <v>6.8788604399850009</v>
      </c>
      <c r="I132" s="52" cm="1">
        <f t="array" ref="I132">MMS_PastureBeef_Methane_Equations.VEERG_4_2_1_1__3_VolatileSolidProductionFromGrazingBeef(I85,I116,$G$110)</f>
        <v>6.8109135221663992</v>
      </c>
      <c r="J132" s="52" cm="1">
        <f t="array" ref="J132">MMS_PastureBeef_Methane_Equations.VEERG_4_2_1_1__3_VolatileSolidProductionFromGrazingBeef(J85,J116,$G$110)</f>
        <v>6.8109135221663992</v>
      </c>
      <c r="K132" s="52" cm="1">
        <f t="array" ref="K132">MMS_PastureBeef_Methane_Equations.VEERG_4_2_1_1__3_VolatileSolidProductionFromGrazingBeef(K85,K116,$G$110)</f>
        <v>5.7575981375104002</v>
      </c>
      <c r="L132" s="52" cm="1">
        <f t="array" ref="L132">MMS_PastureBeef_Methane_Equations.VEERG_4_2_1_1__3_VolatileSolidProductionFromGrazingBeef(L85,L116,$G$110)</f>
        <v>6.4178433863514002</v>
      </c>
      <c r="M132" s="52" cm="1">
        <f t="array" ref="M132">MMS_PastureBeef_Methane_Equations.VEERG_4_2_1_1__3_VolatileSolidProductionFromGrazingBeef(M85,M116,$G$110)</f>
        <v>6.4178433863514002</v>
      </c>
      <c r="N132" s="52" cm="1">
        <f t="array" ref="N132">MMS_PastureBeef_Methane_Equations.VEERG_4_2_1_1__3_VolatileSolidProductionFromGrazingBeef(N85,N116,$G$110)</f>
        <v>6.4178433863514002</v>
      </c>
      <c r="O132" s="2" t="str">
        <f t="shared" ref="O132:O134" si="4">$E$106</f>
        <v>kg/head/day</v>
      </c>
      <c r="P132" s="2"/>
      <c r="Q132" s="2"/>
      <c r="U132" s="52" t="str">
        <f t="shared" ref="U132:U142" si="5">U116</f>
        <v>February 2024</v>
      </c>
      <c r="V132" s="52" cm="1">
        <f t="array" ref="V132">MMS_PastureBeef_Methane_Equations.VEERG_4_2_1_1__3_VolatileSolidProductionFromGrazingBeef(V77,V116,$G$110)</f>
        <v>6.2463501247103963</v>
      </c>
      <c r="W132" s="52" cm="1">
        <f t="array" ref="W132">MMS_PastureBeef_Methane_Equations.VEERG_4_2_1_1__3_VolatileSolidProductionFromGrazingBeef(W77,W116,$G$110)</f>
        <v>8.2645387591464008</v>
      </c>
      <c r="X132" s="52" cm="1">
        <f t="array" ref="X132">MMS_PastureBeef_Methane_Equations.VEERG_4_2_1_1__3_VolatileSolidProductionFromGrazingBeef(X77,X116,$G$110)</f>
        <v>5.2530393974399985</v>
      </c>
      <c r="Y132" s="52" cm="1">
        <f t="array" ref="Y132">MMS_PastureBeef_Methane_Equations.VEERG_4_2_1_1__3_VolatileSolidProductionFromGrazingBeef(Y77,Y116,$G$110)</f>
        <v>6.8788604399850009</v>
      </c>
      <c r="Z132" s="52" cm="1">
        <f t="array" ref="Z132">MMS_PastureBeef_Methane_Equations.VEERG_4_2_1_1__3_VolatileSolidProductionFromGrazingBeef(Z77,Z116,$G$110)</f>
        <v>6.8109135221663992</v>
      </c>
      <c r="AA132" s="52" cm="1">
        <f t="array" ref="AA132">MMS_PastureBeef_Methane_Equations.VEERG_4_2_1_1__3_VolatileSolidProductionFromGrazingBeef(AA77,AA116,$G$110)</f>
        <v>6.8109135221663992</v>
      </c>
      <c r="AB132" s="52" cm="1">
        <f t="array" ref="AB132">MMS_PastureBeef_Methane_Equations.VEERG_4_2_1_1__3_VolatileSolidProductionFromGrazingBeef(AB77,AB116,$G$110)</f>
        <v>5.7575981375104002</v>
      </c>
      <c r="AC132" s="52" cm="1">
        <f t="array" ref="AC132">MMS_PastureBeef_Methane_Equations.VEERG_4_2_1_1__3_VolatileSolidProductionFromGrazingBeef(AC77,AC116,$G$110)</f>
        <v>6.4178433863514002</v>
      </c>
      <c r="AD132" s="52" cm="1">
        <f t="array" ref="AD132">MMS_PastureBeef_Methane_Equations.VEERG_4_2_1_1__3_VolatileSolidProductionFromGrazingBeef(AD77,AD116,$G$110)</f>
        <v>6.4178433863514002</v>
      </c>
      <c r="AE132" s="52" cm="1">
        <f t="array" ref="AE132">MMS_PastureBeef_Methane_Equations.VEERG_4_2_1_1__3_VolatileSolidProductionFromGrazingBeef(AE77,AE116,$G$110)</f>
        <v>6.4178433863514002</v>
      </c>
      <c r="AF132" s="2" t="str">
        <f t="shared" si="3"/>
        <v>kg/head/day</v>
      </c>
      <c r="AG132" s="2"/>
      <c r="AH132" s="2"/>
    </row>
    <row r="133" spans="4:34" ht="20.100000000000001" customHeight="1" x14ac:dyDescent="0.25">
      <c r="D133" s="52" t="s">
        <v>175</v>
      </c>
      <c r="E133" s="52" cm="1">
        <f t="array" ref="E133">MMS_PastureBeef_Methane_Equations.VEERG_4_2_1_1__3_VolatileSolidProductionFromGrazingBeef(E86,E117,$G$110)</f>
        <v>2.9276791264000002</v>
      </c>
      <c r="F133" s="52" cm="1">
        <f t="array" ref="F133">MMS_PastureBeef_Methane_Equations.VEERG_4_2_1_1__3_VolatileSolidProductionFromGrazingBeef(F86,F117,$G$110)</f>
        <v>8.4972684084825598</v>
      </c>
      <c r="G133" s="52" cm="1">
        <f t="array" ref="G133">MMS_PastureBeef_Methane_Equations.VEERG_4_2_1_1__3_VolatileSolidProductionFromGrazingBeef(G86,G117,$G$110)</f>
        <v>2.6690305649817603</v>
      </c>
      <c r="H133" s="52" cm="1">
        <f t="array" ref="H133">MMS_PastureBeef_Methane_Equations.VEERG_4_2_1_1__3_VolatileSolidProductionFromGrazingBeef(H86,H117,$G$110)</f>
        <v>5.3715502617033586</v>
      </c>
      <c r="I133" s="52" cm="1">
        <f t="array" ref="I133">MMS_PastureBeef_Methane_Equations.VEERG_4_2_1_1__3_VolatileSolidProductionFromGrazingBeef(I86,I117,$G$110)</f>
        <v>6.0569464992069593</v>
      </c>
      <c r="J133" s="52" cm="1">
        <f t="array" ref="J133">MMS_PastureBeef_Methane_Equations.VEERG_4_2_1_1__3_VolatileSolidProductionFromGrazingBeef(J86,J117,$G$110)</f>
        <v>6.0569464992069593</v>
      </c>
      <c r="K133" s="52" cm="1">
        <f t="array" ref="K133">MMS_PastureBeef_Methane_Equations.VEERG_4_2_1_1__3_VolatileSolidProductionFromGrazingBeef(K86,K117,$G$110)</f>
        <v>2.9276791264000002</v>
      </c>
      <c r="L133" s="52" cm="1">
        <f t="array" ref="L133">MMS_PastureBeef_Methane_Equations.VEERG_4_2_1_1__3_VolatileSolidProductionFromGrazingBeef(L86,L117,$G$110)</f>
        <v>5.3152730226265614</v>
      </c>
      <c r="M133" s="52" cm="1">
        <f t="array" ref="M133">MMS_PastureBeef_Methane_Equations.VEERG_4_2_1_1__3_VolatileSolidProductionFromGrazingBeef(M86,M117,$G$110)</f>
        <v>5.3152730226265614</v>
      </c>
      <c r="N133" s="52" cm="1">
        <f t="array" ref="N133">MMS_PastureBeef_Methane_Equations.VEERG_4_2_1_1__3_VolatileSolidProductionFromGrazingBeef(N86,N117,$G$110)</f>
        <v>5.3152730226265614</v>
      </c>
      <c r="O133" s="2" t="str">
        <f t="shared" si="4"/>
        <v>kg/head/day</v>
      </c>
      <c r="P133" s="2"/>
      <c r="Q133" s="2"/>
      <c r="U133" s="52" t="str">
        <f t="shared" si="5"/>
        <v>March 2024</v>
      </c>
      <c r="V133" s="52" cm="1">
        <f t="array" ref="V133">MMS_PastureBeef_Methane_Equations.VEERG_4_2_1_1__3_VolatileSolidProductionFromGrazingBeef(V78,V117,$G$110)</f>
        <v>2.9276791264000002</v>
      </c>
      <c r="W133" s="52" cm="1">
        <f t="array" ref="W133">MMS_PastureBeef_Methane_Equations.VEERG_4_2_1_1__3_VolatileSolidProductionFromGrazingBeef(W78,W117,$G$110)</f>
        <v>8.4972684084825598</v>
      </c>
      <c r="X133" s="52" cm="1">
        <f t="array" ref="X133">MMS_PastureBeef_Methane_Equations.VEERG_4_2_1_1__3_VolatileSolidProductionFromGrazingBeef(X78,X117,$G$110)</f>
        <v>2.6690305649817603</v>
      </c>
      <c r="Y133" s="52" cm="1">
        <f t="array" ref="Y133">MMS_PastureBeef_Methane_Equations.VEERG_4_2_1_1__3_VolatileSolidProductionFromGrazingBeef(Y78,Y117,$G$110)</f>
        <v>5.3715502617033586</v>
      </c>
      <c r="Z133" s="52" cm="1">
        <f t="array" ref="Z133">MMS_PastureBeef_Methane_Equations.VEERG_4_2_1_1__3_VolatileSolidProductionFromGrazingBeef(Z78,Z117,$G$110)</f>
        <v>6.0569464992069593</v>
      </c>
      <c r="AA133" s="52" cm="1">
        <f t="array" ref="AA133">MMS_PastureBeef_Methane_Equations.VEERG_4_2_1_1__3_VolatileSolidProductionFromGrazingBeef(AA78,AA117,$G$110)</f>
        <v>6.0569464992069593</v>
      </c>
      <c r="AB133" s="52" cm="1">
        <f t="array" ref="AB133">MMS_PastureBeef_Methane_Equations.VEERG_4_2_1_1__3_VolatileSolidProductionFromGrazingBeef(AB78,AB117,$G$110)</f>
        <v>2.9276791264000002</v>
      </c>
      <c r="AC133" s="52" cm="1">
        <f t="array" ref="AC133">MMS_PastureBeef_Methane_Equations.VEERG_4_2_1_1__3_VolatileSolidProductionFromGrazingBeef(AC78,AC117,$G$110)</f>
        <v>5.3152730226265614</v>
      </c>
      <c r="AD133" s="52" cm="1">
        <f t="array" ref="AD133">MMS_PastureBeef_Methane_Equations.VEERG_4_2_1_1__3_VolatileSolidProductionFromGrazingBeef(AD78,AD117,$G$110)</f>
        <v>5.3152730226265614</v>
      </c>
      <c r="AE133" s="52" cm="1">
        <f t="array" ref="AE133">MMS_PastureBeef_Methane_Equations.VEERG_4_2_1_1__3_VolatileSolidProductionFromGrazingBeef(AE78,AE117,$G$110)</f>
        <v>5.3152730226265614</v>
      </c>
      <c r="AF133" s="2" t="str">
        <f t="shared" si="3"/>
        <v>kg/head/day</v>
      </c>
      <c r="AG133" s="2"/>
      <c r="AH133" s="2"/>
    </row>
    <row r="134" spans="4:34" ht="20.100000000000001" customHeight="1" x14ac:dyDescent="0.25">
      <c r="D134" s="52" t="s">
        <v>176</v>
      </c>
      <c r="E134" s="52" cm="1">
        <f t="array" ref="E134">MMS_PastureBeef_Methane_Equations.VEERG_4_2_1_1__3_VolatileSolidProductionFromGrazingBeef(E87,E118,$G$110)</f>
        <v>3.9667036115716807</v>
      </c>
      <c r="F134" s="52" cm="1">
        <f t="array" ref="F134">MMS_PastureBeef_Methane_Equations.VEERG_4_2_1_1__3_VolatileSolidProductionFromGrazingBeef(F87,F118,$G$110)</f>
        <v>7.7085709501919997</v>
      </c>
      <c r="G134" s="52" cm="1">
        <f t="array" ref="G134">MMS_PastureBeef_Methane_Equations.VEERG_4_2_1_1__3_VolatileSolidProductionFromGrazingBeef(G87,G118,$G$110)</f>
        <v>3.2478504259320009</v>
      </c>
      <c r="H134" s="52" cm="1">
        <f t="array" ref="H134">MMS_PastureBeef_Methane_Equations.VEERG_4_2_1_1__3_VolatileSolidProductionFromGrazingBeef(H87,H118,$G$110)</f>
        <v>5.8178874238316522</v>
      </c>
      <c r="I134" s="52" cm="1">
        <f t="array" ref="I134">MMS_PastureBeef_Methane_Equations.VEERG_4_2_1_1__3_VolatileSolidProductionFromGrazingBeef(I87,I118,$G$110)</f>
        <v>7.0674068042808713</v>
      </c>
      <c r="J134" s="52" cm="1">
        <f t="array" ref="J134">MMS_PastureBeef_Methane_Equations.VEERG_4_2_1_1__3_VolatileSolidProductionFromGrazingBeef(J87,J118,$G$110)</f>
        <v>7.0674068042808713</v>
      </c>
      <c r="K134" s="52" cm="1">
        <f t="array" ref="K134">MMS_PastureBeef_Methane_Equations.VEERG_4_2_1_1__3_VolatileSolidProductionFromGrazingBeef(K87,K118,$G$110)</f>
        <v>3.4870808063044789</v>
      </c>
      <c r="L134" s="52" cm="1">
        <f t="array" ref="L134">MMS_PastureBeef_Methane_Equations.VEERG_4_2_1_1__3_VolatileSolidProductionFromGrazingBeef(L87,L118,$G$110)</f>
        <v>5.3090206067404795</v>
      </c>
      <c r="M134" s="52" cm="1">
        <f t="array" ref="M134">MMS_PastureBeef_Methane_Equations.VEERG_4_2_1_1__3_VolatileSolidProductionFromGrazingBeef(M87,M118,$G$110)</f>
        <v>5.3090206067404795</v>
      </c>
      <c r="N134" s="52" cm="1">
        <f t="array" ref="N134">MMS_PastureBeef_Methane_Equations.VEERG_4_2_1_1__3_VolatileSolidProductionFromGrazingBeef(N87,N118,$G$110)</f>
        <v>5.3090206067404795</v>
      </c>
      <c r="O134" s="2" t="str">
        <f t="shared" si="4"/>
        <v>kg/head/day</v>
      </c>
      <c r="P134" s="2"/>
      <c r="Q134" s="2"/>
      <c r="U134" s="52" t="str">
        <f t="shared" si="5"/>
        <v>April 2024</v>
      </c>
      <c r="V134" s="52" cm="1">
        <f t="array" ref="V134">MMS_PastureBeef_Methane_Equations.VEERG_4_2_1_1__3_VolatileSolidProductionFromGrazingBeef(V79,V118,$G$110)</f>
        <v>2.9276791264000002</v>
      </c>
      <c r="W134" s="52" cm="1">
        <f t="array" ref="W134">MMS_PastureBeef_Methane_Equations.VEERG_4_2_1_1__3_VolatileSolidProductionFromGrazingBeef(W79,W118,$G$110)</f>
        <v>8.4972684084825598</v>
      </c>
      <c r="X134" s="52" cm="1">
        <f t="array" ref="X134">MMS_PastureBeef_Methane_Equations.VEERG_4_2_1_1__3_VolatileSolidProductionFromGrazingBeef(X79,X118,$G$110)</f>
        <v>2.6690305649817603</v>
      </c>
      <c r="Y134" s="52" cm="1">
        <f t="array" ref="Y134">MMS_PastureBeef_Methane_Equations.VEERG_4_2_1_1__3_VolatileSolidProductionFromGrazingBeef(Y79,Y118,$G$110)</f>
        <v>5.3715502617033586</v>
      </c>
      <c r="Z134" s="52" cm="1">
        <f t="array" ref="Z134">MMS_PastureBeef_Methane_Equations.VEERG_4_2_1_1__3_VolatileSolidProductionFromGrazingBeef(Z79,Z118,$G$110)</f>
        <v>6.0569464992069593</v>
      </c>
      <c r="AA134" s="52" cm="1">
        <f t="array" ref="AA134">MMS_PastureBeef_Methane_Equations.VEERG_4_2_1_1__3_VolatileSolidProductionFromGrazingBeef(AA79,AA118,$G$110)</f>
        <v>6.0569464992069593</v>
      </c>
      <c r="AB134" s="52" cm="1">
        <f t="array" ref="AB134">MMS_PastureBeef_Methane_Equations.VEERG_4_2_1_1__3_VolatileSolidProductionFromGrazingBeef(AB79,AB118,$G$110)</f>
        <v>2.9276791264000002</v>
      </c>
      <c r="AC134" s="52" cm="1">
        <f t="array" ref="AC134">MMS_PastureBeef_Methane_Equations.VEERG_4_2_1_1__3_VolatileSolidProductionFromGrazingBeef(AC79,AC118,$G$110)</f>
        <v>5.3152730226265614</v>
      </c>
      <c r="AD134" s="52" cm="1">
        <f t="array" ref="AD134">MMS_PastureBeef_Methane_Equations.VEERG_4_2_1_1__3_VolatileSolidProductionFromGrazingBeef(AD79,AD118,$G$110)</f>
        <v>5.3152730226265614</v>
      </c>
      <c r="AE134" s="52" cm="1">
        <f t="array" ref="AE134">MMS_PastureBeef_Methane_Equations.VEERG_4_2_1_1__3_VolatileSolidProductionFromGrazingBeef(AE79,AE118,$G$110)</f>
        <v>5.3152730226265614</v>
      </c>
      <c r="AF134" s="2" t="str">
        <f t="shared" si="3"/>
        <v>kg/head/day</v>
      </c>
      <c r="AG134" s="2"/>
      <c r="AH134" s="2"/>
    </row>
    <row r="135" spans="4:34" ht="20.100000000000001" customHeight="1" x14ac:dyDescent="0.25">
      <c r="U135" s="52" t="str">
        <f t="shared" si="5"/>
        <v>May 2024</v>
      </c>
      <c r="V135" s="52" cm="1">
        <f t="array" ref="V135">MMS_PastureBeef_Methane_Equations.VEERG_4_2_1_1__3_VolatileSolidProductionFromGrazingBeef(V80,V119,$G$110)</f>
        <v>2.9276791264000002</v>
      </c>
      <c r="W135" s="52" cm="1">
        <f t="array" ref="W135">MMS_PastureBeef_Methane_Equations.VEERG_4_2_1_1__3_VolatileSolidProductionFromGrazingBeef(W80,W119,$G$110)</f>
        <v>8.4972684084825598</v>
      </c>
      <c r="X135" s="52" cm="1">
        <f t="array" ref="X135">MMS_PastureBeef_Methane_Equations.VEERG_4_2_1_1__3_VolatileSolidProductionFromGrazingBeef(X80,X119,$G$110)</f>
        <v>2.6690305649817603</v>
      </c>
      <c r="Y135" s="52" cm="1">
        <f t="array" ref="Y135">MMS_PastureBeef_Methane_Equations.VEERG_4_2_1_1__3_VolatileSolidProductionFromGrazingBeef(Y80,Y119,$G$110)</f>
        <v>5.3715502617033586</v>
      </c>
      <c r="Z135" s="52" cm="1">
        <f t="array" ref="Z135">MMS_PastureBeef_Methane_Equations.VEERG_4_2_1_1__3_VolatileSolidProductionFromGrazingBeef(Z80,Z119,$G$110)</f>
        <v>6.0569464992069593</v>
      </c>
      <c r="AA135" s="52" cm="1">
        <f t="array" ref="AA135">MMS_PastureBeef_Methane_Equations.VEERG_4_2_1_1__3_VolatileSolidProductionFromGrazingBeef(AA80,AA119,$G$110)</f>
        <v>6.0569464992069593</v>
      </c>
      <c r="AB135" s="52" cm="1">
        <f t="array" ref="AB135">MMS_PastureBeef_Methane_Equations.VEERG_4_2_1_1__3_VolatileSolidProductionFromGrazingBeef(AB80,AB119,$G$110)</f>
        <v>2.9276791264000002</v>
      </c>
      <c r="AC135" s="52" cm="1">
        <f t="array" ref="AC135">MMS_PastureBeef_Methane_Equations.VEERG_4_2_1_1__3_VolatileSolidProductionFromGrazingBeef(AC80,AC119,$G$110)</f>
        <v>5.3152730226265614</v>
      </c>
      <c r="AD135" s="52" cm="1">
        <f t="array" ref="AD135">MMS_PastureBeef_Methane_Equations.VEERG_4_2_1_1__3_VolatileSolidProductionFromGrazingBeef(AD80,AD119,$G$110)</f>
        <v>5.3152730226265614</v>
      </c>
      <c r="AE135" s="52" cm="1">
        <f t="array" ref="AE135">MMS_PastureBeef_Methane_Equations.VEERG_4_2_1_1__3_VolatileSolidProductionFromGrazingBeef(AE80,AE119,$G$110)</f>
        <v>5.3152730226265614</v>
      </c>
      <c r="AF135" s="2" t="str">
        <f t="shared" si="3"/>
        <v>kg/head/day</v>
      </c>
      <c r="AG135" s="2"/>
      <c r="AH135" s="2"/>
    </row>
    <row r="136" spans="4:34" ht="20.100000000000001" customHeight="1" x14ac:dyDescent="0.25">
      <c r="U136" s="52" t="str">
        <f t="shared" si="5"/>
        <v>June 2024</v>
      </c>
      <c r="V136" s="52" cm="1">
        <f t="array" ref="V136">MMS_PastureBeef_Methane_Equations.VEERG_4_2_1_1__3_VolatileSolidProductionFromGrazingBeef(V81,V120,$G$110)</f>
        <v>3.9667036115716807</v>
      </c>
      <c r="W136" s="52" cm="1">
        <f t="array" ref="W136">MMS_PastureBeef_Methane_Equations.VEERG_4_2_1_1__3_VolatileSolidProductionFromGrazingBeef(W81,W120,$G$110)</f>
        <v>7.7085709501919997</v>
      </c>
      <c r="X136" s="52" cm="1">
        <f t="array" ref="X136">MMS_PastureBeef_Methane_Equations.VEERG_4_2_1_1__3_VolatileSolidProductionFromGrazingBeef(X81,X120,$G$110)</f>
        <v>3.2478504259320009</v>
      </c>
      <c r="Y136" s="52" cm="1">
        <f t="array" ref="Y136">MMS_PastureBeef_Methane_Equations.VEERG_4_2_1_1__3_VolatileSolidProductionFromGrazingBeef(Y81,Y120,$G$110)</f>
        <v>4.581013719552482</v>
      </c>
      <c r="Z136" s="52" cm="1">
        <f t="array" ref="Z136">MMS_PastureBeef_Methane_Equations.VEERG_4_2_1_1__3_VolatileSolidProductionFromGrazingBeef(Z81,Z120,$G$110)</f>
        <v>6.1455711341572794</v>
      </c>
      <c r="AA136" s="52" cm="1">
        <f t="array" ref="AA136">MMS_PastureBeef_Methane_Equations.VEERG_4_2_1_1__3_VolatileSolidProductionFromGrazingBeef(AA81,AA120,$G$110)</f>
        <v>6.1455711341572794</v>
      </c>
      <c r="AB136" s="52" cm="1">
        <f t="array" ref="AB136">MMS_PastureBeef_Methane_Equations.VEERG_4_2_1_1__3_VolatileSolidProductionFromGrazingBeef(AB81,AB120,$G$110)</f>
        <v>3.4870808063044789</v>
      </c>
      <c r="AC136" s="52" cm="1">
        <f t="array" ref="AC136">MMS_PastureBeef_Methane_Equations.VEERG_4_2_1_1__3_VolatileSolidProductionFromGrazingBeef(AC81,AC120,$G$110)</f>
        <v>5.3090206067404795</v>
      </c>
      <c r="AD136" s="52" cm="1">
        <f t="array" ref="AD136">MMS_PastureBeef_Methane_Equations.VEERG_4_2_1_1__3_VolatileSolidProductionFromGrazingBeef(AD81,AD120,$G$110)</f>
        <v>5.3090206067404795</v>
      </c>
      <c r="AE136" s="52" cm="1">
        <f t="array" ref="AE136">MMS_PastureBeef_Methane_Equations.VEERG_4_2_1_1__3_VolatileSolidProductionFromGrazingBeef(AE81,AE120,$G$110)</f>
        <v>5.3090206067404795</v>
      </c>
      <c r="AF136" s="2" t="str">
        <f t="shared" si="3"/>
        <v>kg/head/day</v>
      </c>
      <c r="AG136" s="2"/>
      <c r="AH136" s="2"/>
    </row>
    <row r="137" spans="4:34" ht="20.100000000000001" customHeight="1" x14ac:dyDescent="0.25">
      <c r="U137" s="52" t="str">
        <f t="shared" si="5"/>
        <v>July 2024</v>
      </c>
      <c r="V137" s="52" cm="1">
        <f t="array" ref="V137">MMS_PastureBeef_Methane_Equations.VEERG_4_2_1_1__3_VolatileSolidProductionFromGrazingBeef(V82,V121,$G$110)</f>
        <v>3.9667036115716807</v>
      </c>
      <c r="W137" s="52" cm="1">
        <f t="array" ref="W137">MMS_PastureBeef_Methane_Equations.VEERG_4_2_1_1__3_VolatileSolidProductionFromGrazingBeef(W82,W121,$G$110)</f>
        <v>7.7085709501919997</v>
      </c>
      <c r="X137" s="52" cm="1">
        <f t="array" ref="X137">MMS_PastureBeef_Methane_Equations.VEERG_4_2_1_1__3_VolatileSolidProductionFromGrazingBeef(X82,X121,$G$110)</f>
        <v>3.2478504259320009</v>
      </c>
      <c r="Y137" s="52" cm="1">
        <f t="array" ref="Y137">MMS_PastureBeef_Methane_Equations.VEERG_4_2_1_1__3_VolatileSolidProductionFromGrazingBeef(Y82,Y121,$G$110)</f>
        <v>4.581013719552482</v>
      </c>
      <c r="Z137" s="52" cm="1">
        <f t="array" ref="Z137">MMS_PastureBeef_Methane_Equations.VEERG_4_2_1_1__3_VolatileSolidProductionFromGrazingBeef(Z82,Z121,$G$110)</f>
        <v>6.1455711341572794</v>
      </c>
      <c r="AA137" s="52" cm="1">
        <f t="array" ref="AA137">MMS_PastureBeef_Methane_Equations.VEERG_4_2_1_1__3_VolatileSolidProductionFromGrazingBeef(AA82,AA121,$G$110)</f>
        <v>6.1455711341572794</v>
      </c>
      <c r="AB137" s="52" cm="1">
        <f t="array" ref="AB137">MMS_PastureBeef_Methane_Equations.VEERG_4_2_1_1__3_VolatileSolidProductionFromGrazingBeef(AB82,AB121,$G$110)</f>
        <v>3.4870808063044789</v>
      </c>
      <c r="AC137" s="52" cm="1">
        <f t="array" ref="AC137">MMS_PastureBeef_Methane_Equations.VEERG_4_2_1_1__3_VolatileSolidProductionFromGrazingBeef(AC82,AC121,$G$110)</f>
        <v>5.3090206067404795</v>
      </c>
      <c r="AD137" s="52" cm="1">
        <f t="array" ref="AD137">MMS_PastureBeef_Methane_Equations.VEERG_4_2_1_1__3_VolatileSolidProductionFromGrazingBeef(AD82,AD121,$G$110)</f>
        <v>5.3090206067404795</v>
      </c>
      <c r="AE137" s="52" cm="1">
        <f t="array" ref="AE137">MMS_PastureBeef_Methane_Equations.VEERG_4_2_1_1__3_VolatileSolidProductionFromGrazingBeef(AE82,AE121,$G$110)</f>
        <v>5.3090206067404795</v>
      </c>
      <c r="AF137" s="2" t="str">
        <f t="shared" si="3"/>
        <v>kg/head/day</v>
      </c>
      <c r="AG137" s="2"/>
      <c r="AH137" s="2"/>
    </row>
    <row r="138" spans="4:34" ht="20.100000000000001" customHeight="1" x14ac:dyDescent="0.25">
      <c r="U138" s="52" t="str">
        <f t="shared" si="5"/>
        <v>August 2024</v>
      </c>
      <c r="V138" s="52" cm="1">
        <f t="array" ref="V138">MMS_PastureBeef_Methane_Equations.VEERG_4_2_1_1__3_VolatileSolidProductionFromGrazingBeef(V83,V122,$G$110)</f>
        <v>3.9667036115716807</v>
      </c>
      <c r="W138" s="52" cm="1">
        <f t="array" ref="W138">MMS_PastureBeef_Methane_Equations.VEERG_4_2_1_1__3_VolatileSolidProductionFromGrazingBeef(W83,W122,$G$110)</f>
        <v>7.7085709501919997</v>
      </c>
      <c r="X138" s="52" cm="1">
        <f t="array" ref="X138">MMS_PastureBeef_Methane_Equations.VEERG_4_2_1_1__3_VolatileSolidProductionFromGrazingBeef(X83,X122,$G$110)</f>
        <v>3.2478504259320009</v>
      </c>
      <c r="Y138" s="52" cm="1">
        <f t="array" ref="Y138">MMS_PastureBeef_Methane_Equations.VEERG_4_2_1_1__3_VolatileSolidProductionFromGrazingBeef(Y83,Y122,$G$110)</f>
        <v>5.6117418064517919</v>
      </c>
      <c r="Z138" s="52" cm="1">
        <f t="array" ref="Z138">MMS_PastureBeef_Methane_Equations.VEERG_4_2_1_1__3_VolatileSolidProductionFromGrazingBeef(Z83,Z122,$G$110)</f>
        <v>7.5283246393426682</v>
      </c>
      <c r="AA138" s="52" cm="1">
        <f t="array" ref="AA138">MMS_PastureBeef_Methane_Equations.VEERG_4_2_1_1__3_VolatileSolidProductionFromGrazingBeef(AA83,AA122,$G$110)</f>
        <v>7.5283246393426682</v>
      </c>
      <c r="AB138" s="52" cm="1">
        <f t="array" ref="AB138">MMS_PastureBeef_Methane_Equations.VEERG_4_2_1_1__3_VolatileSolidProductionFromGrazingBeef(AB83,AB122,$G$110)</f>
        <v>3.4870808063044789</v>
      </c>
      <c r="AC138" s="52" cm="1">
        <f t="array" ref="AC138">MMS_PastureBeef_Methane_Equations.VEERG_4_2_1_1__3_VolatileSolidProductionFromGrazingBeef(AC83,AC122,$G$110)</f>
        <v>5.3090206067404795</v>
      </c>
      <c r="AD138" s="52" cm="1">
        <f t="array" ref="AD138">MMS_PastureBeef_Methane_Equations.VEERG_4_2_1_1__3_VolatileSolidProductionFromGrazingBeef(AD83,AD122,$G$110)</f>
        <v>5.3090206067404795</v>
      </c>
      <c r="AE138" s="52" cm="1">
        <f t="array" ref="AE138">MMS_PastureBeef_Methane_Equations.VEERG_4_2_1_1__3_VolatileSolidProductionFromGrazingBeef(AE83,AE122,$G$110)</f>
        <v>5.3090206067404795</v>
      </c>
      <c r="AF138" s="2" t="str">
        <f t="shared" si="3"/>
        <v>kg/head/day</v>
      </c>
      <c r="AG138" s="2"/>
      <c r="AH138" s="2"/>
    </row>
    <row r="139" spans="4:34" ht="20.100000000000001" customHeight="1" x14ac:dyDescent="0.25">
      <c r="U139" s="52" t="str">
        <f t="shared" si="5"/>
        <v>September 2024</v>
      </c>
      <c r="V139" s="52" cm="1">
        <f t="array" ref="V139">MMS_PastureBeef_Methane_Equations.VEERG_4_2_1_1__3_VolatileSolidProductionFromGrazingBeef(V84,V123,$G$110)</f>
        <v>6.7008751750348807</v>
      </c>
      <c r="W139" s="52" cm="1">
        <f t="array" ref="W139">MMS_PastureBeef_Methane_Equations.VEERG_4_2_1_1__3_VolatileSolidProductionFromGrazingBeef(W84,W123,$G$110)</f>
        <v>9.4640953932000045</v>
      </c>
      <c r="X139" s="52" cm="1">
        <f t="array" ref="X139">MMS_PastureBeef_Methane_Equations.VEERG_4_2_1_1__3_VolatileSolidProductionFromGrazingBeef(X84,X123,$G$110)</f>
        <v>5.1074052339844807</v>
      </c>
      <c r="Y139" s="52" cm="1">
        <f t="array" ref="Y139">MMS_PastureBeef_Methane_Equations.VEERG_4_2_1_1__3_VolatileSolidProductionFromGrazingBeef(Y84,Y123,$G$110)</f>
        <v>8.2106350665466703</v>
      </c>
      <c r="Z139" s="52" cm="1">
        <f t="array" ref="Z139">MMS_PastureBeef_Methane_Equations.VEERG_4_2_1_1__3_VolatileSolidProductionFromGrazingBeef(Z84,Z123,$G$110)</f>
        <v>9.1175617580208037</v>
      </c>
      <c r="AA139" s="52" cm="1">
        <f t="array" ref="AA139">MMS_PastureBeef_Methane_Equations.VEERG_4_2_1_1__3_VolatileSolidProductionFromGrazingBeef(AA84,AA123,$G$110)</f>
        <v>9.1175617580208037</v>
      </c>
      <c r="AB139" s="52" cm="1">
        <f t="array" ref="AB139">MMS_PastureBeef_Methane_Equations.VEERG_4_2_1_1__3_VolatileSolidProductionFromGrazingBeef(AB84,AB123,$G$110)</f>
        <v>5.8881611063519994</v>
      </c>
      <c r="AC139" s="52" cm="1">
        <f t="array" ref="AC139">MMS_PastureBeef_Methane_Equations.VEERG_4_2_1_1__3_VolatileSolidProductionFromGrazingBeef(AC84,AC123,$G$110)</f>
        <v>7.4825803240876798</v>
      </c>
      <c r="AD139" s="52" cm="1">
        <f t="array" ref="AD139">MMS_PastureBeef_Methane_Equations.VEERG_4_2_1_1__3_VolatileSolidProductionFromGrazingBeef(AD84,AD123,$G$110)</f>
        <v>7.4825803240876798</v>
      </c>
      <c r="AE139" s="52" cm="1">
        <f t="array" ref="AE139">MMS_PastureBeef_Methane_Equations.VEERG_4_2_1_1__3_VolatileSolidProductionFromGrazingBeef(AE84,AE123,$G$110)</f>
        <v>7.4825803240876798</v>
      </c>
      <c r="AF139" s="2" t="str">
        <f t="shared" si="3"/>
        <v>kg/head/day</v>
      </c>
      <c r="AG139" s="2"/>
      <c r="AH139" s="2"/>
    </row>
    <row r="140" spans="4:34" ht="20.100000000000001" customHeight="1" x14ac:dyDescent="0.25">
      <c r="U140" s="52" t="str">
        <f t="shared" si="5"/>
        <v>October 2024</v>
      </c>
      <c r="V140" s="52" cm="1">
        <f t="array" ref="V140">MMS_PastureBeef_Methane_Equations.VEERG_4_2_1_1__3_VolatileSolidProductionFromGrazingBeef(V85,V124,$G$110)</f>
        <v>6.7008751750348807</v>
      </c>
      <c r="W140" s="52" cm="1">
        <f t="array" ref="W140">MMS_PastureBeef_Methane_Equations.VEERG_4_2_1_1__3_VolatileSolidProductionFromGrazingBeef(W85,W124,$G$110)</f>
        <v>9.4640953932000045</v>
      </c>
      <c r="X140" s="52" cm="1">
        <f t="array" ref="X140">MMS_PastureBeef_Methane_Equations.VEERG_4_2_1_1__3_VolatileSolidProductionFromGrazingBeef(X85,X124,$G$110)</f>
        <v>5.1074052339844807</v>
      </c>
      <c r="Y140" s="52" cm="1">
        <f t="array" ref="Y140">MMS_PastureBeef_Methane_Equations.VEERG_4_2_1_1__3_VolatileSolidProductionFromGrazingBeef(Y85,Y124,$G$110)</f>
        <v>8.2106350665466703</v>
      </c>
      <c r="Z140" s="52" cm="1">
        <f t="array" ref="Z140">MMS_PastureBeef_Methane_Equations.VEERG_4_2_1_1__3_VolatileSolidProductionFromGrazingBeef(Z85,Z124,$G$110)</f>
        <v>9.1175617580208037</v>
      </c>
      <c r="AA140" s="52" cm="1">
        <f t="array" ref="AA140">MMS_PastureBeef_Methane_Equations.VEERG_4_2_1_1__3_VolatileSolidProductionFromGrazingBeef(AA85,AA124,$G$110)</f>
        <v>9.1175617580208037</v>
      </c>
      <c r="AB140" s="52" cm="1">
        <f t="array" ref="AB140">MMS_PastureBeef_Methane_Equations.VEERG_4_2_1_1__3_VolatileSolidProductionFromGrazingBeef(AB85,AB124,$G$110)</f>
        <v>5.8881611063519994</v>
      </c>
      <c r="AC140" s="52" cm="1">
        <f t="array" ref="AC140">MMS_PastureBeef_Methane_Equations.VEERG_4_2_1_1__3_VolatileSolidProductionFromGrazingBeef(AC85,AC124,$G$110)</f>
        <v>7.4825803240876798</v>
      </c>
      <c r="AD140" s="52" cm="1">
        <f t="array" ref="AD140">MMS_PastureBeef_Methane_Equations.VEERG_4_2_1_1__3_VolatileSolidProductionFromGrazingBeef(AD85,AD124,$G$110)</f>
        <v>7.4825803240876798</v>
      </c>
      <c r="AE140" s="52" cm="1">
        <f t="array" ref="AE140">MMS_PastureBeef_Methane_Equations.VEERG_4_2_1_1__3_VolatileSolidProductionFromGrazingBeef(AE85,AE124,$G$110)</f>
        <v>7.4825803240876798</v>
      </c>
      <c r="AF140" s="2" t="str">
        <f t="shared" si="3"/>
        <v>kg/head/day</v>
      </c>
      <c r="AG140" s="2"/>
      <c r="AH140" s="2"/>
    </row>
    <row r="141" spans="4:34" ht="20.100000000000001" customHeight="1" x14ac:dyDescent="0.25">
      <c r="U141" s="52" t="str">
        <f t="shared" si="5"/>
        <v>November 2024</v>
      </c>
      <c r="V141" s="52" cm="1">
        <f t="array" ref="V141">MMS_PastureBeef_Methane_Equations.VEERG_4_2_1_1__3_VolatileSolidProductionFromGrazingBeef(V86,V125,$G$110)</f>
        <v>6.7008751750348807</v>
      </c>
      <c r="W141" s="52" cm="1">
        <f t="array" ref="W141">MMS_PastureBeef_Methane_Equations.VEERG_4_2_1_1__3_VolatileSolidProductionFromGrazingBeef(W86,W125,$G$110)</f>
        <v>9.4640953932000045</v>
      </c>
      <c r="X141" s="52" cm="1">
        <f t="array" ref="X141">MMS_PastureBeef_Methane_Equations.VEERG_4_2_1_1__3_VolatileSolidProductionFromGrazingBeef(X86,X125,$G$110)</f>
        <v>5.1074052339844807</v>
      </c>
      <c r="Y141" s="52" cm="1">
        <f t="array" ref="Y141">MMS_PastureBeef_Methane_Equations.VEERG_4_2_1_1__3_VolatileSolidProductionFromGrazingBeef(Y86,Y125,$G$110)</f>
        <v>7.2052511808470792</v>
      </c>
      <c r="Z141" s="52" cm="1">
        <f t="array" ref="Z141">MMS_PastureBeef_Methane_Equations.VEERG_4_2_1_1__3_VolatileSolidProductionFromGrazingBeef(Z86,Z125,$G$110)</f>
        <v>8.0011256243856028</v>
      </c>
      <c r="AA141" s="52" cm="1">
        <f t="array" ref="AA141">MMS_PastureBeef_Methane_Equations.VEERG_4_2_1_1__3_VolatileSolidProductionFromGrazingBeef(AA86,AA125,$G$110)</f>
        <v>8.0011256243856028</v>
      </c>
      <c r="AB141" s="52" cm="1">
        <f t="array" ref="AB141">MMS_PastureBeef_Methane_Equations.VEERG_4_2_1_1__3_VolatileSolidProductionFromGrazingBeef(AB86,AB125,$G$110)</f>
        <v>5.8881611063519994</v>
      </c>
      <c r="AC141" s="52" cm="1">
        <f t="array" ref="AC141">MMS_PastureBeef_Methane_Equations.VEERG_4_2_1_1__3_VolatileSolidProductionFromGrazingBeef(AC86,AC125,$G$110)</f>
        <v>7.4825803240876798</v>
      </c>
      <c r="AD141" s="52" cm="1">
        <f t="array" ref="AD141">MMS_PastureBeef_Methane_Equations.VEERG_4_2_1_1__3_VolatileSolidProductionFromGrazingBeef(AD86,AD125,$G$110)</f>
        <v>7.4825803240876798</v>
      </c>
      <c r="AE141" s="52" cm="1">
        <f t="array" ref="AE141">MMS_PastureBeef_Methane_Equations.VEERG_4_2_1_1__3_VolatileSolidProductionFromGrazingBeef(AE86,AE125,$G$110)</f>
        <v>7.4825803240876798</v>
      </c>
      <c r="AF141" s="2" t="str">
        <f t="shared" si="3"/>
        <v>kg/head/day</v>
      </c>
      <c r="AG141" s="2"/>
      <c r="AH141" s="2"/>
    </row>
    <row r="142" spans="4:34" ht="20.100000000000001" customHeight="1" x14ac:dyDescent="0.25">
      <c r="U142" s="52" t="str">
        <f t="shared" si="5"/>
        <v>December 2024</v>
      </c>
      <c r="V142" s="52" cm="1">
        <f t="array" ref="V142">MMS_PastureBeef_Methane_Equations.VEERG_4_2_1_1__3_VolatileSolidProductionFromGrazingBeef(V87,V126,$G$110)</f>
        <v>6.2463501247103963</v>
      </c>
      <c r="W142" s="52" cm="1">
        <f t="array" ref="W142">MMS_PastureBeef_Methane_Equations.VEERG_4_2_1_1__3_VolatileSolidProductionFromGrazingBeef(W87,W126,$G$110)</f>
        <v>8.2645387591464008</v>
      </c>
      <c r="X142" s="52" cm="1">
        <f t="array" ref="X142">MMS_PastureBeef_Methane_Equations.VEERG_4_2_1_1__3_VolatileSolidProductionFromGrazingBeef(X87,X126,$G$110)</f>
        <v>5.2530393974399985</v>
      </c>
      <c r="Y142" s="52" cm="1">
        <f t="array" ref="Y142">MMS_PastureBeef_Methane_Equations.VEERG_4_2_1_1__3_VolatileSolidProductionFromGrazingBeef(Y87,Y126,$G$110)</f>
        <v>7.3947749729838765</v>
      </c>
      <c r="Z142" s="52" cm="1">
        <f t="array" ref="Z142">MMS_PastureBeef_Methane_Equations.VEERG_4_2_1_1__3_VolatileSolidProductionFromGrazingBeef(Z87,Z126,$G$110)</f>
        <v>7.3217320363288785</v>
      </c>
      <c r="AA142" s="52" cm="1">
        <f t="array" ref="AA142">MMS_PastureBeef_Methane_Equations.VEERG_4_2_1_1__3_VolatileSolidProductionFromGrazingBeef(AA87,AA126,$G$110)</f>
        <v>7.3217320363288785</v>
      </c>
      <c r="AB142" s="52" cm="1">
        <f t="array" ref="AB142">MMS_PastureBeef_Methane_Equations.VEERG_4_2_1_1__3_VolatileSolidProductionFromGrazingBeef(AB87,AB126,$G$110)</f>
        <v>5.7575981375104002</v>
      </c>
      <c r="AC142" s="52" cm="1">
        <f t="array" ref="AC142">MMS_PastureBeef_Methane_Equations.VEERG_4_2_1_1__3_VolatileSolidProductionFromGrazingBeef(AC87,AC126,$G$110)</f>
        <v>6.4178433863514002</v>
      </c>
      <c r="AD142" s="52" cm="1">
        <f t="array" ref="AD142">MMS_PastureBeef_Methane_Equations.VEERG_4_2_1_1__3_VolatileSolidProductionFromGrazingBeef(AD87,AD126,$G$110)</f>
        <v>6.4178433863514002</v>
      </c>
      <c r="AE142" s="52" cm="1">
        <f t="array" ref="AE142">MMS_PastureBeef_Methane_Equations.VEERG_4_2_1_1__3_VolatileSolidProductionFromGrazingBeef(AE87,AE126,$G$110)</f>
        <v>6.4178433863514002</v>
      </c>
      <c r="AF142" s="2" t="str">
        <f t="shared" si="3"/>
        <v>kg/head/day</v>
      </c>
      <c r="AG142" s="2"/>
      <c r="AH142" s="2"/>
    </row>
    <row r="143" spans="4:34" ht="20.100000000000001" customHeight="1" x14ac:dyDescent="0.25"/>
    <row r="144" spans="4:34" ht="20.100000000000001" customHeight="1" x14ac:dyDescent="0.25"/>
    <row r="145" spans="3:35" ht="20.100000000000001" customHeight="1" x14ac:dyDescent="0.25">
      <c r="C145" s="45"/>
      <c r="D145" s="45"/>
      <c r="E145" s="45"/>
      <c r="F145" s="45"/>
      <c r="G145" s="45"/>
      <c r="H145" s="45"/>
      <c r="I145" s="45"/>
      <c r="J145" s="45"/>
      <c r="K145" s="45"/>
      <c r="L145" s="45"/>
      <c r="M145" s="45"/>
      <c r="N145" s="45"/>
      <c r="O145" s="45"/>
      <c r="P145" s="45"/>
      <c r="Q145" s="45"/>
      <c r="R145" s="45"/>
      <c r="T145" s="45"/>
      <c r="U145" s="45"/>
      <c r="V145" s="45"/>
      <c r="W145" s="45"/>
      <c r="X145" s="45"/>
      <c r="Y145" s="45"/>
      <c r="Z145" s="45"/>
      <c r="AA145" s="45"/>
      <c r="AB145" s="45"/>
      <c r="AC145" s="45"/>
      <c r="AD145" s="45"/>
      <c r="AE145" s="45"/>
      <c r="AF145" s="45"/>
      <c r="AG145" s="45"/>
      <c r="AH145" s="45"/>
      <c r="AI145" s="45"/>
    </row>
    <row r="146" spans="3:35" ht="20.100000000000001" customHeight="1" x14ac:dyDescent="0.25">
      <c r="D146" s="6" t="str" cm="1">
        <f t="array" ref="D146">MMS_PastureBeef_Methane_Equations.VEERG_4_2_1_1__2_MethaneProductionFromManure_Title()</f>
        <v>Methane production from the manure of grazing beef cattle</v>
      </c>
    </row>
    <row r="147" spans="3:35" ht="20.100000000000001" customHeight="1" x14ac:dyDescent="0.25">
      <c r="D147" s="5" t="str" cm="1">
        <f t="array" ref="D147">MMS_PastureBeef_Methane_Equations.VEERG_4_2_1_1__2_MethaneProductionFromManure_Source()</f>
        <v>VEERG 2026: 4.2.1.1, Equation (2)</v>
      </c>
    </row>
    <row r="148" spans="3:35" ht="20.100000000000001" customHeight="1" x14ac:dyDescent="0.25">
      <c r="D148" s="13" t="s">
        <v>27</v>
      </c>
      <c r="E148" s="13" t="str" cm="1">
        <f t="array" aca="1" ref="E148" ca="1">Common_InputFunctions.Utility_DisplayFunctionName($F$177)</f>
        <v>=MMS_PastureBeef_Methane_Equations.VEERG_4_2_1_1__2_MethaneProductionFromManure</v>
      </c>
    </row>
    <row r="149" spans="3:35" ht="20.100000000000001" customHeight="1" x14ac:dyDescent="0.25"/>
    <row r="150" spans="3:35" ht="20.100000000000001" customHeight="1" x14ac:dyDescent="0.25"/>
    <row r="151" spans="3:35" ht="20.100000000000001" customHeight="1" x14ac:dyDescent="0.25">
      <c r="D151" s="53" t="s">
        <v>30</v>
      </c>
      <c r="E151" s="1" t="str" cm="1">
        <f t="array" ref="E151">MMS_PastureBeef_Methane_Equations.VEERG_4_2_1_1__2_MethaneProductionFromManure_Variable()</f>
        <v>M_jklm</v>
      </c>
    </row>
    <row r="152" spans="3:35" ht="20.100000000000001" customHeight="1" x14ac:dyDescent="0.25">
      <c r="D152" s="53" t="s">
        <v>20</v>
      </c>
      <c r="E152" s="54" t="str" cm="1">
        <f t="array" ref="E152">MMS_PastureBeef_Methane_Equations.VEERG_4_2_1_1__2_MethaneProductionFromManure_Unit()</f>
        <v>kg CH4/head/day</v>
      </c>
    </row>
    <row r="153" spans="3:35" ht="20.100000000000001" customHeight="1" x14ac:dyDescent="0.25"/>
    <row r="154" spans="3:35" ht="20.100000000000001" customHeight="1" x14ac:dyDescent="0.25">
      <c r="D154" s="57" t="str" cm="1">
        <f t="array" ref="D154:E160">MMS_PastureBeef_Methane_Equations.VEERG_4_2_1_1__2_MethaneProductionFromManure_Arguments()</f>
        <v>VS_jkl</v>
      </c>
      <c r="E154" s="58" t="str">
        <v>volatile solid production (kg/day)</v>
      </c>
      <c r="F154" s="59"/>
      <c r="G154" s="57" t="str">
        <f>"See " &amp; D128</f>
        <v>See M1_Table_VS_j_k_l</v>
      </c>
    </row>
    <row r="155" spans="3:35" ht="20.100000000000001" customHeight="1" x14ac:dyDescent="0.25">
      <c r="D155" s="57" t="str">
        <v>B_o</v>
      </c>
      <c r="E155" s="58" t="str">
        <v>emissions potential (m3 CH4/kg VS)</v>
      </c>
      <c r="F155" s="59"/>
      <c r="G155" s="57">
        <f>'Constants - Pature Beef'!$D$426</f>
        <v>0.19</v>
      </c>
    </row>
    <row r="156" spans="3:35" ht="20.100000000000001" customHeight="1" x14ac:dyDescent="0.25">
      <c r="D156" s="57" t="str">
        <v>MMS_m</v>
      </c>
      <c r="E156" s="58" t="str">
        <v>fraction of waste in each manure management system</v>
      </c>
      <c r="F156" s="59"/>
      <c r="G156" s="57" t="str">
        <f>"See " &amp; D162</f>
        <v>See Table_MMS_m</v>
      </c>
    </row>
    <row r="157" spans="3:35" ht="20.100000000000001" customHeight="1" x14ac:dyDescent="0.25">
      <c r="D157" s="57" t="str">
        <v>MCF_im</v>
      </c>
      <c r="E157" s="58" t="str">
        <v>methane conversion factor for temperature zone and MMS</v>
      </c>
      <c r="F157" s="59"/>
      <c r="G157" s="57" t="str">
        <f>"See " &amp; D168</f>
        <v>See M1_Table_MCF_i_m</v>
      </c>
      <c r="H157" s="107" t="s">
        <v>277</v>
      </c>
    </row>
    <row r="158" spans="3:35" ht="20.100000000000001" customHeight="1" x14ac:dyDescent="0.25">
      <c r="D158" s="57" t="str">
        <v>rho</v>
      </c>
      <c r="E158" s="58" t="str">
        <v>density of methane (kg/m3)</v>
      </c>
      <c r="F158" s="59"/>
      <c r="G158" s="57">
        <f>'Constants - Common'!$D$175</f>
        <v>0.6784</v>
      </c>
    </row>
    <row r="159" spans="3:35" ht="20.100000000000001" customHeight="1" x14ac:dyDescent="0.25">
      <c r="D159" s="57" t="str">
        <v>i</v>
      </c>
      <c r="E159" s="58" t="str">
        <v>state</v>
      </c>
      <c r="F159" s="59"/>
      <c r="G159" s="57" t="str">
        <f>'Input - Pasture Beef'!$E$7</f>
        <v>Western Australia</v>
      </c>
    </row>
    <row r="160" spans="3:35" ht="20.100000000000001" customHeight="1" x14ac:dyDescent="0.25">
      <c r="D160" s="57" t="str">
        <v>i</v>
      </c>
      <c r="E160" s="58" t="str">
        <v>region</v>
      </c>
      <c r="F160" s="59"/>
      <c r="G160" s="57" t="str">
        <f>'Input - Pasture Beef'!$E$8</f>
        <v>South West</v>
      </c>
    </row>
    <row r="161" spans="4:32" ht="20.100000000000001" customHeight="1" x14ac:dyDescent="0.25"/>
    <row r="162" spans="4:32" ht="20.100000000000001" customHeight="1" x14ac:dyDescent="0.25">
      <c r="D162" s="99" t="s">
        <v>270</v>
      </c>
    </row>
    <row r="163" spans="4:32" ht="20.100000000000001" customHeight="1" x14ac:dyDescent="0.25">
      <c r="D163" s="98" t="s">
        <v>269</v>
      </c>
      <c r="V163" s="1" t="str">
        <f>'Input - Site'!E33</f>
        <v>Temperate</v>
      </c>
    </row>
    <row r="164" spans="4:32" ht="20.100000000000001" customHeight="1" x14ac:dyDescent="0.25">
      <c r="D164" s="51" t="s">
        <v>68</v>
      </c>
      <c r="E164" s="51" t="s">
        <v>271</v>
      </c>
      <c r="F164" s="2" t="s">
        <v>141</v>
      </c>
    </row>
    <row r="165" spans="4:32" ht="20.100000000000001" customHeight="1" x14ac:dyDescent="0.25">
      <c r="D165" s="52" t="str">
        <f>'Input - Pasture Beef'!$D$172</f>
        <v>Pasture range and paddock</v>
      </c>
      <c r="E165" s="52">
        <f>'Input - Pasture Beef'!$E$172</f>
        <v>0.99621999999999999</v>
      </c>
      <c r="F165" s="2" t="s">
        <v>141</v>
      </c>
    </row>
    <row r="166" spans="4:32" ht="20.100000000000001" customHeight="1" x14ac:dyDescent="0.25">
      <c r="D166" s="52" t="str">
        <f>'Input - Pasture Beef'!$D$173</f>
        <v>Anaerobic lagoon</v>
      </c>
      <c r="E166" s="52">
        <f>'Input - Pasture Beef'!$E$173</f>
        <v>3.7799999999999999E-3</v>
      </c>
    </row>
    <row r="167" spans="4:32" ht="20.100000000000001" customHeight="1" x14ac:dyDescent="0.25"/>
    <row r="168" spans="4:32" ht="20.100000000000001" customHeight="1" x14ac:dyDescent="0.25">
      <c r="D168" s="99" t="s">
        <v>145</v>
      </c>
      <c r="U168" s="99" t="s">
        <v>145</v>
      </c>
    </row>
    <row r="169" spans="4:32" ht="20.100000000000001" customHeight="1" x14ac:dyDescent="0.25">
      <c r="D169" s="98" t="s">
        <v>272</v>
      </c>
      <c r="U169" s="98" t="s">
        <v>272</v>
      </c>
    </row>
    <row r="170" spans="4:32" ht="20.100000000000001" customHeight="1" x14ac:dyDescent="0.25">
      <c r="D170" s="51" t="s">
        <v>68</v>
      </c>
      <c r="E170" s="51" t="s">
        <v>99</v>
      </c>
      <c r="U170" s="51" t="s">
        <v>68</v>
      </c>
      <c r="V170" s="51" t="s">
        <v>99</v>
      </c>
    </row>
    <row r="171" spans="4:32" ht="20.100000000000001" customHeight="1" x14ac:dyDescent="0.25">
      <c r="D171" s="52" t="str">
        <f>'Input - Pasture Beef'!$D$172</f>
        <v>Pasture range and paddock</v>
      </c>
      <c r="E171" s="52">
        <f>Common_InputFunctions.Utility_LookupValueInTableTwoColumns(Common_InputFunctions.Utility_ConvertStateCommonNameToAbbreviation($G$159, Table_AustralianStates[Common Name],Table_AustralianStates[Abbreviation]),$G$160,Table_SourceData_PastureBeef_MethaneConversionFactor[State],Table_SourceData_PastureBeef_MethaneConversionFactor[Region],Table_SourceData_PastureBeef_MethaneConversionFactor[Pasture range and paddock])</f>
        <v>4.7000000000000002E-3</v>
      </c>
      <c r="U171" s="52" t="str">
        <f>'Input - Pasture Beef'!$D$172</f>
        <v>Pasture range and paddock</v>
      </c>
      <c r="V171" s="52" cm="1">
        <f t="array" ref="V171">Common_InputFunctions.Common_GetMCFTemperatureZone($V$163, U171,Table_SourceData_Common_MCFTemperatureZone[MAT raw],Table_SourceData_Common_MCFTemperatureZone[#Headers],Table_SourceData_Common_MCFTemperatureZone[])</f>
        <v>4.7000000000000002E-3</v>
      </c>
    </row>
    <row r="172" spans="4:32" ht="20.100000000000001" customHeight="1" x14ac:dyDescent="0.25">
      <c r="D172" s="52" t="str">
        <f>'Input - Pasture Beef'!$D$173</f>
        <v>Anaerobic lagoon</v>
      </c>
      <c r="E172" s="52">
        <f>Common_InputFunctions.Utility_LookupValueInTableTwoColumns(Common_InputFunctions.Utility_ConvertStateCommonNameToAbbreviation($G$159, Table_AustralianStates[Common Name],Table_AustralianStates[Abbreviation]),$G$160,Table_SourceData_PastureBeef_MethaneConversionFactor[State],Table_SourceData_PastureBeef_MethaneConversionFactor[Region],Table_SourceData_PastureBeef_MethaneConversionFactor[Uncovered Anaerobic lagoon])</f>
        <v>0.76</v>
      </c>
      <c r="U172" s="52" t="str">
        <f>'Input - Pasture Beef'!$D$173</f>
        <v>Anaerobic lagoon</v>
      </c>
      <c r="V172" s="52" cm="1">
        <f t="array" ref="V172">Common_InputFunctions.Common_GetMCFTemperatureZone($V$163, U172,Table_SourceData_Common_MCFTemperatureZone[MAT raw],Table_SourceData_Common_MCFTemperatureZone[#Headers],Table_SourceData_Common_MCFTemperatureZone[])</f>
        <v>0.77</v>
      </c>
    </row>
    <row r="173" spans="4:32" ht="20.100000000000001" customHeight="1" x14ac:dyDescent="0.25"/>
    <row r="174" spans="4:32" ht="20.100000000000001" customHeight="1" x14ac:dyDescent="0.25">
      <c r="D174" s="99" t="s">
        <v>273</v>
      </c>
      <c r="U174" s="99" t="s">
        <v>275</v>
      </c>
    </row>
    <row r="175" spans="4:32" ht="20.100000000000001" customHeight="1" x14ac:dyDescent="0.25">
      <c r="D175" s="98" t="s">
        <v>274</v>
      </c>
      <c r="U175" s="98" t="s">
        <v>276</v>
      </c>
    </row>
    <row r="176" spans="4:32" ht="20.100000000000001" customHeight="1" x14ac:dyDescent="0.25">
      <c r="D176" s="51" t="s">
        <v>68</v>
      </c>
      <c r="E176" s="51" t="s">
        <v>184</v>
      </c>
      <c r="F176" s="51" t="s">
        <v>131</v>
      </c>
      <c r="G176" s="51" t="s">
        <v>130</v>
      </c>
      <c r="H176" s="51" t="s">
        <v>165</v>
      </c>
      <c r="I176" s="51" t="s">
        <v>166</v>
      </c>
      <c r="J176" s="51" t="s">
        <v>167</v>
      </c>
      <c r="K176" s="51" t="s">
        <v>168</v>
      </c>
      <c r="L176" s="51" t="s">
        <v>169</v>
      </c>
      <c r="M176" s="51" t="s">
        <v>170</v>
      </c>
      <c r="N176" s="51" t="s">
        <v>171</v>
      </c>
      <c r="O176" s="51" t="s">
        <v>172</v>
      </c>
      <c r="U176" s="51" t="s">
        <v>68</v>
      </c>
      <c r="V176" s="51" t="s">
        <v>132</v>
      </c>
      <c r="W176" s="51" t="s">
        <v>131</v>
      </c>
      <c r="X176" s="51" t="s">
        <v>130</v>
      </c>
      <c r="Y176" s="51" t="s">
        <v>165</v>
      </c>
      <c r="Z176" s="51" t="s">
        <v>166</v>
      </c>
      <c r="AA176" s="51" t="s">
        <v>167</v>
      </c>
      <c r="AB176" s="51" t="s">
        <v>168</v>
      </c>
      <c r="AC176" s="51" t="s">
        <v>169</v>
      </c>
      <c r="AD176" s="51" t="s">
        <v>170</v>
      </c>
      <c r="AE176" s="51" t="s">
        <v>171</v>
      </c>
      <c r="AF176" s="51" t="s">
        <v>172</v>
      </c>
    </row>
    <row r="177" spans="4:34" ht="20.100000000000001" customHeight="1" x14ac:dyDescent="0.25">
      <c r="D177" s="52" t="str">
        <f>'Input - Pasture Beef'!$D$172</f>
        <v>Pasture range and paddock</v>
      </c>
      <c r="E177" s="52" t="s">
        <v>173</v>
      </c>
      <c r="F177" s="52" cm="1">
        <f t="array" ref="F177">MMS_PastureBeef_Methane_Equations.VEERG_4_2_1_1__2_MethaneProductionFromManure(E131,$G$155,$E$165,$E$171,$G$158)</f>
        <v>4.0441204522655228E-3</v>
      </c>
      <c r="G177" s="52" cm="1">
        <f t="array" ref="G177">MMS_PastureBeef_Methane_Equations.VEERG_4_2_1_1__2_MethaneProductionFromManure(F131,$G$155,$E$165,$E$171,$G$158)</f>
        <v>5.711782527217847E-3</v>
      </c>
      <c r="H177" s="52" cm="1">
        <f t="array" ref="H177">MMS_PastureBeef_Methane_Equations.VEERG_4_2_1_1__2_MethaneProductionFromManure(G131,$G$155,$E$165,$E$171,$G$158)</f>
        <v>3.0824275076362846E-3</v>
      </c>
      <c r="I177" s="52" cm="1">
        <f t="array" ref="I177">MMS_PastureBeef_Methane_Equations.VEERG_4_2_1_1__2_MethaneProductionFromManure(H131,$G$155,$E$165,$E$171,$G$158)</f>
        <v>4.4091991338241539E-3</v>
      </c>
      <c r="J177" s="52" cm="1">
        <f t="array" ref="J177">MMS_PastureBeef_Methane_Equations.VEERG_4_2_1_1__2_MethaneProductionFromManure(I131,$G$155,$E$165,$E$171,$G$158)</f>
        <v>4.7165503887500763E-3</v>
      </c>
      <c r="K177" s="52" cm="1">
        <f t="array" ref="K177">MMS_PastureBeef_Methane_Equations.VEERG_4_2_1_1__2_MethaneProductionFromManure(J131,$G$155,$E$165,$E$171,$G$158)</f>
        <v>4.7165503887500763E-3</v>
      </c>
      <c r="L177" s="52" cm="1">
        <f t="array" ref="L177">MMS_PastureBeef_Methane_Equations.VEERG_4_2_1_1__2_MethaneProductionFromManure(K131,$G$155,$E$165,$E$171,$G$158)</f>
        <v>3.5536302549179421E-3</v>
      </c>
      <c r="M177" s="52" cm="1">
        <f t="array" ref="M177">MMS_PastureBeef_Methane_Equations.VEERG_4_2_1_1__2_MethaneProductionFromManure(L131,$G$155,$E$165,$E$171,$G$158)</f>
        <v>4.5158961081833695E-3</v>
      </c>
      <c r="N177" s="52" cm="1">
        <f t="array" ref="N177">MMS_PastureBeef_Methane_Equations.VEERG_4_2_1_1__2_MethaneProductionFromManure(M131,$G$155,$E$165,$E$171,$G$158)</f>
        <v>4.5158961081833695E-3</v>
      </c>
      <c r="O177" s="52" cm="1">
        <f t="array" ref="O177">MMS_PastureBeef_Methane_Equations.VEERG_4_2_1_1__2_MethaneProductionFromManure(N131,$G$155,$E$165,$E$171,$G$158)</f>
        <v>4.5158961081833695E-3</v>
      </c>
      <c r="P177" s="2" t="str">
        <f t="shared" ref="P177:P184" si="6">$E$152</f>
        <v>kg CH4/head/day</v>
      </c>
      <c r="Q177" s="2"/>
      <c r="U177" s="52" t="str">
        <f>'Input - Pasture Beef'!$D$172</f>
        <v>Pasture range and paddock</v>
      </c>
      <c r="V177" s="52" t="str">
        <f t="shared" ref="V177:V188" si="7">U131</f>
        <v>January 2024</v>
      </c>
      <c r="W177" s="52" cm="1">
        <f t="array" ref="W177">MMS_PastureBeef_Methane_Equations.VEERG_4_2_1_1__2_MethaneProductionFromManure(V131,$G$155,$E$165,$E$171,$G$158)</f>
        <v>3.7698049331624994E-3</v>
      </c>
      <c r="X177" s="52" cm="1">
        <f t="array" ref="X177">MMS_PastureBeef_Methane_Equations.VEERG_4_2_1_1__2_MethaneProductionFromManure(W131,$G$155,$E$165,$E$171,$G$158)</f>
        <v>4.9878246275839805E-3</v>
      </c>
      <c r="Y177" s="52" cm="1">
        <f t="array" ref="Y177">MMS_PastureBeef_Methane_Equations.VEERG_4_2_1_1__2_MethaneProductionFromManure(X131,$G$155,$E$165,$E$171,$G$158)</f>
        <v>3.1703208176285837E-3</v>
      </c>
      <c r="Z177" s="52" cm="1">
        <f t="array" ref="Z177">MMS_PastureBeef_Methane_Equations.VEERG_4_2_1_1__2_MethaneProductionFromManure(Y131,$G$155,$E$165,$E$171,$G$158)</f>
        <v>4.4629037143629011E-3</v>
      </c>
      <c r="AA177" s="52" cm="1">
        <f t="array" ref="AA177">MMS_PastureBeef_Methane_Equations.VEERG_4_2_1_1__2_MethaneProductionFromManure(Z131,$G$155,$E$165,$E$171,$G$158)</f>
        <v>4.4188207511224346E-3</v>
      </c>
      <c r="AB177" s="52" cm="1">
        <f t="array" ref="AB177">MMS_PastureBeef_Methane_Equations.VEERG_4_2_1_1__2_MethaneProductionFromManure(AA131,$G$155,$E$165,$E$171,$G$158)</f>
        <v>4.4188207511224346E-3</v>
      </c>
      <c r="AC177" s="52" cm="1">
        <f t="array" ref="AC177">MMS_PastureBeef_Methane_Equations.VEERG_4_2_1_1__2_MethaneProductionFromManure(AB131,$G$155,$E$165,$E$171,$G$158)</f>
        <v>3.4748327308918255E-3</v>
      </c>
      <c r="AD177" s="52" cm="1">
        <f t="array" ref="AD177">MMS_PastureBeef_Methane_Equations.VEERG_4_2_1_1__2_MethaneProductionFromManure(AC131,$G$155,$E$165,$E$171,$G$158)</f>
        <v>3.8733047579931406E-3</v>
      </c>
      <c r="AE177" s="52" cm="1">
        <f t="array" ref="AE177">MMS_PastureBeef_Methane_Equations.VEERG_4_2_1_1__2_MethaneProductionFromManure(AD131,$G$155,$E$165,$E$171,$G$158)</f>
        <v>3.8733047579931406E-3</v>
      </c>
      <c r="AF177" s="52" cm="1">
        <f t="array" ref="AF177">MMS_PastureBeef_Methane_Equations.VEERG_4_2_1_1__2_MethaneProductionFromManure(AE131,$G$155,$E$165,$E$171,$G$158)</f>
        <v>3.8733047579931406E-3</v>
      </c>
      <c r="AG177" s="2" t="str">
        <f t="shared" ref="AG177:AG200" si="8">$E$152</f>
        <v>kg CH4/head/day</v>
      </c>
      <c r="AH177" s="2"/>
    </row>
    <row r="178" spans="4:34" ht="20.100000000000001" customHeight="1" x14ac:dyDescent="0.25">
      <c r="D178" s="52" t="str">
        <f>'Input - Pasture Beef'!$D$172</f>
        <v>Pasture range and paddock</v>
      </c>
      <c r="E178" s="52" t="s">
        <v>174</v>
      </c>
      <c r="F178" s="52" cm="1">
        <f t="array" ref="F178">MMS_PastureBeef_Methane_Equations.VEERG_4_2_1_1__2_MethaneProductionFromManure(E132,$G$155,$E$165,$E$171,$G$158)</f>
        <v>3.7698049331624994E-3</v>
      </c>
      <c r="G178" s="52" cm="1">
        <f t="array" ref="G178">MMS_PastureBeef_Methane_Equations.VEERG_4_2_1_1__2_MethaneProductionFromManure(F132,$G$155,$E$165,$E$171,$G$158)</f>
        <v>4.9878246275839805E-3</v>
      </c>
      <c r="H178" s="52" cm="1">
        <f t="array" ref="H178">MMS_PastureBeef_Methane_Equations.VEERG_4_2_1_1__2_MethaneProductionFromManure(G132,$G$155,$E$165,$E$171,$G$158)</f>
        <v>3.1703208176285837E-3</v>
      </c>
      <c r="I178" s="52" cm="1">
        <f t="array" ref="I178">MMS_PastureBeef_Methane_Equations.VEERG_4_2_1_1__2_MethaneProductionFromManure(H132,$G$155,$E$165,$E$171,$G$158)</f>
        <v>4.1515383389422343E-3</v>
      </c>
      <c r="J178" s="52" cm="1">
        <f t="array" ref="J178">MMS_PastureBeef_Methane_Equations.VEERG_4_2_1_1__2_MethaneProductionFromManure(I132,$G$155,$E$165,$E$171,$G$158)</f>
        <v>4.1105309312766845E-3</v>
      </c>
      <c r="K178" s="52" cm="1">
        <f t="array" ref="K178">MMS_PastureBeef_Methane_Equations.VEERG_4_2_1_1__2_MethaneProductionFromManure(J132,$G$155,$E$165,$E$171,$G$158)</f>
        <v>4.1105309312766845E-3</v>
      </c>
      <c r="L178" s="52" cm="1">
        <f t="array" ref="L178">MMS_PastureBeef_Methane_Equations.VEERG_4_2_1_1__2_MethaneProductionFromManure(K132,$G$155,$E$165,$E$171,$G$158)</f>
        <v>3.4748327308918255E-3</v>
      </c>
      <c r="M178" s="52" cm="1">
        <f t="array" ref="M178">MMS_PastureBeef_Methane_Equations.VEERG_4_2_1_1__2_MethaneProductionFromManure(L132,$G$155,$E$165,$E$171,$G$158)</f>
        <v>3.8733047579931406E-3</v>
      </c>
      <c r="N178" s="52" cm="1">
        <f t="array" ref="N178">MMS_PastureBeef_Methane_Equations.VEERG_4_2_1_1__2_MethaneProductionFromManure(M132,$G$155,$E$165,$E$171,$G$158)</f>
        <v>3.8733047579931406E-3</v>
      </c>
      <c r="O178" s="52" cm="1">
        <f t="array" ref="O178">MMS_PastureBeef_Methane_Equations.VEERG_4_2_1_1__2_MethaneProductionFromManure(N132,$G$155,$E$165,$E$171,$G$158)</f>
        <v>3.8733047579931406E-3</v>
      </c>
      <c r="P178" s="2" t="str">
        <f t="shared" si="6"/>
        <v>kg CH4/head/day</v>
      </c>
      <c r="Q178" s="2"/>
      <c r="U178" s="52" t="str">
        <f>'Input - Pasture Beef'!$D$172</f>
        <v>Pasture range and paddock</v>
      </c>
      <c r="V178" s="52" t="str">
        <f t="shared" si="7"/>
        <v>February 2024</v>
      </c>
      <c r="W178" s="52" cm="1">
        <f t="array" ref="W178">MMS_PastureBeef_Methane_Equations.VEERG_4_2_1_1__2_MethaneProductionFromManure(V132,$G$155,$E$165,$E$171,$G$158)</f>
        <v>3.7698049331624994E-3</v>
      </c>
      <c r="X178" s="52" cm="1">
        <f t="array" ref="X178">MMS_PastureBeef_Methane_Equations.VEERG_4_2_1_1__2_MethaneProductionFromManure(W132,$G$155,$E$165,$E$171,$G$158)</f>
        <v>4.9878246275839805E-3</v>
      </c>
      <c r="Y178" s="52" cm="1">
        <f t="array" ref="Y178">MMS_PastureBeef_Methane_Equations.VEERG_4_2_1_1__2_MethaneProductionFromManure(X132,$G$155,$E$165,$E$171,$G$158)</f>
        <v>3.1703208176285837E-3</v>
      </c>
      <c r="Z178" s="52" cm="1">
        <f t="array" ref="Z178">MMS_PastureBeef_Methane_Equations.VEERG_4_2_1_1__2_MethaneProductionFromManure(Y132,$G$155,$E$165,$E$171,$G$158)</f>
        <v>4.1515383389422343E-3</v>
      </c>
      <c r="AA178" s="52" cm="1">
        <f t="array" ref="AA178">MMS_PastureBeef_Methane_Equations.VEERG_4_2_1_1__2_MethaneProductionFromManure(Z132,$G$155,$E$165,$E$171,$G$158)</f>
        <v>4.1105309312766845E-3</v>
      </c>
      <c r="AB178" s="52" cm="1">
        <f t="array" ref="AB178">MMS_PastureBeef_Methane_Equations.VEERG_4_2_1_1__2_MethaneProductionFromManure(AA132,$G$155,$E$165,$E$171,$G$158)</f>
        <v>4.1105309312766845E-3</v>
      </c>
      <c r="AC178" s="52" cm="1">
        <f t="array" ref="AC178">MMS_PastureBeef_Methane_Equations.VEERG_4_2_1_1__2_MethaneProductionFromManure(AB132,$G$155,$E$165,$E$171,$G$158)</f>
        <v>3.4748327308918255E-3</v>
      </c>
      <c r="AD178" s="52" cm="1">
        <f t="array" ref="AD178">MMS_PastureBeef_Methane_Equations.VEERG_4_2_1_1__2_MethaneProductionFromManure(AC132,$G$155,$E$165,$E$171,$G$158)</f>
        <v>3.8733047579931406E-3</v>
      </c>
      <c r="AE178" s="52" cm="1">
        <f t="array" ref="AE178">MMS_PastureBeef_Methane_Equations.VEERG_4_2_1_1__2_MethaneProductionFromManure(AD132,$G$155,$E$165,$E$171,$G$158)</f>
        <v>3.8733047579931406E-3</v>
      </c>
      <c r="AF178" s="52" cm="1">
        <f t="array" ref="AF178">MMS_PastureBeef_Methane_Equations.VEERG_4_2_1_1__2_MethaneProductionFromManure(AE132,$G$155,$E$165,$E$171,$G$158)</f>
        <v>3.8733047579931406E-3</v>
      </c>
      <c r="AG178" s="2" t="str">
        <f t="shared" si="8"/>
        <v>kg CH4/head/day</v>
      </c>
      <c r="AH178" s="2"/>
    </row>
    <row r="179" spans="4:34" ht="20.100000000000001" customHeight="1" x14ac:dyDescent="0.25">
      <c r="D179" s="52" t="str">
        <f>'Input - Pasture Beef'!$D$172</f>
        <v>Pasture range and paddock</v>
      </c>
      <c r="E179" s="52" t="s">
        <v>175</v>
      </c>
      <c r="F179" s="52" cm="1">
        <f t="array" ref="F179">MMS_PastureBeef_Methane_Equations.VEERG_4_2_1_1__2_MethaneProductionFromManure(E133,$G$155,$E$165,$E$171,$G$158)</f>
        <v>1.7669165181372702E-3</v>
      </c>
      <c r="G179" s="52" cm="1">
        <f t="array" ref="G179">MMS_PastureBeef_Methane_Equations.VEERG_4_2_1_1__2_MethaneProductionFromManure(F133,$G$155,$E$165,$E$171,$G$158)</f>
        <v>5.1282819126615281E-3</v>
      </c>
      <c r="H179" s="52" cm="1">
        <f t="array" ref="H179">MMS_PastureBeef_Methane_Equations.VEERG_4_2_1_1__2_MethaneProductionFromManure(G133,$G$155,$E$165,$E$171,$G$158)</f>
        <v>1.610816619264715E-3</v>
      </c>
      <c r="I179" s="52" cm="1">
        <f t="array" ref="I179">MMS_PastureBeef_Methane_Equations.VEERG_4_2_1_1__2_MethaneProductionFromManure(H133,$G$155,$E$165,$E$171,$G$158)</f>
        <v>3.2418446406313932E-3</v>
      </c>
      <c r="J179" s="52" cm="1">
        <f t="array" ref="J179">MMS_PastureBeef_Methane_Equations.VEERG_4_2_1_1__2_MethaneProductionFromManure(I133,$G$155,$E$165,$E$171,$G$158)</f>
        <v>3.6554958234382307E-3</v>
      </c>
      <c r="K179" s="52" cm="1">
        <f t="array" ref="K179">MMS_PastureBeef_Methane_Equations.VEERG_4_2_1_1__2_MethaneProductionFromManure(J133,$G$155,$E$165,$E$171,$G$158)</f>
        <v>3.6554958234382307E-3</v>
      </c>
      <c r="L179" s="52" cm="1">
        <f t="array" ref="L179">MMS_PastureBeef_Methane_Equations.VEERG_4_2_1_1__2_MethaneProductionFromManure(K133,$G$155,$E$165,$E$171,$G$158)</f>
        <v>1.7669165181372702E-3</v>
      </c>
      <c r="M179" s="52" cm="1">
        <f t="array" ref="M179">MMS_PastureBeef_Methane_Equations.VEERG_4_2_1_1__2_MethaneProductionFromManure(L133,$G$155,$E$165,$E$171,$G$158)</f>
        <v>3.2078801318765602E-3</v>
      </c>
      <c r="N179" s="52" cm="1">
        <f t="array" ref="N179">MMS_PastureBeef_Methane_Equations.VEERG_4_2_1_1__2_MethaneProductionFromManure(M133,$G$155,$E$165,$E$171,$G$158)</f>
        <v>3.2078801318765602E-3</v>
      </c>
      <c r="O179" s="52" cm="1">
        <f t="array" ref="O179">MMS_PastureBeef_Methane_Equations.VEERG_4_2_1_1__2_MethaneProductionFromManure(N133,$G$155,$E$165,$E$171,$G$158)</f>
        <v>3.2078801318765602E-3</v>
      </c>
      <c r="P179" s="2" t="str">
        <f t="shared" si="6"/>
        <v>kg CH4/head/day</v>
      </c>
      <c r="Q179" s="2"/>
      <c r="U179" s="52" t="str">
        <f>'Input - Pasture Beef'!$D$172</f>
        <v>Pasture range and paddock</v>
      </c>
      <c r="V179" s="52" t="str">
        <f t="shared" si="7"/>
        <v>March 2024</v>
      </c>
      <c r="W179" s="52" cm="1">
        <f t="array" ref="W179">MMS_PastureBeef_Methane_Equations.VEERG_4_2_1_1__2_MethaneProductionFromManure(V133,$G$155,$E$165,$E$171,$G$158)</f>
        <v>1.7669165181372702E-3</v>
      </c>
      <c r="X179" s="52" cm="1">
        <f t="array" ref="X179">MMS_PastureBeef_Methane_Equations.VEERG_4_2_1_1__2_MethaneProductionFromManure(W133,$G$155,$E$165,$E$171,$G$158)</f>
        <v>5.1282819126615281E-3</v>
      </c>
      <c r="Y179" s="52" cm="1">
        <f t="array" ref="Y179">MMS_PastureBeef_Methane_Equations.VEERG_4_2_1_1__2_MethaneProductionFromManure(X133,$G$155,$E$165,$E$171,$G$158)</f>
        <v>1.610816619264715E-3</v>
      </c>
      <c r="Z179" s="52" cm="1">
        <f t="array" ref="Z179">MMS_PastureBeef_Methane_Equations.VEERG_4_2_1_1__2_MethaneProductionFromManure(Y133,$G$155,$E$165,$E$171,$G$158)</f>
        <v>3.2418446406313932E-3</v>
      </c>
      <c r="AA179" s="52" cm="1">
        <f t="array" ref="AA179">MMS_PastureBeef_Methane_Equations.VEERG_4_2_1_1__2_MethaneProductionFromManure(Z133,$G$155,$E$165,$E$171,$G$158)</f>
        <v>3.6554958234382307E-3</v>
      </c>
      <c r="AB179" s="52" cm="1">
        <f t="array" ref="AB179">MMS_PastureBeef_Methane_Equations.VEERG_4_2_1_1__2_MethaneProductionFromManure(AA133,$G$155,$E$165,$E$171,$G$158)</f>
        <v>3.6554958234382307E-3</v>
      </c>
      <c r="AC179" s="52" cm="1">
        <f t="array" ref="AC179">MMS_PastureBeef_Methane_Equations.VEERG_4_2_1_1__2_MethaneProductionFromManure(AB133,$G$155,$E$165,$E$171,$G$158)</f>
        <v>1.7669165181372702E-3</v>
      </c>
      <c r="AD179" s="52" cm="1">
        <f t="array" ref="AD179">MMS_PastureBeef_Methane_Equations.VEERG_4_2_1_1__2_MethaneProductionFromManure(AC133,$G$155,$E$165,$E$171,$G$158)</f>
        <v>3.2078801318765602E-3</v>
      </c>
      <c r="AE179" s="52" cm="1">
        <f t="array" ref="AE179">MMS_PastureBeef_Methane_Equations.VEERG_4_2_1_1__2_MethaneProductionFromManure(AD133,$G$155,$E$165,$E$171,$G$158)</f>
        <v>3.2078801318765602E-3</v>
      </c>
      <c r="AF179" s="52" cm="1">
        <f t="array" ref="AF179">MMS_PastureBeef_Methane_Equations.VEERG_4_2_1_1__2_MethaneProductionFromManure(AE133,$G$155,$E$165,$E$171,$G$158)</f>
        <v>3.2078801318765602E-3</v>
      </c>
      <c r="AG179" s="2" t="str">
        <f t="shared" si="8"/>
        <v>kg CH4/head/day</v>
      </c>
      <c r="AH179" s="2"/>
    </row>
    <row r="180" spans="4:34" ht="20.100000000000001" customHeight="1" x14ac:dyDescent="0.25">
      <c r="D180" s="52" t="str">
        <f>'Input - Pasture Beef'!$D$172</f>
        <v>Pasture range and paddock</v>
      </c>
      <c r="E180" s="52" t="s">
        <v>176</v>
      </c>
      <c r="F180" s="52" cm="1">
        <f t="array" ref="F180">MMS_PastureBeef_Methane_Equations.VEERG_4_2_1_1__2_MethaneProductionFromManure(E134,$G$155,$E$165,$E$171,$G$158)</f>
        <v>2.3939898572351848E-3</v>
      </c>
      <c r="G180" s="52" cm="1">
        <f t="array" ref="G180">MMS_PastureBeef_Methane_Equations.VEERG_4_2_1_1__2_MethaneProductionFromManure(F134,$G$155,$E$165,$E$171,$G$158)</f>
        <v>4.6522862496463481E-3</v>
      </c>
      <c r="H180" s="52" cm="1">
        <f t="array" ref="H180">MMS_PastureBeef_Methane_Equations.VEERG_4_2_1_1__2_MethaneProductionFromManure(G134,$G$155,$E$165,$E$171,$G$158)</f>
        <v>1.9601466958146293E-3</v>
      </c>
      <c r="I180" s="52" cm="1">
        <f t="array" ref="I180">MMS_PastureBeef_Methane_Equations.VEERG_4_2_1_1__2_MethaneProductionFromManure(H134,$G$155,$E$165,$E$171,$G$158)</f>
        <v>3.5112185953491497E-3</v>
      </c>
      <c r="J180" s="52" cm="1">
        <f t="array" ref="J180">MMS_PastureBeef_Methane_Equations.VEERG_4_2_1_1__2_MethaneProductionFromManure(I134,$G$155,$E$165,$E$171,$G$158)</f>
        <v>4.2653300733249393E-3</v>
      </c>
      <c r="K180" s="52" cm="1">
        <f t="array" ref="K180">MMS_PastureBeef_Methane_Equations.VEERG_4_2_1_1__2_MethaneProductionFromManure(J134,$G$155,$E$165,$E$171,$G$158)</f>
        <v>4.2653300733249393E-3</v>
      </c>
      <c r="L180" s="52" cm="1">
        <f t="array" ref="L180">MMS_PastureBeef_Methane_Equations.VEERG_4_2_1_1__2_MethaneProductionFromManure(K134,$G$155,$E$165,$E$171,$G$158)</f>
        <v>2.1045273101069351E-3</v>
      </c>
      <c r="M180" s="52" cm="1">
        <f t="array" ref="M180">MMS_PastureBeef_Methane_Equations.VEERG_4_2_1_1__2_MethaneProductionFromManure(L134,$G$155,$E$165,$E$171,$G$158)</f>
        <v>3.2041066661276131E-3</v>
      </c>
      <c r="N180" s="52" cm="1">
        <f t="array" ref="N180">MMS_PastureBeef_Methane_Equations.VEERG_4_2_1_1__2_MethaneProductionFromManure(M134,$G$155,$E$165,$E$171,$G$158)</f>
        <v>3.2041066661276131E-3</v>
      </c>
      <c r="O180" s="52" cm="1">
        <f t="array" ref="O180">MMS_PastureBeef_Methane_Equations.VEERG_4_2_1_1__2_MethaneProductionFromManure(N134,$G$155,$E$165,$E$171,$G$158)</f>
        <v>3.2041066661276131E-3</v>
      </c>
      <c r="P180" s="2" t="str">
        <f t="shared" si="6"/>
        <v>kg CH4/head/day</v>
      </c>
      <c r="Q180" s="2"/>
      <c r="U180" s="52" t="str">
        <f>'Input - Pasture Beef'!$D$172</f>
        <v>Pasture range and paddock</v>
      </c>
      <c r="V180" s="52" t="str">
        <f t="shared" si="7"/>
        <v>April 2024</v>
      </c>
      <c r="W180" s="52" cm="1">
        <f t="array" ref="W180">MMS_PastureBeef_Methane_Equations.VEERG_4_2_1_1__2_MethaneProductionFromManure(V134,$G$155,$E$165,$E$171,$G$158)</f>
        <v>1.7669165181372702E-3</v>
      </c>
      <c r="X180" s="52" cm="1">
        <f t="array" ref="X180">MMS_PastureBeef_Methane_Equations.VEERG_4_2_1_1__2_MethaneProductionFromManure(W134,$G$155,$E$165,$E$171,$G$158)</f>
        <v>5.1282819126615281E-3</v>
      </c>
      <c r="Y180" s="52" cm="1">
        <f t="array" ref="Y180">MMS_PastureBeef_Methane_Equations.VEERG_4_2_1_1__2_MethaneProductionFromManure(X134,$G$155,$E$165,$E$171,$G$158)</f>
        <v>1.610816619264715E-3</v>
      </c>
      <c r="Z180" s="52" cm="1">
        <f t="array" ref="Z180">MMS_PastureBeef_Methane_Equations.VEERG_4_2_1_1__2_MethaneProductionFromManure(Y134,$G$155,$E$165,$E$171,$G$158)</f>
        <v>3.2418446406313932E-3</v>
      </c>
      <c r="AA180" s="52" cm="1">
        <f t="array" ref="AA180">MMS_PastureBeef_Methane_Equations.VEERG_4_2_1_1__2_MethaneProductionFromManure(Z134,$G$155,$E$165,$E$171,$G$158)</f>
        <v>3.6554958234382307E-3</v>
      </c>
      <c r="AB180" s="52" cm="1">
        <f t="array" ref="AB180">MMS_PastureBeef_Methane_Equations.VEERG_4_2_1_1__2_MethaneProductionFromManure(AA134,$G$155,$E$165,$E$171,$G$158)</f>
        <v>3.6554958234382307E-3</v>
      </c>
      <c r="AC180" s="52" cm="1">
        <f t="array" ref="AC180">MMS_PastureBeef_Methane_Equations.VEERG_4_2_1_1__2_MethaneProductionFromManure(AB134,$G$155,$E$165,$E$171,$G$158)</f>
        <v>1.7669165181372702E-3</v>
      </c>
      <c r="AD180" s="52" cm="1">
        <f t="array" ref="AD180">MMS_PastureBeef_Methane_Equations.VEERG_4_2_1_1__2_MethaneProductionFromManure(AC134,$G$155,$E$165,$E$171,$G$158)</f>
        <v>3.2078801318765602E-3</v>
      </c>
      <c r="AE180" s="52" cm="1">
        <f t="array" ref="AE180">MMS_PastureBeef_Methane_Equations.VEERG_4_2_1_1__2_MethaneProductionFromManure(AD134,$G$155,$E$165,$E$171,$G$158)</f>
        <v>3.2078801318765602E-3</v>
      </c>
      <c r="AF180" s="52" cm="1">
        <f t="array" ref="AF180">MMS_PastureBeef_Methane_Equations.VEERG_4_2_1_1__2_MethaneProductionFromManure(AE134,$G$155,$E$165,$E$171,$G$158)</f>
        <v>3.2078801318765602E-3</v>
      </c>
      <c r="AG180" s="2" t="str">
        <f t="shared" si="8"/>
        <v>kg CH4/head/day</v>
      </c>
      <c r="AH180" s="2"/>
    </row>
    <row r="181" spans="4:34" ht="20.100000000000001" customHeight="1" x14ac:dyDescent="0.25">
      <c r="D181" s="52" t="str">
        <f>'Input - Pasture Beef'!$D$173</f>
        <v>Anaerobic lagoon</v>
      </c>
      <c r="E181" s="52" t="s">
        <v>173</v>
      </c>
      <c r="F181" s="52" cm="1">
        <f t="array" ref="F181">MMS_PastureBeef_Methane_Equations.VEERG_4_2_1_1__2_MethaneProductionFromManure(E131,$G$155,$E$166,$E$172,$G$158)</f>
        <v>2.4812833436492908E-3</v>
      </c>
      <c r="G181" s="52" cm="1">
        <f t="array" ref="G181">MMS_PastureBeef_Methane_Equations.VEERG_4_2_1_1__2_MethaneProductionFromManure(F131,$G$155,$E$166,$E$172,$G$158)</f>
        <v>3.5044828695429209E-3</v>
      </c>
      <c r="H181" s="52" cm="1">
        <f t="array" ref="H181">MMS_PastureBeef_Methane_Equations.VEERG_4_2_1_1__2_MethaneProductionFromManure(G131,$G$155,$E$166,$E$172,$G$158)</f>
        <v>1.8912334889579457E-3</v>
      </c>
      <c r="I181" s="52" cm="1">
        <f t="array" ref="I181">MMS_PastureBeef_Methane_Equations.VEERG_4_2_1_1__2_MethaneProductionFromManure(H131,$G$155,$E$166,$E$172,$G$158)</f>
        <v>2.705278563961141E-3</v>
      </c>
      <c r="J181" s="52" cm="1">
        <f t="array" ref="J181">MMS_PastureBeef_Methane_Equations.VEERG_4_2_1_1__2_MethaneProductionFromManure(I131,$G$155,$E$166,$E$172,$G$158)</f>
        <v>2.8938549326670178E-3</v>
      </c>
      <c r="K181" s="52" cm="1">
        <f t="array" ref="K181">MMS_PastureBeef_Methane_Equations.VEERG_4_2_1_1__2_MethaneProductionFromManure(J131,$G$155,$E$166,$E$172,$G$158)</f>
        <v>2.8938549326670178E-3</v>
      </c>
      <c r="L181" s="52" cm="1">
        <f t="array" ref="L181">MMS_PastureBeef_Methane_Equations.VEERG_4_2_1_1__2_MethaneProductionFromManure(K131,$G$155,$E$166,$E$172,$G$158)</f>
        <v>2.1803414772367767E-3</v>
      </c>
      <c r="M181" s="52" cm="1">
        <f t="array" ref="M181">MMS_PastureBeef_Methane_Equations.VEERG_4_2_1_1__2_MethaneProductionFromManure(L131,$G$155,$E$166,$E$172,$G$158)</f>
        <v>2.7707428418975179E-3</v>
      </c>
      <c r="N181" s="52" cm="1">
        <f t="array" ref="N181">MMS_PastureBeef_Methane_Equations.VEERG_4_2_1_1__2_MethaneProductionFromManure(M131,$G$155,$E$166,$E$172,$G$158)</f>
        <v>2.7707428418975179E-3</v>
      </c>
      <c r="O181" s="52" cm="1">
        <f t="array" ref="O181">MMS_PastureBeef_Methane_Equations.VEERG_4_2_1_1__2_MethaneProductionFromManure(N131,$G$155,$E$166,$E$172,$G$158)</f>
        <v>2.7707428418975179E-3</v>
      </c>
      <c r="P181" s="2" t="str">
        <f t="shared" si="6"/>
        <v>kg CH4/head/day</v>
      </c>
      <c r="Q181" s="2"/>
      <c r="U181" s="52" t="str">
        <f>'Input - Pasture Beef'!$D$172</f>
        <v>Pasture range and paddock</v>
      </c>
      <c r="V181" s="52" t="str">
        <f t="shared" si="7"/>
        <v>May 2024</v>
      </c>
      <c r="W181" s="52" cm="1">
        <f t="array" ref="W181">MMS_PastureBeef_Methane_Equations.VEERG_4_2_1_1__2_MethaneProductionFromManure(V135,$G$155,$E$165,$E$171,$G$158)</f>
        <v>1.7669165181372702E-3</v>
      </c>
      <c r="X181" s="52" cm="1">
        <f t="array" ref="X181">MMS_PastureBeef_Methane_Equations.VEERG_4_2_1_1__2_MethaneProductionFromManure(W135,$G$155,$E$165,$E$171,$G$158)</f>
        <v>5.1282819126615281E-3</v>
      </c>
      <c r="Y181" s="52" cm="1">
        <f t="array" ref="Y181">MMS_PastureBeef_Methane_Equations.VEERG_4_2_1_1__2_MethaneProductionFromManure(X135,$G$155,$E$165,$E$171,$G$158)</f>
        <v>1.610816619264715E-3</v>
      </c>
      <c r="Z181" s="52" cm="1">
        <f t="array" ref="Z181">MMS_PastureBeef_Methane_Equations.VEERG_4_2_1_1__2_MethaneProductionFromManure(Y135,$G$155,$E$165,$E$171,$G$158)</f>
        <v>3.2418446406313932E-3</v>
      </c>
      <c r="AA181" s="52" cm="1">
        <f t="array" ref="AA181">MMS_PastureBeef_Methane_Equations.VEERG_4_2_1_1__2_MethaneProductionFromManure(Z135,$G$155,$E$165,$E$171,$G$158)</f>
        <v>3.6554958234382307E-3</v>
      </c>
      <c r="AB181" s="52" cm="1">
        <f t="array" ref="AB181">MMS_PastureBeef_Methane_Equations.VEERG_4_2_1_1__2_MethaneProductionFromManure(AA135,$G$155,$E$165,$E$171,$G$158)</f>
        <v>3.6554958234382307E-3</v>
      </c>
      <c r="AC181" s="52" cm="1">
        <f t="array" ref="AC181">MMS_PastureBeef_Methane_Equations.VEERG_4_2_1_1__2_MethaneProductionFromManure(AB135,$G$155,$E$165,$E$171,$G$158)</f>
        <v>1.7669165181372702E-3</v>
      </c>
      <c r="AD181" s="52" cm="1">
        <f t="array" ref="AD181">MMS_PastureBeef_Methane_Equations.VEERG_4_2_1_1__2_MethaneProductionFromManure(AC135,$G$155,$E$165,$E$171,$G$158)</f>
        <v>3.2078801318765602E-3</v>
      </c>
      <c r="AE181" s="52" cm="1">
        <f t="array" ref="AE181">MMS_PastureBeef_Methane_Equations.VEERG_4_2_1_1__2_MethaneProductionFromManure(AD135,$G$155,$E$165,$E$171,$G$158)</f>
        <v>3.2078801318765602E-3</v>
      </c>
      <c r="AF181" s="52" cm="1">
        <f t="array" ref="AF181">MMS_PastureBeef_Methane_Equations.VEERG_4_2_1_1__2_MethaneProductionFromManure(AE135,$G$155,$E$165,$E$171,$G$158)</f>
        <v>3.2078801318765602E-3</v>
      </c>
      <c r="AG181" s="2" t="str">
        <f t="shared" si="8"/>
        <v>kg CH4/head/day</v>
      </c>
      <c r="AH181" s="2"/>
    </row>
    <row r="182" spans="4:34" ht="20.100000000000001" customHeight="1" x14ac:dyDescent="0.25">
      <c r="D182" s="52" t="str">
        <f>'Input - Pasture Beef'!$D$173</f>
        <v>Anaerobic lagoon</v>
      </c>
      <c r="E182" s="52" t="s">
        <v>174</v>
      </c>
      <c r="F182" s="52" cm="1">
        <f t="array" ref="F182">MMS_PastureBeef_Methane_Equations.VEERG_4_2_1_1__2_MethaneProductionFromManure(E132,$G$155,$E$166,$E$172,$G$158)</f>
        <v>2.3129761588141953E-3</v>
      </c>
      <c r="G182" s="52" cm="1">
        <f t="array" ref="G182">MMS_PastureBeef_Methane_Equations.VEERG_4_2_1_1__2_MethaneProductionFromManure(F132,$G$155,$E$166,$E$172,$G$158)</f>
        <v>3.0602961300360589E-3</v>
      </c>
      <c r="H182" s="52" cm="1">
        <f t="array" ref="H182">MMS_PastureBeef_Methane_Equations.VEERG_4_2_1_1__2_MethaneProductionFromManure(G132,$G$155,$E$166,$E$172,$G$158)</f>
        <v>1.9451607170601457E-3</v>
      </c>
      <c r="I182" s="52" cm="1">
        <f t="array" ref="I182">MMS_PastureBeef_Methane_Equations.VEERG_4_2_1_1__2_MethaneProductionFromManure(H132,$G$155,$E$166,$E$172,$G$158)</f>
        <v>2.5471899396982823E-3</v>
      </c>
      <c r="J182" s="52" cm="1">
        <f t="array" ref="J182">MMS_PastureBeef_Methane_Equations.VEERG_4_2_1_1__2_MethaneProductionFromManure(I132,$G$155,$E$166,$E$172,$G$158)</f>
        <v>2.5220297104697588E-3</v>
      </c>
      <c r="K182" s="52" cm="1">
        <f t="array" ref="K182">MMS_PastureBeef_Methane_Equations.VEERG_4_2_1_1__2_MethaneProductionFromManure(J132,$G$155,$E$166,$E$172,$G$158)</f>
        <v>2.5220297104697588E-3</v>
      </c>
      <c r="L182" s="52" cm="1">
        <f t="array" ref="L182">MMS_PastureBeef_Methane_Equations.VEERG_4_2_1_1__2_MethaneProductionFromManure(K132,$G$155,$E$166,$E$172,$G$158)</f>
        <v>2.1319949983930825E-3</v>
      </c>
      <c r="M182" s="52" cm="1">
        <f t="array" ref="M182">MMS_PastureBeef_Methane_Equations.VEERG_4_2_1_1__2_MethaneProductionFromManure(L132,$G$155,$E$166,$E$172,$G$158)</f>
        <v>2.3764788151900769E-3</v>
      </c>
      <c r="N182" s="52" cm="1">
        <f t="array" ref="N182">MMS_PastureBeef_Methane_Equations.VEERG_4_2_1_1__2_MethaneProductionFromManure(M132,$G$155,$E$166,$E$172,$G$158)</f>
        <v>2.3764788151900769E-3</v>
      </c>
      <c r="O182" s="52" cm="1">
        <f t="array" ref="O182">MMS_PastureBeef_Methane_Equations.VEERG_4_2_1_1__2_MethaneProductionFromManure(N132,$G$155,$E$166,$E$172,$G$158)</f>
        <v>2.3764788151900769E-3</v>
      </c>
      <c r="P182" s="2" t="str">
        <f t="shared" si="6"/>
        <v>kg CH4/head/day</v>
      </c>
      <c r="Q182" s="2"/>
      <c r="U182" s="52" t="str">
        <f>'Input - Pasture Beef'!$D$172</f>
        <v>Pasture range and paddock</v>
      </c>
      <c r="V182" s="52" t="str">
        <f t="shared" si="7"/>
        <v>June 2024</v>
      </c>
      <c r="W182" s="52" cm="1">
        <f t="array" ref="W182">MMS_PastureBeef_Methane_Equations.VEERG_4_2_1_1__2_MethaneProductionFromManure(V136,$G$155,$E$165,$E$171,$G$158)</f>
        <v>2.3939898572351848E-3</v>
      </c>
      <c r="X182" s="52" cm="1">
        <f t="array" ref="X182">MMS_PastureBeef_Methane_Equations.VEERG_4_2_1_1__2_MethaneProductionFromManure(W136,$G$155,$E$165,$E$171,$G$158)</f>
        <v>4.6522862496463481E-3</v>
      </c>
      <c r="Y182" s="52" cm="1">
        <f t="array" ref="Y182">MMS_PastureBeef_Methane_Equations.VEERG_4_2_1_1__2_MethaneProductionFromManure(X136,$G$155,$E$165,$E$171,$G$158)</f>
        <v>1.9601466958146293E-3</v>
      </c>
      <c r="Z182" s="52" cm="1">
        <f t="array" ref="Z182">MMS_PastureBeef_Methane_Equations.VEERG_4_2_1_1__2_MethaneProductionFromManure(Y136,$G$155,$E$165,$E$171,$G$158)</f>
        <v>2.7647390514560235E-3</v>
      </c>
      <c r="AA182" s="52" cm="1">
        <f t="array" ref="AA182">MMS_PastureBeef_Methane_Equations.VEERG_4_2_1_1__2_MethaneProductionFromManure(Z136,$G$155,$E$165,$E$171,$G$158)</f>
        <v>3.7089826724564685E-3</v>
      </c>
      <c r="AB182" s="52" cm="1">
        <f t="array" ref="AB182">MMS_PastureBeef_Methane_Equations.VEERG_4_2_1_1__2_MethaneProductionFromManure(AA136,$G$155,$E$165,$E$171,$G$158)</f>
        <v>3.7089826724564685E-3</v>
      </c>
      <c r="AC182" s="52" cm="1">
        <f t="array" ref="AC182">MMS_PastureBeef_Methane_Equations.VEERG_4_2_1_1__2_MethaneProductionFromManure(AB136,$G$155,$E$165,$E$171,$G$158)</f>
        <v>2.1045273101069351E-3</v>
      </c>
      <c r="AD182" s="52" cm="1">
        <f t="array" ref="AD182">MMS_PastureBeef_Methane_Equations.VEERG_4_2_1_1__2_MethaneProductionFromManure(AC136,$G$155,$E$165,$E$171,$G$158)</f>
        <v>3.2041066661276131E-3</v>
      </c>
      <c r="AE182" s="52" cm="1">
        <f t="array" ref="AE182">MMS_PastureBeef_Methane_Equations.VEERG_4_2_1_1__2_MethaneProductionFromManure(AD136,$G$155,$E$165,$E$171,$G$158)</f>
        <v>3.2041066661276131E-3</v>
      </c>
      <c r="AF182" s="52" cm="1">
        <f t="array" ref="AF182">MMS_PastureBeef_Methane_Equations.VEERG_4_2_1_1__2_MethaneProductionFromManure(AE136,$G$155,$E$165,$E$171,$G$158)</f>
        <v>3.2041066661276131E-3</v>
      </c>
      <c r="AG182" s="2" t="str">
        <f t="shared" si="8"/>
        <v>kg CH4/head/day</v>
      </c>
      <c r="AH182" s="2"/>
    </row>
    <row r="183" spans="4:34" ht="20.100000000000001" customHeight="1" x14ac:dyDescent="0.25">
      <c r="D183" s="52" t="str">
        <f>'Input - Pasture Beef'!$D$173</f>
        <v>Anaerobic lagoon</v>
      </c>
      <c r="E183" s="52" t="s">
        <v>175</v>
      </c>
      <c r="F183" s="52" cm="1">
        <f t="array" ref="F183">MMS_PastureBeef_Methane_Equations.VEERG_4_2_1_1__2_MethaneProductionFromManure(E133,$G$155,$E$166,$E$172,$G$158)</f>
        <v>1.0840974144617182E-3</v>
      </c>
      <c r="G183" s="52" cm="1">
        <f t="array" ref="G183">MMS_PastureBeef_Methane_Equations.VEERG_4_2_1_1__2_MethaneProductionFromManure(F133,$G$155,$E$166,$E$172,$G$158)</f>
        <v>3.1464741571425175E-3</v>
      </c>
      <c r="H183" s="52" cm="1">
        <f t="array" ref="H183">MMS_PastureBeef_Methane_Equations.VEERG_4_2_1_1__2_MethaneProductionFromManure(G133,$G$155,$E$166,$E$172,$G$158)</f>
        <v>9.8832181044853241E-4</v>
      </c>
      <c r="I183" s="52" cm="1">
        <f t="array" ref="I183">MMS_PastureBeef_Methane_Equations.VEERG_4_2_1_1__2_MethaneProductionFromManure(H133,$G$155,$E$166,$E$172,$G$158)</f>
        <v>1.9890443928274122E-3</v>
      </c>
      <c r="J183" s="52" cm="1">
        <f t="array" ref="J183">MMS_PastureBeef_Methane_Equations.VEERG_4_2_1_1__2_MethaneProductionFromManure(I133,$G$155,$E$166,$E$172,$G$158)</f>
        <v>2.2428414303030022E-3</v>
      </c>
      <c r="K183" s="52" cm="1">
        <f t="array" ref="K183">MMS_PastureBeef_Methane_Equations.VEERG_4_2_1_1__2_MethaneProductionFromManure(J133,$G$155,$E$166,$E$172,$G$158)</f>
        <v>2.2428414303030022E-3</v>
      </c>
      <c r="L183" s="52" cm="1">
        <f t="array" ref="L183">MMS_PastureBeef_Methane_Equations.VEERG_4_2_1_1__2_MethaneProductionFromManure(K133,$G$155,$E$166,$E$172,$G$158)</f>
        <v>1.0840974144617182E-3</v>
      </c>
      <c r="M183" s="52" cm="1">
        <f t="array" ref="M183">MMS_PastureBeef_Methane_Equations.VEERG_4_2_1_1__2_MethaneProductionFromManure(L133,$G$155,$E$166,$E$172,$G$158)</f>
        <v>1.9682053572835068E-3</v>
      </c>
      <c r="N183" s="52" cm="1">
        <f t="array" ref="N183">MMS_PastureBeef_Methane_Equations.VEERG_4_2_1_1__2_MethaneProductionFromManure(M133,$G$155,$E$166,$E$172,$G$158)</f>
        <v>1.9682053572835068E-3</v>
      </c>
      <c r="O183" s="52" cm="1">
        <f t="array" ref="O183">MMS_PastureBeef_Methane_Equations.VEERG_4_2_1_1__2_MethaneProductionFromManure(N133,$G$155,$E$166,$E$172,$G$158)</f>
        <v>1.9682053572835068E-3</v>
      </c>
      <c r="P183" s="2" t="str">
        <f t="shared" si="6"/>
        <v>kg CH4/head/day</v>
      </c>
      <c r="Q183" s="2"/>
      <c r="U183" s="52" t="str">
        <f>'Input - Pasture Beef'!$D$172</f>
        <v>Pasture range and paddock</v>
      </c>
      <c r="V183" s="52" t="str">
        <f t="shared" si="7"/>
        <v>July 2024</v>
      </c>
      <c r="W183" s="52" cm="1">
        <f t="array" ref="W183">MMS_PastureBeef_Methane_Equations.VEERG_4_2_1_1__2_MethaneProductionFromManure(V137,$G$155,$E$165,$E$171,$G$158)</f>
        <v>2.3939898572351848E-3</v>
      </c>
      <c r="X183" s="52" cm="1">
        <f t="array" ref="X183">MMS_PastureBeef_Methane_Equations.VEERG_4_2_1_1__2_MethaneProductionFromManure(W137,$G$155,$E$165,$E$171,$G$158)</f>
        <v>4.6522862496463481E-3</v>
      </c>
      <c r="Y183" s="52" cm="1">
        <f t="array" ref="Y183">MMS_PastureBeef_Methane_Equations.VEERG_4_2_1_1__2_MethaneProductionFromManure(X137,$G$155,$E$165,$E$171,$G$158)</f>
        <v>1.9601466958146293E-3</v>
      </c>
      <c r="Z183" s="52" cm="1">
        <f t="array" ref="Z183">MMS_PastureBeef_Methane_Equations.VEERG_4_2_1_1__2_MethaneProductionFromManure(Y137,$G$155,$E$165,$E$171,$G$158)</f>
        <v>2.7647390514560235E-3</v>
      </c>
      <c r="AA183" s="52" cm="1">
        <f t="array" ref="AA183">MMS_PastureBeef_Methane_Equations.VEERG_4_2_1_1__2_MethaneProductionFromManure(Z137,$G$155,$E$165,$E$171,$G$158)</f>
        <v>3.7089826724564685E-3</v>
      </c>
      <c r="AB183" s="52" cm="1">
        <f t="array" ref="AB183">MMS_PastureBeef_Methane_Equations.VEERG_4_2_1_1__2_MethaneProductionFromManure(AA137,$G$155,$E$165,$E$171,$G$158)</f>
        <v>3.7089826724564685E-3</v>
      </c>
      <c r="AC183" s="52" cm="1">
        <f t="array" ref="AC183">MMS_PastureBeef_Methane_Equations.VEERG_4_2_1_1__2_MethaneProductionFromManure(AB137,$G$155,$E$165,$E$171,$G$158)</f>
        <v>2.1045273101069351E-3</v>
      </c>
      <c r="AD183" s="52" cm="1">
        <f t="array" ref="AD183">MMS_PastureBeef_Methane_Equations.VEERG_4_2_1_1__2_MethaneProductionFromManure(AC137,$G$155,$E$165,$E$171,$G$158)</f>
        <v>3.2041066661276131E-3</v>
      </c>
      <c r="AE183" s="52" cm="1">
        <f t="array" ref="AE183">MMS_PastureBeef_Methane_Equations.VEERG_4_2_1_1__2_MethaneProductionFromManure(AD137,$G$155,$E$165,$E$171,$G$158)</f>
        <v>3.2041066661276131E-3</v>
      </c>
      <c r="AF183" s="52" cm="1">
        <f t="array" ref="AF183">MMS_PastureBeef_Methane_Equations.VEERG_4_2_1_1__2_MethaneProductionFromManure(AE137,$G$155,$E$165,$E$171,$G$158)</f>
        <v>3.2041066661276131E-3</v>
      </c>
      <c r="AG183" s="2" t="str">
        <f t="shared" si="8"/>
        <v>kg CH4/head/day</v>
      </c>
      <c r="AH183" s="2"/>
    </row>
    <row r="184" spans="4:34" ht="20.100000000000001" customHeight="1" x14ac:dyDescent="0.25">
      <c r="D184" s="52" t="str">
        <f>'Input - Pasture Beef'!$D$173</f>
        <v>Anaerobic lagoon</v>
      </c>
      <c r="E184" s="52" t="s">
        <v>176</v>
      </c>
      <c r="F184" s="52" cm="1">
        <f t="array" ref="F184">MMS_PastureBeef_Methane_Equations.VEERG_4_2_1_1__2_MethaneProductionFromManure(E134,$G$155,$E$166,$E$172,$G$158)</f>
        <v>1.4688403146586094E-3</v>
      </c>
      <c r="G184" s="52" cm="1">
        <f t="array" ref="G184">MMS_PastureBeef_Methane_Equations.VEERG_4_2_1_1__2_MethaneProductionFromManure(F134,$G$155,$E$166,$E$172,$G$158)</f>
        <v>2.854425459723719E-3</v>
      </c>
      <c r="H184" s="52" cm="1">
        <f t="array" ref="H184">MMS_PastureBeef_Methane_Equations.VEERG_4_2_1_1__2_MethaneProductionFromManure(G134,$G$155,$E$166,$E$172,$G$158)</f>
        <v>1.2026544225974751E-3</v>
      </c>
      <c r="I184" s="52" cm="1">
        <f t="array" ref="I184">MMS_PastureBeef_Methane_Equations.VEERG_4_2_1_1__2_MethaneProductionFromManure(H134,$G$155,$E$166,$E$172,$G$158)</f>
        <v>2.1543196646555975E-3</v>
      </c>
      <c r="J184" s="52" cm="1">
        <f t="array" ref="J184">MMS_PastureBeef_Methane_Equations.VEERG_4_2_1_1__2_MethaneProductionFromManure(I134,$G$155,$E$166,$E$172,$G$158)</f>
        <v>2.6170072308748108E-3</v>
      </c>
      <c r="K184" s="52" cm="1">
        <f t="array" ref="K184">MMS_PastureBeef_Methane_Equations.VEERG_4_2_1_1__2_MethaneProductionFromManure(J134,$G$155,$E$166,$E$172,$G$158)</f>
        <v>2.6170072308748108E-3</v>
      </c>
      <c r="L184" s="52" cm="1">
        <f t="array" ref="L184">MMS_PastureBeef_Methane_Equations.VEERG_4_2_1_1__2_MethaneProductionFromManure(K134,$G$155,$E$166,$E$172,$G$158)</f>
        <v>1.291239621188348E-3</v>
      </c>
      <c r="M184" s="52" cm="1">
        <f t="array" ref="M184">MMS_PastureBeef_Methane_Equations.VEERG_4_2_1_1__2_MethaneProductionFromManure(L134,$G$155,$E$166,$E$172,$G$158)</f>
        <v>1.9658901350191817E-3</v>
      </c>
      <c r="N184" s="52" cm="1">
        <f t="array" ref="N184">MMS_PastureBeef_Methane_Equations.VEERG_4_2_1_1__2_MethaneProductionFromManure(M134,$G$155,$E$166,$E$172,$G$158)</f>
        <v>1.9658901350191817E-3</v>
      </c>
      <c r="O184" s="52" cm="1">
        <f t="array" ref="O184">MMS_PastureBeef_Methane_Equations.VEERG_4_2_1_1__2_MethaneProductionFromManure(N134,$G$155,$E$166,$E$172,$G$158)</f>
        <v>1.9658901350191817E-3</v>
      </c>
      <c r="P184" s="2" t="str">
        <f t="shared" si="6"/>
        <v>kg CH4/head/day</v>
      </c>
      <c r="Q184" s="2"/>
      <c r="U184" s="52" t="str">
        <f>'Input - Pasture Beef'!$D$172</f>
        <v>Pasture range and paddock</v>
      </c>
      <c r="V184" s="52" t="str">
        <f t="shared" si="7"/>
        <v>August 2024</v>
      </c>
      <c r="W184" s="52" cm="1">
        <f t="array" ref="W184">MMS_PastureBeef_Methane_Equations.VEERG_4_2_1_1__2_MethaneProductionFromManure(V138,$G$155,$E$165,$E$171,$G$158)</f>
        <v>2.3939898572351848E-3</v>
      </c>
      <c r="X184" s="52" cm="1">
        <f t="array" ref="X184">MMS_PastureBeef_Methane_Equations.VEERG_4_2_1_1__2_MethaneProductionFromManure(W138,$G$155,$E$165,$E$171,$G$158)</f>
        <v>4.6522862496463481E-3</v>
      </c>
      <c r="Y184" s="52" cm="1">
        <f t="array" ref="Y184">MMS_PastureBeef_Methane_Equations.VEERG_4_2_1_1__2_MethaneProductionFromManure(X138,$G$155,$E$165,$E$171,$G$158)</f>
        <v>1.9601466958146293E-3</v>
      </c>
      <c r="Z184" s="52" cm="1">
        <f t="array" ref="Z184">MMS_PastureBeef_Methane_Equations.VEERG_4_2_1_1__2_MethaneProductionFromManure(Y138,$G$155,$E$165,$E$171,$G$158)</f>
        <v>3.3868053380336294E-3</v>
      </c>
      <c r="AA184" s="52" cm="1">
        <f t="array" ref="AA184">MMS_PastureBeef_Methane_Equations.VEERG_4_2_1_1__2_MethaneProductionFromManure(Z138,$G$155,$E$165,$E$171,$G$158)</f>
        <v>4.5435037737591747E-3</v>
      </c>
      <c r="AB184" s="52" cm="1">
        <f t="array" ref="AB184">MMS_PastureBeef_Methane_Equations.VEERG_4_2_1_1__2_MethaneProductionFromManure(AA138,$G$155,$E$165,$E$171,$G$158)</f>
        <v>4.5435037737591747E-3</v>
      </c>
      <c r="AC184" s="52" cm="1">
        <f t="array" ref="AC184">MMS_PastureBeef_Methane_Equations.VEERG_4_2_1_1__2_MethaneProductionFromManure(AB138,$G$155,$E$165,$E$171,$G$158)</f>
        <v>2.1045273101069351E-3</v>
      </c>
      <c r="AD184" s="52" cm="1">
        <f t="array" ref="AD184">MMS_PastureBeef_Methane_Equations.VEERG_4_2_1_1__2_MethaneProductionFromManure(AC138,$G$155,$E$165,$E$171,$G$158)</f>
        <v>3.2041066661276131E-3</v>
      </c>
      <c r="AE184" s="52" cm="1">
        <f t="array" ref="AE184">MMS_PastureBeef_Methane_Equations.VEERG_4_2_1_1__2_MethaneProductionFromManure(AD138,$G$155,$E$165,$E$171,$G$158)</f>
        <v>3.2041066661276131E-3</v>
      </c>
      <c r="AF184" s="52" cm="1">
        <f t="array" ref="AF184">MMS_PastureBeef_Methane_Equations.VEERG_4_2_1_1__2_MethaneProductionFromManure(AE138,$G$155,$E$165,$E$171,$G$158)</f>
        <v>3.2041066661276131E-3</v>
      </c>
      <c r="AG184" s="2" t="str">
        <f t="shared" si="8"/>
        <v>kg CH4/head/day</v>
      </c>
      <c r="AH184" s="2"/>
    </row>
    <row r="185" spans="4:34" ht="20.100000000000001" customHeight="1" x14ac:dyDescent="0.25">
      <c r="U185" s="52" t="str">
        <f>'Input - Pasture Beef'!$D$172</f>
        <v>Pasture range and paddock</v>
      </c>
      <c r="V185" s="52" t="str">
        <f t="shared" si="7"/>
        <v>September 2024</v>
      </c>
      <c r="W185" s="52" cm="1">
        <f t="array" ref="W185">MMS_PastureBeef_Methane_Equations.VEERG_4_2_1_1__2_MethaneProductionFromManure(V139,$G$155,$E$165,$E$171,$G$158)</f>
        <v>4.0441204522655228E-3</v>
      </c>
      <c r="X185" s="52" cm="1">
        <f t="array" ref="X185">MMS_PastureBeef_Methane_Equations.VEERG_4_2_1_1__2_MethaneProductionFromManure(W139,$G$155,$E$165,$E$171,$G$158)</f>
        <v>5.711782527217847E-3</v>
      </c>
      <c r="Y185" s="52" cm="1">
        <f t="array" ref="Y185">MMS_PastureBeef_Methane_Equations.VEERG_4_2_1_1__2_MethaneProductionFromManure(X139,$G$155,$E$165,$E$171,$G$158)</f>
        <v>3.0824275076362846E-3</v>
      </c>
      <c r="Z185" s="52" cm="1">
        <f t="array" ref="Z185">MMS_PastureBeef_Methane_Equations.VEERG_4_2_1_1__2_MethaneProductionFromManure(Y139,$G$155,$E$165,$E$171,$G$158)</f>
        <v>4.9552926045271445E-3</v>
      </c>
      <c r="AA185" s="52" cm="1">
        <f t="array" ref="AA185">MMS_PastureBeef_Methane_Equations.VEERG_4_2_1_1__2_MethaneProductionFromManure(Z139,$G$155,$E$165,$E$171,$G$158)</f>
        <v>5.5026421202084251E-3</v>
      </c>
      <c r="AB185" s="52" cm="1">
        <f t="array" ref="AB185">MMS_PastureBeef_Methane_Equations.VEERG_4_2_1_1__2_MethaneProductionFromManure(AA139,$G$155,$E$165,$E$171,$G$158)</f>
        <v>5.5026421202084251E-3</v>
      </c>
      <c r="AC185" s="52" cm="1">
        <f t="array" ref="AC185">MMS_PastureBeef_Methane_Equations.VEERG_4_2_1_1__2_MethaneProductionFromManure(AB139,$G$155,$E$165,$E$171,$G$158)</f>
        <v>3.5536302549179421E-3</v>
      </c>
      <c r="AD185" s="52" cm="1">
        <f t="array" ref="AD185">MMS_PastureBeef_Methane_Equations.VEERG_4_2_1_1__2_MethaneProductionFromManure(AC139,$G$155,$E$165,$E$171,$G$158)</f>
        <v>4.5158961081833695E-3</v>
      </c>
      <c r="AE185" s="52" cm="1">
        <f t="array" ref="AE185">MMS_PastureBeef_Methane_Equations.VEERG_4_2_1_1__2_MethaneProductionFromManure(AD139,$G$155,$E$165,$E$171,$G$158)</f>
        <v>4.5158961081833695E-3</v>
      </c>
      <c r="AF185" s="52" cm="1">
        <f t="array" ref="AF185">MMS_PastureBeef_Methane_Equations.VEERG_4_2_1_1__2_MethaneProductionFromManure(AE139,$G$155,$E$165,$E$171,$G$158)</f>
        <v>4.5158961081833695E-3</v>
      </c>
      <c r="AG185" s="2" t="str">
        <f t="shared" si="8"/>
        <v>kg CH4/head/day</v>
      </c>
      <c r="AH185" s="2"/>
    </row>
    <row r="186" spans="4:34" ht="20.100000000000001" customHeight="1" x14ac:dyDescent="0.25">
      <c r="U186" s="52" t="str">
        <f>'Input - Pasture Beef'!$D$172</f>
        <v>Pasture range and paddock</v>
      </c>
      <c r="V186" s="52" t="str">
        <f t="shared" si="7"/>
        <v>October 2024</v>
      </c>
      <c r="W186" s="52" cm="1">
        <f t="array" ref="W186">MMS_PastureBeef_Methane_Equations.VEERG_4_2_1_1__2_MethaneProductionFromManure(V140,$G$155,$E$165,$E$171,$G$158)</f>
        <v>4.0441204522655228E-3</v>
      </c>
      <c r="X186" s="52" cm="1">
        <f t="array" ref="X186">MMS_PastureBeef_Methane_Equations.VEERG_4_2_1_1__2_MethaneProductionFromManure(W140,$G$155,$E$165,$E$171,$G$158)</f>
        <v>5.711782527217847E-3</v>
      </c>
      <c r="Y186" s="52" cm="1">
        <f t="array" ref="Y186">MMS_PastureBeef_Methane_Equations.VEERG_4_2_1_1__2_MethaneProductionFromManure(X140,$G$155,$E$165,$E$171,$G$158)</f>
        <v>3.0824275076362846E-3</v>
      </c>
      <c r="Z186" s="52" cm="1">
        <f t="array" ref="Z186">MMS_PastureBeef_Methane_Equations.VEERG_4_2_1_1__2_MethaneProductionFromManure(Y140,$G$155,$E$165,$E$171,$G$158)</f>
        <v>4.9552926045271445E-3</v>
      </c>
      <c r="AA186" s="52" cm="1">
        <f t="array" ref="AA186">MMS_PastureBeef_Methane_Equations.VEERG_4_2_1_1__2_MethaneProductionFromManure(Z140,$G$155,$E$165,$E$171,$G$158)</f>
        <v>5.5026421202084251E-3</v>
      </c>
      <c r="AB186" s="52" cm="1">
        <f t="array" ref="AB186">MMS_PastureBeef_Methane_Equations.VEERG_4_2_1_1__2_MethaneProductionFromManure(AA140,$G$155,$E$165,$E$171,$G$158)</f>
        <v>5.5026421202084251E-3</v>
      </c>
      <c r="AC186" s="52" cm="1">
        <f t="array" ref="AC186">MMS_PastureBeef_Methane_Equations.VEERG_4_2_1_1__2_MethaneProductionFromManure(AB140,$G$155,$E$165,$E$171,$G$158)</f>
        <v>3.5536302549179421E-3</v>
      </c>
      <c r="AD186" s="52" cm="1">
        <f t="array" ref="AD186">MMS_PastureBeef_Methane_Equations.VEERG_4_2_1_1__2_MethaneProductionFromManure(AC140,$G$155,$E$165,$E$171,$G$158)</f>
        <v>4.5158961081833695E-3</v>
      </c>
      <c r="AE186" s="52" cm="1">
        <f t="array" ref="AE186">MMS_PastureBeef_Methane_Equations.VEERG_4_2_1_1__2_MethaneProductionFromManure(AD140,$G$155,$E$165,$E$171,$G$158)</f>
        <v>4.5158961081833695E-3</v>
      </c>
      <c r="AF186" s="52" cm="1">
        <f t="array" ref="AF186">MMS_PastureBeef_Methane_Equations.VEERG_4_2_1_1__2_MethaneProductionFromManure(AE140,$G$155,$E$165,$E$171,$G$158)</f>
        <v>4.5158961081833695E-3</v>
      </c>
      <c r="AG186" s="2" t="str">
        <f t="shared" si="8"/>
        <v>kg CH4/head/day</v>
      </c>
      <c r="AH186" s="2"/>
    </row>
    <row r="187" spans="4:34" ht="20.100000000000001" customHeight="1" x14ac:dyDescent="0.25">
      <c r="U187" s="52" t="str">
        <f>'Input - Pasture Beef'!$D$172</f>
        <v>Pasture range and paddock</v>
      </c>
      <c r="V187" s="52" t="str">
        <f t="shared" si="7"/>
        <v>November 2024</v>
      </c>
      <c r="W187" s="52" cm="1">
        <f t="array" ref="W187">MMS_PastureBeef_Methane_Equations.VEERG_4_2_1_1__2_MethaneProductionFromManure(V141,$G$155,$E$165,$E$171,$G$158)</f>
        <v>4.0441204522655228E-3</v>
      </c>
      <c r="X187" s="52" cm="1">
        <f t="array" ref="X187">MMS_PastureBeef_Methane_Equations.VEERG_4_2_1_1__2_MethaneProductionFromManure(W141,$G$155,$E$165,$E$171,$G$158)</f>
        <v>5.711782527217847E-3</v>
      </c>
      <c r="Y187" s="52" cm="1">
        <f t="array" ref="Y187">MMS_PastureBeef_Methane_Equations.VEERG_4_2_1_1__2_MethaneProductionFromManure(X141,$G$155,$E$165,$E$171,$G$158)</f>
        <v>3.0824275076362846E-3</v>
      </c>
      <c r="Z187" s="52" cm="1">
        <f t="array" ref="Z187">MMS_PastureBeef_Methane_Equations.VEERG_4_2_1_1__2_MethaneProductionFromManure(Y141,$G$155,$E$165,$E$171,$G$158)</f>
        <v>4.3485220815238229E-3</v>
      </c>
      <c r="AA187" s="52" cm="1">
        <f t="array" ref="AA187">MMS_PastureBeef_Methane_Equations.VEERG_4_2_1_1__2_MethaneProductionFromManure(Z141,$G$155,$E$165,$E$171,$G$158)</f>
        <v>4.828849207529841E-3</v>
      </c>
      <c r="AB187" s="52" cm="1">
        <f t="array" ref="AB187">MMS_PastureBeef_Methane_Equations.VEERG_4_2_1_1__2_MethaneProductionFromManure(AA141,$G$155,$E$165,$E$171,$G$158)</f>
        <v>4.828849207529841E-3</v>
      </c>
      <c r="AC187" s="52" cm="1">
        <f t="array" ref="AC187">MMS_PastureBeef_Methane_Equations.VEERG_4_2_1_1__2_MethaneProductionFromManure(AB141,$G$155,$E$165,$E$171,$G$158)</f>
        <v>3.5536302549179421E-3</v>
      </c>
      <c r="AD187" s="52" cm="1">
        <f t="array" ref="AD187">MMS_PastureBeef_Methane_Equations.VEERG_4_2_1_1__2_MethaneProductionFromManure(AC141,$G$155,$E$165,$E$171,$G$158)</f>
        <v>4.5158961081833695E-3</v>
      </c>
      <c r="AE187" s="52" cm="1">
        <f t="array" ref="AE187">MMS_PastureBeef_Methane_Equations.VEERG_4_2_1_1__2_MethaneProductionFromManure(AD141,$G$155,$E$165,$E$171,$G$158)</f>
        <v>4.5158961081833695E-3</v>
      </c>
      <c r="AF187" s="52" cm="1">
        <f t="array" ref="AF187">MMS_PastureBeef_Methane_Equations.VEERG_4_2_1_1__2_MethaneProductionFromManure(AE141,$G$155,$E$165,$E$171,$G$158)</f>
        <v>4.5158961081833695E-3</v>
      </c>
      <c r="AG187" s="2" t="str">
        <f t="shared" si="8"/>
        <v>kg CH4/head/day</v>
      </c>
      <c r="AH187" s="2"/>
    </row>
    <row r="188" spans="4:34" ht="20.100000000000001" customHeight="1" x14ac:dyDescent="0.25">
      <c r="U188" s="52" t="str">
        <f>'Input - Pasture Beef'!$D$172</f>
        <v>Pasture range and paddock</v>
      </c>
      <c r="V188" s="52" t="str">
        <f t="shared" si="7"/>
        <v>December 2024</v>
      </c>
      <c r="W188" s="52" cm="1">
        <f t="array" ref="W188">MMS_PastureBeef_Methane_Equations.VEERG_4_2_1_1__2_MethaneProductionFromManure(V142,$G$155,$E$165,$E$171,$G$158)</f>
        <v>3.7698049331624994E-3</v>
      </c>
      <c r="X188" s="52" cm="1">
        <f t="array" ref="X188">MMS_PastureBeef_Methane_Equations.VEERG_4_2_1_1__2_MethaneProductionFromManure(W142,$G$155,$E$165,$E$171,$G$158)</f>
        <v>4.9878246275839805E-3</v>
      </c>
      <c r="Y188" s="52" cm="1">
        <f t="array" ref="Y188">MMS_PastureBeef_Methane_Equations.VEERG_4_2_1_1__2_MethaneProductionFromManure(X142,$G$155,$E$165,$E$171,$G$158)</f>
        <v>3.1703208176285837E-3</v>
      </c>
      <c r="Z188" s="52" cm="1">
        <f t="array" ref="Z188">MMS_PastureBeef_Methane_Equations.VEERG_4_2_1_1__2_MethaneProductionFromManure(Y142,$G$155,$E$165,$E$171,$G$158)</f>
        <v>4.4629037143629011E-3</v>
      </c>
      <c r="AA188" s="52" cm="1">
        <f t="array" ref="AA188">MMS_PastureBeef_Methane_Equations.VEERG_4_2_1_1__2_MethaneProductionFromManure(Z142,$G$155,$E$165,$E$171,$G$158)</f>
        <v>4.4188207511224346E-3</v>
      </c>
      <c r="AB188" s="52" cm="1">
        <f t="array" ref="AB188">MMS_PastureBeef_Methane_Equations.VEERG_4_2_1_1__2_MethaneProductionFromManure(AA142,$G$155,$E$165,$E$171,$G$158)</f>
        <v>4.4188207511224346E-3</v>
      </c>
      <c r="AC188" s="52" cm="1">
        <f t="array" ref="AC188">MMS_PastureBeef_Methane_Equations.VEERG_4_2_1_1__2_MethaneProductionFromManure(AB142,$G$155,$E$165,$E$171,$G$158)</f>
        <v>3.4748327308918255E-3</v>
      </c>
      <c r="AD188" s="52" cm="1">
        <f t="array" ref="AD188">MMS_PastureBeef_Methane_Equations.VEERG_4_2_1_1__2_MethaneProductionFromManure(AC142,$G$155,$E$165,$E$171,$G$158)</f>
        <v>3.8733047579931406E-3</v>
      </c>
      <c r="AE188" s="52" cm="1">
        <f t="array" ref="AE188">MMS_PastureBeef_Methane_Equations.VEERG_4_2_1_1__2_MethaneProductionFromManure(AD142,$G$155,$E$165,$E$171,$G$158)</f>
        <v>3.8733047579931406E-3</v>
      </c>
      <c r="AF188" s="52" cm="1">
        <f t="array" ref="AF188">MMS_PastureBeef_Methane_Equations.VEERG_4_2_1_1__2_MethaneProductionFromManure(AE142,$G$155,$E$165,$E$171,$G$158)</f>
        <v>3.8733047579931406E-3</v>
      </c>
      <c r="AG188" s="2" t="str">
        <f t="shared" si="8"/>
        <v>kg CH4/head/day</v>
      </c>
      <c r="AH188" s="2"/>
    </row>
    <row r="189" spans="4:34" ht="20.100000000000001" customHeight="1" x14ac:dyDescent="0.25">
      <c r="U189" s="52" t="str">
        <f>'Input - Pasture Beef'!$D$173</f>
        <v>Anaerobic lagoon</v>
      </c>
      <c r="V189" s="52" t="str">
        <f>U131</f>
        <v>January 2024</v>
      </c>
      <c r="W189" s="52" cm="1">
        <f t="array" ref="W189">MMS_PastureBeef_Methane_Equations.VEERG_4_2_1_1__2_MethaneProductionFromManure(V131,$G$155,$E$166,$E$172,$G$158)</f>
        <v>2.3129761588141953E-3</v>
      </c>
      <c r="X189" s="52" cm="1">
        <f t="array" ref="X189">MMS_PastureBeef_Methane_Equations.VEERG_4_2_1_1__2_MethaneProductionFromManure(W131,$G$155,$E$166,$E$172,$G$158)</f>
        <v>3.0602961300360589E-3</v>
      </c>
      <c r="Y189" s="52" cm="1">
        <f t="array" ref="Y189">MMS_PastureBeef_Methane_Equations.VEERG_4_2_1_1__2_MethaneProductionFromManure(X131,$G$155,$E$166,$E$172,$G$158)</f>
        <v>1.9451607170601457E-3</v>
      </c>
      <c r="Z189" s="52" cm="1">
        <f t="array" ref="Z189">MMS_PastureBeef_Methane_Equations.VEERG_4_2_1_1__2_MethaneProductionFromManure(Y131,$G$155,$E$166,$E$172,$G$158)</f>
        <v>2.7382291851756543E-3</v>
      </c>
      <c r="AA189" s="52" cm="1">
        <f t="array" ref="AA189">MMS_PastureBeef_Methane_Equations.VEERG_4_2_1_1__2_MethaneProductionFromManure(Z131,$G$155,$E$166,$E$172,$G$158)</f>
        <v>2.7111819387549904E-3</v>
      </c>
      <c r="AB189" s="52" cm="1">
        <f t="array" ref="AB189">MMS_PastureBeef_Methane_Equations.VEERG_4_2_1_1__2_MethaneProductionFromManure(AA131,$G$155,$E$166,$E$172,$G$158)</f>
        <v>2.7111819387549904E-3</v>
      </c>
      <c r="AC189" s="52" cm="1">
        <f t="array" ref="AC189">MMS_PastureBeef_Methane_Equations.VEERG_4_2_1_1__2_MethaneProductionFromManure(AB131,$G$155,$E$166,$E$172,$G$158)</f>
        <v>2.1319949983930825E-3</v>
      </c>
      <c r="AD189" s="52" cm="1">
        <f t="array" ref="AD189">MMS_PastureBeef_Methane_Equations.VEERG_4_2_1_1__2_MethaneProductionFromManure(AC131,$G$155,$E$166,$E$172,$G$158)</f>
        <v>2.3764788151900769E-3</v>
      </c>
      <c r="AE189" s="52" cm="1">
        <f t="array" ref="AE189">MMS_PastureBeef_Methane_Equations.VEERG_4_2_1_1__2_MethaneProductionFromManure(AD131,$G$155,$E$166,$E$172,$G$158)</f>
        <v>2.3764788151900769E-3</v>
      </c>
      <c r="AF189" s="52" cm="1">
        <f t="array" ref="AF189">MMS_PastureBeef_Methane_Equations.VEERG_4_2_1_1__2_MethaneProductionFromManure(AE131,$G$155,$E$166,$E$172,$G$158)</f>
        <v>2.3764788151900769E-3</v>
      </c>
      <c r="AG189" s="2" t="str">
        <f t="shared" si="8"/>
        <v>kg CH4/head/day</v>
      </c>
      <c r="AH189" s="2"/>
    </row>
    <row r="190" spans="4:34" ht="20.100000000000001" customHeight="1" x14ac:dyDescent="0.25">
      <c r="U190" s="52" t="str">
        <f>'Input - Pasture Beef'!$D$173</f>
        <v>Anaerobic lagoon</v>
      </c>
      <c r="V190" s="52" t="str">
        <f t="shared" ref="V190:V200" si="9">U132</f>
        <v>February 2024</v>
      </c>
      <c r="W190" s="52" cm="1">
        <f t="array" ref="W190">MMS_PastureBeef_Methane_Equations.VEERG_4_2_1_1__2_MethaneProductionFromManure(V132,$G$155,$E$166,$E$172,$G$158)</f>
        <v>2.3129761588141953E-3</v>
      </c>
      <c r="X190" s="52" cm="1">
        <f t="array" ref="X190">MMS_PastureBeef_Methane_Equations.VEERG_4_2_1_1__2_MethaneProductionFromManure(W132,$G$155,$E$166,$E$172,$G$158)</f>
        <v>3.0602961300360589E-3</v>
      </c>
      <c r="Y190" s="52" cm="1">
        <f t="array" ref="Y190">MMS_PastureBeef_Methane_Equations.VEERG_4_2_1_1__2_MethaneProductionFromManure(X132,$G$155,$E$166,$E$172,$G$158)</f>
        <v>1.9451607170601457E-3</v>
      </c>
      <c r="Z190" s="52" cm="1">
        <f t="array" ref="Z190">MMS_PastureBeef_Methane_Equations.VEERG_4_2_1_1__2_MethaneProductionFromManure(Y132,$G$155,$E$166,$E$172,$G$158)</f>
        <v>2.5471899396982823E-3</v>
      </c>
      <c r="AA190" s="52" cm="1">
        <f t="array" ref="AA190">MMS_PastureBeef_Methane_Equations.VEERG_4_2_1_1__2_MethaneProductionFromManure(Z132,$G$155,$E$166,$E$172,$G$158)</f>
        <v>2.5220297104697588E-3</v>
      </c>
      <c r="AB190" s="52" cm="1">
        <f t="array" ref="AB190">MMS_PastureBeef_Methane_Equations.VEERG_4_2_1_1__2_MethaneProductionFromManure(AA132,$G$155,$E$166,$E$172,$G$158)</f>
        <v>2.5220297104697588E-3</v>
      </c>
      <c r="AC190" s="52" cm="1">
        <f t="array" ref="AC190">MMS_PastureBeef_Methane_Equations.VEERG_4_2_1_1__2_MethaneProductionFromManure(AB132,$G$155,$E$166,$E$172,$G$158)</f>
        <v>2.1319949983930825E-3</v>
      </c>
      <c r="AD190" s="52" cm="1">
        <f t="array" ref="AD190">MMS_PastureBeef_Methane_Equations.VEERG_4_2_1_1__2_MethaneProductionFromManure(AC132,$G$155,$E$166,$E$172,$G$158)</f>
        <v>2.3764788151900769E-3</v>
      </c>
      <c r="AE190" s="52" cm="1">
        <f t="array" ref="AE190">MMS_PastureBeef_Methane_Equations.VEERG_4_2_1_1__2_MethaneProductionFromManure(AD132,$G$155,$E$166,$E$172,$G$158)</f>
        <v>2.3764788151900769E-3</v>
      </c>
      <c r="AF190" s="52" cm="1">
        <f t="array" ref="AF190">MMS_PastureBeef_Methane_Equations.VEERG_4_2_1_1__2_MethaneProductionFromManure(AE132,$G$155,$E$166,$E$172,$G$158)</f>
        <v>2.3764788151900769E-3</v>
      </c>
      <c r="AG190" s="2" t="str">
        <f t="shared" si="8"/>
        <v>kg CH4/head/day</v>
      </c>
      <c r="AH190" s="2"/>
    </row>
    <row r="191" spans="4:34" ht="20.100000000000001" customHeight="1" x14ac:dyDescent="0.25">
      <c r="U191" s="52" t="str">
        <f>'Input - Pasture Beef'!$D$173</f>
        <v>Anaerobic lagoon</v>
      </c>
      <c r="V191" s="52" t="str">
        <f t="shared" si="9"/>
        <v>March 2024</v>
      </c>
      <c r="W191" s="52" cm="1">
        <f t="array" ref="W191">MMS_PastureBeef_Methane_Equations.VEERG_4_2_1_1__2_MethaneProductionFromManure(V133,$G$155,$E$166,$E$172,$G$158)</f>
        <v>1.0840974144617182E-3</v>
      </c>
      <c r="X191" s="52" cm="1">
        <f t="array" ref="X191">MMS_PastureBeef_Methane_Equations.VEERG_4_2_1_1__2_MethaneProductionFromManure(W133,$G$155,$E$166,$E$172,$G$158)</f>
        <v>3.1464741571425175E-3</v>
      </c>
      <c r="Y191" s="52" cm="1">
        <f t="array" ref="Y191">MMS_PastureBeef_Methane_Equations.VEERG_4_2_1_1__2_MethaneProductionFromManure(X133,$G$155,$E$166,$E$172,$G$158)</f>
        <v>9.8832181044853241E-4</v>
      </c>
      <c r="Z191" s="52" cm="1">
        <f t="array" ref="Z191">MMS_PastureBeef_Methane_Equations.VEERG_4_2_1_1__2_MethaneProductionFromManure(Y133,$G$155,$E$166,$E$172,$G$158)</f>
        <v>1.9890443928274122E-3</v>
      </c>
      <c r="AA191" s="52" cm="1">
        <f t="array" ref="AA191">MMS_PastureBeef_Methane_Equations.VEERG_4_2_1_1__2_MethaneProductionFromManure(Z133,$G$155,$E$166,$E$172,$G$158)</f>
        <v>2.2428414303030022E-3</v>
      </c>
      <c r="AB191" s="52" cm="1">
        <f t="array" ref="AB191">MMS_PastureBeef_Methane_Equations.VEERG_4_2_1_1__2_MethaneProductionFromManure(AA133,$G$155,$E$166,$E$172,$G$158)</f>
        <v>2.2428414303030022E-3</v>
      </c>
      <c r="AC191" s="52" cm="1">
        <f t="array" ref="AC191">MMS_PastureBeef_Methane_Equations.VEERG_4_2_1_1__2_MethaneProductionFromManure(AB133,$G$155,$E$166,$E$172,$G$158)</f>
        <v>1.0840974144617182E-3</v>
      </c>
      <c r="AD191" s="52" cm="1">
        <f t="array" ref="AD191">MMS_PastureBeef_Methane_Equations.VEERG_4_2_1_1__2_MethaneProductionFromManure(AC133,$G$155,$E$166,$E$172,$G$158)</f>
        <v>1.9682053572835068E-3</v>
      </c>
      <c r="AE191" s="52" cm="1">
        <f t="array" ref="AE191">MMS_PastureBeef_Methane_Equations.VEERG_4_2_1_1__2_MethaneProductionFromManure(AD133,$G$155,$E$166,$E$172,$G$158)</f>
        <v>1.9682053572835068E-3</v>
      </c>
      <c r="AF191" s="52" cm="1">
        <f t="array" ref="AF191">MMS_PastureBeef_Methane_Equations.VEERG_4_2_1_1__2_MethaneProductionFromManure(AE133,$G$155,$E$166,$E$172,$G$158)</f>
        <v>1.9682053572835068E-3</v>
      </c>
      <c r="AG191" s="2" t="str">
        <f t="shared" si="8"/>
        <v>kg CH4/head/day</v>
      </c>
      <c r="AH191" s="2"/>
    </row>
    <row r="192" spans="4:34" ht="20.100000000000001" customHeight="1" x14ac:dyDescent="0.25">
      <c r="U192" s="52" t="str">
        <f>'Input - Pasture Beef'!$D$173</f>
        <v>Anaerobic lagoon</v>
      </c>
      <c r="V192" s="52" t="str">
        <f t="shared" si="9"/>
        <v>April 2024</v>
      </c>
      <c r="W192" s="52" cm="1">
        <f t="array" ref="W192">MMS_PastureBeef_Methane_Equations.VEERG_4_2_1_1__2_MethaneProductionFromManure(V134,$G$155,$E$166,$E$172,$G$158)</f>
        <v>1.0840974144617182E-3</v>
      </c>
      <c r="X192" s="52" cm="1">
        <f t="array" ref="X192">MMS_PastureBeef_Methane_Equations.VEERG_4_2_1_1__2_MethaneProductionFromManure(W134,$G$155,$E$166,$E$172,$G$158)</f>
        <v>3.1464741571425175E-3</v>
      </c>
      <c r="Y192" s="52" cm="1">
        <f t="array" ref="Y192">MMS_PastureBeef_Methane_Equations.VEERG_4_2_1_1__2_MethaneProductionFromManure(X134,$G$155,$E$166,$E$172,$G$158)</f>
        <v>9.8832181044853241E-4</v>
      </c>
      <c r="Z192" s="52" cm="1">
        <f t="array" ref="Z192">MMS_PastureBeef_Methane_Equations.VEERG_4_2_1_1__2_MethaneProductionFromManure(Y134,$G$155,$E$166,$E$172,$G$158)</f>
        <v>1.9890443928274122E-3</v>
      </c>
      <c r="AA192" s="52" cm="1">
        <f t="array" ref="AA192">MMS_PastureBeef_Methane_Equations.VEERG_4_2_1_1__2_MethaneProductionFromManure(Z134,$G$155,$E$166,$E$172,$G$158)</f>
        <v>2.2428414303030022E-3</v>
      </c>
      <c r="AB192" s="52" cm="1">
        <f t="array" ref="AB192">MMS_PastureBeef_Methane_Equations.VEERG_4_2_1_1__2_MethaneProductionFromManure(AA134,$G$155,$E$166,$E$172,$G$158)</f>
        <v>2.2428414303030022E-3</v>
      </c>
      <c r="AC192" s="52" cm="1">
        <f t="array" ref="AC192">MMS_PastureBeef_Methane_Equations.VEERG_4_2_1_1__2_MethaneProductionFromManure(AB134,$G$155,$E$166,$E$172,$G$158)</f>
        <v>1.0840974144617182E-3</v>
      </c>
      <c r="AD192" s="52" cm="1">
        <f t="array" ref="AD192">MMS_PastureBeef_Methane_Equations.VEERG_4_2_1_1__2_MethaneProductionFromManure(AC134,$G$155,$E$166,$E$172,$G$158)</f>
        <v>1.9682053572835068E-3</v>
      </c>
      <c r="AE192" s="52" cm="1">
        <f t="array" ref="AE192">MMS_PastureBeef_Methane_Equations.VEERG_4_2_1_1__2_MethaneProductionFromManure(AD134,$G$155,$E$166,$E$172,$G$158)</f>
        <v>1.9682053572835068E-3</v>
      </c>
      <c r="AF192" s="52" cm="1">
        <f t="array" ref="AF192">MMS_PastureBeef_Methane_Equations.VEERG_4_2_1_1__2_MethaneProductionFromManure(AE134,$G$155,$E$166,$E$172,$G$158)</f>
        <v>1.9682053572835068E-3</v>
      </c>
      <c r="AG192" s="2" t="str">
        <f t="shared" si="8"/>
        <v>kg CH4/head/day</v>
      </c>
      <c r="AH192" s="2"/>
    </row>
    <row r="193" spans="3:35" ht="20.100000000000001" customHeight="1" x14ac:dyDescent="0.25">
      <c r="U193" s="52" t="str">
        <f>'Input - Pasture Beef'!$D$173</f>
        <v>Anaerobic lagoon</v>
      </c>
      <c r="V193" s="52" t="str">
        <f t="shared" si="9"/>
        <v>May 2024</v>
      </c>
      <c r="W193" s="52" cm="1">
        <f t="array" ref="W193">MMS_PastureBeef_Methane_Equations.VEERG_4_2_1_1__2_MethaneProductionFromManure(V135,$G$155,$E$166,$E$172,$G$158)</f>
        <v>1.0840974144617182E-3</v>
      </c>
      <c r="X193" s="52" cm="1">
        <f t="array" ref="X193">MMS_PastureBeef_Methane_Equations.VEERG_4_2_1_1__2_MethaneProductionFromManure(W135,$G$155,$E$166,$E$172,$G$158)</f>
        <v>3.1464741571425175E-3</v>
      </c>
      <c r="Y193" s="52" cm="1">
        <f t="array" ref="Y193">MMS_PastureBeef_Methane_Equations.VEERG_4_2_1_1__2_MethaneProductionFromManure(X135,$G$155,$E$166,$E$172,$G$158)</f>
        <v>9.8832181044853241E-4</v>
      </c>
      <c r="Z193" s="52" cm="1">
        <f t="array" ref="Z193">MMS_PastureBeef_Methane_Equations.VEERG_4_2_1_1__2_MethaneProductionFromManure(Y135,$G$155,$E$166,$E$172,$G$158)</f>
        <v>1.9890443928274122E-3</v>
      </c>
      <c r="AA193" s="52" cm="1">
        <f t="array" ref="AA193">MMS_PastureBeef_Methane_Equations.VEERG_4_2_1_1__2_MethaneProductionFromManure(Z135,$G$155,$E$166,$E$172,$G$158)</f>
        <v>2.2428414303030022E-3</v>
      </c>
      <c r="AB193" s="52" cm="1">
        <f t="array" ref="AB193">MMS_PastureBeef_Methane_Equations.VEERG_4_2_1_1__2_MethaneProductionFromManure(AA135,$G$155,$E$166,$E$172,$G$158)</f>
        <v>2.2428414303030022E-3</v>
      </c>
      <c r="AC193" s="52" cm="1">
        <f t="array" ref="AC193">MMS_PastureBeef_Methane_Equations.VEERG_4_2_1_1__2_MethaneProductionFromManure(AB135,$G$155,$E$166,$E$172,$G$158)</f>
        <v>1.0840974144617182E-3</v>
      </c>
      <c r="AD193" s="52" cm="1">
        <f t="array" ref="AD193">MMS_PastureBeef_Methane_Equations.VEERG_4_2_1_1__2_MethaneProductionFromManure(AC135,$G$155,$E$166,$E$172,$G$158)</f>
        <v>1.9682053572835068E-3</v>
      </c>
      <c r="AE193" s="52" cm="1">
        <f t="array" ref="AE193">MMS_PastureBeef_Methane_Equations.VEERG_4_2_1_1__2_MethaneProductionFromManure(AD135,$G$155,$E$166,$E$172,$G$158)</f>
        <v>1.9682053572835068E-3</v>
      </c>
      <c r="AF193" s="52" cm="1">
        <f t="array" ref="AF193">MMS_PastureBeef_Methane_Equations.VEERG_4_2_1_1__2_MethaneProductionFromManure(AE135,$G$155,$E$166,$E$172,$G$158)</f>
        <v>1.9682053572835068E-3</v>
      </c>
      <c r="AG193" s="2" t="str">
        <f t="shared" si="8"/>
        <v>kg CH4/head/day</v>
      </c>
      <c r="AH193" s="2"/>
    </row>
    <row r="194" spans="3:35" ht="20.100000000000001" customHeight="1" x14ac:dyDescent="0.25">
      <c r="U194" s="52" t="str">
        <f>'Input - Pasture Beef'!$D$173</f>
        <v>Anaerobic lagoon</v>
      </c>
      <c r="V194" s="52" t="str">
        <f t="shared" si="9"/>
        <v>June 2024</v>
      </c>
      <c r="W194" s="52" cm="1">
        <f t="array" ref="W194">MMS_PastureBeef_Methane_Equations.VEERG_4_2_1_1__2_MethaneProductionFromManure(V136,$G$155,$E$166,$E$172,$G$158)</f>
        <v>1.4688403146586094E-3</v>
      </c>
      <c r="X194" s="52" cm="1">
        <f t="array" ref="X194">MMS_PastureBeef_Methane_Equations.VEERG_4_2_1_1__2_MethaneProductionFromManure(W136,$G$155,$E$166,$E$172,$G$158)</f>
        <v>2.854425459723719E-3</v>
      </c>
      <c r="Y194" s="52" cm="1">
        <f t="array" ref="Y194">MMS_PastureBeef_Methane_Equations.VEERG_4_2_1_1__2_MethaneProductionFromManure(X136,$G$155,$E$166,$E$172,$G$158)</f>
        <v>1.2026544225974751E-3</v>
      </c>
      <c r="Z194" s="52" cm="1">
        <f t="array" ref="Z194">MMS_PastureBeef_Methane_Equations.VEERG_4_2_1_1__2_MethaneProductionFromManure(Y136,$G$155,$E$166,$E$172,$G$158)</f>
        <v>1.6963146965792107E-3</v>
      </c>
      <c r="AA194" s="52" cm="1">
        <f t="array" ref="AA194">MMS_PastureBeef_Methane_Equations.VEERG_4_2_1_1__2_MethaneProductionFromManure(Z136,$G$155,$E$166,$E$172,$G$158)</f>
        <v>2.2756584616302694E-3</v>
      </c>
      <c r="AB194" s="52" cm="1">
        <f t="array" ref="AB194">MMS_PastureBeef_Methane_Equations.VEERG_4_2_1_1__2_MethaneProductionFromManure(AA136,$G$155,$E$166,$E$172,$G$158)</f>
        <v>2.2756584616302694E-3</v>
      </c>
      <c r="AC194" s="52" cm="1">
        <f t="array" ref="AC194">MMS_PastureBeef_Methane_Equations.VEERG_4_2_1_1__2_MethaneProductionFromManure(AB136,$G$155,$E$166,$E$172,$G$158)</f>
        <v>1.291239621188348E-3</v>
      </c>
      <c r="AD194" s="52" cm="1">
        <f t="array" ref="AD194">MMS_PastureBeef_Methane_Equations.VEERG_4_2_1_1__2_MethaneProductionFromManure(AC136,$G$155,$E$166,$E$172,$G$158)</f>
        <v>1.9658901350191817E-3</v>
      </c>
      <c r="AE194" s="52" cm="1">
        <f t="array" ref="AE194">MMS_PastureBeef_Methane_Equations.VEERG_4_2_1_1__2_MethaneProductionFromManure(AD136,$G$155,$E$166,$E$172,$G$158)</f>
        <v>1.9658901350191817E-3</v>
      </c>
      <c r="AF194" s="52" cm="1">
        <f t="array" ref="AF194">MMS_PastureBeef_Methane_Equations.VEERG_4_2_1_1__2_MethaneProductionFromManure(AE136,$G$155,$E$166,$E$172,$G$158)</f>
        <v>1.9658901350191817E-3</v>
      </c>
      <c r="AG194" s="2" t="str">
        <f t="shared" si="8"/>
        <v>kg CH4/head/day</v>
      </c>
      <c r="AH194" s="2"/>
    </row>
    <row r="195" spans="3:35" ht="20.100000000000001" customHeight="1" x14ac:dyDescent="0.25">
      <c r="U195" s="52" t="str">
        <f>'Input - Pasture Beef'!$D$173</f>
        <v>Anaerobic lagoon</v>
      </c>
      <c r="V195" s="52" t="str">
        <f t="shared" si="9"/>
        <v>July 2024</v>
      </c>
      <c r="W195" s="52" cm="1">
        <f t="array" ref="W195">MMS_PastureBeef_Methane_Equations.VEERG_4_2_1_1__2_MethaneProductionFromManure(V137,$G$155,$E$166,$E$172,$G$158)</f>
        <v>1.4688403146586094E-3</v>
      </c>
      <c r="X195" s="52" cm="1">
        <f t="array" ref="X195">MMS_PastureBeef_Methane_Equations.VEERG_4_2_1_1__2_MethaneProductionFromManure(W137,$G$155,$E$166,$E$172,$G$158)</f>
        <v>2.854425459723719E-3</v>
      </c>
      <c r="Y195" s="52" cm="1">
        <f t="array" ref="Y195">MMS_PastureBeef_Methane_Equations.VEERG_4_2_1_1__2_MethaneProductionFromManure(X137,$G$155,$E$166,$E$172,$G$158)</f>
        <v>1.2026544225974751E-3</v>
      </c>
      <c r="Z195" s="52" cm="1">
        <f t="array" ref="Z195">MMS_PastureBeef_Methane_Equations.VEERG_4_2_1_1__2_MethaneProductionFromManure(Y137,$G$155,$E$166,$E$172,$G$158)</f>
        <v>1.6963146965792107E-3</v>
      </c>
      <c r="AA195" s="52" cm="1">
        <f t="array" ref="AA195">MMS_PastureBeef_Methane_Equations.VEERG_4_2_1_1__2_MethaneProductionFromManure(Z137,$G$155,$E$166,$E$172,$G$158)</f>
        <v>2.2756584616302694E-3</v>
      </c>
      <c r="AB195" s="52" cm="1">
        <f t="array" ref="AB195">MMS_PastureBeef_Methane_Equations.VEERG_4_2_1_1__2_MethaneProductionFromManure(AA137,$G$155,$E$166,$E$172,$G$158)</f>
        <v>2.2756584616302694E-3</v>
      </c>
      <c r="AC195" s="52" cm="1">
        <f t="array" ref="AC195">MMS_PastureBeef_Methane_Equations.VEERG_4_2_1_1__2_MethaneProductionFromManure(AB137,$G$155,$E$166,$E$172,$G$158)</f>
        <v>1.291239621188348E-3</v>
      </c>
      <c r="AD195" s="52" cm="1">
        <f t="array" ref="AD195">MMS_PastureBeef_Methane_Equations.VEERG_4_2_1_1__2_MethaneProductionFromManure(AC137,$G$155,$E$166,$E$172,$G$158)</f>
        <v>1.9658901350191817E-3</v>
      </c>
      <c r="AE195" s="52" cm="1">
        <f t="array" ref="AE195">MMS_PastureBeef_Methane_Equations.VEERG_4_2_1_1__2_MethaneProductionFromManure(AD137,$G$155,$E$166,$E$172,$G$158)</f>
        <v>1.9658901350191817E-3</v>
      </c>
      <c r="AF195" s="52" cm="1">
        <f t="array" ref="AF195">MMS_PastureBeef_Methane_Equations.VEERG_4_2_1_1__2_MethaneProductionFromManure(AE137,$G$155,$E$166,$E$172,$G$158)</f>
        <v>1.9658901350191817E-3</v>
      </c>
      <c r="AG195" s="2" t="str">
        <f t="shared" si="8"/>
        <v>kg CH4/head/day</v>
      </c>
      <c r="AH195" s="2"/>
    </row>
    <row r="196" spans="3:35" ht="20.100000000000001" customHeight="1" x14ac:dyDescent="0.25">
      <c r="U196" s="52" t="str">
        <f>'Input - Pasture Beef'!$D$173</f>
        <v>Anaerobic lagoon</v>
      </c>
      <c r="V196" s="52" t="str">
        <f t="shared" si="9"/>
        <v>August 2024</v>
      </c>
      <c r="W196" s="52" cm="1">
        <f t="array" ref="W196">MMS_PastureBeef_Methane_Equations.VEERG_4_2_1_1__2_MethaneProductionFromManure(V138,$G$155,$E$166,$E$172,$G$158)</f>
        <v>1.4688403146586094E-3</v>
      </c>
      <c r="X196" s="52" cm="1">
        <f t="array" ref="X196">MMS_PastureBeef_Methane_Equations.VEERG_4_2_1_1__2_MethaneProductionFromManure(W138,$G$155,$E$166,$E$172,$G$158)</f>
        <v>2.854425459723719E-3</v>
      </c>
      <c r="Y196" s="52" cm="1">
        <f t="array" ref="Y196">MMS_PastureBeef_Methane_Equations.VEERG_4_2_1_1__2_MethaneProductionFromManure(X138,$G$155,$E$166,$E$172,$G$158)</f>
        <v>1.2026544225974751E-3</v>
      </c>
      <c r="Z196" s="52" cm="1">
        <f t="array" ref="Z196">MMS_PastureBeef_Methane_Equations.VEERG_4_2_1_1__2_MethaneProductionFromManure(Y138,$G$155,$E$166,$E$172,$G$158)</f>
        <v>2.0779855033095339E-3</v>
      </c>
      <c r="AA196" s="52" cm="1">
        <f t="array" ref="AA196">MMS_PastureBeef_Methane_Equations.VEERG_4_2_1_1__2_MethaneProductionFromManure(Z138,$G$155,$E$166,$E$172,$G$158)</f>
        <v>2.7876816154970801E-3</v>
      </c>
      <c r="AB196" s="52" cm="1">
        <f t="array" ref="AB196">MMS_PastureBeef_Methane_Equations.VEERG_4_2_1_1__2_MethaneProductionFromManure(AA138,$G$155,$E$166,$E$172,$G$158)</f>
        <v>2.7876816154970801E-3</v>
      </c>
      <c r="AC196" s="52" cm="1">
        <f t="array" ref="AC196">MMS_PastureBeef_Methane_Equations.VEERG_4_2_1_1__2_MethaneProductionFromManure(AB138,$G$155,$E$166,$E$172,$G$158)</f>
        <v>1.291239621188348E-3</v>
      </c>
      <c r="AD196" s="52" cm="1">
        <f t="array" ref="AD196">MMS_PastureBeef_Methane_Equations.VEERG_4_2_1_1__2_MethaneProductionFromManure(AC138,$G$155,$E$166,$E$172,$G$158)</f>
        <v>1.9658901350191817E-3</v>
      </c>
      <c r="AE196" s="52" cm="1">
        <f t="array" ref="AE196">MMS_PastureBeef_Methane_Equations.VEERG_4_2_1_1__2_MethaneProductionFromManure(AD138,$G$155,$E$166,$E$172,$G$158)</f>
        <v>1.9658901350191817E-3</v>
      </c>
      <c r="AF196" s="52" cm="1">
        <f t="array" ref="AF196">MMS_PastureBeef_Methane_Equations.VEERG_4_2_1_1__2_MethaneProductionFromManure(AE138,$G$155,$E$166,$E$172,$G$158)</f>
        <v>1.9658901350191817E-3</v>
      </c>
      <c r="AG196" s="2" t="str">
        <f t="shared" si="8"/>
        <v>kg CH4/head/day</v>
      </c>
      <c r="AH196" s="2"/>
    </row>
    <row r="197" spans="3:35" ht="20.100000000000001" customHeight="1" x14ac:dyDescent="0.25">
      <c r="U197" s="52" t="str">
        <f>'Input - Pasture Beef'!$D$173</f>
        <v>Anaerobic lagoon</v>
      </c>
      <c r="V197" s="52" t="str">
        <f t="shared" si="9"/>
        <v>September 2024</v>
      </c>
      <c r="W197" s="52" cm="1">
        <f t="array" ref="W197">MMS_PastureBeef_Methane_Equations.VEERG_4_2_1_1__2_MethaneProductionFromManure(V139,$G$155,$E$166,$E$172,$G$158)</f>
        <v>2.4812833436492908E-3</v>
      </c>
      <c r="X197" s="52" cm="1">
        <f t="array" ref="X197">MMS_PastureBeef_Methane_Equations.VEERG_4_2_1_1__2_MethaneProductionFromManure(W139,$G$155,$E$166,$E$172,$G$158)</f>
        <v>3.5044828695429209E-3</v>
      </c>
      <c r="Y197" s="52" cm="1">
        <f t="array" ref="Y197">MMS_PastureBeef_Methane_Equations.VEERG_4_2_1_1__2_MethaneProductionFromManure(X139,$G$155,$E$166,$E$172,$G$158)</f>
        <v>1.8912334889579457E-3</v>
      </c>
      <c r="Z197" s="52" cm="1">
        <f t="array" ref="Z197">MMS_PastureBeef_Methane_Equations.VEERG_4_2_1_1__2_MethaneProductionFromManure(Y139,$G$155,$E$166,$E$172,$G$158)</f>
        <v>3.0403360007820158E-3</v>
      </c>
      <c r="AA197" s="52" cm="1">
        <f t="array" ref="AA197">MMS_PastureBeef_Methane_Equations.VEERG_4_2_1_1__2_MethaneProductionFromManure(Z139,$G$155,$E$166,$E$172,$G$158)</f>
        <v>3.3761640881115212E-3</v>
      </c>
      <c r="AB197" s="52" cm="1">
        <f t="array" ref="AB197">MMS_PastureBeef_Methane_Equations.VEERG_4_2_1_1__2_MethaneProductionFromManure(AA139,$G$155,$E$166,$E$172,$G$158)</f>
        <v>3.3761640881115212E-3</v>
      </c>
      <c r="AC197" s="52" cm="1">
        <f t="array" ref="AC197">MMS_PastureBeef_Methane_Equations.VEERG_4_2_1_1__2_MethaneProductionFromManure(AB139,$G$155,$E$166,$E$172,$G$158)</f>
        <v>2.1803414772367767E-3</v>
      </c>
      <c r="AD197" s="52" cm="1">
        <f t="array" ref="AD197">MMS_PastureBeef_Methane_Equations.VEERG_4_2_1_1__2_MethaneProductionFromManure(AC139,$G$155,$E$166,$E$172,$G$158)</f>
        <v>2.7707428418975179E-3</v>
      </c>
      <c r="AE197" s="52" cm="1">
        <f t="array" ref="AE197">MMS_PastureBeef_Methane_Equations.VEERG_4_2_1_1__2_MethaneProductionFromManure(AD139,$G$155,$E$166,$E$172,$G$158)</f>
        <v>2.7707428418975179E-3</v>
      </c>
      <c r="AF197" s="52" cm="1">
        <f t="array" ref="AF197">MMS_PastureBeef_Methane_Equations.VEERG_4_2_1_1__2_MethaneProductionFromManure(AE139,$G$155,$E$166,$E$172,$G$158)</f>
        <v>2.7707428418975179E-3</v>
      </c>
      <c r="AG197" s="2" t="str">
        <f t="shared" si="8"/>
        <v>kg CH4/head/day</v>
      </c>
      <c r="AH197" s="2"/>
    </row>
    <row r="198" spans="3:35" ht="20.100000000000001" customHeight="1" x14ac:dyDescent="0.25">
      <c r="U198" s="52" t="str">
        <f>'Input - Pasture Beef'!$D$173</f>
        <v>Anaerobic lagoon</v>
      </c>
      <c r="V198" s="52" t="str">
        <f t="shared" si="9"/>
        <v>October 2024</v>
      </c>
      <c r="W198" s="52" cm="1">
        <f t="array" ref="W198">MMS_PastureBeef_Methane_Equations.VEERG_4_2_1_1__2_MethaneProductionFromManure(V140,$G$155,$E$166,$E$172,$G$158)</f>
        <v>2.4812833436492908E-3</v>
      </c>
      <c r="X198" s="52" cm="1">
        <f t="array" ref="X198">MMS_PastureBeef_Methane_Equations.VEERG_4_2_1_1__2_MethaneProductionFromManure(W140,$G$155,$E$166,$E$172,$G$158)</f>
        <v>3.5044828695429209E-3</v>
      </c>
      <c r="Y198" s="52" cm="1">
        <f t="array" ref="Y198">MMS_PastureBeef_Methane_Equations.VEERG_4_2_1_1__2_MethaneProductionFromManure(X140,$G$155,$E$166,$E$172,$G$158)</f>
        <v>1.8912334889579457E-3</v>
      </c>
      <c r="Z198" s="52" cm="1">
        <f t="array" ref="Z198">MMS_PastureBeef_Methane_Equations.VEERG_4_2_1_1__2_MethaneProductionFromManure(Y140,$G$155,$E$166,$E$172,$G$158)</f>
        <v>3.0403360007820158E-3</v>
      </c>
      <c r="AA198" s="52" cm="1">
        <f t="array" ref="AA198">MMS_PastureBeef_Methane_Equations.VEERG_4_2_1_1__2_MethaneProductionFromManure(Z140,$G$155,$E$166,$E$172,$G$158)</f>
        <v>3.3761640881115212E-3</v>
      </c>
      <c r="AB198" s="52" cm="1">
        <f t="array" ref="AB198">MMS_PastureBeef_Methane_Equations.VEERG_4_2_1_1__2_MethaneProductionFromManure(AA140,$G$155,$E$166,$E$172,$G$158)</f>
        <v>3.3761640881115212E-3</v>
      </c>
      <c r="AC198" s="52" cm="1">
        <f t="array" ref="AC198">MMS_PastureBeef_Methane_Equations.VEERG_4_2_1_1__2_MethaneProductionFromManure(AB140,$G$155,$E$166,$E$172,$G$158)</f>
        <v>2.1803414772367767E-3</v>
      </c>
      <c r="AD198" s="52" cm="1">
        <f t="array" ref="AD198">MMS_PastureBeef_Methane_Equations.VEERG_4_2_1_1__2_MethaneProductionFromManure(AC140,$G$155,$E$166,$E$172,$G$158)</f>
        <v>2.7707428418975179E-3</v>
      </c>
      <c r="AE198" s="52" cm="1">
        <f t="array" ref="AE198">MMS_PastureBeef_Methane_Equations.VEERG_4_2_1_1__2_MethaneProductionFromManure(AD140,$G$155,$E$166,$E$172,$G$158)</f>
        <v>2.7707428418975179E-3</v>
      </c>
      <c r="AF198" s="52" cm="1">
        <f t="array" ref="AF198">MMS_PastureBeef_Methane_Equations.VEERG_4_2_1_1__2_MethaneProductionFromManure(AE140,$G$155,$E$166,$E$172,$G$158)</f>
        <v>2.7707428418975179E-3</v>
      </c>
      <c r="AG198" s="2" t="str">
        <f t="shared" si="8"/>
        <v>kg CH4/head/day</v>
      </c>
      <c r="AH198" s="2"/>
    </row>
    <row r="199" spans="3:35" ht="20.100000000000001" customHeight="1" x14ac:dyDescent="0.25">
      <c r="U199" s="52" t="str">
        <f>'Input - Pasture Beef'!$D$173</f>
        <v>Anaerobic lagoon</v>
      </c>
      <c r="V199" s="52" t="str">
        <f t="shared" si="9"/>
        <v>November 2024</v>
      </c>
      <c r="W199" s="52" cm="1">
        <f t="array" ref="W199">MMS_PastureBeef_Methane_Equations.VEERG_4_2_1_1__2_MethaneProductionFromManure(V141,$G$155,$E$166,$E$172,$G$158)</f>
        <v>2.4812833436492908E-3</v>
      </c>
      <c r="X199" s="52" cm="1">
        <f t="array" ref="X199">MMS_PastureBeef_Methane_Equations.VEERG_4_2_1_1__2_MethaneProductionFromManure(W141,$G$155,$E$166,$E$172,$G$158)</f>
        <v>3.5044828695429209E-3</v>
      </c>
      <c r="Y199" s="52" cm="1">
        <f t="array" ref="Y199">MMS_PastureBeef_Methane_Equations.VEERG_4_2_1_1__2_MethaneProductionFromManure(X141,$G$155,$E$166,$E$172,$G$158)</f>
        <v>1.8912334889579457E-3</v>
      </c>
      <c r="Z199" s="52" cm="1">
        <f t="array" ref="Z199">MMS_PastureBeef_Methane_Equations.VEERG_4_2_1_1__2_MethaneProductionFromManure(Y141,$G$155,$E$166,$E$172,$G$158)</f>
        <v>2.6680499598699331E-3</v>
      </c>
      <c r="AA199" s="52" cm="1">
        <f t="array" ref="AA199">MMS_PastureBeef_Methane_Equations.VEERG_4_2_1_1__2_MethaneProductionFromManure(Z141,$G$155,$E$166,$E$172,$G$158)</f>
        <v>2.9627562405876609E-3</v>
      </c>
      <c r="AB199" s="52" cm="1">
        <f t="array" ref="AB199">MMS_PastureBeef_Methane_Equations.VEERG_4_2_1_1__2_MethaneProductionFromManure(AA141,$G$155,$E$166,$E$172,$G$158)</f>
        <v>2.9627562405876609E-3</v>
      </c>
      <c r="AC199" s="52" cm="1">
        <f t="array" ref="AC199">MMS_PastureBeef_Methane_Equations.VEERG_4_2_1_1__2_MethaneProductionFromManure(AB141,$G$155,$E$166,$E$172,$G$158)</f>
        <v>2.1803414772367767E-3</v>
      </c>
      <c r="AD199" s="52" cm="1">
        <f t="array" ref="AD199">MMS_PastureBeef_Methane_Equations.VEERG_4_2_1_1__2_MethaneProductionFromManure(AC141,$G$155,$E$166,$E$172,$G$158)</f>
        <v>2.7707428418975179E-3</v>
      </c>
      <c r="AE199" s="52" cm="1">
        <f t="array" ref="AE199">MMS_PastureBeef_Methane_Equations.VEERG_4_2_1_1__2_MethaneProductionFromManure(AD141,$G$155,$E$166,$E$172,$G$158)</f>
        <v>2.7707428418975179E-3</v>
      </c>
      <c r="AF199" s="52" cm="1">
        <f t="array" ref="AF199">MMS_PastureBeef_Methane_Equations.VEERG_4_2_1_1__2_MethaneProductionFromManure(AE141,$G$155,$E$166,$E$172,$G$158)</f>
        <v>2.7707428418975179E-3</v>
      </c>
      <c r="AG199" s="2" t="str">
        <f t="shared" si="8"/>
        <v>kg CH4/head/day</v>
      </c>
      <c r="AH199" s="2"/>
    </row>
    <row r="200" spans="3:35" ht="20.100000000000001" customHeight="1" x14ac:dyDescent="0.25">
      <c r="U200" s="52" t="str">
        <f>'Input - Pasture Beef'!$D$173</f>
        <v>Anaerobic lagoon</v>
      </c>
      <c r="V200" s="52" t="str">
        <f t="shared" si="9"/>
        <v>December 2024</v>
      </c>
      <c r="W200" s="52" cm="1">
        <f t="array" ref="W200">MMS_PastureBeef_Methane_Equations.VEERG_4_2_1_1__2_MethaneProductionFromManure(V142,$G$155,$E$166,$E$172,$G$158)</f>
        <v>2.3129761588141953E-3</v>
      </c>
      <c r="X200" s="52" cm="1">
        <f t="array" ref="X200">MMS_PastureBeef_Methane_Equations.VEERG_4_2_1_1__2_MethaneProductionFromManure(W142,$G$155,$E$166,$E$172,$G$158)</f>
        <v>3.0602961300360589E-3</v>
      </c>
      <c r="Y200" s="52" cm="1">
        <f t="array" ref="Y200">MMS_PastureBeef_Methane_Equations.VEERG_4_2_1_1__2_MethaneProductionFromManure(X142,$G$155,$E$166,$E$172,$G$158)</f>
        <v>1.9451607170601457E-3</v>
      </c>
      <c r="Z200" s="52" cm="1">
        <f t="array" ref="Z200">MMS_PastureBeef_Methane_Equations.VEERG_4_2_1_1__2_MethaneProductionFromManure(Y142,$G$155,$E$166,$E$172,$G$158)</f>
        <v>2.7382291851756543E-3</v>
      </c>
      <c r="AA200" s="52" cm="1">
        <f t="array" ref="AA200">MMS_PastureBeef_Methane_Equations.VEERG_4_2_1_1__2_MethaneProductionFromManure(Z142,$G$155,$E$166,$E$172,$G$158)</f>
        <v>2.7111819387549904E-3</v>
      </c>
      <c r="AB200" s="52" cm="1">
        <f t="array" ref="AB200">MMS_PastureBeef_Methane_Equations.VEERG_4_2_1_1__2_MethaneProductionFromManure(AA142,$G$155,$E$166,$E$172,$G$158)</f>
        <v>2.7111819387549904E-3</v>
      </c>
      <c r="AC200" s="52" cm="1">
        <f t="array" ref="AC200">MMS_PastureBeef_Methane_Equations.VEERG_4_2_1_1__2_MethaneProductionFromManure(AB142,$G$155,$E$166,$E$172,$G$158)</f>
        <v>2.1319949983930825E-3</v>
      </c>
      <c r="AD200" s="52" cm="1">
        <f t="array" ref="AD200">MMS_PastureBeef_Methane_Equations.VEERG_4_2_1_1__2_MethaneProductionFromManure(AC142,$G$155,$E$166,$E$172,$G$158)</f>
        <v>2.3764788151900769E-3</v>
      </c>
      <c r="AE200" s="52" cm="1">
        <f t="array" ref="AE200">MMS_PastureBeef_Methane_Equations.VEERG_4_2_1_1__2_MethaneProductionFromManure(AD142,$G$155,$E$166,$E$172,$G$158)</f>
        <v>2.3764788151900769E-3</v>
      </c>
      <c r="AF200" s="52" cm="1">
        <f t="array" ref="AF200">MMS_PastureBeef_Methane_Equations.VEERG_4_2_1_1__2_MethaneProductionFromManure(AE142,$G$155,$E$166,$E$172,$G$158)</f>
        <v>2.3764788151900769E-3</v>
      </c>
      <c r="AG200" s="2" t="str">
        <f t="shared" si="8"/>
        <v>kg CH4/head/day</v>
      </c>
      <c r="AH200" s="2"/>
    </row>
    <row r="201" spans="3:35" ht="20.100000000000001" customHeight="1" x14ac:dyDescent="0.25"/>
    <row r="202" spans="3:35" ht="20.100000000000001" customHeight="1" x14ac:dyDescent="0.25"/>
    <row r="203" spans="3:35" ht="20.100000000000001" customHeight="1" x14ac:dyDescent="0.25">
      <c r="C203" s="45"/>
      <c r="D203" s="45"/>
      <c r="E203" s="45"/>
      <c r="F203" s="45"/>
      <c r="G203" s="45"/>
      <c r="H203" s="45"/>
      <c r="I203" s="45"/>
      <c r="J203" s="45"/>
      <c r="K203" s="45"/>
      <c r="L203" s="45"/>
      <c r="M203" s="45"/>
      <c r="N203" s="45"/>
      <c r="O203" s="45"/>
      <c r="P203" s="45"/>
      <c r="Q203" s="45"/>
      <c r="R203" s="45"/>
      <c r="T203" s="45"/>
      <c r="U203" s="45"/>
      <c r="V203" s="45"/>
      <c r="W203" s="45"/>
      <c r="X203" s="45"/>
      <c r="Y203" s="45"/>
      <c r="Z203" s="45"/>
      <c r="AA203" s="45"/>
      <c r="AB203" s="45"/>
      <c r="AC203" s="45"/>
      <c r="AD203" s="45"/>
      <c r="AE203" s="45"/>
      <c r="AF203" s="45"/>
      <c r="AG203" s="45"/>
      <c r="AH203" s="45"/>
      <c r="AI203" s="45"/>
    </row>
    <row r="204" spans="3:35"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5" ht="20.100000000000001" customHeight="1" x14ac:dyDescent="0.25">
      <c r="D205" s="5" t="str" cm="1">
        <f t="array" ref="D205">MMS_PastureBeef_Methane_Equations.VEERG_4_2_1_1__1_TotalAnnualMethaneProductionFromManureManagement_Source()</f>
        <v>VEERG 2026: 4.2.1.1, Equation (1)</v>
      </c>
    </row>
    <row r="206" spans="3:35" ht="20.100000000000001" customHeight="1" x14ac:dyDescent="0.25">
      <c r="D206" s="13" t="s">
        <v>27</v>
      </c>
      <c r="E206" s="13" t="str" cm="1">
        <f t="array" aca="1" ref="E206" ca="1">Common_InputFunctions.Utility_DisplayFunctionName($F$235)</f>
        <v>=MMS_PastureBeef_Methane_Equations.VEERG_4_2_1_1__1_TotalAnnualMethaneProductionFromManureManagement</v>
      </c>
    </row>
    <row r="207" spans="3:35" ht="20.100000000000001" customHeight="1" x14ac:dyDescent="0.25"/>
    <row r="208" spans="3:35" ht="20.100000000000001" customHeight="1" x14ac:dyDescent="0.25"/>
    <row r="209" spans="4:32" ht="20.100000000000001" customHeight="1" x14ac:dyDescent="0.25">
      <c r="D209" s="53" t="s">
        <v>30</v>
      </c>
      <c r="E209" s="1" t="str" cm="1">
        <f t="array" ref="E209">MMS_PastureBeef_Methane_Equations.VEERG_4_2_1_1__1_TotalAnnualMethaneProductionFromManureManagement_Variable()</f>
        <v>E_CH4</v>
      </c>
    </row>
    <row r="210" spans="4:32" ht="20.100000000000001" customHeight="1" x14ac:dyDescent="0.25">
      <c r="D210" s="53" t="s">
        <v>20</v>
      </c>
      <c r="E210" s="54" t="str" cm="1">
        <f t="array" ref="E210">MMS_PastureBeef_Methane_Equations.VEERG_4_2_1_1__1_TotalAnnualMethaneProductionFromManureManagement_Unit()</f>
        <v>t CH4</v>
      </c>
    </row>
    <row r="211" spans="4:32" ht="20.100000000000001" customHeight="1" x14ac:dyDescent="0.25"/>
    <row r="212" spans="4:32" ht="20.100000000000001" customHeight="1" x14ac:dyDescent="0.25">
      <c r="D212" s="57" t="str" cm="1">
        <f t="array" ref="D212:E214">MMS_PastureBeef_Methane_Equations.VEERG_4_2_1_1__1_TotalAnnualMethaneProductionFromManureManagement_Arguments()</f>
        <v>N_jkl</v>
      </c>
      <c r="E212" s="58" t="str">
        <v>number of beef cattle in each time-period, class and subclass (head)</v>
      </c>
      <c r="F212" s="100"/>
      <c r="G212" s="59"/>
      <c r="H212" s="57" t="str">
        <f>"See " &amp; D216</f>
        <v>See M1_Table_N_j_k_l</v>
      </c>
    </row>
    <row r="213" spans="4:32" ht="20.100000000000001" customHeight="1" x14ac:dyDescent="0.25">
      <c r="D213" s="57" t="str">
        <v>M_jklm</v>
      </c>
      <c r="E213" s="58" t="str">
        <v>methane production from manure in each time-period, class, subclass and MMS (kg/head/day)</v>
      </c>
      <c r="F213" s="100"/>
      <c r="G213" s="59"/>
      <c r="H213" s="57" t="str">
        <f>"See " &amp; D174</f>
        <v>See M1_Table_M_j_k_l_m</v>
      </c>
    </row>
    <row r="214" spans="4:32" ht="20.100000000000001" customHeight="1" x14ac:dyDescent="0.25">
      <c r="D214" s="57" t="str">
        <v>D_j</v>
      </c>
      <c r="E214" s="58" t="str">
        <v>number of days in each time-period for each input class (days)</v>
      </c>
      <c r="F214" s="100"/>
      <c r="G214" s="59"/>
      <c r="H214" s="57" t="str">
        <f>"See " &amp; D224</f>
        <v>See M1_Table_D_j</v>
      </c>
    </row>
    <row r="215" spans="4:32" ht="20.100000000000001" customHeight="1" x14ac:dyDescent="0.25"/>
    <row r="216" spans="4:32" ht="20.100000000000001" customHeight="1" x14ac:dyDescent="0.25">
      <c r="D216" s="99" t="s">
        <v>278</v>
      </c>
      <c r="U216" s="99" t="s">
        <v>283</v>
      </c>
    </row>
    <row r="217" spans="4:32" ht="20.100000000000001" customHeight="1" x14ac:dyDescent="0.25">
      <c r="D217" s="98" t="s">
        <v>279</v>
      </c>
      <c r="U217" s="98" t="s">
        <v>284</v>
      </c>
    </row>
    <row r="218" spans="4:32" ht="20.100000000000001" customHeight="1" x14ac:dyDescent="0.25">
      <c r="D218" s="51" t="s">
        <v>184</v>
      </c>
      <c r="E218" s="51" t="s">
        <v>131</v>
      </c>
      <c r="F218" s="51" t="s">
        <v>130</v>
      </c>
      <c r="G218" s="51" t="s">
        <v>165</v>
      </c>
      <c r="H218" s="51" t="s">
        <v>166</v>
      </c>
      <c r="I218" s="51" t="s">
        <v>167</v>
      </c>
      <c r="J218" s="51" t="s">
        <v>168</v>
      </c>
      <c r="K218" s="51" t="s">
        <v>169</v>
      </c>
      <c r="L218" s="51" t="s">
        <v>170</v>
      </c>
      <c r="M218" s="51" t="s">
        <v>171</v>
      </c>
      <c r="N218" s="51" t="s">
        <v>172</v>
      </c>
      <c r="U218" s="51" t="s">
        <v>132</v>
      </c>
      <c r="V218" s="51" t="s">
        <v>131</v>
      </c>
      <c r="W218" s="51" t="s">
        <v>130</v>
      </c>
      <c r="X218" s="51" t="s">
        <v>165</v>
      </c>
      <c r="Y218" s="51" t="s">
        <v>166</v>
      </c>
      <c r="Z218" s="51" t="s">
        <v>167</v>
      </c>
      <c r="AA218" s="51" t="s">
        <v>168</v>
      </c>
      <c r="AB218" s="51" t="s">
        <v>169</v>
      </c>
      <c r="AC218" s="51" t="s">
        <v>170</v>
      </c>
      <c r="AD218" s="51" t="s">
        <v>171</v>
      </c>
      <c r="AE218" s="51" t="s">
        <v>172</v>
      </c>
      <c r="AF218" s="2"/>
    </row>
    <row r="219" spans="4:32" ht="20.100000000000001" customHeight="1" x14ac:dyDescent="0.25">
      <c r="D219" s="52" t="s">
        <v>173</v>
      </c>
      <c r="E219" s="52">
        <f>'Input - Pasture Beef'!E38</f>
        <v>100</v>
      </c>
      <c r="F219" s="52">
        <f>'Input - Pasture Beef'!F38</f>
        <v>100</v>
      </c>
      <c r="G219" s="52">
        <f>'Input - Pasture Beef'!G38</f>
        <v>100</v>
      </c>
      <c r="H219" s="52">
        <f>'Input - Pasture Beef'!H38</f>
        <v>100</v>
      </c>
      <c r="I219" s="52">
        <f>'Input - Pasture Beef'!I38</f>
        <v>100</v>
      </c>
      <c r="J219" s="52">
        <f>'Input - Pasture Beef'!J38</f>
        <v>100</v>
      </c>
      <c r="K219" s="52">
        <f>'Input - Pasture Beef'!K38</f>
        <v>100</v>
      </c>
      <c r="L219" s="52">
        <f>'Input - Pasture Beef'!L38</f>
        <v>100</v>
      </c>
      <c r="M219" s="52">
        <f>'Input - Pasture Beef'!M38</f>
        <v>100</v>
      </c>
      <c r="N219" s="52">
        <f>'Input - Pasture Beef'!N38</f>
        <v>100</v>
      </c>
      <c r="O219" s="2" t="s">
        <v>102</v>
      </c>
      <c r="U219" s="52" t="str">
        <f>TEXT('Input - Site'!$E$12, "mmmm yyyy")</f>
        <v>January 2024</v>
      </c>
      <c r="V219" s="52">
        <f>'Input - Pasture Beef'!E44</f>
        <v>100</v>
      </c>
      <c r="W219" s="52">
        <f>'Input - Pasture Beef'!F44</f>
        <v>100</v>
      </c>
      <c r="X219" s="52">
        <f>'Input - Pasture Beef'!G44</f>
        <v>100</v>
      </c>
      <c r="Y219" s="52">
        <f>'Input - Pasture Beef'!H44</f>
        <v>100</v>
      </c>
      <c r="Z219" s="52">
        <f>'Input - Pasture Beef'!I44</f>
        <v>100</v>
      </c>
      <c r="AA219" s="52">
        <f>'Input - Pasture Beef'!J44</f>
        <v>100</v>
      </c>
      <c r="AB219" s="52">
        <f>'Input - Pasture Beef'!K44</f>
        <v>100</v>
      </c>
      <c r="AC219" s="52">
        <f>'Input - Pasture Beef'!L44</f>
        <v>100</v>
      </c>
      <c r="AD219" s="52">
        <f>'Input - Pasture Beef'!M44</f>
        <v>100</v>
      </c>
      <c r="AE219" s="52">
        <f>'Input - Pasture Beef'!N44</f>
        <v>100</v>
      </c>
      <c r="AF219" s="2" t="s">
        <v>103</v>
      </c>
    </row>
    <row r="220" spans="4:32" ht="20.100000000000001" customHeight="1" x14ac:dyDescent="0.25">
      <c r="D220" s="52" t="s">
        <v>174</v>
      </c>
      <c r="E220" s="52">
        <f>'Input - Pasture Beef'!E39</f>
        <v>100</v>
      </c>
      <c r="F220" s="52">
        <f>'Input - Pasture Beef'!F39</f>
        <v>100</v>
      </c>
      <c r="G220" s="52">
        <f>'Input - Pasture Beef'!G39</f>
        <v>100</v>
      </c>
      <c r="H220" s="52">
        <f>'Input - Pasture Beef'!H39</f>
        <v>100</v>
      </c>
      <c r="I220" s="52">
        <f>'Input - Pasture Beef'!I39</f>
        <v>100</v>
      </c>
      <c r="J220" s="52">
        <f>'Input - Pasture Beef'!J39</f>
        <v>100</v>
      </c>
      <c r="K220" s="52">
        <f>'Input - Pasture Beef'!K39</f>
        <v>100</v>
      </c>
      <c r="L220" s="52">
        <f>'Input - Pasture Beef'!L39</f>
        <v>100</v>
      </c>
      <c r="M220" s="52">
        <f>'Input - Pasture Beef'!M39</f>
        <v>100</v>
      </c>
      <c r="N220" s="52">
        <f>'Input - Pasture Beef'!N39</f>
        <v>100</v>
      </c>
      <c r="O220" s="2" t="s">
        <v>102</v>
      </c>
      <c r="U220" s="52" t="str">
        <f>TEXT(EDATE('Input - Site'!$E$12,1), "mmmm yyyy")</f>
        <v>February 2024</v>
      </c>
      <c r="V220" s="52">
        <f>'Input - Pasture Beef'!E45</f>
        <v>100</v>
      </c>
      <c r="W220" s="52">
        <f>'Input - Pasture Beef'!F45</f>
        <v>100</v>
      </c>
      <c r="X220" s="52">
        <f>'Input - Pasture Beef'!G45</f>
        <v>100</v>
      </c>
      <c r="Y220" s="52">
        <f>'Input - Pasture Beef'!H45</f>
        <v>100</v>
      </c>
      <c r="Z220" s="52">
        <f>'Input - Pasture Beef'!I45</f>
        <v>100</v>
      </c>
      <c r="AA220" s="52">
        <f>'Input - Pasture Beef'!J45</f>
        <v>100</v>
      </c>
      <c r="AB220" s="52">
        <f>'Input - Pasture Beef'!K45</f>
        <v>100</v>
      </c>
      <c r="AC220" s="52">
        <f>'Input - Pasture Beef'!L45</f>
        <v>100</v>
      </c>
      <c r="AD220" s="52">
        <f>'Input - Pasture Beef'!M45</f>
        <v>100</v>
      </c>
      <c r="AE220" s="52">
        <f>'Input - Pasture Beef'!N45</f>
        <v>100</v>
      </c>
      <c r="AF220" s="2" t="s">
        <v>103</v>
      </c>
    </row>
    <row r="221" spans="4:32" ht="20.100000000000001" customHeight="1" x14ac:dyDescent="0.25">
      <c r="D221" s="52" t="s">
        <v>175</v>
      </c>
      <c r="E221" s="52">
        <f>'Input - Pasture Beef'!E40</f>
        <v>100</v>
      </c>
      <c r="F221" s="52">
        <f>'Input - Pasture Beef'!F40</f>
        <v>100</v>
      </c>
      <c r="G221" s="52">
        <f>'Input - Pasture Beef'!G40</f>
        <v>100</v>
      </c>
      <c r="H221" s="52">
        <f>'Input - Pasture Beef'!H40</f>
        <v>100</v>
      </c>
      <c r="I221" s="52">
        <f>'Input - Pasture Beef'!I40</f>
        <v>100</v>
      </c>
      <c r="J221" s="52">
        <f>'Input - Pasture Beef'!J40</f>
        <v>100</v>
      </c>
      <c r="K221" s="52">
        <f>'Input - Pasture Beef'!K40</f>
        <v>100</v>
      </c>
      <c r="L221" s="52">
        <f>'Input - Pasture Beef'!L40</f>
        <v>100</v>
      </c>
      <c r="M221" s="52">
        <f>'Input - Pasture Beef'!M40</f>
        <v>100</v>
      </c>
      <c r="N221" s="52">
        <f>'Input - Pasture Beef'!N40</f>
        <v>100</v>
      </c>
      <c r="O221" s="2" t="s">
        <v>102</v>
      </c>
      <c r="U221" s="52" t="str">
        <f>TEXT(EDATE('Input - Site'!$E$12,2), "mmmm yyyy")</f>
        <v>March 2024</v>
      </c>
      <c r="V221" s="52">
        <f>'Input - Pasture Beef'!E46</f>
        <v>100</v>
      </c>
      <c r="W221" s="52">
        <f>'Input - Pasture Beef'!F46</f>
        <v>100</v>
      </c>
      <c r="X221" s="52">
        <f>'Input - Pasture Beef'!G46</f>
        <v>100</v>
      </c>
      <c r="Y221" s="52">
        <f>'Input - Pasture Beef'!H46</f>
        <v>100</v>
      </c>
      <c r="Z221" s="52">
        <f>'Input - Pasture Beef'!I46</f>
        <v>100</v>
      </c>
      <c r="AA221" s="52">
        <f>'Input - Pasture Beef'!J46</f>
        <v>100</v>
      </c>
      <c r="AB221" s="52">
        <f>'Input - Pasture Beef'!K46</f>
        <v>100</v>
      </c>
      <c r="AC221" s="52">
        <f>'Input - Pasture Beef'!L46</f>
        <v>100</v>
      </c>
      <c r="AD221" s="52">
        <f>'Input - Pasture Beef'!M46</f>
        <v>100</v>
      </c>
      <c r="AE221" s="52">
        <f>'Input - Pasture Beef'!N46</f>
        <v>100</v>
      </c>
      <c r="AF221" s="2" t="s">
        <v>103</v>
      </c>
    </row>
    <row r="222" spans="4:32" ht="20.100000000000001" customHeight="1" x14ac:dyDescent="0.25">
      <c r="D222" s="52" t="s">
        <v>176</v>
      </c>
      <c r="E222" s="52">
        <f>'Input - Pasture Beef'!E41</f>
        <v>100</v>
      </c>
      <c r="F222" s="52">
        <f>'Input - Pasture Beef'!F41</f>
        <v>100</v>
      </c>
      <c r="G222" s="52">
        <f>'Input - Pasture Beef'!G41</f>
        <v>100</v>
      </c>
      <c r="H222" s="52">
        <f>'Input - Pasture Beef'!H41</f>
        <v>100</v>
      </c>
      <c r="I222" s="52">
        <f>'Input - Pasture Beef'!I41</f>
        <v>100</v>
      </c>
      <c r="J222" s="52">
        <f>'Input - Pasture Beef'!J41</f>
        <v>100</v>
      </c>
      <c r="K222" s="52">
        <f>'Input - Pasture Beef'!K41</f>
        <v>100</v>
      </c>
      <c r="L222" s="52">
        <f>'Input - Pasture Beef'!L41</f>
        <v>100</v>
      </c>
      <c r="M222" s="52">
        <f>'Input - Pasture Beef'!M41</f>
        <v>100</v>
      </c>
      <c r="N222" s="52">
        <f>'Input - Pasture Beef'!N41</f>
        <v>100</v>
      </c>
      <c r="O222" s="2" t="s">
        <v>102</v>
      </c>
      <c r="U222" s="52" t="str">
        <f>TEXT(EDATE('Input - Site'!$E$12,3), "mmmm yyyy")</f>
        <v>April 2024</v>
      </c>
      <c r="V222" s="52">
        <f>'Input - Pasture Beef'!E47</f>
        <v>100</v>
      </c>
      <c r="W222" s="52">
        <f>'Input - Pasture Beef'!F47</f>
        <v>100</v>
      </c>
      <c r="X222" s="52">
        <f>'Input - Pasture Beef'!G47</f>
        <v>100</v>
      </c>
      <c r="Y222" s="52">
        <f>'Input - Pasture Beef'!H47</f>
        <v>100</v>
      </c>
      <c r="Z222" s="52">
        <f>'Input - Pasture Beef'!I47</f>
        <v>100</v>
      </c>
      <c r="AA222" s="52">
        <f>'Input - Pasture Beef'!J47</f>
        <v>100</v>
      </c>
      <c r="AB222" s="52">
        <f>'Input - Pasture Beef'!K47</f>
        <v>100</v>
      </c>
      <c r="AC222" s="52">
        <f>'Input - Pasture Beef'!L47</f>
        <v>100</v>
      </c>
      <c r="AD222" s="52">
        <f>'Input - Pasture Beef'!M47</f>
        <v>100</v>
      </c>
      <c r="AE222" s="52">
        <f>'Input - Pasture Beef'!N47</f>
        <v>100</v>
      </c>
      <c r="AF222" s="2" t="s">
        <v>103</v>
      </c>
    </row>
    <row r="223" spans="4:32" ht="20.100000000000001" customHeight="1" x14ac:dyDescent="0.25">
      <c r="U223" s="52" t="str">
        <f>TEXT(EDATE('Input - Site'!$E$12,4), "mmmm yyyy")</f>
        <v>May 2024</v>
      </c>
      <c r="V223" s="52">
        <f>'Input - Pasture Beef'!E48</f>
        <v>100</v>
      </c>
      <c r="W223" s="52">
        <f>'Input - Pasture Beef'!F48</f>
        <v>100</v>
      </c>
      <c r="X223" s="52">
        <f>'Input - Pasture Beef'!G48</f>
        <v>100</v>
      </c>
      <c r="Y223" s="52">
        <f>'Input - Pasture Beef'!H48</f>
        <v>100</v>
      </c>
      <c r="Z223" s="52">
        <f>'Input - Pasture Beef'!I48</f>
        <v>100</v>
      </c>
      <c r="AA223" s="52">
        <f>'Input - Pasture Beef'!J48</f>
        <v>100</v>
      </c>
      <c r="AB223" s="52">
        <f>'Input - Pasture Beef'!K48</f>
        <v>100</v>
      </c>
      <c r="AC223" s="52">
        <f>'Input - Pasture Beef'!L48</f>
        <v>100</v>
      </c>
      <c r="AD223" s="52">
        <f>'Input - Pasture Beef'!M48</f>
        <v>100</v>
      </c>
      <c r="AE223" s="52">
        <f>'Input - Pasture Beef'!N48</f>
        <v>100</v>
      </c>
      <c r="AF223" s="2" t="s">
        <v>103</v>
      </c>
    </row>
    <row r="224" spans="4:32" ht="20.100000000000001" customHeight="1" x14ac:dyDescent="0.25">
      <c r="D224" s="99" t="s">
        <v>146</v>
      </c>
      <c r="U224" s="52" t="str">
        <f>TEXT(EDATE('Input - Site'!$E$12,5), "mmmm yyyy")</f>
        <v>June 2024</v>
      </c>
      <c r="V224" s="52">
        <f>'Input - Pasture Beef'!E49</f>
        <v>100</v>
      </c>
      <c r="W224" s="52">
        <f>'Input - Pasture Beef'!F49</f>
        <v>100</v>
      </c>
      <c r="X224" s="52">
        <f>'Input - Pasture Beef'!G49</f>
        <v>100</v>
      </c>
      <c r="Y224" s="52">
        <f>'Input - Pasture Beef'!H49</f>
        <v>100</v>
      </c>
      <c r="Z224" s="52">
        <f>'Input - Pasture Beef'!I49</f>
        <v>100</v>
      </c>
      <c r="AA224" s="52">
        <f>'Input - Pasture Beef'!J49</f>
        <v>100</v>
      </c>
      <c r="AB224" s="52">
        <f>'Input - Pasture Beef'!K49</f>
        <v>100</v>
      </c>
      <c r="AC224" s="52">
        <f>'Input - Pasture Beef'!L49</f>
        <v>100</v>
      </c>
      <c r="AD224" s="52">
        <f>'Input - Pasture Beef'!M49</f>
        <v>100</v>
      </c>
      <c r="AE224" s="52">
        <f>'Input - Pasture Beef'!N49</f>
        <v>100</v>
      </c>
      <c r="AF224" s="2" t="s">
        <v>103</v>
      </c>
    </row>
    <row r="225" spans="4:32" ht="20.100000000000001" customHeight="1" x14ac:dyDescent="0.25">
      <c r="D225" s="98" t="s">
        <v>280</v>
      </c>
      <c r="U225" s="52" t="str">
        <f>TEXT(EDATE('Input - Site'!$E$12,6), "mmmm yyyy")</f>
        <v>July 2024</v>
      </c>
      <c r="V225" s="52">
        <f>'Input - Pasture Beef'!E50</f>
        <v>100</v>
      </c>
      <c r="W225" s="52">
        <f>'Input - Pasture Beef'!F50</f>
        <v>100</v>
      </c>
      <c r="X225" s="52">
        <f>'Input - Pasture Beef'!G50</f>
        <v>100</v>
      </c>
      <c r="Y225" s="52">
        <f>'Input - Pasture Beef'!H50</f>
        <v>100</v>
      </c>
      <c r="Z225" s="52">
        <f>'Input - Pasture Beef'!I50</f>
        <v>100</v>
      </c>
      <c r="AA225" s="52">
        <f>'Input - Pasture Beef'!J50</f>
        <v>100</v>
      </c>
      <c r="AB225" s="52">
        <f>'Input - Pasture Beef'!K50</f>
        <v>100</v>
      </c>
      <c r="AC225" s="52">
        <f>'Input - Pasture Beef'!L50</f>
        <v>100</v>
      </c>
      <c r="AD225" s="52">
        <f>'Input - Pasture Beef'!M50</f>
        <v>100</v>
      </c>
      <c r="AE225" s="52">
        <f>'Input - Pasture Beef'!N50</f>
        <v>100</v>
      </c>
      <c r="AF225" s="2" t="s">
        <v>103</v>
      </c>
    </row>
    <row r="226" spans="4:32" ht="20.100000000000001" customHeight="1" x14ac:dyDescent="0.25">
      <c r="D226" s="51" t="s">
        <v>184</v>
      </c>
      <c r="E226" s="51" t="s">
        <v>131</v>
      </c>
      <c r="F226" s="51" t="s">
        <v>130</v>
      </c>
      <c r="G226" s="51" t="s">
        <v>165</v>
      </c>
      <c r="H226" s="51" t="s">
        <v>166</v>
      </c>
      <c r="I226" s="51" t="s">
        <v>167</v>
      </c>
      <c r="J226" s="51" t="s">
        <v>168</v>
      </c>
      <c r="K226" s="51" t="s">
        <v>169</v>
      </c>
      <c r="L226" s="51" t="s">
        <v>170</v>
      </c>
      <c r="M226" s="51" t="s">
        <v>171</v>
      </c>
      <c r="N226" s="51" t="s">
        <v>172</v>
      </c>
      <c r="U226" s="52" t="str">
        <f>TEXT(EDATE('Input - Site'!$E$12,7), "mmmm yyyy")</f>
        <v>August 2024</v>
      </c>
      <c r="V226" s="52">
        <f>'Input - Pasture Beef'!E51</f>
        <v>100</v>
      </c>
      <c r="W226" s="52">
        <f>'Input - Pasture Beef'!F51</f>
        <v>100</v>
      </c>
      <c r="X226" s="52">
        <f>'Input - Pasture Beef'!G51</f>
        <v>100</v>
      </c>
      <c r="Y226" s="52">
        <f>'Input - Pasture Beef'!H51</f>
        <v>100</v>
      </c>
      <c r="Z226" s="52">
        <f>'Input - Pasture Beef'!I51</f>
        <v>100</v>
      </c>
      <c r="AA226" s="52">
        <f>'Input - Pasture Beef'!J51</f>
        <v>100</v>
      </c>
      <c r="AB226" s="52">
        <f>'Input - Pasture Beef'!K51</f>
        <v>100</v>
      </c>
      <c r="AC226" s="52">
        <f>'Input - Pasture Beef'!L51</f>
        <v>100</v>
      </c>
      <c r="AD226" s="52">
        <f>'Input - Pasture Beef'!M51</f>
        <v>100</v>
      </c>
      <c r="AE226" s="52">
        <f>'Input - Pasture Beef'!N51</f>
        <v>100</v>
      </c>
      <c r="AF226" s="2" t="s">
        <v>103</v>
      </c>
    </row>
    <row r="227" spans="4:32" ht="20.100000000000001" customHeight="1" x14ac:dyDescent="0.25">
      <c r="D227" s="52" t="s">
        <v>173</v>
      </c>
      <c r="E227" s="52">
        <f>'Input - Pasture Beef'!E16</f>
        <v>91.25</v>
      </c>
      <c r="F227" s="52">
        <f>'Input - Pasture Beef'!F16</f>
        <v>91.25</v>
      </c>
      <c r="G227" s="52">
        <f>'Input - Pasture Beef'!G16</f>
        <v>91.25</v>
      </c>
      <c r="H227" s="52">
        <f>'Input - Pasture Beef'!H16</f>
        <v>91.25</v>
      </c>
      <c r="I227" s="52">
        <f>'Input - Pasture Beef'!I16</f>
        <v>91.25</v>
      </c>
      <c r="J227" s="52">
        <f>'Input - Pasture Beef'!J16</f>
        <v>91.25</v>
      </c>
      <c r="K227" s="52">
        <f>'Input - Pasture Beef'!K16</f>
        <v>91.25</v>
      </c>
      <c r="L227" s="52">
        <f>'Input - Pasture Beef'!L16</f>
        <v>91.25</v>
      </c>
      <c r="M227" s="52">
        <f>'Input - Pasture Beef'!M16</f>
        <v>91.25</v>
      </c>
      <c r="N227" s="52">
        <f>'Input - Pasture Beef'!N16</f>
        <v>91.25</v>
      </c>
      <c r="O227" s="2" t="s">
        <v>281</v>
      </c>
      <c r="U227" s="52" t="str">
        <f>TEXT(EDATE('Input - Site'!$E$12,8), "mmmm yyyy")</f>
        <v>September 2024</v>
      </c>
      <c r="V227" s="52">
        <f>'Input - Pasture Beef'!E52</f>
        <v>100</v>
      </c>
      <c r="W227" s="52">
        <f>'Input - Pasture Beef'!F52</f>
        <v>100</v>
      </c>
      <c r="X227" s="52">
        <f>'Input - Pasture Beef'!G52</f>
        <v>100</v>
      </c>
      <c r="Y227" s="52">
        <f>'Input - Pasture Beef'!H52</f>
        <v>100</v>
      </c>
      <c r="Z227" s="52">
        <f>'Input - Pasture Beef'!I52</f>
        <v>100</v>
      </c>
      <c r="AA227" s="52">
        <f>'Input - Pasture Beef'!J52</f>
        <v>100</v>
      </c>
      <c r="AB227" s="52">
        <f>'Input - Pasture Beef'!K52</f>
        <v>100</v>
      </c>
      <c r="AC227" s="52">
        <f>'Input - Pasture Beef'!L52</f>
        <v>100</v>
      </c>
      <c r="AD227" s="52">
        <f>'Input - Pasture Beef'!M52</f>
        <v>100</v>
      </c>
      <c r="AE227" s="52">
        <f>'Input - Pasture Beef'!N52</f>
        <v>100</v>
      </c>
      <c r="AF227" s="2" t="s">
        <v>103</v>
      </c>
    </row>
    <row r="228" spans="4:32" ht="20.100000000000001" customHeight="1" x14ac:dyDescent="0.25">
      <c r="D228" s="52" t="s">
        <v>174</v>
      </c>
      <c r="E228" s="52">
        <f>'Input - Pasture Beef'!E17</f>
        <v>91.25</v>
      </c>
      <c r="F228" s="52">
        <f>'Input - Pasture Beef'!F17</f>
        <v>91.25</v>
      </c>
      <c r="G228" s="52">
        <f>'Input - Pasture Beef'!G17</f>
        <v>91.25</v>
      </c>
      <c r="H228" s="52">
        <f>'Input - Pasture Beef'!H17</f>
        <v>91.25</v>
      </c>
      <c r="I228" s="52">
        <f>'Input - Pasture Beef'!I17</f>
        <v>91.25</v>
      </c>
      <c r="J228" s="52">
        <f>'Input - Pasture Beef'!J17</f>
        <v>91.25</v>
      </c>
      <c r="K228" s="52">
        <f>'Input - Pasture Beef'!K17</f>
        <v>91.25</v>
      </c>
      <c r="L228" s="52">
        <f>'Input - Pasture Beef'!L17</f>
        <v>91.25</v>
      </c>
      <c r="M228" s="52">
        <f>'Input - Pasture Beef'!M17</f>
        <v>91.25</v>
      </c>
      <c r="N228" s="52">
        <f>'Input - Pasture Beef'!N17</f>
        <v>91.25</v>
      </c>
      <c r="O228" s="2" t="s">
        <v>281</v>
      </c>
      <c r="U228" s="52" t="str">
        <f>TEXT(EDATE('Input - Site'!$E$12,9), "mmmm yyyy")</f>
        <v>October 2024</v>
      </c>
      <c r="V228" s="52">
        <f>'Input - Pasture Beef'!E53</f>
        <v>100</v>
      </c>
      <c r="W228" s="52">
        <f>'Input - Pasture Beef'!F53</f>
        <v>100</v>
      </c>
      <c r="X228" s="52">
        <f>'Input - Pasture Beef'!G53</f>
        <v>100</v>
      </c>
      <c r="Y228" s="52">
        <f>'Input - Pasture Beef'!H53</f>
        <v>100</v>
      </c>
      <c r="Z228" s="52">
        <f>'Input - Pasture Beef'!I53</f>
        <v>100</v>
      </c>
      <c r="AA228" s="52">
        <f>'Input - Pasture Beef'!J53</f>
        <v>100</v>
      </c>
      <c r="AB228" s="52">
        <f>'Input - Pasture Beef'!K53</f>
        <v>100</v>
      </c>
      <c r="AC228" s="52">
        <f>'Input - Pasture Beef'!L53</f>
        <v>100</v>
      </c>
      <c r="AD228" s="52">
        <f>'Input - Pasture Beef'!M53</f>
        <v>100</v>
      </c>
      <c r="AE228" s="52">
        <f>'Input - Pasture Beef'!N53</f>
        <v>100</v>
      </c>
      <c r="AF228" s="2" t="s">
        <v>103</v>
      </c>
    </row>
    <row r="229" spans="4:32" ht="20.100000000000001" customHeight="1" x14ac:dyDescent="0.25">
      <c r="D229" s="52" t="s">
        <v>175</v>
      </c>
      <c r="E229" s="52">
        <f>'Input - Pasture Beef'!E18</f>
        <v>91.25</v>
      </c>
      <c r="F229" s="52">
        <f>'Input - Pasture Beef'!F18</f>
        <v>91.25</v>
      </c>
      <c r="G229" s="52">
        <f>'Input - Pasture Beef'!G18</f>
        <v>91.25</v>
      </c>
      <c r="H229" s="52">
        <f>'Input - Pasture Beef'!H18</f>
        <v>91.25</v>
      </c>
      <c r="I229" s="52">
        <f>'Input - Pasture Beef'!I18</f>
        <v>91.25</v>
      </c>
      <c r="J229" s="52">
        <f>'Input - Pasture Beef'!J18</f>
        <v>91.25</v>
      </c>
      <c r="K229" s="52">
        <f>'Input - Pasture Beef'!K18</f>
        <v>91.25</v>
      </c>
      <c r="L229" s="52">
        <f>'Input - Pasture Beef'!L18</f>
        <v>91.25</v>
      </c>
      <c r="M229" s="52">
        <f>'Input - Pasture Beef'!M18</f>
        <v>91.25</v>
      </c>
      <c r="N229" s="52">
        <f>'Input - Pasture Beef'!N18</f>
        <v>91.25</v>
      </c>
      <c r="O229" s="2" t="s">
        <v>281</v>
      </c>
      <c r="U229" s="52" t="str">
        <f>TEXT(EDATE('Input - Site'!$E$12,10), "mmmm yyyy")</f>
        <v>November 2024</v>
      </c>
      <c r="V229" s="52">
        <f>'Input - Pasture Beef'!E54</f>
        <v>100</v>
      </c>
      <c r="W229" s="52">
        <f>'Input - Pasture Beef'!F54</f>
        <v>100</v>
      </c>
      <c r="X229" s="52">
        <f>'Input - Pasture Beef'!G54</f>
        <v>100</v>
      </c>
      <c r="Y229" s="52">
        <f>'Input - Pasture Beef'!H54</f>
        <v>100</v>
      </c>
      <c r="Z229" s="52">
        <f>'Input - Pasture Beef'!I54</f>
        <v>100</v>
      </c>
      <c r="AA229" s="52">
        <f>'Input - Pasture Beef'!J54</f>
        <v>100</v>
      </c>
      <c r="AB229" s="52">
        <f>'Input - Pasture Beef'!K54</f>
        <v>100</v>
      </c>
      <c r="AC229" s="52">
        <f>'Input - Pasture Beef'!L54</f>
        <v>100</v>
      </c>
      <c r="AD229" s="52">
        <f>'Input - Pasture Beef'!M54</f>
        <v>100</v>
      </c>
      <c r="AE229" s="52">
        <f>'Input - Pasture Beef'!N54</f>
        <v>100</v>
      </c>
      <c r="AF229" s="2" t="s">
        <v>103</v>
      </c>
    </row>
    <row r="230" spans="4:32" ht="20.100000000000001" customHeight="1" x14ac:dyDescent="0.25">
      <c r="D230" s="52" t="s">
        <v>176</v>
      </c>
      <c r="E230" s="52">
        <f>'Input - Pasture Beef'!E19</f>
        <v>91.25</v>
      </c>
      <c r="F230" s="52">
        <f>'Input - Pasture Beef'!F19</f>
        <v>91.25</v>
      </c>
      <c r="G230" s="52">
        <f>'Input - Pasture Beef'!G19</f>
        <v>91.25</v>
      </c>
      <c r="H230" s="52">
        <f>'Input - Pasture Beef'!H19</f>
        <v>91.25</v>
      </c>
      <c r="I230" s="52">
        <f>'Input - Pasture Beef'!I19</f>
        <v>91.25</v>
      </c>
      <c r="J230" s="52">
        <f>'Input - Pasture Beef'!J19</f>
        <v>91.25</v>
      </c>
      <c r="K230" s="52">
        <f>'Input - Pasture Beef'!K19</f>
        <v>91.25</v>
      </c>
      <c r="L230" s="52">
        <f>'Input - Pasture Beef'!L19</f>
        <v>91.25</v>
      </c>
      <c r="M230" s="52">
        <f>'Input - Pasture Beef'!M19</f>
        <v>91.25</v>
      </c>
      <c r="N230" s="52">
        <f>'Input - Pasture Beef'!N19</f>
        <v>91.25</v>
      </c>
      <c r="O230" s="2" t="s">
        <v>281</v>
      </c>
      <c r="U230" s="52" t="str">
        <f>TEXT(EDATE('Input - Site'!$E$12,11), "mmmm yyyy")</f>
        <v>December 2024</v>
      </c>
      <c r="V230" s="52">
        <f>'Input - Pasture Beef'!E55</f>
        <v>100</v>
      </c>
      <c r="W230" s="52">
        <f>'Input - Pasture Beef'!F55</f>
        <v>100</v>
      </c>
      <c r="X230" s="52">
        <f>'Input - Pasture Beef'!G55</f>
        <v>100</v>
      </c>
      <c r="Y230" s="52">
        <f>'Input - Pasture Beef'!H55</f>
        <v>100</v>
      </c>
      <c r="Z230" s="52">
        <f>'Input - Pasture Beef'!I55</f>
        <v>100</v>
      </c>
      <c r="AA230" s="52">
        <f>'Input - Pasture Beef'!J55</f>
        <v>100</v>
      </c>
      <c r="AB230" s="52">
        <f>'Input - Pasture Beef'!K55</f>
        <v>100</v>
      </c>
      <c r="AC230" s="52">
        <f>'Input - Pasture Beef'!L55</f>
        <v>100</v>
      </c>
      <c r="AD230" s="52">
        <f>'Input - Pasture Beef'!M55</f>
        <v>100</v>
      </c>
      <c r="AE230" s="52">
        <f>'Input - Pasture Beef'!N55</f>
        <v>100</v>
      </c>
      <c r="AF230" s="2" t="s">
        <v>103</v>
      </c>
    </row>
    <row r="231" spans="4:32" ht="20.100000000000001" customHeight="1" x14ac:dyDescent="0.25"/>
    <row r="232" spans="4:32" ht="20.100000000000001" customHeight="1" x14ac:dyDescent="0.25">
      <c r="D232" s="99" t="s">
        <v>147</v>
      </c>
      <c r="U232" s="99" t="s">
        <v>149</v>
      </c>
    </row>
    <row r="233" spans="4:32" ht="20.100000000000001" customHeight="1" x14ac:dyDescent="0.25">
      <c r="D233" s="98" t="s">
        <v>282</v>
      </c>
      <c r="U233" s="98" t="s">
        <v>285</v>
      </c>
    </row>
    <row r="234" spans="4:32" ht="20.100000000000001" customHeight="1" x14ac:dyDescent="0.25">
      <c r="D234" s="51" t="s">
        <v>68</v>
      </c>
      <c r="E234" s="51" t="s">
        <v>184</v>
      </c>
      <c r="F234" s="51" t="s">
        <v>131</v>
      </c>
      <c r="G234" s="51" t="s">
        <v>130</v>
      </c>
      <c r="H234" s="51" t="s">
        <v>165</v>
      </c>
      <c r="I234" s="51" t="s">
        <v>166</v>
      </c>
      <c r="J234" s="51" t="s">
        <v>167</v>
      </c>
      <c r="K234" s="51" t="s">
        <v>168</v>
      </c>
      <c r="L234" s="51" t="s">
        <v>169</v>
      </c>
      <c r="M234" s="51" t="s">
        <v>170</v>
      </c>
      <c r="N234" s="51" t="s">
        <v>171</v>
      </c>
      <c r="O234" s="51" t="s">
        <v>172</v>
      </c>
      <c r="U234" s="51" t="s">
        <v>132</v>
      </c>
      <c r="V234" s="51" t="s">
        <v>131</v>
      </c>
      <c r="W234" s="51" t="s">
        <v>130</v>
      </c>
      <c r="X234" s="51" t="s">
        <v>165</v>
      </c>
      <c r="Y234" s="51" t="s">
        <v>166</v>
      </c>
      <c r="Z234" s="51" t="s">
        <v>167</v>
      </c>
      <c r="AA234" s="51" t="s">
        <v>168</v>
      </c>
      <c r="AB234" s="51" t="s">
        <v>169</v>
      </c>
      <c r="AC234" s="51" t="s">
        <v>170</v>
      </c>
      <c r="AD234" s="51" t="s">
        <v>171</v>
      </c>
      <c r="AE234" s="51" t="s">
        <v>172</v>
      </c>
      <c r="AF234" s="2"/>
    </row>
    <row r="235" spans="4:32" ht="20.100000000000001" customHeight="1" x14ac:dyDescent="0.25">
      <c r="D235" s="52" t="str">
        <f>'Input - Pasture Beef'!$D$172</f>
        <v>Pasture range and paddock</v>
      </c>
      <c r="E235" s="52" t="s">
        <v>173</v>
      </c>
      <c r="F235" s="52" cm="1">
        <f t="array" ref="F235">MMS_PastureBeef_Methane_Equations.VEERG_4_2_1_1__1_TotalAnnualMethaneProductionFromManureManagement(E219,F177,E227)</f>
        <v>3.6902599126922897E-2</v>
      </c>
      <c r="G235" s="52" cm="1">
        <f t="array" ref="G235">MMS_PastureBeef_Methane_Equations.VEERG_4_2_1_1__1_TotalAnnualMethaneProductionFromManureManagement(F219,G177,F227)</f>
        <v>5.2120015560862855E-2</v>
      </c>
      <c r="H235" s="52" cm="1">
        <f t="array" ref="H235">MMS_PastureBeef_Methane_Equations.VEERG_4_2_1_1__1_TotalAnnualMethaneProductionFromManureManagement(G219,H177,G227)</f>
        <v>2.8127151007181096E-2</v>
      </c>
      <c r="I235" s="52" cm="1">
        <f t="array" ref="I235">MMS_PastureBeef_Methane_Equations.VEERG_4_2_1_1__1_TotalAnnualMethaneProductionFromManureManagement(H219,I177,H227)</f>
        <v>4.0233942096145406E-2</v>
      </c>
      <c r="J235" s="52" cm="1">
        <f t="array" ref="J235">MMS_PastureBeef_Methane_Equations.VEERG_4_2_1_1__1_TotalAnnualMethaneProductionFromManureManagement(I219,J177,I227)</f>
        <v>4.303852229734445E-2</v>
      </c>
      <c r="K235" s="52" cm="1">
        <f t="array" ref="K235">MMS_PastureBeef_Methane_Equations.VEERG_4_2_1_1__1_TotalAnnualMethaneProductionFromManureManagement(J219,K177,J227)</f>
        <v>4.303852229734445E-2</v>
      </c>
      <c r="L235" s="52" cm="1">
        <f t="array" ref="L235">MMS_PastureBeef_Methane_Equations.VEERG_4_2_1_1__1_TotalAnnualMethaneProductionFromManureManagement(K219,L177,K227)</f>
        <v>3.2426876076126224E-2</v>
      </c>
      <c r="M235" s="52" cm="1">
        <f t="array" ref="M235">MMS_PastureBeef_Methane_Equations.VEERG_4_2_1_1__1_TotalAnnualMethaneProductionFromManureManagement(L219,M177,L227)</f>
        <v>4.1207551987173248E-2</v>
      </c>
      <c r="N235" s="52" cm="1">
        <f t="array" ref="N235">MMS_PastureBeef_Methane_Equations.VEERG_4_2_1_1__1_TotalAnnualMethaneProductionFromManureManagement(M219,N177,M227)</f>
        <v>4.1207551987173248E-2</v>
      </c>
      <c r="O235" s="52" cm="1">
        <f t="array" ref="O235">MMS_PastureBeef_Methane_Equations.VEERG_4_2_1_1__1_TotalAnnualMethaneProductionFromManureManagement(N219,O177,N227)</f>
        <v>4.1207551987173248E-2</v>
      </c>
      <c r="P235" s="2" t="str">
        <f>$E$210</f>
        <v>t CH4</v>
      </c>
      <c r="Q235" s="2"/>
      <c r="U235" s="52" t="str">
        <f>TEXT('Input - Site'!$E$12, "mmmm yyyy")</f>
        <v>January 2024</v>
      </c>
      <c r="V235" s="52">
        <f>'Input - Pasture Beef'!E22</f>
        <v>31</v>
      </c>
      <c r="W235" s="52">
        <f>'Input - Pasture Beef'!F22</f>
        <v>31</v>
      </c>
      <c r="X235" s="52">
        <f>'Input - Pasture Beef'!G22</f>
        <v>31</v>
      </c>
      <c r="Y235" s="52">
        <f>'Input - Pasture Beef'!H22</f>
        <v>31</v>
      </c>
      <c r="Z235" s="52">
        <f>'Input - Pasture Beef'!I22</f>
        <v>31</v>
      </c>
      <c r="AA235" s="52">
        <f>'Input - Pasture Beef'!J22</f>
        <v>31</v>
      </c>
      <c r="AB235" s="52">
        <f>'Input - Pasture Beef'!K22</f>
        <v>31</v>
      </c>
      <c r="AC235" s="52">
        <f>'Input - Pasture Beef'!L22</f>
        <v>31</v>
      </c>
      <c r="AD235" s="52">
        <f>'Input - Pasture Beef'!M22</f>
        <v>31</v>
      </c>
      <c r="AE235" s="52">
        <f>'Input - Pasture Beef'!N22</f>
        <v>31</v>
      </c>
      <c r="AF235" s="2" t="s">
        <v>281</v>
      </c>
    </row>
    <row r="236" spans="4:32" ht="20.100000000000001" customHeight="1" x14ac:dyDescent="0.25">
      <c r="D236" s="52" t="str">
        <f>'Input - Pasture Beef'!$D$172</f>
        <v>Pasture range and paddock</v>
      </c>
      <c r="E236" s="52" t="s">
        <v>174</v>
      </c>
      <c r="F236" s="52" cm="1">
        <f t="array" ref="F236">MMS_PastureBeef_Methane_Equations.VEERG_4_2_1_1__1_TotalAnnualMethaneProductionFromManureManagement(E220,F178,E228)</f>
        <v>3.4399470015107812E-2</v>
      </c>
      <c r="G236" s="52" cm="1">
        <f t="array" ref="G236">MMS_PastureBeef_Methane_Equations.VEERG_4_2_1_1__1_TotalAnnualMethaneProductionFromManureManagement(F220,G178,F228)</f>
        <v>4.5513899726703819E-2</v>
      </c>
      <c r="H236" s="52" cm="1">
        <f t="array" ref="H236">MMS_PastureBeef_Methane_Equations.VEERG_4_2_1_1__1_TotalAnnualMethaneProductionFromManureManagement(G220,H178,G228)</f>
        <v>2.8929177460860826E-2</v>
      </c>
      <c r="I236" s="52" cm="1">
        <f t="array" ref="I236">MMS_PastureBeef_Methane_Equations.VEERG_4_2_1_1__1_TotalAnnualMethaneProductionFromManureManagement(H220,I178,H228)</f>
        <v>3.788278734284789E-2</v>
      </c>
      <c r="J236" s="52" cm="1">
        <f t="array" ref="J236">MMS_PastureBeef_Methane_Equations.VEERG_4_2_1_1__1_TotalAnnualMethaneProductionFromManureManagement(I220,J178,I228)</f>
        <v>3.7508594747899748E-2</v>
      </c>
      <c r="K236" s="52" cm="1">
        <f t="array" ref="K236">MMS_PastureBeef_Methane_Equations.VEERG_4_2_1_1__1_TotalAnnualMethaneProductionFromManureManagement(J220,K178,J228)</f>
        <v>3.7508594747899748E-2</v>
      </c>
      <c r="L236" s="52" cm="1">
        <f t="array" ref="L236">MMS_PastureBeef_Methane_Equations.VEERG_4_2_1_1__1_TotalAnnualMethaneProductionFromManureManagement(K220,L178,K228)</f>
        <v>3.170784866938791E-2</v>
      </c>
      <c r="M236" s="52" cm="1">
        <f t="array" ref="M236">MMS_PastureBeef_Methane_Equations.VEERG_4_2_1_1__1_TotalAnnualMethaneProductionFromManureManagement(L220,M178,L228)</f>
        <v>3.5343905916687415E-2</v>
      </c>
      <c r="N236" s="52" cm="1">
        <f t="array" ref="N236">MMS_PastureBeef_Methane_Equations.VEERG_4_2_1_1__1_TotalAnnualMethaneProductionFromManureManagement(M220,N178,M228)</f>
        <v>3.5343905916687415E-2</v>
      </c>
      <c r="O236" s="52" cm="1">
        <f t="array" ref="O236">MMS_PastureBeef_Methane_Equations.VEERG_4_2_1_1__1_TotalAnnualMethaneProductionFromManureManagement(N220,O178,N228)</f>
        <v>3.5343905916687415E-2</v>
      </c>
      <c r="P236" s="2" t="str">
        <f t="shared" ref="P236:P242" si="10">$E$210</f>
        <v>t CH4</v>
      </c>
      <c r="Q236" s="2"/>
      <c r="U236" s="52" t="str">
        <f>TEXT(EDATE('Input - Site'!$E$12,1), "mmmm yyyy")</f>
        <v>February 2024</v>
      </c>
      <c r="V236" s="52">
        <f>'Input - Pasture Beef'!E23</f>
        <v>29</v>
      </c>
      <c r="W236" s="52">
        <f>'Input - Pasture Beef'!F23</f>
        <v>29</v>
      </c>
      <c r="X236" s="52">
        <f>'Input - Pasture Beef'!G23</f>
        <v>29</v>
      </c>
      <c r="Y236" s="52">
        <f>'Input - Pasture Beef'!H23</f>
        <v>29</v>
      </c>
      <c r="Z236" s="52">
        <f>'Input - Pasture Beef'!I23</f>
        <v>29</v>
      </c>
      <c r="AA236" s="52">
        <f>'Input - Pasture Beef'!J23</f>
        <v>29</v>
      </c>
      <c r="AB236" s="52">
        <f>'Input - Pasture Beef'!K23</f>
        <v>29</v>
      </c>
      <c r="AC236" s="52">
        <f>'Input - Pasture Beef'!L23</f>
        <v>29</v>
      </c>
      <c r="AD236" s="52">
        <f>'Input - Pasture Beef'!M23</f>
        <v>29</v>
      </c>
      <c r="AE236" s="52">
        <f>'Input - Pasture Beef'!N23</f>
        <v>29</v>
      </c>
      <c r="AF236" s="2" t="s">
        <v>281</v>
      </c>
    </row>
    <row r="237" spans="4:32" ht="20.100000000000001" customHeight="1" x14ac:dyDescent="0.25">
      <c r="D237" s="52" t="str">
        <f>'Input - Pasture Beef'!$D$172</f>
        <v>Pasture range and paddock</v>
      </c>
      <c r="E237" s="52" t="s">
        <v>175</v>
      </c>
      <c r="F237" s="52" cm="1">
        <f t="array" ref="F237">MMS_PastureBeef_Methane_Equations.VEERG_4_2_1_1__1_TotalAnnualMethaneProductionFromManureManagement(E221,F179,E229)</f>
        <v>1.612311322800259E-2</v>
      </c>
      <c r="G237" s="52" cm="1">
        <f t="array" ref="G237">MMS_PastureBeef_Methane_Equations.VEERG_4_2_1_1__1_TotalAnnualMethaneProductionFromManureManagement(F221,G179,F229)</f>
        <v>4.6795572453036442E-2</v>
      </c>
      <c r="H237" s="52" cm="1">
        <f t="array" ref="H237">MMS_PastureBeef_Methane_Equations.VEERG_4_2_1_1__1_TotalAnnualMethaneProductionFromManureManagement(G221,H179,G229)</f>
        <v>1.4698701650790524E-2</v>
      </c>
      <c r="I237" s="52" cm="1">
        <f t="array" ref="I237">MMS_PastureBeef_Methane_Equations.VEERG_4_2_1_1__1_TotalAnnualMethaneProductionFromManureManagement(H221,I179,H229)</f>
        <v>2.9581832345761463E-2</v>
      </c>
      <c r="J237" s="52" cm="1">
        <f t="array" ref="J237">MMS_PastureBeef_Methane_Equations.VEERG_4_2_1_1__1_TotalAnnualMethaneProductionFromManureManagement(I221,J179,I229)</f>
        <v>3.3356399388873852E-2</v>
      </c>
      <c r="K237" s="52" cm="1">
        <f t="array" ref="K237">MMS_PastureBeef_Methane_Equations.VEERG_4_2_1_1__1_TotalAnnualMethaneProductionFromManureManagement(J221,K179,J229)</f>
        <v>3.3356399388873852E-2</v>
      </c>
      <c r="L237" s="52" cm="1">
        <f t="array" ref="L237">MMS_PastureBeef_Methane_Equations.VEERG_4_2_1_1__1_TotalAnnualMethaneProductionFromManureManagement(K221,L179,K229)</f>
        <v>1.612311322800259E-2</v>
      </c>
      <c r="M237" s="52" cm="1">
        <f t="array" ref="M237">MMS_PastureBeef_Methane_Equations.VEERG_4_2_1_1__1_TotalAnnualMethaneProductionFromManureManagement(L221,M179,L229)</f>
        <v>2.9271906203373613E-2</v>
      </c>
      <c r="N237" s="52" cm="1">
        <f t="array" ref="N237">MMS_PastureBeef_Methane_Equations.VEERG_4_2_1_1__1_TotalAnnualMethaneProductionFromManureManagement(M221,N179,M229)</f>
        <v>2.9271906203373613E-2</v>
      </c>
      <c r="O237" s="52" cm="1">
        <f t="array" ref="O237">MMS_PastureBeef_Methane_Equations.VEERG_4_2_1_1__1_TotalAnnualMethaneProductionFromManureManagement(N221,O179,N229)</f>
        <v>2.9271906203373613E-2</v>
      </c>
      <c r="P237" s="2" t="str">
        <f t="shared" si="10"/>
        <v>t CH4</v>
      </c>
      <c r="Q237" s="2"/>
      <c r="U237" s="52" t="str">
        <f>TEXT(EDATE('Input - Site'!$E$12,2), "mmmm yyyy")</f>
        <v>March 2024</v>
      </c>
      <c r="V237" s="52">
        <f>'Input - Pasture Beef'!E24</f>
        <v>31</v>
      </c>
      <c r="W237" s="52">
        <f>'Input - Pasture Beef'!F24</f>
        <v>31</v>
      </c>
      <c r="X237" s="52">
        <f>'Input - Pasture Beef'!G24</f>
        <v>31</v>
      </c>
      <c r="Y237" s="52">
        <f>'Input - Pasture Beef'!H24</f>
        <v>31</v>
      </c>
      <c r="Z237" s="52">
        <f>'Input - Pasture Beef'!I24</f>
        <v>31</v>
      </c>
      <c r="AA237" s="52">
        <f>'Input - Pasture Beef'!J24</f>
        <v>31</v>
      </c>
      <c r="AB237" s="52">
        <f>'Input - Pasture Beef'!K24</f>
        <v>31</v>
      </c>
      <c r="AC237" s="52">
        <f>'Input - Pasture Beef'!L24</f>
        <v>31</v>
      </c>
      <c r="AD237" s="52">
        <f>'Input - Pasture Beef'!M24</f>
        <v>31</v>
      </c>
      <c r="AE237" s="52">
        <f>'Input - Pasture Beef'!N24</f>
        <v>31</v>
      </c>
      <c r="AF237" s="2" t="s">
        <v>281</v>
      </c>
    </row>
    <row r="238" spans="4:32" ht="20.100000000000001" customHeight="1" x14ac:dyDescent="0.25">
      <c r="D238" s="52" t="str">
        <f>'Input - Pasture Beef'!$D$172</f>
        <v>Pasture range and paddock</v>
      </c>
      <c r="E238" s="52" t="s">
        <v>176</v>
      </c>
      <c r="F238" s="52" cm="1">
        <f t="array" ref="F238">MMS_PastureBeef_Methane_Equations.VEERG_4_2_1_1__1_TotalAnnualMethaneProductionFromManureManagement(E222,F180,E230)</f>
        <v>2.1845157447271061E-2</v>
      </c>
      <c r="G238" s="52" cm="1">
        <f t="array" ref="G238">MMS_PastureBeef_Methane_Equations.VEERG_4_2_1_1__1_TotalAnnualMethaneProductionFromManureManagement(F222,G180,F230)</f>
        <v>4.2452112028022924E-2</v>
      </c>
      <c r="H238" s="52" cm="1">
        <f t="array" ref="H238">MMS_PastureBeef_Methane_Equations.VEERG_4_2_1_1__1_TotalAnnualMethaneProductionFromManureManagement(G222,H180,G230)</f>
        <v>1.788633859930849E-2</v>
      </c>
      <c r="I238" s="52" cm="1">
        <f t="array" ref="I238">MMS_PastureBeef_Methane_Equations.VEERG_4_2_1_1__1_TotalAnnualMethaneProductionFromManureManagement(H222,I180,H230)</f>
        <v>3.2039869682560992E-2</v>
      </c>
      <c r="J238" s="52" cm="1">
        <f t="array" ref="J238">MMS_PastureBeef_Methane_Equations.VEERG_4_2_1_1__1_TotalAnnualMethaneProductionFromManureManagement(I222,J180,I230)</f>
        <v>3.8921136919090077E-2</v>
      </c>
      <c r="K238" s="52" cm="1">
        <f t="array" ref="K238">MMS_PastureBeef_Methane_Equations.VEERG_4_2_1_1__1_TotalAnnualMethaneProductionFromManureManagement(J222,K180,J230)</f>
        <v>3.8921136919090077E-2</v>
      </c>
      <c r="L238" s="52" cm="1">
        <f t="array" ref="L238">MMS_PastureBeef_Methane_Equations.VEERG_4_2_1_1__1_TotalAnnualMethaneProductionFromManureManagement(K222,L180,K230)</f>
        <v>1.9203811704725782E-2</v>
      </c>
      <c r="M238" s="52" cm="1">
        <f t="array" ref="M238">MMS_PastureBeef_Methane_Equations.VEERG_4_2_1_1__1_TotalAnnualMethaneProductionFromManureManagement(L222,M180,L230)</f>
        <v>2.9237473328414466E-2</v>
      </c>
      <c r="N238" s="52" cm="1">
        <f t="array" ref="N238">MMS_PastureBeef_Methane_Equations.VEERG_4_2_1_1__1_TotalAnnualMethaneProductionFromManureManagement(M222,N180,M230)</f>
        <v>2.9237473328414466E-2</v>
      </c>
      <c r="O238" s="52" cm="1">
        <f t="array" ref="O238">MMS_PastureBeef_Methane_Equations.VEERG_4_2_1_1__1_TotalAnnualMethaneProductionFromManureManagement(N222,O180,N230)</f>
        <v>2.9237473328414466E-2</v>
      </c>
      <c r="P238" s="2" t="str">
        <f t="shared" si="10"/>
        <v>t CH4</v>
      </c>
      <c r="Q238" s="2"/>
      <c r="U238" s="52" t="str">
        <f>TEXT(EDATE('Input - Site'!$E$12,3), "mmmm yyyy")</f>
        <v>April 2024</v>
      </c>
      <c r="V238" s="52">
        <f>'Input - Pasture Beef'!E25</f>
        <v>30</v>
      </c>
      <c r="W238" s="52">
        <f>'Input - Pasture Beef'!F25</f>
        <v>30</v>
      </c>
      <c r="X238" s="52">
        <f>'Input - Pasture Beef'!G25</f>
        <v>30</v>
      </c>
      <c r="Y238" s="52">
        <f>'Input - Pasture Beef'!H25</f>
        <v>30</v>
      </c>
      <c r="Z238" s="52">
        <f>'Input - Pasture Beef'!I25</f>
        <v>30</v>
      </c>
      <c r="AA238" s="52">
        <f>'Input - Pasture Beef'!J25</f>
        <v>30</v>
      </c>
      <c r="AB238" s="52">
        <f>'Input - Pasture Beef'!K25</f>
        <v>30</v>
      </c>
      <c r="AC238" s="52">
        <f>'Input - Pasture Beef'!L25</f>
        <v>30</v>
      </c>
      <c r="AD238" s="52">
        <f>'Input - Pasture Beef'!M25</f>
        <v>30</v>
      </c>
      <c r="AE238" s="52">
        <f>'Input - Pasture Beef'!N25</f>
        <v>30</v>
      </c>
      <c r="AF238" s="2" t="s">
        <v>281</v>
      </c>
    </row>
    <row r="239" spans="4:32" ht="20.100000000000001" customHeight="1" x14ac:dyDescent="0.25">
      <c r="D239" s="52" t="str">
        <f>'Input - Pasture Beef'!$D$173</f>
        <v>Anaerobic lagoon</v>
      </c>
      <c r="E239" s="52" t="s">
        <v>173</v>
      </c>
      <c r="F239" s="52" cm="1">
        <f t="array" ref="F239">MMS_PastureBeef_Methane_Equations.VEERG_4_2_1_1__1_TotalAnnualMethaneProductionFromManureManagement(E219,F181,E227)</f>
        <v>2.264171051079978E-2</v>
      </c>
      <c r="G239" s="52" cm="1">
        <f t="array" ref="G239">MMS_PastureBeef_Methane_Equations.VEERG_4_2_1_1__1_TotalAnnualMethaneProductionFromManureManagement(F219,G181,F227)</f>
        <v>3.1978406184579151E-2</v>
      </c>
      <c r="H239" s="52" cm="1">
        <f t="array" ref="H239">MMS_PastureBeef_Methane_Equations.VEERG_4_2_1_1__1_TotalAnnualMethaneProductionFromManureManagement(G219,H181,G227)</f>
        <v>1.7257505586741256E-2</v>
      </c>
      <c r="I239" s="52" cm="1">
        <f t="array" ref="I239">MMS_PastureBeef_Methane_Equations.VEERG_4_2_1_1__1_TotalAnnualMethaneProductionFromManureManagement(H219,I181,H227)</f>
        <v>2.468566689614541E-2</v>
      </c>
      <c r="J239" s="52" cm="1">
        <f t="array" ref="J239">MMS_PastureBeef_Methane_Equations.VEERG_4_2_1_1__1_TotalAnnualMethaneProductionFromManureManagement(I219,J181,I227)</f>
        <v>2.6406426260586535E-2</v>
      </c>
      <c r="K239" s="52" cm="1">
        <f t="array" ref="K239">MMS_PastureBeef_Methane_Equations.VEERG_4_2_1_1__1_TotalAnnualMethaneProductionFromManureManagement(J219,K181,J227)</f>
        <v>2.6406426260586535E-2</v>
      </c>
      <c r="L239" s="52" cm="1">
        <f t="array" ref="L239">MMS_PastureBeef_Methane_Equations.VEERG_4_2_1_1__1_TotalAnnualMethaneProductionFromManureManagement(K219,L181,K227)</f>
        <v>1.9895615979785588E-2</v>
      </c>
      <c r="M239" s="52" cm="1">
        <f t="array" ref="M239">MMS_PastureBeef_Methane_Equations.VEERG_4_2_1_1__1_TotalAnnualMethaneProductionFromManureManagement(L219,M181,L227)</f>
        <v>2.528302843231485E-2</v>
      </c>
      <c r="N239" s="52" cm="1">
        <f t="array" ref="N239">MMS_PastureBeef_Methane_Equations.VEERG_4_2_1_1__1_TotalAnnualMethaneProductionFromManureManagement(M219,N181,M227)</f>
        <v>2.528302843231485E-2</v>
      </c>
      <c r="O239" s="52" cm="1">
        <f t="array" ref="O239">MMS_PastureBeef_Methane_Equations.VEERG_4_2_1_1__1_TotalAnnualMethaneProductionFromManureManagement(N219,O181,N227)</f>
        <v>2.528302843231485E-2</v>
      </c>
      <c r="P239" s="2" t="str">
        <f t="shared" si="10"/>
        <v>t CH4</v>
      </c>
      <c r="Q239" s="2"/>
      <c r="U239" s="52" t="str">
        <f>TEXT(EDATE('Input - Site'!$E$12,4), "mmmm yyyy")</f>
        <v>May 2024</v>
      </c>
      <c r="V239" s="52">
        <f>'Input - Pasture Beef'!E26</f>
        <v>31</v>
      </c>
      <c r="W239" s="52">
        <f>'Input - Pasture Beef'!F26</f>
        <v>31</v>
      </c>
      <c r="X239" s="52">
        <f>'Input - Pasture Beef'!G26</f>
        <v>31</v>
      </c>
      <c r="Y239" s="52">
        <f>'Input - Pasture Beef'!H26</f>
        <v>31</v>
      </c>
      <c r="Z239" s="52">
        <f>'Input - Pasture Beef'!I26</f>
        <v>31</v>
      </c>
      <c r="AA239" s="52">
        <f>'Input - Pasture Beef'!J26</f>
        <v>31</v>
      </c>
      <c r="AB239" s="52">
        <f>'Input - Pasture Beef'!K26</f>
        <v>31</v>
      </c>
      <c r="AC239" s="52">
        <f>'Input - Pasture Beef'!L26</f>
        <v>31</v>
      </c>
      <c r="AD239" s="52">
        <f>'Input - Pasture Beef'!M26</f>
        <v>31</v>
      </c>
      <c r="AE239" s="52">
        <f>'Input - Pasture Beef'!N26</f>
        <v>31</v>
      </c>
      <c r="AF239" s="2" t="s">
        <v>281</v>
      </c>
    </row>
    <row r="240" spans="4:32" ht="20.100000000000001" customHeight="1" x14ac:dyDescent="0.25">
      <c r="D240" s="52" t="str">
        <f>'Input - Pasture Beef'!$D$173</f>
        <v>Anaerobic lagoon</v>
      </c>
      <c r="E240" s="52" t="s">
        <v>174</v>
      </c>
      <c r="F240" s="52" cm="1">
        <f t="array" ref="F240">MMS_PastureBeef_Methane_Equations.VEERG_4_2_1_1__1_TotalAnnualMethaneProductionFromManureManagement(E220,F182,E228)</f>
        <v>2.1105907449179534E-2</v>
      </c>
      <c r="G240" s="52" cm="1">
        <f t="array" ref="G240">MMS_PastureBeef_Methane_Equations.VEERG_4_2_1_1__1_TotalAnnualMethaneProductionFromManureManagement(F220,G182,F228)</f>
        <v>2.7925202186579037E-2</v>
      </c>
      <c r="H240" s="52" cm="1">
        <f t="array" ref="H240">MMS_PastureBeef_Methane_Equations.VEERG_4_2_1_1__1_TotalAnnualMethaneProductionFromManureManagement(G220,H182,G228)</f>
        <v>1.7749591543173827E-2</v>
      </c>
      <c r="I240" s="52" cm="1">
        <f t="array" ref="I240">MMS_PastureBeef_Methane_Equations.VEERG_4_2_1_1__1_TotalAnnualMethaneProductionFromManureManagement(H220,I182,H228)</f>
        <v>2.3243108199746825E-2</v>
      </c>
      <c r="J240" s="52" cm="1">
        <f t="array" ref="J240">MMS_PastureBeef_Methane_Equations.VEERG_4_2_1_1__1_TotalAnnualMethaneProductionFromManureManagement(I220,J182,I228)</f>
        <v>2.3013521108036551E-2</v>
      </c>
      <c r="K240" s="52" cm="1">
        <f t="array" ref="K240">MMS_PastureBeef_Methane_Equations.VEERG_4_2_1_1__1_TotalAnnualMethaneProductionFromManureManagement(J220,K182,J228)</f>
        <v>2.3013521108036551E-2</v>
      </c>
      <c r="L240" s="52" cm="1">
        <f t="array" ref="L240">MMS_PastureBeef_Methane_Equations.VEERG_4_2_1_1__1_TotalAnnualMethaneProductionFromManureManagement(K220,L182,K228)</f>
        <v>1.9454454360336878E-2</v>
      </c>
      <c r="M240" s="52" cm="1">
        <f t="array" ref="M240">MMS_PastureBeef_Methane_Equations.VEERG_4_2_1_1__1_TotalAnnualMethaneProductionFromManureManagement(L220,M182,L228)</f>
        <v>2.1685369188609454E-2</v>
      </c>
      <c r="N240" s="52" cm="1">
        <f t="array" ref="N240">MMS_PastureBeef_Methane_Equations.VEERG_4_2_1_1__1_TotalAnnualMethaneProductionFromManureManagement(M220,N182,M228)</f>
        <v>2.1685369188609454E-2</v>
      </c>
      <c r="O240" s="52" cm="1">
        <f t="array" ref="O240">MMS_PastureBeef_Methane_Equations.VEERG_4_2_1_1__1_TotalAnnualMethaneProductionFromManureManagement(N220,O182,N228)</f>
        <v>2.1685369188609454E-2</v>
      </c>
      <c r="P240" s="2" t="str">
        <f t="shared" si="10"/>
        <v>t CH4</v>
      </c>
      <c r="Q240" s="2"/>
      <c r="U240" s="52" t="str">
        <f>TEXT(EDATE('Input - Site'!$E$12,5), "mmmm yyyy")</f>
        <v>June 2024</v>
      </c>
      <c r="V240" s="52">
        <f>'Input - Pasture Beef'!E27</f>
        <v>30</v>
      </c>
      <c r="W240" s="52">
        <f>'Input - Pasture Beef'!F27</f>
        <v>30</v>
      </c>
      <c r="X240" s="52">
        <f>'Input - Pasture Beef'!G27</f>
        <v>30</v>
      </c>
      <c r="Y240" s="52">
        <f>'Input - Pasture Beef'!H27</f>
        <v>30</v>
      </c>
      <c r="Z240" s="52">
        <f>'Input - Pasture Beef'!I27</f>
        <v>30</v>
      </c>
      <c r="AA240" s="52">
        <f>'Input - Pasture Beef'!J27</f>
        <v>30</v>
      </c>
      <c r="AB240" s="52">
        <f>'Input - Pasture Beef'!K27</f>
        <v>30</v>
      </c>
      <c r="AC240" s="52">
        <f>'Input - Pasture Beef'!L27</f>
        <v>30</v>
      </c>
      <c r="AD240" s="52">
        <f>'Input - Pasture Beef'!M27</f>
        <v>30</v>
      </c>
      <c r="AE240" s="52">
        <f>'Input - Pasture Beef'!N27</f>
        <v>30</v>
      </c>
      <c r="AF240" s="2" t="s">
        <v>281</v>
      </c>
    </row>
    <row r="241" spans="4:34" ht="20.100000000000001" customHeight="1" x14ac:dyDescent="0.25">
      <c r="D241" s="52" t="str">
        <f>'Input - Pasture Beef'!$D$173</f>
        <v>Anaerobic lagoon</v>
      </c>
      <c r="E241" s="52" t="s">
        <v>175</v>
      </c>
      <c r="F241" s="52" cm="1">
        <f t="array" ref="F241">MMS_PastureBeef_Methane_Equations.VEERG_4_2_1_1__1_TotalAnnualMethaneProductionFromManureManagement(E221,F183,E229)</f>
        <v>9.8923889069631784E-3</v>
      </c>
      <c r="G241" s="52" cm="1">
        <f t="array" ref="G241">MMS_PastureBeef_Methane_Equations.VEERG_4_2_1_1__1_TotalAnnualMethaneProductionFromManureManagement(F221,G183,F229)</f>
        <v>2.8711576683925471E-2</v>
      </c>
      <c r="H241" s="52" cm="1">
        <f t="array" ref="H241">MMS_PastureBeef_Methane_Equations.VEERG_4_2_1_1__1_TotalAnnualMethaneProductionFromManureManagement(G221,H183,G229)</f>
        <v>9.0184365203428585E-3</v>
      </c>
      <c r="I241" s="52" cm="1">
        <f t="array" ref="I241">MMS_PastureBeef_Methane_Equations.VEERG_4_2_1_1__1_TotalAnnualMethaneProductionFromManureManagement(H221,I183,H229)</f>
        <v>1.8150030084550139E-2</v>
      </c>
      <c r="J241" s="52" cm="1">
        <f t="array" ref="J241">MMS_PastureBeef_Methane_Equations.VEERG_4_2_1_1__1_TotalAnnualMethaneProductionFromManureManagement(I221,J183,I229)</f>
        <v>2.0465928051514898E-2</v>
      </c>
      <c r="K241" s="52" cm="1">
        <f t="array" ref="K241">MMS_PastureBeef_Methane_Equations.VEERG_4_2_1_1__1_TotalAnnualMethaneProductionFromManureManagement(J221,K183,J229)</f>
        <v>2.0465928051514898E-2</v>
      </c>
      <c r="L241" s="52" cm="1">
        <f t="array" ref="L241">MMS_PastureBeef_Methane_Equations.VEERG_4_2_1_1__1_TotalAnnualMethaneProductionFromManureManagement(K221,L183,K229)</f>
        <v>9.8923889069631784E-3</v>
      </c>
      <c r="M241" s="52" cm="1">
        <f t="array" ref="M241">MMS_PastureBeef_Methane_Equations.VEERG_4_2_1_1__1_TotalAnnualMethaneProductionFromManureManagement(L221,M183,L229)</f>
        <v>1.7959873885211999E-2</v>
      </c>
      <c r="N241" s="52" cm="1">
        <f t="array" ref="N241">MMS_PastureBeef_Methane_Equations.VEERG_4_2_1_1__1_TotalAnnualMethaneProductionFromManureManagement(M221,N183,M229)</f>
        <v>1.7959873885211999E-2</v>
      </c>
      <c r="O241" s="52" cm="1">
        <f t="array" ref="O241">MMS_PastureBeef_Methane_Equations.VEERG_4_2_1_1__1_TotalAnnualMethaneProductionFromManureManagement(N221,O183,N229)</f>
        <v>1.7959873885211999E-2</v>
      </c>
      <c r="P241" s="2" t="str">
        <f t="shared" si="10"/>
        <v>t CH4</v>
      </c>
      <c r="Q241" s="2"/>
      <c r="U241" s="52" t="str">
        <f>TEXT(EDATE('Input - Site'!$E$12,6), "mmmm yyyy")</f>
        <v>July 2024</v>
      </c>
      <c r="V241" s="52">
        <f>'Input - Pasture Beef'!E28</f>
        <v>31</v>
      </c>
      <c r="W241" s="52">
        <f>'Input - Pasture Beef'!F28</f>
        <v>31</v>
      </c>
      <c r="X241" s="52">
        <f>'Input - Pasture Beef'!G28</f>
        <v>31</v>
      </c>
      <c r="Y241" s="52">
        <f>'Input - Pasture Beef'!H28</f>
        <v>31</v>
      </c>
      <c r="Z241" s="52">
        <f>'Input - Pasture Beef'!I28</f>
        <v>31</v>
      </c>
      <c r="AA241" s="52">
        <f>'Input - Pasture Beef'!J28</f>
        <v>31</v>
      </c>
      <c r="AB241" s="52">
        <f>'Input - Pasture Beef'!K28</f>
        <v>31</v>
      </c>
      <c r="AC241" s="52">
        <f>'Input - Pasture Beef'!L28</f>
        <v>31</v>
      </c>
      <c r="AD241" s="52">
        <f>'Input - Pasture Beef'!M28</f>
        <v>31</v>
      </c>
      <c r="AE241" s="52">
        <f>'Input - Pasture Beef'!N28</f>
        <v>31</v>
      </c>
      <c r="AF241" s="2" t="s">
        <v>281</v>
      </c>
    </row>
    <row r="242" spans="4:34" ht="20.100000000000001" customHeight="1" x14ac:dyDescent="0.25">
      <c r="D242" s="52" t="str">
        <f>'Input - Pasture Beef'!$D$173</f>
        <v>Anaerobic lagoon</v>
      </c>
      <c r="E242" s="52" t="s">
        <v>176</v>
      </c>
      <c r="F242" s="52" cm="1">
        <f t="array" ref="F242">MMS_PastureBeef_Methane_Equations.VEERG_4_2_1_1__1_TotalAnnualMethaneProductionFromManureManagement(E222,F184,E230)</f>
        <v>1.3403167871259811E-2</v>
      </c>
      <c r="G242" s="52" cm="1">
        <f t="array" ref="G242">MMS_PastureBeef_Methane_Equations.VEERG_4_2_1_1__1_TotalAnnualMethaneProductionFromManureManagement(F222,G184,F230)</f>
        <v>2.6046632319978936E-2</v>
      </c>
      <c r="H242" s="52" cm="1">
        <f t="array" ref="H242">MMS_PastureBeef_Methane_Equations.VEERG_4_2_1_1__1_TotalAnnualMethaneProductionFromManureManagement(G222,H184,G230)</f>
        <v>1.0974221606201959E-2</v>
      </c>
      <c r="I242" s="52" cm="1">
        <f t="array" ref="I242">MMS_PastureBeef_Methane_Equations.VEERG_4_2_1_1__1_TotalAnnualMethaneProductionFromManureManagement(H222,I184,H230)</f>
        <v>1.9658166939982329E-2</v>
      </c>
      <c r="J242" s="52" cm="1">
        <f t="array" ref="J242">MMS_PastureBeef_Methane_Equations.VEERG_4_2_1_1__1_TotalAnnualMethaneProductionFromManureManagement(I222,J184,I230)</f>
        <v>2.3880190981732649E-2</v>
      </c>
      <c r="K242" s="52" cm="1">
        <f t="array" ref="K242">MMS_PastureBeef_Methane_Equations.VEERG_4_2_1_1__1_TotalAnnualMethaneProductionFromManureManagement(J222,K184,J230)</f>
        <v>2.3880190981732649E-2</v>
      </c>
      <c r="L242" s="52" cm="1">
        <f t="array" ref="L242">MMS_PastureBeef_Methane_Equations.VEERG_4_2_1_1__1_TotalAnnualMethaneProductionFromManureManagement(K222,L184,K230)</f>
        <v>1.1782561543343674E-2</v>
      </c>
      <c r="M242" s="52" cm="1">
        <f t="array" ref="M242">MMS_PastureBeef_Methane_Equations.VEERG_4_2_1_1__1_TotalAnnualMethaneProductionFromManureManagement(L222,M184,L230)</f>
        <v>1.7938747482050033E-2</v>
      </c>
      <c r="N242" s="52" cm="1">
        <f t="array" ref="N242">MMS_PastureBeef_Methane_Equations.VEERG_4_2_1_1__1_TotalAnnualMethaneProductionFromManureManagement(M222,N184,M230)</f>
        <v>1.7938747482050033E-2</v>
      </c>
      <c r="O242" s="52" cm="1">
        <f t="array" ref="O242">MMS_PastureBeef_Methane_Equations.VEERG_4_2_1_1__1_TotalAnnualMethaneProductionFromManureManagement(N222,O184,N230)</f>
        <v>1.7938747482050033E-2</v>
      </c>
      <c r="P242" s="2" t="str">
        <f t="shared" si="10"/>
        <v>t CH4</v>
      </c>
      <c r="Q242" s="2"/>
      <c r="U242" s="52" t="str">
        <f>TEXT(EDATE('Input - Site'!$E$12,7), "mmmm yyyy")</f>
        <v>August 2024</v>
      </c>
      <c r="V242" s="52">
        <f>'Input - Pasture Beef'!E29</f>
        <v>31</v>
      </c>
      <c r="W242" s="52">
        <f>'Input - Pasture Beef'!F29</f>
        <v>31</v>
      </c>
      <c r="X242" s="52">
        <f>'Input - Pasture Beef'!G29</f>
        <v>31</v>
      </c>
      <c r="Y242" s="52">
        <f>'Input - Pasture Beef'!H29</f>
        <v>31</v>
      </c>
      <c r="Z242" s="52">
        <f>'Input - Pasture Beef'!I29</f>
        <v>31</v>
      </c>
      <c r="AA242" s="52">
        <f>'Input - Pasture Beef'!J29</f>
        <v>31</v>
      </c>
      <c r="AB242" s="52">
        <f>'Input - Pasture Beef'!K29</f>
        <v>31</v>
      </c>
      <c r="AC242" s="52">
        <f>'Input - Pasture Beef'!L29</f>
        <v>31</v>
      </c>
      <c r="AD242" s="52">
        <f>'Input - Pasture Beef'!M29</f>
        <v>31</v>
      </c>
      <c r="AE242" s="52">
        <f>'Input - Pasture Beef'!N29</f>
        <v>31</v>
      </c>
      <c r="AF242" s="2" t="s">
        <v>281</v>
      </c>
    </row>
    <row r="243" spans="4:34" ht="20.100000000000001" customHeight="1" x14ac:dyDescent="0.25">
      <c r="U243" s="52" t="str">
        <f>TEXT(EDATE('Input - Site'!$E$12,8), "mmmm yyyy")</f>
        <v>September 2024</v>
      </c>
      <c r="V243" s="52">
        <f>'Input - Pasture Beef'!E30</f>
        <v>30</v>
      </c>
      <c r="W243" s="52">
        <f>'Input - Pasture Beef'!F30</f>
        <v>30</v>
      </c>
      <c r="X243" s="52">
        <f>'Input - Pasture Beef'!G30</f>
        <v>30</v>
      </c>
      <c r="Y243" s="52">
        <f>'Input - Pasture Beef'!H30</f>
        <v>30</v>
      </c>
      <c r="Z243" s="52">
        <f>'Input - Pasture Beef'!I30</f>
        <v>30</v>
      </c>
      <c r="AA243" s="52">
        <f>'Input - Pasture Beef'!J30</f>
        <v>30</v>
      </c>
      <c r="AB243" s="52">
        <f>'Input - Pasture Beef'!K30</f>
        <v>30</v>
      </c>
      <c r="AC243" s="52">
        <f>'Input - Pasture Beef'!L30</f>
        <v>30</v>
      </c>
      <c r="AD243" s="52">
        <f>'Input - Pasture Beef'!M30</f>
        <v>30</v>
      </c>
      <c r="AE243" s="52">
        <f>'Input - Pasture Beef'!N30</f>
        <v>30</v>
      </c>
      <c r="AF243" s="2" t="s">
        <v>281</v>
      </c>
    </row>
    <row r="244" spans="4:34" ht="20.100000000000001" customHeight="1" x14ac:dyDescent="0.25">
      <c r="D244" s="101" t="s">
        <v>307</v>
      </c>
      <c r="E244" s="102">
        <f>SUM(F235:O242)</f>
        <v>2.1554251385118715</v>
      </c>
      <c r="F244" s="103" t="str">
        <f>E210</f>
        <v>t CH4</v>
      </c>
      <c r="U244" s="52" t="str">
        <f>TEXT(EDATE('Input - Site'!$E$12,9), "mmmm yyyy")</f>
        <v>October 2024</v>
      </c>
      <c r="V244" s="52">
        <f>'Input - Pasture Beef'!E31</f>
        <v>31</v>
      </c>
      <c r="W244" s="52">
        <f>'Input - Pasture Beef'!F31</f>
        <v>31</v>
      </c>
      <c r="X244" s="52">
        <f>'Input - Pasture Beef'!G31</f>
        <v>31</v>
      </c>
      <c r="Y244" s="52">
        <f>'Input - Pasture Beef'!H31</f>
        <v>31</v>
      </c>
      <c r="Z244" s="52">
        <f>'Input - Pasture Beef'!I31</f>
        <v>31</v>
      </c>
      <c r="AA244" s="52">
        <f>'Input - Pasture Beef'!J31</f>
        <v>31</v>
      </c>
      <c r="AB244" s="52">
        <f>'Input - Pasture Beef'!K31</f>
        <v>31</v>
      </c>
      <c r="AC244" s="52">
        <f>'Input - Pasture Beef'!L31</f>
        <v>31</v>
      </c>
      <c r="AD244" s="52">
        <f>'Input - Pasture Beef'!M31</f>
        <v>31</v>
      </c>
      <c r="AE244" s="52">
        <f>'Input - Pasture Beef'!N31</f>
        <v>31</v>
      </c>
      <c r="AF244" s="2" t="s">
        <v>281</v>
      </c>
    </row>
    <row r="245" spans="4:34" ht="20.100000000000001" customHeight="1" x14ac:dyDescent="0.25">
      <c r="U245" s="52" t="str">
        <f>TEXT(EDATE('Input - Site'!$E$12,10), "mmmm yyyy")</f>
        <v>November 2024</v>
      </c>
      <c r="V245" s="52">
        <f>'Input - Pasture Beef'!E32</f>
        <v>30</v>
      </c>
      <c r="W245" s="52">
        <f>'Input - Pasture Beef'!F32</f>
        <v>30</v>
      </c>
      <c r="X245" s="52">
        <f>'Input - Pasture Beef'!G32</f>
        <v>30</v>
      </c>
      <c r="Y245" s="52">
        <f>'Input - Pasture Beef'!H32</f>
        <v>30</v>
      </c>
      <c r="Z245" s="52">
        <f>'Input - Pasture Beef'!I32</f>
        <v>30</v>
      </c>
      <c r="AA245" s="52">
        <f>'Input - Pasture Beef'!J32</f>
        <v>30</v>
      </c>
      <c r="AB245" s="52">
        <f>'Input - Pasture Beef'!K32</f>
        <v>30</v>
      </c>
      <c r="AC245" s="52">
        <f>'Input - Pasture Beef'!L32</f>
        <v>30</v>
      </c>
      <c r="AD245" s="52">
        <f>'Input - Pasture Beef'!M32</f>
        <v>30</v>
      </c>
      <c r="AE245" s="52">
        <f>'Input - Pasture Beef'!N32</f>
        <v>30</v>
      </c>
      <c r="AF245" s="2" t="s">
        <v>281</v>
      </c>
    </row>
    <row r="246" spans="4:34" ht="20.100000000000001" customHeight="1" x14ac:dyDescent="0.25">
      <c r="D246" s="57" t="str" cm="1">
        <f t="array" ref="D246:E247">Common_Equations.Common_ConvertCH4ToCO2e_Arguments()</f>
        <v>ECH4</v>
      </c>
      <c r="E246" s="58" t="str">
        <v>Methane emissions (t CH4)</v>
      </c>
      <c r="F246" s="104"/>
      <c r="G246" s="52">
        <f>E244</f>
        <v>2.1554251385118715</v>
      </c>
      <c r="U246" s="52" t="str">
        <f>TEXT(EDATE('Input - Site'!$E$12,11), "mmmm yyyy")</f>
        <v>December 2024</v>
      </c>
      <c r="V246" s="52">
        <f>'Input - Pasture Beef'!E33</f>
        <v>31</v>
      </c>
      <c r="W246" s="52">
        <f>'Input - Pasture Beef'!F33</f>
        <v>31</v>
      </c>
      <c r="X246" s="52">
        <f>'Input - Pasture Beef'!G33</f>
        <v>31</v>
      </c>
      <c r="Y246" s="52">
        <f>'Input - Pasture Beef'!H33</f>
        <v>31</v>
      </c>
      <c r="Z246" s="52">
        <f>'Input - Pasture Beef'!I33</f>
        <v>31</v>
      </c>
      <c r="AA246" s="52">
        <f>'Input - Pasture Beef'!J33</f>
        <v>31</v>
      </c>
      <c r="AB246" s="52">
        <f>'Input - Pasture Beef'!K33</f>
        <v>31</v>
      </c>
      <c r="AC246" s="52">
        <f>'Input - Pasture Beef'!L33</f>
        <v>31</v>
      </c>
      <c r="AD246" s="52">
        <f>'Input - Pasture Beef'!M33</f>
        <v>31</v>
      </c>
      <c r="AE246" s="52">
        <f>'Input - Pasture Beef'!N33</f>
        <v>31</v>
      </c>
      <c r="AF246" s="2" t="s">
        <v>281</v>
      </c>
    </row>
    <row r="247" spans="4:34" ht="20.100000000000001" customHeight="1" x14ac:dyDescent="0.25">
      <c r="D247" s="57" t="str">
        <v>GWPCH4</v>
      </c>
      <c r="E247" s="58" t="str">
        <v>Global warming potential for methane (t CO2-e / t CH4)</v>
      </c>
      <c r="F247" s="104"/>
      <c r="G247" s="52">
        <f>Common_InputFunctions.Utility_LookupValueInTableNumber("CH4",Table_GWPData[Gas],Table_GWPData[CO2-e factor])</f>
        <v>28</v>
      </c>
    </row>
    <row r="248" spans="4:34" ht="20.100000000000001" customHeight="1" x14ac:dyDescent="0.25">
      <c r="U248" s="99" t="s">
        <v>286</v>
      </c>
    </row>
    <row r="249" spans="4:34" ht="20.100000000000001" customHeight="1" x14ac:dyDescent="0.25">
      <c r="D249" s="45" t="s">
        <v>104</v>
      </c>
      <c r="E249" s="45" cm="1">
        <f t="array" ref="E249">Common_Equations.Common_ConvertN2OToCO2e(G246,G247)</f>
        <v>60.351903878332401</v>
      </c>
      <c r="F249" s="105" t="str" cm="1">
        <f t="array" ref="F249">Common_Equations.Common_ConvertN2OToCO2e_Unit()</f>
        <v>t CO2e</v>
      </c>
      <c r="U249" s="98" t="s">
        <v>287</v>
      </c>
    </row>
    <row r="250" spans="4:34" ht="20.100000000000001" customHeight="1" x14ac:dyDescent="0.25">
      <c r="U250" s="51" t="s">
        <v>68</v>
      </c>
      <c r="V250" s="51" t="s">
        <v>132</v>
      </c>
      <c r="W250" s="51" t="s">
        <v>131</v>
      </c>
      <c r="X250" s="51" t="s">
        <v>130</v>
      </c>
      <c r="Y250" s="51" t="s">
        <v>165</v>
      </c>
      <c r="Z250" s="51" t="s">
        <v>166</v>
      </c>
      <c r="AA250" s="51" t="s">
        <v>167</v>
      </c>
      <c r="AB250" s="51" t="s">
        <v>168</v>
      </c>
      <c r="AC250" s="51" t="s">
        <v>169</v>
      </c>
      <c r="AD250" s="51" t="s">
        <v>170</v>
      </c>
      <c r="AE250" s="51" t="s">
        <v>171</v>
      </c>
      <c r="AF250" s="51" t="s">
        <v>172</v>
      </c>
    </row>
    <row r="251" spans="4:34" ht="20.100000000000001" customHeight="1" x14ac:dyDescent="0.25">
      <c r="U251" s="52" t="str">
        <f>'Input - Pasture Beef'!$D$172</f>
        <v>Pasture range and paddock</v>
      </c>
      <c r="V251" s="52" t="str">
        <f>U235</f>
        <v>January 2024</v>
      </c>
      <c r="W251" s="52" cm="1">
        <f t="array" ref="W251">MMS_PastureBeef_Methane_Equations.VEERG_4_2_1_1__1_TotalAnnualMethaneProductionFromManureManagement(V219,W177,V235)</f>
        <v>1.1686395292803749E-2</v>
      </c>
      <c r="X251" s="52" cm="1">
        <f t="array" ref="X251">MMS_PastureBeef_Methane_Equations.VEERG_4_2_1_1__1_TotalAnnualMethaneProductionFromManureManagement(W219,X177,W235)</f>
        <v>1.5462256345510341E-2</v>
      </c>
      <c r="Y251" s="52" cm="1">
        <f t="array" ref="Y251">MMS_PastureBeef_Methane_Equations.VEERG_4_2_1_1__1_TotalAnnualMethaneProductionFromManureManagement(X219,Y177,X235)</f>
        <v>9.827994534648608E-3</v>
      </c>
      <c r="Z251" s="52" cm="1">
        <f t="array" ref="Z251">MMS_PastureBeef_Methane_Equations.VEERG_4_2_1_1__1_TotalAnnualMethaneProductionFromManureManagement(Y219,Z177,Y235)</f>
        <v>1.3835001514524993E-2</v>
      </c>
      <c r="AA251" s="52" cm="1">
        <f t="array" ref="AA251">MMS_PastureBeef_Methane_Equations.VEERG_4_2_1_1__1_TotalAnnualMethaneProductionFromManureManagement(Z219,AA177,Z235)</f>
        <v>1.3698344328479549E-2</v>
      </c>
      <c r="AB251" s="52" cm="1">
        <f t="array" ref="AB251">MMS_PastureBeef_Methane_Equations.VEERG_4_2_1_1__1_TotalAnnualMethaneProductionFromManureManagement(AA219,AB177,AA235)</f>
        <v>1.3698344328479549E-2</v>
      </c>
      <c r="AC251" s="52" cm="1">
        <f t="array" ref="AC251">MMS_PastureBeef_Methane_Equations.VEERG_4_2_1_1__1_TotalAnnualMethaneProductionFromManureManagement(AB219,AC177,AB235)</f>
        <v>1.0771981465764659E-2</v>
      </c>
      <c r="AD251" s="52" cm="1">
        <f t="array" ref="AD251">MMS_PastureBeef_Methane_Equations.VEERG_4_2_1_1__1_TotalAnnualMethaneProductionFromManureManagement(AC219,AD177,AC235)</f>
        <v>1.2007244749778738E-2</v>
      </c>
      <c r="AE251" s="52" cm="1">
        <f t="array" ref="AE251">MMS_PastureBeef_Methane_Equations.VEERG_4_2_1_1__1_TotalAnnualMethaneProductionFromManureManagement(AD219,AE177,AD235)</f>
        <v>1.2007244749778738E-2</v>
      </c>
      <c r="AF251" s="52" cm="1">
        <f t="array" ref="AF251">MMS_PastureBeef_Methane_Equations.VEERG_4_2_1_1__1_TotalAnnualMethaneProductionFromManureManagement(AE219,AF177,AE235)</f>
        <v>1.2007244749778738E-2</v>
      </c>
      <c r="AG251" s="2" t="str">
        <f t="shared" ref="AG251:AG274" si="11">$E$210</f>
        <v>t CH4</v>
      </c>
      <c r="AH251" s="2"/>
    </row>
    <row r="252" spans="4:34" ht="20.100000000000001" customHeight="1" x14ac:dyDescent="0.25">
      <c r="U252" s="52" t="str">
        <f>'Input - Pasture Beef'!$D$172</f>
        <v>Pasture range and paddock</v>
      </c>
      <c r="V252" s="52" t="str">
        <f t="shared" ref="V252:V262" si="12">U236</f>
        <v>February 2024</v>
      </c>
      <c r="W252" s="52" cm="1">
        <f t="array" ref="W252">MMS_PastureBeef_Methane_Equations.VEERG_4_2_1_1__1_TotalAnnualMethaneProductionFromManureManagement(V220,W178,V236)</f>
        <v>1.0932434306171249E-2</v>
      </c>
      <c r="X252" s="52" cm="1">
        <f t="array" ref="X252">MMS_PastureBeef_Methane_Equations.VEERG_4_2_1_1__1_TotalAnnualMethaneProductionFromManureManagement(W220,X178,W236)</f>
        <v>1.4464691419993545E-2</v>
      </c>
      <c r="Y252" s="52" cm="1">
        <f t="array" ref="Y252">MMS_PastureBeef_Methane_Equations.VEERG_4_2_1_1__1_TotalAnnualMethaneProductionFromManureManagement(X220,Y178,X236)</f>
        <v>9.1939303711228923E-3</v>
      </c>
      <c r="Z252" s="52" cm="1">
        <f t="array" ref="Z252">MMS_PastureBeef_Methane_Equations.VEERG_4_2_1_1__1_TotalAnnualMethaneProductionFromManureManagement(Y220,Z178,Y236)</f>
        <v>1.2039461182932479E-2</v>
      </c>
      <c r="AA252" s="52" cm="1">
        <f t="array" ref="AA252">MMS_PastureBeef_Methane_Equations.VEERG_4_2_1_1__1_TotalAnnualMethaneProductionFromManureManagement(Z220,AA178,Z236)</f>
        <v>1.1920539700702386E-2</v>
      </c>
      <c r="AB252" s="52" cm="1">
        <f t="array" ref="AB252">MMS_PastureBeef_Methane_Equations.VEERG_4_2_1_1__1_TotalAnnualMethaneProductionFromManureManagement(AA220,AB178,AA236)</f>
        <v>1.1920539700702386E-2</v>
      </c>
      <c r="AC252" s="52" cm="1">
        <f t="array" ref="AC252">MMS_PastureBeef_Methane_Equations.VEERG_4_2_1_1__1_TotalAnnualMethaneProductionFromManureManagement(AB220,AC178,AB236)</f>
        <v>1.0077014919586293E-2</v>
      </c>
      <c r="AD252" s="52" cm="1">
        <f t="array" ref="AD252">MMS_PastureBeef_Methane_Equations.VEERG_4_2_1_1__1_TotalAnnualMethaneProductionFromManureManagement(AC220,AD178,AC236)</f>
        <v>1.123258379818011E-2</v>
      </c>
      <c r="AE252" s="52" cm="1">
        <f t="array" ref="AE252">MMS_PastureBeef_Methane_Equations.VEERG_4_2_1_1__1_TotalAnnualMethaneProductionFromManureManagement(AD220,AE178,AD236)</f>
        <v>1.123258379818011E-2</v>
      </c>
      <c r="AF252" s="52" cm="1">
        <f t="array" ref="AF252">MMS_PastureBeef_Methane_Equations.VEERG_4_2_1_1__1_TotalAnnualMethaneProductionFromManureManagement(AE220,AF178,AE236)</f>
        <v>1.123258379818011E-2</v>
      </c>
      <c r="AG252" s="2" t="str">
        <f t="shared" si="11"/>
        <v>t CH4</v>
      </c>
      <c r="AH252" s="2"/>
    </row>
    <row r="253" spans="4:34" ht="20.100000000000001" customHeight="1" x14ac:dyDescent="0.25">
      <c r="U253" s="52" t="str">
        <f>'Input - Pasture Beef'!$D$172</f>
        <v>Pasture range and paddock</v>
      </c>
      <c r="V253" s="52" t="str">
        <f t="shared" si="12"/>
        <v>March 2024</v>
      </c>
      <c r="W253" s="52" cm="1">
        <f t="array" ref="W253">MMS_PastureBeef_Methane_Equations.VEERG_4_2_1_1__1_TotalAnnualMethaneProductionFromManureManagement(V221,W179,V237)</f>
        <v>5.4774412062255371E-3</v>
      </c>
      <c r="X253" s="52" cm="1">
        <f t="array" ref="X253">MMS_PastureBeef_Methane_Equations.VEERG_4_2_1_1__1_TotalAnnualMethaneProductionFromManureManagement(W221,X179,W237)</f>
        <v>1.5897673929250736E-2</v>
      </c>
      <c r="Y253" s="52" cm="1">
        <f t="array" ref="Y253">MMS_PastureBeef_Methane_Equations.VEERG_4_2_1_1__1_TotalAnnualMethaneProductionFromManureManagement(X221,Y179,X237)</f>
        <v>4.9935315197206171E-3</v>
      </c>
      <c r="Z253" s="52" cm="1">
        <f t="array" ref="Z253">MMS_PastureBeef_Methane_Equations.VEERG_4_2_1_1__1_TotalAnnualMethaneProductionFromManureManagement(Y221,Z179,Y237)</f>
        <v>1.0049718385957321E-2</v>
      </c>
      <c r="AA253" s="52" cm="1">
        <f t="array" ref="AA253">MMS_PastureBeef_Methane_Equations.VEERG_4_2_1_1__1_TotalAnnualMethaneProductionFromManureManagement(Z221,AA179,Z237)</f>
        <v>1.1332037052658516E-2</v>
      </c>
      <c r="AB253" s="52" cm="1">
        <f t="array" ref="AB253">MMS_PastureBeef_Methane_Equations.VEERG_4_2_1_1__1_TotalAnnualMethaneProductionFromManureManagement(AA221,AB179,AA237)</f>
        <v>1.1332037052658516E-2</v>
      </c>
      <c r="AC253" s="52" cm="1">
        <f t="array" ref="AC253">MMS_PastureBeef_Methane_Equations.VEERG_4_2_1_1__1_TotalAnnualMethaneProductionFromManureManagement(AB221,AC179,AB237)</f>
        <v>5.4774412062255371E-3</v>
      </c>
      <c r="AD253" s="52" cm="1">
        <f t="array" ref="AD253">MMS_PastureBeef_Methane_Equations.VEERG_4_2_1_1__1_TotalAnnualMethaneProductionFromManureManagement(AC221,AD179,AC237)</f>
        <v>9.9444284088173376E-3</v>
      </c>
      <c r="AE253" s="52" cm="1">
        <f t="array" ref="AE253">MMS_PastureBeef_Methane_Equations.VEERG_4_2_1_1__1_TotalAnnualMethaneProductionFromManureManagement(AD221,AE179,AD237)</f>
        <v>9.9444284088173376E-3</v>
      </c>
      <c r="AF253" s="52" cm="1">
        <f t="array" ref="AF253">MMS_PastureBeef_Methane_Equations.VEERG_4_2_1_1__1_TotalAnnualMethaneProductionFromManureManagement(AE221,AF179,AE237)</f>
        <v>9.9444284088173376E-3</v>
      </c>
      <c r="AG253" s="2" t="str">
        <f t="shared" si="11"/>
        <v>t CH4</v>
      </c>
      <c r="AH253" s="2"/>
    </row>
    <row r="254" spans="4:34" ht="20.100000000000001" customHeight="1" x14ac:dyDescent="0.25">
      <c r="U254" s="52" t="str">
        <f>'Input - Pasture Beef'!$D$172</f>
        <v>Pasture range and paddock</v>
      </c>
      <c r="V254" s="52" t="str">
        <f t="shared" si="12"/>
        <v>April 2024</v>
      </c>
      <c r="W254" s="52" cm="1">
        <f t="array" ref="W254">MMS_PastureBeef_Methane_Equations.VEERG_4_2_1_1__1_TotalAnnualMethaneProductionFromManureManagement(V222,W180,V238)</f>
        <v>5.3007495544118103E-3</v>
      </c>
      <c r="X254" s="52" cm="1">
        <f t="array" ref="X254">MMS_PastureBeef_Methane_Equations.VEERG_4_2_1_1__1_TotalAnnualMethaneProductionFromManureManagement(W222,X180,W238)</f>
        <v>1.5384845737984583E-2</v>
      </c>
      <c r="Y254" s="52" cm="1">
        <f t="array" ref="Y254">MMS_PastureBeef_Methane_Equations.VEERG_4_2_1_1__1_TotalAnnualMethaneProductionFromManureManagement(X222,Y180,X238)</f>
        <v>4.8324498577941447E-3</v>
      </c>
      <c r="Z254" s="52" cm="1">
        <f t="array" ref="Z254">MMS_PastureBeef_Methane_Equations.VEERG_4_2_1_1__1_TotalAnnualMethaneProductionFromManureManagement(Y222,Z180,Y238)</f>
        <v>9.7255339218941788E-3</v>
      </c>
      <c r="AA254" s="52" cm="1">
        <f t="array" ref="AA254">MMS_PastureBeef_Methane_Equations.VEERG_4_2_1_1__1_TotalAnnualMethaneProductionFromManureManagement(Z222,AA180,Z238)</f>
        <v>1.0966487470314694E-2</v>
      </c>
      <c r="AB254" s="52" cm="1">
        <f t="array" ref="AB254">MMS_PastureBeef_Methane_Equations.VEERG_4_2_1_1__1_TotalAnnualMethaneProductionFromManureManagement(AA222,AB180,AA238)</f>
        <v>1.0966487470314694E-2</v>
      </c>
      <c r="AC254" s="52" cm="1">
        <f t="array" ref="AC254">MMS_PastureBeef_Methane_Equations.VEERG_4_2_1_1__1_TotalAnnualMethaneProductionFromManureManagement(AB222,AC180,AB238)</f>
        <v>5.3007495544118103E-3</v>
      </c>
      <c r="AD254" s="52" cm="1">
        <f t="array" ref="AD254">MMS_PastureBeef_Methane_Equations.VEERG_4_2_1_1__1_TotalAnnualMethaneProductionFromManureManagement(AC222,AD180,AC238)</f>
        <v>9.6236403956296828E-3</v>
      </c>
      <c r="AE254" s="52" cm="1">
        <f t="array" ref="AE254">MMS_PastureBeef_Methane_Equations.VEERG_4_2_1_1__1_TotalAnnualMethaneProductionFromManureManagement(AD222,AE180,AD238)</f>
        <v>9.6236403956296828E-3</v>
      </c>
      <c r="AF254" s="52" cm="1">
        <f t="array" ref="AF254">MMS_PastureBeef_Methane_Equations.VEERG_4_2_1_1__1_TotalAnnualMethaneProductionFromManureManagement(AE222,AF180,AE238)</f>
        <v>9.6236403956296828E-3</v>
      </c>
      <c r="AG254" s="2" t="str">
        <f t="shared" si="11"/>
        <v>t CH4</v>
      </c>
      <c r="AH254" s="2"/>
    </row>
    <row r="255" spans="4:34" ht="20.100000000000001" customHeight="1" x14ac:dyDescent="0.25">
      <c r="U255" s="52" t="str">
        <f>'Input - Pasture Beef'!$D$172</f>
        <v>Pasture range and paddock</v>
      </c>
      <c r="V255" s="52" t="str">
        <f t="shared" si="12"/>
        <v>May 2024</v>
      </c>
      <c r="W255" s="52" cm="1">
        <f t="array" ref="W255">MMS_PastureBeef_Methane_Equations.VEERG_4_2_1_1__1_TotalAnnualMethaneProductionFromManureManagement(V223,W181,V239)</f>
        <v>5.4774412062255371E-3</v>
      </c>
      <c r="X255" s="52" cm="1">
        <f t="array" ref="X255">MMS_PastureBeef_Methane_Equations.VEERG_4_2_1_1__1_TotalAnnualMethaneProductionFromManureManagement(W223,X181,W239)</f>
        <v>1.5897673929250736E-2</v>
      </c>
      <c r="Y255" s="52" cm="1">
        <f t="array" ref="Y255">MMS_PastureBeef_Methane_Equations.VEERG_4_2_1_1__1_TotalAnnualMethaneProductionFromManureManagement(X223,Y181,X239)</f>
        <v>4.9935315197206171E-3</v>
      </c>
      <c r="Z255" s="52" cm="1">
        <f t="array" ref="Z255">MMS_PastureBeef_Methane_Equations.VEERG_4_2_1_1__1_TotalAnnualMethaneProductionFromManureManagement(Y223,Z181,Y239)</f>
        <v>1.0049718385957321E-2</v>
      </c>
      <c r="AA255" s="52" cm="1">
        <f t="array" ref="AA255">MMS_PastureBeef_Methane_Equations.VEERG_4_2_1_1__1_TotalAnnualMethaneProductionFromManureManagement(Z223,AA181,Z239)</f>
        <v>1.1332037052658516E-2</v>
      </c>
      <c r="AB255" s="52" cm="1">
        <f t="array" ref="AB255">MMS_PastureBeef_Methane_Equations.VEERG_4_2_1_1__1_TotalAnnualMethaneProductionFromManureManagement(AA223,AB181,AA239)</f>
        <v>1.1332037052658516E-2</v>
      </c>
      <c r="AC255" s="52" cm="1">
        <f t="array" ref="AC255">MMS_PastureBeef_Methane_Equations.VEERG_4_2_1_1__1_TotalAnnualMethaneProductionFromManureManagement(AB223,AC181,AB239)</f>
        <v>5.4774412062255371E-3</v>
      </c>
      <c r="AD255" s="52" cm="1">
        <f t="array" ref="AD255">MMS_PastureBeef_Methane_Equations.VEERG_4_2_1_1__1_TotalAnnualMethaneProductionFromManureManagement(AC223,AD181,AC239)</f>
        <v>9.9444284088173376E-3</v>
      </c>
      <c r="AE255" s="52" cm="1">
        <f t="array" ref="AE255">MMS_PastureBeef_Methane_Equations.VEERG_4_2_1_1__1_TotalAnnualMethaneProductionFromManureManagement(AD223,AE181,AD239)</f>
        <v>9.9444284088173376E-3</v>
      </c>
      <c r="AF255" s="52" cm="1">
        <f t="array" ref="AF255">MMS_PastureBeef_Methane_Equations.VEERG_4_2_1_1__1_TotalAnnualMethaneProductionFromManureManagement(AE223,AF181,AE239)</f>
        <v>9.9444284088173376E-3</v>
      </c>
      <c r="AG255" s="2" t="str">
        <f t="shared" si="11"/>
        <v>t CH4</v>
      </c>
      <c r="AH255" s="2"/>
    </row>
    <row r="256" spans="4:34" ht="20.100000000000001" customHeight="1" x14ac:dyDescent="0.25">
      <c r="U256" s="52" t="str">
        <f>'Input - Pasture Beef'!$D$172</f>
        <v>Pasture range and paddock</v>
      </c>
      <c r="V256" s="52" t="str">
        <f t="shared" si="12"/>
        <v>June 2024</v>
      </c>
      <c r="W256" s="52" cm="1">
        <f t="array" ref="W256">MMS_PastureBeef_Methane_Equations.VEERG_4_2_1_1__1_TotalAnnualMethaneProductionFromManureManagement(V224,W182,V240)</f>
        <v>7.1819695717055543E-3</v>
      </c>
      <c r="X256" s="52" cm="1">
        <f t="array" ref="X256">MMS_PastureBeef_Methane_Equations.VEERG_4_2_1_1__1_TotalAnnualMethaneProductionFromManureManagement(W224,X182,W240)</f>
        <v>1.3956858748939045E-2</v>
      </c>
      <c r="Y256" s="52" cm="1">
        <f t="array" ref="Y256">MMS_PastureBeef_Methane_Equations.VEERG_4_2_1_1__1_TotalAnnualMethaneProductionFromManureManagement(X224,Y182,X240)</f>
        <v>5.8804400874438879E-3</v>
      </c>
      <c r="Z256" s="52" cm="1">
        <f t="array" ref="Z256">MMS_PastureBeef_Methane_Equations.VEERG_4_2_1_1__1_TotalAnnualMethaneProductionFromManureManagement(Y224,Z182,Y240)</f>
        <v>8.29421715436807E-3</v>
      </c>
      <c r="AA256" s="52" cm="1">
        <f t="array" ref="AA256">MMS_PastureBeef_Methane_Equations.VEERG_4_2_1_1__1_TotalAnnualMethaneProductionFromManureManagement(Z224,AA182,Z240)</f>
        <v>1.1126948017369406E-2</v>
      </c>
      <c r="AB256" s="52" cm="1">
        <f t="array" ref="AB256">MMS_PastureBeef_Methane_Equations.VEERG_4_2_1_1__1_TotalAnnualMethaneProductionFromManureManagement(AA224,AB182,AA240)</f>
        <v>1.1126948017369406E-2</v>
      </c>
      <c r="AC256" s="52" cm="1">
        <f t="array" ref="AC256">MMS_PastureBeef_Methane_Equations.VEERG_4_2_1_1__1_TotalAnnualMethaneProductionFromManureManagement(AB224,AC182,AB240)</f>
        <v>6.3135819303208052E-3</v>
      </c>
      <c r="AD256" s="52" cm="1">
        <f t="array" ref="AD256">MMS_PastureBeef_Methane_Equations.VEERG_4_2_1_1__1_TotalAnnualMethaneProductionFromManureManagement(AC224,AD182,AC240)</f>
        <v>9.6123199983828393E-3</v>
      </c>
      <c r="AE256" s="52" cm="1">
        <f t="array" ref="AE256">MMS_PastureBeef_Methane_Equations.VEERG_4_2_1_1__1_TotalAnnualMethaneProductionFromManureManagement(AD224,AE182,AD240)</f>
        <v>9.6123199983828393E-3</v>
      </c>
      <c r="AF256" s="52" cm="1">
        <f t="array" ref="AF256">MMS_PastureBeef_Methane_Equations.VEERG_4_2_1_1__1_TotalAnnualMethaneProductionFromManureManagement(AE224,AF182,AE240)</f>
        <v>9.6123199983828393E-3</v>
      </c>
      <c r="AG256" s="2" t="str">
        <f t="shared" si="11"/>
        <v>t CH4</v>
      </c>
      <c r="AH256" s="2"/>
    </row>
    <row r="257" spans="21:34" ht="20.100000000000001" customHeight="1" x14ac:dyDescent="0.25">
      <c r="U257" s="52" t="str">
        <f>'Input - Pasture Beef'!$D$172</f>
        <v>Pasture range and paddock</v>
      </c>
      <c r="V257" s="52" t="str">
        <f t="shared" si="12"/>
        <v>July 2024</v>
      </c>
      <c r="W257" s="52" cm="1">
        <f t="array" ref="W257">MMS_PastureBeef_Methane_Equations.VEERG_4_2_1_1__1_TotalAnnualMethaneProductionFromManureManagement(V225,W183,V241)</f>
        <v>7.4213685574290728E-3</v>
      </c>
      <c r="X257" s="52" cm="1">
        <f t="array" ref="X257">MMS_PastureBeef_Methane_Equations.VEERG_4_2_1_1__1_TotalAnnualMethaneProductionFromManureManagement(W225,X183,W241)</f>
        <v>1.4422087373903679E-2</v>
      </c>
      <c r="Y257" s="52" cm="1">
        <f t="array" ref="Y257">MMS_PastureBeef_Methane_Equations.VEERG_4_2_1_1__1_TotalAnnualMethaneProductionFromManureManagement(X225,Y183,X241)</f>
        <v>6.0764547570253506E-3</v>
      </c>
      <c r="Z257" s="52" cm="1">
        <f t="array" ref="Z257">MMS_PastureBeef_Methane_Equations.VEERG_4_2_1_1__1_TotalAnnualMethaneProductionFromManureManagement(Y225,Z183,Y241)</f>
        <v>8.5706910595136718E-3</v>
      </c>
      <c r="AA257" s="52" cm="1">
        <f t="array" ref="AA257">MMS_PastureBeef_Methane_Equations.VEERG_4_2_1_1__1_TotalAnnualMethaneProductionFromManureManagement(Z225,AA183,Z241)</f>
        <v>1.1497846284615053E-2</v>
      </c>
      <c r="AB257" s="52" cm="1">
        <f t="array" ref="AB257">MMS_PastureBeef_Methane_Equations.VEERG_4_2_1_1__1_TotalAnnualMethaneProductionFromManureManagement(AA225,AB183,AA241)</f>
        <v>1.1497846284615053E-2</v>
      </c>
      <c r="AC257" s="52" cm="1">
        <f t="array" ref="AC257">MMS_PastureBeef_Methane_Equations.VEERG_4_2_1_1__1_TotalAnnualMethaneProductionFromManureManagement(AB225,AC183,AB241)</f>
        <v>6.5240346613314988E-3</v>
      </c>
      <c r="AD257" s="52" cm="1">
        <f t="array" ref="AD257">MMS_PastureBeef_Methane_Equations.VEERG_4_2_1_1__1_TotalAnnualMethaneProductionFromManureManagement(AC225,AD183,AC241)</f>
        <v>9.9327306649955992E-3</v>
      </c>
      <c r="AE257" s="52" cm="1">
        <f t="array" ref="AE257">MMS_PastureBeef_Methane_Equations.VEERG_4_2_1_1__1_TotalAnnualMethaneProductionFromManureManagement(AD225,AE183,AD241)</f>
        <v>9.9327306649955992E-3</v>
      </c>
      <c r="AF257" s="52" cm="1">
        <f t="array" ref="AF257">MMS_PastureBeef_Methane_Equations.VEERG_4_2_1_1__1_TotalAnnualMethaneProductionFromManureManagement(AE225,AF183,AE241)</f>
        <v>9.9327306649955992E-3</v>
      </c>
      <c r="AG257" s="2" t="str">
        <f t="shared" si="11"/>
        <v>t CH4</v>
      </c>
      <c r="AH257" s="2"/>
    </row>
    <row r="258" spans="21:34" ht="20.100000000000001" customHeight="1" x14ac:dyDescent="0.25">
      <c r="U258" s="52" t="str">
        <f>'Input - Pasture Beef'!$D$172</f>
        <v>Pasture range and paddock</v>
      </c>
      <c r="V258" s="52" t="str">
        <f t="shared" si="12"/>
        <v>August 2024</v>
      </c>
      <c r="W258" s="52" cm="1">
        <f t="array" ref="W258">MMS_PastureBeef_Methane_Equations.VEERG_4_2_1_1__1_TotalAnnualMethaneProductionFromManureManagement(V226,W184,V242)</f>
        <v>7.4213685574290728E-3</v>
      </c>
      <c r="X258" s="52" cm="1">
        <f t="array" ref="X258">MMS_PastureBeef_Methane_Equations.VEERG_4_2_1_1__1_TotalAnnualMethaneProductionFromManureManagement(W226,X184,W242)</f>
        <v>1.4422087373903679E-2</v>
      </c>
      <c r="Y258" s="52" cm="1">
        <f t="array" ref="Y258">MMS_PastureBeef_Methane_Equations.VEERG_4_2_1_1__1_TotalAnnualMethaneProductionFromManureManagement(X226,Y184,X242)</f>
        <v>6.0764547570253506E-3</v>
      </c>
      <c r="Z258" s="52" cm="1">
        <f t="array" ref="Z258">MMS_PastureBeef_Methane_Equations.VEERG_4_2_1_1__1_TotalAnnualMethaneProductionFromManureManagement(Y226,Z184,Y242)</f>
        <v>1.0499096547904251E-2</v>
      </c>
      <c r="AA258" s="52" cm="1">
        <f t="array" ref="AA258">MMS_PastureBeef_Methane_Equations.VEERG_4_2_1_1__1_TotalAnnualMethaneProductionFromManureManagement(Z226,AA184,Z242)</f>
        <v>1.4084861698653443E-2</v>
      </c>
      <c r="AB258" s="52" cm="1">
        <f t="array" ref="AB258">MMS_PastureBeef_Methane_Equations.VEERG_4_2_1_1__1_TotalAnnualMethaneProductionFromManureManagement(AA226,AB184,AA242)</f>
        <v>1.4084861698653443E-2</v>
      </c>
      <c r="AC258" s="52" cm="1">
        <f t="array" ref="AC258">MMS_PastureBeef_Methane_Equations.VEERG_4_2_1_1__1_TotalAnnualMethaneProductionFromManureManagement(AB226,AC184,AB242)</f>
        <v>6.5240346613314988E-3</v>
      </c>
      <c r="AD258" s="52" cm="1">
        <f t="array" ref="AD258">MMS_PastureBeef_Methane_Equations.VEERG_4_2_1_1__1_TotalAnnualMethaneProductionFromManureManagement(AC226,AD184,AC242)</f>
        <v>9.9327306649955992E-3</v>
      </c>
      <c r="AE258" s="52" cm="1">
        <f t="array" ref="AE258">MMS_PastureBeef_Methane_Equations.VEERG_4_2_1_1__1_TotalAnnualMethaneProductionFromManureManagement(AD226,AE184,AD242)</f>
        <v>9.9327306649955992E-3</v>
      </c>
      <c r="AF258" s="52" cm="1">
        <f t="array" ref="AF258">MMS_PastureBeef_Methane_Equations.VEERG_4_2_1_1__1_TotalAnnualMethaneProductionFromManureManagement(AE226,AF184,AE242)</f>
        <v>9.9327306649955992E-3</v>
      </c>
      <c r="AG258" s="2" t="str">
        <f t="shared" si="11"/>
        <v>t CH4</v>
      </c>
      <c r="AH258" s="2"/>
    </row>
    <row r="259" spans="21:34" ht="20.100000000000001" customHeight="1" x14ac:dyDescent="0.25">
      <c r="U259" s="52" t="str">
        <f>'Input - Pasture Beef'!$D$172</f>
        <v>Pasture range and paddock</v>
      </c>
      <c r="V259" s="52" t="str">
        <f t="shared" si="12"/>
        <v>September 2024</v>
      </c>
      <c r="W259" s="52" cm="1">
        <f t="array" ref="W259">MMS_PastureBeef_Methane_Equations.VEERG_4_2_1_1__1_TotalAnnualMethaneProductionFromManureManagement(V227,W185,V243)</f>
        <v>1.2132361356796569E-2</v>
      </c>
      <c r="X259" s="52" cm="1">
        <f t="array" ref="X259">MMS_PastureBeef_Methane_Equations.VEERG_4_2_1_1__1_TotalAnnualMethaneProductionFromManureManagement(W227,X185,W243)</f>
        <v>1.713534758165354E-2</v>
      </c>
      <c r="Y259" s="52" cm="1">
        <f t="array" ref="Y259">MMS_PastureBeef_Methane_Equations.VEERG_4_2_1_1__1_TotalAnnualMethaneProductionFromManureManagement(X227,Y185,X243)</f>
        <v>9.2472825229088541E-3</v>
      </c>
      <c r="Z259" s="52" cm="1">
        <f t="array" ref="Z259">MMS_PastureBeef_Methane_Equations.VEERG_4_2_1_1__1_TotalAnnualMethaneProductionFromManureManagement(Y227,Z185,Y243)</f>
        <v>1.4865877813581433E-2</v>
      </c>
      <c r="AA259" s="52" cm="1">
        <f t="array" ref="AA259">MMS_PastureBeef_Methane_Equations.VEERG_4_2_1_1__1_TotalAnnualMethaneProductionFromManureManagement(Z227,AA185,Z243)</f>
        <v>1.6507926360625275E-2</v>
      </c>
      <c r="AB259" s="52" cm="1">
        <f t="array" ref="AB259">MMS_PastureBeef_Methane_Equations.VEERG_4_2_1_1__1_TotalAnnualMethaneProductionFromManureManagement(AA227,AB185,AA243)</f>
        <v>1.6507926360625275E-2</v>
      </c>
      <c r="AC259" s="52" cm="1">
        <f t="array" ref="AC259">MMS_PastureBeef_Methane_Equations.VEERG_4_2_1_1__1_TotalAnnualMethaneProductionFromManureManagement(AB227,AC185,AB243)</f>
        <v>1.0660890764753827E-2</v>
      </c>
      <c r="AD259" s="52" cm="1">
        <f t="array" ref="AD259">MMS_PastureBeef_Methane_Equations.VEERG_4_2_1_1__1_TotalAnnualMethaneProductionFromManureManagement(AC227,AD185,AC243)</f>
        <v>1.3547688324550109E-2</v>
      </c>
      <c r="AE259" s="52" cm="1">
        <f t="array" ref="AE259">MMS_PastureBeef_Methane_Equations.VEERG_4_2_1_1__1_TotalAnnualMethaneProductionFromManureManagement(AD227,AE185,AD243)</f>
        <v>1.3547688324550109E-2</v>
      </c>
      <c r="AF259" s="52" cm="1">
        <f t="array" ref="AF259">MMS_PastureBeef_Methane_Equations.VEERG_4_2_1_1__1_TotalAnnualMethaneProductionFromManureManagement(AE227,AF185,AE243)</f>
        <v>1.3547688324550109E-2</v>
      </c>
      <c r="AG259" s="2" t="str">
        <f t="shared" si="11"/>
        <v>t CH4</v>
      </c>
      <c r="AH259" s="2"/>
    </row>
    <row r="260" spans="21:34" ht="20.100000000000001" customHeight="1" x14ac:dyDescent="0.25">
      <c r="U260" s="52" t="str">
        <f>'Input - Pasture Beef'!$D$172</f>
        <v>Pasture range and paddock</v>
      </c>
      <c r="V260" s="52" t="str">
        <f t="shared" si="12"/>
        <v>October 2024</v>
      </c>
      <c r="W260" s="52" cm="1">
        <f t="array" ref="W260">MMS_PastureBeef_Methane_Equations.VEERG_4_2_1_1__1_TotalAnnualMethaneProductionFromManureManagement(V228,W186,V244)</f>
        <v>1.2536773402023121E-2</v>
      </c>
      <c r="X260" s="52" cm="1">
        <f t="array" ref="X260">MMS_PastureBeef_Methane_Equations.VEERG_4_2_1_1__1_TotalAnnualMethaneProductionFromManureManagement(W228,X186,W244)</f>
        <v>1.7706525834375323E-2</v>
      </c>
      <c r="Y260" s="52" cm="1">
        <f t="array" ref="Y260">MMS_PastureBeef_Methane_Equations.VEERG_4_2_1_1__1_TotalAnnualMethaneProductionFromManureManagement(X228,Y186,X244)</f>
        <v>9.555525273672481E-3</v>
      </c>
      <c r="Z260" s="52" cm="1">
        <f t="array" ref="Z260">MMS_PastureBeef_Methane_Equations.VEERG_4_2_1_1__1_TotalAnnualMethaneProductionFromManureManagement(Y228,Z186,Y244)</f>
        <v>1.5361407074034147E-2</v>
      </c>
      <c r="AA260" s="52" cm="1">
        <f t="array" ref="AA260">MMS_PastureBeef_Methane_Equations.VEERG_4_2_1_1__1_TotalAnnualMethaneProductionFromManureManagement(Z228,AA186,Z244)</f>
        <v>1.7058190572646119E-2</v>
      </c>
      <c r="AB260" s="52" cm="1">
        <f t="array" ref="AB260">MMS_PastureBeef_Methane_Equations.VEERG_4_2_1_1__1_TotalAnnualMethaneProductionFromManureManagement(AA228,AB186,AA244)</f>
        <v>1.7058190572646119E-2</v>
      </c>
      <c r="AC260" s="52" cm="1">
        <f t="array" ref="AC260">MMS_PastureBeef_Methane_Equations.VEERG_4_2_1_1__1_TotalAnnualMethaneProductionFromManureManagement(AB228,AC186,AB244)</f>
        <v>1.1016253790245621E-2</v>
      </c>
      <c r="AD260" s="52" cm="1">
        <f t="array" ref="AD260">MMS_PastureBeef_Methane_Equations.VEERG_4_2_1_1__1_TotalAnnualMethaneProductionFromManureManagement(AC228,AD186,AC244)</f>
        <v>1.3999277935368445E-2</v>
      </c>
      <c r="AE260" s="52" cm="1">
        <f t="array" ref="AE260">MMS_PastureBeef_Methane_Equations.VEERG_4_2_1_1__1_TotalAnnualMethaneProductionFromManureManagement(AD228,AE186,AD244)</f>
        <v>1.3999277935368445E-2</v>
      </c>
      <c r="AF260" s="52" cm="1">
        <f t="array" ref="AF260">MMS_PastureBeef_Methane_Equations.VEERG_4_2_1_1__1_TotalAnnualMethaneProductionFromManureManagement(AE228,AF186,AE244)</f>
        <v>1.3999277935368445E-2</v>
      </c>
      <c r="AG260" s="2" t="str">
        <f t="shared" si="11"/>
        <v>t CH4</v>
      </c>
      <c r="AH260" s="2"/>
    </row>
    <row r="261" spans="21:34" ht="20.100000000000001" customHeight="1" x14ac:dyDescent="0.25">
      <c r="U261" s="52" t="str">
        <f>'Input - Pasture Beef'!$D$172</f>
        <v>Pasture range and paddock</v>
      </c>
      <c r="V261" s="52" t="str">
        <f t="shared" si="12"/>
        <v>November 2024</v>
      </c>
      <c r="W261" s="52" cm="1">
        <f t="array" ref="W261">MMS_PastureBeef_Methane_Equations.VEERG_4_2_1_1__1_TotalAnnualMethaneProductionFromManureManagement(V229,W187,V245)</f>
        <v>1.2132361356796569E-2</v>
      </c>
      <c r="X261" s="52" cm="1">
        <f t="array" ref="X261">MMS_PastureBeef_Methane_Equations.VEERG_4_2_1_1__1_TotalAnnualMethaneProductionFromManureManagement(W229,X187,W245)</f>
        <v>1.713534758165354E-2</v>
      </c>
      <c r="Y261" s="52" cm="1">
        <f t="array" ref="Y261">MMS_PastureBeef_Methane_Equations.VEERG_4_2_1_1__1_TotalAnnualMethaneProductionFromManureManagement(X229,Y187,X245)</f>
        <v>9.2472825229088541E-3</v>
      </c>
      <c r="Z261" s="52" cm="1">
        <f t="array" ref="Z261">MMS_PastureBeef_Methane_Equations.VEERG_4_2_1_1__1_TotalAnnualMethaneProductionFromManureManagement(Y229,Z187,Y245)</f>
        <v>1.3045566244571469E-2</v>
      </c>
      <c r="AA261" s="52" cm="1">
        <f t="array" ref="AA261">MMS_PastureBeef_Methane_Equations.VEERG_4_2_1_1__1_TotalAnnualMethaneProductionFromManureManagement(Z229,AA187,Z245)</f>
        <v>1.4486547622589524E-2</v>
      </c>
      <c r="AB261" s="52" cm="1">
        <f t="array" ref="AB261">MMS_PastureBeef_Methane_Equations.VEERG_4_2_1_1__1_TotalAnnualMethaneProductionFromManureManagement(AA229,AB187,AA245)</f>
        <v>1.4486547622589524E-2</v>
      </c>
      <c r="AC261" s="52" cm="1">
        <f t="array" ref="AC261">MMS_PastureBeef_Methane_Equations.VEERG_4_2_1_1__1_TotalAnnualMethaneProductionFromManureManagement(AB229,AC187,AB245)</f>
        <v>1.0660890764753827E-2</v>
      </c>
      <c r="AD261" s="52" cm="1">
        <f t="array" ref="AD261">MMS_PastureBeef_Methane_Equations.VEERG_4_2_1_1__1_TotalAnnualMethaneProductionFromManureManagement(AC229,AD187,AC245)</f>
        <v>1.3547688324550109E-2</v>
      </c>
      <c r="AE261" s="52" cm="1">
        <f t="array" ref="AE261">MMS_PastureBeef_Methane_Equations.VEERG_4_2_1_1__1_TotalAnnualMethaneProductionFromManureManagement(AD229,AE187,AD245)</f>
        <v>1.3547688324550109E-2</v>
      </c>
      <c r="AF261" s="52" cm="1">
        <f t="array" ref="AF261">MMS_PastureBeef_Methane_Equations.VEERG_4_2_1_1__1_TotalAnnualMethaneProductionFromManureManagement(AE229,AF187,AE245)</f>
        <v>1.3547688324550109E-2</v>
      </c>
      <c r="AG261" s="2" t="str">
        <f t="shared" si="11"/>
        <v>t CH4</v>
      </c>
      <c r="AH261" s="2"/>
    </row>
    <row r="262" spans="21:34" ht="20.100000000000001" customHeight="1" x14ac:dyDescent="0.25">
      <c r="U262" s="52" t="str">
        <f>'Input - Pasture Beef'!$D$172</f>
        <v>Pasture range and paddock</v>
      </c>
      <c r="V262" s="52" t="str">
        <f t="shared" si="12"/>
        <v>December 2024</v>
      </c>
      <c r="W262" s="52" cm="1">
        <f t="array" ref="W262">MMS_PastureBeef_Methane_Equations.VEERG_4_2_1_1__1_TotalAnnualMethaneProductionFromManureManagement(V230,W188,V246)</f>
        <v>1.1686395292803749E-2</v>
      </c>
      <c r="X262" s="52" cm="1">
        <f t="array" ref="X262">MMS_PastureBeef_Methane_Equations.VEERG_4_2_1_1__1_TotalAnnualMethaneProductionFromManureManagement(W230,X188,W246)</f>
        <v>1.5462256345510341E-2</v>
      </c>
      <c r="Y262" s="52" cm="1">
        <f t="array" ref="Y262">MMS_PastureBeef_Methane_Equations.VEERG_4_2_1_1__1_TotalAnnualMethaneProductionFromManureManagement(X230,Y188,X246)</f>
        <v>9.827994534648608E-3</v>
      </c>
      <c r="Z262" s="52" cm="1">
        <f t="array" ref="Z262">MMS_PastureBeef_Methane_Equations.VEERG_4_2_1_1__1_TotalAnnualMethaneProductionFromManureManagement(Y230,Z188,Y246)</f>
        <v>1.3835001514524993E-2</v>
      </c>
      <c r="AA262" s="52" cm="1">
        <f t="array" ref="AA262">MMS_PastureBeef_Methane_Equations.VEERG_4_2_1_1__1_TotalAnnualMethaneProductionFromManureManagement(Z230,AA188,Z246)</f>
        <v>1.3698344328479549E-2</v>
      </c>
      <c r="AB262" s="52" cm="1">
        <f t="array" ref="AB262">MMS_PastureBeef_Methane_Equations.VEERG_4_2_1_1__1_TotalAnnualMethaneProductionFromManureManagement(AA230,AB188,AA246)</f>
        <v>1.3698344328479549E-2</v>
      </c>
      <c r="AC262" s="52" cm="1">
        <f t="array" ref="AC262">MMS_PastureBeef_Methane_Equations.VEERG_4_2_1_1__1_TotalAnnualMethaneProductionFromManureManagement(AB230,AC188,AB246)</f>
        <v>1.0771981465764659E-2</v>
      </c>
      <c r="AD262" s="52" cm="1">
        <f t="array" ref="AD262">MMS_PastureBeef_Methane_Equations.VEERG_4_2_1_1__1_TotalAnnualMethaneProductionFromManureManagement(AC230,AD188,AC246)</f>
        <v>1.2007244749778738E-2</v>
      </c>
      <c r="AE262" s="52" cm="1">
        <f t="array" ref="AE262">MMS_PastureBeef_Methane_Equations.VEERG_4_2_1_1__1_TotalAnnualMethaneProductionFromManureManagement(AD230,AE188,AD246)</f>
        <v>1.2007244749778738E-2</v>
      </c>
      <c r="AF262" s="52" cm="1">
        <f t="array" ref="AF262">MMS_PastureBeef_Methane_Equations.VEERG_4_2_1_1__1_TotalAnnualMethaneProductionFromManureManagement(AE230,AF188,AE246)</f>
        <v>1.2007244749778738E-2</v>
      </c>
      <c r="AG262" s="2" t="str">
        <f t="shared" si="11"/>
        <v>t CH4</v>
      </c>
      <c r="AH262" s="2"/>
    </row>
    <row r="263" spans="21:34" ht="20.100000000000001" customHeight="1" x14ac:dyDescent="0.25">
      <c r="U263" s="52" t="str">
        <f>'Input - Pasture Beef'!$D$173</f>
        <v>Anaerobic lagoon</v>
      </c>
      <c r="V263" s="52" t="str">
        <f>U235</f>
        <v>January 2024</v>
      </c>
      <c r="W263" s="52" cm="1">
        <f t="array" ref="W263">MMS_PastureBeef_Methane_Equations.VEERG_4_2_1_1__1_TotalAnnualMethaneProductionFromManureManagement(V219,W189,V235)</f>
        <v>7.1702260923240061E-3</v>
      </c>
      <c r="X263" s="52" cm="1">
        <f t="array" ref="X263">MMS_PastureBeef_Methane_Equations.VEERG_4_2_1_1__1_TotalAnnualMethaneProductionFromManureManagement(W219,X189,W235)</f>
        <v>9.4869180031117821E-3</v>
      </c>
      <c r="Y263" s="52" cm="1">
        <f t="array" ref="Y263">MMS_PastureBeef_Methane_Equations.VEERG_4_2_1_1__1_TotalAnnualMethaneProductionFromManureManagement(X219,Y189,X235)</f>
        <v>6.0299982228864514E-3</v>
      </c>
      <c r="Z263" s="52" cm="1">
        <f t="array" ref="Z263">MMS_PastureBeef_Methane_Equations.VEERG_4_2_1_1__1_TotalAnnualMethaneProductionFromManureManagement(Y219,Z189,Y235)</f>
        <v>8.4885104740445305E-3</v>
      </c>
      <c r="AA263" s="52" cm="1">
        <f t="array" ref="AA263">MMS_PastureBeef_Methane_Equations.VEERG_4_2_1_1__1_TotalAnnualMethaneProductionFromManureManagement(Z219,AA189,Z235)</f>
        <v>8.4046640101404727E-3</v>
      </c>
      <c r="AB263" s="52" cm="1">
        <f t="array" ref="AB263">MMS_PastureBeef_Methane_Equations.VEERG_4_2_1_1__1_TotalAnnualMethaneProductionFromManureManagement(AA219,AB189,AA235)</f>
        <v>8.4046640101404727E-3</v>
      </c>
      <c r="AC263" s="52" cm="1">
        <f t="array" ref="AC263">MMS_PastureBeef_Methane_Equations.VEERG_4_2_1_1__1_TotalAnnualMethaneProductionFromManureManagement(AB219,AC189,AB235)</f>
        <v>6.6091844950185562E-3</v>
      </c>
      <c r="AD263" s="52" cm="1">
        <f t="array" ref="AD263">MMS_PastureBeef_Methane_Equations.VEERG_4_2_1_1__1_TotalAnnualMethaneProductionFromManureManagement(AC219,AD189,AC235)</f>
        <v>7.3670843270892388E-3</v>
      </c>
      <c r="AE263" s="52" cm="1">
        <f t="array" ref="AE263">MMS_PastureBeef_Methane_Equations.VEERG_4_2_1_1__1_TotalAnnualMethaneProductionFromManureManagement(AD219,AE189,AD235)</f>
        <v>7.3670843270892388E-3</v>
      </c>
      <c r="AF263" s="52" cm="1">
        <f t="array" ref="AF263">MMS_PastureBeef_Methane_Equations.VEERG_4_2_1_1__1_TotalAnnualMethaneProductionFromManureManagement(AE219,AF189,AE235)</f>
        <v>7.3670843270892388E-3</v>
      </c>
      <c r="AG263" s="2" t="str">
        <f t="shared" si="11"/>
        <v>t CH4</v>
      </c>
      <c r="AH263" s="2"/>
    </row>
    <row r="264" spans="21:34" ht="20.100000000000001" customHeight="1" x14ac:dyDescent="0.25">
      <c r="U264" s="52" t="str">
        <f>'Input - Pasture Beef'!$D$173</f>
        <v>Anaerobic lagoon</v>
      </c>
      <c r="V264" s="52" t="str">
        <f t="shared" ref="V264:V274" si="13">U236</f>
        <v>February 2024</v>
      </c>
      <c r="W264" s="52" cm="1">
        <f t="array" ref="W264">MMS_PastureBeef_Methane_Equations.VEERG_4_2_1_1__1_TotalAnnualMethaneProductionFromManureManagement(V220,W190,V236)</f>
        <v>6.7076308605611666E-3</v>
      </c>
      <c r="X264" s="52" cm="1">
        <f t="array" ref="X264">MMS_PastureBeef_Methane_Equations.VEERG_4_2_1_1__1_TotalAnnualMethaneProductionFromManureManagement(W220,X190,W236)</f>
        <v>8.874858777104571E-3</v>
      </c>
      <c r="Y264" s="52" cm="1">
        <f t="array" ref="Y264">MMS_PastureBeef_Methane_Equations.VEERG_4_2_1_1__1_TotalAnnualMethaneProductionFromManureManagement(X220,Y190,X236)</f>
        <v>5.6409660794744226E-3</v>
      </c>
      <c r="Z264" s="52" cm="1">
        <f t="array" ref="Z264">MMS_PastureBeef_Methane_Equations.VEERG_4_2_1_1__1_TotalAnnualMethaneProductionFromManureManagement(Y220,Z190,Y236)</f>
        <v>7.3868508251250182E-3</v>
      </c>
      <c r="AA264" s="52" cm="1">
        <f t="array" ref="AA264">MMS_PastureBeef_Methane_Equations.VEERG_4_2_1_1__1_TotalAnnualMethaneProductionFromManureManagement(Z220,AA190,Z236)</f>
        <v>7.3138861603623002E-3</v>
      </c>
      <c r="AB264" s="52" cm="1">
        <f t="array" ref="AB264">MMS_PastureBeef_Methane_Equations.VEERG_4_2_1_1__1_TotalAnnualMethaneProductionFromManureManagement(AA220,AB190,AA236)</f>
        <v>7.3138861603623002E-3</v>
      </c>
      <c r="AC264" s="52" cm="1">
        <f t="array" ref="AC264">MMS_PastureBeef_Methane_Equations.VEERG_4_2_1_1__1_TotalAnnualMethaneProductionFromManureManagement(AB220,AC190,AB236)</f>
        <v>6.1827854953399389E-3</v>
      </c>
      <c r="AD264" s="52" cm="1">
        <f t="array" ref="AD264">MMS_PastureBeef_Methane_Equations.VEERG_4_2_1_1__1_TotalAnnualMethaneProductionFromManureManagement(AC220,AD190,AC236)</f>
        <v>6.8917885640512235E-3</v>
      </c>
      <c r="AE264" s="52" cm="1">
        <f t="array" ref="AE264">MMS_PastureBeef_Methane_Equations.VEERG_4_2_1_1__1_TotalAnnualMethaneProductionFromManureManagement(AD220,AE190,AD236)</f>
        <v>6.8917885640512235E-3</v>
      </c>
      <c r="AF264" s="52" cm="1">
        <f t="array" ref="AF264">MMS_PastureBeef_Methane_Equations.VEERG_4_2_1_1__1_TotalAnnualMethaneProductionFromManureManagement(AE220,AF190,AE236)</f>
        <v>6.8917885640512235E-3</v>
      </c>
      <c r="AG264" s="2" t="str">
        <f t="shared" si="11"/>
        <v>t CH4</v>
      </c>
      <c r="AH264" s="2"/>
    </row>
    <row r="265" spans="21:34" ht="20.100000000000001" customHeight="1" x14ac:dyDescent="0.25">
      <c r="U265" s="52" t="str">
        <f>'Input - Pasture Beef'!$D$173</f>
        <v>Anaerobic lagoon</v>
      </c>
      <c r="V265" s="52" t="str">
        <f t="shared" si="13"/>
        <v>March 2024</v>
      </c>
      <c r="W265" s="52" cm="1">
        <f t="array" ref="W265">MMS_PastureBeef_Methane_Equations.VEERG_4_2_1_1__1_TotalAnnualMethaneProductionFromManureManagement(V221,W191,V237)</f>
        <v>3.3607019848313265E-3</v>
      </c>
      <c r="X265" s="52" cm="1">
        <f t="array" ref="X265">MMS_PastureBeef_Methane_Equations.VEERG_4_2_1_1__1_TotalAnnualMethaneProductionFromManureManagement(W221,X191,W237)</f>
        <v>9.7540698871418051E-3</v>
      </c>
      <c r="Y265" s="52" cm="1">
        <f t="array" ref="Y265">MMS_PastureBeef_Methane_Equations.VEERG_4_2_1_1__1_TotalAnnualMethaneProductionFromManureManagement(X221,Y191,X237)</f>
        <v>3.0637976123904505E-3</v>
      </c>
      <c r="Z265" s="52" cm="1">
        <f t="array" ref="Z265">MMS_PastureBeef_Methane_Equations.VEERG_4_2_1_1__1_TotalAnnualMethaneProductionFromManureManagement(Y221,Z191,Y237)</f>
        <v>6.1660376177649781E-3</v>
      </c>
      <c r="AA265" s="52" cm="1">
        <f t="array" ref="AA265">MMS_PastureBeef_Methane_Equations.VEERG_4_2_1_1__1_TotalAnnualMethaneProductionFromManureManagement(Z221,AA191,Z237)</f>
        <v>6.9528084339393068E-3</v>
      </c>
      <c r="AB265" s="52" cm="1">
        <f t="array" ref="AB265">MMS_PastureBeef_Methane_Equations.VEERG_4_2_1_1__1_TotalAnnualMethaneProductionFromManureManagement(AA221,AB191,AA237)</f>
        <v>6.9528084339393068E-3</v>
      </c>
      <c r="AC265" s="52" cm="1">
        <f t="array" ref="AC265">MMS_PastureBeef_Methane_Equations.VEERG_4_2_1_1__1_TotalAnnualMethaneProductionFromManureManagement(AB221,AC191,AB237)</f>
        <v>3.3607019848313265E-3</v>
      </c>
      <c r="AD265" s="52" cm="1">
        <f t="array" ref="AD265">MMS_PastureBeef_Methane_Equations.VEERG_4_2_1_1__1_TotalAnnualMethaneProductionFromManureManagement(AC221,AD191,AC237)</f>
        <v>6.1014366075788718E-3</v>
      </c>
      <c r="AE265" s="52" cm="1">
        <f t="array" ref="AE265">MMS_PastureBeef_Methane_Equations.VEERG_4_2_1_1__1_TotalAnnualMethaneProductionFromManureManagement(AD221,AE191,AD237)</f>
        <v>6.1014366075788718E-3</v>
      </c>
      <c r="AF265" s="52" cm="1">
        <f t="array" ref="AF265">MMS_PastureBeef_Methane_Equations.VEERG_4_2_1_1__1_TotalAnnualMethaneProductionFromManureManagement(AE221,AF191,AE237)</f>
        <v>6.1014366075788718E-3</v>
      </c>
      <c r="AG265" s="2" t="str">
        <f t="shared" si="11"/>
        <v>t CH4</v>
      </c>
      <c r="AH265" s="2"/>
    </row>
    <row r="266" spans="21:34" ht="20.100000000000001" customHeight="1" x14ac:dyDescent="0.25">
      <c r="U266" s="52" t="str">
        <f>'Input - Pasture Beef'!$D$173</f>
        <v>Anaerobic lagoon</v>
      </c>
      <c r="V266" s="52" t="str">
        <f t="shared" si="13"/>
        <v>April 2024</v>
      </c>
      <c r="W266" s="52" cm="1">
        <f t="array" ref="W266">MMS_PastureBeef_Methane_Equations.VEERG_4_2_1_1__1_TotalAnnualMethaneProductionFromManureManagement(V222,W192,V238)</f>
        <v>3.2522922433851549E-3</v>
      </c>
      <c r="X266" s="52" cm="1">
        <f t="array" ref="X266">MMS_PastureBeef_Methane_Equations.VEERG_4_2_1_1__1_TotalAnnualMethaneProductionFromManureManagement(W222,X192,W238)</f>
        <v>9.4394224714275544E-3</v>
      </c>
      <c r="Y266" s="52" cm="1">
        <f t="array" ref="Y266">MMS_PastureBeef_Methane_Equations.VEERG_4_2_1_1__1_TotalAnnualMethaneProductionFromManureManagement(X222,Y192,X238)</f>
        <v>2.9649654313455972E-3</v>
      </c>
      <c r="Z266" s="52" cm="1">
        <f t="array" ref="Z266">MMS_PastureBeef_Methane_Equations.VEERG_4_2_1_1__1_TotalAnnualMethaneProductionFromManureManagement(Y222,Z192,Y238)</f>
        <v>5.967133178482238E-3</v>
      </c>
      <c r="AA266" s="52" cm="1">
        <f t="array" ref="AA266">MMS_PastureBeef_Methane_Equations.VEERG_4_2_1_1__1_TotalAnnualMethaneProductionFromManureManagement(Z222,AA192,Z238)</f>
        <v>6.7285242909090066E-3</v>
      </c>
      <c r="AB266" s="52" cm="1">
        <f t="array" ref="AB266">MMS_PastureBeef_Methane_Equations.VEERG_4_2_1_1__1_TotalAnnualMethaneProductionFromManureManagement(AA222,AB192,AA238)</f>
        <v>6.7285242909090066E-3</v>
      </c>
      <c r="AC266" s="52" cm="1">
        <f t="array" ref="AC266">MMS_PastureBeef_Methane_Equations.VEERG_4_2_1_1__1_TotalAnnualMethaneProductionFromManureManagement(AB222,AC192,AB238)</f>
        <v>3.2522922433851549E-3</v>
      </c>
      <c r="AD266" s="52" cm="1">
        <f t="array" ref="AD266">MMS_PastureBeef_Methane_Equations.VEERG_4_2_1_1__1_TotalAnnualMethaneProductionFromManureManagement(AC222,AD192,AC238)</f>
        <v>5.90461607185052E-3</v>
      </c>
      <c r="AE266" s="52" cm="1">
        <f t="array" ref="AE266">MMS_PastureBeef_Methane_Equations.VEERG_4_2_1_1__1_TotalAnnualMethaneProductionFromManureManagement(AD222,AE192,AD238)</f>
        <v>5.90461607185052E-3</v>
      </c>
      <c r="AF266" s="52" cm="1">
        <f t="array" ref="AF266">MMS_PastureBeef_Methane_Equations.VEERG_4_2_1_1__1_TotalAnnualMethaneProductionFromManureManagement(AE222,AF192,AE238)</f>
        <v>5.90461607185052E-3</v>
      </c>
      <c r="AG266" s="2" t="str">
        <f t="shared" si="11"/>
        <v>t CH4</v>
      </c>
      <c r="AH266" s="2"/>
    </row>
    <row r="267" spans="21:34" ht="20.100000000000001" customHeight="1" x14ac:dyDescent="0.25">
      <c r="U267" s="52" t="str">
        <f>'Input - Pasture Beef'!$D$173</f>
        <v>Anaerobic lagoon</v>
      </c>
      <c r="V267" s="52" t="str">
        <f t="shared" si="13"/>
        <v>May 2024</v>
      </c>
      <c r="W267" s="52" cm="1">
        <f t="array" ref="W267">MMS_PastureBeef_Methane_Equations.VEERG_4_2_1_1__1_TotalAnnualMethaneProductionFromManureManagement(V223,W193,V239)</f>
        <v>3.3607019848313265E-3</v>
      </c>
      <c r="X267" s="52" cm="1">
        <f t="array" ref="X267">MMS_PastureBeef_Methane_Equations.VEERG_4_2_1_1__1_TotalAnnualMethaneProductionFromManureManagement(W223,X193,W239)</f>
        <v>9.7540698871418051E-3</v>
      </c>
      <c r="Y267" s="52" cm="1">
        <f t="array" ref="Y267">MMS_PastureBeef_Methane_Equations.VEERG_4_2_1_1__1_TotalAnnualMethaneProductionFromManureManagement(X223,Y193,X239)</f>
        <v>3.0637976123904505E-3</v>
      </c>
      <c r="Z267" s="52" cm="1">
        <f t="array" ref="Z267">MMS_PastureBeef_Methane_Equations.VEERG_4_2_1_1__1_TotalAnnualMethaneProductionFromManureManagement(Y223,Z193,Y239)</f>
        <v>6.1660376177649781E-3</v>
      </c>
      <c r="AA267" s="52" cm="1">
        <f t="array" ref="AA267">MMS_PastureBeef_Methane_Equations.VEERG_4_2_1_1__1_TotalAnnualMethaneProductionFromManureManagement(Z223,AA193,Z239)</f>
        <v>6.9528084339393068E-3</v>
      </c>
      <c r="AB267" s="52" cm="1">
        <f t="array" ref="AB267">MMS_PastureBeef_Methane_Equations.VEERG_4_2_1_1__1_TotalAnnualMethaneProductionFromManureManagement(AA223,AB193,AA239)</f>
        <v>6.9528084339393068E-3</v>
      </c>
      <c r="AC267" s="52" cm="1">
        <f t="array" ref="AC267">MMS_PastureBeef_Methane_Equations.VEERG_4_2_1_1__1_TotalAnnualMethaneProductionFromManureManagement(AB223,AC193,AB239)</f>
        <v>3.3607019848313265E-3</v>
      </c>
      <c r="AD267" s="52" cm="1">
        <f t="array" ref="AD267">MMS_PastureBeef_Methane_Equations.VEERG_4_2_1_1__1_TotalAnnualMethaneProductionFromManureManagement(AC223,AD193,AC239)</f>
        <v>6.1014366075788718E-3</v>
      </c>
      <c r="AE267" s="52" cm="1">
        <f t="array" ref="AE267">MMS_PastureBeef_Methane_Equations.VEERG_4_2_1_1__1_TotalAnnualMethaneProductionFromManureManagement(AD223,AE193,AD239)</f>
        <v>6.1014366075788718E-3</v>
      </c>
      <c r="AF267" s="52" cm="1">
        <f t="array" ref="AF267">MMS_PastureBeef_Methane_Equations.VEERG_4_2_1_1__1_TotalAnnualMethaneProductionFromManureManagement(AE223,AF193,AE239)</f>
        <v>6.1014366075788718E-3</v>
      </c>
      <c r="AG267" s="2" t="str">
        <f t="shared" si="11"/>
        <v>t CH4</v>
      </c>
      <c r="AH267" s="2"/>
    </row>
    <row r="268" spans="21:34" ht="20.100000000000001" customHeight="1" x14ac:dyDescent="0.25">
      <c r="U268" s="52" t="str">
        <f>'Input - Pasture Beef'!$D$173</f>
        <v>Anaerobic lagoon</v>
      </c>
      <c r="V268" s="52" t="str">
        <f t="shared" si="13"/>
        <v>June 2024</v>
      </c>
      <c r="W268" s="52" cm="1">
        <f t="array" ref="W268">MMS_PastureBeef_Methane_Equations.VEERG_4_2_1_1__1_TotalAnnualMethaneProductionFromManureManagement(V224,W194,V240)</f>
        <v>4.4065209439758278E-3</v>
      </c>
      <c r="X268" s="52" cm="1">
        <f t="array" ref="X268">MMS_PastureBeef_Methane_Equations.VEERG_4_2_1_1__1_TotalAnnualMethaneProductionFromManureManagement(W224,X194,W240)</f>
        <v>8.5632763791711562E-3</v>
      </c>
      <c r="Y268" s="52" cm="1">
        <f t="array" ref="Y268">MMS_PastureBeef_Methane_Equations.VEERG_4_2_1_1__1_TotalAnnualMethaneProductionFromManureManagement(X224,Y194,X240)</f>
        <v>3.607963267792425E-3</v>
      </c>
      <c r="Z268" s="52" cm="1">
        <f t="array" ref="Z268">MMS_PastureBeef_Methane_Equations.VEERG_4_2_1_1__1_TotalAnnualMethaneProductionFromManureManagement(Y224,Z194,Y240)</f>
        <v>5.088944089737632E-3</v>
      </c>
      <c r="AA268" s="52" cm="1">
        <f t="array" ref="AA268">MMS_PastureBeef_Methane_Equations.VEERG_4_2_1_1__1_TotalAnnualMethaneProductionFromManureManagement(Z224,AA194,Z240)</f>
        <v>6.8269753848908083E-3</v>
      </c>
      <c r="AB268" s="52" cm="1">
        <f t="array" ref="AB268">MMS_PastureBeef_Methane_Equations.VEERG_4_2_1_1__1_TotalAnnualMethaneProductionFromManureManagement(AA224,AB194,AA240)</f>
        <v>6.8269753848908083E-3</v>
      </c>
      <c r="AC268" s="52" cm="1">
        <f t="array" ref="AC268">MMS_PastureBeef_Methane_Equations.VEERG_4_2_1_1__1_TotalAnnualMethaneProductionFromManureManagement(AB224,AC194,AB240)</f>
        <v>3.8737188635650436E-3</v>
      </c>
      <c r="AD268" s="52" cm="1">
        <f t="array" ref="AD268">MMS_PastureBeef_Methane_Equations.VEERG_4_2_1_1__1_TotalAnnualMethaneProductionFromManureManagement(AC224,AD194,AC240)</f>
        <v>5.8976704050575455E-3</v>
      </c>
      <c r="AE268" s="52" cm="1">
        <f t="array" ref="AE268">MMS_PastureBeef_Methane_Equations.VEERG_4_2_1_1__1_TotalAnnualMethaneProductionFromManureManagement(AD224,AE194,AD240)</f>
        <v>5.8976704050575455E-3</v>
      </c>
      <c r="AF268" s="52" cm="1">
        <f t="array" ref="AF268">MMS_PastureBeef_Methane_Equations.VEERG_4_2_1_1__1_TotalAnnualMethaneProductionFromManureManagement(AE224,AF194,AE240)</f>
        <v>5.8976704050575455E-3</v>
      </c>
      <c r="AG268" s="2" t="str">
        <f t="shared" si="11"/>
        <v>t CH4</v>
      </c>
      <c r="AH268" s="2"/>
    </row>
    <row r="269" spans="21:34" ht="20.100000000000001" customHeight="1" x14ac:dyDescent="0.25">
      <c r="U269" s="52" t="str">
        <f>'Input - Pasture Beef'!$D$173</f>
        <v>Anaerobic lagoon</v>
      </c>
      <c r="V269" s="52" t="str">
        <f t="shared" si="13"/>
        <v>July 2024</v>
      </c>
      <c r="W269" s="52" cm="1">
        <f t="array" ref="W269">MMS_PastureBeef_Methane_Equations.VEERG_4_2_1_1__1_TotalAnnualMethaneProductionFromManureManagement(V225,W195,V241)</f>
        <v>4.5534049754416888E-3</v>
      </c>
      <c r="X269" s="52" cm="1">
        <f t="array" ref="X269">MMS_PastureBeef_Methane_Equations.VEERG_4_2_1_1__1_TotalAnnualMethaneProductionFromManureManagement(W225,X195,W241)</f>
        <v>8.8487189251435297E-3</v>
      </c>
      <c r="Y269" s="52" cm="1">
        <f t="array" ref="Y269">MMS_PastureBeef_Methane_Equations.VEERG_4_2_1_1__1_TotalAnnualMethaneProductionFromManureManagement(X225,Y195,X241)</f>
        <v>3.728228710052173E-3</v>
      </c>
      <c r="Z269" s="52" cm="1">
        <f t="array" ref="Z269">MMS_PastureBeef_Methane_Equations.VEERG_4_2_1_1__1_TotalAnnualMethaneProductionFromManureManagement(Y225,Z195,Y241)</f>
        <v>5.2585755593955539E-3</v>
      </c>
      <c r="AA269" s="52" cm="1">
        <f t="array" ref="AA269">MMS_PastureBeef_Methane_Equations.VEERG_4_2_1_1__1_TotalAnnualMethaneProductionFromManureManagement(Z225,AA195,Z241)</f>
        <v>7.054541231053835E-3</v>
      </c>
      <c r="AB269" s="52" cm="1">
        <f t="array" ref="AB269">MMS_PastureBeef_Methane_Equations.VEERG_4_2_1_1__1_TotalAnnualMethaneProductionFromManureManagement(AA225,AB195,AA241)</f>
        <v>7.054541231053835E-3</v>
      </c>
      <c r="AC269" s="52" cm="1">
        <f t="array" ref="AC269">MMS_PastureBeef_Methane_Equations.VEERG_4_2_1_1__1_TotalAnnualMethaneProductionFromManureManagement(AB225,AC195,AB241)</f>
        <v>4.0028428256838784E-3</v>
      </c>
      <c r="AD269" s="52" cm="1">
        <f t="array" ref="AD269">MMS_PastureBeef_Methane_Equations.VEERG_4_2_1_1__1_TotalAnnualMethaneProductionFromManureManagement(AC225,AD195,AC241)</f>
        <v>6.0942594185594634E-3</v>
      </c>
      <c r="AE269" s="52" cm="1">
        <f t="array" ref="AE269">MMS_PastureBeef_Methane_Equations.VEERG_4_2_1_1__1_TotalAnnualMethaneProductionFromManureManagement(AD225,AE195,AD241)</f>
        <v>6.0942594185594634E-3</v>
      </c>
      <c r="AF269" s="52" cm="1">
        <f t="array" ref="AF269">MMS_PastureBeef_Methane_Equations.VEERG_4_2_1_1__1_TotalAnnualMethaneProductionFromManureManagement(AE225,AF195,AE241)</f>
        <v>6.0942594185594634E-3</v>
      </c>
      <c r="AG269" s="2" t="str">
        <f t="shared" si="11"/>
        <v>t CH4</v>
      </c>
      <c r="AH269" s="2"/>
    </row>
    <row r="270" spans="21:34" ht="20.100000000000001" customHeight="1" x14ac:dyDescent="0.25">
      <c r="U270" s="52" t="str">
        <f>'Input - Pasture Beef'!$D$173</f>
        <v>Anaerobic lagoon</v>
      </c>
      <c r="V270" s="52" t="str">
        <f t="shared" si="13"/>
        <v>August 2024</v>
      </c>
      <c r="W270" s="52" cm="1">
        <f t="array" ref="W270">MMS_PastureBeef_Methane_Equations.VEERG_4_2_1_1__1_TotalAnnualMethaneProductionFromManureManagement(V226,W196,V242)</f>
        <v>4.5534049754416888E-3</v>
      </c>
      <c r="X270" s="52" cm="1">
        <f t="array" ref="X270">MMS_PastureBeef_Methane_Equations.VEERG_4_2_1_1__1_TotalAnnualMethaneProductionFromManureManagement(W226,X196,W242)</f>
        <v>8.8487189251435297E-3</v>
      </c>
      <c r="Y270" s="52" cm="1">
        <f t="array" ref="Y270">MMS_PastureBeef_Methane_Equations.VEERG_4_2_1_1__1_TotalAnnualMethaneProductionFromManureManagement(X226,Y196,X242)</f>
        <v>3.728228710052173E-3</v>
      </c>
      <c r="Z270" s="52" cm="1">
        <f t="array" ref="Z270">MMS_PastureBeef_Methane_Equations.VEERG_4_2_1_1__1_TotalAnnualMethaneProductionFromManureManagement(Y226,Z196,Y242)</f>
        <v>6.4417550602595556E-3</v>
      </c>
      <c r="AA270" s="52" cm="1">
        <f t="array" ref="AA270">MMS_PastureBeef_Methane_Equations.VEERG_4_2_1_1__1_TotalAnnualMethaneProductionFromManureManagement(Z226,AA196,Z242)</f>
        <v>8.641813008040948E-3</v>
      </c>
      <c r="AB270" s="52" cm="1">
        <f t="array" ref="AB270">MMS_PastureBeef_Methane_Equations.VEERG_4_2_1_1__1_TotalAnnualMethaneProductionFromManureManagement(AA226,AB196,AA242)</f>
        <v>8.641813008040948E-3</v>
      </c>
      <c r="AC270" s="52" cm="1">
        <f t="array" ref="AC270">MMS_PastureBeef_Methane_Equations.VEERG_4_2_1_1__1_TotalAnnualMethaneProductionFromManureManagement(AB226,AC196,AB242)</f>
        <v>4.0028428256838784E-3</v>
      </c>
      <c r="AD270" s="52" cm="1">
        <f t="array" ref="AD270">MMS_PastureBeef_Methane_Equations.VEERG_4_2_1_1__1_TotalAnnualMethaneProductionFromManureManagement(AC226,AD196,AC242)</f>
        <v>6.0942594185594634E-3</v>
      </c>
      <c r="AE270" s="52" cm="1">
        <f t="array" ref="AE270">MMS_PastureBeef_Methane_Equations.VEERG_4_2_1_1__1_TotalAnnualMethaneProductionFromManureManagement(AD226,AE196,AD242)</f>
        <v>6.0942594185594634E-3</v>
      </c>
      <c r="AF270" s="52" cm="1">
        <f t="array" ref="AF270">MMS_PastureBeef_Methane_Equations.VEERG_4_2_1_1__1_TotalAnnualMethaneProductionFromManureManagement(AE226,AF196,AE242)</f>
        <v>6.0942594185594634E-3</v>
      </c>
      <c r="AG270" s="2" t="str">
        <f t="shared" si="11"/>
        <v>t CH4</v>
      </c>
      <c r="AH270" s="2"/>
    </row>
    <row r="271" spans="21:34" ht="20.100000000000001" customHeight="1" x14ac:dyDescent="0.25">
      <c r="U271" s="52" t="str">
        <f>'Input - Pasture Beef'!$D$173</f>
        <v>Anaerobic lagoon</v>
      </c>
      <c r="V271" s="52" t="str">
        <f t="shared" si="13"/>
        <v>September 2024</v>
      </c>
      <c r="W271" s="52" cm="1">
        <f t="array" ref="W271">MMS_PastureBeef_Methane_Equations.VEERG_4_2_1_1__1_TotalAnnualMethaneProductionFromManureManagement(V227,W197,V243)</f>
        <v>7.4438500309478729E-3</v>
      </c>
      <c r="X271" s="52" cm="1">
        <f t="array" ref="X271">MMS_PastureBeef_Methane_Equations.VEERG_4_2_1_1__1_TotalAnnualMethaneProductionFromManureManagement(W227,X197,W243)</f>
        <v>1.0513448608628762E-2</v>
      </c>
      <c r="Y271" s="52" cm="1">
        <f t="array" ref="Y271">MMS_PastureBeef_Methane_Equations.VEERG_4_2_1_1__1_TotalAnnualMethaneProductionFromManureManagement(X227,Y197,X243)</f>
        <v>5.6737004668738376E-3</v>
      </c>
      <c r="Z271" s="52" cm="1">
        <f t="array" ref="Z271">MMS_PastureBeef_Methane_Equations.VEERG_4_2_1_1__1_TotalAnnualMethaneProductionFromManureManagement(Y227,Z197,Y243)</f>
        <v>9.1210080023460469E-3</v>
      </c>
      <c r="AA271" s="52" cm="1">
        <f t="array" ref="AA271">MMS_PastureBeef_Methane_Equations.VEERG_4_2_1_1__1_TotalAnnualMethaneProductionFromManureManagement(Z227,AA197,Z243)</f>
        <v>1.0128492264334564E-2</v>
      </c>
      <c r="AB271" s="52" cm="1">
        <f t="array" ref="AB271">MMS_PastureBeef_Methane_Equations.VEERG_4_2_1_1__1_TotalAnnualMethaneProductionFromManureManagement(AA227,AB197,AA243)</f>
        <v>1.0128492264334564E-2</v>
      </c>
      <c r="AC271" s="52" cm="1">
        <f t="array" ref="AC271">MMS_PastureBeef_Methane_Equations.VEERG_4_2_1_1__1_TotalAnnualMethaneProductionFromManureManagement(AB227,AC197,AB243)</f>
        <v>6.541024431710331E-3</v>
      </c>
      <c r="AD271" s="52" cm="1">
        <f t="array" ref="AD271">MMS_PastureBeef_Methane_Equations.VEERG_4_2_1_1__1_TotalAnnualMethaneProductionFromManureManagement(AC227,AD197,AC243)</f>
        <v>8.3122285256925534E-3</v>
      </c>
      <c r="AE271" s="52" cm="1">
        <f t="array" ref="AE271">MMS_PastureBeef_Methane_Equations.VEERG_4_2_1_1__1_TotalAnnualMethaneProductionFromManureManagement(AD227,AE197,AD243)</f>
        <v>8.3122285256925534E-3</v>
      </c>
      <c r="AF271" s="52" cm="1">
        <f t="array" ref="AF271">MMS_PastureBeef_Methane_Equations.VEERG_4_2_1_1__1_TotalAnnualMethaneProductionFromManureManagement(AE227,AF197,AE243)</f>
        <v>8.3122285256925534E-3</v>
      </c>
      <c r="AG271" s="2" t="str">
        <f t="shared" si="11"/>
        <v>t CH4</v>
      </c>
      <c r="AH271" s="2"/>
    </row>
    <row r="272" spans="21:34" x14ac:dyDescent="0.25">
      <c r="U272" s="52" t="str">
        <f>'Input - Pasture Beef'!$D$173</f>
        <v>Anaerobic lagoon</v>
      </c>
      <c r="V272" s="52" t="str">
        <f t="shared" si="13"/>
        <v>October 2024</v>
      </c>
      <c r="W272" s="52" cm="1">
        <f t="array" ref="W272">MMS_PastureBeef_Methane_Equations.VEERG_4_2_1_1__1_TotalAnnualMethaneProductionFromManureManagement(V228,W198,V244)</f>
        <v>7.6919783653128021E-3</v>
      </c>
      <c r="X272" s="52" cm="1">
        <f t="array" ref="X272">MMS_PastureBeef_Methane_Equations.VEERG_4_2_1_1__1_TotalAnnualMethaneProductionFromManureManagement(W228,X198,W244)</f>
        <v>1.0863896895583055E-2</v>
      </c>
      <c r="Y272" s="52" cm="1">
        <f t="array" ref="Y272">MMS_PastureBeef_Methane_Equations.VEERG_4_2_1_1__1_TotalAnnualMethaneProductionFromManureManagement(X228,Y198,X244)</f>
        <v>5.862823815769632E-3</v>
      </c>
      <c r="Z272" s="52" cm="1">
        <f t="array" ref="Z272">MMS_PastureBeef_Methane_Equations.VEERG_4_2_1_1__1_TotalAnnualMethaneProductionFromManureManagement(Y228,Z198,Y244)</f>
        <v>9.4250416024242497E-3</v>
      </c>
      <c r="AA272" s="52" cm="1">
        <f t="array" ref="AA272">MMS_PastureBeef_Methane_Equations.VEERG_4_2_1_1__1_TotalAnnualMethaneProductionFromManureManagement(Z228,AA198,Z244)</f>
        <v>1.0466108673145716E-2</v>
      </c>
      <c r="AB272" s="52" cm="1">
        <f t="array" ref="AB272">MMS_PastureBeef_Methane_Equations.VEERG_4_2_1_1__1_TotalAnnualMethaneProductionFromManureManagement(AA228,AB198,AA244)</f>
        <v>1.0466108673145716E-2</v>
      </c>
      <c r="AC272" s="52" cm="1">
        <f t="array" ref="AC272">MMS_PastureBeef_Methane_Equations.VEERG_4_2_1_1__1_TotalAnnualMethaneProductionFromManureManagement(AB228,AC198,AB244)</f>
        <v>6.7590585794340078E-3</v>
      </c>
      <c r="AD272" s="52" cm="1">
        <f t="array" ref="AD272">MMS_PastureBeef_Methane_Equations.VEERG_4_2_1_1__1_TotalAnnualMethaneProductionFromManureManagement(AC228,AD198,AC244)</f>
        <v>8.5893028098823054E-3</v>
      </c>
      <c r="AE272" s="52" cm="1">
        <f t="array" ref="AE272">MMS_PastureBeef_Methane_Equations.VEERG_4_2_1_1__1_TotalAnnualMethaneProductionFromManureManagement(AD228,AE198,AD244)</f>
        <v>8.5893028098823054E-3</v>
      </c>
      <c r="AF272" s="52" cm="1">
        <f t="array" ref="AF272">MMS_PastureBeef_Methane_Equations.VEERG_4_2_1_1__1_TotalAnnualMethaneProductionFromManureManagement(AE228,AF198,AE244)</f>
        <v>8.5893028098823054E-3</v>
      </c>
      <c r="AG272" s="2" t="str">
        <f t="shared" si="11"/>
        <v>t CH4</v>
      </c>
      <c r="AH272" s="2"/>
    </row>
    <row r="273" spans="21:34" x14ac:dyDescent="0.25">
      <c r="U273" s="52" t="str">
        <f>'Input - Pasture Beef'!$D$173</f>
        <v>Anaerobic lagoon</v>
      </c>
      <c r="V273" s="52" t="str">
        <f t="shared" si="13"/>
        <v>November 2024</v>
      </c>
      <c r="W273" s="52" cm="1">
        <f t="array" ref="W273">MMS_PastureBeef_Methane_Equations.VEERG_4_2_1_1__1_TotalAnnualMethaneProductionFromManureManagement(V229,W199,V245)</f>
        <v>7.4438500309478729E-3</v>
      </c>
      <c r="X273" s="52" cm="1">
        <f t="array" ref="X273">MMS_PastureBeef_Methane_Equations.VEERG_4_2_1_1__1_TotalAnnualMethaneProductionFromManureManagement(W229,X199,W245)</f>
        <v>1.0513448608628762E-2</v>
      </c>
      <c r="Y273" s="52" cm="1">
        <f t="array" ref="Y273">MMS_PastureBeef_Methane_Equations.VEERG_4_2_1_1__1_TotalAnnualMethaneProductionFromManureManagement(X229,Y199,X245)</f>
        <v>5.6737004668738376E-3</v>
      </c>
      <c r="Z273" s="52" cm="1">
        <f t="array" ref="Z273">MMS_PastureBeef_Methane_Equations.VEERG_4_2_1_1__1_TotalAnnualMethaneProductionFromManureManagement(Y229,Z199,Y245)</f>
        <v>8.0041498796098003E-3</v>
      </c>
      <c r="AA273" s="52" cm="1">
        <f t="array" ref="AA273">MMS_PastureBeef_Methane_Equations.VEERG_4_2_1_1__1_TotalAnnualMethaneProductionFromManureManagement(Z229,AA199,Z245)</f>
        <v>8.8882687217629822E-3</v>
      </c>
      <c r="AB273" s="52" cm="1">
        <f t="array" ref="AB273">MMS_PastureBeef_Methane_Equations.VEERG_4_2_1_1__1_TotalAnnualMethaneProductionFromManureManagement(AA229,AB199,AA245)</f>
        <v>8.8882687217629822E-3</v>
      </c>
      <c r="AC273" s="52" cm="1">
        <f t="array" ref="AC273">MMS_PastureBeef_Methane_Equations.VEERG_4_2_1_1__1_TotalAnnualMethaneProductionFromManureManagement(AB229,AC199,AB245)</f>
        <v>6.541024431710331E-3</v>
      </c>
      <c r="AD273" s="52" cm="1">
        <f t="array" ref="AD273">MMS_PastureBeef_Methane_Equations.VEERG_4_2_1_1__1_TotalAnnualMethaneProductionFromManureManagement(AC229,AD199,AC245)</f>
        <v>8.3122285256925534E-3</v>
      </c>
      <c r="AE273" s="52" cm="1">
        <f t="array" ref="AE273">MMS_PastureBeef_Methane_Equations.VEERG_4_2_1_1__1_TotalAnnualMethaneProductionFromManureManagement(AD229,AE199,AD245)</f>
        <v>8.3122285256925534E-3</v>
      </c>
      <c r="AF273" s="52" cm="1">
        <f t="array" ref="AF273">MMS_PastureBeef_Methane_Equations.VEERG_4_2_1_1__1_TotalAnnualMethaneProductionFromManureManagement(AE229,AF199,AE245)</f>
        <v>8.3122285256925534E-3</v>
      </c>
      <c r="AG273" s="2" t="str">
        <f t="shared" si="11"/>
        <v>t CH4</v>
      </c>
      <c r="AH273" s="2"/>
    </row>
    <row r="274" spans="21:34" x14ac:dyDescent="0.25">
      <c r="U274" s="52" t="str">
        <f>'Input - Pasture Beef'!$D$173</f>
        <v>Anaerobic lagoon</v>
      </c>
      <c r="V274" s="52" t="str">
        <f t="shared" si="13"/>
        <v>December 2024</v>
      </c>
      <c r="W274" s="52" cm="1">
        <f t="array" ref="W274">MMS_PastureBeef_Methane_Equations.VEERG_4_2_1_1__1_TotalAnnualMethaneProductionFromManureManagement(V230,W200,V246)</f>
        <v>7.1702260923240061E-3</v>
      </c>
      <c r="X274" s="52" cm="1">
        <f t="array" ref="X274">MMS_PastureBeef_Methane_Equations.VEERG_4_2_1_1__1_TotalAnnualMethaneProductionFromManureManagement(W230,X200,W246)</f>
        <v>9.4869180031117821E-3</v>
      </c>
      <c r="Y274" s="52" cm="1">
        <f t="array" ref="Y274">MMS_PastureBeef_Methane_Equations.VEERG_4_2_1_1__1_TotalAnnualMethaneProductionFromManureManagement(X230,Y200,X246)</f>
        <v>6.0299982228864514E-3</v>
      </c>
      <c r="Z274" s="52" cm="1">
        <f t="array" ref="Z274">MMS_PastureBeef_Methane_Equations.VEERG_4_2_1_1__1_TotalAnnualMethaneProductionFromManureManagement(Y230,Z200,Y246)</f>
        <v>8.4885104740445305E-3</v>
      </c>
      <c r="AA274" s="52" cm="1">
        <f t="array" ref="AA274">MMS_PastureBeef_Methane_Equations.VEERG_4_2_1_1__1_TotalAnnualMethaneProductionFromManureManagement(Z230,AA200,Z246)</f>
        <v>8.4046640101404727E-3</v>
      </c>
      <c r="AB274" s="52" cm="1">
        <f t="array" ref="AB274">MMS_PastureBeef_Methane_Equations.VEERG_4_2_1_1__1_TotalAnnualMethaneProductionFromManureManagement(AA230,AB200,AA246)</f>
        <v>8.4046640101404727E-3</v>
      </c>
      <c r="AC274" s="52" cm="1">
        <f t="array" ref="AC274">MMS_PastureBeef_Methane_Equations.VEERG_4_2_1_1__1_TotalAnnualMethaneProductionFromManureManagement(AB230,AC200,AB246)</f>
        <v>6.6091844950185562E-3</v>
      </c>
      <c r="AD274" s="52" cm="1">
        <f t="array" ref="AD274">MMS_PastureBeef_Methane_Equations.VEERG_4_2_1_1__1_TotalAnnualMethaneProductionFromManureManagement(AC230,AD200,AC246)</f>
        <v>7.3670843270892388E-3</v>
      </c>
      <c r="AE274" s="52" cm="1">
        <f t="array" ref="AE274">MMS_PastureBeef_Methane_Equations.VEERG_4_2_1_1__1_TotalAnnualMethaneProductionFromManureManagement(AD230,AE200,AD246)</f>
        <v>7.3670843270892388E-3</v>
      </c>
      <c r="AF274" s="52" cm="1">
        <f t="array" ref="AF274">MMS_PastureBeef_Methane_Equations.VEERG_4_2_1_1__1_TotalAnnualMethaneProductionFromManureManagement(AE230,AF200,AE246)</f>
        <v>7.3670843270892388E-3</v>
      </c>
      <c r="AG274" s="2" t="str">
        <f t="shared" si="11"/>
        <v>t CH4</v>
      </c>
      <c r="AH274" s="2"/>
    </row>
    <row r="276" spans="21:34" ht="23.25" x14ac:dyDescent="0.25">
      <c r="U276" s="101" t="s">
        <v>307</v>
      </c>
      <c r="V276" s="102">
        <f>SUM(W251:AF274)</f>
        <v>2.1745073472420153</v>
      </c>
      <c r="W276" s="103">
        <f>V242</f>
        <v>31</v>
      </c>
    </row>
    <row r="278" spans="21:34" x14ac:dyDescent="0.25">
      <c r="U278" s="57" t="str" cm="1">
        <f t="array" ref="U278:V279">Common_Equations.Common_ConvertCH4ToCO2e_Arguments()</f>
        <v>ECH4</v>
      </c>
      <c r="V278" s="58" t="str">
        <v>Methane emissions (t CH4)</v>
      </c>
      <c r="W278" s="104"/>
      <c r="X278" s="52">
        <f>V276</f>
        <v>2.1745073472420153</v>
      </c>
    </row>
    <row r="279" spans="21:34" x14ac:dyDescent="0.25">
      <c r="U279" s="57" t="str">
        <v>GWPCH4</v>
      </c>
      <c r="V279" s="58" t="str">
        <v>Global warming potential for methane (t CO2-e / t CH4)</v>
      </c>
      <c r="W279" s="104"/>
      <c r="X279" s="52">
        <f>Common_InputFunctions.Utility_LookupValueInTableNumber("CH4",Table_GWPData[Gas],Table_GWPData[CO2-e factor])</f>
        <v>28</v>
      </c>
    </row>
    <row r="281" spans="21:34" ht="18.75" x14ac:dyDescent="0.25">
      <c r="U281" s="45" t="s">
        <v>104</v>
      </c>
      <c r="V281" s="45" cm="1">
        <f t="array" ref="V281">Common_Equations.Common_ConvertN2OToCO2e(X278,X279)</f>
        <v>60.886205722776431</v>
      </c>
      <c r="W281" s="105" t="str" cm="1">
        <f t="array" ref="W281">Common_Equations.Common_ConvertN2OToCO2e_Unit()</f>
        <v>t CO2e</v>
      </c>
    </row>
  </sheetData>
  <dataValidations disablePrompts="1" count="1">
    <dataValidation operator="equal" allowBlank="1" showInputMessage="1" showErrorMessage="1" sqref="W167:AA167 E255 D154:F154 G166:J166 E121:J121 F122:J126 V206 E203 E258 V203 E141:J141 W143:AA144 E206 F135:F136 F142:J144 F167:J167 F172:J173 V166:AA166 W172:AA173"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opLeftCell="N220" zoomScaleNormal="100" workbookViewId="0">
      <selection activeCell="X206" sqref="X206"/>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8" t="e" vm="1">
        <v>#VALUE!</v>
      </c>
      <c r="C1" s="8" t="s">
        <v>288</v>
      </c>
    </row>
    <row r="2" spans="1:35" s="9" customFormat="1" ht="20.100000000000001" customHeight="1" x14ac:dyDescent="0.25"/>
    <row r="3" spans="1:35" ht="20.100000000000001" customHeight="1" x14ac:dyDescent="0.25">
      <c r="A3" s="17" t="str">
        <f>HYPERLINK("#'Home'!A1", "Home")</f>
        <v>Home</v>
      </c>
      <c r="C3" s="4"/>
      <c r="D3" s="4" t="s">
        <v>108</v>
      </c>
      <c r="E3" s="4"/>
      <c r="F3" s="4"/>
      <c r="G3" s="4"/>
      <c r="H3" s="4"/>
      <c r="I3" s="4"/>
      <c r="J3" s="4"/>
      <c r="K3" s="4"/>
      <c r="L3" s="4"/>
      <c r="M3" s="4"/>
      <c r="N3" s="4"/>
      <c r="O3" s="4"/>
      <c r="P3" s="4"/>
      <c r="Q3" s="4"/>
      <c r="R3" s="4"/>
      <c r="T3" s="4"/>
      <c r="U3" s="4" t="s">
        <v>109</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MMS_PastureBeef_Soil_N2ODirect_Equations.VEERG_4_2_1_3__7_RelativeSize_Title()</f>
        <v>Relative size of the cattle</v>
      </c>
    </row>
    <row r="6" spans="1:35" ht="20.100000000000001" customHeight="1" x14ac:dyDescent="0.25">
      <c r="A6" s="20" t="s">
        <v>3</v>
      </c>
      <c r="D6" s="5" t="str" cm="1">
        <f t="array" ref="D6">MMS_PastureBeef_Soil_N2ODirect_Equations.VEERG_4_2_1_3__7_RelativeSize_Source()</f>
        <v>VEERG 2026: 4.2.1.3, Equation (7)</v>
      </c>
    </row>
    <row r="7" spans="1:35" ht="20.100000000000001" customHeight="1" x14ac:dyDescent="0.25">
      <c r="A7" s="17" t="str">
        <f>HYPERLINK("#'Input - Site'!A1", "Site")</f>
        <v>Site</v>
      </c>
      <c r="D7" s="13" t="s">
        <v>27</v>
      </c>
      <c r="E7" s="13" t="str" cm="1">
        <f t="array" aca="1" ref="E7" ca="1">Common_InputFunctions.Utility_DisplayFunctionName(E33)</f>
        <v>=MMS_PastureBeef_Soil_N2ODirect_Equations.VEERG_4_2_1_3__7_RelativeSize</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77</v>
      </c>
      <c r="D10" s="53" t="s">
        <v>30</v>
      </c>
      <c r="E10" s="1" t="str" cm="1">
        <f t="array" ref="E10">MMS_PastureBeef_Soil_N2ODirect_Equations.VEERG_4_2_1_3__7_RelativeSize_Variable()</f>
        <v>Z_jkl</v>
      </c>
    </row>
    <row r="11" spans="1:35" ht="20.100000000000001" customHeight="1" x14ac:dyDescent="0.25">
      <c r="A11" s="17" t="str">
        <f>HYPERLINK("#'4.2.1.1-2 Methane'!A1", "4.2.1.1-2 Methane")</f>
        <v>4.2.1.1-2 Methane</v>
      </c>
      <c r="D11" s="53" t="s">
        <v>20</v>
      </c>
      <c r="E11" s="54" t="str" cm="1">
        <f t="array" ref="E11">MMS_PastureBeef_Soil_N2ODirect_Equations.VEERG_4_2_1_3__7_RelativeSize_Unit()</f>
        <v>ratio</v>
      </c>
    </row>
    <row r="12" spans="1:35" ht="20.100000000000001" customHeight="1" x14ac:dyDescent="0.25">
      <c r="A12" s="17" t="str">
        <f>HYPERLINK("#'4.2.1.3-4 Soil direct N2O'!A1", "4.2.1.3-4 Soil direct N2O")</f>
        <v>4.2.1.3-4 Soil direct N2O</v>
      </c>
    </row>
    <row r="13" spans="1:35" ht="20.100000000000001" customHeight="1" x14ac:dyDescent="0.25">
      <c r="A13" s="17" t="str">
        <f>HYPERLINK("#'4.2.1.5-6 Soil Atmos Dep'!A1", "4.2.1.5-6 Soil atm. deposition")</f>
        <v>4.2.1.5-6 Soil atm. deposition</v>
      </c>
      <c r="D13" s="108" t="str" cm="1">
        <f t="array" ref="D13:E15">MMS_PastureBeef_Soil_N2ODirect_Equations.VEERG_4_2_1_3__7_RelativeSize_Arguments()</f>
        <v>W_jkl</v>
      </c>
      <c r="E13" s="108" t="str">
        <v>liveweight (kg)</v>
      </c>
      <c r="F13" s="108" t="str">
        <f>"See " &amp; D17</f>
        <v>See M1_Table_W_j_k_l</v>
      </c>
      <c r="G13" s="107" t="s">
        <v>290</v>
      </c>
    </row>
    <row r="14" spans="1:35" ht="20.100000000000001" customHeight="1" x14ac:dyDescent="0.25">
      <c r="A14" s="17" t="str">
        <f>HYPERLINK("#'4.2.1.7-8 Soil leach runoff'!A1", "4.2.1.7-8 Soil leach &amp; runoff")</f>
        <v>4.2.1.7-8 Soil leach &amp; runoff</v>
      </c>
      <c r="D14" s="108" t="str">
        <v>SRW_k</v>
      </c>
      <c r="E14" s="108" t="str">
        <v>standard reference weight (kg)</v>
      </c>
      <c r="F14" s="108" t="str">
        <f>"See " &amp; D25</f>
        <v>See Table_SRW_k</v>
      </c>
    </row>
    <row r="15" spans="1:35" ht="20.100000000000001" customHeight="1" x14ac:dyDescent="0.25">
      <c r="A15" s="17"/>
      <c r="D15" s="57" t="str">
        <v>i</v>
      </c>
      <c r="E15" s="57" t="str">
        <v>state</v>
      </c>
      <c r="F15" s="57" t="str">
        <f>'Input - Pasture Beef'!$E$7</f>
        <v>Western Australia</v>
      </c>
    </row>
    <row r="16" spans="1:35" ht="20.100000000000001" customHeight="1" x14ac:dyDescent="0.25">
      <c r="A16" s="18" t="s">
        <v>4</v>
      </c>
    </row>
    <row r="17" spans="1:34" ht="20.100000000000001" customHeight="1" x14ac:dyDescent="0.25">
      <c r="A17" s="17" t="str">
        <f>HYPERLINK("#'Constants - Pasture Beef'!A1", "Constants - Pasture Beef")</f>
        <v>Constants - Pasture Beef</v>
      </c>
      <c r="D17" s="99" t="s">
        <v>289</v>
      </c>
      <c r="U17" s="99" t="s">
        <v>255</v>
      </c>
    </row>
    <row r="18" spans="1:34" ht="20.100000000000001" customHeight="1" x14ac:dyDescent="0.25">
      <c r="A18" s="17" t="str">
        <f>HYPERLINK("#'Constants - Livestock'!A1", "Constants - Livestock")</f>
        <v>Constants - Livestock</v>
      </c>
      <c r="D18" s="98" t="s">
        <v>245</v>
      </c>
      <c r="U18" s="98" t="s">
        <v>256</v>
      </c>
    </row>
    <row r="19" spans="1:34" ht="20.100000000000001" customHeight="1" x14ac:dyDescent="0.25">
      <c r="A19" s="17" t="str">
        <f>HYPERLINK("#'Constants - Common'!A1", "Constants - Common")</f>
        <v>Constants - Common</v>
      </c>
      <c r="D19" s="51" t="s">
        <v>184</v>
      </c>
      <c r="E19" s="51" t="s">
        <v>131</v>
      </c>
      <c r="F19" s="51" t="s">
        <v>130</v>
      </c>
      <c r="G19" s="51" t="s">
        <v>165</v>
      </c>
      <c r="H19" s="51" t="s">
        <v>166</v>
      </c>
      <c r="I19" s="51" t="s">
        <v>167</v>
      </c>
      <c r="J19" s="51" t="s">
        <v>168</v>
      </c>
      <c r="K19" s="51" t="s">
        <v>169</v>
      </c>
      <c r="L19" s="51" t="s">
        <v>170</v>
      </c>
      <c r="M19" s="51" t="s">
        <v>171</v>
      </c>
      <c r="N19" s="51" t="s">
        <v>172</v>
      </c>
      <c r="U19" s="51" t="s">
        <v>132</v>
      </c>
      <c r="V19" s="51" t="s">
        <v>131</v>
      </c>
      <c r="W19" s="51" t="s">
        <v>130</v>
      </c>
      <c r="X19" s="51" t="s">
        <v>165</v>
      </c>
      <c r="Y19" s="51" t="s">
        <v>166</v>
      </c>
      <c r="Z19" s="51" t="s">
        <v>167</v>
      </c>
      <c r="AA19" s="51" t="s">
        <v>168</v>
      </c>
      <c r="AB19" s="51" t="s">
        <v>169</v>
      </c>
      <c r="AC19" s="51" t="s">
        <v>170</v>
      </c>
      <c r="AD19" s="51" t="s">
        <v>171</v>
      </c>
      <c r="AE19" s="51" t="s">
        <v>172</v>
      </c>
      <c r="AF19" s="2"/>
      <c r="AG19" s="2"/>
      <c r="AH19" s="2"/>
    </row>
    <row r="20" spans="1:34" ht="20.100000000000001" customHeight="1" x14ac:dyDescent="0.25">
      <c r="A20" s="17" t="str">
        <f>HYPERLINK("#'Acknowledgements'!A1", "Acknowledgements")</f>
        <v>Acknowledgements</v>
      </c>
      <c r="D20" s="52" t="str">
        <f>'Input - Pasture Beef'!D60</f>
        <v>Spring</v>
      </c>
      <c r="E20" s="52">
        <f>'Input - Pasture Beef'!E60</f>
        <v>340</v>
      </c>
      <c r="F20" s="52">
        <f>'Input - Pasture Beef'!F60</f>
        <v>800</v>
      </c>
      <c r="G20" s="52">
        <f>'Input - Pasture Beef'!G60</f>
        <v>260</v>
      </c>
      <c r="H20" s="52">
        <f>'Input - Pasture Beef'!H60</f>
        <v>420</v>
      </c>
      <c r="I20" s="52">
        <f>'Input - Pasture Beef'!I60</f>
        <v>550</v>
      </c>
      <c r="J20" s="52">
        <f>'Input - Pasture Beef'!J60</f>
        <v>550</v>
      </c>
      <c r="K20" s="52">
        <f>'Input - Pasture Beef'!K60</f>
        <v>300</v>
      </c>
      <c r="L20" s="52">
        <f>'Input - Pasture Beef'!L60</f>
        <v>480</v>
      </c>
      <c r="M20" s="52">
        <f>'Input - Pasture Beef'!M60</f>
        <v>480</v>
      </c>
      <c r="N20" s="52">
        <f>'Input - Pasture Beef'!N60</f>
        <v>480</v>
      </c>
      <c r="O20" s="2" t="s">
        <v>133</v>
      </c>
      <c r="U20" s="52" t="str">
        <f>TEXT('Input - Site'!$E$12, "mmmm yyyy")</f>
        <v>January 2024</v>
      </c>
      <c r="V20" s="52">
        <f>'Input - Pasture Beef'!E66</f>
        <v>380</v>
      </c>
      <c r="W20" s="52">
        <f>'Input - Pasture Beef'!F66</f>
        <v>780</v>
      </c>
      <c r="X20" s="52">
        <f>'Input - Pasture Beef'!G66</f>
        <v>300</v>
      </c>
      <c r="Y20" s="52">
        <f>'Input - Pasture Beef'!H66</f>
        <v>450</v>
      </c>
      <c r="Z20" s="52">
        <f>'Input - Pasture Beef'!I66</f>
        <v>530</v>
      </c>
      <c r="AA20" s="52">
        <f>'Input - Pasture Beef'!J66</f>
        <v>530</v>
      </c>
      <c r="AB20" s="52">
        <f>'Input - Pasture Beef'!K66</f>
        <v>340</v>
      </c>
      <c r="AC20" s="52">
        <f>'Input - Pasture Beef'!L66</f>
        <v>470</v>
      </c>
      <c r="AD20" s="52">
        <f>'Input - Pasture Beef'!M66</f>
        <v>470</v>
      </c>
      <c r="AE20" s="52">
        <f>'Input - Pasture Beef'!N66</f>
        <v>470</v>
      </c>
      <c r="AF20" s="2" t="s">
        <v>133</v>
      </c>
      <c r="AG20" s="2"/>
      <c r="AH20" s="2"/>
    </row>
    <row r="21" spans="1:34" ht="20.100000000000001" customHeight="1" x14ac:dyDescent="0.25">
      <c r="D21" s="52" t="str">
        <f>'Input - Pasture Beef'!D61</f>
        <v>Summer</v>
      </c>
      <c r="E21" s="52">
        <f>'Input - Pasture Beef'!E61</f>
        <v>380</v>
      </c>
      <c r="F21" s="52">
        <f>'Input - Pasture Beef'!F61</f>
        <v>780</v>
      </c>
      <c r="G21" s="52">
        <f>'Input - Pasture Beef'!G61</f>
        <v>300</v>
      </c>
      <c r="H21" s="52">
        <f>'Input - Pasture Beef'!H61</f>
        <v>450</v>
      </c>
      <c r="I21" s="52">
        <f>'Input - Pasture Beef'!I61</f>
        <v>530</v>
      </c>
      <c r="J21" s="52">
        <f>'Input - Pasture Beef'!J61</f>
        <v>530</v>
      </c>
      <c r="K21" s="52">
        <f>'Input - Pasture Beef'!K61</f>
        <v>340</v>
      </c>
      <c r="L21" s="52">
        <f>'Input - Pasture Beef'!L61</f>
        <v>470</v>
      </c>
      <c r="M21" s="52">
        <f>'Input - Pasture Beef'!M61</f>
        <v>470</v>
      </c>
      <c r="N21" s="52">
        <f>'Input - Pasture Beef'!N61</f>
        <v>470</v>
      </c>
      <c r="O21" s="2" t="s">
        <v>133</v>
      </c>
      <c r="U21" s="52" t="str">
        <f>TEXT(EDATE('Input - Site'!$E$12,1), "mmmm yyyy")</f>
        <v>February 2024</v>
      </c>
      <c r="V21" s="52">
        <f>'Input - Pasture Beef'!E67</f>
        <v>380</v>
      </c>
      <c r="W21" s="52">
        <f>'Input - Pasture Beef'!F67</f>
        <v>780</v>
      </c>
      <c r="X21" s="52">
        <f>'Input - Pasture Beef'!G67</f>
        <v>300</v>
      </c>
      <c r="Y21" s="52">
        <f>'Input - Pasture Beef'!H67</f>
        <v>450</v>
      </c>
      <c r="Z21" s="52">
        <f>'Input - Pasture Beef'!I67</f>
        <v>530</v>
      </c>
      <c r="AA21" s="52">
        <f>'Input - Pasture Beef'!J67</f>
        <v>530</v>
      </c>
      <c r="AB21" s="52">
        <f>'Input - Pasture Beef'!K67</f>
        <v>340</v>
      </c>
      <c r="AC21" s="52">
        <f>'Input - Pasture Beef'!L67</f>
        <v>470</v>
      </c>
      <c r="AD21" s="52">
        <f>'Input - Pasture Beef'!M67</f>
        <v>470</v>
      </c>
      <c r="AE21" s="52">
        <f>'Input - Pasture Beef'!N67</f>
        <v>470</v>
      </c>
      <c r="AF21" s="2" t="s">
        <v>133</v>
      </c>
      <c r="AG21" s="2"/>
      <c r="AH21" s="2"/>
    </row>
    <row r="22" spans="1:34" ht="20.100000000000001" customHeight="1" x14ac:dyDescent="0.25">
      <c r="A22" s="17"/>
      <c r="D22" s="52" t="str">
        <f>'Input - Pasture Beef'!D62</f>
        <v>Autumn</v>
      </c>
      <c r="E22" s="52">
        <f>'Input - Pasture Beef'!E62</f>
        <v>100</v>
      </c>
      <c r="F22" s="52">
        <f>'Input - Pasture Beef'!F62</f>
        <v>680</v>
      </c>
      <c r="G22" s="52">
        <f>'Input - Pasture Beef'!G62</f>
        <v>80</v>
      </c>
      <c r="H22" s="52">
        <f>'Input - Pasture Beef'!H62</f>
        <v>320</v>
      </c>
      <c r="I22" s="52">
        <f>'Input - Pasture Beef'!I62</f>
        <v>480</v>
      </c>
      <c r="J22" s="52">
        <f>'Input - Pasture Beef'!J62</f>
        <v>480</v>
      </c>
      <c r="K22" s="52">
        <f>'Input - Pasture Beef'!K62</f>
        <v>100</v>
      </c>
      <c r="L22" s="52">
        <f>'Input - Pasture Beef'!L62</f>
        <v>340</v>
      </c>
      <c r="M22" s="52">
        <f>'Input - Pasture Beef'!M62</f>
        <v>340</v>
      </c>
      <c r="N22" s="52">
        <f>'Input - Pasture Beef'!N62</f>
        <v>340</v>
      </c>
      <c r="O22" s="2" t="s">
        <v>133</v>
      </c>
      <c r="U22" s="52" t="str">
        <f>TEXT(EDATE('Input - Site'!$E$12,2), "mmmm yyyy")</f>
        <v>March 2024</v>
      </c>
      <c r="V22" s="52">
        <f>'Input - Pasture Beef'!E68</f>
        <v>100</v>
      </c>
      <c r="W22" s="52">
        <f>'Input - Pasture Beef'!F68</f>
        <v>680</v>
      </c>
      <c r="X22" s="52">
        <f>'Input - Pasture Beef'!G68</f>
        <v>80</v>
      </c>
      <c r="Y22" s="52">
        <f>'Input - Pasture Beef'!H68</f>
        <v>320</v>
      </c>
      <c r="Z22" s="52">
        <f>'Input - Pasture Beef'!I68</f>
        <v>480</v>
      </c>
      <c r="AA22" s="52">
        <f>'Input - Pasture Beef'!J68</f>
        <v>480</v>
      </c>
      <c r="AB22" s="52">
        <f>'Input - Pasture Beef'!K68</f>
        <v>100</v>
      </c>
      <c r="AC22" s="52">
        <f>'Input - Pasture Beef'!L68</f>
        <v>340</v>
      </c>
      <c r="AD22" s="52">
        <f>'Input - Pasture Beef'!M68</f>
        <v>340</v>
      </c>
      <c r="AE22" s="52">
        <f>'Input - Pasture Beef'!N68</f>
        <v>340</v>
      </c>
      <c r="AF22" s="2" t="s">
        <v>133</v>
      </c>
      <c r="AG22" s="2"/>
      <c r="AH22" s="2"/>
    </row>
    <row r="23" spans="1:34" ht="20.100000000000001" customHeight="1" x14ac:dyDescent="0.25">
      <c r="A23" s="17"/>
      <c r="D23" s="52" t="str">
        <f>'Input - Pasture Beef'!D63</f>
        <v>Winter</v>
      </c>
      <c r="E23" s="52">
        <f>'Input - Pasture Beef'!E63</f>
        <v>190</v>
      </c>
      <c r="F23" s="52">
        <f>'Input - Pasture Beef'!F63</f>
        <v>700</v>
      </c>
      <c r="G23" s="52">
        <f>'Input - Pasture Beef'!G63</f>
        <v>150</v>
      </c>
      <c r="H23" s="52">
        <f>'Input - Pasture Beef'!H63</f>
        <v>330</v>
      </c>
      <c r="I23" s="52">
        <f>'Input - Pasture Beef'!I63</f>
        <v>490</v>
      </c>
      <c r="J23" s="52">
        <f>'Input - Pasture Beef'!J63</f>
        <v>490</v>
      </c>
      <c r="K23" s="52">
        <f>'Input - Pasture Beef'!K63</f>
        <v>170</v>
      </c>
      <c r="L23" s="52">
        <f>'Input - Pasture Beef'!L63</f>
        <v>360</v>
      </c>
      <c r="M23" s="52">
        <f>'Input - Pasture Beef'!M63</f>
        <v>360</v>
      </c>
      <c r="N23" s="52">
        <f>'Input - Pasture Beef'!N63</f>
        <v>360</v>
      </c>
      <c r="O23" s="2" t="s">
        <v>133</v>
      </c>
      <c r="U23" s="52" t="str">
        <f>TEXT(EDATE('Input - Site'!$E$12,3), "mmmm yyyy")</f>
        <v>April 2024</v>
      </c>
      <c r="V23" s="52">
        <f>'Input - Pasture Beef'!E69</f>
        <v>100</v>
      </c>
      <c r="W23" s="52">
        <f>'Input - Pasture Beef'!F69</f>
        <v>680</v>
      </c>
      <c r="X23" s="52">
        <f>'Input - Pasture Beef'!G69</f>
        <v>80</v>
      </c>
      <c r="Y23" s="52">
        <f>'Input - Pasture Beef'!H69</f>
        <v>320</v>
      </c>
      <c r="Z23" s="52">
        <f>'Input - Pasture Beef'!I69</f>
        <v>480</v>
      </c>
      <c r="AA23" s="52">
        <f>'Input - Pasture Beef'!J69</f>
        <v>480</v>
      </c>
      <c r="AB23" s="52">
        <f>'Input - Pasture Beef'!K69</f>
        <v>100</v>
      </c>
      <c r="AC23" s="52">
        <f>'Input - Pasture Beef'!L69</f>
        <v>340</v>
      </c>
      <c r="AD23" s="52">
        <f>'Input - Pasture Beef'!M69</f>
        <v>340</v>
      </c>
      <c r="AE23" s="52">
        <f>'Input - Pasture Beef'!N69</f>
        <v>340</v>
      </c>
      <c r="AF23" s="2" t="s">
        <v>133</v>
      </c>
      <c r="AG23" s="2"/>
      <c r="AH23" s="2"/>
    </row>
    <row r="24" spans="1:34" ht="20.100000000000001" customHeight="1" x14ac:dyDescent="0.25">
      <c r="A24" s="17"/>
      <c r="U24" s="52" t="str">
        <f>TEXT(EDATE('Input - Site'!$E$12,4), "mmmm yyyy")</f>
        <v>May 2024</v>
      </c>
      <c r="V24" s="52">
        <f>'Input - Pasture Beef'!E70</f>
        <v>100</v>
      </c>
      <c r="W24" s="52">
        <f>'Input - Pasture Beef'!F70</f>
        <v>680</v>
      </c>
      <c r="X24" s="52">
        <f>'Input - Pasture Beef'!G70</f>
        <v>80</v>
      </c>
      <c r="Y24" s="52">
        <f>'Input - Pasture Beef'!H70</f>
        <v>320</v>
      </c>
      <c r="Z24" s="52">
        <f>'Input - Pasture Beef'!I70</f>
        <v>480</v>
      </c>
      <c r="AA24" s="52">
        <f>'Input - Pasture Beef'!J70</f>
        <v>480</v>
      </c>
      <c r="AB24" s="52">
        <f>'Input - Pasture Beef'!K70</f>
        <v>100</v>
      </c>
      <c r="AC24" s="52">
        <f>'Input - Pasture Beef'!L70</f>
        <v>340</v>
      </c>
      <c r="AD24" s="52">
        <f>'Input - Pasture Beef'!M70</f>
        <v>340</v>
      </c>
      <c r="AE24" s="52">
        <f>'Input - Pasture Beef'!N70</f>
        <v>340</v>
      </c>
      <c r="AF24" s="2" t="s">
        <v>133</v>
      </c>
      <c r="AG24" s="2"/>
      <c r="AH24" s="2"/>
    </row>
    <row r="25" spans="1:34" ht="20.100000000000001" customHeight="1" x14ac:dyDescent="0.25">
      <c r="D25" s="99" t="s">
        <v>292</v>
      </c>
      <c r="U25" s="52" t="str">
        <f>TEXT(EDATE('Input - Site'!$E$12,5), "mmmm yyyy")</f>
        <v>June 2024</v>
      </c>
      <c r="V25" s="52">
        <f>'Input - Pasture Beef'!E71</f>
        <v>190</v>
      </c>
      <c r="W25" s="52">
        <f>'Input - Pasture Beef'!F71</f>
        <v>700</v>
      </c>
      <c r="X25" s="52">
        <f>'Input - Pasture Beef'!G71</f>
        <v>150</v>
      </c>
      <c r="Y25" s="52">
        <f>'Input - Pasture Beef'!H71</f>
        <v>330</v>
      </c>
      <c r="Z25" s="52">
        <f>'Input - Pasture Beef'!I71</f>
        <v>490</v>
      </c>
      <c r="AA25" s="52">
        <f>'Input - Pasture Beef'!J71</f>
        <v>490</v>
      </c>
      <c r="AB25" s="52">
        <f>'Input - Pasture Beef'!K71</f>
        <v>170</v>
      </c>
      <c r="AC25" s="52">
        <f>'Input - Pasture Beef'!L71</f>
        <v>360</v>
      </c>
      <c r="AD25" s="52">
        <f>'Input - Pasture Beef'!M71</f>
        <v>360</v>
      </c>
      <c r="AE25" s="52">
        <f>'Input - Pasture Beef'!N71</f>
        <v>360</v>
      </c>
      <c r="AF25" s="2" t="s">
        <v>133</v>
      </c>
      <c r="AG25" s="2"/>
      <c r="AH25" s="2"/>
    </row>
    <row r="26" spans="1:34" ht="20.100000000000001" customHeight="1" x14ac:dyDescent="0.25">
      <c r="D26" s="98" t="s">
        <v>291</v>
      </c>
      <c r="U26" s="52" t="str">
        <f>TEXT(EDATE('Input - Site'!$E$12,6), "mmmm yyyy")</f>
        <v>July 2024</v>
      </c>
      <c r="V26" s="52">
        <f>'Input - Pasture Beef'!E72</f>
        <v>190</v>
      </c>
      <c r="W26" s="52">
        <f>'Input - Pasture Beef'!F72</f>
        <v>700</v>
      </c>
      <c r="X26" s="52">
        <f>'Input - Pasture Beef'!G72</f>
        <v>150</v>
      </c>
      <c r="Y26" s="52">
        <f>'Input - Pasture Beef'!H72</f>
        <v>330</v>
      </c>
      <c r="Z26" s="52">
        <f>'Input - Pasture Beef'!I72</f>
        <v>490</v>
      </c>
      <c r="AA26" s="52">
        <f>'Input - Pasture Beef'!J72</f>
        <v>490</v>
      </c>
      <c r="AB26" s="52">
        <f>'Input - Pasture Beef'!K72</f>
        <v>170</v>
      </c>
      <c r="AC26" s="52">
        <f>'Input - Pasture Beef'!L72</f>
        <v>360</v>
      </c>
      <c r="AD26" s="52">
        <f>'Input - Pasture Beef'!M72</f>
        <v>360</v>
      </c>
      <c r="AE26" s="52">
        <f>'Input - Pasture Beef'!N72</f>
        <v>360</v>
      </c>
      <c r="AF26" s="2" t="s">
        <v>133</v>
      </c>
      <c r="AG26" s="2"/>
      <c r="AH26" s="2"/>
    </row>
    <row r="27" spans="1:34" ht="20.100000000000001" customHeight="1" x14ac:dyDescent="0.25">
      <c r="D27" s="51" t="s">
        <v>131</v>
      </c>
      <c r="E27" s="51" t="s">
        <v>130</v>
      </c>
      <c r="F27" s="51" t="s">
        <v>165</v>
      </c>
      <c r="G27" s="51" t="s">
        <v>166</v>
      </c>
      <c r="H27" s="51" t="s">
        <v>167</v>
      </c>
      <c r="I27" s="51" t="s">
        <v>168</v>
      </c>
      <c r="J27" s="51" t="s">
        <v>169</v>
      </c>
      <c r="K27" s="51" t="s">
        <v>170</v>
      </c>
      <c r="L27" s="51" t="s">
        <v>171</v>
      </c>
      <c r="M27" s="51" t="s">
        <v>172</v>
      </c>
      <c r="U27" s="52" t="str">
        <f>TEXT(EDATE('Input - Site'!$E$12,7), "mmmm yyyy")</f>
        <v>August 2024</v>
      </c>
      <c r="V27" s="52">
        <f>'Input - Pasture Beef'!E73</f>
        <v>190</v>
      </c>
      <c r="W27" s="52">
        <f>'Input - Pasture Beef'!F73</f>
        <v>700</v>
      </c>
      <c r="X27" s="52">
        <f>'Input - Pasture Beef'!G73</f>
        <v>150</v>
      </c>
      <c r="Y27" s="52">
        <f>'Input - Pasture Beef'!H73</f>
        <v>330</v>
      </c>
      <c r="Z27" s="52">
        <f>'Input - Pasture Beef'!I73</f>
        <v>490</v>
      </c>
      <c r="AA27" s="52">
        <f>'Input - Pasture Beef'!J73</f>
        <v>490</v>
      </c>
      <c r="AB27" s="52">
        <f>'Input - Pasture Beef'!K73</f>
        <v>170</v>
      </c>
      <c r="AC27" s="52">
        <f>'Input - Pasture Beef'!L73</f>
        <v>360</v>
      </c>
      <c r="AD27" s="52">
        <f>'Input - Pasture Beef'!M73</f>
        <v>360</v>
      </c>
      <c r="AE27" s="52">
        <f>'Input - Pasture Beef'!N73</f>
        <v>360</v>
      </c>
      <c r="AF27" s="2" t="s">
        <v>133</v>
      </c>
      <c r="AG27" s="2"/>
      <c r="AH27" s="2"/>
    </row>
    <row r="28" spans="1:34" ht="20.100000000000001" customHeight="1" x14ac:dyDescent="0.25">
      <c r="D28" s="52">
        <f>Common_InputFunctions.Utility_LookupValueInTableOneColumnAndHeader(Common_InputFunctions.Utility_ConvertStateCommonNameToAbbreviation($F$15,Table_AustralianStates[Common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2">
        <f>Common_InputFunctions.Utility_LookupValueInTableOneColumnAndHeader(Common_InputFunctions.Utility_ConvertStateCommonNameToAbbreviation($F$15,Table_AustralianStates[Common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2">
        <f>Common_InputFunctions.Utility_LookupValueInTableOneColumnAndHeader(Common_InputFunctions.Utility_ConvertStateCommonNameToAbbreviation($F$15,Table_AustralianStates[Common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2">
        <f>Common_InputFunctions.Utility_LookupValueInTableOneColumnAndHeader(Common_InputFunctions.Utility_ConvertStateCommonNameToAbbreviation($F$15,Table_AustralianStates[Common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2">
        <f>Common_InputFunctions.Utility_LookupValueInTableOneColumnAndHeader(Common_InputFunctions.Utility_ConvertStateCommonNameToAbbreviation($F$15,Table_AustralianStates[Common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2">
        <f>Common_InputFunctions.Utility_LookupValueInTableOneColumnAndHeader(Common_InputFunctions.Utility_ConvertStateCommonNameToAbbreviation($F$15,Table_AustralianStates[Common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2">
        <f>Common_InputFunctions.Utility_LookupValueInTableOneColumnAndHeader(Common_InputFunctions.Utility_ConvertStateCommonNameToAbbreviation($F$15,Table_AustralianStates[Common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2">
        <f>Common_InputFunctions.Utility_LookupValueInTableOneColumnAndHeader(Common_InputFunctions.Utility_ConvertStateCommonNameToAbbreviation($F$15,Table_AustralianStates[Common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2">
        <f>Common_InputFunctions.Utility_LookupValueInTableOneColumnAndHeader(Common_InputFunctions.Utility_ConvertStateCommonNameToAbbreviation($F$15,Table_AustralianStates[Common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2">
        <f>Common_InputFunctions.Utility_LookupValueInTableOneColumnAndHeader(Common_InputFunctions.Utility_ConvertStateCommonNameToAbbreviation($F$15,Table_AustralianStates[Common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133</v>
      </c>
      <c r="U28" s="52" t="str">
        <f>TEXT(EDATE('Input - Site'!$E$12,8), "mmmm yyyy")</f>
        <v>September 2024</v>
      </c>
      <c r="V28" s="52">
        <f>'Input - Pasture Beef'!E74</f>
        <v>340</v>
      </c>
      <c r="W28" s="52">
        <f>'Input - Pasture Beef'!F74</f>
        <v>800</v>
      </c>
      <c r="X28" s="52">
        <f>'Input - Pasture Beef'!G74</f>
        <v>260</v>
      </c>
      <c r="Y28" s="52">
        <f>'Input - Pasture Beef'!H74</f>
        <v>420</v>
      </c>
      <c r="Z28" s="52">
        <f>'Input - Pasture Beef'!I74</f>
        <v>550</v>
      </c>
      <c r="AA28" s="52">
        <f>'Input - Pasture Beef'!J74</f>
        <v>550</v>
      </c>
      <c r="AB28" s="52">
        <f>'Input - Pasture Beef'!K74</f>
        <v>300</v>
      </c>
      <c r="AC28" s="52">
        <f>'Input - Pasture Beef'!L74</f>
        <v>480</v>
      </c>
      <c r="AD28" s="52">
        <f>'Input - Pasture Beef'!M74</f>
        <v>480</v>
      </c>
      <c r="AE28" s="52">
        <f>'Input - Pasture Beef'!N74</f>
        <v>480</v>
      </c>
      <c r="AF28" s="2" t="s">
        <v>133</v>
      </c>
      <c r="AG28" s="2"/>
      <c r="AH28" s="2"/>
    </row>
    <row r="29" spans="1:34" ht="20.100000000000001" customHeight="1" x14ac:dyDescent="0.25">
      <c r="U29" s="52" t="str">
        <f>TEXT(EDATE('Input - Site'!$E$12,9), "mmmm yyyy")</f>
        <v>October 2024</v>
      </c>
      <c r="V29" s="52">
        <f>'Input - Pasture Beef'!E75</f>
        <v>340</v>
      </c>
      <c r="W29" s="52">
        <f>'Input - Pasture Beef'!F75</f>
        <v>800</v>
      </c>
      <c r="X29" s="52">
        <f>'Input - Pasture Beef'!G75</f>
        <v>260</v>
      </c>
      <c r="Y29" s="52">
        <f>'Input - Pasture Beef'!H75</f>
        <v>420</v>
      </c>
      <c r="Z29" s="52">
        <f>'Input - Pasture Beef'!I75</f>
        <v>550</v>
      </c>
      <c r="AA29" s="52">
        <f>'Input - Pasture Beef'!J75</f>
        <v>550</v>
      </c>
      <c r="AB29" s="52">
        <f>'Input - Pasture Beef'!K75</f>
        <v>300</v>
      </c>
      <c r="AC29" s="52">
        <f>'Input - Pasture Beef'!L75</f>
        <v>480</v>
      </c>
      <c r="AD29" s="52">
        <f>'Input - Pasture Beef'!M75</f>
        <v>480</v>
      </c>
      <c r="AE29" s="52">
        <f>'Input - Pasture Beef'!N75</f>
        <v>480</v>
      </c>
      <c r="AF29" s="2" t="s">
        <v>133</v>
      </c>
      <c r="AG29" s="2"/>
      <c r="AH29" s="2"/>
    </row>
    <row r="30" spans="1:34" ht="20.100000000000001" customHeight="1" x14ac:dyDescent="0.25">
      <c r="D30" s="99" t="s">
        <v>293</v>
      </c>
      <c r="U30" s="52" t="str">
        <f>TEXT(EDATE('Input - Site'!$E$12,10), "mmmm yyyy")</f>
        <v>November 2024</v>
      </c>
      <c r="V30" s="52">
        <f>'Input - Pasture Beef'!E76</f>
        <v>340</v>
      </c>
      <c r="W30" s="52">
        <f>'Input - Pasture Beef'!F76</f>
        <v>800</v>
      </c>
      <c r="X30" s="52">
        <f>'Input - Pasture Beef'!G76</f>
        <v>260</v>
      </c>
      <c r="Y30" s="52">
        <f>'Input - Pasture Beef'!H76</f>
        <v>420</v>
      </c>
      <c r="Z30" s="52">
        <f>'Input - Pasture Beef'!I76</f>
        <v>550</v>
      </c>
      <c r="AA30" s="52">
        <f>'Input - Pasture Beef'!J76</f>
        <v>550</v>
      </c>
      <c r="AB30" s="52">
        <f>'Input - Pasture Beef'!K76</f>
        <v>300</v>
      </c>
      <c r="AC30" s="52">
        <f>'Input - Pasture Beef'!L76</f>
        <v>480</v>
      </c>
      <c r="AD30" s="52">
        <f>'Input - Pasture Beef'!M76</f>
        <v>480</v>
      </c>
      <c r="AE30" s="52">
        <f>'Input - Pasture Beef'!N76</f>
        <v>480</v>
      </c>
      <c r="AF30" s="2" t="s">
        <v>133</v>
      </c>
      <c r="AG30" s="2"/>
      <c r="AH30" s="2"/>
    </row>
    <row r="31" spans="1:34" ht="20.100000000000001" customHeight="1" x14ac:dyDescent="0.25">
      <c r="D31" s="98" t="s">
        <v>294</v>
      </c>
      <c r="U31" s="52" t="str">
        <f>TEXT(EDATE('Input - Site'!$E$12,11), "mmmm yyyy")</f>
        <v>December 2024</v>
      </c>
      <c r="V31" s="52">
        <f>'Input - Pasture Beef'!E77</f>
        <v>380</v>
      </c>
      <c r="W31" s="52">
        <f>'Input - Pasture Beef'!F77</f>
        <v>780</v>
      </c>
      <c r="X31" s="52">
        <f>'Input - Pasture Beef'!G77</f>
        <v>300</v>
      </c>
      <c r="Y31" s="52">
        <f>'Input - Pasture Beef'!H77</f>
        <v>450</v>
      </c>
      <c r="Z31" s="52">
        <f>'Input - Pasture Beef'!I77</f>
        <v>530</v>
      </c>
      <c r="AA31" s="52">
        <f>'Input - Pasture Beef'!J77</f>
        <v>530</v>
      </c>
      <c r="AB31" s="52">
        <f>'Input - Pasture Beef'!K77</f>
        <v>340</v>
      </c>
      <c r="AC31" s="52">
        <f>'Input - Pasture Beef'!L77</f>
        <v>470</v>
      </c>
      <c r="AD31" s="52">
        <f>'Input - Pasture Beef'!M77</f>
        <v>470</v>
      </c>
      <c r="AE31" s="52">
        <f>'Input - Pasture Beef'!N77</f>
        <v>470</v>
      </c>
      <c r="AF31" s="2" t="s">
        <v>133</v>
      </c>
      <c r="AG31" s="2"/>
      <c r="AH31" s="2"/>
    </row>
    <row r="32" spans="1:34" ht="20.100000000000001" customHeight="1" x14ac:dyDescent="0.25">
      <c r="D32" s="51" t="s">
        <v>184</v>
      </c>
      <c r="E32" s="51" t="s">
        <v>131</v>
      </c>
      <c r="F32" s="51" t="s">
        <v>130</v>
      </c>
      <c r="G32" s="51" t="s">
        <v>165</v>
      </c>
      <c r="H32" s="51" t="s">
        <v>166</v>
      </c>
      <c r="I32" s="51" t="s">
        <v>167</v>
      </c>
      <c r="J32" s="51" t="s">
        <v>168</v>
      </c>
      <c r="K32" s="51" t="s">
        <v>169</v>
      </c>
      <c r="L32" s="51" t="s">
        <v>170</v>
      </c>
      <c r="M32" s="51" t="s">
        <v>171</v>
      </c>
      <c r="N32" s="51" t="s">
        <v>172</v>
      </c>
    </row>
    <row r="33" spans="3:34" ht="20.100000000000001" customHeight="1" x14ac:dyDescent="0.25">
      <c r="D33" s="52" t="str">
        <f>'Input - Pasture Beef'!D60</f>
        <v>Spring</v>
      </c>
      <c r="E33" s="52" cm="1">
        <f t="array" ref="E33">MMS_PastureBeef_Soil_N2ODirect_Equations.VEERG_4_2_1_3__7_RelativeSize(E20,D$28)</f>
        <v>0.44155844155844154</v>
      </c>
      <c r="F33" s="52" cm="1">
        <f t="array" ref="F33">MMS_PastureBeef_Soil_N2ODirect_Equations.VEERG_4_2_1_3__7_RelativeSize(F20,E$28)</f>
        <v>1.0389610389610389</v>
      </c>
      <c r="G33" s="52" cm="1">
        <f t="array" ref="G33">MMS_PastureBeef_Soil_N2ODirect_Equations.VEERG_4_2_1_3__7_RelativeSize(G20,F$28)</f>
        <v>0.47272727272727272</v>
      </c>
      <c r="H33" s="52" cm="1">
        <f t="array" ref="H33">MMS_PastureBeef_Soil_N2ODirect_Equations.VEERG_4_2_1_3__7_RelativeSize(H20,G$28)</f>
        <v>0.76363636363636367</v>
      </c>
      <c r="I33" s="52" cm="1">
        <f t="array" ref="I33">MMS_PastureBeef_Soil_N2ODirect_Equations.VEERG_4_2_1_3__7_RelativeSize(I20,H$28)</f>
        <v>1</v>
      </c>
      <c r="J33" s="52" cm="1">
        <f t="array" ref="J33">MMS_PastureBeef_Soil_N2ODirect_Equations.VEERG_4_2_1_3__7_RelativeSize(J20,I$28)</f>
        <v>1</v>
      </c>
      <c r="K33" s="52" cm="1">
        <f t="array" ref="K33">MMS_PastureBeef_Soil_N2ODirect_Equations.VEERG_4_2_1_3__7_RelativeSize(K20,J$28)</f>
        <v>0.45454545454545453</v>
      </c>
      <c r="L33" s="52" cm="1">
        <f t="array" ref="L33">MMS_PastureBeef_Soil_N2ODirect_Equations.VEERG_4_2_1_3__7_RelativeSize(L20,K$28)</f>
        <v>0.72727272727272729</v>
      </c>
      <c r="M33" s="52" cm="1">
        <f t="array" ref="M33">MMS_PastureBeef_Soil_N2ODirect_Equations.VEERG_4_2_1_3__7_RelativeSize(M20,L$28)</f>
        <v>0.72727272727272729</v>
      </c>
      <c r="N33" s="52" cm="1">
        <f t="array" ref="N33">MMS_PastureBeef_Soil_N2ODirect_Equations.VEERG_4_2_1_3__7_RelativeSize(N20,M$28)</f>
        <v>0.72727272727272729</v>
      </c>
      <c r="O33" s="2" t="str">
        <f>$E$11</f>
        <v>ratio</v>
      </c>
      <c r="U33" s="99" t="s">
        <v>295</v>
      </c>
    </row>
    <row r="34" spans="3:34" ht="20.100000000000001" customHeight="1" x14ac:dyDescent="0.25">
      <c r="D34" s="52" t="str">
        <f>'Input - Pasture Beef'!D61</f>
        <v>Summer</v>
      </c>
      <c r="E34" s="52" cm="1">
        <f t="array" ref="E34">MMS_PastureBeef_Soil_N2ODirect_Equations.VEERG_4_2_1_3__7_RelativeSize(E21,D$28)</f>
        <v>0.4935064935064935</v>
      </c>
      <c r="F34" s="52" cm="1">
        <f t="array" ref="F34">MMS_PastureBeef_Soil_N2ODirect_Equations.VEERG_4_2_1_3__7_RelativeSize(F21,E$28)</f>
        <v>1.0129870129870129</v>
      </c>
      <c r="G34" s="52" cm="1">
        <f t="array" ref="G34">MMS_PastureBeef_Soil_N2ODirect_Equations.VEERG_4_2_1_3__7_RelativeSize(G21,F$28)</f>
        <v>0.54545454545454541</v>
      </c>
      <c r="H34" s="52" cm="1">
        <f t="array" ref="H34">MMS_PastureBeef_Soil_N2ODirect_Equations.VEERG_4_2_1_3__7_RelativeSize(H21,G$28)</f>
        <v>0.81818181818181823</v>
      </c>
      <c r="I34" s="52" cm="1">
        <f t="array" ref="I34">MMS_PastureBeef_Soil_N2ODirect_Equations.VEERG_4_2_1_3__7_RelativeSize(I21,H$28)</f>
        <v>0.96363636363636362</v>
      </c>
      <c r="J34" s="52" cm="1">
        <f t="array" ref="J34">MMS_PastureBeef_Soil_N2ODirect_Equations.VEERG_4_2_1_3__7_RelativeSize(J21,I$28)</f>
        <v>0.96363636363636362</v>
      </c>
      <c r="K34" s="52" cm="1">
        <f t="array" ref="K34">MMS_PastureBeef_Soil_N2ODirect_Equations.VEERG_4_2_1_3__7_RelativeSize(K21,J$28)</f>
        <v>0.51515151515151514</v>
      </c>
      <c r="L34" s="52" cm="1">
        <f t="array" ref="L34">MMS_PastureBeef_Soil_N2ODirect_Equations.VEERG_4_2_1_3__7_RelativeSize(L21,K$28)</f>
        <v>0.71212121212121215</v>
      </c>
      <c r="M34" s="52" cm="1">
        <f t="array" ref="M34">MMS_PastureBeef_Soil_N2ODirect_Equations.VEERG_4_2_1_3__7_RelativeSize(M21,L$28)</f>
        <v>0.71212121212121215</v>
      </c>
      <c r="N34" s="52" cm="1">
        <f t="array" ref="N34">MMS_PastureBeef_Soil_N2ODirect_Equations.VEERG_4_2_1_3__7_RelativeSize(N21,M$28)</f>
        <v>0.71212121212121215</v>
      </c>
      <c r="O34" s="2" t="str">
        <f t="shared" ref="O34:O36" si="0">$E$11</f>
        <v>ratio</v>
      </c>
      <c r="U34" s="98" t="s">
        <v>296</v>
      </c>
    </row>
    <row r="35" spans="3:34" ht="20.100000000000001" customHeight="1" x14ac:dyDescent="0.25">
      <c r="D35" s="52" t="str">
        <f>'Input - Pasture Beef'!D62</f>
        <v>Autumn</v>
      </c>
      <c r="E35" s="52" cm="1">
        <f t="array" ref="E35">MMS_PastureBeef_Soil_N2ODirect_Equations.VEERG_4_2_1_3__7_RelativeSize(E22,D$28)</f>
        <v>0.12987012987012986</v>
      </c>
      <c r="F35" s="52" cm="1">
        <f t="array" ref="F35">MMS_PastureBeef_Soil_N2ODirect_Equations.VEERG_4_2_1_3__7_RelativeSize(F22,E$28)</f>
        <v>0.88311688311688308</v>
      </c>
      <c r="G35" s="52" cm="1">
        <f t="array" ref="G35">MMS_PastureBeef_Soil_N2ODirect_Equations.VEERG_4_2_1_3__7_RelativeSize(G22,F$28)</f>
        <v>0.14545454545454545</v>
      </c>
      <c r="H35" s="52" cm="1">
        <f t="array" ref="H35">MMS_PastureBeef_Soil_N2ODirect_Equations.VEERG_4_2_1_3__7_RelativeSize(H22,G$28)</f>
        <v>0.58181818181818179</v>
      </c>
      <c r="I35" s="52" cm="1">
        <f t="array" ref="I35">MMS_PastureBeef_Soil_N2ODirect_Equations.VEERG_4_2_1_3__7_RelativeSize(I22,H$28)</f>
        <v>0.87272727272727268</v>
      </c>
      <c r="J35" s="52" cm="1">
        <f t="array" ref="J35">MMS_PastureBeef_Soil_N2ODirect_Equations.VEERG_4_2_1_3__7_RelativeSize(J22,I$28)</f>
        <v>0.87272727272727268</v>
      </c>
      <c r="K35" s="52" cm="1">
        <f t="array" ref="K35">MMS_PastureBeef_Soil_N2ODirect_Equations.VEERG_4_2_1_3__7_RelativeSize(K22,J$28)</f>
        <v>0.15151515151515152</v>
      </c>
      <c r="L35" s="52" cm="1">
        <f t="array" ref="L35">MMS_PastureBeef_Soil_N2ODirect_Equations.VEERG_4_2_1_3__7_RelativeSize(L22,K$28)</f>
        <v>0.51515151515151514</v>
      </c>
      <c r="M35" s="52" cm="1">
        <f t="array" ref="M35">MMS_PastureBeef_Soil_N2ODirect_Equations.VEERG_4_2_1_3__7_RelativeSize(M22,L$28)</f>
        <v>0.51515151515151514</v>
      </c>
      <c r="N35" s="52" cm="1">
        <f t="array" ref="N35">MMS_PastureBeef_Soil_N2ODirect_Equations.VEERG_4_2_1_3__7_RelativeSize(N22,M$28)</f>
        <v>0.51515151515151514</v>
      </c>
      <c r="O35" s="2" t="str">
        <f t="shared" si="0"/>
        <v>ratio</v>
      </c>
      <c r="U35" s="51" t="s">
        <v>132</v>
      </c>
      <c r="V35" s="51" t="s">
        <v>131</v>
      </c>
      <c r="W35" s="51" t="s">
        <v>130</v>
      </c>
      <c r="X35" s="51" t="s">
        <v>165</v>
      </c>
      <c r="Y35" s="51" t="s">
        <v>166</v>
      </c>
      <c r="Z35" s="51" t="s">
        <v>167</v>
      </c>
      <c r="AA35" s="51" t="s">
        <v>168</v>
      </c>
      <c r="AB35" s="51" t="s">
        <v>169</v>
      </c>
      <c r="AC35" s="51" t="s">
        <v>170</v>
      </c>
      <c r="AD35" s="51" t="s">
        <v>171</v>
      </c>
      <c r="AE35" s="51" t="s">
        <v>172</v>
      </c>
      <c r="AF35" s="2"/>
      <c r="AG35" s="2"/>
      <c r="AH35" s="2"/>
    </row>
    <row r="36" spans="3:34" ht="20.100000000000001" customHeight="1" x14ac:dyDescent="0.25">
      <c r="D36" s="52" t="str">
        <f>'Input - Pasture Beef'!D63</f>
        <v>Winter</v>
      </c>
      <c r="E36" s="52" cm="1">
        <f t="array" ref="E36">MMS_PastureBeef_Soil_N2ODirect_Equations.VEERG_4_2_1_3__7_RelativeSize(E23,D$28)</f>
        <v>0.24675324675324675</v>
      </c>
      <c r="F36" s="52" cm="1">
        <f t="array" ref="F36">MMS_PastureBeef_Soil_N2ODirect_Equations.VEERG_4_2_1_3__7_RelativeSize(F23,E$28)</f>
        <v>0.90909090909090906</v>
      </c>
      <c r="G36" s="52" cm="1">
        <f t="array" ref="G36">MMS_PastureBeef_Soil_N2ODirect_Equations.VEERG_4_2_1_3__7_RelativeSize(G23,F$28)</f>
        <v>0.27272727272727271</v>
      </c>
      <c r="H36" s="52" cm="1">
        <f t="array" ref="H36">MMS_PastureBeef_Soil_N2ODirect_Equations.VEERG_4_2_1_3__7_RelativeSize(H23,G$28)</f>
        <v>0.6</v>
      </c>
      <c r="I36" s="52" cm="1">
        <f t="array" ref="I36">MMS_PastureBeef_Soil_N2ODirect_Equations.VEERG_4_2_1_3__7_RelativeSize(I23,H$28)</f>
        <v>0.89090909090909087</v>
      </c>
      <c r="J36" s="52" cm="1">
        <f t="array" ref="J36">MMS_PastureBeef_Soil_N2ODirect_Equations.VEERG_4_2_1_3__7_RelativeSize(J23,I$28)</f>
        <v>0.89090909090909087</v>
      </c>
      <c r="K36" s="52" cm="1">
        <f t="array" ref="K36">MMS_PastureBeef_Soil_N2ODirect_Equations.VEERG_4_2_1_3__7_RelativeSize(K23,J$28)</f>
        <v>0.25757575757575757</v>
      </c>
      <c r="L36" s="52" cm="1">
        <f t="array" ref="L36">MMS_PastureBeef_Soil_N2ODirect_Equations.VEERG_4_2_1_3__7_RelativeSize(L23,K$28)</f>
        <v>0.54545454545454541</v>
      </c>
      <c r="M36" s="52" cm="1">
        <f t="array" ref="M36">MMS_PastureBeef_Soil_N2ODirect_Equations.VEERG_4_2_1_3__7_RelativeSize(M23,L$28)</f>
        <v>0.54545454545454541</v>
      </c>
      <c r="N36" s="52" cm="1">
        <f t="array" ref="N36">MMS_PastureBeef_Soil_N2ODirect_Equations.VEERG_4_2_1_3__7_RelativeSize(N23,M$28)</f>
        <v>0.54545454545454541</v>
      </c>
      <c r="O36" s="2" t="str">
        <f t="shared" si="0"/>
        <v>ratio</v>
      </c>
      <c r="U36" s="52" t="str">
        <f>TEXT('Input - Site'!$E$12, "mmmm yyyy")</f>
        <v>January 2024</v>
      </c>
      <c r="V36" s="52" cm="1">
        <f t="array" ref="V36">MMS_PastureBeef_Soil_N2ODirect_Equations.VEERG_4_2_1_3__7_RelativeSize(V20,D$28)</f>
        <v>0.4935064935064935</v>
      </c>
      <c r="W36" s="52" cm="1">
        <f t="array" ref="W36">MMS_PastureBeef_Soil_N2ODirect_Equations.VEERG_4_2_1_3__7_RelativeSize(W20,E$28)</f>
        <v>1.0129870129870129</v>
      </c>
      <c r="X36" s="52" cm="1">
        <f t="array" ref="X36">MMS_PastureBeef_Soil_N2ODirect_Equations.VEERG_4_2_1_3__7_RelativeSize(X20,F$28)</f>
        <v>0.54545454545454541</v>
      </c>
      <c r="Y36" s="52" cm="1">
        <f t="array" ref="Y36">MMS_PastureBeef_Soil_N2ODirect_Equations.VEERG_4_2_1_3__7_RelativeSize(Y20,G$28)</f>
        <v>0.81818181818181823</v>
      </c>
      <c r="Z36" s="52" cm="1">
        <f t="array" ref="Z36">MMS_PastureBeef_Soil_N2ODirect_Equations.VEERG_4_2_1_3__7_RelativeSize(Z20,H$28)</f>
        <v>0.96363636363636362</v>
      </c>
      <c r="AA36" s="52" cm="1">
        <f t="array" ref="AA36">MMS_PastureBeef_Soil_N2ODirect_Equations.VEERG_4_2_1_3__7_RelativeSize(AA20,I$28)</f>
        <v>0.96363636363636362</v>
      </c>
      <c r="AB36" s="52" cm="1">
        <f t="array" ref="AB36">MMS_PastureBeef_Soil_N2ODirect_Equations.VEERG_4_2_1_3__7_RelativeSize(AB20,J$28)</f>
        <v>0.51515151515151514</v>
      </c>
      <c r="AC36" s="52" cm="1">
        <f t="array" ref="AC36">MMS_PastureBeef_Soil_N2ODirect_Equations.VEERG_4_2_1_3__7_RelativeSize(AC20,K$28)</f>
        <v>0.71212121212121215</v>
      </c>
      <c r="AD36" s="52" cm="1">
        <f t="array" ref="AD36">MMS_PastureBeef_Soil_N2ODirect_Equations.VEERG_4_2_1_3__7_RelativeSize(AD20,L$28)</f>
        <v>0.71212121212121215</v>
      </c>
      <c r="AE36" s="52" cm="1">
        <f t="array" ref="AE36">MMS_PastureBeef_Soil_N2ODirect_Equations.VEERG_4_2_1_3__7_RelativeSize(AE20,M$28)</f>
        <v>0.71212121212121215</v>
      </c>
      <c r="AF36" s="2" t="str">
        <f t="shared" ref="AF36:AF47" si="1">$E$11</f>
        <v>ratio</v>
      </c>
      <c r="AG36" s="2"/>
      <c r="AH36" s="2"/>
    </row>
    <row r="37" spans="3:34" ht="20.100000000000001" customHeight="1" x14ac:dyDescent="0.25">
      <c r="U37" s="52" t="str">
        <f>TEXT(EDATE('Input - Site'!$E$12,1), "mmmm yyyy")</f>
        <v>February 2024</v>
      </c>
      <c r="V37" s="52" cm="1">
        <f t="array" ref="V37">MMS_PastureBeef_Soil_N2ODirect_Equations.VEERG_4_2_1_3__7_RelativeSize(V21,D$28)</f>
        <v>0.4935064935064935</v>
      </c>
      <c r="W37" s="52" cm="1">
        <f t="array" ref="W37">MMS_PastureBeef_Soil_N2ODirect_Equations.VEERG_4_2_1_3__7_RelativeSize(W21,E$28)</f>
        <v>1.0129870129870129</v>
      </c>
      <c r="X37" s="52" cm="1">
        <f t="array" ref="X37">MMS_PastureBeef_Soil_N2ODirect_Equations.VEERG_4_2_1_3__7_RelativeSize(X21,F$28)</f>
        <v>0.54545454545454541</v>
      </c>
      <c r="Y37" s="52" cm="1">
        <f t="array" ref="Y37">MMS_PastureBeef_Soil_N2ODirect_Equations.VEERG_4_2_1_3__7_RelativeSize(Y21,G$28)</f>
        <v>0.81818181818181823</v>
      </c>
      <c r="Z37" s="52" cm="1">
        <f t="array" ref="Z37">MMS_PastureBeef_Soil_N2ODirect_Equations.VEERG_4_2_1_3__7_RelativeSize(Z21,H$28)</f>
        <v>0.96363636363636362</v>
      </c>
      <c r="AA37" s="52" cm="1">
        <f t="array" ref="AA37">MMS_PastureBeef_Soil_N2ODirect_Equations.VEERG_4_2_1_3__7_RelativeSize(AA21,I$28)</f>
        <v>0.96363636363636362</v>
      </c>
      <c r="AB37" s="52" cm="1">
        <f t="array" ref="AB37">MMS_PastureBeef_Soil_N2ODirect_Equations.VEERG_4_2_1_3__7_RelativeSize(AB21,J$28)</f>
        <v>0.51515151515151514</v>
      </c>
      <c r="AC37" s="52" cm="1">
        <f t="array" ref="AC37">MMS_PastureBeef_Soil_N2ODirect_Equations.VEERG_4_2_1_3__7_RelativeSize(AC21,K$28)</f>
        <v>0.71212121212121215</v>
      </c>
      <c r="AD37" s="52" cm="1">
        <f t="array" ref="AD37">MMS_PastureBeef_Soil_N2ODirect_Equations.VEERG_4_2_1_3__7_RelativeSize(AD21,L$28)</f>
        <v>0.71212121212121215</v>
      </c>
      <c r="AE37" s="52" cm="1">
        <f t="array" ref="AE37">MMS_PastureBeef_Soil_N2ODirect_Equations.VEERG_4_2_1_3__7_RelativeSize(AE21,M$28)</f>
        <v>0.71212121212121215</v>
      </c>
      <c r="AF37" s="2" t="str">
        <f t="shared" si="1"/>
        <v>ratio</v>
      </c>
      <c r="AG37" s="2"/>
      <c r="AH37" s="2"/>
    </row>
    <row r="38" spans="3:34" ht="20.100000000000001" customHeight="1" x14ac:dyDescent="0.25">
      <c r="U38" s="52" t="str">
        <f>TEXT(EDATE('Input - Site'!$E$12,2), "mmmm yyyy")</f>
        <v>March 2024</v>
      </c>
      <c r="V38" s="52" cm="1">
        <f t="array" ref="V38">MMS_PastureBeef_Soil_N2ODirect_Equations.VEERG_4_2_1_3__7_RelativeSize(V22,D$28)</f>
        <v>0.12987012987012986</v>
      </c>
      <c r="W38" s="52" cm="1">
        <f t="array" ref="W38">MMS_PastureBeef_Soil_N2ODirect_Equations.VEERG_4_2_1_3__7_RelativeSize(W22,E$28)</f>
        <v>0.88311688311688308</v>
      </c>
      <c r="X38" s="52" cm="1">
        <f t="array" ref="X38">MMS_PastureBeef_Soil_N2ODirect_Equations.VEERG_4_2_1_3__7_RelativeSize(X22,F$28)</f>
        <v>0.14545454545454545</v>
      </c>
      <c r="Y38" s="52" cm="1">
        <f t="array" ref="Y38">MMS_PastureBeef_Soil_N2ODirect_Equations.VEERG_4_2_1_3__7_RelativeSize(Y22,G$28)</f>
        <v>0.58181818181818179</v>
      </c>
      <c r="Z38" s="52" cm="1">
        <f t="array" ref="Z38">MMS_PastureBeef_Soil_N2ODirect_Equations.VEERG_4_2_1_3__7_RelativeSize(Z22,H$28)</f>
        <v>0.87272727272727268</v>
      </c>
      <c r="AA38" s="52" cm="1">
        <f t="array" ref="AA38">MMS_PastureBeef_Soil_N2ODirect_Equations.VEERG_4_2_1_3__7_RelativeSize(AA22,I$28)</f>
        <v>0.87272727272727268</v>
      </c>
      <c r="AB38" s="52" cm="1">
        <f t="array" ref="AB38">MMS_PastureBeef_Soil_N2ODirect_Equations.VEERG_4_2_1_3__7_RelativeSize(AB22,J$28)</f>
        <v>0.15151515151515152</v>
      </c>
      <c r="AC38" s="52" cm="1">
        <f t="array" ref="AC38">MMS_PastureBeef_Soil_N2ODirect_Equations.VEERG_4_2_1_3__7_RelativeSize(AC22,K$28)</f>
        <v>0.51515151515151514</v>
      </c>
      <c r="AD38" s="52" cm="1">
        <f t="array" ref="AD38">MMS_PastureBeef_Soil_N2ODirect_Equations.VEERG_4_2_1_3__7_RelativeSize(AD22,L$28)</f>
        <v>0.51515151515151514</v>
      </c>
      <c r="AE38" s="52" cm="1">
        <f t="array" ref="AE38">MMS_PastureBeef_Soil_N2ODirect_Equations.VEERG_4_2_1_3__7_RelativeSize(AE22,M$28)</f>
        <v>0.51515151515151514</v>
      </c>
      <c r="AF38" s="2" t="str">
        <f t="shared" si="1"/>
        <v>ratio</v>
      </c>
      <c r="AG38" s="2"/>
      <c r="AH38" s="2"/>
    </row>
    <row r="39" spans="3:34" ht="20.100000000000001" customHeight="1" x14ac:dyDescent="0.25">
      <c r="C39" s="45"/>
      <c r="D39" s="45"/>
      <c r="E39" s="45"/>
      <c r="F39" s="45"/>
      <c r="G39" s="45"/>
      <c r="H39" s="45"/>
      <c r="I39" s="45"/>
      <c r="J39" s="45"/>
      <c r="K39" s="45"/>
      <c r="L39" s="45"/>
      <c r="M39" s="45"/>
      <c r="N39" s="45"/>
      <c r="O39" s="45"/>
      <c r="P39" s="45"/>
      <c r="Q39" s="45"/>
      <c r="R39" s="45"/>
      <c r="U39" s="52" t="str">
        <f>TEXT(EDATE('Input - Site'!$E$12,3), "mmmm yyyy")</f>
        <v>April 2024</v>
      </c>
      <c r="V39" s="52" cm="1">
        <f t="array" ref="V39">MMS_PastureBeef_Soil_N2ODirect_Equations.VEERG_4_2_1_3__7_RelativeSize(V23,D$28)</f>
        <v>0.12987012987012986</v>
      </c>
      <c r="W39" s="52" cm="1">
        <f t="array" ref="W39">MMS_PastureBeef_Soil_N2ODirect_Equations.VEERG_4_2_1_3__7_RelativeSize(W23,E$28)</f>
        <v>0.88311688311688308</v>
      </c>
      <c r="X39" s="52" cm="1">
        <f t="array" ref="X39">MMS_PastureBeef_Soil_N2ODirect_Equations.VEERG_4_2_1_3__7_RelativeSize(X23,F$28)</f>
        <v>0.14545454545454545</v>
      </c>
      <c r="Y39" s="52" cm="1">
        <f t="array" ref="Y39">MMS_PastureBeef_Soil_N2ODirect_Equations.VEERG_4_2_1_3__7_RelativeSize(Y23,G$28)</f>
        <v>0.58181818181818179</v>
      </c>
      <c r="Z39" s="52" cm="1">
        <f t="array" ref="Z39">MMS_PastureBeef_Soil_N2ODirect_Equations.VEERG_4_2_1_3__7_RelativeSize(Z23,H$28)</f>
        <v>0.87272727272727268</v>
      </c>
      <c r="AA39" s="52" cm="1">
        <f t="array" ref="AA39">MMS_PastureBeef_Soil_N2ODirect_Equations.VEERG_4_2_1_3__7_RelativeSize(AA23,I$28)</f>
        <v>0.87272727272727268</v>
      </c>
      <c r="AB39" s="52" cm="1">
        <f t="array" ref="AB39">MMS_PastureBeef_Soil_N2ODirect_Equations.VEERG_4_2_1_3__7_RelativeSize(AB23,J$28)</f>
        <v>0.15151515151515152</v>
      </c>
      <c r="AC39" s="52" cm="1">
        <f t="array" ref="AC39">MMS_PastureBeef_Soil_N2ODirect_Equations.VEERG_4_2_1_3__7_RelativeSize(AC23,K$28)</f>
        <v>0.51515151515151514</v>
      </c>
      <c r="AD39" s="52" cm="1">
        <f t="array" ref="AD39">MMS_PastureBeef_Soil_N2ODirect_Equations.VEERG_4_2_1_3__7_RelativeSize(AD23,L$28)</f>
        <v>0.51515151515151514</v>
      </c>
      <c r="AE39" s="52" cm="1">
        <f t="array" ref="AE39">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2" t="str">
        <f>TEXT(EDATE('Input - Site'!$E$12,4), "mmmm yyyy")</f>
        <v>May 2024</v>
      </c>
      <c r="V40" s="52" cm="1">
        <f t="array" ref="V40">MMS_PastureBeef_Soil_N2ODirect_Equations.VEERG_4_2_1_3__7_RelativeSize(V24,D$28)</f>
        <v>0.12987012987012986</v>
      </c>
      <c r="W40" s="52" cm="1">
        <f t="array" ref="W40">MMS_PastureBeef_Soil_N2ODirect_Equations.VEERG_4_2_1_3__7_RelativeSize(W24,E$28)</f>
        <v>0.88311688311688308</v>
      </c>
      <c r="X40" s="52" cm="1">
        <f t="array" ref="X40">MMS_PastureBeef_Soil_N2ODirect_Equations.VEERG_4_2_1_3__7_RelativeSize(X24,F$28)</f>
        <v>0.14545454545454545</v>
      </c>
      <c r="Y40" s="52" cm="1">
        <f t="array" ref="Y40">MMS_PastureBeef_Soil_N2ODirect_Equations.VEERG_4_2_1_3__7_RelativeSize(Y24,G$28)</f>
        <v>0.58181818181818179</v>
      </c>
      <c r="Z40" s="52" cm="1">
        <f t="array" ref="Z40">MMS_PastureBeef_Soil_N2ODirect_Equations.VEERG_4_2_1_3__7_RelativeSize(Z24,H$28)</f>
        <v>0.87272727272727268</v>
      </c>
      <c r="AA40" s="52" cm="1">
        <f t="array" ref="AA40">MMS_PastureBeef_Soil_N2ODirect_Equations.VEERG_4_2_1_3__7_RelativeSize(AA24,I$28)</f>
        <v>0.87272727272727268</v>
      </c>
      <c r="AB40" s="52" cm="1">
        <f t="array" ref="AB40">MMS_PastureBeef_Soil_N2ODirect_Equations.VEERG_4_2_1_3__7_RelativeSize(AB24,J$28)</f>
        <v>0.15151515151515152</v>
      </c>
      <c r="AC40" s="52" cm="1">
        <f t="array" ref="AC40">MMS_PastureBeef_Soil_N2ODirect_Equations.VEERG_4_2_1_3__7_RelativeSize(AC24,K$28)</f>
        <v>0.51515151515151514</v>
      </c>
      <c r="AD40" s="52" cm="1">
        <f t="array" ref="AD40">MMS_PastureBeef_Soil_N2ODirect_Equations.VEERG_4_2_1_3__7_RelativeSize(AD24,L$28)</f>
        <v>0.51515151515151514</v>
      </c>
      <c r="AE40" s="52" cm="1">
        <f t="array" ref="AE40">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2" t="str">
        <f>TEXT(EDATE('Input - Site'!$E$12,5), "mmmm yyyy")</f>
        <v>June 2024</v>
      </c>
      <c r="V41" s="52" cm="1">
        <f t="array" ref="V41">MMS_PastureBeef_Soil_N2ODirect_Equations.VEERG_4_2_1_3__7_RelativeSize(V25,D$28)</f>
        <v>0.24675324675324675</v>
      </c>
      <c r="W41" s="52" cm="1">
        <f t="array" ref="W41">MMS_PastureBeef_Soil_N2ODirect_Equations.VEERG_4_2_1_3__7_RelativeSize(W25,E$28)</f>
        <v>0.90909090909090906</v>
      </c>
      <c r="X41" s="52" cm="1">
        <f t="array" ref="X41">MMS_PastureBeef_Soil_N2ODirect_Equations.VEERG_4_2_1_3__7_RelativeSize(X25,F$28)</f>
        <v>0.27272727272727271</v>
      </c>
      <c r="Y41" s="52" cm="1">
        <f t="array" ref="Y41">MMS_PastureBeef_Soil_N2ODirect_Equations.VEERG_4_2_1_3__7_RelativeSize(Y25,G$28)</f>
        <v>0.6</v>
      </c>
      <c r="Z41" s="52" cm="1">
        <f t="array" ref="Z41">MMS_PastureBeef_Soil_N2ODirect_Equations.VEERG_4_2_1_3__7_RelativeSize(Z25,H$28)</f>
        <v>0.89090909090909087</v>
      </c>
      <c r="AA41" s="52" cm="1">
        <f t="array" ref="AA41">MMS_PastureBeef_Soil_N2ODirect_Equations.VEERG_4_2_1_3__7_RelativeSize(AA25,I$28)</f>
        <v>0.89090909090909087</v>
      </c>
      <c r="AB41" s="52" cm="1">
        <f t="array" ref="AB41">MMS_PastureBeef_Soil_N2ODirect_Equations.VEERG_4_2_1_3__7_RelativeSize(AB25,J$28)</f>
        <v>0.25757575757575757</v>
      </c>
      <c r="AC41" s="52" cm="1">
        <f t="array" ref="AC41">MMS_PastureBeef_Soil_N2ODirect_Equations.VEERG_4_2_1_3__7_RelativeSize(AC25,K$28)</f>
        <v>0.54545454545454541</v>
      </c>
      <c r="AD41" s="52" cm="1">
        <f t="array" ref="AD41">MMS_PastureBeef_Soil_N2ODirect_Equations.VEERG_4_2_1_3__7_RelativeSize(AD25,L$28)</f>
        <v>0.54545454545454541</v>
      </c>
      <c r="AE41" s="52" cm="1">
        <f t="array" ref="AE41">MMS_PastureBeef_Soil_N2ODirect_Equations.VEERG_4_2_1_3__7_RelativeSize(AE25,M$28)</f>
        <v>0.54545454545454541</v>
      </c>
      <c r="AF41" s="2" t="str">
        <f t="shared" si="1"/>
        <v>ratio</v>
      </c>
      <c r="AG41" s="2"/>
      <c r="AH41" s="2"/>
    </row>
    <row r="42" spans="3:34" ht="20.100000000000001" customHeight="1" x14ac:dyDescent="0.25">
      <c r="D42" s="13" t="s">
        <v>27</v>
      </c>
      <c r="E42" s="13" t="str" cm="1">
        <f t="array" aca="1" ref="E42" ca="1">Common_InputFunctions.Utility_DisplayFunctionName(E62)</f>
        <v>=MMS_PastureBeef_Soil_N2ODirect_Equations.VEERG_4_2_1_3__6_IntakeRelativeToMaintenance</v>
      </c>
      <c r="U42" s="52" t="str">
        <f>TEXT(EDATE('Input - Site'!$E$12,6), "mmmm yyyy")</f>
        <v>July 2024</v>
      </c>
      <c r="V42" s="52" cm="1">
        <f t="array" ref="V42">MMS_PastureBeef_Soil_N2ODirect_Equations.VEERG_4_2_1_3__7_RelativeSize(V26,D$28)</f>
        <v>0.24675324675324675</v>
      </c>
      <c r="W42" s="52" cm="1">
        <f t="array" ref="W42">MMS_PastureBeef_Soil_N2ODirect_Equations.VEERG_4_2_1_3__7_RelativeSize(W26,E$28)</f>
        <v>0.90909090909090906</v>
      </c>
      <c r="X42" s="52" cm="1">
        <f t="array" ref="X42">MMS_PastureBeef_Soil_N2ODirect_Equations.VEERG_4_2_1_3__7_RelativeSize(X26,F$28)</f>
        <v>0.27272727272727271</v>
      </c>
      <c r="Y42" s="52" cm="1">
        <f t="array" ref="Y42">MMS_PastureBeef_Soil_N2ODirect_Equations.VEERG_4_2_1_3__7_RelativeSize(Y26,G$28)</f>
        <v>0.6</v>
      </c>
      <c r="Z42" s="52" cm="1">
        <f t="array" ref="Z42">MMS_PastureBeef_Soil_N2ODirect_Equations.VEERG_4_2_1_3__7_RelativeSize(Z26,H$28)</f>
        <v>0.89090909090909087</v>
      </c>
      <c r="AA42" s="52" cm="1">
        <f t="array" ref="AA42">MMS_PastureBeef_Soil_N2ODirect_Equations.VEERG_4_2_1_3__7_RelativeSize(AA26,I$28)</f>
        <v>0.89090909090909087</v>
      </c>
      <c r="AB42" s="52" cm="1">
        <f t="array" ref="AB42">MMS_PastureBeef_Soil_N2ODirect_Equations.VEERG_4_2_1_3__7_RelativeSize(AB26,J$28)</f>
        <v>0.25757575757575757</v>
      </c>
      <c r="AC42" s="52" cm="1">
        <f t="array" ref="AC42">MMS_PastureBeef_Soil_N2ODirect_Equations.VEERG_4_2_1_3__7_RelativeSize(AC26,K$28)</f>
        <v>0.54545454545454541</v>
      </c>
      <c r="AD42" s="52" cm="1">
        <f t="array" ref="AD42">MMS_PastureBeef_Soil_N2ODirect_Equations.VEERG_4_2_1_3__7_RelativeSize(AD26,L$28)</f>
        <v>0.54545454545454541</v>
      </c>
      <c r="AE42" s="52" cm="1">
        <f t="array" ref="AE42">MMS_PastureBeef_Soil_N2ODirect_Equations.VEERG_4_2_1_3__7_RelativeSize(AE26,M$28)</f>
        <v>0.54545454545454541</v>
      </c>
      <c r="AF42" s="2" t="str">
        <f t="shared" si="1"/>
        <v>ratio</v>
      </c>
      <c r="AG42" s="2"/>
      <c r="AH42" s="2"/>
    </row>
    <row r="43" spans="3:34" ht="20.100000000000001" customHeight="1" x14ac:dyDescent="0.25">
      <c r="U43" s="52" t="str">
        <f>TEXT(EDATE('Input - Site'!$E$12,7), "mmmm yyyy")</f>
        <v>August 2024</v>
      </c>
      <c r="V43" s="52" cm="1">
        <f t="array" ref="V43">MMS_PastureBeef_Soil_N2ODirect_Equations.VEERG_4_2_1_3__7_RelativeSize(V27,D$28)</f>
        <v>0.24675324675324675</v>
      </c>
      <c r="W43" s="52" cm="1">
        <f t="array" ref="W43">MMS_PastureBeef_Soil_N2ODirect_Equations.VEERG_4_2_1_3__7_RelativeSize(W27,E$28)</f>
        <v>0.90909090909090906</v>
      </c>
      <c r="X43" s="52" cm="1">
        <f t="array" ref="X43">MMS_PastureBeef_Soil_N2ODirect_Equations.VEERG_4_2_1_3__7_RelativeSize(X27,F$28)</f>
        <v>0.27272727272727271</v>
      </c>
      <c r="Y43" s="52" cm="1">
        <f t="array" ref="Y43">MMS_PastureBeef_Soil_N2ODirect_Equations.VEERG_4_2_1_3__7_RelativeSize(Y27,G$28)</f>
        <v>0.6</v>
      </c>
      <c r="Z43" s="52" cm="1">
        <f t="array" ref="Z43">MMS_PastureBeef_Soil_N2ODirect_Equations.VEERG_4_2_1_3__7_RelativeSize(Z27,H$28)</f>
        <v>0.89090909090909087</v>
      </c>
      <c r="AA43" s="52" cm="1">
        <f t="array" ref="AA43">MMS_PastureBeef_Soil_N2ODirect_Equations.VEERG_4_2_1_3__7_RelativeSize(AA27,I$28)</f>
        <v>0.89090909090909087</v>
      </c>
      <c r="AB43" s="52" cm="1">
        <f t="array" ref="AB43">MMS_PastureBeef_Soil_N2ODirect_Equations.VEERG_4_2_1_3__7_RelativeSize(AB27,J$28)</f>
        <v>0.25757575757575757</v>
      </c>
      <c r="AC43" s="52" cm="1">
        <f t="array" ref="AC43">MMS_PastureBeef_Soil_N2ODirect_Equations.VEERG_4_2_1_3__7_RelativeSize(AC27,K$28)</f>
        <v>0.54545454545454541</v>
      </c>
      <c r="AD43" s="52" cm="1">
        <f t="array" ref="AD43">MMS_PastureBeef_Soil_N2ODirect_Equations.VEERG_4_2_1_3__7_RelativeSize(AD27,L$28)</f>
        <v>0.54545454545454541</v>
      </c>
      <c r="AE43" s="52" cm="1">
        <f t="array" ref="AE43">MMS_PastureBeef_Soil_N2ODirect_Equations.VEERG_4_2_1_3__7_RelativeSize(AE27,M$28)</f>
        <v>0.54545454545454541</v>
      </c>
      <c r="AF43" s="2" t="str">
        <f t="shared" si="1"/>
        <v>ratio</v>
      </c>
      <c r="AG43" s="2"/>
      <c r="AH43" s="2"/>
    </row>
    <row r="44" spans="3:34" ht="20.100000000000001" customHeight="1" x14ac:dyDescent="0.25">
      <c r="U44" s="52" t="str">
        <f>TEXT(EDATE('Input - Site'!$E$12,8), "mmmm yyyy")</f>
        <v>September 2024</v>
      </c>
      <c r="V44" s="52" cm="1">
        <f t="array" ref="V44">MMS_PastureBeef_Soil_N2ODirect_Equations.VEERG_4_2_1_3__7_RelativeSize(V28,D$28)</f>
        <v>0.44155844155844154</v>
      </c>
      <c r="W44" s="52" cm="1">
        <f t="array" ref="W44">MMS_PastureBeef_Soil_N2ODirect_Equations.VEERG_4_2_1_3__7_RelativeSize(W28,E$28)</f>
        <v>1.0389610389610389</v>
      </c>
      <c r="X44" s="52" cm="1">
        <f t="array" ref="X44">MMS_PastureBeef_Soil_N2ODirect_Equations.VEERG_4_2_1_3__7_RelativeSize(X28,F$28)</f>
        <v>0.47272727272727272</v>
      </c>
      <c r="Y44" s="52" cm="1">
        <f t="array" ref="Y44">MMS_PastureBeef_Soil_N2ODirect_Equations.VEERG_4_2_1_3__7_RelativeSize(Y28,G$28)</f>
        <v>0.76363636363636367</v>
      </c>
      <c r="Z44" s="52" cm="1">
        <f t="array" ref="Z44">MMS_PastureBeef_Soil_N2ODirect_Equations.VEERG_4_2_1_3__7_RelativeSize(Z28,H$28)</f>
        <v>1</v>
      </c>
      <c r="AA44" s="52" cm="1">
        <f t="array" ref="AA44">MMS_PastureBeef_Soil_N2ODirect_Equations.VEERG_4_2_1_3__7_RelativeSize(AA28,I$28)</f>
        <v>1</v>
      </c>
      <c r="AB44" s="52" cm="1">
        <f t="array" ref="AB44">MMS_PastureBeef_Soil_N2ODirect_Equations.VEERG_4_2_1_3__7_RelativeSize(AB28,J$28)</f>
        <v>0.45454545454545453</v>
      </c>
      <c r="AC44" s="52" cm="1">
        <f t="array" ref="AC44">MMS_PastureBeef_Soil_N2ODirect_Equations.VEERG_4_2_1_3__7_RelativeSize(AC28,K$28)</f>
        <v>0.72727272727272729</v>
      </c>
      <c r="AD44" s="52" cm="1">
        <f t="array" ref="AD44">MMS_PastureBeef_Soil_N2ODirect_Equations.VEERG_4_2_1_3__7_RelativeSize(AD28,L$28)</f>
        <v>0.72727272727272729</v>
      </c>
      <c r="AE44" s="52" cm="1">
        <f t="array" ref="AE44">MMS_PastureBeef_Soil_N2ODirect_Equations.VEERG_4_2_1_3__7_RelativeSize(AE28,M$28)</f>
        <v>0.72727272727272729</v>
      </c>
      <c r="AF44" s="2" t="str">
        <f t="shared" si="1"/>
        <v>ratio</v>
      </c>
      <c r="AG44" s="2"/>
      <c r="AH44" s="2"/>
    </row>
    <row r="45" spans="3:34" ht="20.100000000000001" customHeight="1" x14ac:dyDescent="0.25">
      <c r="D45" s="53" t="s">
        <v>30</v>
      </c>
      <c r="E45" s="1" t="str" cm="1">
        <f t="array" ref="E45">MMS_PastureBeef_Soil_N2ODirect_Equations.VEERG_4_2_1_3__6_IntakeRelativeToMaintenance_Variable()</f>
        <v>L_jkl</v>
      </c>
      <c r="U45" s="52" t="str">
        <f>TEXT(EDATE('Input - Site'!$E$12,9), "mmmm yyyy")</f>
        <v>October 2024</v>
      </c>
      <c r="V45" s="52" cm="1">
        <f t="array" ref="V45">MMS_PastureBeef_Soil_N2ODirect_Equations.VEERG_4_2_1_3__7_RelativeSize(V29,D$28)</f>
        <v>0.44155844155844154</v>
      </c>
      <c r="W45" s="52" cm="1">
        <f t="array" ref="W45">MMS_PastureBeef_Soil_N2ODirect_Equations.VEERG_4_2_1_3__7_RelativeSize(W29,E$28)</f>
        <v>1.0389610389610389</v>
      </c>
      <c r="X45" s="52" cm="1">
        <f t="array" ref="X45">MMS_PastureBeef_Soil_N2ODirect_Equations.VEERG_4_2_1_3__7_RelativeSize(X29,F$28)</f>
        <v>0.47272727272727272</v>
      </c>
      <c r="Y45" s="52" cm="1">
        <f t="array" ref="Y45">MMS_PastureBeef_Soil_N2ODirect_Equations.VEERG_4_2_1_3__7_RelativeSize(Y29,G$28)</f>
        <v>0.76363636363636367</v>
      </c>
      <c r="Z45" s="52" cm="1">
        <f t="array" ref="Z45">MMS_PastureBeef_Soil_N2ODirect_Equations.VEERG_4_2_1_3__7_RelativeSize(Z29,H$28)</f>
        <v>1</v>
      </c>
      <c r="AA45" s="52" cm="1">
        <f t="array" ref="AA45">MMS_PastureBeef_Soil_N2ODirect_Equations.VEERG_4_2_1_3__7_RelativeSize(AA29,I$28)</f>
        <v>1</v>
      </c>
      <c r="AB45" s="52" cm="1">
        <f t="array" ref="AB45">MMS_PastureBeef_Soil_N2ODirect_Equations.VEERG_4_2_1_3__7_RelativeSize(AB29,J$28)</f>
        <v>0.45454545454545453</v>
      </c>
      <c r="AC45" s="52" cm="1">
        <f t="array" ref="AC45">MMS_PastureBeef_Soil_N2ODirect_Equations.VEERG_4_2_1_3__7_RelativeSize(AC29,K$28)</f>
        <v>0.72727272727272729</v>
      </c>
      <c r="AD45" s="52" cm="1">
        <f t="array" ref="AD45">MMS_PastureBeef_Soil_N2ODirect_Equations.VEERG_4_2_1_3__7_RelativeSize(AD29,L$28)</f>
        <v>0.72727272727272729</v>
      </c>
      <c r="AE45" s="52" cm="1">
        <f t="array" ref="AE45">MMS_PastureBeef_Soil_N2ODirect_Equations.VEERG_4_2_1_3__7_RelativeSize(AE29,M$28)</f>
        <v>0.72727272727272729</v>
      </c>
      <c r="AF45" s="2" t="str">
        <f t="shared" si="1"/>
        <v>ratio</v>
      </c>
      <c r="AG45" s="2"/>
      <c r="AH45" s="2"/>
    </row>
    <row r="46" spans="3:34" ht="20.100000000000001" customHeight="1" x14ac:dyDescent="0.25">
      <c r="D46" s="53" t="s">
        <v>20</v>
      </c>
      <c r="E46" s="54" t="str" cm="1">
        <f t="array" ref="E46">MMS_PastureBeef_Soil_N2ODirect_Equations.VEERG_4_2_1_3__6_IntakeRelativeToMaintenance_Unit()</f>
        <v>ratio</v>
      </c>
      <c r="U46" s="52" t="str">
        <f>TEXT(EDATE('Input - Site'!$E$12,10), "mmmm yyyy")</f>
        <v>November 2024</v>
      </c>
      <c r="V46" s="52" cm="1">
        <f t="array" ref="V46">MMS_PastureBeef_Soil_N2ODirect_Equations.VEERG_4_2_1_3__7_RelativeSize(V30,D$28)</f>
        <v>0.44155844155844154</v>
      </c>
      <c r="W46" s="52" cm="1">
        <f t="array" ref="W46">MMS_PastureBeef_Soil_N2ODirect_Equations.VEERG_4_2_1_3__7_RelativeSize(W30,E$28)</f>
        <v>1.0389610389610389</v>
      </c>
      <c r="X46" s="52" cm="1">
        <f t="array" ref="X46">MMS_PastureBeef_Soil_N2ODirect_Equations.VEERG_4_2_1_3__7_RelativeSize(X30,F$28)</f>
        <v>0.47272727272727272</v>
      </c>
      <c r="Y46" s="52" cm="1">
        <f t="array" ref="Y46">MMS_PastureBeef_Soil_N2ODirect_Equations.VEERG_4_2_1_3__7_RelativeSize(Y30,G$28)</f>
        <v>0.76363636363636367</v>
      </c>
      <c r="Z46" s="52" cm="1">
        <f t="array" ref="Z46">MMS_PastureBeef_Soil_N2ODirect_Equations.VEERG_4_2_1_3__7_RelativeSize(Z30,H$28)</f>
        <v>1</v>
      </c>
      <c r="AA46" s="52" cm="1">
        <f t="array" ref="AA46">MMS_PastureBeef_Soil_N2ODirect_Equations.VEERG_4_2_1_3__7_RelativeSize(AA30,I$28)</f>
        <v>1</v>
      </c>
      <c r="AB46" s="52" cm="1">
        <f t="array" ref="AB46">MMS_PastureBeef_Soil_N2ODirect_Equations.VEERG_4_2_1_3__7_RelativeSize(AB30,J$28)</f>
        <v>0.45454545454545453</v>
      </c>
      <c r="AC46" s="52" cm="1">
        <f t="array" ref="AC46">MMS_PastureBeef_Soil_N2ODirect_Equations.VEERG_4_2_1_3__7_RelativeSize(AC30,K$28)</f>
        <v>0.72727272727272729</v>
      </c>
      <c r="AD46" s="52" cm="1">
        <f t="array" ref="AD46">MMS_PastureBeef_Soil_N2ODirect_Equations.VEERG_4_2_1_3__7_RelativeSize(AD30,L$28)</f>
        <v>0.72727272727272729</v>
      </c>
      <c r="AE46" s="52" cm="1">
        <f t="array" ref="AE46">MMS_PastureBeef_Soil_N2ODirect_Equations.VEERG_4_2_1_3__7_RelativeSize(AE30,M$28)</f>
        <v>0.72727272727272729</v>
      </c>
      <c r="AF46" s="2" t="str">
        <f t="shared" si="1"/>
        <v>ratio</v>
      </c>
      <c r="AG46" s="2"/>
      <c r="AH46" s="2"/>
    </row>
    <row r="47" spans="3:34" ht="20.100000000000001" customHeight="1" x14ac:dyDescent="0.25">
      <c r="U47" s="52" t="str">
        <f>TEXT(EDATE('Input - Site'!$E$12,11), "mmmm yyyy")</f>
        <v>December 2024</v>
      </c>
      <c r="V47" s="52" cm="1">
        <f t="array" ref="V47">MMS_PastureBeef_Soil_N2ODirect_Equations.VEERG_4_2_1_3__7_RelativeSize(V31,D$28)</f>
        <v>0.4935064935064935</v>
      </c>
      <c r="W47" s="52" cm="1">
        <f t="array" ref="W47">MMS_PastureBeef_Soil_N2ODirect_Equations.VEERG_4_2_1_3__7_RelativeSize(W31,E$28)</f>
        <v>1.0129870129870129</v>
      </c>
      <c r="X47" s="52" cm="1">
        <f t="array" ref="X47">MMS_PastureBeef_Soil_N2ODirect_Equations.VEERG_4_2_1_3__7_RelativeSize(X31,F$28)</f>
        <v>0.54545454545454541</v>
      </c>
      <c r="Y47" s="52" cm="1">
        <f t="array" ref="Y47">MMS_PastureBeef_Soil_N2ODirect_Equations.VEERG_4_2_1_3__7_RelativeSize(Y31,G$28)</f>
        <v>0.81818181818181823</v>
      </c>
      <c r="Z47" s="52" cm="1">
        <f t="array" ref="Z47">MMS_PastureBeef_Soil_N2ODirect_Equations.VEERG_4_2_1_3__7_RelativeSize(Z31,H$28)</f>
        <v>0.96363636363636362</v>
      </c>
      <c r="AA47" s="52" cm="1">
        <f t="array" ref="AA47">MMS_PastureBeef_Soil_N2ODirect_Equations.VEERG_4_2_1_3__7_RelativeSize(AA31,I$28)</f>
        <v>0.96363636363636362</v>
      </c>
      <c r="AB47" s="52" cm="1">
        <f t="array" ref="AB47">MMS_PastureBeef_Soil_N2ODirect_Equations.VEERG_4_2_1_3__7_RelativeSize(AB31,J$28)</f>
        <v>0.51515151515151514</v>
      </c>
      <c r="AC47" s="52" cm="1">
        <f t="array" ref="AC47">MMS_PastureBeef_Soil_N2ODirect_Equations.VEERG_4_2_1_3__7_RelativeSize(AC31,K$28)</f>
        <v>0.71212121212121215</v>
      </c>
      <c r="AD47" s="52" cm="1">
        <f t="array" ref="AD47">MMS_PastureBeef_Soil_N2ODirect_Equations.VEERG_4_2_1_3__7_RelativeSize(AD31,L$28)</f>
        <v>0.71212121212121215</v>
      </c>
      <c r="AE47" s="52" cm="1">
        <f t="array" ref="AE47">MMS_PastureBeef_Soil_N2ODirect_Equations.VEERG_4_2_1_3__7_RelativeSize(AE31,M$28)</f>
        <v>0.71212121212121215</v>
      </c>
      <c r="AF47" s="2" t="str">
        <f t="shared" si="1"/>
        <v>ratio</v>
      </c>
      <c r="AG47" s="2"/>
      <c r="AH47" s="2"/>
    </row>
    <row r="48" spans="3:34" ht="20.100000000000001" customHeight="1" x14ac:dyDescent="0.25">
      <c r="D48" s="57" t="str" cm="1">
        <f t="array" ref="D48:E49">MMS_PastureBeef_Soil_N2ODirect_Equations.VEERG_4_2_1_3__6_IntakeRelativeToMaintenance_Arguments()</f>
        <v>I_jkl</v>
      </c>
      <c r="E48" s="58" t="str">
        <v>dry matter intake as calculated in Chapter 3 Section 3.2.1 (kg DM/head/day)</v>
      </c>
      <c r="F48" s="59"/>
      <c r="G48" s="57" t="str">
        <f>"See " &amp; D51</f>
        <v>See M1_Table_I_j_k_l</v>
      </c>
    </row>
    <row r="49" spans="4:35" ht="20.100000000000001" customHeight="1" x14ac:dyDescent="0.25">
      <c r="D49" s="57" t="str">
        <v>W_jkl</v>
      </c>
      <c r="E49" s="58" t="str">
        <v>liveweight (kg/head)</v>
      </c>
      <c r="F49" s="59"/>
      <c r="G49" s="57" t="str">
        <f>"See " &amp; D17</f>
        <v>See M1_Table_W_j_k_l</v>
      </c>
    </row>
    <row r="50" spans="4:35" ht="20.100000000000001" customHeight="1" x14ac:dyDescent="0.25">
      <c r="T50" s="45"/>
      <c r="U50" s="45"/>
      <c r="V50" s="45"/>
      <c r="W50" s="45"/>
      <c r="X50" s="45"/>
      <c r="Y50" s="45"/>
      <c r="Z50" s="45"/>
      <c r="AA50" s="45"/>
      <c r="AB50" s="45"/>
      <c r="AC50" s="45"/>
      <c r="AD50" s="45"/>
      <c r="AE50" s="45"/>
      <c r="AF50" s="45"/>
      <c r="AG50" s="45"/>
      <c r="AH50" s="45"/>
      <c r="AI50" s="45"/>
    </row>
    <row r="51" spans="4:35" ht="20.100000000000001" customHeight="1" x14ac:dyDescent="0.25">
      <c r="D51" s="99" t="s">
        <v>246</v>
      </c>
      <c r="U51" s="6" t="str" cm="1">
        <f t="array" ref="U51">MMS_PastureBeef_Soil_N2ODirect_Equations.VEERG_4_2_1_3__6_IntakeRelativeToMaintenance_Title()</f>
        <v>Intake relative to that needed for maintenance</v>
      </c>
    </row>
    <row r="52" spans="4:35" ht="20.100000000000001" customHeight="1" x14ac:dyDescent="0.25">
      <c r="D52" s="98" t="s">
        <v>144</v>
      </c>
    </row>
    <row r="53" spans="4:35" ht="20.100000000000001" customHeight="1" x14ac:dyDescent="0.25">
      <c r="D53" s="51" t="s">
        <v>184</v>
      </c>
      <c r="E53" s="51" t="s">
        <v>131</v>
      </c>
      <c r="F53" s="51" t="s">
        <v>130</v>
      </c>
      <c r="G53" s="51" t="s">
        <v>165</v>
      </c>
      <c r="H53" s="51" t="s">
        <v>166</v>
      </c>
      <c r="I53" s="51" t="s">
        <v>167</v>
      </c>
      <c r="J53" s="51" t="s">
        <v>168</v>
      </c>
      <c r="K53" s="51" t="s">
        <v>169</v>
      </c>
      <c r="L53" s="51" t="s">
        <v>170</v>
      </c>
      <c r="M53" s="51" t="s">
        <v>171</v>
      </c>
      <c r="N53" s="51" t="s">
        <v>172</v>
      </c>
      <c r="U53" s="99" t="s">
        <v>259</v>
      </c>
    </row>
    <row r="54" spans="4:35" ht="20.100000000000001" customHeight="1" x14ac:dyDescent="0.25">
      <c r="D54" s="52" t="s">
        <v>173</v>
      </c>
      <c r="E54" s="52">
        <f>'4.2.1.1-2 Methane'!E84</f>
        <v>8.6709047296000001</v>
      </c>
      <c r="F54" s="52">
        <f>'4.2.1.1-2 Methane'!F84</f>
        <v>12.246500250000002</v>
      </c>
      <c r="G54" s="52">
        <f>'4.2.1.1-2 Methane'!G84</f>
        <v>6.6089612241000006</v>
      </c>
      <c r="H54" s="52">
        <f>'4.2.1.1-2 Methane'!H84</f>
        <v>9.4536614511090029</v>
      </c>
      <c r="I54" s="52">
        <f>'4.2.1.1-2 Methane'!I84</f>
        <v>10.112646138000002</v>
      </c>
      <c r="J54" s="52">
        <f>'4.2.1.1-2 Methane'!J84</f>
        <v>10.112646138000002</v>
      </c>
      <c r="K54" s="52">
        <f>'4.2.1.1-2 Methane'!K84</f>
        <v>7.6192560899999977</v>
      </c>
      <c r="L54" s="52">
        <f>'4.2.1.1-2 Methane'!L84</f>
        <v>9.6824279555999979</v>
      </c>
      <c r="M54" s="52">
        <f>'4.2.1.1-2 Methane'!M84</f>
        <v>9.6824279555999979</v>
      </c>
      <c r="N54" s="52">
        <f>'4.2.1.1-2 Methane'!N84</f>
        <v>9.6824279555999979</v>
      </c>
      <c r="O54" s="2" t="str">
        <f>'4.2.1.1-2 Methane'!O84</f>
        <v>kg DM/head/day</v>
      </c>
      <c r="U54" s="98" t="s">
        <v>143</v>
      </c>
    </row>
    <row r="55" spans="4:35" ht="20.100000000000001" customHeight="1" x14ac:dyDescent="0.25">
      <c r="D55" s="52" t="s">
        <v>174</v>
      </c>
      <c r="E55" s="52">
        <f>'4.2.1.1-2 Methane'!E85</f>
        <v>7.1468536895999959</v>
      </c>
      <c r="F55" s="52">
        <f>'4.2.1.1-2 Methane'!F85</f>
        <v>9.4559940036000008</v>
      </c>
      <c r="G55" s="52">
        <f>'4.2.1.1-2 Methane'!G85</f>
        <v>6.010342559999998</v>
      </c>
      <c r="H55" s="52">
        <f>'4.2.1.1-2 Methane'!H85</f>
        <v>7.8705497025</v>
      </c>
      <c r="I55" s="52">
        <f>'4.2.1.1-2 Methane'!I85</f>
        <v>7.7928072335999978</v>
      </c>
      <c r="J55" s="52">
        <f>'4.2.1.1-2 Methane'!J85</f>
        <v>7.7928072335999978</v>
      </c>
      <c r="K55" s="52">
        <f>'4.2.1.1-2 Methane'!K85</f>
        <v>6.5876408896000003</v>
      </c>
      <c r="L55" s="52">
        <f>'4.2.1.1-2 Methane'!L85</f>
        <v>7.3430702361</v>
      </c>
      <c r="M55" s="52">
        <f>'4.2.1.1-2 Methane'!M85</f>
        <v>7.3430702361</v>
      </c>
      <c r="N55" s="52">
        <f>'4.2.1.1-2 Methane'!N85</f>
        <v>7.3430702361</v>
      </c>
      <c r="O55" s="2" t="str">
        <f>'4.2.1.1-2 Methane'!O85</f>
        <v>kg DM/head/day</v>
      </c>
      <c r="U55" s="51" t="s">
        <v>132</v>
      </c>
      <c r="V55" s="51" t="s">
        <v>131</v>
      </c>
      <c r="W55" s="51" t="s">
        <v>130</v>
      </c>
      <c r="X55" s="51" t="s">
        <v>165</v>
      </c>
      <c r="Y55" s="51" t="s">
        <v>166</v>
      </c>
      <c r="Z55" s="51" t="s">
        <v>167</v>
      </c>
      <c r="AA55" s="51" t="s">
        <v>168</v>
      </c>
      <c r="AB55" s="51" t="s">
        <v>169</v>
      </c>
      <c r="AC55" s="51" t="s">
        <v>170</v>
      </c>
      <c r="AD55" s="51" t="s">
        <v>171</v>
      </c>
      <c r="AE55" s="51" t="s">
        <v>172</v>
      </c>
    </row>
    <row r="56" spans="4:35" ht="20.100000000000001" customHeight="1" x14ac:dyDescent="0.25">
      <c r="D56" s="52" t="s">
        <v>175</v>
      </c>
      <c r="E56" s="52">
        <f>'4.2.1.1-2 Methane'!E86</f>
        <v>3.247204</v>
      </c>
      <c r="F56" s="52">
        <f>'4.2.1.1-2 Methane'!F86</f>
        <v>9.4246544015999998</v>
      </c>
      <c r="G56" s="52">
        <f>'4.2.1.1-2 Methane'!G86</f>
        <v>2.9603267136000002</v>
      </c>
      <c r="H56" s="52">
        <f>'4.2.1.1-2 Methane'!H86</f>
        <v>5.9577975395999987</v>
      </c>
      <c r="I56" s="52">
        <f>'4.2.1.1-2 Methane'!I86</f>
        <v>6.7179974480999993</v>
      </c>
      <c r="J56" s="52">
        <f>'4.2.1.1-2 Methane'!J86</f>
        <v>6.7179974480999993</v>
      </c>
      <c r="K56" s="52">
        <f>'4.2.1.1-2 Methane'!K86</f>
        <v>3.247204</v>
      </c>
      <c r="L56" s="52">
        <f>'4.2.1.1-2 Methane'!L86</f>
        <v>5.8953782416000013</v>
      </c>
      <c r="M56" s="52">
        <f>'4.2.1.1-2 Methane'!M86</f>
        <v>5.8953782416000013</v>
      </c>
      <c r="N56" s="52">
        <f>'4.2.1.1-2 Methane'!N86</f>
        <v>5.8953782416000013</v>
      </c>
      <c r="O56" s="2" t="str">
        <f>'4.2.1.1-2 Methane'!O86</f>
        <v>kg DM/head/day</v>
      </c>
      <c r="U56" s="52" t="str">
        <f>TEXT('Input - Site'!$E$12, "mmmm yyyy")</f>
        <v>January 2024</v>
      </c>
      <c r="V56" s="52">
        <f>'4.2.1.1-2 Methane'!V76</f>
        <v>7.1468536895999959</v>
      </c>
      <c r="W56" s="52">
        <f>'4.2.1.1-2 Methane'!W76</f>
        <v>9.4559940036000008</v>
      </c>
      <c r="X56" s="52">
        <f>'4.2.1.1-2 Methane'!X76</f>
        <v>6.010342559999998</v>
      </c>
      <c r="Y56" s="52">
        <f>'4.2.1.1-2 Methane'!Y76</f>
        <v>8.4608409301875014</v>
      </c>
      <c r="Z56" s="52">
        <f>'4.2.1.1-2 Methane'!Z76</f>
        <v>8.3772677761199983</v>
      </c>
      <c r="AA56" s="52">
        <f>'4.2.1.1-2 Methane'!AA76</f>
        <v>8.3772677761199983</v>
      </c>
      <c r="AB56" s="52">
        <f>'4.2.1.1-2 Methane'!AB76</f>
        <v>6.5876408896000003</v>
      </c>
      <c r="AC56" s="52">
        <f>'4.2.1.1-2 Methane'!AC76</f>
        <v>7.3430702361</v>
      </c>
      <c r="AD56" s="52">
        <f>'4.2.1.1-2 Methane'!AD76</f>
        <v>7.3430702361</v>
      </c>
      <c r="AE56" s="52">
        <f>'4.2.1.1-2 Methane'!AE76</f>
        <v>7.3430702361</v>
      </c>
      <c r="AF56" s="2" t="str">
        <f>'4.2.1.1-2 Methane'!AF76</f>
        <v>kg DM/head/day</v>
      </c>
      <c r="AG56" s="2"/>
      <c r="AH56" s="2"/>
    </row>
    <row r="57" spans="4:35" ht="20.100000000000001" customHeight="1" x14ac:dyDescent="0.25">
      <c r="D57" s="52" t="s">
        <v>176</v>
      </c>
      <c r="E57" s="52">
        <f>'4.2.1.1-2 Methane'!E87</f>
        <v>5.1328980481000004</v>
      </c>
      <c r="F57" s="52">
        <f>'4.2.1.1-2 Methane'!F87</f>
        <v>9.9748588899999984</v>
      </c>
      <c r="G57" s="52">
        <f>'4.2.1.1-2 Methane'!G87</f>
        <v>4.202705002500001</v>
      </c>
      <c r="H57" s="52">
        <f>'4.2.1.1-2 Methane'!H87</f>
        <v>7.5283222358070025</v>
      </c>
      <c r="I57" s="52">
        <f>'4.2.1.1-2 Methane'!I87</f>
        <v>9.145195140114998</v>
      </c>
      <c r="J57" s="52">
        <f>'4.2.1.1-2 Methane'!J87</f>
        <v>9.145195140114998</v>
      </c>
      <c r="K57" s="52">
        <f>'4.2.1.1-2 Methane'!K87</f>
        <v>4.5122681240999984</v>
      </c>
      <c r="L57" s="52">
        <f>'4.2.1.1-2 Methane'!L87</f>
        <v>6.8698506815999991</v>
      </c>
      <c r="M57" s="52">
        <f>'4.2.1.1-2 Methane'!M87</f>
        <v>6.8698506815999991</v>
      </c>
      <c r="N57" s="52">
        <f>'4.2.1.1-2 Methane'!N87</f>
        <v>6.8698506815999991</v>
      </c>
      <c r="O57" s="2" t="str">
        <f>'4.2.1.1-2 Methane'!O87</f>
        <v>kg DM/head/day</v>
      </c>
      <c r="U57" s="52" t="str">
        <f>TEXT(EDATE('Input - Site'!$E$12,1), "mmmm yyyy")</f>
        <v>February 2024</v>
      </c>
      <c r="V57" s="52">
        <f>'4.2.1.1-2 Methane'!V77</f>
        <v>7.1468536895999959</v>
      </c>
      <c r="W57" s="52">
        <f>'4.2.1.1-2 Methane'!W77</f>
        <v>9.4559940036000008</v>
      </c>
      <c r="X57" s="52">
        <f>'4.2.1.1-2 Methane'!X77</f>
        <v>6.010342559999998</v>
      </c>
      <c r="Y57" s="52">
        <f>'4.2.1.1-2 Methane'!Y77</f>
        <v>7.8705497025</v>
      </c>
      <c r="Z57" s="52">
        <f>'4.2.1.1-2 Methane'!Z77</f>
        <v>7.7928072335999978</v>
      </c>
      <c r="AA57" s="52">
        <f>'4.2.1.1-2 Methane'!AA77</f>
        <v>7.7928072335999978</v>
      </c>
      <c r="AB57" s="52">
        <f>'4.2.1.1-2 Methane'!AB77</f>
        <v>6.5876408896000003</v>
      </c>
      <c r="AC57" s="52">
        <f>'4.2.1.1-2 Methane'!AC77</f>
        <v>7.3430702361</v>
      </c>
      <c r="AD57" s="52">
        <f>'4.2.1.1-2 Methane'!AD77</f>
        <v>7.3430702361</v>
      </c>
      <c r="AE57" s="52">
        <f>'4.2.1.1-2 Methane'!AE77</f>
        <v>7.3430702361</v>
      </c>
      <c r="AF57" s="2" t="str">
        <f>'4.2.1.1-2 Methane'!AF77</f>
        <v>kg DM/head/day</v>
      </c>
      <c r="AG57" s="2"/>
      <c r="AH57" s="2"/>
    </row>
    <row r="58" spans="4:35" ht="20.100000000000001" customHeight="1" x14ac:dyDescent="0.25">
      <c r="U58" s="52" t="str">
        <f>TEXT(EDATE('Input - Site'!$E$12,2), "mmmm yyyy")</f>
        <v>March 2024</v>
      </c>
      <c r="V58" s="52">
        <f>'4.2.1.1-2 Methane'!V78</f>
        <v>3.247204</v>
      </c>
      <c r="W58" s="52">
        <f>'4.2.1.1-2 Methane'!W78</f>
        <v>9.4246544015999998</v>
      </c>
      <c r="X58" s="52">
        <f>'4.2.1.1-2 Methane'!X78</f>
        <v>2.9603267136000002</v>
      </c>
      <c r="Y58" s="52">
        <f>'4.2.1.1-2 Methane'!Y78</f>
        <v>5.9577975395999987</v>
      </c>
      <c r="Z58" s="52">
        <f>'4.2.1.1-2 Methane'!Z78</f>
        <v>6.7179974480999993</v>
      </c>
      <c r="AA58" s="52">
        <f>'4.2.1.1-2 Methane'!AA78</f>
        <v>6.7179974480999993</v>
      </c>
      <c r="AB58" s="52">
        <f>'4.2.1.1-2 Methane'!AB78</f>
        <v>3.247204</v>
      </c>
      <c r="AC58" s="52">
        <f>'4.2.1.1-2 Methane'!AC78</f>
        <v>5.8953782416000013</v>
      </c>
      <c r="AD58" s="52">
        <f>'4.2.1.1-2 Methane'!AD78</f>
        <v>5.8953782416000013</v>
      </c>
      <c r="AE58" s="52">
        <f>'4.2.1.1-2 Methane'!AE78</f>
        <v>5.8953782416000013</v>
      </c>
      <c r="AF58" s="2" t="str">
        <f>'4.2.1.1-2 Methane'!AF78</f>
        <v>kg DM/head/day</v>
      </c>
      <c r="AG58" s="2"/>
      <c r="AH58" s="2"/>
    </row>
    <row r="59" spans="4:35" ht="20.100000000000001" customHeight="1" x14ac:dyDescent="0.25">
      <c r="D59" s="99" t="s">
        <v>297</v>
      </c>
      <c r="U59" s="52" t="str">
        <f>TEXT(EDATE('Input - Site'!$E$12,3), "mmmm yyyy")</f>
        <v>April 2024</v>
      </c>
      <c r="V59" s="52">
        <f>'4.2.1.1-2 Methane'!V79</f>
        <v>3.247204</v>
      </c>
      <c r="W59" s="52">
        <f>'4.2.1.1-2 Methane'!W79</f>
        <v>9.4246544015999998</v>
      </c>
      <c r="X59" s="52">
        <f>'4.2.1.1-2 Methane'!X79</f>
        <v>2.9603267136000002</v>
      </c>
      <c r="Y59" s="52">
        <f>'4.2.1.1-2 Methane'!Y79</f>
        <v>5.9577975395999987</v>
      </c>
      <c r="Z59" s="52">
        <f>'4.2.1.1-2 Methane'!Z79</f>
        <v>6.7179974480999993</v>
      </c>
      <c r="AA59" s="52">
        <f>'4.2.1.1-2 Methane'!AA79</f>
        <v>6.7179974480999993</v>
      </c>
      <c r="AB59" s="52">
        <f>'4.2.1.1-2 Methane'!AB79</f>
        <v>3.247204</v>
      </c>
      <c r="AC59" s="52">
        <f>'4.2.1.1-2 Methane'!AC79</f>
        <v>5.8953782416000013</v>
      </c>
      <c r="AD59" s="52">
        <f>'4.2.1.1-2 Methane'!AD79</f>
        <v>5.8953782416000013</v>
      </c>
      <c r="AE59" s="52">
        <f>'4.2.1.1-2 Methane'!AE79</f>
        <v>5.8953782416000013</v>
      </c>
      <c r="AF59" s="2" t="str">
        <f>'4.2.1.1-2 Methane'!AF79</f>
        <v>kg DM/head/day</v>
      </c>
      <c r="AG59" s="2"/>
      <c r="AH59" s="2"/>
    </row>
    <row r="60" spans="4:35" ht="20.100000000000001" customHeight="1" x14ac:dyDescent="0.25">
      <c r="D60" s="98" t="s">
        <v>150</v>
      </c>
      <c r="U60" s="52" t="str">
        <f>TEXT(EDATE('Input - Site'!$E$12,4), "mmmm yyyy")</f>
        <v>May 2024</v>
      </c>
      <c r="V60" s="52">
        <f>'4.2.1.1-2 Methane'!V80</f>
        <v>3.247204</v>
      </c>
      <c r="W60" s="52">
        <f>'4.2.1.1-2 Methane'!W80</f>
        <v>9.4246544015999998</v>
      </c>
      <c r="X60" s="52">
        <f>'4.2.1.1-2 Methane'!X80</f>
        <v>2.9603267136000002</v>
      </c>
      <c r="Y60" s="52">
        <f>'4.2.1.1-2 Methane'!Y80</f>
        <v>5.9577975395999987</v>
      </c>
      <c r="Z60" s="52">
        <f>'4.2.1.1-2 Methane'!Z80</f>
        <v>6.7179974480999993</v>
      </c>
      <c r="AA60" s="52">
        <f>'4.2.1.1-2 Methane'!AA80</f>
        <v>6.7179974480999993</v>
      </c>
      <c r="AB60" s="52">
        <f>'4.2.1.1-2 Methane'!AB80</f>
        <v>3.247204</v>
      </c>
      <c r="AC60" s="52">
        <f>'4.2.1.1-2 Methane'!AC80</f>
        <v>5.8953782416000013</v>
      </c>
      <c r="AD60" s="52">
        <f>'4.2.1.1-2 Methane'!AD80</f>
        <v>5.8953782416000013</v>
      </c>
      <c r="AE60" s="52">
        <f>'4.2.1.1-2 Methane'!AE80</f>
        <v>5.8953782416000013</v>
      </c>
      <c r="AF60" s="2" t="str">
        <f>'4.2.1.1-2 Methane'!AF80</f>
        <v>kg DM/head/day</v>
      </c>
      <c r="AG60" s="2"/>
      <c r="AH60" s="2"/>
    </row>
    <row r="61" spans="4:35" ht="20.100000000000001" customHeight="1" x14ac:dyDescent="0.25">
      <c r="D61" s="51" t="s">
        <v>184</v>
      </c>
      <c r="E61" s="51" t="s">
        <v>131</v>
      </c>
      <c r="F61" s="51" t="s">
        <v>130</v>
      </c>
      <c r="G61" s="51" t="s">
        <v>165</v>
      </c>
      <c r="H61" s="51" t="s">
        <v>166</v>
      </c>
      <c r="I61" s="51" t="s">
        <v>167</v>
      </c>
      <c r="J61" s="51" t="s">
        <v>168</v>
      </c>
      <c r="K61" s="51" t="s">
        <v>169</v>
      </c>
      <c r="L61" s="51" t="s">
        <v>170</v>
      </c>
      <c r="M61" s="51" t="s">
        <v>171</v>
      </c>
      <c r="N61" s="51" t="s">
        <v>172</v>
      </c>
      <c r="U61" s="52" t="str">
        <f>TEXT(EDATE('Input - Site'!$E$12,5), "mmmm yyyy")</f>
        <v>June 2024</v>
      </c>
      <c r="V61" s="52">
        <f>'4.2.1.1-2 Methane'!V81</f>
        <v>5.1328980481000004</v>
      </c>
      <c r="W61" s="52">
        <f>'4.2.1.1-2 Methane'!W81</f>
        <v>9.9748588899999984</v>
      </c>
      <c r="X61" s="52">
        <f>'4.2.1.1-2 Methane'!X81</f>
        <v>4.202705002500001</v>
      </c>
      <c r="Y61" s="52">
        <f>'4.2.1.1-2 Methane'!Y81</f>
        <v>5.9278127841000021</v>
      </c>
      <c r="Z61" s="52">
        <f>'4.2.1.1-2 Methane'!Z81</f>
        <v>7.952343600099999</v>
      </c>
      <c r="AA61" s="52">
        <f>'4.2.1.1-2 Methane'!AA81</f>
        <v>7.952343600099999</v>
      </c>
      <c r="AB61" s="52">
        <f>'4.2.1.1-2 Methane'!AB81</f>
        <v>4.5122681240999984</v>
      </c>
      <c r="AC61" s="52">
        <f>'4.2.1.1-2 Methane'!AC81</f>
        <v>6.8698506815999991</v>
      </c>
      <c r="AD61" s="52">
        <f>'4.2.1.1-2 Methane'!AD81</f>
        <v>6.8698506815999991</v>
      </c>
      <c r="AE61" s="52">
        <f>'4.2.1.1-2 Methane'!AE81</f>
        <v>6.8698506815999991</v>
      </c>
      <c r="AF61" s="2" t="str">
        <f>'4.2.1.1-2 Methane'!AF81</f>
        <v>kg DM/head/day</v>
      </c>
      <c r="AG61" s="2"/>
      <c r="AH61" s="2"/>
    </row>
    <row r="62" spans="4:35" ht="20.100000000000001" customHeight="1" x14ac:dyDescent="0.25">
      <c r="D62" s="52" t="s">
        <v>173</v>
      </c>
      <c r="E62" s="52" cm="1">
        <f t="array" ref="E62">MMS_PastureBeef_Soil_N2ODirect_Equations.VEERG_4_2_1_3__6_IntakeRelativeToMaintenance(E54,E20)</f>
        <v>1.4707970166214006</v>
      </c>
      <c r="F62" s="52" cm="1">
        <f t="array" ref="F62">MMS_PastureBeef_Soil_N2ODirect_Equations.VEERG_4_2_1_3__6_IntakeRelativeToMaintenance(F54,F20)</f>
        <v>1.2318676608114607</v>
      </c>
      <c r="G62" s="52" cm="1">
        <f t="array" ref="G62">MMS_PastureBeef_Soil_N2ODirect_Equations.VEERG_4_2_1_3__6_IntakeRelativeToMaintenance(G54,G20)</f>
        <v>1.3784396841492426</v>
      </c>
      <c r="H62" s="52" cm="1">
        <f t="array" ref="H62">MMS_PastureBeef_Soil_N2ODirect_Equations.VEERG_4_2_1_3__6_IntakeRelativeToMaintenance(H54,H20)</f>
        <v>1.3634698759782053</v>
      </c>
      <c r="I62" s="52" cm="1">
        <f t="array" ref="I62">MMS_PastureBeef_Soil_N2ODirect_Equations.VEERG_4_2_1_3__6_IntakeRelativeToMaintenance(I54,I20)</f>
        <v>1.2061954117466709</v>
      </c>
      <c r="J62" s="52" cm="1">
        <f t="array" ref="J62">MMS_PastureBeef_Soil_N2ODirect_Equations.VEERG_4_2_1_3__6_IntakeRelativeToMaintenance(J54,J20)</f>
        <v>1.2061954117466709</v>
      </c>
      <c r="K62" s="52" cm="1">
        <f t="array" ref="K62">MMS_PastureBeef_Soil_N2ODirect_Equations.VEERG_4_2_1_3__6_IntakeRelativeToMaintenance(K54,K20)</f>
        <v>1.4241682690123998</v>
      </c>
      <c r="L62" s="52" cm="1">
        <f t="array" ref="L62">MMS_PastureBeef_Soil_N2ODirect_Equations.VEERG_4_2_1_3__6_IntakeRelativeToMaintenance(L54,L20)</f>
        <v>1.2663208058014268</v>
      </c>
      <c r="M62" s="52" cm="1">
        <f t="array" ref="M62">MMS_PastureBeef_Soil_N2ODirect_Equations.VEERG_4_2_1_3__6_IntakeRelativeToMaintenance(M54,M20)</f>
        <v>1.2663208058014268</v>
      </c>
      <c r="N62" s="52" cm="1">
        <f t="array" ref="N62">MMS_PastureBeef_Soil_N2ODirect_Equations.VEERG_4_2_1_3__6_IntakeRelativeToMaintenance(N54,N20)</f>
        <v>1.2663208058014268</v>
      </c>
      <c r="O62" s="2" t="str">
        <f>$E$46</f>
        <v>ratio</v>
      </c>
      <c r="U62" s="52" t="str">
        <f>TEXT(EDATE('Input - Site'!$E$12,6), "mmmm yyyy")</f>
        <v>July 2024</v>
      </c>
      <c r="V62" s="52">
        <f>'4.2.1.1-2 Methane'!V82</f>
        <v>5.1328980481000004</v>
      </c>
      <c r="W62" s="52">
        <f>'4.2.1.1-2 Methane'!W82</f>
        <v>9.9748588899999984</v>
      </c>
      <c r="X62" s="52">
        <f>'4.2.1.1-2 Methane'!X82</f>
        <v>4.202705002500001</v>
      </c>
      <c r="Y62" s="52">
        <f>'4.2.1.1-2 Methane'!Y82</f>
        <v>5.9278127841000021</v>
      </c>
      <c r="Z62" s="52">
        <f>'4.2.1.1-2 Methane'!Z82</f>
        <v>7.952343600099999</v>
      </c>
      <c r="AA62" s="52">
        <f>'4.2.1.1-2 Methane'!AA82</f>
        <v>7.952343600099999</v>
      </c>
      <c r="AB62" s="52">
        <f>'4.2.1.1-2 Methane'!AB82</f>
        <v>4.5122681240999984</v>
      </c>
      <c r="AC62" s="52">
        <f>'4.2.1.1-2 Methane'!AC82</f>
        <v>6.8698506815999991</v>
      </c>
      <c r="AD62" s="52">
        <f>'4.2.1.1-2 Methane'!AD82</f>
        <v>6.8698506815999991</v>
      </c>
      <c r="AE62" s="52">
        <f>'4.2.1.1-2 Methane'!AE82</f>
        <v>6.8698506815999991</v>
      </c>
      <c r="AF62" s="2" t="str">
        <f>'4.2.1.1-2 Methane'!AF82</f>
        <v>kg DM/head/day</v>
      </c>
      <c r="AG62" s="2"/>
      <c r="AH62" s="2"/>
    </row>
    <row r="63" spans="4:35" ht="20.100000000000001" customHeight="1" x14ac:dyDescent="0.25">
      <c r="D63" s="52" t="s">
        <v>174</v>
      </c>
      <c r="E63" s="52" cm="1">
        <f t="array" ref="E63">MMS_PastureBeef_Soil_N2ODirect_Equations.VEERG_4_2_1_3__6_IntakeRelativeToMaintenance(E55,E21)</f>
        <v>1.1123493391850732</v>
      </c>
      <c r="F63" s="52" cm="1">
        <f t="array" ref="F63">MMS_PastureBeef_Soil_N2ODirect_Equations.VEERG_4_2_1_3__6_IntakeRelativeToMaintenance(F55,F21)</f>
        <v>0.95640681558610863</v>
      </c>
      <c r="G63" s="52" cm="1">
        <f t="array" ref="G63">MMS_PastureBeef_Soil_N2ODirect_Equations.VEERG_4_2_1_3__6_IntakeRelativeToMaintenance(G55,G21)</f>
        <v>1.1234350255113625</v>
      </c>
      <c r="H63" s="52" cm="1">
        <f t="array" ref="H63">MMS_PastureBeef_Soil_N2ODirect_Equations.VEERG_4_2_1_3__6_IntakeRelativeToMaintenance(H55,H21)</f>
        <v>1.0784378504014522</v>
      </c>
      <c r="I63" s="52" cm="1">
        <f t="array" ref="I63">MMS_PastureBeef_Soil_N2ODirect_Equations.VEERG_4_2_1_3__6_IntakeRelativeToMaintenance(I55,I21)</f>
        <v>0.95213980674605769</v>
      </c>
      <c r="J63" s="52" cm="1">
        <f t="array" ref="J63">MMS_PastureBeef_Soil_N2ODirect_Equations.VEERG_4_2_1_3__6_IntakeRelativeToMaintenance(J55,J21)</f>
        <v>0.95213980674605769</v>
      </c>
      <c r="K63" s="52" cm="1">
        <f t="array" ref="K63">MMS_PastureBeef_Soil_N2ODirect_Equations.VEERG_4_2_1_3__6_IntakeRelativeToMaintenance(K55,K21)</f>
        <v>1.1174246366611618</v>
      </c>
      <c r="L63" s="52" cm="1">
        <f t="array" ref="L63">MMS_PastureBeef_Soil_N2ODirect_Equations.VEERG_4_2_1_3__6_IntakeRelativeToMaintenance(L55,L21)</f>
        <v>0.97490853257319487</v>
      </c>
      <c r="M63" s="52" cm="1">
        <f t="array" ref="M63">MMS_PastureBeef_Soil_N2ODirect_Equations.VEERG_4_2_1_3__6_IntakeRelativeToMaintenance(M55,M21)</f>
        <v>0.97490853257319487</v>
      </c>
      <c r="N63" s="52" cm="1">
        <f t="array" ref="N63">MMS_PastureBeef_Soil_N2ODirect_Equations.VEERG_4_2_1_3__6_IntakeRelativeToMaintenance(N55,N21)</f>
        <v>0.97490853257319487</v>
      </c>
      <c r="O63" s="2" t="str">
        <f t="shared" ref="O63:O65" si="2">$E$46</f>
        <v>ratio</v>
      </c>
      <c r="U63" s="52" t="str">
        <f>TEXT(EDATE('Input - Site'!$E$12,7), "mmmm yyyy")</f>
        <v>August 2024</v>
      </c>
      <c r="V63" s="52">
        <f>'4.2.1.1-2 Methane'!V83</f>
        <v>5.1328980481000004</v>
      </c>
      <c r="W63" s="52">
        <f>'4.2.1.1-2 Methane'!W83</f>
        <v>9.9748588899999984</v>
      </c>
      <c r="X63" s="52">
        <f>'4.2.1.1-2 Methane'!X83</f>
        <v>4.202705002500001</v>
      </c>
      <c r="Y63" s="52">
        <f>'4.2.1.1-2 Methane'!Y83</f>
        <v>7.2615706605225032</v>
      </c>
      <c r="Z63" s="52">
        <f>'4.2.1.1-2 Methane'!Z83</f>
        <v>9.7416209101224993</v>
      </c>
      <c r="AA63" s="52">
        <f>'4.2.1.1-2 Methane'!AA83</f>
        <v>9.7416209101224993</v>
      </c>
      <c r="AB63" s="52">
        <f>'4.2.1.1-2 Methane'!AB83</f>
        <v>4.5122681240999984</v>
      </c>
      <c r="AC63" s="52">
        <f>'4.2.1.1-2 Methane'!AC83</f>
        <v>6.8698506815999991</v>
      </c>
      <c r="AD63" s="52">
        <f>'4.2.1.1-2 Methane'!AD83</f>
        <v>6.8698506815999991</v>
      </c>
      <c r="AE63" s="52">
        <f>'4.2.1.1-2 Methane'!AE83</f>
        <v>6.8698506815999991</v>
      </c>
      <c r="AF63" s="2" t="str">
        <f>'4.2.1.1-2 Methane'!AF83</f>
        <v>kg DM/head/day</v>
      </c>
      <c r="AG63" s="2"/>
      <c r="AH63" s="2"/>
    </row>
    <row r="64" spans="4:35" ht="20.100000000000001" customHeight="1" x14ac:dyDescent="0.25">
      <c r="D64" s="52" t="s">
        <v>175</v>
      </c>
      <c r="E64" s="52" cm="1">
        <f t="array" ref="E64">MMS_PastureBeef_Soil_N2ODirect_Equations.VEERG_4_2_1_3__6_IntakeRelativeToMaintenance(E56,E22)</f>
        <v>1.2480754440536419</v>
      </c>
      <c r="F64" s="52" cm="1">
        <f t="array" ref="F64">MMS_PastureBeef_Soil_N2ODirect_Equations.VEERG_4_2_1_3__6_IntakeRelativeToMaintenance(F56,F22)</f>
        <v>1</v>
      </c>
      <c r="G64" s="52" cm="1">
        <f t="array" ref="G64">MMS_PastureBeef_Soil_N2ODirect_Equations.VEERG_4_2_1_3__6_IntakeRelativeToMaintenance(G56,G22)</f>
        <v>1.2620356226501883</v>
      </c>
      <c r="H64" s="52" cm="1">
        <f t="array" ref="H64">MMS_PastureBeef_Soil_N2ODirect_Equations.VEERG_4_2_1_3__6_IntakeRelativeToMaintenance(H56,H22)</f>
        <v>1.0592964268897831</v>
      </c>
      <c r="I64" s="52" cm="1">
        <f t="array" ref="I64">MMS_PastureBeef_Soil_N2ODirect_Equations.VEERG_4_2_1_3__6_IntakeRelativeToMaintenance(I56,I22)</f>
        <v>0.87861639465436669</v>
      </c>
      <c r="J64" s="52" cm="1">
        <f t="array" ref="J64">MMS_PastureBeef_Soil_N2ODirect_Equations.VEERG_4_2_1_3__6_IntakeRelativeToMaintenance(J56,J22)</f>
        <v>0.87861639465436669</v>
      </c>
      <c r="K64" s="52" cm="1">
        <f t="array" ref="K64">MMS_PastureBeef_Soil_N2ODirect_Equations.VEERG_4_2_1_3__6_IntakeRelativeToMaintenance(K56,K22)</f>
        <v>1.2480754440536419</v>
      </c>
      <c r="L64" s="52" cm="1">
        <f t="array" ref="L64">MMS_PastureBeef_Soil_N2ODirect_Equations.VEERG_4_2_1_3__6_IntakeRelativeToMaintenance(L56,L22)</f>
        <v>1</v>
      </c>
      <c r="M64" s="52" cm="1">
        <f t="array" ref="M64">MMS_PastureBeef_Soil_N2ODirect_Equations.VEERG_4_2_1_3__6_IntakeRelativeToMaintenance(M56,M22)</f>
        <v>1</v>
      </c>
      <c r="N64" s="52" cm="1">
        <f t="array" ref="N64">MMS_PastureBeef_Soil_N2ODirect_Equations.VEERG_4_2_1_3__6_IntakeRelativeToMaintenance(N56,N22)</f>
        <v>1</v>
      </c>
      <c r="O64" s="2" t="str">
        <f t="shared" si="2"/>
        <v>ratio</v>
      </c>
      <c r="U64" s="52" t="str">
        <f>TEXT(EDATE('Input - Site'!$E$12,8), "mmmm yyyy")</f>
        <v>September 2024</v>
      </c>
      <c r="V64" s="52">
        <f>'4.2.1.1-2 Methane'!V84</f>
        <v>8.6709047296000001</v>
      </c>
      <c r="W64" s="52">
        <f>'4.2.1.1-2 Methane'!W84</f>
        <v>12.246500250000002</v>
      </c>
      <c r="X64" s="52">
        <f>'4.2.1.1-2 Methane'!X84</f>
        <v>6.6089612241000006</v>
      </c>
      <c r="Y64" s="52">
        <f>'4.2.1.1-2 Methane'!Y84</f>
        <v>10.624527777622504</v>
      </c>
      <c r="Z64" s="52">
        <f>'4.2.1.1-2 Methane'!Z84</f>
        <v>11.798087161000003</v>
      </c>
      <c r="AA64" s="52">
        <f>'4.2.1.1-2 Methane'!AA84</f>
        <v>11.798087161000003</v>
      </c>
      <c r="AB64" s="52">
        <f>'4.2.1.1-2 Methane'!AB84</f>
        <v>7.6192560899999977</v>
      </c>
      <c r="AC64" s="52">
        <f>'4.2.1.1-2 Methane'!AC84</f>
        <v>9.6824279555999979</v>
      </c>
      <c r="AD64" s="52">
        <f>'4.2.1.1-2 Methane'!AD84</f>
        <v>9.6824279555999979</v>
      </c>
      <c r="AE64" s="52">
        <f>'4.2.1.1-2 Methane'!AE84</f>
        <v>9.6824279555999979</v>
      </c>
      <c r="AF64" s="2" t="str">
        <f>'4.2.1.1-2 Methane'!AF84</f>
        <v>kg DM/head/day</v>
      </c>
      <c r="AG64" s="2"/>
      <c r="AH64" s="2"/>
    </row>
    <row r="65" spans="3:34" ht="20.100000000000001" customHeight="1" x14ac:dyDescent="0.25">
      <c r="D65" s="52" t="s">
        <v>176</v>
      </c>
      <c r="E65" s="52" cm="1">
        <f t="array" ref="E65">MMS_PastureBeef_Soil_N2ODirect_Equations.VEERG_4_2_1_3__6_IntakeRelativeToMaintenance(E57,E23)</f>
        <v>1.3447114471128401</v>
      </c>
      <c r="F65" s="52" cm="1">
        <f t="array" ref="F65">MMS_PastureBeef_Soil_N2ODirect_Equations.VEERG_4_2_1_3__6_IntakeRelativeToMaintenance(F57,F23)</f>
        <v>1.0453721939219578</v>
      </c>
      <c r="G65" s="52" cm="1">
        <f t="array" ref="G65">MMS_PastureBeef_Soil_N2ODirect_Equations.VEERG_4_2_1_3__6_IntakeRelativeToMaintenance(G57,G23)</f>
        <v>1.2863889326974398</v>
      </c>
      <c r="H65" s="52" cm="1">
        <f t="array" ref="H65">MMS_PastureBeef_Soil_N2ODirect_Equations.VEERG_4_2_1_3__6_IntakeRelativeToMaintenance(H57,H23)</f>
        <v>1.3069350405920737</v>
      </c>
      <c r="I65" s="52" cm="1">
        <f t="array" ref="I65">MMS_PastureBeef_Soil_N2ODirect_Equations.VEERG_4_2_1_3__6_IntakeRelativeToMaintenance(I57,I23)</f>
        <v>1.1787902763034313</v>
      </c>
      <c r="J65" s="52" cm="1">
        <f t="array" ref="J65">MMS_PastureBeef_Soil_N2ODirect_Equations.VEERG_4_2_1_3__6_IntakeRelativeToMaintenance(J57,J23)</f>
        <v>1.1787902763034313</v>
      </c>
      <c r="K65" s="52" cm="1">
        <f t="array" ref="K65">MMS_PastureBeef_Soil_N2ODirect_Equations.VEERG_4_2_1_3__6_IntakeRelativeToMaintenance(K57,K23)</f>
        <v>1.2744200407937745</v>
      </c>
      <c r="L65" s="52" cm="1">
        <f t="array" ref="L65">MMS_PastureBeef_Soil_N2ODirect_Equations.VEERG_4_2_1_3__6_IntakeRelativeToMaintenance(L57,L23)</f>
        <v>1.1147815609185805</v>
      </c>
      <c r="M65" s="52" cm="1">
        <f t="array" ref="M65">MMS_PastureBeef_Soil_N2ODirect_Equations.VEERG_4_2_1_3__6_IntakeRelativeToMaintenance(M57,M23)</f>
        <v>1.1147815609185805</v>
      </c>
      <c r="N65" s="52" cm="1">
        <f t="array" ref="N65">MMS_PastureBeef_Soil_N2ODirect_Equations.VEERG_4_2_1_3__6_IntakeRelativeToMaintenance(N57,N23)</f>
        <v>1.1147815609185805</v>
      </c>
      <c r="O65" s="2" t="str">
        <f t="shared" si="2"/>
        <v>ratio</v>
      </c>
      <c r="U65" s="52" t="str">
        <f>TEXT(EDATE('Input - Site'!$E$12,9), "mmmm yyyy")</f>
        <v>October 2024</v>
      </c>
      <c r="V65" s="52">
        <f>'4.2.1.1-2 Methane'!V85</f>
        <v>8.6709047296000001</v>
      </c>
      <c r="W65" s="52">
        <f>'4.2.1.1-2 Methane'!W85</f>
        <v>12.246500250000002</v>
      </c>
      <c r="X65" s="52">
        <f>'4.2.1.1-2 Methane'!X85</f>
        <v>6.6089612241000006</v>
      </c>
      <c r="Y65" s="52">
        <f>'4.2.1.1-2 Methane'!Y85</f>
        <v>10.624527777622504</v>
      </c>
      <c r="Z65" s="52">
        <f>'4.2.1.1-2 Methane'!Z85</f>
        <v>11.798087161000003</v>
      </c>
      <c r="AA65" s="52">
        <f>'4.2.1.1-2 Methane'!AA85</f>
        <v>11.798087161000003</v>
      </c>
      <c r="AB65" s="52">
        <f>'4.2.1.1-2 Methane'!AB85</f>
        <v>7.6192560899999977</v>
      </c>
      <c r="AC65" s="52">
        <f>'4.2.1.1-2 Methane'!AC85</f>
        <v>9.6824279555999979</v>
      </c>
      <c r="AD65" s="52">
        <f>'4.2.1.1-2 Methane'!AD85</f>
        <v>9.6824279555999979</v>
      </c>
      <c r="AE65" s="52">
        <f>'4.2.1.1-2 Methane'!AE85</f>
        <v>9.6824279555999979</v>
      </c>
      <c r="AF65" s="2" t="str">
        <f>'4.2.1.1-2 Methane'!AF85</f>
        <v>kg DM/head/day</v>
      </c>
      <c r="AG65" s="2"/>
      <c r="AH65" s="2"/>
    </row>
    <row r="66" spans="3:34" ht="20.100000000000001" customHeight="1" x14ac:dyDescent="0.25">
      <c r="U66" s="52" t="str">
        <f>TEXT(EDATE('Input - Site'!$E$12,10), "mmmm yyyy")</f>
        <v>November 2024</v>
      </c>
      <c r="V66" s="52">
        <f>'4.2.1.1-2 Methane'!V86</f>
        <v>8.6709047296000001</v>
      </c>
      <c r="W66" s="52">
        <f>'4.2.1.1-2 Methane'!W86</f>
        <v>12.246500250000002</v>
      </c>
      <c r="X66" s="52">
        <f>'4.2.1.1-2 Methane'!X86</f>
        <v>6.6089612241000006</v>
      </c>
      <c r="Y66" s="52">
        <f>'4.2.1.1-2 Methane'!Y86</f>
        <v>9.3235651926075036</v>
      </c>
      <c r="Z66" s="52">
        <f>'4.2.1.1-2 Methane'!Z86</f>
        <v>10.353423427000003</v>
      </c>
      <c r="AA66" s="52">
        <f>'4.2.1.1-2 Methane'!AA86</f>
        <v>10.353423427000003</v>
      </c>
      <c r="AB66" s="52">
        <f>'4.2.1.1-2 Methane'!AB86</f>
        <v>7.6192560899999977</v>
      </c>
      <c r="AC66" s="52">
        <f>'4.2.1.1-2 Methane'!AC86</f>
        <v>9.6824279555999979</v>
      </c>
      <c r="AD66" s="52">
        <f>'4.2.1.1-2 Methane'!AD86</f>
        <v>9.6824279555999979</v>
      </c>
      <c r="AE66" s="52">
        <f>'4.2.1.1-2 Methane'!AE86</f>
        <v>9.6824279555999979</v>
      </c>
      <c r="AF66" s="2" t="str">
        <f>'4.2.1.1-2 Methane'!AF86</f>
        <v>kg DM/head/day</v>
      </c>
      <c r="AG66" s="2"/>
      <c r="AH66" s="2"/>
    </row>
    <row r="67" spans="3:34" ht="20.100000000000001" customHeight="1" x14ac:dyDescent="0.25">
      <c r="U67" s="52" t="str">
        <f>TEXT(EDATE('Input - Site'!$E$12,11), "mmmm yyyy")</f>
        <v>December 2024</v>
      </c>
      <c r="V67" s="52">
        <f>'4.2.1.1-2 Methane'!V87</f>
        <v>7.1468536895999959</v>
      </c>
      <c r="W67" s="52">
        <f>'4.2.1.1-2 Methane'!W87</f>
        <v>9.4559940036000008</v>
      </c>
      <c r="X67" s="52">
        <f>'4.2.1.1-2 Methane'!X87</f>
        <v>6.010342559999998</v>
      </c>
      <c r="Y67" s="52">
        <f>'4.2.1.1-2 Methane'!Y87</f>
        <v>8.4608409301875014</v>
      </c>
      <c r="Z67" s="52">
        <f>'4.2.1.1-2 Methane'!Z87</f>
        <v>8.3772677761199983</v>
      </c>
      <c r="AA67" s="52">
        <f>'4.2.1.1-2 Methane'!AA87</f>
        <v>8.3772677761199983</v>
      </c>
      <c r="AB67" s="52">
        <f>'4.2.1.1-2 Methane'!AB87</f>
        <v>6.5876408896000003</v>
      </c>
      <c r="AC67" s="52">
        <f>'4.2.1.1-2 Methane'!AC87</f>
        <v>7.3430702361</v>
      </c>
      <c r="AD67" s="52">
        <f>'4.2.1.1-2 Methane'!AD87</f>
        <v>7.3430702361</v>
      </c>
      <c r="AE67" s="52">
        <f>'4.2.1.1-2 Methane'!AE87</f>
        <v>7.3430702361</v>
      </c>
      <c r="AF67" s="2" t="str">
        <f>'4.2.1.1-2 Methane'!AF87</f>
        <v>kg DM/head/day</v>
      </c>
      <c r="AG67" s="2"/>
      <c r="AH67" s="2"/>
    </row>
    <row r="68" spans="3:34" ht="20.100000000000001" customHeight="1" x14ac:dyDescent="0.25">
      <c r="C68" s="45"/>
      <c r="D68" s="45"/>
      <c r="E68" s="45"/>
      <c r="F68" s="45"/>
      <c r="G68" s="45"/>
      <c r="H68" s="45"/>
      <c r="I68" s="45"/>
      <c r="J68" s="45"/>
      <c r="K68" s="45"/>
      <c r="L68" s="45"/>
      <c r="M68" s="45"/>
      <c r="N68" s="45"/>
      <c r="O68" s="45"/>
      <c r="P68" s="45"/>
      <c r="Q68" s="45"/>
      <c r="R68" s="45"/>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9" t="s">
        <v>313</v>
      </c>
    </row>
    <row r="70" spans="3:34" ht="20.100000000000001" customHeight="1" x14ac:dyDescent="0.25">
      <c r="D70" s="5" t="str" cm="1">
        <f t="array" ref="D70">MMS_PastureBeef_Soil_N2ODirect_Equations.VEERG_4_2_1_3__5_MilkProductionForCalvingSeason_Source()</f>
        <v>VEERG 2026: 4.2.1.3, Equation (5)</v>
      </c>
      <c r="U70" s="98" t="s">
        <v>151</v>
      </c>
    </row>
    <row r="71" spans="3:34" ht="20.100000000000001" customHeight="1" x14ac:dyDescent="0.25">
      <c r="D71" s="55"/>
      <c r="U71" s="51" t="s">
        <v>132</v>
      </c>
      <c r="V71" s="51" t="s">
        <v>131</v>
      </c>
      <c r="W71" s="51" t="s">
        <v>130</v>
      </c>
      <c r="X71" s="51" t="s">
        <v>165</v>
      </c>
      <c r="Y71" s="51" t="s">
        <v>166</v>
      </c>
      <c r="Z71" s="51" t="s">
        <v>167</v>
      </c>
      <c r="AA71" s="51" t="s">
        <v>168</v>
      </c>
      <c r="AB71" s="51" t="s">
        <v>169</v>
      </c>
      <c r="AC71" s="51" t="s">
        <v>170</v>
      </c>
      <c r="AD71" s="51" t="s">
        <v>171</v>
      </c>
      <c r="AE71" s="51" t="s">
        <v>172</v>
      </c>
    </row>
    <row r="72" spans="3:34" ht="20.100000000000001" customHeight="1" x14ac:dyDescent="0.25">
      <c r="D72" s="13" t="s">
        <v>27</v>
      </c>
      <c r="E72" s="13" t="s">
        <v>351</v>
      </c>
      <c r="U72" s="52" t="str">
        <f>TEXT('Input - Site'!$E$12, "mmmm yyyy")</f>
        <v>January 2024</v>
      </c>
      <c r="V72" s="52" cm="1">
        <f t="array" ref="V72">MMS_PastureBeef_Soil_N2ODirect_Equations.VEERG_4_2_1_3__6_IntakeRelativeToMaintenance(V56,V20)</f>
        <v>1.1123493391850732</v>
      </c>
      <c r="W72" s="52" cm="1">
        <f t="array" ref="W72">MMS_PastureBeef_Soil_N2ODirect_Equations.VEERG_4_2_1_3__6_IntakeRelativeToMaintenance(W56,W20)</f>
        <v>0.95640681558610863</v>
      </c>
      <c r="X72" s="52" cm="1">
        <f t="array" ref="X72">MMS_PastureBeef_Soil_N2ODirect_Equations.VEERG_4_2_1_3__6_IntakeRelativeToMaintenance(X56,X20)</f>
        <v>1.1234350255113625</v>
      </c>
      <c r="Y72" s="52" cm="1">
        <f t="array" ref="Y72">MMS_PastureBeef_Soil_N2ODirect_Equations.VEERG_4_2_1_3__6_IntakeRelativeToMaintenance(Y56,Y20)</f>
        <v>1.1593206891815613</v>
      </c>
      <c r="Z72" s="52" cm="1">
        <f t="array" ref="Z72">MMS_PastureBeef_Soil_N2ODirect_Equations.VEERG_4_2_1_3__6_IntakeRelativeToMaintenance(Z56,Z20)</f>
        <v>1.0235502922520121</v>
      </c>
      <c r="AA72" s="52" cm="1">
        <f t="array" ref="AA72">MMS_PastureBeef_Soil_N2ODirect_Equations.VEERG_4_2_1_3__6_IntakeRelativeToMaintenance(AA56,AA20)</f>
        <v>1.0235502922520121</v>
      </c>
      <c r="AB72" s="52" cm="1">
        <f t="array" ref="AB72">MMS_PastureBeef_Soil_N2ODirect_Equations.VEERG_4_2_1_3__6_IntakeRelativeToMaintenance(AB56,AB20)</f>
        <v>1.1174246366611618</v>
      </c>
      <c r="AC72" s="52" cm="1">
        <f t="array" ref="AC72">MMS_PastureBeef_Soil_N2ODirect_Equations.VEERG_4_2_1_3__6_IntakeRelativeToMaintenance(AC56,AC20)</f>
        <v>0.97490853257319487</v>
      </c>
      <c r="AD72" s="52" cm="1">
        <f t="array" ref="AD72">MMS_PastureBeef_Soil_N2ODirect_Equations.VEERG_4_2_1_3__6_IntakeRelativeToMaintenance(AD56,AD20)</f>
        <v>0.97490853257319487</v>
      </c>
      <c r="AE72" s="52" cm="1">
        <f t="array" ref="AE72">MMS_PastureBeef_Soil_N2ODirect_Equations.VEERG_4_2_1_3__6_IntakeRelativeToMaintenance(AE56,AE20)</f>
        <v>0.97490853257319487</v>
      </c>
      <c r="AF72" s="2" t="str">
        <f t="shared" ref="AF72:AF83" si="3">$E$46</f>
        <v>ratio</v>
      </c>
      <c r="AG72" s="2"/>
      <c r="AH72" s="2"/>
    </row>
    <row r="73" spans="3:34" ht="20.100000000000001" customHeight="1" x14ac:dyDescent="0.25">
      <c r="U73" s="52" t="str">
        <f>TEXT(EDATE('Input - Site'!$E$12,1), "mmmm yyyy")</f>
        <v>February 2024</v>
      </c>
      <c r="V73" s="52" cm="1">
        <f t="array" ref="V73">MMS_PastureBeef_Soil_N2ODirect_Equations.VEERG_4_2_1_3__6_IntakeRelativeToMaintenance(V57,V21)</f>
        <v>1.1123493391850732</v>
      </c>
      <c r="W73" s="52" cm="1">
        <f t="array" ref="W73">MMS_PastureBeef_Soil_N2ODirect_Equations.VEERG_4_2_1_3__6_IntakeRelativeToMaintenance(W57,W21)</f>
        <v>0.95640681558610863</v>
      </c>
      <c r="X73" s="52" cm="1">
        <f t="array" ref="X73">MMS_PastureBeef_Soil_N2ODirect_Equations.VEERG_4_2_1_3__6_IntakeRelativeToMaintenance(X57,X21)</f>
        <v>1.1234350255113625</v>
      </c>
      <c r="Y73" s="52" cm="1">
        <f t="array" ref="Y73">MMS_PastureBeef_Soil_N2ODirect_Equations.VEERG_4_2_1_3__6_IntakeRelativeToMaintenance(Y57,Y21)</f>
        <v>1.0784378504014522</v>
      </c>
      <c r="Z73" s="52" cm="1">
        <f t="array" ref="Z73">MMS_PastureBeef_Soil_N2ODirect_Equations.VEERG_4_2_1_3__6_IntakeRelativeToMaintenance(Z57,Z21)</f>
        <v>0.95213980674605769</v>
      </c>
      <c r="AA73" s="52" cm="1">
        <f t="array" ref="AA73">MMS_PastureBeef_Soil_N2ODirect_Equations.VEERG_4_2_1_3__6_IntakeRelativeToMaintenance(AA57,AA21)</f>
        <v>0.95213980674605769</v>
      </c>
      <c r="AB73" s="52" cm="1">
        <f t="array" ref="AB73">MMS_PastureBeef_Soil_N2ODirect_Equations.VEERG_4_2_1_3__6_IntakeRelativeToMaintenance(AB57,AB21)</f>
        <v>1.1174246366611618</v>
      </c>
      <c r="AC73" s="52" cm="1">
        <f t="array" ref="AC73">MMS_PastureBeef_Soil_N2ODirect_Equations.VEERG_4_2_1_3__6_IntakeRelativeToMaintenance(AC57,AC21)</f>
        <v>0.97490853257319487</v>
      </c>
      <c r="AD73" s="52" cm="1">
        <f t="array" ref="AD73">MMS_PastureBeef_Soil_N2ODirect_Equations.VEERG_4_2_1_3__6_IntakeRelativeToMaintenance(AD57,AD21)</f>
        <v>0.97490853257319487</v>
      </c>
      <c r="AE73" s="52" cm="1">
        <f t="array" ref="AE73">MMS_PastureBeef_Soil_N2ODirect_Equations.VEERG_4_2_1_3__6_IntakeRelativeToMaintenance(AE57,AE21)</f>
        <v>0.97490853257319487</v>
      </c>
      <c r="AF73" s="2" t="str">
        <f t="shared" si="3"/>
        <v>ratio</v>
      </c>
      <c r="AG73" s="2"/>
      <c r="AH73" s="2"/>
    </row>
    <row r="74" spans="3:34" ht="20.100000000000001" customHeight="1" x14ac:dyDescent="0.25">
      <c r="U74" s="52" t="str">
        <f>TEXT(EDATE('Input - Site'!$E$12,2), "mmmm yyyy")</f>
        <v>March 2024</v>
      </c>
      <c r="V74" s="52" cm="1">
        <f t="array" ref="V74">MMS_PastureBeef_Soil_N2ODirect_Equations.VEERG_4_2_1_3__6_IntakeRelativeToMaintenance(V58,V22)</f>
        <v>1.2480754440536419</v>
      </c>
      <c r="W74" s="52" cm="1">
        <f t="array" ref="W74">MMS_PastureBeef_Soil_N2ODirect_Equations.VEERG_4_2_1_3__6_IntakeRelativeToMaintenance(W58,W22)</f>
        <v>1</v>
      </c>
      <c r="X74" s="52" cm="1">
        <f t="array" ref="X74">MMS_PastureBeef_Soil_N2ODirect_Equations.VEERG_4_2_1_3__6_IntakeRelativeToMaintenance(X58,X22)</f>
        <v>1.2620356226501883</v>
      </c>
      <c r="Y74" s="52" cm="1">
        <f t="array" ref="Y74">MMS_PastureBeef_Soil_N2ODirect_Equations.VEERG_4_2_1_3__6_IntakeRelativeToMaintenance(Y58,Y22)</f>
        <v>1.0592964268897831</v>
      </c>
      <c r="Z74" s="52" cm="1">
        <f t="array" ref="Z74">MMS_PastureBeef_Soil_N2ODirect_Equations.VEERG_4_2_1_3__6_IntakeRelativeToMaintenance(Z58,Z22)</f>
        <v>0.87861639465436669</v>
      </c>
      <c r="AA74" s="52" cm="1">
        <f t="array" ref="AA74">MMS_PastureBeef_Soil_N2ODirect_Equations.VEERG_4_2_1_3__6_IntakeRelativeToMaintenance(AA58,AA22)</f>
        <v>0.87861639465436669</v>
      </c>
      <c r="AB74" s="52" cm="1">
        <f t="array" ref="AB74">MMS_PastureBeef_Soil_N2ODirect_Equations.VEERG_4_2_1_3__6_IntakeRelativeToMaintenance(AB58,AB22)</f>
        <v>1.2480754440536419</v>
      </c>
      <c r="AC74" s="52" cm="1">
        <f t="array" ref="AC74">MMS_PastureBeef_Soil_N2ODirect_Equations.VEERG_4_2_1_3__6_IntakeRelativeToMaintenance(AC58,AC22)</f>
        <v>1</v>
      </c>
      <c r="AD74" s="52" cm="1">
        <f t="array" ref="AD74">MMS_PastureBeef_Soil_N2ODirect_Equations.VEERG_4_2_1_3__6_IntakeRelativeToMaintenance(AD58,AD22)</f>
        <v>1</v>
      </c>
      <c r="AE74" s="52" cm="1">
        <f t="array" ref="AE74">MMS_PastureBeef_Soil_N2ODirect_Equations.VEERG_4_2_1_3__6_IntakeRelativeToMaintenance(AE58,AE22)</f>
        <v>1</v>
      </c>
      <c r="AF74" s="2" t="str">
        <f t="shared" si="3"/>
        <v>ratio</v>
      </c>
      <c r="AG74" s="2"/>
      <c r="AH74" s="2"/>
    </row>
    <row r="75" spans="3:34" ht="20.100000000000001" customHeight="1" x14ac:dyDescent="0.25">
      <c r="D75" s="53" t="s">
        <v>30</v>
      </c>
      <c r="E75" s="1" t="str" cm="1">
        <f t="array" ref="E75">MMS_PastureBeef_Soil_N2ODirect_Equations.VEERG_4_2_1_3__5_MilkProductionForCalvingSeason_Variable()</f>
        <v>MP_jk5</v>
      </c>
      <c r="F75" s="107" t="s">
        <v>299</v>
      </c>
      <c r="U75" s="52" t="str">
        <f>TEXT(EDATE('Input - Site'!$E$12,3), "mmmm yyyy")</f>
        <v>April 2024</v>
      </c>
      <c r="V75" s="52" cm="1">
        <f t="array" ref="V75">MMS_PastureBeef_Soil_N2ODirect_Equations.VEERG_4_2_1_3__6_IntakeRelativeToMaintenance(V59,V23)</f>
        <v>1.2480754440536419</v>
      </c>
      <c r="W75" s="52" cm="1">
        <f t="array" ref="W75">MMS_PastureBeef_Soil_N2ODirect_Equations.VEERG_4_2_1_3__6_IntakeRelativeToMaintenance(W59,W23)</f>
        <v>1</v>
      </c>
      <c r="X75" s="52" cm="1">
        <f t="array" ref="X75">MMS_PastureBeef_Soil_N2ODirect_Equations.VEERG_4_2_1_3__6_IntakeRelativeToMaintenance(X59,X23)</f>
        <v>1.2620356226501883</v>
      </c>
      <c r="Y75" s="52" cm="1">
        <f t="array" ref="Y75">MMS_PastureBeef_Soil_N2ODirect_Equations.VEERG_4_2_1_3__6_IntakeRelativeToMaintenance(Y59,Y23)</f>
        <v>1.0592964268897831</v>
      </c>
      <c r="Z75" s="52" cm="1">
        <f t="array" ref="Z75">MMS_PastureBeef_Soil_N2ODirect_Equations.VEERG_4_2_1_3__6_IntakeRelativeToMaintenance(Z59,Z23)</f>
        <v>0.87861639465436669</v>
      </c>
      <c r="AA75" s="52" cm="1">
        <f t="array" ref="AA75">MMS_PastureBeef_Soil_N2ODirect_Equations.VEERG_4_2_1_3__6_IntakeRelativeToMaintenance(AA59,AA23)</f>
        <v>0.87861639465436669</v>
      </c>
      <c r="AB75" s="52" cm="1">
        <f t="array" ref="AB75">MMS_PastureBeef_Soil_N2ODirect_Equations.VEERG_4_2_1_3__6_IntakeRelativeToMaintenance(AB59,AB23)</f>
        <v>1.2480754440536419</v>
      </c>
      <c r="AC75" s="52" cm="1">
        <f t="array" ref="AC75">MMS_PastureBeef_Soil_N2ODirect_Equations.VEERG_4_2_1_3__6_IntakeRelativeToMaintenance(AC59,AC23)</f>
        <v>1</v>
      </c>
      <c r="AD75" s="52" cm="1">
        <f t="array" ref="AD75">MMS_PastureBeef_Soil_N2ODirect_Equations.VEERG_4_2_1_3__6_IntakeRelativeToMaintenance(AD59,AD23)</f>
        <v>1</v>
      </c>
      <c r="AE75" s="52" cm="1">
        <f t="array" ref="AE75">MMS_PastureBeef_Soil_N2ODirect_Equations.VEERG_4_2_1_3__6_IntakeRelativeToMaintenance(AE59,AE23)</f>
        <v>1</v>
      </c>
      <c r="AF75" s="2" t="str">
        <f t="shared" si="3"/>
        <v>ratio</v>
      </c>
      <c r="AG75" s="2"/>
      <c r="AH75" s="2"/>
    </row>
    <row r="76" spans="3:34" ht="20.100000000000001" customHeight="1" x14ac:dyDescent="0.25">
      <c r="D76" s="53" t="s">
        <v>20</v>
      </c>
      <c r="E76" s="54" t="str" cm="1">
        <f t="array" ref="E76">MMS_PastureBeef_Soil_N2ODirect_Equations.VEERG_4_2_1_3__5_MilkProductionForCalvingSeason_Unit()</f>
        <v>kg/head/day</v>
      </c>
      <c r="U76" s="52" t="str">
        <f>TEXT(EDATE('Input - Site'!$E$12,4), "mmmm yyyy")</f>
        <v>May 2024</v>
      </c>
      <c r="V76" s="52" cm="1">
        <f t="array" ref="V76">MMS_PastureBeef_Soil_N2ODirect_Equations.VEERG_4_2_1_3__6_IntakeRelativeToMaintenance(V60,V24)</f>
        <v>1.2480754440536419</v>
      </c>
      <c r="W76" s="52" cm="1">
        <f t="array" ref="W76">MMS_PastureBeef_Soil_N2ODirect_Equations.VEERG_4_2_1_3__6_IntakeRelativeToMaintenance(W60,W24)</f>
        <v>1</v>
      </c>
      <c r="X76" s="52" cm="1">
        <f t="array" ref="X76">MMS_PastureBeef_Soil_N2ODirect_Equations.VEERG_4_2_1_3__6_IntakeRelativeToMaintenance(X60,X24)</f>
        <v>1.2620356226501883</v>
      </c>
      <c r="Y76" s="52" cm="1">
        <f t="array" ref="Y76">MMS_PastureBeef_Soil_N2ODirect_Equations.VEERG_4_2_1_3__6_IntakeRelativeToMaintenance(Y60,Y24)</f>
        <v>1.0592964268897831</v>
      </c>
      <c r="Z76" s="52" cm="1">
        <f t="array" ref="Z76">MMS_PastureBeef_Soil_N2ODirect_Equations.VEERG_4_2_1_3__6_IntakeRelativeToMaintenance(Z60,Z24)</f>
        <v>0.87861639465436669</v>
      </c>
      <c r="AA76" s="52" cm="1">
        <f t="array" ref="AA76">MMS_PastureBeef_Soil_N2ODirect_Equations.VEERG_4_2_1_3__6_IntakeRelativeToMaintenance(AA60,AA24)</f>
        <v>0.87861639465436669</v>
      </c>
      <c r="AB76" s="52" cm="1">
        <f t="array" ref="AB76">MMS_PastureBeef_Soil_N2ODirect_Equations.VEERG_4_2_1_3__6_IntakeRelativeToMaintenance(AB60,AB24)</f>
        <v>1.2480754440536419</v>
      </c>
      <c r="AC76" s="52" cm="1">
        <f t="array" ref="AC76">MMS_PastureBeef_Soil_N2ODirect_Equations.VEERG_4_2_1_3__6_IntakeRelativeToMaintenance(AC60,AC24)</f>
        <v>1</v>
      </c>
      <c r="AD76" s="52" cm="1">
        <f t="array" ref="AD76">MMS_PastureBeef_Soil_N2ODirect_Equations.VEERG_4_2_1_3__6_IntakeRelativeToMaintenance(AD60,AD24)</f>
        <v>1</v>
      </c>
      <c r="AE76" s="52" cm="1">
        <f t="array" ref="AE76">MMS_PastureBeef_Soil_N2ODirect_Equations.VEERG_4_2_1_3__6_IntakeRelativeToMaintenance(AE60,AE24)</f>
        <v>1</v>
      </c>
      <c r="AF76" s="2" t="str">
        <f t="shared" si="3"/>
        <v>ratio</v>
      </c>
      <c r="AG76" s="2"/>
      <c r="AH76" s="2"/>
    </row>
    <row r="77" spans="3:34" ht="20.100000000000001" customHeight="1" x14ac:dyDescent="0.25">
      <c r="U77" s="52" t="str">
        <f>TEXT(EDATE('Input - Site'!$E$12,5), "mmmm yyyy")</f>
        <v>June 2024</v>
      </c>
      <c r="V77" s="52" cm="1">
        <f t="array" ref="V77">MMS_PastureBeef_Soil_N2ODirect_Equations.VEERG_4_2_1_3__6_IntakeRelativeToMaintenance(V61,V25)</f>
        <v>1.3447114471128401</v>
      </c>
      <c r="W77" s="52" cm="1">
        <f t="array" ref="W77">MMS_PastureBeef_Soil_N2ODirect_Equations.VEERG_4_2_1_3__6_IntakeRelativeToMaintenance(W61,W25)</f>
        <v>1.0453721939219578</v>
      </c>
      <c r="X77" s="52" cm="1">
        <f t="array" ref="X77">MMS_PastureBeef_Soil_N2ODirect_Equations.VEERG_4_2_1_3__6_IntakeRelativeToMaintenance(X61,X25)</f>
        <v>1.2863889326974398</v>
      </c>
      <c r="Y77" s="52" cm="1">
        <f t="array" ref="Y77">MMS_PastureBeef_Soil_N2ODirect_Equations.VEERG_4_2_1_3__6_IntakeRelativeToMaintenance(Y61,Y25)</f>
        <v>1.0290827091276171</v>
      </c>
      <c r="Z77" s="52" cm="1">
        <f t="array" ref="Z77">MMS_PastureBeef_Soil_N2ODirect_Equations.VEERG_4_2_1_3__6_IntakeRelativeToMaintenance(Z61,Z25)</f>
        <v>1.0250350228725489</v>
      </c>
      <c r="AA77" s="52" cm="1">
        <f t="array" ref="AA77">MMS_PastureBeef_Soil_N2ODirect_Equations.VEERG_4_2_1_3__6_IntakeRelativeToMaintenance(AA61,AA25)</f>
        <v>1.0250350228725489</v>
      </c>
      <c r="AB77" s="52" cm="1">
        <f t="array" ref="AB77">MMS_PastureBeef_Soil_N2ODirect_Equations.VEERG_4_2_1_3__6_IntakeRelativeToMaintenance(AB61,AB25)</f>
        <v>1.2744200407937745</v>
      </c>
      <c r="AC77" s="52" cm="1">
        <f t="array" ref="AC77">MMS_PastureBeef_Soil_N2ODirect_Equations.VEERG_4_2_1_3__6_IntakeRelativeToMaintenance(AC61,AC25)</f>
        <v>1.1147815609185805</v>
      </c>
      <c r="AD77" s="52" cm="1">
        <f t="array" ref="AD77">MMS_PastureBeef_Soil_N2ODirect_Equations.VEERG_4_2_1_3__6_IntakeRelativeToMaintenance(AD61,AD25)</f>
        <v>1.1147815609185805</v>
      </c>
      <c r="AE77" s="52" cm="1">
        <f t="array" ref="AE77">MMS_PastureBeef_Soil_N2ODirect_Equations.VEERG_4_2_1_3__6_IntakeRelativeToMaintenance(AE61,AE25)</f>
        <v>1.1147815609185805</v>
      </c>
      <c r="AF77" s="2" t="str">
        <f t="shared" si="3"/>
        <v>ratio</v>
      </c>
      <c r="AG77" s="2"/>
      <c r="AH77" s="2"/>
    </row>
    <row r="78" spans="3:34" ht="20.100000000000001" customHeight="1" x14ac:dyDescent="0.25">
      <c r="D78" s="108" t="str" cm="1">
        <f t="array" ref="D78:E82">MMS_PastureBeef_Soil_N2ODirect_Equations.VEERG_4_2_1_3__5_MilkProductionForCalvingSeason_ArgumentsVariation()</f>
        <v>LC_jk5curr</v>
      </c>
      <c r="E78" s="110" t="str">
        <v>proportion of cows greater than 2 years lactating for the season of calving</v>
      </c>
      <c r="F78" s="117"/>
      <c r="G78" s="117"/>
      <c r="H78" s="109"/>
      <c r="I78" s="57" t="str">
        <f>"See " &amp; D84</f>
        <v>See M1_Table_LC_j_k-4-5</v>
      </c>
      <c r="U78" s="52" t="str">
        <f>TEXT(EDATE('Input - Site'!$E$12,6), "mmmm yyyy")</f>
        <v>July 2024</v>
      </c>
      <c r="V78" s="52" cm="1">
        <f t="array" ref="V78">MMS_PastureBeef_Soil_N2ODirect_Equations.VEERG_4_2_1_3__6_IntakeRelativeToMaintenance(V62,V26)</f>
        <v>1.3447114471128401</v>
      </c>
      <c r="W78" s="52" cm="1">
        <f t="array" ref="W78">MMS_PastureBeef_Soil_N2ODirect_Equations.VEERG_4_2_1_3__6_IntakeRelativeToMaintenance(W62,W26)</f>
        <v>1.0453721939219578</v>
      </c>
      <c r="X78" s="52" cm="1">
        <f t="array" ref="X78">MMS_PastureBeef_Soil_N2ODirect_Equations.VEERG_4_2_1_3__6_IntakeRelativeToMaintenance(X62,X26)</f>
        <v>1.2863889326974398</v>
      </c>
      <c r="Y78" s="52" cm="1">
        <f t="array" ref="Y78">MMS_PastureBeef_Soil_N2ODirect_Equations.VEERG_4_2_1_3__6_IntakeRelativeToMaintenance(Y62,Y26)</f>
        <v>1.0290827091276171</v>
      </c>
      <c r="Z78" s="52" cm="1">
        <f t="array" ref="Z78">MMS_PastureBeef_Soil_N2ODirect_Equations.VEERG_4_2_1_3__6_IntakeRelativeToMaintenance(Z62,Z26)</f>
        <v>1.0250350228725489</v>
      </c>
      <c r="AA78" s="52" cm="1">
        <f t="array" ref="AA78">MMS_PastureBeef_Soil_N2ODirect_Equations.VEERG_4_2_1_3__6_IntakeRelativeToMaintenance(AA62,AA26)</f>
        <v>1.0250350228725489</v>
      </c>
      <c r="AB78" s="52" cm="1">
        <f t="array" ref="AB78">MMS_PastureBeef_Soil_N2ODirect_Equations.VEERG_4_2_1_3__6_IntakeRelativeToMaintenance(AB62,AB26)</f>
        <v>1.2744200407937745</v>
      </c>
      <c r="AC78" s="52" cm="1">
        <f t="array" ref="AC78">MMS_PastureBeef_Soil_N2ODirect_Equations.VEERG_4_2_1_3__6_IntakeRelativeToMaintenance(AC62,AC26)</f>
        <v>1.1147815609185805</v>
      </c>
      <c r="AD78" s="52" cm="1">
        <f t="array" ref="AD78">MMS_PastureBeef_Soil_N2ODirect_Equations.VEERG_4_2_1_3__6_IntakeRelativeToMaintenance(AD62,AD26)</f>
        <v>1.1147815609185805</v>
      </c>
      <c r="AE78" s="52" cm="1">
        <f t="array" ref="AE78">MMS_PastureBeef_Soil_N2ODirect_Equations.VEERG_4_2_1_3__6_IntakeRelativeToMaintenance(AE62,AE26)</f>
        <v>1.1147815609185805</v>
      </c>
      <c r="AF78" s="2" t="str">
        <f t="shared" si="3"/>
        <v>ratio</v>
      </c>
      <c r="AG78" s="2"/>
      <c r="AH78" s="2"/>
    </row>
    <row r="79" spans="3:34" ht="20.100000000000001" customHeight="1" x14ac:dyDescent="0.25">
      <c r="D79" s="108" t="str">
        <v>LC_jk5prev</v>
      </c>
      <c r="E79" s="110" t="str">
        <v>proportion of cows greater than 2 years lactating for the season after calving</v>
      </c>
      <c r="F79" s="117"/>
      <c r="G79" s="117"/>
      <c r="H79" s="109"/>
      <c r="I79" s="57" t="str">
        <f>"See " &amp; D84</f>
        <v>See M1_Table_LC_j_k-4-5</v>
      </c>
      <c r="U79" s="52" t="str">
        <f>TEXT(EDATE('Input - Site'!$E$12,7), "mmmm yyyy")</f>
        <v>August 2024</v>
      </c>
      <c r="V79" s="52" cm="1">
        <f t="array" ref="V79">MMS_PastureBeef_Soil_N2ODirect_Equations.VEERG_4_2_1_3__6_IntakeRelativeToMaintenance(V63,V27)</f>
        <v>1.3447114471128401</v>
      </c>
      <c r="W79" s="52" cm="1">
        <f t="array" ref="W79">MMS_PastureBeef_Soil_N2ODirect_Equations.VEERG_4_2_1_3__6_IntakeRelativeToMaintenance(W63,W27)</f>
        <v>1.0453721939219578</v>
      </c>
      <c r="X79" s="52" cm="1">
        <f t="array" ref="X79">MMS_PastureBeef_Soil_N2ODirect_Equations.VEERG_4_2_1_3__6_IntakeRelativeToMaintenance(X63,X27)</f>
        <v>1.2863889326974398</v>
      </c>
      <c r="Y79" s="52" cm="1">
        <f t="array" ref="Y79">MMS_PastureBeef_Soil_N2ODirect_Equations.VEERG_4_2_1_3__6_IntakeRelativeToMaintenance(Y63,Y27)</f>
        <v>1.2606263186813311</v>
      </c>
      <c r="Z79" s="52" cm="1">
        <f t="array" ref="Z79">MMS_PastureBeef_Soil_N2ODirect_Equations.VEERG_4_2_1_3__6_IntakeRelativeToMaintenance(Z63,Z27)</f>
        <v>1.2556679030188727</v>
      </c>
      <c r="AA79" s="52" cm="1">
        <f t="array" ref="AA79">MMS_PastureBeef_Soil_N2ODirect_Equations.VEERG_4_2_1_3__6_IntakeRelativeToMaintenance(AA63,AA27)</f>
        <v>1.2556679030188727</v>
      </c>
      <c r="AB79" s="52" cm="1">
        <f t="array" ref="AB79">MMS_PastureBeef_Soil_N2ODirect_Equations.VEERG_4_2_1_3__6_IntakeRelativeToMaintenance(AB63,AB27)</f>
        <v>1.2744200407937745</v>
      </c>
      <c r="AC79" s="52" cm="1">
        <f t="array" ref="AC79">MMS_PastureBeef_Soil_N2ODirect_Equations.VEERG_4_2_1_3__6_IntakeRelativeToMaintenance(AC63,AC27)</f>
        <v>1.1147815609185805</v>
      </c>
      <c r="AD79" s="52" cm="1">
        <f t="array" ref="AD79">MMS_PastureBeef_Soil_N2ODirect_Equations.VEERG_4_2_1_3__6_IntakeRelativeToMaintenance(AD63,AD27)</f>
        <v>1.1147815609185805</v>
      </c>
      <c r="AE79" s="52" cm="1">
        <f t="array" ref="AE79">MMS_PastureBeef_Soil_N2ODirect_Equations.VEERG_4_2_1_3__6_IntakeRelativeToMaintenance(AE63,AE27)</f>
        <v>1.1147815609185805</v>
      </c>
      <c r="AF79" s="2" t="str">
        <f t="shared" si="3"/>
        <v>ratio</v>
      </c>
      <c r="AG79" s="2"/>
      <c r="AH79" s="2"/>
    </row>
    <row r="80" spans="3:34" ht="20.100000000000001" customHeight="1" x14ac:dyDescent="0.25">
      <c r="D80" s="108" t="str">
        <v>DMP_jk5calv</v>
      </c>
      <c r="E80" s="110" t="str">
        <v>daily milk production for the season of calving (kg/head/day)</v>
      </c>
      <c r="F80" s="117"/>
      <c r="G80" s="117"/>
      <c r="H80" s="109"/>
      <c r="I80" s="57" cm="1">
        <f t="array" ref="I80">_xlfn.XLOOKUP(1, (Table_SourceData_PastureBeef_FeedIntakeAdjustment_Variation[Breed]=$I$82)*(Table_SourceData_PastureBeef_FeedIntakeAdjustment_Variation[Season]=+"Calving season"),Table_SourceData_PastureBeef_FeedIntakeAdjustment_Variation[Milk intake/production])</f>
        <v>6</v>
      </c>
      <c r="U80" s="52" t="str">
        <f>TEXT(EDATE('Input - Site'!$E$12,8), "mmmm yyyy")</f>
        <v>September 2024</v>
      </c>
      <c r="V80" s="52" cm="1">
        <f t="array" ref="V80">MMS_PastureBeef_Soil_N2ODirect_Equations.VEERG_4_2_1_3__6_IntakeRelativeToMaintenance(V64,V28)</f>
        <v>1.4707970166214006</v>
      </c>
      <c r="W80" s="52" cm="1">
        <f t="array" ref="W80">MMS_PastureBeef_Soil_N2ODirect_Equations.VEERG_4_2_1_3__6_IntakeRelativeToMaintenance(W64,W28)</f>
        <v>1.2318676608114607</v>
      </c>
      <c r="X80" s="52" cm="1">
        <f t="array" ref="X80">MMS_PastureBeef_Soil_N2ODirect_Equations.VEERG_4_2_1_3__6_IntakeRelativeToMaintenance(X64,X28)</f>
        <v>1.3784396841492426</v>
      </c>
      <c r="Y80" s="52" cm="1">
        <f t="array" ref="Y80">MMS_PastureBeef_Soil_N2ODirect_Equations.VEERG_4_2_1_3__6_IntakeRelativeToMaintenance(Y64,Y28)</f>
        <v>1.5323399982323869</v>
      </c>
      <c r="Z80" s="52" cm="1">
        <f t="array" ref="Z80">MMS_PastureBeef_Soil_N2ODirect_Equations.VEERG_4_2_1_3__6_IntakeRelativeToMaintenance(Z64,Z28)</f>
        <v>1.4072279803711161</v>
      </c>
      <c r="AA80" s="52" cm="1">
        <f t="array" ref="AA80">MMS_PastureBeef_Soil_N2ODirect_Equations.VEERG_4_2_1_3__6_IntakeRelativeToMaintenance(AA64,AA28)</f>
        <v>1.4072279803711161</v>
      </c>
      <c r="AB80" s="52" cm="1">
        <f t="array" ref="AB80">MMS_PastureBeef_Soil_N2ODirect_Equations.VEERG_4_2_1_3__6_IntakeRelativeToMaintenance(AB64,AB28)</f>
        <v>1.4241682690123998</v>
      </c>
      <c r="AC80" s="52" cm="1">
        <f t="array" ref="AC80">MMS_PastureBeef_Soil_N2ODirect_Equations.VEERG_4_2_1_3__6_IntakeRelativeToMaintenance(AC64,AC28)</f>
        <v>1.2663208058014268</v>
      </c>
      <c r="AD80" s="52" cm="1">
        <f t="array" ref="AD80">MMS_PastureBeef_Soil_N2ODirect_Equations.VEERG_4_2_1_3__6_IntakeRelativeToMaintenance(AD64,AD28)</f>
        <v>1.2663208058014268</v>
      </c>
      <c r="AE80" s="52" cm="1">
        <f t="array" ref="AE80">MMS_PastureBeef_Soil_N2ODirect_Equations.VEERG_4_2_1_3__6_IntakeRelativeToMaintenance(AE64,AE28)</f>
        <v>1.2663208058014268</v>
      </c>
      <c r="AF80" s="2" t="str">
        <f t="shared" si="3"/>
        <v>ratio</v>
      </c>
      <c r="AG80" s="2"/>
      <c r="AH80" s="2"/>
    </row>
    <row r="81" spans="4:35" ht="20.100000000000001" customHeight="1" x14ac:dyDescent="0.25">
      <c r="D81" s="108" t="str">
        <v>DMP_jk5after</v>
      </c>
      <c r="E81" s="110" t="str">
        <v>daily milk production for the season after calving (kg/head/day)</v>
      </c>
      <c r="F81" s="117"/>
      <c r="G81" s="117"/>
      <c r="H81" s="109"/>
      <c r="I81" s="57"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2" t="str">
        <f>TEXT(EDATE('Input - Site'!$E$12,9), "mmmm yyyy")</f>
        <v>October 2024</v>
      </c>
      <c r="V81" s="52" cm="1">
        <f t="array" ref="V81">MMS_PastureBeef_Soil_N2ODirect_Equations.VEERG_4_2_1_3__6_IntakeRelativeToMaintenance(V65,V29)</f>
        <v>1.4707970166214006</v>
      </c>
      <c r="W81" s="52" cm="1">
        <f t="array" ref="W81">MMS_PastureBeef_Soil_N2ODirect_Equations.VEERG_4_2_1_3__6_IntakeRelativeToMaintenance(W65,W29)</f>
        <v>1.2318676608114607</v>
      </c>
      <c r="X81" s="52" cm="1">
        <f t="array" ref="X81">MMS_PastureBeef_Soil_N2ODirect_Equations.VEERG_4_2_1_3__6_IntakeRelativeToMaintenance(X65,X29)</f>
        <v>1.3784396841492426</v>
      </c>
      <c r="Y81" s="52" cm="1">
        <f t="array" ref="Y81">MMS_PastureBeef_Soil_N2ODirect_Equations.VEERG_4_2_1_3__6_IntakeRelativeToMaintenance(Y65,Y29)</f>
        <v>1.5323399982323869</v>
      </c>
      <c r="Z81" s="52" cm="1">
        <f t="array" ref="Z81">MMS_PastureBeef_Soil_N2ODirect_Equations.VEERG_4_2_1_3__6_IntakeRelativeToMaintenance(Z65,Z29)</f>
        <v>1.4072279803711161</v>
      </c>
      <c r="AA81" s="52" cm="1">
        <f t="array" ref="AA81">MMS_PastureBeef_Soil_N2ODirect_Equations.VEERG_4_2_1_3__6_IntakeRelativeToMaintenance(AA65,AA29)</f>
        <v>1.4072279803711161</v>
      </c>
      <c r="AB81" s="52" cm="1">
        <f t="array" ref="AB81">MMS_PastureBeef_Soil_N2ODirect_Equations.VEERG_4_2_1_3__6_IntakeRelativeToMaintenance(AB65,AB29)</f>
        <v>1.4241682690123998</v>
      </c>
      <c r="AC81" s="52" cm="1">
        <f t="array" ref="AC81">MMS_PastureBeef_Soil_N2ODirect_Equations.VEERG_4_2_1_3__6_IntakeRelativeToMaintenance(AC65,AC29)</f>
        <v>1.2663208058014268</v>
      </c>
      <c r="AD81" s="52" cm="1">
        <f t="array" ref="AD81">MMS_PastureBeef_Soil_N2ODirect_Equations.VEERG_4_2_1_3__6_IntakeRelativeToMaintenance(AD65,AD29)</f>
        <v>1.2663208058014268</v>
      </c>
      <c r="AE81" s="52" cm="1">
        <f t="array" ref="AE81">MMS_PastureBeef_Soil_N2ODirect_Equations.VEERG_4_2_1_3__6_IntakeRelativeToMaintenance(AE65,AE29)</f>
        <v>1.2663208058014268</v>
      </c>
      <c r="AF81" s="2" t="str">
        <f t="shared" si="3"/>
        <v>ratio</v>
      </c>
      <c r="AG81" s="2"/>
      <c r="AH81" s="2"/>
    </row>
    <row r="82" spans="4:35" ht="20.100000000000001" customHeight="1" x14ac:dyDescent="0.25">
      <c r="D82" s="108" t="str">
        <v>b</v>
      </c>
      <c r="E82" s="110" t="str">
        <v>breed of cattle</v>
      </c>
      <c r="F82" s="117"/>
      <c r="G82" s="117"/>
      <c r="H82" s="109"/>
      <c r="I82" s="57" t="str">
        <f>'Input - Pasture Beef'!$E$9</f>
        <v>Hereford or Shorthorn breeds</v>
      </c>
      <c r="U82" s="52" t="str">
        <f>TEXT(EDATE('Input - Site'!$E$12,10), "mmmm yyyy")</f>
        <v>November 2024</v>
      </c>
      <c r="V82" s="52" cm="1">
        <f t="array" ref="V82">MMS_PastureBeef_Soil_N2ODirect_Equations.VEERG_4_2_1_3__6_IntakeRelativeToMaintenance(V66,V30)</f>
        <v>1.4707970166214006</v>
      </c>
      <c r="W82" s="52" cm="1">
        <f t="array" ref="W82">MMS_PastureBeef_Soil_N2ODirect_Equations.VEERG_4_2_1_3__6_IntakeRelativeToMaintenance(W66,W30)</f>
        <v>1.2318676608114607</v>
      </c>
      <c r="X82" s="52" cm="1">
        <f t="array" ref="X82">MMS_PastureBeef_Soil_N2ODirect_Equations.VEERG_4_2_1_3__6_IntakeRelativeToMaintenance(X66,X30)</f>
        <v>1.3784396841492426</v>
      </c>
      <c r="Y82" s="52" cm="1">
        <f t="array" ref="Y82">MMS_PastureBeef_Soil_N2ODirect_Equations.VEERG_4_2_1_3__6_IntakeRelativeToMaintenance(Y66,Y30)</f>
        <v>1.3447065290610742</v>
      </c>
      <c r="Z82" s="52" cm="1">
        <f t="array" ref="Z82">MMS_PastureBeef_Soil_N2ODirect_Equations.VEERG_4_2_1_3__6_IntakeRelativeToMaintenance(Z66,Z30)</f>
        <v>1.2349143501215916</v>
      </c>
      <c r="AA82" s="52" cm="1">
        <f t="array" ref="AA82">MMS_PastureBeef_Soil_N2ODirect_Equations.VEERG_4_2_1_3__6_IntakeRelativeToMaintenance(AA66,AA30)</f>
        <v>1.2349143501215916</v>
      </c>
      <c r="AB82" s="52" cm="1">
        <f t="array" ref="AB82">MMS_PastureBeef_Soil_N2ODirect_Equations.VEERG_4_2_1_3__6_IntakeRelativeToMaintenance(AB66,AB30)</f>
        <v>1.4241682690123998</v>
      </c>
      <c r="AC82" s="52" cm="1">
        <f t="array" ref="AC82">MMS_PastureBeef_Soil_N2ODirect_Equations.VEERG_4_2_1_3__6_IntakeRelativeToMaintenance(AC66,AC30)</f>
        <v>1.2663208058014268</v>
      </c>
      <c r="AD82" s="52" cm="1">
        <f t="array" ref="AD82">MMS_PastureBeef_Soil_N2ODirect_Equations.VEERG_4_2_1_3__6_IntakeRelativeToMaintenance(AD66,AD30)</f>
        <v>1.2663208058014268</v>
      </c>
      <c r="AE82" s="52" cm="1">
        <f t="array" ref="AE82">MMS_PastureBeef_Soil_N2ODirect_Equations.VEERG_4_2_1_3__6_IntakeRelativeToMaintenance(AE66,AE30)</f>
        <v>1.2663208058014268</v>
      </c>
      <c r="AF82" s="2" t="str">
        <f t="shared" si="3"/>
        <v>ratio</v>
      </c>
      <c r="AG82" s="2"/>
      <c r="AH82" s="2"/>
    </row>
    <row r="83" spans="4:35" ht="20.100000000000001" customHeight="1" x14ac:dyDescent="0.25">
      <c r="U83" s="52" t="str">
        <f>TEXT(EDATE('Input - Site'!$E$12,11), "mmmm yyyy")</f>
        <v>December 2024</v>
      </c>
      <c r="V83" s="52" cm="1">
        <f t="array" ref="V83">MMS_PastureBeef_Soil_N2ODirect_Equations.VEERG_4_2_1_3__6_IntakeRelativeToMaintenance(V67,V31)</f>
        <v>1.1123493391850732</v>
      </c>
      <c r="W83" s="52" cm="1">
        <f t="array" ref="W83">MMS_PastureBeef_Soil_N2ODirect_Equations.VEERG_4_2_1_3__6_IntakeRelativeToMaintenance(W67,W31)</f>
        <v>0.95640681558610863</v>
      </c>
      <c r="X83" s="52" cm="1">
        <f t="array" ref="X83">MMS_PastureBeef_Soil_N2ODirect_Equations.VEERG_4_2_1_3__6_IntakeRelativeToMaintenance(X67,X31)</f>
        <v>1.1234350255113625</v>
      </c>
      <c r="Y83" s="52" cm="1">
        <f t="array" ref="Y83">MMS_PastureBeef_Soil_N2ODirect_Equations.VEERG_4_2_1_3__6_IntakeRelativeToMaintenance(Y67,Y31)</f>
        <v>1.1593206891815613</v>
      </c>
      <c r="Z83" s="52" cm="1">
        <f t="array" ref="Z83">MMS_PastureBeef_Soil_N2ODirect_Equations.VEERG_4_2_1_3__6_IntakeRelativeToMaintenance(Z67,Z31)</f>
        <v>1.0235502922520121</v>
      </c>
      <c r="AA83" s="52" cm="1">
        <f t="array" ref="AA83">MMS_PastureBeef_Soil_N2ODirect_Equations.VEERG_4_2_1_3__6_IntakeRelativeToMaintenance(AA67,AA31)</f>
        <v>1.0235502922520121</v>
      </c>
      <c r="AB83" s="52" cm="1">
        <f t="array" ref="AB83">MMS_PastureBeef_Soil_N2ODirect_Equations.VEERG_4_2_1_3__6_IntakeRelativeToMaintenance(AB67,AB31)</f>
        <v>1.1174246366611618</v>
      </c>
      <c r="AC83" s="52" cm="1">
        <f t="array" ref="AC83">MMS_PastureBeef_Soil_N2ODirect_Equations.VEERG_4_2_1_3__6_IntakeRelativeToMaintenance(AC67,AC31)</f>
        <v>0.97490853257319487</v>
      </c>
      <c r="AD83" s="52" cm="1">
        <f t="array" ref="AD83">MMS_PastureBeef_Soil_N2ODirect_Equations.VEERG_4_2_1_3__6_IntakeRelativeToMaintenance(AD67,AD31)</f>
        <v>0.97490853257319487</v>
      </c>
      <c r="AE83" s="52" cm="1">
        <f t="array" ref="AE83">MMS_PastureBeef_Soil_N2ODirect_Equations.VEERG_4_2_1_3__6_IntakeRelativeToMaintenance(AE67,AE31)</f>
        <v>0.97490853257319487</v>
      </c>
      <c r="AF83" s="2" t="str">
        <f t="shared" si="3"/>
        <v>ratio</v>
      </c>
      <c r="AG83" s="2"/>
      <c r="AH83" s="2"/>
    </row>
    <row r="84" spans="4:35" ht="20.100000000000001" customHeight="1" x14ac:dyDescent="0.25">
      <c r="D84" s="99" t="s">
        <v>230</v>
      </c>
    </row>
    <row r="85" spans="4:35" ht="20.100000000000001" customHeight="1" x14ac:dyDescent="0.25">
      <c r="D85" s="98" t="s">
        <v>254</v>
      </c>
    </row>
    <row r="86" spans="4:35" ht="20.100000000000001" customHeight="1" x14ac:dyDescent="0.25">
      <c r="D86" s="51" t="s">
        <v>184</v>
      </c>
      <c r="E86" s="51" t="s">
        <v>166</v>
      </c>
      <c r="F86" s="51" t="s">
        <v>167</v>
      </c>
      <c r="G86" s="51" t="s">
        <v>168</v>
      </c>
      <c r="T86" s="45"/>
      <c r="U86" s="45"/>
      <c r="V86" s="45"/>
      <c r="W86" s="45"/>
      <c r="X86" s="45"/>
      <c r="Y86" s="45"/>
      <c r="Z86" s="45"/>
      <c r="AA86" s="45"/>
      <c r="AB86" s="45"/>
      <c r="AC86" s="45"/>
      <c r="AD86" s="45"/>
      <c r="AE86" s="45"/>
      <c r="AF86" s="45"/>
      <c r="AG86" s="45"/>
      <c r="AH86" s="45"/>
      <c r="AI86" s="45"/>
    </row>
    <row r="87" spans="4:35" ht="20.100000000000001" customHeight="1" x14ac:dyDescent="0.25">
      <c r="D87" s="52" t="str">
        <f>'Input - Pasture Beef'!$E$104</f>
        <v>Winter</v>
      </c>
      <c r="E87" s="52">
        <f>'Input - Pasture Beef'!$E$107</f>
        <v>0.9</v>
      </c>
      <c r="F87" s="52">
        <f>'Input - Pasture Beef'!$F$107</f>
        <v>0.5</v>
      </c>
      <c r="G87" s="52">
        <f>'Input - Pasture Beef'!$G$107</f>
        <v>0.5</v>
      </c>
      <c r="H87" s="2" t="s">
        <v>100</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9" t="s">
        <v>250</v>
      </c>
    </row>
    <row r="90" spans="4:35" ht="20.100000000000001" customHeight="1" x14ac:dyDescent="0.25">
      <c r="U90" s="98" t="s">
        <v>251</v>
      </c>
    </row>
    <row r="91" spans="4:35" ht="20.100000000000001" customHeight="1" x14ac:dyDescent="0.25">
      <c r="U91" s="51" t="s">
        <v>132</v>
      </c>
      <c r="V91" s="51" t="s">
        <v>166</v>
      </c>
      <c r="W91" s="51" t="s">
        <v>167</v>
      </c>
      <c r="X91" s="51" t="s">
        <v>168</v>
      </c>
    </row>
    <row r="92" spans="4:35" ht="20.100000000000001" customHeight="1" x14ac:dyDescent="0.25">
      <c r="D92" s="99" t="s">
        <v>298</v>
      </c>
      <c r="U92" s="52" t="str">
        <f>TEXT(EDATE('Input - Pasture Beef'!$D$117,0), "mmmm") &amp; ", " &amp; TEXT(EDATE('Input - Pasture Beef'!$D$118,0), "mmmm") &amp; ", " &amp; TEXT(EDATE('Input - Pasture Beef'!$D$119,0), "mmmm")</f>
        <v>August, September, October</v>
      </c>
      <c r="V92" s="52">
        <f>'Input - Pasture Beef'!$E$120</f>
        <v>0.75</v>
      </c>
      <c r="W92" s="52">
        <f>'Input - Pasture Beef'!$F$120</f>
        <v>0.75</v>
      </c>
      <c r="X92" s="52">
        <f>'Input - Pasture Beef'!$G$120</f>
        <v>0.75</v>
      </c>
      <c r="Y92" s="2" t="s">
        <v>100</v>
      </c>
    </row>
    <row r="93" spans="4:35" ht="20.100000000000001" customHeight="1" x14ac:dyDescent="0.25">
      <c r="D93" s="98" t="s">
        <v>135</v>
      </c>
      <c r="U93" s="52" t="str">
        <f>TEXT(EDATE('Input - Pasture Beef'!$D$119,1), "mmmm") &amp; ", " &amp; TEXT(EDATE('Input - Pasture Beef'!$D$119,2), "mmmm") &amp; ", " &amp; TEXT(EDATE('Input - Pasture Beef'!$D$119,3), "mmmm")</f>
        <v>November, December, January</v>
      </c>
      <c r="Y93" s="2"/>
    </row>
    <row r="94" spans="4:35" ht="20.100000000000001" customHeight="1" x14ac:dyDescent="0.25">
      <c r="D94" s="51" t="s">
        <v>184</v>
      </c>
      <c r="E94" s="51" t="s">
        <v>247</v>
      </c>
      <c r="F94" s="51" t="s">
        <v>350</v>
      </c>
      <c r="G94" s="51" t="s">
        <v>131</v>
      </c>
      <c r="H94" s="51" t="s">
        <v>130</v>
      </c>
      <c r="I94" s="51" t="s">
        <v>165</v>
      </c>
      <c r="J94" s="51" t="s">
        <v>166</v>
      </c>
      <c r="K94" s="51" t="s">
        <v>167</v>
      </c>
      <c r="L94" s="51" t="s">
        <v>168</v>
      </c>
      <c r="M94" s="51" t="s">
        <v>169</v>
      </c>
      <c r="N94" s="51" t="s">
        <v>170</v>
      </c>
      <c r="O94" s="51" t="s">
        <v>171</v>
      </c>
      <c r="P94" s="51" t="s">
        <v>172</v>
      </c>
    </row>
    <row r="95" spans="4:35" ht="20.100000000000001" customHeight="1" x14ac:dyDescent="0.25">
      <c r="D95" s="52" t="str">
        <f>'4.2.1.1-2 Methane'!D30</f>
        <v>Spring</v>
      </c>
      <c r="E95" s="52" t="str" cm="1">
        <f t="array" ref="E95">_xlfn.IFS(D87=D95, "Calving season", D87=D98, "Season after calving", D87=D96, "", D87=D97, "")</f>
        <v>Season after calving</v>
      </c>
      <c r="F95" s="52" cm="1">
        <f t="array" ref="F95">_xlfn.IFS(E95="Calving season", $I$80, E95="Season after calving", $I$81, E95="", "")</f>
        <v>4</v>
      </c>
      <c r="G95" s="52">
        <v>0</v>
      </c>
      <c r="H95" s="52">
        <v>0</v>
      </c>
      <c r="I95" s="52">
        <v>0</v>
      </c>
      <c r="J95" s="52" cm="1">
        <f t="array" ref="J95">IFERROR(MMS_PastureBeef_Soil_N2ODirect_Equations.VEERG_4_2_1_3__5_MilkProductionForCalvingSeason(E$87,$F95), 0)</f>
        <v>3.6</v>
      </c>
      <c r="K95" s="52" cm="1">
        <f t="array" ref="K95">IFERROR(MMS_PastureBeef_Soil_N2ODirect_Equations.VEERG_4_2_1_3__5_MilkProductionForCalvingSeason(F$87,$F95), 0)</f>
        <v>2</v>
      </c>
      <c r="L95" s="52" cm="1">
        <f t="array" ref="L95">IFERROR(MMS_PastureBeef_Soil_N2ODirect_Equations.VEERG_4_2_1_3__5_MilkProductionForCalvingSeason(G$87,$F95), 0)</f>
        <v>2</v>
      </c>
      <c r="M95" s="52">
        <v>0</v>
      </c>
      <c r="N95" s="52">
        <v>0</v>
      </c>
      <c r="O95" s="52">
        <v>0</v>
      </c>
      <c r="P95" s="52">
        <v>0</v>
      </c>
      <c r="Q95" s="2" t="str">
        <f>$E$76</f>
        <v>kg/head/day</v>
      </c>
    </row>
    <row r="96" spans="4:35" ht="20.100000000000001" customHeight="1" x14ac:dyDescent="0.25">
      <c r="D96" s="52" t="str">
        <f>'4.2.1.1-2 Methane'!D31</f>
        <v>Summer</v>
      </c>
      <c r="E96" s="52" t="str" cm="1">
        <f t="array" ref="E96">_xlfn.IFS(D87=D96, "Calving season", D87=D95, "Season after calving", D87=D97, "", D87=D98, "")</f>
        <v/>
      </c>
      <c r="F96" s="52" t="str" cm="1">
        <f t="array" ref="F96">_xlfn.IFS(E96="Calving season", $I$80, E96="Season after calving", $I$81, E96="", "")</f>
        <v/>
      </c>
      <c r="G96" s="52">
        <v>0</v>
      </c>
      <c r="H96" s="52">
        <v>0</v>
      </c>
      <c r="I96" s="52">
        <v>0</v>
      </c>
      <c r="J96" s="52" cm="1">
        <f t="array" ref="J96">IFERROR(MMS_PastureBeef_Soil_N2ODirect_Equations.VEERG_4_2_1_3__5_MilkProductionForCalvingSeason(E$87,$F96), 0)</f>
        <v>0</v>
      </c>
      <c r="K96" s="52" cm="1">
        <f t="array" ref="K96">IFERROR(MMS_PastureBeef_Soil_N2ODirect_Equations.VEERG_4_2_1_3__5_MilkProductionForCalvingSeason(F$87,$F96), 0)</f>
        <v>0</v>
      </c>
      <c r="L96" s="52" cm="1">
        <f t="array" ref="L96">IFERROR(MMS_PastureBeef_Soil_N2ODirect_Equations.VEERG_4_2_1_3__5_MilkProductionForCalvingSeason(G$87,$F96), 0)</f>
        <v>0</v>
      </c>
      <c r="M96" s="52">
        <v>0</v>
      </c>
      <c r="N96" s="52">
        <v>0</v>
      </c>
      <c r="O96" s="52">
        <v>0</v>
      </c>
      <c r="P96" s="52">
        <v>0</v>
      </c>
      <c r="Q96" s="2" t="str">
        <f t="shared" ref="Q96:Q98" si="4">$E$76</f>
        <v>kg/head/day</v>
      </c>
    </row>
    <row r="97" spans="3:34" ht="20.100000000000001" customHeight="1" x14ac:dyDescent="0.25">
      <c r="D97" s="52" t="str">
        <f>'4.2.1.1-2 Methane'!D32</f>
        <v>Autumn</v>
      </c>
      <c r="E97" s="52" t="str" cm="1">
        <f t="array" ref="E97">_xlfn.IFS(D87=D97, "Calving season", D87=D96, "Season after calving", D87=D98, "", D87=D95, "")</f>
        <v/>
      </c>
      <c r="F97" s="52" t="str" cm="1">
        <f t="array" ref="F97">_xlfn.IFS(E97="Calving season", $I$80, E97="Season after calving", $I$81, E97="", "")</f>
        <v/>
      </c>
      <c r="G97" s="52">
        <v>0</v>
      </c>
      <c r="H97" s="52">
        <v>0</v>
      </c>
      <c r="I97" s="52">
        <v>0</v>
      </c>
      <c r="J97" s="52" cm="1">
        <f t="array" ref="J97">IFERROR(MMS_PastureBeef_Soil_N2ODirect_Equations.VEERG_4_2_1_3__5_MilkProductionForCalvingSeason(E$87,$F97), 0)</f>
        <v>0</v>
      </c>
      <c r="K97" s="52" cm="1">
        <f t="array" ref="K97">IFERROR(MMS_PastureBeef_Soil_N2ODirect_Equations.VEERG_4_2_1_3__5_MilkProductionForCalvingSeason(F$87,$F97), 0)</f>
        <v>0</v>
      </c>
      <c r="L97" s="52" cm="1">
        <f t="array" ref="L97">IFERROR(MMS_PastureBeef_Soil_N2ODirect_Equations.VEERG_4_2_1_3__5_MilkProductionForCalvingSeason(G$87,$F97), 0)</f>
        <v>0</v>
      </c>
      <c r="M97" s="52">
        <v>0</v>
      </c>
      <c r="N97" s="52">
        <v>0</v>
      </c>
      <c r="O97" s="52">
        <v>0</v>
      </c>
      <c r="P97" s="52">
        <v>0</v>
      </c>
      <c r="Q97" s="2" t="str">
        <f t="shared" si="4"/>
        <v>kg/head/day</v>
      </c>
      <c r="U97" s="99" t="s">
        <v>298</v>
      </c>
    </row>
    <row r="98" spans="3:34" ht="20.100000000000001" customHeight="1" x14ac:dyDescent="0.25">
      <c r="D98" s="52" t="str">
        <f>'4.2.1.1-2 Methane'!D33</f>
        <v>Winter</v>
      </c>
      <c r="E98" s="52" t="str" cm="1">
        <f t="array" ref="E98">_xlfn.IFS(D87=D98, "Calving season", D87=D97, "Season after calving", D87=D95, "", D87=D96, "")</f>
        <v>Calving season</v>
      </c>
      <c r="F98" s="52" cm="1">
        <f t="array" ref="F98">_xlfn.IFS(E98="Calving season", $I$80, E98="Season after calving", $I$81, E98="", "")</f>
        <v>6</v>
      </c>
      <c r="G98" s="52">
        <v>0</v>
      </c>
      <c r="H98" s="52">
        <v>0</v>
      </c>
      <c r="I98" s="52">
        <v>0</v>
      </c>
      <c r="J98" s="52" cm="1">
        <f t="array" ref="J98">IFERROR(MMS_PastureBeef_Soil_N2ODirect_Equations.VEERG_4_2_1_3__5_MilkProductionForCalvingSeason(E$87,$F98), 0)</f>
        <v>5.4</v>
      </c>
      <c r="K98" s="52" cm="1">
        <f t="array" ref="K98">IFERROR(MMS_PastureBeef_Soil_N2ODirect_Equations.VEERG_4_2_1_3__5_MilkProductionForCalvingSeason(F$87,$F98), 0)</f>
        <v>3</v>
      </c>
      <c r="L98" s="52" cm="1">
        <f t="array" ref="L98">IFERROR(MMS_PastureBeef_Soil_N2ODirect_Equations.VEERG_4_2_1_3__5_MilkProductionForCalvingSeason(G$87,$F98), 0)</f>
        <v>3</v>
      </c>
      <c r="M98" s="52">
        <v>0</v>
      </c>
      <c r="N98" s="52">
        <v>0</v>
      </c>
      <c r="O98" s="52">
        <v>0</v>
      </c>
      <c r="P98" s="52">
        <v>0</v>
      </c>
      <c r="Q98" s="2" t="str">
        <f t="shared" si="4"/>
        <v>kg/head/day</v>
      </c>
      <c r="U98" s="98" t="s">
        <v>135</v>
      </c>
    </row>
    <row r="99" spans="3:34" ht="20.100000000000001" customHeight="1" x14ac:dyDescent="0.25">
      <c r="U99" s="51" t="s">
        <v>132</v>
      </c>
      <c r="V99" s="51" t="s">
        <v>247</v>
      </c>
      <c r="W99" s="51" t="s">
        <v>350</v>
      </c>
      <c r="X99" s="51" t="s">
        <v>131</v>
      </c>
      <c r="Y99" s="51" t="s">
        <v>130</v>
      </c>
      <c r="Z99" s="51" t="s">
        <v>165</v>
      </c>
      <c r="AA99" s="51" t="s">
        <v>166</v>
      </c>
      <c r="AB99" s="51" t="s">
        <v>167</v>
      </c>
      <c r="AC99" s="51" t="s">
        <v>168</v>
      </c>
      <c r="AD99" s="51" t="s">
        <v>169</v>
      </c>
      <c r="AE99" s="51" t="s">
        <v>170</v>
      </c>
      <c r="AF99" s="51" t="s">
        <v>171</v>
      </c>
      <c r="AG99" s="51" t="s">
        <v>172</v>
      </c>
    </row>
    <row r="100" spans="3:34" ht="20.100000000000001" customHeight="1" x14ac:dyDescent="0.25">
      <c r="U100" s="52" t="str">
        <f>TEXT('Input - Site'!$E$12,"mmmm")</f>
        <v>January</v>
      </c>
      <c r="V100" s="52" t="str" cm="1">
        <f t="array" ref="V100">IFERROR(_xlfn.IFS(SUMPRODUCT(ISNUMBER(SEARCH(TRIM(_xlfn.TEXTSPLIT($U$92,",")),U100))*1)&gt;0,"Calving season",SUMPRODUCT(ISNUMBER(SEARCH(TRIM(_xlfn.TEXTSPLIT($U$93,",")),U100))*1)&gt;0,"Season after calving"), "")</f>
        <v>Season after calving</v>
      </c>
      <c r="W100" s="52" cm="1">
        <f t="array" ref="W100">_xlfn.IFS(V100="Calving season", $I$80, V100="Season after calving", $I$81, V100="", "")</f>
        <v>4</v>
      </c>
      <c r="X100" s="52">
        <v>0</v>
      </c>
      <c r="Y100" s="52">
        <v>0</v>
      </c>
      <c r="Z100" s="52">
        <v>0</v>
      </c>
      <c r="AA100" s="52" cm="1">
        <f t="array" ref="AA100">IFERROR(MMS_PastureBeef_Soil_N2ODirect_Equations.VEERG_4_2_1_3__5_MilkProductionForCalvingSeason(V$92, $W100), 0)</f>
        <v>3</v>
      </c>
      <c r="AB100" s="52" cm="1">
        <f t="array" ref="AB100">IFERROR(MMS_PastureBeef_Soil_N2ODirect_Equations.VEERG_4_2_1_3__5_MilkProductionForCalvingSeason(W$92, $W100), 0)</f>
        <v>3</v>
      </c>
      <c r="AC100" s="52" cm="1">
        <f t="array" ref="AC100">IFERROR(MMS_PastureBeef_Soil_N2ODirect_Equations.VEERG_4_2_1_3__5_MilkProductionForCalvingSeason(X$92, $W100), 0)</f>
        <v>3</v>
      </c>
      <c r="AD100" s="52">
        <v>0</v>
      </c>
      <c r="AE100" s="52">
        <v>0</v>
      </c>
      <c r="AF100" s="52">
        <v>0</v>
      </c>
      <c r="AG100" s="52">
        <v>0</v>
      </c>
      <c r="AH100" s="2" t="str">
        <f t="shared" ref="AH100:AH111" si="5">$E$76</f>
        <v>kg/head/day</v>
      </c>
    </row>
    <row r="101" spans="3:34" ht="20.100000000000001" customHeight="1" x14ac:dyDescent="0.25">
      <c r="C101" s="45"/>
      <c r="D101" s="45"/>
      <c r="E101" s="45"/>
      <c r="F101" s="45"/>
      <c r="G101" s="45"/>
      <c r="H101" s="45"/>
      <c r="I101" s="45"/>
      <c r="J101" s="45"/>
      <c r="K101" s="45"/>
      <c r="L101" s="45"/>
      <c r="M101" s="45"/>
      <c r="N101" s="45"/>
      <c r="O101" s="45"/>
      <c r="P101" s="45"/>
      <c r="Q101" s="45"/>
      <c r="R101" s="45"/>
      <c r="U101" s="52" t="str">
        <f>TEXT(EDATE('Input - Site'!$E$12,1), "mmmm")</f>
        <v>February</v>
      </c>
      <c r="V101" s="52" t="str" cm="1">
        <f t="array" ref="V101">IFERROR(_xlfn.IFS(SUMPRODUCT(ISNUMBER(SEARCH(TRIM(_xlfn.TEXTSPLIT($U$92,",")),U101))*1)&gt;0,"Calving season",SUMPRODUCT(ISNUMBER(SEARCH(TRIM(_xlfn.TEXTSPLIT($U$93,",")),U101))*1)&gt;0,"Season after calving"), "")</f>
        <v/>
      </c>
      <c r="W101" s="52" t="str" cm="1">
        <f t="array" ref="W101">_xlfn.IFS(V101="Calving season", $I$80, V101="Season after calving", $I$81, V101="", "")</f>
        <v/>
      </c>
      <c r="X101" s="52">
        <v>0</v>
      </c>
      <c r="Y101" s="52">
        <v>0</v>
      </c>
      <c r="Z101" s="52">
        <v>0</v>
      </c>
      <c r="AA101" s="52" cm="1">
        <f t="array" ref="AA101">IFERROR(MMS_PastureBeef_Soil_N2ODirect_Equations.VEERG_4_2_1_3__5_MilkProductionForCalvingSeason(V$92, $W101), 0)</f>
        <v>0</v>
      </c>
      <c r="AB101" s="52" cm="1">
        <f t="array" ref="AB101">IFERROR(MMS_PastureBeef_Soil_N2ODirect_Equations.VEERG_4_2_1_3__5_MilkProductionForCalvingSeason(W$92, $W101), 0)</f>
        <v>0</v>
      </c>
      <c r="AC101" s="52" cm="1">
        <f t="array" ref="AC101">IFERROR(MMS_PastureBeef_Soil_N2ODirect_Equations.VEERG_4_2_1_3__5_MilkProductionForCalvingSeason(X$92, $W101), 0)</f>
        <v>0</v>
      </c>
      <c r="AD101" s="52">
        <v>0</v>
      </c>
      <c r="AE101" s="52">
        <v>0</v>
      </c>
      <c r="AF101" s="52">
        <v>0</v>
      </c>
      <c r="AG101" s="52">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2" t="str">
        <f>TEXT(EDATE('Input - Site'!$E$12,2), "mmmm")</f>
        <v>March</v>
      </c>
      <c r="V102" s="52" t="str" cm="1">
        <f t="array" ref="V102">IFERROR(_xlfn.IFS(SUMPRODUCT(ISNUMBER(SEARCH(TRIM(_xlfn.TEXTSPLIT($U$92,",")),U102))*1)&gt;0,"Calving season",SUMPRODUCT(ISNUMBER(SEARCH(TRIM(_xlfn.TEXTSPLIT($U$93,",")),U102))*1)&gt;0,"Season after calving"), "")</f>
        <v/>
      </c>
      <c r="W102" s="52" t="str" cm="1">
        <f t="array" ref="W102">_xlfn.IFS(V102="Calving season", $I$80, V102="Season after calving", $I$81, V102="", "")</f>
        <v/>
      </c>
      <c r="X102" s="52">
        <v>0</v>
      </c>
      <c r="Y102" s="52">
        <v>0</v>
      </c>
      <c r="Z102" s="52">
        <v>0</v>
      </c>
      <c r="AA102" s="52" cm="1">
        <f t="array" ref="AA102">IFERROR(MMS_PastureBeef_Soil_N2ODirect_Equations.VEERG_4_2_1_3__5_MilkProductionForCalvingSeason(V$92, $W102), 0)</f>
        <v>0</v>
      </c>
      <c r="AB102" s="52" cm="1">
        <f t="array" ref="AB102">IFERROR(MMS_PastureBeef_Soil_N2ODirect_Equations.VEERG_4_2_1_3__5_MilkProductionForCalvingSeason(W$92, $W102), 0)</f>
        <v>0</v>
      </c>
      <c r="AC102" s="52" cm="1">
        <f t="array" ref="AC102">IFERROR(MMS_PastureBeef_Soil_N2ODirect_Equations.VEERG_4_2_1_3__5_MilkProductionForCalvingSeason(X$92, $W102), 0)</f>
        <v>0</v>
      </c>
      <c r="AD102" s="52">
        <v>0</v>
      </c>
      <c r="AE102" s="52">
        <v>0</v>
      </c>
      <c r="AF102" s="52">
        <v>0</v>
      </c>
      <c r="AG102" s="52">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2" t="str">
        <f>TEXT(EDATE('Input - Site'!$E$12,3), "mmmm")</f>
        <v>April</v>
      </c>
      <c r="V103" s="52" t="str" cm="1">
        <f t="array" ref="V103">IFERROR(_xlfn.IFS(SUMPRODUCT(ISNUMBER(SEARCH(TRIM(_xlfn.TEXTSPLIT($U$92,",")),U103))*1)&gt;0,"Calving season",SUMPRODUCT(ISNUMBER(SEARCH(TRIM(_xlfn.TEXTSPLIT($U$93,",")),U103))*1)&gt;0,"Season after calving"), "")</f>
        <v/>
      </c>
      <c r="W103" s="52" t="str" cm="1">
        <f t="array" ref="W103">_xlfn.IFS(V103="Calving season", $I$80, V103="Season after calving", $I$81, V103="", "")</f>
        <v/>
      </c>
      <c r="X103" s="52">
        <v>0</v>
      </c>
      <c r="Y103" s="52">
        <v>0</v>
      </c>
      <c r="Z103" s="52">
        <v>0</v>
      </c>
      <c r="AA103" s="52" cm="1">
        <f t="array" ref="AA103">IFERROR(MMS_PastureBeef_Soil_N2ODirect_Equations.VEERG_4_2_1_3__5_MilkProductionForCalvingSeason(V$92, $W103), 0)</f>
        <v>0</v>
      </c>
      <c r="AB103" s="52" cm="1">
        <f t="array" ref="AB103">IFERROR(MMS_PastureBeef_Soil_N2ODirect_Equations.VEERG_4_2_1_3__5_MilkProductionForCalvingSeason(W$92, $W103), 0)</f>
        <v>0</v>
      </c>
      <c r="AC103" s="52" cm="1">
        <f t="array" ref="AC103">IFERROR(MMS_PastureBeef_Soil_N2ODirect_Equations.VEERG_4_2_1_3__5_MilkProductionForCalvingSeason(X$92, $W103), 0)</f>
        <v>0</v>
      </c>
      <c r="AD103" s="52">
        <v>0</v>
      </c>
      <c r="AE103" s="52">
        <v>0</v>
      </c>
      <c r="AF103" s="52">
        <v>0</v>
      </c>
      <c r="AG103" s="52">
        <v>0</v>
      </c>
      <c r="AH103" s="2" t="str">
        <f t="shared" si="5"/>
        <v>kg/head/day</v>
      </c>
    </row>
    <row r="104" spans="3:34" ht="20.100000000000001" customHeight="1" x14ac:dyDescent="0.25">
      <c r="D104" s="13" t="s">
        <v>27</v>
      </c>
      <c r="E104" s="13" t="str" cm="1">
        <f t="array" aca="1" ref="E104" ca="1">Common_InputFunctions.Utility_DisplayFunctionName(E127)</f>
        <v>=MMS_PastureBeef_Soil_N2ODirect_Equations.VEERG_4_2_1_3__4_NitrogenRetainedByBody</v>
      </c>
      <c r="U104" s="52" t="str">
        <f>TEXT(EDATE('Input - Site'!$E$12,4), "mmmm")</f>
        <v>May</v>
      </c>
      <c r="V104" s="52" t="str" cm="1">
        <f t="array" ref="V104">IFERROR(_xlfn.IFS(SUMPRODUCT(ISNUMBER(SEARCH(TRIM(_xlfn.TEXTSPLIT($U$92,",")),U104))*1)&gt;0,"Calving season",SUMPRODUCT(ISNUMBER(SEARCH(TRIM(_xlfn.TEXTSPLIT($U$93,",")),U104))*1)&gt;0,"Season after calving"), "")</f>
        <v/>
      </c>
      <c r="W104" s="52" t="str" cm="1">
        <f t="array" ref="W104">_xlfn.IFS(V104="Calving season", $I$80, V104="Season after calving", $I$81, V104="", "")</f>
        <v/>
      </c>
      <c r="X104" s="52">
        <v>0</v>
      </c>
      <c r="Y104" s="52">
        <v>0</v>
      </c>
      <c r="Z104" s="52">
        <v>0</v>
      </c>
      <c r="AA104" s="52" cm="1">
        <f t="array" ref="AA104">IFERROR(MMS_PastureBeef_Soil_N2ODirect_Equations.VEERG_4_2_1_3__5_MilkProductionForCalvingSeason(V$92, $W104), 0)</f>
        <v>0</v>
      </c>
      <c r="AB104" s="52" cm="1">
        <f t="array" ref="AB104">IFERROR(MMS_PastureBeef_Soil_N2ODirect_Equations.VEERG_4_2_1_3__5_MilkProductionForCalvingSeason(W$92, $W104), 0)</f>
        <v>0</v>
      </c>
      <c r="AC104" s="52" cm="1">
        <f t="array" ref="AC104">IFERROR(MMS_PastureBeef_Soil_N2ODirect_Equations.VEERG_4_2_1_3__5_MilkProductionForCalvingSeason(X$92, $W104), 0)</f>
        <v>0</v>
      </c>
      <c r="AD104" s="52">
        <v>0</v>
      </c>
      <c r="AE104" s="52">
        <v>0</v>
      </c>
      <c r="AF104" s="52">
        <v>0</v>
      </c>
      <c r="AG104" s="52">
        <v>0</v>
      </c>
      <c r="AH104" s="2" t="str">
        <f t="shared" si="5"/>
        <v>kg/head/day</v>
      </c>
    </row>
    <row r="105" spans="3:34" ht="20.100000000000001" customHeight="1" x14ac:dyDescent="0.25">
      <c r="U105" s="52" t="str">
        <f>TEXT(EDATE('Input - Site'!$E$12,5), "mmmm")</f>
        <v>June</v>
      </c>
      <c r="V105" s="52" t="str" cm="1">
        <f t="array" ref="V105">IFERROR(_xlfn.IFS(SUMPRODUCT(ISNUMBER(SEARCH(TRIM(_xlfn.TEXTSPLIT($U$92,",")),U105))*1)&gt;0,"Calving season",SUMPRODUCT(ISNUMBER(SEARCH(TRIM(_xlfn.TEXTSPLIT($U$93,",")),U105))*1)&gt;0,"Season after calving"), "")</f>
        <v/>
      </c>
      <c r="W105" s="52" t="str" cm="1">
        <f t="array" ref="W105">_xlfn.IFS(V105="Calving season", $I$80, V105="Season after calving", $I$81, V105="", "")</f>
        <v/>
      </c>
      <c r="X105" s="52">
        <v>0</v>
      </c>
      <c r="Y105" s="52">
        <v>0</v>
      </c>
      <c r="Z105" s="52">
        <v>0</v>
      </c>
      <c r="AA105" s="52" cm="1">
        <f t="array" ref="AA105">IFERROR(MMS_PastureBeef_Soil_N2ODirect_Equations.VEERG_4_2_1_3__5_MilkProductionForCalvingSeason(V$92, $W105), 0)</f>
        <v>0</v>
      </c>
      <c r="AB105" s="52" cm="1">
        <f t="array" ref="AB105">IFERROR(MMS_PastureBeef_Soil_N2ODirect_Equations.VEERG_4_2_1_3__5_MilkProductionForCalvingSeason(W$92, $W105), 0)</f>
        <v>0</v>
      </c>
      <c r="AC105" s="52" cm="1">
        <f t="array" ref="AC105">IFERROR(MMS_PastureBeef_Soil_N2ODirect_Equations.VEERG_4_2_1_3__5_MilkProductionForCalvingSeason(X$92, $W105), 0)</f>
        <v>0</v>
      </c>
      <c r="AD105" s="52">
        <v>0</v>
      </c>
      <c r="AE105" s="52">
        <v>0</v>
      </c>
      <c r="AF105" s="52">
        <v>0</v>
      </c>
      <c r="AG105" s="52">
        <v>0</v>
      </c>
      <c r="AH105" s="2" t="str">
        <f t="shared" si="5"/>
        <v>kg/head/day</v>
      </c>
    </row>
    <row r="106" spans="3:34" ht="20.100000000000001" customHeight="1" x14ac:dyDescent="0.25">
      <c r="U106" s="52" t="str">
        <f>TEXT(EDATE('Input - Site'!$E$12,6), "mmmm")</f>
        <v>July</v>
      </c>
      <c r="V106" s="52" t="str" cm="1">
        <f t="array" ref="V106">IFERROR(_xlfn.IFS(SUMPRODUCT(ISNUMBER(SEARCH(TRIM(_xlfn.TEXTSPLIT($U$92,",")),U106))*1)&gt;0,"Calving season",SUMPRODUCT(ISNUMBER(SEARCH(TRIM(_xlfn.TEXTSPLIT($U$93,",")),U106))*1)&gt;0,"Season after calving"), "")</f>
        <v/>
      </c>
      <c r="W106" s="52" t="str" cm="1">
        <f t="array" ref="W106">_xlfn.IFS(V106="Calving season", $I$80, V106="Season after calving", $I$81, V106="", "")</f>
        <v/>
      </c>
      <c r="X106" s="52">
        <v>0</v>
      </c>
      <c r="Y106" s="52">
        <v>0</v>
      </c>
      <c r="Z106" s="52">
        <v>0</v>
      </c>
      <c r="AA106" s="52" cm="1">
        <f t="array" ref="AA106">IFERROR(MMS_PastureBeef_Soil_N2ODirect_Equations.VEERG_4_2_1_3__5_MilkProductionForCalvingSeason(V$92, $W106), 0)</f>
        <v>0</v>
      </c>
      <c r="AB106" s="52" cm="1">
        <f t="array" ref="AB106">IFERROR(MMS_PastureBeef_Soil_N2ODirect_Equations.VEERG_4_2_1_3__5_MilkProductionForCalvingSeason(W$92, $W106), 0)</f>
        <v>0</v>
      </c>
      <c r="AC106" s="52" cm="1">
        <f t="array" ref="AC106">IFERROR(MMS_PastureBeef_Soil_N2ODirect_Equations.VEERG_4_2_1_3__5_MilkProductionForCalvingSeason(X$92, $W106), 0)</f>
        <v>0</v>
      </c>
      <c r="AD106" s="52">
        <v>0</v>
      </c>
      <c r="AE106" s="52">
        <v>0</v>
      </c>
      <c r="AF106" s="52">
        <v>0</v>
      </c>
      <c r="AG106" s="52">
        <v>0</v>
      </c>
      <c r="AH106" s="2" t="str">
        <f t="shared" si="5"/>
        <v>kg/head/day</v>
      </c>
    </row>
    <row r="107" spans="3:34" ht="20.100000000000001" customHeight="1" x14ac:dyDescent="0.25">
      <c r="U107" s="52" t="str">
        <f>TEXT(EDATE('Input - Site'!$E$12,7), "mmmm")</f>
        <v>August</v>
      </c>
      <c r="V107" s="52" t="str" cm="1">
        <f t="array" ref="V107">IFERROR(_xlfn.IFS(SUMPRODUCT(ISNUMBER(SEARCH(TRIM(_xlfn.TEXTSPLIT($U$92,",")),U107))*1)&gt;0,"Calving season",SUMPRODUCT(ISNUMBER(SEARCH(TRIM(_xlfn.TEXTSPLIT($U$93,",")),U107))*1)&gt;0,"Season after calving"), "")</f>
        <v>Calving season</v>
      </c>
      <c r="W107" s="52" cm="1">
        <f t="array" ref="W107">_xlfn.IFS(V107="Calving season", $I$80, V107="Season after calving", $I$81, V107="", "")</f>
        <v>6</v>
      </c>
      <c r="X107" s="52">
        <v>0</v>
      </c>
      <c r="Y107" s="52">
        <v>0</v>
      </c>
      <c r="Z107" s="52">
        <v>0</v>
      </c>
      <c r="AA107" s="52" cm="1">
        <f t="array" ref="AA107">IFERROR(MMS_PastureBeef_Soil_N2ODirect_Equations.VEERG_4_2_1_3__5_MilkProductionForCalvingSeason(V$92, $W107), 0)</f>
        <v>4.5</v>
      </c>
      <c r="AB107" s="52" cm="1">
        <f t="array" ref="AB107">IFERROR(MMS_PastureBeef_Soil_N2ODirect_Equations.VEERG_4_2_1_3__5_MilkProductionForCalvingSeason(W$92, $W107), 0)</f>
        <v>4.5</v>
      </c>
      <c r="AC107" s="52" cm="1">
        <f t="array" ref="AC107">IFERROR(MMS_PastureBeef_Soil_N2ODirect_Equations.VEERG_4_2_1_3__5_MilkProductionForCalvingSeason(X$92, $W107), 0)</f>
        <v>4.5</v>
      </c>
      <c r="AD107" s="52">
        <v>0</v>
      </c>
      <c r="AE107" s="52">
        <v>0</v>
      </c>
      <c r="AF107" s="52">
        <v>0</v>
      </c>
      <c r="AG107" s="52">
        <v>0</v>
      </c>
      <c r="AH107" s="2" t="str">
        <f t="shared" si="5"/>
        <v>kg/head/day</v>
      </c>
    </row>
    <row r="108" spans="3:34" ht="20.100000000000001" customHeight="1" x14ac:dyDescent="0.25">
      <c r="D108" s="53" t="s">
        <v>30</v>
      </c>
      <c r="E108" s="1" t="str" cm="1">
        <f t="array" ref="E108">MMS_PastureBeef_Soil_N2ODirect_Equations.VEERG_4_2_1_3__4_NitrogenRetainedByBody_Variable()</f>
        <v>NR_jkl</v>
      </c>
      <c r="U108" s="52" t="str">
        <f>TEXT(EDATE('Input - Site'!$E$12,8), "mmmm")</f>
        <v>September</v>
      </c>
      <c r="V108" s="52" t="str" cm="1">
        <f t="array" ref="V108">IFERROR(_xlfn.IFS(SUMPRODUCT(ISNUMBER(SEARCH(TRIM(_xlfn.TEXTSPLIT($U$92,",")),U108))*1)&gt;0,"Calving season",SUMPRODUCT(ISNUMBER(SEARCH(TRIM(_xlfn.TEXTSPLIT($U$93,",")),U108))*1)&gt;0,"Season after calving"), "")</f>
        <v>Calving season</v>
      </c>
      <c r="W108" s="52" cm="1">
        <f t="array" ref="W108">_xlfn.IFS(V108="Calving season", $I$80, V108="Season after calving", $I$81, V108="", "")</f>
        <v>6</v>
      </c>
      <c r="X108" s="52">
        <v>0</v>
      </c>
      <c r="Y108" s="52">
        <v>0</v>
      </c>
      <c r="Z108" s="52">
        <v>0</v>
      </c>
      <c r="AA108" s="52" cm="1">
        <f t="array" ref="AA108">IFERROR(MMS_PastureBeef_Soil_N2ODirect_Equations.VEERG_4_2_1_3__5_MilkProductionForCalvingSeason(V$92, $W108), 0)</f>
        <v>4.5</v>
      </c>
      <c r="AB108" s="52" cm="1">
        <f t="array" ref="AB108">IFERROR(MMS_PastureBeef_Soil_N2ODirect_Equations.VEERG_4_2_1_3__5_MilkProductionForCalvingSeason(W$92, $W108), 0)</f>
        <v>4.5</v>
      </c>
      <c r="AC108" s="52" cm="1">
        <f t="array" ref="AC108">IFERROR(MMS_PastureBeef_Soil_N2ODirect_Equations.VEERG_4_2_1_3__5_MilkProductionForCalvingSeason(X$92, $W108), 0)</f>
        <v>4.5</v>
      </c>
      <c r="AD108" s="52">
        <v>0</v>
      </c>
      <c r="AE108" s="52">
        <v>0</v>
      </c>
      <c r="AF108" s="52">
        <v>0</v>
      </c>
      <c r="AG108" s="52">
        <v>0</v>
      </c>
      <c r="AH108" s="2" t="str">
        <f t="shared" si="5"/>
        <v>kg/head/day</v>
      </c>
    </row>
    <row r="109" spans="3:34" ht="20.100000000000001" customHeight="1" x14ac:dyDescent="0.25">
      <c r="D109" s="53" t="s">
        <v>20</v>
      </c>
      <c r="E109" s="54" t="str" cm="1">
        <f t="array" ref="E109">MMS_PastureBeef_Soil_N2ODirect_Equations.VEERG_4_2_1_3__4_NitrogenRetainedByBody_Unit()</f>
        <v>kg N/head/day</v>
      </c>
      <c r="U109" s="52" t="str">
        <f>TEXT(EDATE('Input - Site'!$E$12,9), "mmmm")</f>
        <v>October</v>
      </c>
      <c r="V109" s="52" t="str" cm="1">
        <f t="array" ref="V109">IFERROR(_xlfn.IFS(SUMPRODUCT(ISNUMBER(SEARCH(TRIM(_xlfn.TEXTSPLIT($U$92,",")),U109))*1)&gt;0,"Calving season",SUMPRODUCT(ISNUMBER(SEARCH(TRIM(_xlfn.TEXTSPLIT($U$93,",")),U109))*1)&gt;0,"Season after calving"), "")</f>
        <v>Calving season</v>
      </c>
      <c r="W109" s="52" cm="1">
        <f t="array" ref="W109">_xlfn.IFS(V109="Calving season", $I$80, V109="Season after calving", $I$81, V109="", "")</f>
        <v>6</v>
      </c>
      <c r="X109" s="52">
        <v>0</v>
      </c>
      <c r="Y109" s="52">
        <v>0</v>
      </c>
      <c r="Z109" s="52">
        <v>0</v>
      </c>
      <c r="AA109" s="52" cm="1">
        <f t="array" ref="AA109">IFERROR(MMS_PastureBeef_Soil_N2ODirect_Equations.VEERG_4_2_1_3__5_MilkProductionForCalvingSeason(V$92, $W109), 0)</f>
        <v>4.5</v>
      </c>
      <c r="AB109" s="52" cm="1">
        <f t="array" ref="AB109">IFERROR(MMS_PastureBeef_Soil_N2ODirect_Equations.VEERG_4_2_1_3__5_MilkProductionForCalvingSeason(W$92, $W109), 0)</f>
        <v>4.5</v>
      </c>
      <c r="AC109" s="52" cm="1">
        <f t="array" ref="AC109">IFERROR(MMS_PastureBeef_Soil_N2ODirect_Equations.VEERG_4_2_1_3__5_MilkProductionForCalvingSeason(X$92, $W109), 0)</f>
        <v>4.5</v>
      </c>
      <c r="AD109" s="52">
        <v>0</v>
      </c>
      <c r="AE109" s="52">
        <v>0</v>
      </c>
      <c r="AF109" s="52">
        <v>0</v>
      </c>
      <c r="AG109" s="52">
        <v>0</v>
      </c>
      <c r="AH109" s="2" t="str">
        <f t="shared" si="5"/>
        <v>kg/head/day</v>
      </c>
    </row>
    <row r="110" spans="3:34" ht="20.100000000000001" customHeight="1" x14ac:dyDescent="0.25">
      <c r="U110" s="52" t="str">
        <f>TEXT(EDATE('Input - Site'!$E$12,10), "mmmm")</f>
        <v>November</v>
      </c>
      <c r="V110" s="52" t="str" cm="1">
        <f t="array" ref="V110">IFERROR(_xlfn.IFS(SUMPRODUCT(ISNUMBER(SEARCH(TRIM(_xlfn.TEXTSPLIT($U$92,",")),U110))*1)&gt;0,"Calving season",SUMPRODUCT(ISNUMBER(SEARCH(TRIM(_xlfn.TEXTSPLIT($U$93,",")),U110))*1)&gt;0,"Season after calving"), "")</f>
        <v>Season after calving</v>
      </c>
      <c r="W110" s="52" cm="1">
        <f t="array" ref="W110">_xlfn.IFS(V110="Calving season", $I$80, V110="Season after calving", $I$81, V110="", "")</f>
        <v>4</v>
      </c>
      <c r="X110" s="52">
        <v>0</v>
      </c>
      <c r="Y110" s="52">
        <v>0</v>
      </c>
      <c r="Z110" s="52">
        <v>0</v>
      </c>
      <c r="AA110" s="52" cm="1">
        <f t="array" ref="AA110">IFERROR(MMS_PastureBeef_Soil_N2ODirect_Equations.VEERG_4_2_1_3__5_MilkProductionForCalvingSeason(V$92, $W110), 0)</f>
        <v>3</v>
      </c>
      <c r="AB110" s="52" cm="1">
        <f t="array" ref="AB110">IFERROR(MMS_PastureBeef_Soil_N2ODirect_Equations.VEERG_4_2_1_3__5_MilkProductionForCalvingSeason(W$92, $W110), 0)</f>
        <v>3</v>
      </c>
      <c r="AC110" s="52" cm="1">
        <f t="array" ref="AC110">IFERROR(MMS_PastureBeef_Soil_N2ODirect_Equations.VEERG_4_2_1_3__5_MilkProductionForCalvingSeason(X$92, $W110), 0)</f>
        <v>3</v>
      </c>
      <c r="AD110" s="52">
        <v>0</v>
      </c>
      <c r="AE110" s="52">
        <v>0</v>
      </c>
      <c r="AF110" s="52">
        <v>0</v>
      </c>
      <c r="AG110" s="52">
        <v>0</v>
      </c>
      <c r="AH110" s="2" t="str">
        <f t="shared" si="5"/>
        <v>kg/head/day</v>
      </c>
    </row>
    <row r="111" spans="3:34" ht="20.100000000000001" customHeight="1" x14ac:dyDescent="0.25">
      <c r="D111" s="108" t="str" cm="1">
        <f t="array" ref="D111:E114">MMS_PastureBeef_Soil_N2ODirect_Equations.VEERG_4_2_1_3__4_NitrogenRetainedByBody_Arguments()</f>
        <v>MP_jk5</v>
      </c>
      <c r="E111" s="110" t="str">
        <v>milk production (kg/head/day)</v>
      </c>
      <c r="F111" s="109"/>
      <c r="G111" s="108" t="str">
        <f>"See " &amp; D92</f>
        <v>See M1_Table_MP_j_k-4-5</v>
      </c>
      <c r="U111" s="52" t="str">
        <f>TEXT(EDATE('Input - Site'!$E$12,11), "mmmm")</f>
        <v>December</v>
      </c>
      <c r="V111" s="52" t="str" cm="1">
        <f t="array" ref="V111">IFERROR(_xlfn.IFS(SUMPRODUCT(ISNUMBER(SEARCH(TRIM(_xlfn.TEXTSPLIT($U$92,",")),U111))*1)&gt;0,"Calving season",SUMPRODUCT(ISNUMBER(SEARCH(TRIM(_xlfn.TEXTSPLIT($U$93,",")),U111))*1)&gt;0,"Season after calving"), "")</f>
        <v>Season after calving</v>
      </c>
      <c r="W111" s="52" cm="1">
        <f t="array" ref="W111">_xlfn.IFS(V111="Calving season", $I$80, V111="Season after calving", $I$81, V111="", "")</f>
        <v>4</v>
      </c>
      <c r="X111" s="52">
        <v>0</v>
      </c>
      <c r="Y111" s="52">
        <v>0</v>
      </c>
      <c r="Z111" s="52">
        <v>0</v>
      </c>
      <c r="AA111" s="52" cm="1">
        <f t="array" ref="AA111">IFERROR(MMS_PastureBeef_Soil_N2ODirect_Equations.VEERG_4_2_1_3__5_MilkProductionForCalvingSeason(V$92, $W111), 0)</f>
        <v>3</v>
      </c>
      <c r="AB111" s="52" cm="1">
        <f t="array" ref="AB111">IFERROR(MMS_PastureBeef_Soil_N2ODirect_Equations.VEERG_4_2_1_3__5_MilkProductionForCalvingSeason(W$92, $W111), 0)</f>
        <v>3</v>
      </c>
      <c r="AC111" s="52" cm="1">
        <f t="array" ref="AC111">IFERROR(MMS_PastureBeef_Soil_N2ODirect_Equations.VEERG_4_2_1_3__5_MilkProductionForCalvingSeason(X$92, $W111), 0)</f>
        <v>3</v>
      </c>
      <c r="AD111" s="52">
        <v>0</v>
      </c>
      <c r="AE111" s="52">
        <v>0</v>
      </c>
      <c r="AF111" s="52">
        <v>0</v>
      </c>
      <c r="AG111" s="52">
        <v>0</v>
      </c>
      <c r="AH111" s="2" t="str">
        <f t="shared" si="5"/>
        <v>kg/head/day</v>
      </c>
    </row>
    <row r="112" spans="3:34" ht="20.100000000000001" customHeight="1" x14ac:dyDescent="0.25">
      <c r="D112" s="108" t="str">
        <v>L_jkl</v>
      </c>
      <c r="E112" s="110" t="str">
        <v>intake relative to that needed for maintenance</v>
      </c>
      <c r="F112" s="109"/>
      <c r="G112" s="108" t="str">
        <f>"See " &amp; D59</f>
        <v>See M1_Table_L_j_k_l</v>
      </c>
    </row>
    <row r="113" spans="4:35" ht="20.100000000000001" customHeight="1" x14ac:dyDescent="0.25">
      <c r="D113" s="108" t="str">
        <v>Z_jkl</v>
      </c>
      <c r="E113" s="110" t="str">
        <v>relative size</v>
      </c>
      <c r="F113" s="109"/>
      <c r="G113" s="108" t="str">
        <f>"See " &amp; D30</f>
        <v>See M1_Table_Z_j_k_l</v>
      </c>
    </row>
    <row r="114" spans="4:35" ht="20.100000000000001" customHeight="1" x14ac:dyDescent="0.25">
      <c r="D114" s="108" t="str">
        <v>LWG_jkl</v>
      </c>
      <c r="E114" s="110" t="str">
        <v>liveweight gain (kg/head/day)</v>
      </c>
      <c r="F114" s="109"/>
      <c r="G114" s="108" t="str">
        <f>"See " &amp; D116</f>
        <v>See M1_Table_LWG_j_k_l</v>
      </c>
      <c r="T114" s="45"/>
      <c r="U114" s="45"/>
      <c r="V114" s="45"/>
      <c r="W114" s="45"/>
      <c r="X114" s="45"/>
      <c r="Y114" s="45"/>
      <c r="Z114" s="45"/>
      <c r="AA114" s="45"/>
      <c r="AB114" s="45"/>
      <c r="AC114" s="45"/>
      <c r="AD114" s="45"/>
      <c r="AE114" s="45"/>
      <c r="AF114" s="45"/>
      <c r="AG114" s="45"/>
      <c r="AH114" s="45"/>
      <c r="AI114" s="45"/>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9" t="s">
        <v>243</v>
      </c>
    </row>
    <row r="117" spans="4:35" ht="20.100000000000001" customHeight="1" x14ac:dyDescent="0.25">
      <c r="D117" s="98" t="s">
        <v>244</v>
      </c>
      <c r="U117" s="99" t="s">
        <v>257</v>
      </c>
    </row>
    <row r="118" spans="4:35" ht="20.100000000000001" customHeight="1" x14ac:dyDescent="0.25">
      <c r="D118" s="51" t="s">
        <v>184</v>
      </c>
      <c r="E118" s="51" t="s">
        <v>131</v>
      </c>
      <c r="F118" s="51" t="s">
        <v>130</v>
      </c>
      <c r="G118" s="51" t="s">
        <v>165</v>
      </c>
      <c r="H118" s="51" t="s">
        <v>166</v>
      </c>
      <c r="I118" s="51" t="s">
        <v>167</v>
      </c>
      <c r="J118" s="51" t="s">
        <v>168</v>
      </c>
      <c r="K118" s="51" t="s">
        <v>169</v>
      </c>
      <c r="L118" s="51" t="s">
        <v>170</v>
      </c>
      <c r="M118" s="51" t="s">
        <v>171</v>
      </c>
      <c r="N118" s="51" t="s">
        <v>172</v>
      </c>
      <c r="U118" s="98" t="s">
        <v>258</v>
      </c>
    </row>
    <row r="119" spans="4:35" ht="20.100000000000001" customHeight="1" x14ac:dyDescent="0.25">
      <c r="D119" s="52" t="str">
        <f>'Input - Pasture Beef'!D82</f>
        <v>Spring</v>
      </c>
      <c r="E119" s="52">
        <f>'Input - Pasture Beef'!E82</f>
        <v>1.64</v>
      </c>
      <c r="F119" s="52">
        <f>'Input - Pasture Beef'!F82</f>
        <v>1.1000000000000001</v>
      </c>
      <c r="G119" s="52">
        <f>'Input - Pasture Beef'!G82</f>
        <v>1.21</v>
      </c>
      <c r="H119" s="52">
        <f>'Input - Pasture Beef'!H82</f>
        <v>0.99</v>
      </c>
      <c r="I119" s="52">
        <f>'Input - Pasture Beef'!I82</f>
        <v>0.66</v>
      </c>
      <c r="J119" s="52">
        <f>'Input - Pasture Beef'!J82</f>
        <v>0.66</v>
      </c>
      <c r="K119" s="52">
        <f>'Input - Pasture Beef'!K82</f>
        <v>1.42</v>
      </c>
      <c r="L119" s="52">
        <f>'Input - Pasture Beef'!L82</f>
        <v>1.1000000000000001</v>
      </c>
      <c r="M119" s="52">
        <f>'Input - Pasture Beef'!M82</f>
        <v>1.1000000000000001</v>
      </c>
      <c r="N119" s="52">
        <f>'Input - Pasture Beef'!N82</f>
        <v>1.1000000000000001</v>
      </c>
      <c r="O119" s="2" t="s">
        <v>133</v>
      </c>
      <c r="U119" s="51" t="s">
        <v>132</v>
      </c>
      <c r="V119" s="51" t="s">
        <v>131</v>
      </c>
      <c r="W119" s="51" t="s">
        <v>130</v>
      </c>
      <c r="X119" s="51" t="s">
        <v>165</v>
      </c>
      <c r="Y119" s="51" t="s">
        <v>166</v>
      </c>
      <c r="Z119" s="51" t="s">
        <v>167</v>
      </c>
      <c r="AA119" s="51" t="s">
        <v>168</v>
      </c>
      <c r="AB119" s="51" t="s">
        <v>169</v>
      </c>
      <c r="AC119" s="51" t="s">
        <v>170</v>
      </c>
      <c r="AD119" s="51" t="s">
        <v>171</v>
      </c>
      <c r="AE119" s="51" t="s">
        <v>172</v>
      </c>
    </row>
    <row r="120" spans="4:35" ht="20.100000000000001" customHeight="1" x14ac:dyDescent="0.25">
      <c r="D120" s="52" t="str">
        <f>'Input - Pasture Beef'!D83</f>
        <v>Summer</v>
      </c>
      <c r="E120" s="52">
        <f>'Input - Pasture Beef'!E83</f>
        <v>0.44</v>
      </c>
      <c r="F120" s="52">
        <f>'Input - Pasture Beef'!F83</f>
        <v>-0.22</v>
      </c>
      <c r="G120" s="52">
        <f>'Input - Pasture Beef'!G83</f>
        <v>0.44</v>
      </c>
      <c r="H120" s="52">
        <f>'Input - Pasture Beef'!H83</f>
        <v>0.33</v>
      </c>
      <c r="I120" s="52">
        <f>'Input - Pasture Beef'!I83</f>
        <v>-0.22</v>
      </c>
      <c r="J120" s="52">
        <f>'Input - Pasture Beef'!J83</f>
        <v>-0.22</v>
      </c>
      <c r="K120" s="52">
        <f>'Input - Pasture Beef'!K83</f>
        <v>0.44</v>
      </c>
      <c r="L120" s="52">
        <f>'Input - Pasture Beef'!L83</f>
        <v>-0.11</v>
      </c>
      <c r="M120" s="52">
        <f>'Input - Pasture Beef'!M83</f>
        <v>-0.11</v>
      </c>
      <c r="N120" s="52">
        <f>'Input - Pasture Beef'!N83</f>
        <v>-0.11</v>
      </c>
      <c r="O120" s="2" t="s">
        <v>133</v>
      </c>
      <c r="U120" s="52" t="str">
        <f>TEXT('Input - Site'!$E$12, "mmmm yyyy")</f>
        <v>January 2024</v>
      </c>
      <c r="V120" s="52">
        <f>'Input - Pasture Beef'!E88</f>
        <v>0.44</v>
      </c>
      <c r="W120" s="52">
        <f>'Input - Pasture Beef'!F88</f>
        <v>-0.22</v>
      </c>
      <c r="X120" s="52">
        <f>'Input - Pasture Beef'!G88</f>
        <v>0.44</v>
      </c>
      <c r="Y120" s="52">
        <f>'Input - Pasture Beef'!H88</f>
        <v>0.33</v>
      </c>
      <c r="Z120" s="52">
        <f>'Input - Pasture Beef'!I88</f>
        <v>-0.22</v>
      </c>
      <c r="AA120" s="52">
        <f>'Input - Pasture Beef'!J88</f>
        <v>-0.22</v>
      </c>
      <c r="AB120" s="52">
        <f>'Input - Pasture Beef'!K88</f>
        <v>0.44</v>
      </c>
      <c r="AC120" s="52">
        <f>'Input - Pasture Beef'!L88</f>
        <v>-0.11</v>
      </c>
      <c r="AD120" s="52">
        <f>'Input - Pasture Beef'!M88</f>
        <v>-0.11</v>
      </c>
      <c r="AE120" s="52">
        <f>'Input - Pasture Beef'!N88</f>
        <v>-0.11</v>
      </c>
      <c r="AF120" s="2" t="s">
        <v>134</v>
      </c>
      <c r="AG120" s="2"/>
      <c r="AH120" s="2"/>
    </row>
    <row r="121" spans="4:35" ht="20.100000000000001" customHeight="1" x14ac:dyDescent="0.25">
      <c r="D121" s="52" t="str">
        <f>'Input - Pasture Beef'!D84</f>
        <v>Autumn</v>
      </c>
      <c r="E121" s="52">
        <f>'Input - Pasture Beef'!E84</f>
        <v>0.6</v>
      </c>
      <c r="F121" s="52">
        <f>'Input - Pasture Beef'!F84</f>
        <v>0</v>
      </c>
      <c r="G121" s="52">
        <f>'Input - Pasture Beef'!G84</f>
        <v>0.6</v>
      </c>
      <c r="H121" s="52">
        <f>'Input - Pasture Beef'!H84</f>
        <v>0.22</v>
      </c>
      <c r="I121" s="52">
        <f>'Input - Pasture Beef'!I84</f>
        <v>-0.55000000000000004</v>
      </c>
      <c r="J121" s="52">
        <f>'Input - Pasture Beef'!J84</f>
        <v>-0.55000000000000004</v>
      </c>
      <c r="K121" s="52">
        <f>'Input - Pasture Beef'!K84</f>
        <v>0.6</v>
      </c>
      <c r="L121" s="52">
        <f>'Input - Pasture Beef'!L84</f>
        <v>0</v>
      </c>
      <c r="M121" s="52">
        <f>'Input - Pasture Beef'!M84</f>
        <v>0</v>
      </c>
      <c r="N121" s="52">
        <f>'Input - Pasture Beef'!N84</f>
        <v>0</v>
      </c>
      <c r="O121" s="2" t="s">
        <v>133</v>
      </c>
      <c r="U121" s="52" t="str">
        <f>TEXT(EDATE('Input - Site'!$E$12,1), "mmmm yyyy")</f>
        <v>February 2024</v>
      </c>
      <c r="V121" s="52">
        <f>'Input - Pasture Beef'!E89</f>
        <v>0.44</v>
      </c>
      <c r="W121" s="52">
        <f>'Input - Pasture Beef'!F89</f>
        <v>-0.22</v>
      </c>
      <c r="X121" s="52">
        <f>'Input - Pasture Beef'!G89</f>
        <v>0.44</v>
      </c>
      <c r="Y121" s="52">
        <f>'Input - Pasture Beef'!H89</f>
        <v>0.33</v>
      </c>
      <c r="Z121" s="52">
        <f>'Input - Pasture Beef'!I89</f>
        <v>-0.22</v>
      </c>
      <c r="AA121" s="52">
        <f>'Input - Pasture Beef'!J89</f>
        <v>-0.22</v>
      </c>
      <c r="AB121" s="52">
        <f>'Input - Pasture Beef'!K89</f>
        <v>0.44</v>
      </c>
      <c r="AC121" s="52">
        <f>'Input - Pasture Beef'!L89</f>
        <v>-0.11</v>
      </c>
      <c r="AD121" s="52">
        <f>'Input - Pasture Beef'!M89</f>
        <v>-0.11</v>
      </c>
      <c r="AE121" s="52">
        <f>'Input - Pasture Beef'!N89</f>
        <v>-0.11</v>
      </c>
      <c r="AF121" s="2" t="s">
        <v>134</v>
      </c>
      <c r="AG121" s="2"/>
      <c r="AH121" s="2"/>
    </row>
    <row r="122" spans="4:35" ht="20.100000000000001" customHeight="1" x14ac:dyDescent="0.25">
      <c r="D122" s="52" t="str">
        <f>'Input - Pasture Beef'!D85</f>
        <v>Winter</v>
      </c>
      <c r="E122" s="52">
        <f>'Input - Pasture Beef'!E85</f>
        <v>0.99</v>
      </c>
      <c r="F122" s="52">
        <f>'Input - Pasture Beef'!F85</f>
        <v>0.22</v>
      </c>
      <c r="G122" s="52">
        <f>'Input - Pasture Beef'!G85</f>
        <v>0.77</v>
      </c>
      <c r="H122" s="52">
        <f>'Input - Pasture Beef'!H85</f>
        <v>0.11</v>
      </c>
      <c r="I122" s="52">
        <f>'Input - Pasture Beef'!I85</f>
        <v>0.11</v>
      </c>
      <c r="J122" s="52">
        <f>'Input - Pasture Beef'!J85</f>
        <v>0.11</v>
      </c>
      <c r="K122" s="52">
        <f>'Input - Pasture Beef'!K85</f>
        <v>0.77</v>
      </c>
      <c r="L122" s="52">
        <f>'Input - Pasture Beef'!L85</f>
        <v>0.44</v>
      </c>
      <c r="M122" s="52">
        <f>'Input - Pasture Beef'!M85</f>
        <v>0.44</v>
      </c>
      <c r="N122" s="52">
        <f>'Input - Pasture Beef'!N85</f>
        <v>0.44</v>
      </c>
      <c r="O122" s="2" t="s">
        <v>133</v>
      </c>
      <c r="U122" s="52" t="str">
        <f>TEXT(EDATE('Input - Site'!$E$12,2), "mmmm yyyy")</f>
        <v>March 2024</v>
      </c>
      <c r="V122" s="52">
        <f>'Input - Pasture Beef'!E90</f>
        <v>0.6</v>
      </c>
      <c r="W122" s="52">
        <f>'Input - Pasture Beef'!F90</f>
        <v>0</v>
      </c>
      <c r="X122" s="52">
        <f>'Input - Pasture Beef'!G90</f>
        <v>0.6</v>
      </c>
      <c r="Y122" s="52">
        <f>'Input - Pasture Beef'!H90</f>
        <v>0.22</v>
      </c>
      <c r="Z122" s="52">
        <f>'Input - Pasture Beef'!I90</f>
        <v>-0.55000000000000004</v>
      </c>
      <c r="AA122" s="52">
        <f>'Input - Pasture Beef'!J90</f>
        <v>-0.55000000000000004</v>
      </c>
      <c r="AB122" s="52">
        <f>'Input - Pasture Beef'!K90</f>
        <v>0.6</v>
      </c>
      <c r="AC122" s="52">
        <f>'Input - Pasture Beef'!L90</f>
        <v>0</v>
      </c>
      <c r="AD122" s="52">
        <f>'Input - Pasture Beef'!M90</f>
        <v>0</v>
      </c>
      <c r="AE122" s="52">
        <f>'Input - Pasture Beef'!N90</f>
        <v>0</v>
      </c>
      <c r="AF122" s="2" t="s">
        <v>134</v>
      </c>
      <c r="AG122" s="2"/>
      <c r="AH122" s="2"/>
    </row>
    <row r="123" spans="4:35" ht="20.100000000000001" customHeight="1" x14ac:dyDescent="0.25">
      <c r="U123" s="52" t="str">
        <f>TEXT(EDATE('Input - Site'!$E$12,3), "mmmm yyyy")</f>
        <v>April 2024</v>
      </c>
      <c r="V123" s="52">
        <f>'Input - Pasture Beef'!E91</f>
        <v>0.6</v>
      </c>
      <c r="W123" s="52">
        <f>'Input - Pasture Beef'!F91</f>
        <v>0</v>
      </c>
      <c r="X123" s="52">
        <f>'Input - Pasture Beef'!G91</f>
        <v>0.6</v>
      </c>
      <c r="Y123" s="52">
        <f>'Input - Pasture Beef'!H91</f>
        <v>0.22</v>
      </c>
      <c r="Z123" s="52">
        <f>'Input - Pasture Beef'!I91</f>
        <v>-0.55000000000000004</v>
      </c>
      <c r="AA123" s="52">
        <f>'Input - Pasture Beef'!J91</f>
        <v>-0.55000000000000004</v>
      </c>
      <c r="AB123" s="52">
        <f>'Input - Pasture Beef'!K91</f>
        <v>0.6</v>
      </c>
      <c r="AC123" s="52">
        <f>'Input - Pasture Beef'!L91</f>
        <v>0</v>
      </c>
      <c r="AD123" s="52">
        <f>'Input - Pasture Beef'!M91</f>
        <v>0</v>
      </c>
      <c r="AE123" s="52">
        <f>'Input - Pasture Beef'!N91</f>
        <v>0</v>
      </c>
      <c r="AF123" s="2" t="s">
        <v>134</v>
      </c>
      <c r="AG123" s="2"/>
      <c r="AH123" s="2"/>
    </row>
    <row r="124" spans="4:35" ht="20.100000000000001" customHeight="1" x14ac:dyDescent="0.25">
      <c r="D124" s="99" t="s">
        <v>300</v>
      </c>
      <c r="U124" s="52" t="str">
        <f>TEXT(EDATE('Input - Site'!$E$12,4), "mmmm yyyy")</f>
        <v>May 2024</v>
      </c>
      <c r="V124" s="52">
        <f>'Input - Pasture Beef'!E92</f>
        <v>0.6</v>
      </c>
      <c r="W124" s="52">
        <f>'Input - Pasture Beef'!F92</f>
        <v>0</v>
      </c>
      <c r="X124" s="52">
        <f>'Input - Pasture Beef'!G92</f>
        <v>0.6</v>
      </c>
      <c r="Y124" s="52">
        <f>'Input - Pasture Beef'!H92</f>
        <v>0.22</v>
      </c>
      <c r="Z124" s="52">
        <f>'Input - Pasture Beef'!I92</f>
        <v>-0.55000000000000004</v>
      </c>
      <c r="AA124" s="52">
        <f>'Input - Pasture Beef'!J92</f>
        <v>-0.55000000000000004</v>
      </c>
      <c r="AB124" s="52">
        <f>'Input - Pasture Beef'!K92</f>
        <v>0.6</v>
      </c>
      <c r="AC124" s="52">
        <f>'Input - Pasture Beef'!L92</f>
        <v>0</v>
      </c>
      <c r="AD124" s="52">
        <f>'Input - Pasture Beef'!M92</f>
        <v>0</v>
      </c>
      <c r="AE124" s="52">
        <f>'Input - Pasture Beef'!N92</f>
        <v>0</v>
      </c>
      <c r="AF124" s="2" t="s">
        <v>134</v>
      </c>
      <c r="AG124" s="2"/>
      <c r="AH124" s="2"/>
    </row>
    <row r="125" spans="4:35" ht="20.100000000000001" customHeight="1" x14ac:dyDescent="0.25">
      <c r="D125" s="98" t="s">
        <v>301</v>
      </c>
      <c r="U125" s="52" t="str">
        <f>TEXT(EDATE('Input - Site'!$E$12,5), "mmmm yyyy")</f>
        <v>June 2024</v>
      </c>
      <c r="V125" s="52">
        <f>'Input - Pasture Beef'!E93</f>
        <v>0.99</v>
      </c>
      <c r="W125" s="52">
        <f>'Input - Pasture Beef'!F93</f>
        <v>0.22</v>
      </c>
      <c r="X125" s="52">
        <f>'Input - Pasture Beef'!G93</f>
        <v>0.77</v>
      </c>
      <c r="Y125" s="52">
        <f>'Input - Pasture Beef'!H93</f>
        <v>0.11</v>
      </c>
      <c r="Z125" s="52">
        <f>'Input - Pasture Beef'!I93</f>
        <v>0.11</v>
      </c>
      <c r="AA125" s="52">
        <f>'Input - Pasture Beef'!J93</f>
        <v>0.11</v>
      </c>
      <c r="AB125" s="52">
        <f>'Input - Pasture Beef'!K93</f>
        <v>0.77</v>
      </c>
      <c r="AC125" s="52">
        <f>'Input - Pasture Beef'!L93</f>
        <v>0.44</v>
      </c>
      <c r="AD125" s="52">
        <f>'Input - Pasture Beef'!M93</f>
        <v>0.44</v>
      </c>
      <c r="AE125" s="52">
        <f>'Input - Pasture Beef'!N93</f>
        <v>0.44</v>
      </c>
      <c r="AF125" s="2" t="s">
        <v>134</v>
      </c>
      <c r="AG125" s="2"/>
      <c r="AH125" s="2"/>
    </row>
    <row r="126" spans="4:35" ht="20.100000000000001" customHeight="1" x14ac:dyDescent="0.25">
      <c r="D126" s="51" t="s">
        <v>184</v>
      </c>
      <c r="E126" s="51" t="s">
        <v>131</v>
      </c>
      <c r="F126" s="51" t="s">
        <v>130</v>
      </c>
      <c r="G126" s="51" t="s">
        <v>165</v>
      </c>
      <c r="H126" s="51" t="s">
        <v>166</v>
      </c>
      <c r="I126" s="51" t="s">
        <v>167</v>
      </c>
      <c r="J126" s="51" t="s">
        <v>168</v>
      </c>
      <c r="K126" s="51" t="s">
        <v>169</v>
      </c>
      <c r="L126" s="51" t="s">
        <v>170</v>
      </c>
      <c r="M126" s="51" t="s">
        <v>171</v>
      </c>
      <c r="N126" s="51" t="s">
        <v>172</v>
      </c>
      <c r="U126" s="52" t="str">
        <f>TEXT(EDATE('Input - Site'!$E$12,6), "mmmm yyyy")</f>
        <v>July 2024</v>
      </c>
      <c r="V126" s="52">
        <f>'Input - Pasture Beef'!E94</f>
        <v>0.99</v>
      </c>
      <c r="W126" s="52">
        <f>'Input - Pasture Beef'!F94</f>
        <v>0.22</v>
      </c>
      <c r="X126" s="52">
        <f>'Input - Pasture Beef'!G94</f>
        <v>0.77</v>
      </c>
      <c r="Y126" s="52">
        <f>'Input - Pasture Beef'!H94</f>
        <v>0.11</v>
      </c>
      <c r="Z126" s="52">
        <f>'Input - Pasture Beef'!I94</f>
        <v>0.11</v>
      </c>
      <c r="AA126" s="52">
        <f>'Input - Pasture Beef'!J94</f>
        <v>0.11</v>
      </c>
      <c r="AB126" s="52">
        <f>'Input - Pasture Beef'!K94</f>
        <v>0.77</v>
      </c>
      <c r="AC126" s="52">
        <f>'Input - Pasture Beef'!L94</f>
        <v>0.44</v>
      </c>
      <c r="AD126" s="52">
        <f>'Input - Pasture Beef'!M94</f>
        <v>0.44</v>
      </c>
      <c r="AE126" s="52">
        <f>'Input - Pasture Beef'!N94</f>
        <v>0.44</v>
      </c>
      <c r="AF126" s="2" t="s">
        <v>134</v>
      </c>
      <c r="AG126" s="2"/>
      <c r="AH126" s="2"/>
    </row>
    <row r="127" spans="4:35" ht="20.100000000000001" customHeight="1" x14ac:dyDescent="0.25">
      <c r="D127" s="52" t="s">
        <v>173</v>
      </c>
      <c r="E127" s="52" cm="1">
        <f t="array" ref="E127">MMS_PastureBeef_Soil_N2ODirect_Equations.VEERG_4_2_1_3__4_NitrogenRetainedByBody(G95,E62,E33,E119)</f>
        <v>3.2631583658999173E-2</v>
      </c>
      <c r="F127" s="52" cm="1">
        <f t="array" ref="F127">MMS_PastureBeef_Soil_N2ODirect_Equations.VEERG_4_2_1_3__4_NitrogenRetainedByBody(H95,F62,F33,F119)</f>
        <v>1.2159206080141413E-2</v>
      </c>
      <c r="G127" s="52" cm="1">
        <f t="array" ref="G127">MMS_PastureBeef_Soil_N2ODirect_Equations.VEERG_4_2_1_3__4_NitrogenRetainedByBody(I95,G62,G33,G119)</f>
        <v>2.2961722562736007E-2</v>
      </c>
      <c r="H127" s="52" cm="1">
        <f t="array" ref="H127">MMS_PastureBeef_Soil_N2ODirect_Equations.VEERG_4_2_1_3__4_NitrogenRetainedByBody(J95,H62,H33,H119)</f>
        <v>3.0692741504735631E-2</v>
      </c>
      <c r="I127" s="52" cm="1">
        <f t="array" ref="I127">MMS_PastureBeef_Soil_N2ODirect_Equations.VEERG_4_2_1_3__4_NitrogenRetainedByBody(K95,I62,I33,I119)</f>
        <v>1.7404454337218496E-2</v>
      </c>
      <c r="J127" s="52" cm="1">
        <f t="array" ref="J127">MMS_PastureBeef_Soil_N2ODirect_Equations.VEERG_4_2_1_3__4_NitrogenRetainedByBody(L95,J62,J33,J119)</f>
        <v>1.7404454337218496E-2</v>
      </c>
      <c r="K127" s="52" cm="1">
        <f t="array" ref="K127">MMS_PastureBeef_Soil_N2ODirect_Equations.VEERG_4_2_1_3__4_NitrogenRetainedByBody(M95,K62,K33,K119)</f>
        <v>2.7711640554981157E-2</v>
      </c>
      <c r="L127" s="52" cm="1">
        <f t="array" ref="L127">MMS_PastureBeef_Soil_N2ODirect_Equations.VEERG_4_2_1_3__4_NitrogenRetainedByBody(N95,L62,L33,L119)</f>
        <v>1.4565147934229335E-2</v>
      </c>
      <c r="M127" s="52" cm="1">
        <f t="array" ref="M127">MMS_PastureBeef_Soil_N2ODirect_Equations.VEERG_4_2_1_3__4_NitrogenRetainedByBody(O95,M62,M33,M119)</f>
        <v>1.4565147934229335E-2</v>
      </c>
      <c r="N127" s="52" cm="1">
        <f t="array" ref="N127">MMS_PastureBeef_Soil_N2ODirect_Equations.VEERG_4_2_1_3__4_NitrogenRetainedByBody(P95,N62,N33,N119)</f>
        <v>1.4565147934229335E-2</v>
      </c>
      <c r="O127" s="2" t="str">
        <f>$E$109</f>
        <v>kg N/head/day</v>
      </c>
      <c r="U127" s="52" t="str">
        <f>TEXT(EDATE('Input - Site'!$E$12,7), "mmmm yyyy")</f>
        <v>August 2024</v>
      </c>
      <c r="V127" s="52">
        <f>'Input - Pasture Beef'!E95</f>
        <v>0.99</v>
      </c>
      <c r="W127" s="52">
        <f>'Input - Pasture Beef'!F95</f>
        <v>0.22</v>
      </c>
      <c r="X127" s="52">
        <f>'Input - Pasture Beef'!G95</f>
        <v>0.77</v>
      </c>
      <c r="Y127" s="52">
        <f>'Input - Pasture Beef'!H95</f>
        <v>0.11</v>
      </c>
      <c r="Z127" s="52">
        <f>'Input - Pasture Beef'!I95</f>
        <v>0.11</v>
      </c>
      <c r="AA127" s="52">
        <f>'Input - Pasture Beef'!J95</f>
        <v>0.11</v>
      </c>
      <c r="AB127" s="52">
        <f>'Input - Pasture Beef'!K95</f>
        <v>0.77</v>
      </c>
      <c r="AC127" s="52">
        <f>'Input - Pasture Beef'!L95</f>
        <v>0.44</v>
      </c>
      <c r="AD127" s="52">
        <f>'Input - Pasture Beef'!M95</f>
        <v>0.44</v>
      </c>
      <c r="AE127" s="52">
        <f>'Input - Pasture Beef'!N95</f>
        <v>0.44</v>
      </c>
      <c r="AF127" s="2" t="s">
        <v>134</v>
      </c>
      <c r="AG127" s="2"/>
      <c r="AH127" s="2"/>
    </row>
    <row r="128" spans="4:35" ht="20.100000000000001" customHeight="1" x14ac:dyDescent="0.25">
      <c r="D128" s="52" t="s">
        <v>174</v>
      </c>
      <c r="E128" s="52" cm="1">
        <f t="array" ref="E128">MMS_PastureBeef_Soil_N2ODirect_Equations.VEERG_4_2_1_3__4_NitrogenRetainedByBody(G96,E63,E34,E120)</f>
        <v>8.1246865273940476E-3</v>
      </c>
      <c r="F128" s="52" cm="1">
        <f t="array" ref="F128">MMS_PastureBeef_Soil_N2ODirect_Equations.VEERG_4_2_1_3__4_NitrogenRetainedByBody(H96,F63,F34,F120)</f>
        <v>-2.4500809510830074E-3</v>
      </c>
      <c r="G128" s="52" cm="1">
        <f t="array" ref="G128">MMS_PastureBeef_Soil_N2ODirect_Equations.VEERG_4_2_1_3__4_NitrogenRetainedByBody(I96,G63,G34,G120)</f>
        <v>7.4692204769955996E-3</v>
      </c>
      <c r="H128" s="52" cm="1">
        <f t="array" ref="H128">MMS_PastureBeef_Soil_N2ODirect_Equations.VEERG_4_2_1_3__4_NitrogenRetainedByBody(J96,H63,H34,H120)</f>
        <v>4.0359782188292637E-3</v>
      </c>
      <c r="I128" s="52" cm="1">
        <f t="array" ref="I128">MMS_PastureBeef_Soil_N2ODirect_Equations.VEERG_4_2_1_3__4_NitrogenRetainedByBody(K96,I63,I34,I120)</f>
        <v>-2.4895889780627905E-3</v>
      </c>
      <c r="J128" s="52" cm="1">
        <f t="array" ref="J128">MMS_PastureBeef_Soil_N2ODirect_Equations.VEERG_4_2_1_3__4_NitrogenRetainedByBody(L96,J63,J34,J120)</f>
        <v>-2.4895889780627905E-3</v>
      </c>
      <c r="K128" s="52" cm="1">
        <f t="array" ref="K128">MMS_PastureBeef_Soil_N2ODirect_Equations.VEERG_4_2_1_3__4_NitrogenRetainedByBody(M96,K63,K34,K120)</f>
        <v>7.842975342880058E-3</v>
      </c>
      <c r="L128" s="52" cm="1">
        <f t="array" ref="L128">MMS_PastureBeef_Soil_N2ODirect_Equations.VEERG_4_2_1_3__4_NitrogenRetainedByBody(N96,L63,L34,L120)</f>
        <v>-1.4855230625479237E-3</v>
      </c>
      <c r="M128" s="52" cm="1">
        <f t="array" ref="M128">MMS_PastureBeef_Soil_N2ODirect_Equations.VEERG_4_2_1_3__4_NitrogenRetainedByBody(O96,M63,M34,M120)</f>
        <v>-1.4855230625479237E-3</v>
      </c>
      <c r="N128" s="52" cm="1">
        <f t="array" ref="N128">MMS_PastureBeef_Soil_N2ODirect_Equations.VEERG_4_2_1_3__4_NitrogenRetainedByBody(P96,N63,N34,N120)</f>
        <v>-1.4855230625479237E-3</v>
      </c>
      <c r="O128" s="2" t="str">
        <f t="shared" ref="O128:O130" si="6">$E$109</f>
        <v>kg N/head/day</v>
      </c>
      <c r="U128" s="52" t="str">
        <f>TEXT(EDATE('Input - Site'!$E$12,8), "mmmm yyyy")</f>
        <v>September 2024</v>
      </c>
      <c r="V128" s="52">
        <f>'Input - Pasture Beef'!E96</f>
        <v>1.64</v>
      </c>
      <c r="W128" s="52">
        <f>'Input - Pasture Beef'!F96</f>
        <v>1.1000000000000001</v>
      </c>
      <c r="X128" s="52">
        <f>'Input - Pasture Beef'!G96</f>
        <v>1.21</v>
      </c>
      <c r="Y128" s="52">
        <f>'Input - Pasture Beef'!H96</f>
        <v>0.99</v>
      </c>
      <c r="Z128" s="52">
        <f>'Input - Pasture Beef'!I96</f>
        <v>0.66</v>
      </c>
      <c r="AA128" s="52">
        <f>'Input - Pasture Beef'!J96</f>
        <v>0.66</v>
      </c>
      <c r="AB128" s="52">
        <f>'Input - Pasture Beef'!K96</f>
        <v>1.42</v>
      </c>
      <c r="AC128" s="52">
        <f>'Input - Pasture Beef'!L96</f>
        <v>1.1000000000000001</v>
      </c>
      <c r="AD128" s="52">
        <f>'Input - Pasture Beef'!M96</f>
        <v>1.1000000000000001</v>
      </c>
      <c r="AE128" s="52">
        <f>'Input - Pasture Beef'!N96</f>
        <v>1.1000000000000001</v>
      </c>
      <c r="AF128" s="2" t="s">
        <v>134</v>
      </c>
      <c r="AG128" s="2"/>
      <c r="AH128" s="2"/>
    </row>
    <row r="129" spans="3:34" ht="20.100000000000001" customHeight="1" x14ac:dyDescent="0.25">
      <c r="D129" s="52" t="s">
        <v>175</v>
      </c>
      <c r="E129" s="52" cm="1">
        <f t="array" ref="E129">MMS_PastureBeef_Soil_N2ODirect_Equations.VEERG_4_2_1_3__4_NitrogenRetainedByBody(G97,E64,E35,E121)</f>
        <v>1.7126010126251881E-2</v>
      </c>
      <c r="F129" s="52" cm="1">
        <f t="array" ref="F129">MMS_PastureBeef_Soil_N2ODirect_Equations.VEERG_4_2_1_3__4_NitrogenRetainedByBody(H97,F64,F35,F121)</f>
        <v>0</v>
      </c>
      <c r="G129" s="52" cm="1">
        <f t="array" ref="G129">MMS_PastureBeef_Soil_N2ODirect_Equations.VEERG_4_2_1_3__4_NitrogenRetainedByBody(I97,G64,G35,G121)</f>
        <v>1.6946444473002843E-2</v>
      </c>
      <c r="H129" s="52" cm="1">
        <f t="array" ref="H129">MMS_PastureBeef_Soil_N2ODirect_Equations.VEERG_4_2_1_3__4_NitrogenRetainedByBody(J97,H64,H35,H121)</f>
        <v>3.5329291057988096E-3</v>
      </c>
      <c r="I129" s="52" cm="1">
        <f t="array" ref="I129">MMS_PastureBeef_Soil_N2ODirect_Equations.VEERG_4_2_1_3__4_NitrogenRetainedByBody(K97,I64,I35,I121)</f>
        <v>-6.4971680016475087E-3</v>
      </c>
      <c r="J129" s="52" cm="1">
        <f t="array" ref="J129">MMS_PastureBeef_Soil_N2ODirect_Equations.VEERG_4_2_1_3__4_NitrogenRetainedByBody(L97,J64,J35,J121)</f>
        <v>-6.4971680016475087E-3</v>
      </c>
      <c r="K129" s="52" cm="1">
        <f t="array" ref="K129">MMS_PastureBeef_Soil_N2ODirect_Equations.VEERG_4_2_1_3__4_NitrogenRetainedByBody(M97,K64,K35,K121)</f>
        <v>1.6885009696797144E-2</v>
      </c>
      <c r="L129" s="52" cm="1">
        <f t="array" ref="L129">MMS_PastureBeef_Soil_N2ODirect_Equations.VEERG_4_2_1_3__4_NitrogenRetainedByBody(N97,L64,L35,L121)</f>
        <v>0</v>
      </c>
      <c r="M129" s="52" cm="1">
        <f t="array" ref="M129">MMS_PastureBeef_Soil_N2ODirect_Equations.VEERG_4_2_1_3__4_NitrogenRetainedByBody(O97,M64,M35,M121)</f>
        <v>0</v>
      </c>
      <c r="N129" s="52" cm="1">
        <f t="array" ref="N129">MMS_PastureBeef_Soil_N2ODirect_Equations.VEERG_4_2_1_3__4_NitrogenRetainedByBody(P97,N64,N35,N121)</f>
        <v>0</v>
      </c>
      <c r="O129" s="2" t="str">
        <f t="shared" si="6"/>
        <v>kg N/head/day</v>
      </c>
      <c r="U129" s="52" t="str">
        <f>TEXT(EDATE('Input - Site'!$E$12,9), "mmmm yyyy")</f>
        <v>October 2024</v>
      </c>
      <c r="V129" s="52">
        <f>'Input - Pasture Beef'!E97</f>
        <v>1.64</v>
      </c>
      <c r="W129" s="52">
        <f>'Input - Pasture Beef'!F97</f>
        <v>1.1000000000000001</v>
      </c>
      <c r="X129" s="52">
        <f>'Input - Pasture Beef'!G97</f>
        <v>1.21</v>
      </c>
      <c r="Y129" s="52">
        <f>'Input - Pasture Beef'!H97</f>
        <v>0.99</v>
      </c>
      <c r="Z129" s="52">
        <f>'Input - Pasture Beef'!I97</f>
        <v>0.66</v>
      </c>
      <c r="AA129" s="52">
        <f>'Input - Pasture Beef'!J97</f>
        <v>0.66</v>
      </c>
      <c r="AB129" s="52">
        <f>'Input - Pasture Beef'!K97</f>
        <v>1.42</v>
      </c>
      <c r="AC129" s="52">
        <f>'Input - Pasture Beef'!L97</f>
        <v>1.1000000000000001</v>
      </c>
      <c r="AD129" s="52">
        <f>'Input - Pasture Beef'!M97</f>
        <v>1.1000000000000001</v>
      </c>
      <c r="AE129" s="52">
        <f>'Input - Pasture Beef'!N97</f>
        <v>1.1000000000000001</v>
      </c>
      <c r="AF129" s="2" t="s">
        <v>134</v>
      </c>
      <c r="AG129" s="2"/>
      <c r="AH129" s="2"/>
    </row>
    <row r="130" spans="3:34" ht="20.100000000000001" customHeight="1" x14ac:dyDescent="0.25">
      <c r="D130" s="52" t="s">
        <v>176</v>
      </c>
      <c r="E130" s="52" cm="1">
        <f t="array" ref="E130">MMS_PastureBeef_Soil_N2ODirect_Equations.VEERG_4_2_1_3__4_NitrogenRetainedByBody(G98,E65,E36,E122)</f>
        <v>2.5624664446187655E-2</v>
      </c>
      <c r="F130" s="52" cm="1">
        <f t="array" ref="F130">MMS_PastureBeef_Soil_N2ODirect_Equations.VEERG_4_2_1_3__4_NitrogenRetainedByBody(H98,F65,F36,F122)</f>
        <v>2.5468999349659745E-3</v>
      </c>
      <c r="G130" s="52" cm="1">
        <f t="array" ref="G130">MMS_PastureBeef_Soil_N2ODirect_Equations.VEERG_4_2_1_3__4_NitrogenRetainedByBody(I98,G65,G36,G122)</f>
        <v>1.942651050577586E-2</v>
      </c>
      <c r="H130" s="52" cm="1">
        <f t="array" ref="H130">MMS_PastureBeef_Soil_N2ODirect_Equations.VEERG_4_2_1_3__4_NitrogenRetainedByBody(J98,H65,H36,H122)</f>
        <v>2.8795971155917269E-2</v>
      </c>
      <c r="I130" s="52" cm="1">
        <f t="array" ref="I130">MMS_PastureBeef_Soil_N2ODirect_Equations.VEERG_4_2_1_3__4_NitrogenRetainedByBody(K98,I65,I36,I122)</f>
        <v>1.6331394322564873E-2</v>
      </c>
      <c r="J130" s="52" cm="1">
        <f t="array" ref="J130">MMS_PastureBeef_Soil_N2ODirect_Equations.VEERG_4_2_1_3__4_NitrogenRetainedByBody(L98,J65,J36,J122)</f>
        <v>1.6331394322564873E-2</v>
      </c>
      <c r="K130" s="52" cm="1">
        <f t="array" ref="K130">MMS_PastureBeef_Soil_N2ODirect_Equations.VEERG_4_2_1_3__4_NitrogenRetainedByBody(M98,K65,K36,K122)</f>
        <v>1.9754140848253471E-2</v>
      </c>
      <c r="L130" s="52" cm="1">
        <f t="array" ref="L130">MMS_PastureBeef_Soil_N2ODirect_Equations.VEERG_4_2_1_3__4_NitrogenRetainedByBody(N98,L65,L36,L122)</f>
        <v>7.4705417776927329E-3</v>
      </c>
      <c r="M130" s="52" cm="1">
        <f t="array" ref="M130">MMS_PastureBeef_Soil_N2ODirect_Equations.VEERG_4_2_1_3__4_NitrogenRetainedByBody(O98,M65,M36,M122)</f>
        <v>7.4705417776927329E-3</v>
      </c>
      <c r="N130" s="52" cm="1">
        <f t="array" ref="N130">MMS_PastureBeef_Soil_N2ODirect_Equations.VEERG_4_2_1_3__4_NitrogenRetainedByBody(P98,N65,N36,N122)</f>
        <v>7.4705417776927329E-3</v>
      </c>
      <c r="O130" s="2" t="str">
        <f t="shared" si="6"/>
        <v>kg N/head/day</v>
      </c>
      <c r="U130" s="52" t="str">
        <f>TEXT(EDATE('Input - Site'!$E$12,10), "mmmm yyyy")</f>
        <v>November 2024</v>
      </c>
      <c r="V130" s="52">
        <f>'Input - Pasture Beef'!E98</f>
        <v>1.64</v>
      </c>
      <c r="W130" s="52">
        <f>'Input - Pasture Beef'!F98</f>
        <v>1.1000000000000001</v>
      </c>
      <c r="X130" s="52">
        <f>'Input - Pasture Beef'!G98</f>
        <v>1.21</v>
      </c>
      <c r="Y130" s="52">
        <f>'Input - Pasture Beef'!H98</f>
        <v>0.99</v>
      </c>
      <c r="Z130" s="52">
        <f>'Input - Pasture Beef'!I98</f>
        <v>0.66</v>
      </c>
      <c r="AA130" s="52">
        <f>'Input - Pasture Beef'!J98</f>
        <v>0.66</v>
      </c>
      <c r="AB130" s="52">
        <f>'Input - Pasture Beef'!K98</f>
        <v>1.42</v>
      </c>
      <c r="AC130" s="52">
        <f>'Input - Pasture Beef'!L98</f>
        <v>1.1000000000000001</v>
      </c>
      <c r="AD130" s="52">
        <f>'Input - Pasture Beef'!M98</f>
        <v>1.1000000000000001</v>
      </c>
      <c r="AE130" s="52">
        <f>'Input - Pasture Beef'!N98</f>
        <v>1.1000000000000001</v>
      </c>
      <c r="AF130" s="2" t="s">
        <v>134</v>
      </c>
      <c r="AG130" s="2"/>
      <c r="AH130" s="2"/>
    </row>
    <row r="131" spans="3:34" ht="20.100000000000001" customHeight="1" x14ac:dyDescent="0.25">
      <c r="U131" s="52" t="str">
        <f>TEXT(EDATE('Input - Site'!$E$12,11), "mmmm yyyy")</f>
        <v>December 2024</v>
      </c>
      <c r="V131" s="52">
        <f>'Input - Pasture Beef'!E99</f>
        <v>0.44</v>
      </c>
      <c r="W131" s="52">
        <f>'Input - Pasture Beef'!F99</f>
        <v>-0.22</v>
      </c>
      <c r="X131" s="52">
        <f>'Input - Pasture Beef'!G99</f>
        <v>0.44</v>
      </c>
      <c r="Y131" s="52">
        <f>'Input - Pasture Beef'!H99</f>
        <v>0.33</v>
      </c>
      <c r="Z131" s="52">
        <f>'Input - Pasture Beef'!I99</f>
        <v>-0.22</v>
      </c>
      <c r="AA131" s="52">
        <f>'Input - Pasture Beef'!J99</f>
        <v>-0.22</v>
      </c>
      <c r="AB131" s="52">
        <f>'Input - Pasture Beef'!K99</f>
        <v>0.44</v>
      </c>
      <c r="AC131" s="52">
        <f>'Input - Pasture Beef'!L99</f>
        <v>-0.11</v>
      </c>
      <c r="AD131" s="52">
        <f>'Input - Pasture Beef'!M99</f>
        <v>-0.11</v>
      </c>
      <c r="AE131" s="52">
        <f>'Input - Pasture Beef'!N99</f>
        <v>-0.11</v>
      </c>
      <c r="AF131" s="2" t="s">
        <v>134</v>
      </c>
      <c r="AG131" s="2"/>
      <c r="AH131" s="2"/>
    </row>
    <row r="132" spans="3:34" ht="20.100000000000001" customHeight="1" x14ac:dyDescent="0.25"/>
    <row r="133" spans="3:34" ht="20.100000000000001" customHeight="1" x14ac:dyDescent="0.25">
      <c r="C133" s="45"/>
      <c r="D133" s="45"/>
      <c r="E133" s="45"/>
      <c r="F133" s="45"/>
      <c r="G133" s="45"/>
      <c r="H133" s="45"/>
      <c r="I133" s="45"/>
      <c r="J133" s="45"/>
      <c r="K133" s="45"/>
      <c r="L133" s="45"/>
      <c r="M133" s="45"/>
      <c r="N133" s="45"/>
      <c r="O133" s="45"/>
      <c r="P133" s="45"/>
      <c r="Q133" s="45"/>
      <c r="R133" s="45"/>
      <c r="U133" s="99" t="s">
        <v>314</v>
      </c>
    </row>
    <row r="134" spans="3:34" ht="20.100000000000001" customHeight="1" x14ac:dyDescent="0.25">
      <c r="D134" s="6" t="str" cm="1">
        <f t="array" ref="D134">MMS_PastureBeef_Soil_N2ODirect_Equations.VEERG_4_2_1_3__3_NitrogenExcreted_Title()</f>
        <v>Nitrogen excreted</v>
      </c>
      <c r="U134" s="98" t="s">
        <v>315</v>
      </c>
    </row>
    <row r="135" spans="3:34" ht="20.100000000000001" customHeight="1" x14ac:dyDescent="0.25">
      <c r="D135" s="5" t="str" cm="1">
        <f t="array" ref="D135">MMS_PastureBeef_Soil_N2ODirect_Equations.VEERG_4_2_1_3__3_NitrogenExcreted_Source()</f>
        <v>VEERG 2026: 4.2.1.3, Equation (3)</v>
      </c>
      <c r="U135" s="51" t="s">
        <v>132</v>
      </c>
      <c r="V135" s="51" t="s">
        <v>131</v>
      </c>
      <c r="W135" s="51" t="s">
        <v>130</v>
      </c>
      <c r="X135" s="51" t="s">
        <v>165</v>
      </c>
      <c r="Y135" s="51" t="s">
        <v>166</v>
      </c>
      <c r="Z135" s="51" t="s">
        <v>167</v>
      </c>
      <c r="AA135" s="51" t="s">
        <v>168</v>
      </c>
      <c r="AB135" s="51" t="s">
        <v>169</v>
      </c>
      <c r="AC135" s="51" t="s">
        <v>170</v>
      </c>
      <c r="AD135" s="51" t="s">
        <v>171</v>
      </c>
      <c r="AE135" s="51" t="s">
        <v>172</v>
      </c>
    </row>
    <row r="136" spans="3:34" ht="20.100000000000001" customHeight="1" x14ac:dyDescent="0.25">
      <c r="D136" s="13" t="s">
        <v>27</v>
      </c>
      <c r="E136" s="13" t="str" cm="1">
        <f t="array" aca="1" ref="E136" ca="1">Common_InputFunctions.Utility_DisplayFunctionName($E$169)</f>
        <v>=MMS_PastureBeef_Soil_N2ODirect_Equations.VEERG_4_2_1_3__3_NitrogenExcreted</v>
      </c>
      <c r="U136" s="52" t="str">
        <f>TEXT('Input - Site'!$E$12, "mmmm yyyy")</f>
        <v>January 2024</v>
      </c>
      <c r="V136" s="52" cm="1">
        <f t="array" ref="V136">MMS_PastureBeef_Soil_N2ODirect_Equations.VEERG_4_2_1_3__4_NitrogenRetainedByBody(X100,V72,V36,V120)</f>
        <v>8.1246865273940476E-3</v>
      </c>
      <c r="W136" s="52" cm="1">
        <f t="array" ref="W136">MMS_PastureBeef_Soil_N2ODirect_Equations.VEERG_4_2_1_3__4_NitrogenRetainedByBody(Y100,W72,W36,W120)</f>
        <v>-2.4500809510830074E-3</v>
      </c>
      <c r="X136" s="52" cm="1">
        <f t="array" ref="X136">MMS_PastureBeef_Soil_N2ODirect_Equations.VEERG_4_2_1_3__4_NitrogenRetainedByBody(Z100,X72,X36,X120)</f>
        <v>7.4692204769955996E-3</v>
      </c>
      <c r="Y136" s="52" cm="1">
        <f t="array" ref="Y136">MMS_PastureBeef_Soil_N2ODirect_Equations.VEERG_4_2_1_3__4_NitrogenRetainedByBody(AA100,Y72,Y36,Y120)</f>
        <v>1.9080635764024231E-2</v>
      </c>
      <c r="Z136" s="52" cm="1">
        <f t="array" ref="Z136">MMS_PastureBeef_Soil_N2ODirect_Equations.VEERG_4_2_1_3__4_NitrogenRetainedByBody(AB100,Z72,Z36,Z120)</f>
        <v>1.2558041048697144E-2</v>
      </c>
      <c r="AA136" s="52" cm="1">
        <f t="array" ref="AA136">MMS_PastureBeef_Soil_N2ODirect_Equations.VEERG_4_2_1_3__4_NitrogenRetainedByBody(AC100,AA72,AA36,AA120)</f>
        <v>1.2558041048697144E-2</v>
      </c>
      <c r="AB136" s="52" cm="1">
        <f t="array" ref="AB136">MMS_PastureBeef_Soil_N2ODirect_Equations.VEERG_4_2_1_3__4_NitrogenRetainedByBody(AD100,AB72,AB36,AB120)</f>
        <v>7.842975342880058E-3</v>
      </c>
      <c r="AC136" s="52" cm="1">
        <f t="array" ref="AC136">MMS_PastureBeef_Soil_N2ODirect_Equations.VEERG_4_2_1_3__4_NitrogenRetainedByBody(AE100,AC72,AC36,AC120)</f>
        <v>-1.4855230625479237E-3</v>
      </c>
      <c r="AD136" s="52" cm="1">
        <f t="array" ref="AD136">MMS_PastureBeef_Soil_N2ODirect_Equations.VEERG_4_2_1_3__4_NitrogenRetainedByBody(AF100,AD72,AD36,AD120)</f>
        <v>-1.4855230625479237E-3</v>
      </c>
      <c r="AE136" s="52" cm="1">
        <f t="array" ref="AE136">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2" t="str">
        <f>TEXT(EDATE('Input - Site'!$E$12,1), "mmmm yyyy")</f>
        <v>February 2024</v>
      </c>
      <c r="V137" s="52" cm="1">
        <f t="array" ref="V137">MMS_PastureBeef_Soil_N2ODirect_Equations.VEERG_4_2_1_3__4_NitrogenRetainedByBody(X101,V73,V37,V121)</f>
        <v>8.1246865273940476E-3</v>
      </c>
      <c r="W137" s="52" cm="1">
        <f t="array" ref="W137">MMS_PastureBeef_Soil_N2ODirect_Equations.VEERG_4_2_1_3__4_NitrogenRetainedByBody(Y101,W73,W37,W121)</f>
        <v>-2.4500809510830074E-3</v>
      </c>
      <c r="X137" s="52" cm="1">
        <f t="array" ref="X137">MMS_PastureBeef_Soil_N2ODirect_Equations.VEERG_4_2_1_3__4_NitrogenRetainedByBody(Z101,X73,X37,X121)</f>
        <v>7.4692204769955996E-3</v>
      </c>
      <c r="Y137" s="52" cm="1">
        <f t="array" ref="Y137">MMS_PastureBeef_Soil_N2ODirect_Equations.VEERG_4_2_1_3__4_NitrogenRetainedByBody(AA101,Y73,Y37,Y121)</f>
        <v>4.0359782188292637E-3</v>
      </c>
      <c r="Z137" s="52" cm="1">
        <f t="array" ref="Z137">MMS_PastureBeef_Soil_N2ODirect_Equations.VEERG_4_2_1_3__4_NitrogenRetainedByBody(AB101,Z73,Z37,Z121)</f>
        <v>-2.4895889780627905E-3</v>
      </c>
      <c r="AA137" s="52" cm="1">
        <f t="array" ref="AA137">MMS_PastureBeef_Soil_N2ODirect_Equations.VEERG_4_2_1_3__4_NitrogenRetainedByBody(AC101,AA73,AA37,AA121)</f>
        <v>-2.4895889780627905E-3</v>
      </c>
      <c r="AB137" s="52" cm="1">
        <f t="array" ref="AB137">MMS_PastureBeef_Soil_N2ODirect_Equations.VEERG_4_2_1_3__4_NitrogenRetainedByBody(AD101,AB73,AB37,AB121)</f>
        <v>7.842975342880058E-3</v>
      </c>
      <c r="AC137" s="52" cm="1">
        <f t="array" ref="AC137">MMS_PastureBeef_Soil_N2ODirect_Equations.VEERG_4_2_1_3__4_NitrogenRetainedByBody(AE101,AC73,AC37,AC121)</f>
        <v>-1.4855230625479237E-3</v>
      </c>
      <c r="AD137" s="52" cm="1">
        <f t="array" ref="AD137">MMS_PastureBeef_Soil_N2ODirect_Equations.VEERG_4_2_1_3__4_NitrogenRetainedByBody(AF101,AD73,AD37,AD121)</f>
        <v>-1.4855230625479237E-3</v>
      </c>
      <c r="AE137" s="52" cm="1">
        <f t="array" ref="AE137">MMS_PastureBeef_Soil_N2ODirect_Equations.VEERG_4_2_1_3__4_NitrogenRetainedByBody(AG101,AE73,AE37,AE121)</f>
        <v>-1.4855230625479237E-3</v>
      </c>
      <c r="AF137" s="2" t="str">
        <f t="shared" si="7"/>
        <v>kg N/head/day</v>
      </c>
      <c r="AG137" s="2"/>
      <c r="AH137" s="2"/>
    </row>
    <row r="138" spans="3:34" ht="20.100000000000001" customHeight="1" x14ac:dyDescent="0.25">
      <c r="U138" s="52" t="str">
        <f>TEXT(EDATE('Input - Site'!$E$12,2), "mmmm yyyy")</f>
        <v>March 2024</v>
      </c>
      <c r="V138" s="52" cm="1">
        <f t="array" ref="V138">MMS_PastureBeef_Soil_N2ODirect_Equations.VEERG_4_2_1_3__4_NitrogenRetainedByBody(X102,V74,V38,V122)</f>
        <v>1.7126010126251881E-2</v>
      </c>
      <c r="W138" s="52" cm="1">
        <f t="array" ref="W138">MMS_PastureBeef_Soil_N2ODirect_Equations.VEERG_4_2_1_3__4_NitrogenRetainedByBody(Y102,W74,W38,W122)</f>
        <v>0</v>
      </c>
      <c r="X138" s="52" cm="1">
        <f t="array" ref="X138">MMS_PastureBeef_Soil_N2ODirect_Equations.VEERG_4_2_1_3__4_NitrogenRetainedByBody(Z102,X74,X38,X122)</f>
        <v>1.6946444473002843E-2</v>
      </c>
      <c r="Y138" s="52" cm="1">
        <f t="array" ref="Y138">MMS_PastureBeef_Soil_N2ODirect_Equations.VEERG_4_2_1_3__4_NitrogenRetainedByBody(AA102,Y74,Y38,Y122)</f>
        <v>3.5329291057988096E-3</v>
      </c>
      <c r="Z138" s="52" cm="1">
        <f t="array" ref="Z138">MMS_PastureBeef_Soil_N2ODirect_Equations.VEERG_4_2_1_3__4_NitrogenRetainedByBody(AB102,Z74,Z38,Z122)</f>
        <v>-6.4971680016475087E-3</v>
      </c>
      <c r="AA138" s="52" cm="1">
        <f t="array" ref="AA138">MMS_PastureBeef_Soil_N2ODirect_Equations.VEERG_4_2_1_3__4_NitrogenRetainedByBody(AC102,AA74,AA38,AA122)</f>
        <v>-6.4971680016475087E-3</v>
      </c>
      <c r="AB138" s="52" cm="1">
        <f t="array" ref="AB138">MMS_PastureBeef_Soil_N2ODirect_Equations.VEERG_4_2_1_3__4_NitrogenRetainedByBody(AD102,AB74,AB38,AB122)</f>
        <v>1.6885009696797144E-2</v>
      </c>
      <c r="AC138" s="52" cm="1">
        <f t="array" ref="AC138">MMS_PastureBeef_Soil_N2ODirect_Equations.VEERG_4_2_1_3__4_NitrogenRetainedByBody(AE102,AC74,AC38,AC122)</f>
        <v>0</v>
      </c>
      <c r="AD138" s="52" cm="1">
        <f t="array" ref="AD138">MMS_PastureBeef_Soil_N2ODirect_Equations.VEERG_4_2_1_3__4_NitrogenRetainedByBody(AF102,AD74,AD38,AD122)</f>
        <v>0</v>
      </c>
      <c r="AE138" s="52" cm="1">
        <f t="array" ref="AE138">MMS_PastureBeef_Soil_N2ODirect_Equations.VEERG_4_2_1_3__4_NitrogenRetainedByBody(AG102,AE74,AE38,AE122)</f>
        <v>0</v>
      </c>
      <c r="AF138" s="2" t="str">
        <f t="shared" si="7"/>
        <v>kg N/head/day</v>
      </c>
      <c r="AG138" s="2"/>
      <c r="AH138" s="2"/>
    </row>
    <row r="139" spans="3:34" ht="20.100000000000001" customHeight="1" x14ac:dyDescent="0.25">
      <c r="D139" s="53" t="s">
        <v>30</v>
      </c>
      <c r="E139" s="1" t="str" cm="1">
        <f t="array" ref="E139">MMS_PastureBeef_Soil_N2ODirect_Equations.VEERG_4_2_1_3__3_NitrogenExcreted_Variable()</f>
        <v>NE_jkl</v>
      </c>
      <c r="U139" s="52" t="str">
        <f>TEXT(EDATE('Input - Site'!$E$12,3), "mmmm yyyy")</f>
        <v>April 2024</v>
      </c>
      <c r="V139" s="52" cm="1">
        <f t="array" ref="V139">MMS_PastureBeef_Soil_N2ODirect_Equations.VEERG_4_2_1_3__4_NitrogenRetainedByBody(X103,V75,V39,V123)</f>
        <v>1.7126010126251881E-2</v>
      </c>
      <c r="W139" s="52" cm="1">
        <f t="array" ref="W139">MMS_PastureBeef_Soil_N2ODirect_Equations.VEERG_4_2_1_3__4_NitrogenRetainedByBody(Y103,W75,W39,W123)</f>
        <v>0</v>
      </c>
      <c r="X139" s="52" cm="1">
        <f t="array" ref="X139">MMS_PastureBeef_Soil_N2ODirect_Equations.VEERG_4_2_1_3__4_NitrogenRetainedByBody(Z103,X75,X39,X123)</f>
        <v>1.6946444473002843E-2</v>
      </c>
      <c r="Y139" s="52" cm="1">
        <f t="array" ref="Y139">MMS_PastureBeef_Soil_N2ODirect_Equations.VEERG_4_2_1_3__4_NitrogenRetainedByBody(AA103,Y75,Y39,Y123)</f>
        <v>3.5329291057988096E-3</v>
      </c>
      <c r="Z139" s="52" cm="1">
        <f t="array" ref="Z139">MMS_PastureBeef_Soil_N2ODirect_Equations.VEERG_4_2_1_3__4_NitrogenRetainedByBody(AB103,Z75,Z39,Z123)</f>
        <v>-6.4971680016475087E-3</v>
      </c>
      <c r="AA139" s="52" cm="1">
        <f t="array" ref="AA139">MMS_PastureBeef_Soil_N2ODirect_Equations.VEERG_4_2_1_3__4_NitrogenRetainedByBody(AC103,AA75,AA39,AA123)</f>
        <v>-6.4971680016475087E-3</v>
      </c>
      <c r="AB139" s="52" cm="1">
        <f t="array" ref="AB139">MMS_PastureBeef_Soil_N2ODirect_Equations.VEERG_4_2_1_3__4_NitrogenRetainedByBody(AD103,AB75,AB39,AB123)</f>
        <v>1.6885009696797144E-2</v>
      </c>
      <c r="AC139" s="52" cm="1">
        <f t="array" ref="AC139">MMS_PastureBeef_Soil_N2ODirect_Equations.VEERG_4_2_1_3__4_NitrogenRetainedByBody(AE103,AC75,AC39,AC123)</f>
        <v>0</v>
      </c>
      <c r="AD139" s="52" cm="1">
        <f t="array" ref="AD139">MMS_PastureBeef_Soil_N2ODirect_Equations.VEERG_4_2_1_3__4_NitrogenRetainedByBody(AF103,AD75,AD39,AD123)</f>
        <v>0</v>
      </c>
      <c r="AE139" s="52" cm="1">
        <f t="array" ref="AE139">MMS_PastureBeef_Soil_N2ODirect_Equations.VEERG_4_2_1_3__4_NitrogenRetainedByBody(AG103,AE75,AE39,AE123)</f>
        <v>0</v>
      </c>
      <c r="AF139" s="2" t="str">
        <f t="shared" si="7"/>
        <v>kg N/head/day</v>
      </c>
      <c r="AG139" s="2"/>
      <c r="AH139" s="2"/>
    </row>
    <row r="140" spans="3:34" ht="20.100000000000001" customHeight="1" x14ac:dyDescent="0.25">
      <c r="D140" s="53" t="s">
        <v>20</v>
      </c>
      <c r="E140" s="54" t="str" cm="1">
        <f t="array" ref="E140">MMS_PastureBeef_Soil_N2ODirect_Equations.VEERG_4_2_1_3__3_NitrogenExcreted_Unit()</f>
        <v>kg N/head/day</v>
      </c>
      <c r="U140" s="52" t="str">
        <f>TEXT(EDATE('Input - Site'!$E$12,4), "mmmm yyyy")</f>
        <v>May 2024</v>
      </c>
      <c r="V140" s="52" cm="1">
        <f t="array" ref="V140">MMS_PastureBeef_Soil_N2ODirect_Equations.VEERG_4_2_1_3__4_NitrogenRetainedByBody(X104,V76,V40,V124)</f>
        <v>1.7126010126251881E-2</v>
      </c>
      <c r="W140" s="52" cm="1">
        <f t="array" ref="W140">MMS_PastureBeef_Soil_N2ODirect_Equations.VEERG_4_2_1_3__4_NitrogenRetainedByBody(Y104,W76,W40,W124)</f>
        <v>0</v>
      </c>
      <c r="X140" s="52" cm="1">
        <f t="array" ref="X140">MMS_PastureBeef_Soil_N2ODirect_Equations.VEERG_4_2_1_3__4_NitrogenRetainedByBody(Z104,X76,X40,X124)</f>
        <v>1.6946444473002843E-2</v>
      </c>
      <c r="Y140" s="52" cm="1">
        <f t="array" ref="Y140">MMS_PastureBeef_Soil_N2ODirect_Equations.VEERG_4_2_1_3__4_NitrogenRetainedByBody(AA104,Y76,Y40,Y124)</f>
        <v>3.5329291057988096E-3</v>
      </c>
      <c r="Z140" s="52" cm="1">
        <f t="array" ref="Z140">MMS_PastureBeef_Soil_N2ODirect_Equations.VEERG_4_2_1_3__4_NitrogenRetainedByBody(AB104,Z76,Z40,Z124)</f>
        <v>-6.4971680016475087E-3</v>
      </c>
      <c r="AA140" s="52" cm="1">
        <f t="array" ref="AA140">MMS_PastureBeef_Soil_N2ODirect_Equations.VEERG_4_2_1_3__4_NitrogenRetainedByBody(AC104,AA76,AA40,AA124)</f>
        <v>-6.4971680016475087E-3</v>
      </c>
      <c r="AB140" s="52" cm="1">
        <f t="array" ref="AB140">MMS_PastureBeef_Soil_N2ODirect_Equations.VEERG_4_2_1_3__4_NitrogenRetainedByBody(AD104,AB76,AB40,AB124)</f>
        <v>1.6885009696797144E-2</v>
      </c>
      <c r="AC140" s="52" cm="1">
        <f t="array" ref="AC140">MMS_PastureBeef_Soil_N2ODirect_Equations.VEERG_4_2_1_3__4_NitrogenRetainedByBody(AE104,AC76,AC40,AC124)</f>
        <v>0</v>
      </c>
      <c r="AD140" s="52" cm="1">
        <f t="array" ref="AD140">MMS_PastureBeef_Soil_N2ODirect_Equations.VEERG_4_2_1_3__4_NitrogenRetainedByBody(AF104,AD76,AD40,AD124)</f>
        <v>0</v>
      </c>
      <c r="AE140" s="52" cm="1">
        <f t="array" ref="AE140">MMS_PastureBeef_Soil_N2ODirect_Equations.VEERG_4_2_1_3__4_NitrogenRetainedByBody(AG104,AE76,AE40,AE124)</f>
        <v>0</v>
      </c>
      <c r="AF140" s="2" t="str">
        <f t="shared" si="7"/>
        <v>kg N/head/day</v>
      </c>
      <c r="AG140" s="2"/>
      <c r="AH140" s="2"/>
    </row>
    <row r="141" spans="3:34" ht="20.100000000000001" customHeight="1" x14ac:dyDescent="0.25">
      <c r="U141" s="52" t="str">
        <f>TEXT(EDATE('Input - Site'!$E$12,5), "mmmm yyyy")</f>
        <v>June 2024</v>
      </c>
      <c r="V141" s="52" cm="1">
        <f t="array" ref="V141">MMS_PastureBeef_Soil_N2ODirect_Equations.VEERG_4_2_1_3__4_NitrogenRetainedByBody(X105,V77,V41,V125)</f>
        <v>2.5624664446187655E-2</v>
      </c>
      <c r="W141" s="52" cm="1">
        <f t="array" ref="W141">MMS_PastureBeef_Soil_N2ODirect_Equations.VEERG_4_2_1_3__4_NitrogenRetainedByBody(Y105,W77,W41,W125)</f>
        <v>2.5468999349659745E-3</v>
      </c>
      <c r="X141" s="52" cm="1">
        <f t="array" ref="X141">MMS_PastureBeef_Soil_N2ODirect_Equations.VEERG_4_2_1_3__4_NitrogenRetainedByBody(Z105,X77,X41,X125)</f>
        <v>1.942651050577586E-2</v>
      </c>
      <c r="Y141" s="52" cm="1">
        <f t="array" ref="Y141">MMS_PastureBeef_Soil_N2ODirect_Equations.VEERG_4_2_1_3__4_NitrogenRetainedByBody(AA105,Y77,Y41,Y125)</f>
        <v>1.7196628856093364E-3</v>
      </c>
      <c r="Z141" s="52" cm="1">
        <f t="array" ref="Z141">MMS_PastureBeef_Soil_N2ODirect_Equations.VEERG_4_2_1_3__4_NitrogenRetainedByBody(AB105,Z77,Z41,Z125)</f>
        <v>1.2853672606791778E-3</v>
      </c>
      <c r="AA141" s="52" cm="1">
        <f t="array" ref="AA141">MMS_PastureBeef_Soil_N2ODirect_Equations.VEERG_4_2_1_3__4_NitrogenRetainedByBody(AC105,AA77,AA41,AA125)</f>
        <v>1.2853672606791778E-3</v>
      </c>
      <c r="AB141" s="52" cm="1">
        <f t="array" ref="AB141">MMS_PastureBeef_Soil_N2ODirect_Equations.VEERG_4_2_1_3__4_NitrogenRetainedByBody(AD105,AB77,AB41,AB125)</f>
        <v>1.9754140848253471E-2</v>
      </c>
      <c r="AC141" s="52" cm="1">
        <f t="array" ref="AC141">MMS_PastureBeef_Soil_N2ODirect_Equations.VEERG_4_2_1_3__4_NitrogenRetainedByBody(AE105,AC77,AC41,AC125)</f>
        <v>7.4705417776927329E-3</v>
      </c>
      <c r="AD141" s="52" cm="1">
        <f t="array" ref="AD141">MMS_PastureBeef_Soil_N2ODirect_Equations.VEERG_4_2_1_3__4_NitrogenRetainedByBody(AF105,AD77,AD41,AD125)</f>
        <v>7.4705417776927329E-3</v>
      </c>
      <c r="AE141" s="52" cm="1">
        <f t="array" ref="AE141">MMS_PastureBeef_Soil_N2ODirect_Equations.VEERG_4_2_1_3__4_NitrogenRetainedByBody(AG105,AE77,AE41,AE125)</f>
        <v>7.4705417776927329E-3</v>
      </c>
      <c r="AF141" s="2" t="str">
        <f t="shared" si="7"/>
        <v>kg N/head/day</v>
      </c>
      <c r="AG141" s="2"/>
      <c r="AH141" s="2"/>
    </row>
    <row r="142" spans="3:34" ht="20.100000000000001" customHeight="1" x14ac:dyDescent="0.25">
      <c r="D142" s="57" t="str" cm="1">
        <f t="array" ref="D142:E148">MMS_PastureBeef_Soil_N2ODirect_Equations.VEERG_4_2_1_3__3_NitrogenExcreted_Arguments()</f>
        <v>I_jkl</v>
      </c>
      <c r="E142" s="58" t="str">
        <v>dry matter intake as calculated in Chapter 3 Section 3.2.1 (kg DM/head/day)</v>
      </c>
      <c r="F142" s="59"/>
      <c r="G142" s="57" t="str">
        <f>"See " &amp; D51</f>
        <v>See M1_Table_I_j_k_l</v>
      </c>
      <c r="U142" s="52" t="str">
        <f>TEXT(EDATE('Input - Site'!$E$12,6), "mmmm yyyy")</f>
        <v>July 2024</v>
      </c>
      <c r="V142" s="52" cm="1">
        <f t="array" ref="V142">MMS_PastureBeef_Soil_N2ODirect_Equations.VEERG_4_2_1_3__4_NitrogenRetainedByBody(X106,V78,V42,V126)</f>
        <v>2.5624664446187655E-2</v>
      </c>
      <c r="W142" s="52" cm="1">
        <f t="array" ref="W142">MMS_PastureBeef_Soil_N2ODirect_Equations.VEERG_4_2_1_3__4_NitrogenRetainedByBody(Y106,W78,W42,W126)</f>
        <v>2.5468999349659745E-3</v>
      </c>
      <c r="X142" s="52" cm="1">
        <f t="array" ref="X142">MMS_PastureBeef_Soil_N2ODirect_Equations.VEERG_4_2_1_3__4_NitrogenRetainedByBody(Z106,X78,X42,X126)</f>
        <v>1.942651050577586E-2</v>
      </c>
      <c r="Y142" s="52" cm="1">
        <f t="array" ref="Y142">MMS_PastureBeef_Soil_N2ODirect_Equations.VEERG_4_2_1_3__4_NitrogenRetainedByBody(AA106,Y78,Y42,Y126)</f>
        <v>1.7196628856093364E-3</v>
      </c>
      <c r="Z142" s="52" cm="1">
        <f t="array" ref="Z142">MMS_PastureBeef_Soil_N2ODirect_Equations.VEERG_4_2_1_3__4_NitrogenRetainedByBody(AB106,Z78,Z42,Z126)</f>
        <v>1.2853672606791778E-3</v>
      </c>
      <c r="AA142" s="52" cm="1">
        <f t="array" ref="AA142">MMS_PastureBeef_Soil_N2ODirect_Equations.VEERG_4_2_1_3__4_NitrogenRetainedByBody(AC106,AA78,AA42,AA126)</f>
        <v>1.2853672606791778E-3</v>
      </c>
      <c r="AB142" s="52" cm="1">
        <f t="array" ref="AB142">MMS_PastureBeef_Soil_N2ODirect_Equations.VEERG_4_2_1_3__4_NitrogenRetainedByBody(AD106,AB78,AB42,AB126)</f>
        <v>1.9754140848253471E-2</v>
      </c>
      <c r="AC142" s="52" cm="1">
        <f t="array" ref="AC142">MMS_PastureBeef_Soil_N2ODirect_Equations.VEERG_4_2_1_3__4_NitrogenRetainedByBody(AE106,AC78,AC42,AC126)</f>
        <v>7.4705417776927329E-3</v>
      </c>
      <c r="AD142" s="52" cm="1">
        <f t="array" ref="AD142">MMS_PastureBeef_Soil_N2ODirect_Equations.VEERG_4_2_1_3__4_NitrogenRetainedByBody(AF106,AD78,AD42,AD126)</f>
        <v>7.4705417776927329E-3</v>
      </c>
      <c r="AE142" s="52" cm="1">
        <f t="array" ref="AE142">MMS_PastureBeef_Soil_N2ODirect_Equations.VEERG_4_2_1_3__4_NitrogenRetainedByBody(AG106,AE78,AE42,AE126)</f>
        <v>7.4705417776927329E-3</v>
      </c>
      <c r="AF142" s="2" t="str">
        <f t="shared" si="7"/>
        <v>kg N/head/day</v>
      </c>
      <c r="AG142" s="2"/>
      <c r="AH142" s="2"/>
    </row>
    <row r="143" spans="3:34" ht="20.100000000000001" customHeight="1" x14ac:dyDescent="0.25">
      <c r="D143" s="57" t="str">
        <v>CP_j</v>
      </c>
      <c r="E143" s="58" t="str">
        <v>crude protein content of dry matter intake</v>
      </c>
      <c r="F143" s="59"/>
      <c r="G143" s="57" t="str">
        <f>"See " &amp; D150</f>
        <v>See M1_Table_CP_j</v>
      </c>
      <c r="U143" s="52" t="str">
        <f>TEXT(EDATE('Input - Site'!$E$12,7), "mmmm yyyy")</f>
        <v>August 2024</v>
      </c>
      <c r="V143" s="52" cm="1">
        <f t="array" ref="V143">MMS_PastureBeef_Soil_N2ODirect_Equations.VEERG_4_2_1_3__4_NitrogenRetainedByBody(X107,V79,V43,V127)</f>
        <v>2.5624664446187655E-2</v>
      </c>
      <c r="W143" s="52" cm="1">
        <f t="array" ref="W143">MMS_PastureBeef_Soil_N2ODirect_Equations.VEERG_4_2_1_3__4_NitrogenRetainedByBody(Y107,W79,W43,W127)</f>
        <v>2.5468999349659745E-3</v>
      </c>
      <c r="X143" s="52" cm="1">
        <f t="array" ref="X143">MMS_PastureBeef_Soil_N2ODirect_Equations.VEERG_4_2_1_3__4_NitrogenRetainedByBody(Z107,X79,X43,X127)</f>
        <v>1.942651050577586E-2</v>
      </c>
      <c r="Y143" s="52" cm="1">
        <f t="array" ref="Y143">MMS_PastureBeef_Soil_N2ODirect_Equations.VEERG_4_2_1_3__4_NitrogenRetainedByBody(AA107,Y79,Y43,Y127)</f>
        <v>2.4283253110865946E-2</v>
      </c>
      <c r="Z143" s="52" cm="1">
        <f t="array" ref="Z143">MMS_PastureBeef_Soil_N2ODirect_Equations.VEERG_4_2_1_3__4_NitrogenRetainedByBody(AB107,Z79,Z43,Z127)</f>
        <v>2.3854407853507724E-2</v>
      </c>
      <c r="AA143" s="52" cm="1">
        <f t="array" ref="AA143">MMS_PastureBeef_Soil_N2ODirect_Equations.VEERG_4_2_1_3__4_NitrogenRetainedByBody(AC107,AA79,AA43,AA127)</f>
        <v>2.3854407853507724E-2</v>
      </c>
      <c r="AB143" s="52" cm="1">
        <f t="array" ref="AB143">MMS_PastureBeef_Soil_N2ODirect_Equations.VEERG_4_2_1_3__4_NitrogenRetainedByBody(AD107,AB79,AB43,AB127)</f>
        <v>1.9754140848253471E-2</v>
      </c>
      <c r="AC143" s="52" cm="1">
        <f t="array" ref="AC143">MMS_PastureBeef_Soil_N2ODirect_Equations.VEERG_4_2_1_3__4_NitrogenRetainedByBody(AE107,AC79,AC43,AC127)</f>
        <v>7.4705417776927329E-3</v>
      </c>
      <c r="AD143" s="52" cm="1">
        <f t="array" ref="AD143">MMS_PastureBeef_Soil_N2ODirect_Equations.VEERG_4_2_1_3__4_NitrogenRetainedByBody(AF107,AD79,AD43,AD127)</f>
        <v>7.4705417776927329E-3</v>
      </c>
      <c r="AE143" s="52" cm="1">
        <f t="array" ref="AE143">MMS_PastureBeef_Soil_N2ODirect_Equations.VEERG_4_2_1_3__4_NitrogenRetainedByBody(AG107,AE79,AE43,AE127)</f>
        <v>7.4705417776927329E-3</v>
      </c>
      <c r="AF143" s="2" t="str">
        <f t="shared" si="7"/>
        <v>kg N/head/day</v>
      </c>
      <c r="AG143" s="2"/>
      <c r="AH143" s="2"/>
    </row>
    <row r="144" spans="3:34" ht="20.100000000000001" customHeight="1" x14ac:dyDescent="0.25">
      <c r="D144" s="57" t="str">
        <v>MC_jk136</v>
      </c>
      <c r="E144" s="58" t="str">
        <v>milk intake (kg/head/day)</v>
      </c>
      <c r="F144" s="59"/>
      <c r="G144" s="57" t="str">
        <f>"See " &amp; D158</f>
        <v>See M1_Table_MC_j_k_1-3-6</v>
      </c>
      <c r="U144" s="52" t="str">
        <f>TEXT(EDATE('Input - Site'!$E$12,8), "mmmm yyyy")</f>
        <v>September 2024</v>
      </c>
      <c r="V144" s="52" cm="1">
        <f t="array" ref="V144">MMS_PastureBeef_Soil_N2ODirect_Equations.VEERG_4_2_1_3__4_NitrogenRetainedByBody(X108,V80,V44,V128)</f>
        <v>3.2631583658999173E-2</v>
      </c>
      <c r="W144" s="52" cm="1">
        <f t="array" ref="W144">MMS_PastureBeef_Soil_N2ODirect_Equations.VEERG_4_2_1_3__4_NitrogenRetainedByBody(Y108,W80,W44,W128)</f>
        <v>1.2159206080141413E-2</v>
      </c>
      <c r="X144" s="52" cm="1">
        <f t="array" ref="X144">MMS_PastureBeef_Soil_N2ODirect_Equations.VEERG_4_2_1_3__4_NitrogenRetainedByBody(Z108,X80,X44,X128)</f>
        <v>2.2961722562736007E-2</v>
      </c>
      <c r="Y144" s="52" cm="1">
        <f t="array" ref="Y144">MMS_PastureBeef_Soil_N2ODirect_Equations.VEERG_4_2_1_3__4_NitrogenRetainedByBody(AA108,Y80,Y44,Y128)</f>
        <v>3.5186886137375313E-2</v>
      </c>
      <c r="Z144" s="52" cm="1">
        <f t="array" ref="Z144">MMS_PastureBeef_Soil_N2ODirect_Equations.VEERG_4_2_1_3__4_NitrogenRetainedByBody(AB108,Z80,Z44,Z128)</f>
        <v>2.993948362354976E-2</v>
      </c>
      <c r="AA144" s="52" cm="1">
        <f t="array" ref="AA144">MMS_PastureBeef_Soil_N2ODirect_Equations.VEERG_4_2_1_3__4_NitrogenRetainedByBody(AC108,AA80,AA44,AA128)</f>
        <v>2.993948362354976E-2</v>
      </c>
      <c r="AB144" s="52" cm="1">
        <f t="array" ref="AB144">MMS_PastureBeef_Soil_N2ODirect_Equations.VEERG_4_2_1_3__4_NitrogenRetainedByBody(AD108,AB80,AB44,AB128)</f>
        <v>2.7711640554981157E-2</v>
      </c>
      <c r="AC144" s="52" cm="1">
        <f t="array" ref="AC144">MMS_PastureBeef_Soil_N2ODirect_Equations.VEERG_4_2_1_3__4_NitrogenRetainedByBody(AE108,AC80,AC44,AC128)</f>
        <v>1.4565147934229335E-2</v>
      </c>
      <c r="AD144" s="52" cm="1">
        <f t="array" ref="AD144">MMS_PastureBeef_Soil_N2ODirect_Equations.VEERG_4_2_1_3__4_NitrogenRetainedByBody(AF108,AD80,AD44,AD128)</f>
        <v>1.4565147934229335E-2</v>
      </c>
      <c r="AE144" s="52" cm="1">
        <f t="array" ref="AE144">MMS_PastureBeef_Soil_N2ODirect_Equations.VEERG_4_2_1_3__4_NitrogenRetainedByBody(AG108,AE80,AE44,AE128)</f>
        <v>1.4565147934229335E-2</v>
      </c>
      <c r="AF144" s="2" t="str">
        <f t="shared" si="7"/>
        <v>kg N/head/day</v>
      </c>
      <c r="AG144" s="2"/>
      <c r="AH144" s="2"/>
    </row>
    <row r="145" spans="4:35" ht="20.100000000000001" customHeight="1" x14ac:dyDescent="0.25">
      <c r="D145" s="57" t="str">
        <v>NR_jkl</v>
      </c>
      <c r="E145" s="58" t="str">
        <v>the amount of nitrogen retained by the body (kg N/head/day)</v>
      </c>
      <c r="F145" s="59"/>
      <c r="G145" s="57" t="str">
        <f>"See " &amp; D124</f>
        <v>See M1_Table_NR_j_k_l</v>
      </c>
      <c r="U145" s="52" t="str">
        <f>TEXT(EDATE('Input - Site'!$E$12,9), "mmmm yyyy")</f>
        <v>October 2024</v>
      </c>
      <c r="V145" s="52" cm="1">
        <f t="array" ref="V145">MMS_PastureBeef_Soil_N2ODirect_Equations.VEERG_4_2_1_3__4_NitrogenRetainedByBody(X109,V81,V45,V129)</f>
        <v>3.2631583658999173E-2</v>
      </c>
      <c r="W145" s="52" cm="1">
        <f t="array" ref="W145">MMS_PastureBeef_Soil_N2ODirect_Equations.VEERG_4_2_1_3__4_NitrogenRetainedByBody(Y109,W81,W45,W129)</f>
        <v>1.2159206080141413E-2</v>
      </c>
      <c r="X145" s="52" cm="1">
        <f t="array" ref="X145">MMS_PastureBeef_Soil_N2ODirect_Equations.VEERG_4_2_1_3__4_NitrogenRetainedByBody(Z109,X81,X45,X129)</f>
        <v>2.2961722562736007E-2</v>
      </c>
      <c r="Y145" s="52" cm="1">
        <f t="array" ref="Y145">MMS_PastureBeef_Soil_N2ODirect_Equations.VEERG_4_2_1_3__4_NitrogenRetainedByBody(AA109,Y81,Y45,Y129)</f>
        <v>3.5186886137375313E-2</v>
      </c>
      <c r="Z145" s="52" cm="1">
        <f t="array" ref="Z145">MMS_PastureBeef_Soil_N2ODirect_Equations.VEERG_4_2_1_3__4_NitrogenRetainedByBody(AB109,Z81,Z45,Z129)</f>
        <v>2.993948362354976E-2</v>
      </c>
      <c r="AA145" s="52" cm="1">
        <f t="array" ref="AA145">MMS_PastureBeef_Soil_N2ODirect_Equations.VEERG_4_2_1_3__4_NitrogenRetainedByBody(AC109,AA81,AA45,AA129)</f>
        <v>2.993948362354976E-2</v>
      </c>
      <c r="AB145" s="52" cm="1">
        <f t="array" ref="AB145">MMS_PastureBeef_Soil_N2ODirect_Equations.VEERG_4_2_1_3__4_NitrogenRetainedByBody(AD109,AB81,AB45,AB129)</f>
        <v>2.7711640554981157E-2</v>
      </c>
      <c r="AC145" s="52" cm="1">
        <f t="array" ref="AC145">MMS_PastureBeef_Soil_N2ODirect_Equations.VEERG_4_2_1_3__4_NitrogenRetainedByBody(AE109,AC81,AC45,AC129)</f>
        <v>1.4565147934229335E-2</v>
      </c>
      <c r="AD145" s="52" cm="1">
        <f t="array" ref="AD145">MMS_PastureBeef_Soil_N2ODirect_Equations.VEERG_4_2_1_3__4_NitrogenRetainedByBody(AF109,AD81,AD45,AD129)</f>
        <v>1.4565147934229335E-2</v>
      </c>
      <c r="AE145" s="52" cm="1">
        <f t="array" ref="AE145">MMS_PastureBeef_Soil_N2ODirect_Equations.VEERG_4_2_1_3__4_NitrogenRetainedByBody(AG109,AE81,AE45,AE129)</f>
        <v>1.4565147934229335E-2</v>
      </c>
      <c r="AF145" s="2" t="str">
        <f t="shared" si="7"/>
        <v>kg N/head/day</v>
      </c>
      <c r="AG145" s="2"/>
      <c r="AH145" s="2"/>
    </row>
    <row r="146" spans="4:35" ht="20.100000000000001" customHeight="1" x14ac:dyDescent="0.25">
      <c r="D146" s="57" t="str">
        <v>W_jkl</v>
      </c>
      <c r="E146" s="58" t="str">
        <v>liveweight (kg/head)</v>
      </c>
      <c r="F146" s="59"/>
      <c r="G146" s="57" t="str">
        <f>"See " &amp; D17</f>
        <v>See M1_Table_W_j_k_l</v>
      </c>
      <c r="U146" s="52" t="str">
        <f>TEXT(EDATE('Input - Site'!$E$12,10), "mmmm yyyy")</f>
        <v>November 2024</v>
      </c>
      <c r="V146" s="52" cm="1">
        <f t="array" ref="V146">MMS_PastureBeef_Soil_N2ODirect_Equations.VEERG_4_2_1_3__4_NitrogenRetainedByBody(X110,V82,V46,V130)</f>
        <v>3.2631583658999173E-2</v>
      </c>
      <c r="W146" s="52" cm="1">
        <f t="array" ref="W146">MMS_PastureBeef_Soil_N2ODirect_Equations.VEERG_4_2_1_3__4_NitrogenRetainedByBody(Y110,W82,W46,W130)</f>
        <v>1.2159206080141413E-2</v>
      </c>
      <c r="X146" s="52" cm="1">
        <f t="array" ref="X146">MMS_PastureBeef_Soil_N2ODirect_Equations.VEERG_4_2_1_3__4_NitrogenRetainedByBody(Z110,X82,X46,X130)</f>
        <v>2.2961722562736007E-2</v>
      </c>
      <c r="Y146" s="52" cm="1">
        <f t="array" ref="Y146">MMS_PastureBeef_Soil_N2ODirect_Equations.VEERG_4_2_1_3__4_NitrogenRetainedByBody(AA110,Y82,Y46,Y130)</f>
        <v>2.7685555110513384E-2</v>
      </c>
      <c r="Z146" s="52" cm="1">
        <f t="array" ref="Z146">MMS_PastureBeef_Soil_N2ODirect_Equations.VEERG_4_2_1_3__4_NitrogenRetainedByBody(AB110,Z82,Z46,Z130)</f>
        <v>2.2419534651745895E-2</v>
      </c>
      <c r="AA146" s="52" cm="1">
        <f t="array" ref="AA146">MMS_PastureBeef_Soil_N2ODirect_Equations.VEERG_4_2_1_3__4_NitrogenRetainedByBody(AC110,AA82,AA46,AA130)</f>
        <v>2.2419534651745895E-2</v>
      </c>
      <c r="AB146" s="52" cm="1">
        <f t="array" ref="AB146">MMS_PastureBeef_Soil_N2ODirect_Equations.VEERG_4_2_1_3__4_NitrogenRetainedByBody(AD110,AB82,AB46,AB130)</f>
        <v>2.7711640554981157E-2</v>
      </c>
      <c r="AC146" s="52" cm="1">
        <f t="array" ref="AC146">MMS_PastureBeef_Soil_N2ODirect_Equations.VEERG_4_2_1_3__4_NitrogenRetainedByBody(AE110,AC82,AC46,AC130)</f>
        <v>1.4565147934229335E-2</v>
      </c>
      <c r="AD146" s="52" cm="1">
        <f t="array" ref="AD146">MMS_PastureBeef_Soil_N2ODirect_Equations.VEERG_4_2_1_3__4_NitrogenRetainedByBody(AF110,AD82,AD46,AD130)</f>
        <v>1.4565147934229335E-2</v>
      </c>
      <c r="AE146" s="52" cm="1">
        <f t="array" ref="AE146">MMS_PastureBeef_Soil_N2ODirect_Equations.VEERG_4_2_1_3__4_NitrogenRetainedByBody(AG110,AE82,AE46,AE130)</f>
        <v>1.4565147934229335E-2</v>
      </c>
      <c r="AF146" s="2" t="str">
        <f t="shared" si="7"/>
        <v>kg N/head/day</v>
      </c>
      <c r="AG146" s="2"/>
      <c r="AH146" s="2"/>
    </row>
    <row r="147" spans="4:35" ht="20.100000000000001" customHeight="1" x14ac:dyDescent="0.25">
      <c r="D147" s="57" t="str">
        <v>b</v>
      </c>
      <c r="E147" s="58" t="str">
        <v>breed of cattle</v>
      </c>
      <c r="F147" s="59"/>
      <c r="G147" s="57" t="str">
        <f>'Input - Pasture Beef'!$E$9</f>
        <v>Hereford or Shorthorn breeds</v>
      </c>
      <c r="U147" s="52" t="str">
        <f>TEXT(EDATE('Input - Site'!$E$12,11), "mmmm yyyy")</f>
        <v>December 2024</v>
      </c>
      <c r="V147" s="52" cm="1">
        <f t="array" ref="V147">MMS_PastureBeef_Soil_N2ODirect_Equations.VEERG_4_2_1_3__4_NitrogenRetainedByBody(X111,V83,V47,V131)</f>
        <v>8.1246865273940476E-3</v>
      </c>
      <c r="W147" s="52" cm="1">
        <f t="array" ref="W147">MMS_PastureBeef_Soil_N2ODirect_Equations.VEERG_4_2_1_3__4_NitrogenRetainedByBody(Y111,W83,W47,W131)</f>
        <v>-2.4500809510830074E-3</v>
      </c>
      <c r="X147" s="52" cm="1">
        <f t="array" ref="X147">MMS_PastureBeef_Soil_N2ODirect_Equations.VEERG_4_2_1_3__4_NitrogenRetainedByBody(Z111,X83,X47,X131)</f>
        <v>7.4692204769955996E-3</v>
      </c>
      <c r="Y147" s="52" cm="1">
        <f t="array" ref="Y147">MMS_PastureBeef_Soil_N2ODirect_Equations.VEERG_4_2_1_3__4_NitrogenRetainedByBody(AA111,Y83,Y47,Y131)</f>
        <v>1.9080635764024231E-2</v>
      </c>
      <c r="Z147" s="52" cm="1">
        <f t="array" ref="Z147">MMS_PastureBeef_Soil_N2ODirect_Equations.VEERG_4_2_1_3__4_NitrogenRetainedByBody(AB111,Z83,Z47,Z131)</f>
        <v>1.2558041048697144E-2</v>
      </c>
      <c r="AA147" s="52" cm="1">
        <f t="array" ref="AA147">MMS_PastureBeef_Soil_N2ODirect_Equations.VEERG_4_2_1_3__4_NitrogenRetainedByBody(AC111,AA83,AA47,AA131)</f>
        <v>1.2558041048697144E-2</v>
      </c>
      <c r="AB147" s="52" cm="1">
        <f t="array" ref="AB147">MMS_PastureBeef_Soil_N2ODirect_Equations.VEERG_4_2_1_3__4_NitrogenRetainedByBody(AD111,AB83,AB47,AB131)</f>
        <v>7.842975342880058E-3</v>
      </c>
      <c r="AC147" s="52" cm="1">
        <f t="array" ref="AC147">MMS_PastureBeef_Soil_N2ODirect_Equations.VEERG_4_2_1_3__4_NitrogenRetainedByBody(AE111,AC83,AC47,AC131)</f>
        <v>-1.4855230625479237E-3</v>
      </c>
      <c r="AD147" s="52" cm="1">
        <f t="array" ref="AD147">MMS_PastureBeef_Soil_N2ODirect_Equations.VEERG_4_2_1_3__4_NitrogenRetainedByBody(AF111,AD83,AD47,AD131)</f>
        <v>-1.4855230625479237E-3</v>
      </c>
      <c r="AE147" s="52" cm="1">
        <f t="array" ref="AE147">MMS_PastureBeef_Soil_N2ODirect_Equations.VEERG_4_2_1_3__4_NitrogenRetainedByBody(AG111,AE83,AE47,AE131)</f>
        <v>-1.4855230625479237E-3</v>
      </c>
      <c r="AF147" s="2" t="str">
        <f t="shared" si="7"/>
        <v>kg N/head/day</v>
      </c>
      <c r="AG147" s="2"/>
      <c r="AH147" s="2"/>
    </row>
    <row r="148" spans="4:35" ht="20.100000000000001" customHeight="1" x14ac:dyDescent="0.25">
      <c r="D148" s="57" t="str">
        <v>s</v>
      </c>
      <c r="E148" s="58" t="str">
        <v>Calving season</v>
      </c>
      <c r="F148" s="59"/>
      <c r="G148" s="57" t="str">
        <f>'Input - Pasture Beef'!$E$104</f>
        <v>Winter</v>
      </c>
    </row>
    <row r="149" spans="4:35" ht="20.100000000000001" customHeight="1" x14ac:dyDescent="0.25"/>
    <row r="150" spans="4:35" ht="20.100000000000001" customHeight="1" x14ac:dyDescent="0.25">
      <c r="D150" s="99" t="s">
        <v>106</v>
      </c>
      <c r="T150" s="45"/>
      <c r="U150" s="45"/>
      <c r="V150" s="45"/>
      <c r="W150" s="45"/>
      <c r="X150" s="45"/>
      <c r="Y150" s="45"/>
      <c r="Z150" s="45"/>
      <c r="AA150" s="45"/>
      <c r="AB150" s="45"/>
      <c r="AC150" s="45"/>
      <c r="AD150" s="45"/>
      <c r="AE150" s="45"/>
      <c r="AF150" s="45"/>
      <c r="AG150" s="45"/>
      <c r="AH150" s="45"/>
      <c r="AI150" s="45"/>
    </row>
    <row r="151" spans="4:35" ht="20.100000000000001" customHeight="1" x14ac:dyDescent="0.25">
      <c r="D151" s="98" t="s">
        <v>317</v>
      </c>
      <c r="U151" s="6" t="str" cm="1">
        <f t="array" ref="U151">MMS_PastureBeef_Soil_N2ODirect_Equations.VEERG_4_2_1_3__3_NitrogenExcreted_Title()</f>
        <v>Nitrogen excreted</v>
      </c>
    </row>
    <row r="152" spans="4:35" ht="20.100000000000001" customHeight="1" x14ac:dyDescent="0.25">
      <c r="D152" s="51" t="s">
        <v>184</v>
      </c>
      <c r="E152" s="51" t="s">
        <v>131</v>
      </c>
      <c r="F152" s="51" t="s">
        <v>130</v>
      </c>
      <c r="G152" s="51" t="s">
        <v>165</v>
      </c>
      <c r="H152" s="51" t="s">
        <v>166</v>
      </c>
      <c r="I152" s="51" t="s">
        <v>167</v>
      </c>
      <c r="J152" s="51" t="s">
        <v>168</v>
      </c>
      <c r="K152" s="51" t="s">
        <v>169</v>
      </c>
      <c r="L152" s="51" t="s">
        <v>170</v>
      </c>
      <c r="M152" s="51" t="s">
        <v>171</v>
      </c>
      <c r="N152" s="51" t="s">
        <v>172</v>
      </c>
    </row>
    <row r="153" spans="4:35" ht="20.100000000000001" customHeight="1" x14ac:dyDescent="0.25">
      <c r="D153" s="52" t="s">
        <v>173</v>
      </c>
      <c r="E153" s="52">
        <f>'Input - Pasture Beef'!E147</f>
        <v>0.2</v>
      </c>
      <c r="F153" s="52">
        <f>'Input - Pasture Beef'!F147</f>
        <v>0.2</v>
      </c>
      <c r="G153" s="52">
        <f>'Input - Pasture Beef'!G147</f>
        <v>0.2</v>
      </c>
      <c r="H153" s="52">
        <f>'Input - Pasture Beef'!H147</f>
        <v>0.2</v>
      </c>
      <c r="I153" s="52">
        <f>'Input - Pasture Beef'!I147</f>
        <v>0.2</v>
      </c>
      <c r="J153" s="52">
        <f>'Input - Pasture Beef'!J147</f>
        <v>0.2</v>
      </c>
      <c r="K153" s="52">
        <f>'Input - Pasture Beef'!K147</f>
        <v>0.2</v>
      </c>
      <c r="L153" s="52">
        <f>'Input - Pasture Beef'!L147</f>
        <v>0.2</v>
      </c>
      <c r="M153" s="52">
        <f>'Input - Pasture Beef'!M147</f>
        <v>0.2</v>
      </c>
      <c r="N153" s="52">
        <f>'Input - Pasture Beef'!N147</f>
        <v>0.2</v>
      </c>
      <c r="O153" s="2" t="s">
        <v>141</v>
      </c>
      <c r="U153" s="57" t="str" cm="1">
        <f t="array" ref="U153:V159">MMS_PastureBeef_Soil_N2ODirect_Equations.VEERG_4_2_1_3__3_NitrogenExcreted_Arguments()</f>
        <v>I_jkl</v>
      </c>
      <c r="V153" s="58" t="str">
        <v>dry matter intake as calculated in Chapter 3 Section 3.2.1 (kg DM/head/day)</v>
      </c>
      <c r="W153" s="59"/>
      <c r="X153" s="57" t="str">
        <f>"See " &amp; $U$53</f>
        <v>See M2_Table_I_j_k_l</v>
      </c>
    </row>
    <row r="154" spans="4:35" ht="20.100000000000001" customHeight="1" x14ac:dyDescent="0.25">
      <c r="D154" s="52" t="s">
        <v>174</v>
      </c>
      <c r="E154" s="52">
        <f>'Input - Pasture Beef'!E148</f>
        <v>0.09</v>
      </c>
      <c r="F154" s="52">
        <f>'Input - Pasture Beef'!F148</f>
        <v>0.09</v>
      </c>
      <c r="G154" s="52">
        <f>'Input - Pasture Beef'!G148</f>
        <v>0.09</v>
      </c>
      <c r="H154" s="52">
        <f>'Input - Pasture Beef'!H148</f>
        <v>0.09</v>
      </c>
      <c r="I154" s="52">
        <f>'Input - Pasture Beef'!I148</f>
        <v>0.09</v>
      </c>
      <c r="J154" s="52">
        <f>'Input - Pasture Beef'!J148</f>
        <v>0.09</v>
      </c>
      <c r="K154" s="52">
        <f>'Input - Pasture Beef'!K148</f>
        <v>0.09</v>
      </c>
      <c r="L154" s="52">
        <f>'Input - Pasture Beef'!L148</f>
        <v>0.09</v>
      </c>
      <c r="M154" s="52">
        <f>'Input - Pasture Beef'!M148</f>
        <v>0.09</v>
      </c>
      <c r="N154" s="52">
        <f>'Input - Pasture Beef'!N148</f>
        <v>0.09</v>
      </c>
      <c r="O154" s="2" t="s">
        <v>141</v>
      </c>
      <c r="U154" s="57" t="str">
        <v>CP_j</v>
      </c>
      <c r="V154" s="58" t="str">
        <v>crude protein content of dry matter intake</v>
      </c>
      <c r="W154" s="59"/>
      <c r="X154" s="57" t="str">
        <f>"See " &amp; $U$161</f>
        <v>See M2_Table_CP_j</v>
      </c>
    </row>
    <row r="155" spans="4:35" ht="20.100000000000001" customHeight="1" x14ac:dyDescent="0.25">
      <c r="D155" s="52" t="s">
        <v>175</v>
      </c>
      <c r="E155" s="52">
        <f>'Input - Pasture Beef'!E149</f>
        <v>0.06</v>
      </c>
      <c r="F155" s="52">
        <f>'Input - Pasture Beef'!F149</f>
        <v>0.06</v>
      </c>
      <c r="G155" s="52">
        <f>'Input - Pasture Beef'!G149</f>
        <v>0.06</v>
      </c>
      <c r="H155" s="52">
        <f>'Input - Pasture Beef'!H149</f>
        <v>0.06</v>
      </c>
      <c r="I155" s="52">
        <f>'Input - Pasture Beef'!I149</f>
        <v>0.06</v>
      </c>
      <c r="J155" s="52">
        <f>'Input - Pasture Beef'!J149</f>
        <v>0.06</v>
      </c>
      <c r="K155" s="52">
        <f>'Input - Pasture Beef'!K149</f>
        <v>0.06</v>
      </c>
      <c r="L155" s="52">
        <f>'Input - Pasture Beef'!L149</f>
        <v>0.06</v>
      </c>
      <c r="M155" s="52">
        <f>'Input - Pasture Beef'!M149</f>
        <v>0.06</v>
      </c>
      <c r="N155" s="52">
        <f>'Input - Pasture Beef'!N149</f>
        <v>0.06</v>
      </c>
      <c r="O155" s="2" t="s">
        <v>141</v>
      </c>
      <c r="U155" s="57" t="str">
        <v>MC_jk136</v>
      </c>
      <c r="V155" s="58" t="str">
        <v>milk intake (kg/head/day)</v>
      </c>
      <c r="W155" s="59"/>
      <c r="X155" s="57" t="str">
        <f>"See " &amp; $U$161</f>
        <v>See M2_Table_CP_j</v>
      </c>
    </row>
    <row r="156" spans="4:35" ht="20.100000000000001" customHeight="1" x14ac:dyDescent="0.25">
      <c r="D156" s="52" t="s">
        <v>176</v>
      </c>
      <c r="E156" s="52">
        <f>'Input - Pasture Beef'!E150</f>
        <v>0.2</v>
      </c>
      <c r="F156" s="52">
        <f>'Input - Pasture Beef'!F150</f>
        <v>0.2</v>
      </c>
      <c r="G156" s="52">
        <f>'Input - Pasture Beef'!G150</f>
        <v>0.2</v>
      </c>
      <c r="H156" s="52">
        <f>'Input - Pasture Beef'!H150</f>
        <v>0.2</v>
      </c>
      <c r="I156" s="52">
        <f>'Input - Pasture Beef'!I150</f>
        <v>0.2</v>
      </c>
      <c r="J156" s="52">
        <f>'Input - Pasture Beef'!J150</f>
        <v>0.2</v>
      </c>
      <c r="K156" s="52">
        <f>'Input - Pasture Beef'!K150</f>
        <v>0.2</v>
      </c>
      <c r="L156" s="52">
        <f>'Input - Pasture Beef'!L150</f>
        <v>0.2</v>
      </c>
      <c r="M156" s="52">
        <f>'Input - Pasture Beef'!M150</f>
        <v>0.2</v>
      </c>
      <c r="N156" s="52">
        <f>'Input - Pasture Beef'!N150</f>
        <v>0.2</v>
      </c>
      <c r="O156" s="2" t="s">
        <v>141</v>
      </c>
      <c r="U156" s="57" t="str">
        <v>NR_jkl</v>
      </c>
      <c r="V156" s="58" t="str">
        <v>the amount of nitrogen retained by the body (kg N/head/day)</v>
      </c>
      <c r="W156" s="59"/>
      <c r="X156" s="57" t="str">
        <f>"See " &amp; $U$133</f>
        <v>See M2_Table_NR_j_k_l</v>
      </c>
    </row>
    <row r="157" spans="4:35" ht="20.100000000000001" customHeight="1" x14ac:dyDescent="0.25">
      <c r="U157" s="57" t="str">
        <v>W_jkl</v>
      </c>
      <c r="V157" s="58" t="str">
        <v>liveweight (kg/head)</v>
      </c>
      <c r="W157" s="59"/>
      <c r="X157" s="57" t="str">
        <f>"See " &amp; $U$17</f>
        <v>See M2_Table_LW_j_k_l</v>
      </c>
    </row>
    <row r="158" spans="4:35" ht="20.100000000000001" customHeight="1" x14ac:dyDescent="0.25">
      <c r="D158" s="99" t="s">
        <v>302</v>
      </c>
      <c r="U158" s="57" t="str">
        <v>b</v>
      </c>
      <c r="V158" s="58" t="str">
        <v>breed of cattle</v>
      </c>
      <c r="W158" s="59"/>
      <c r="X158" s="57" t="str">
        <f>'Input - Pasture Beef'!$E$9</f>
        <v>Hereford or Shorthorn breeds</v>
      </c>
    </row>
    <row r="159" spans="4:35" ht="20.100000000000001" customHeight="1" x14ac:dyDescent="0.25">
      <c r="D159" s="98" t="s">
        <v>319</v>
      </c>
      <c r="U159" s="57" t="str">
        <v>s</v>
      </c>
      <c r="V159" s="58" t="str">
        <v>Calving season</v>
      </c>
      <c r="W159" s="59"/>
      <c r="X159" s="57" t="e">
        <f>'Input - Pasture Beef'!#REF!</f>
        <v>#REF!</v>
      </c>
    </row>
    <row r="160" spans="4:35" ht="20.100000000000001" customHeight="1" x14ac:dyDescent="0.25">
      <c r="D160" s="51" t="s">
        <v>184</v>
      </c>
      <c r="E160" s="51" t="s">
        <v>247</v>
      </c>
      <c r="F160" s="51" t="s">
        <v>131</v>
      </c>
      <c r="G160" s="51" t="s">
        <v>130</v>
      </c>
      <c r="H160" s="51" t="s">
        <v>165</v>
      </c>
      <c r="I160" s="51" t="s">
        <v>166</v>
      </c>
      <c r="J160" s="51" t="s">
        <v>167</v>
      </c>
      <c r="K160" s="51" t="s">
        <v>168</v>
      </c>
      <c r="L160" s="51" t="s">
        <v>169</v>
      </c>
      <c r="M160" s="51" t="s">
        <v>170</v>
      </c>
      <c r="N160" s="51" t="s">
        <v>171</v>
      </c>
      <c r="O160" s="51" t="s">
        <v>172</v>
      </c>
    </row>
    <row r="161" spans="3:34" ht="20.100000000000001" customHeight="1" x14ac:dyDescent="0.25">
      <c r="D161" s="52" t="s">
        <v>173</v>
      </c>
      <c r="E161" s="52" t="str" cm="1">
        <f t="array" ref="E161">_xlfn.IFS($D$161=$G$148,"Calving season",$D$164=$G$148,"Season after calving",TRUE, "")</f>
        <v>Season after calving</v>
      </c>
      <c r="F161" s="52" cm="1">
        <f t="array" ref="F161">_xlfn.XLOOKUP(1, (Table_SourceData_PastureBeef_FeedIntakeAdjustment_Variation[Breed]=$G$147)*(Table_SourceData_PastureBeef_FeedIntakeAdjustment_Variation[Season]=$E161), Table_SourceData_PastureBeef_FeedIntakeAdjustment_Variation[Milk intake/production], 0)</f>
        <v>4</v>
      </c>
      <c r="G161" s="52">
        <v>0</v>
      </c>
      <c r="H161" s="52" cm="1">
        <f t="array" ref="H161">_xlfn.XLOOKUP(1, (Table_SourceData_PastureBeef_FeedIntakeAdjustment_Variation[Breed]=$G$147)*(Table_SourceData_PastureBeef_FeedIntakeAdjustment_Variation[Season]=$E161), Table_SourceData_PastureBeef_FeedIntakeAdjustment_Variation[Milk intake/production], 0)</f>
        <v>4</v>
      </c>
      <c r="I161" s="52">
        <v>0</v>
      </c>
      <c r="J161" s="52">
        <v>0</v>
      </c>
      <c r="K161" s="52">
        <v>0</v>
      </c>
      <c r="L161" s="52" cm="1">
        <f t="array" ref="L161">_xlfn.XLOOKUP(1, (Table_SourceData_PastureBeef_FeedIntakeAdjustment_Variation[Breed]=$G$147)*(Table_SourceData_PastureBeef_FeedIntakeAdjustment_Variation[Season]=$E161), Table_SourceData_PastureBeef_FeedIntakeAdjustment_Variation[Milk intake/production], 0)</f>
        <v>4</v>
      </c>
      <c r="M161" s="52">
        <v>0</v>
      </c>
      <c r="N161" s="52">
        <v>0</v>
      </c>
      <c r="O161" s="52">
        <v>0</v>
      </c>
      <c r="P161" s="2" t="s">
        <v>134</v>
      </c>
      <c r="Q161" s="2"/>
      <c r="U161" s="99" t="s">
        <v>107</v>
      </c>
    </row>
    <row r="162" spans="3:34" ht="20.100000000000001" customHeight="1" x14ac:dyDescent="0.25">
      <c r="D162" s="52" t="s">
        <v>174</v>
      </c>
      <c r="E162" s="52" t="str" cm="1">
        <f t="array" ref="E162">_xlfn.IFS($D$162=$G$148,"Calving season",$D$161=$G$148,"Season after calving",TRUE, "")</f>
        <v/>
      </c>
      <c r="F162" s="52" cm="1">
        <f t="array" ref="F162">_xlfn.XLOOKUP(1, (Table_SourceData_PastureBeef_FeedIntakeAdjustment_Variation[Breed]=$G$147)*(Table_SourceData_PastureBeef_FeedIntakeAdjustment_Variation[Season]=$E162), Table_SourceData_PastureBeef_FeedIntakeAdjustment_Variation[Milk intake/production], 0)</f>
        <v>0</v>
      </c>
      <c r="G162" s="52">
        <v>0</v>
      </c>
      <c r="H162" s="52" cm="1">
        <f t="array" ref="H162">_xlfn.XLOOKUP(1, (Table_SourceData_PastureBeef_FeedIntakeAdjustment_Variation[Breed]=$G$147)*(Table_SourceData_PastureBeef_FeedIntakeAdjustment_Variation[Season]=$E162), Table_SourceData_PastureBeef_FeedIntakeAdjustment_Variation[Milk intake/production], 0)</f>
        <v>0</v>
      </c>
      <c r="I162" s="52">
        <v>0</v>
      </c>
      <c r="J162" s="52">
        <v>0</v>
      </c>
      <c r="K162" s="52">
        <v>0</v>
      </c>
      <c r="L162" s="52" cm="1">
        <f t="array" ref="L162">_xlfn.XLOOKUP(1, (Table_SourceData_PastureBeef_FeedIntakeAdjustment_Variation[Breed]=$G$147)*(Table_SourceData_PastureBeef_FeedIntakeAdjustment_Variation[Season]=$E162), Table_SourceData_PastureBeef_FeedIntakeAdjustment_Variation[Milk intake/production], 0)</f>
        <v>0</v>
      </c>
      <c r="M162" s="52">
        <v>0</v>
      </c>
      <c r="N162" s="52">
        <v>0</v>
      </c>
      <c r="O162" s="52">
        <v>0</v>
      </c>
      <c r="P162" s="2" t="s">
        <v>134</v>
      </c>
      <c r="Q162" s="2"/>
      <c r="U162" s="98" t="s">
        <v>316</v>
      </c>
    </row>
    <row r="163" spans="3:34" ht="20.100000000000001" customHeight="1" x14ac:dyDescent="0.25">
      <c r="D163" s="52" t="s">
        <v>175</v>
      </c>
      <c r="E163" s="52" t="str" cm="1">
        <f t="array" ref="E163">_xlfn.IFS($D$163=$G$148,"Calving season",$D$162=$G$148,"Season after calving",TRUE, "")</f>
        <v/>
      </c>
      <c r="F163" s="52" cm="1">
        <f t="array" ref="F163">_xlfn.XLOOKUP(1, (Table_SourceData_PastureBeef_FeedIntakeAdjustment_Variation[Breed]=$G$147)*(Table_SourceData_PastureBeef_FeedIntakeAdjustment_Variation[Season]=$E163), Table_SourceData_PastureBeef_FeedIntakeAdjustment_Variation[Milk intake/production], 0)</f>
        <v>0</v>
      </c>
      <c r="G163" s="52">
        <v>0</v>
      </c>
      <c r="H163" s="52" cm="1">
        <f t="array" ref="H163">_xlfn.XLOOKUP(1, (Table_SourceData_PastureBeef_FeedIntakeAdjustment_Variation[Breed]=$G$147)*(Table_SourceData_PastureBeef_FeedIntakeAdjustment_Variation[Season]=$E163), Table_SourceData_PastureBeef_FeedIntakeAdjustment_Variation[Milk intake/production], 0)</f>
        <v>0</v>
      </c>
      <c r="I163" s="52">
        <v>0</v>
      </c>
      <c r="J163" s="52">
        <v>0</v>
      </c>
      <c r="K163" s="52">
        <v>0</v>
      </c>
      <c r="L163" s="52" cm="1">
        <f t="array" ref="L163">_xlfn.XLOOKUP(1, (Table_SourceData_PastureBeef_FeedIntakeAdjustment_Variation[Breed]=$G$147)*(Table_SourceData_PastureBeef_FeedIntakeAdjustment_Variation[Season]=$E163), Table_SourceData_PastureBeef_FeedIntakeAdjustment_Variation[Milk intake/production], 0)</f>
        <v>0</v>
      </c>
      <c r="M163" s="52">
        <v>0</v>
      </c>
      <c r="N163" s="52">
        <v>0</v>
      </c>
      <c r="O163" s="52">
        <v>0</v>
      </c>
      <c r="P163" s="2" t="s">
        <v>134</v>
      </c>
      <c r="Q163" s="2"/>
      <c r="U163" s="51" t="s">
        <v>132</v>
      </c>
      <c r="V163" s="51" t="s">
        <v>131</v>
      </c>
      <c r="W163" s="51" t="s">
        <v>130</v>
      </c>
      <c r="X163" s="51" t="s">
        <v>165</v>
      </c>
      <c r="Y163" s="51" t="s">
        <v>166</v>
      </c>
      <c r="Z163" s="51" t="s">
        <v>167</v>
      </c>
      <c r="AA163" s="51" t="s">
        <v>168</v>
      </c>
      <c r="AB163" s="51" t="s">
        <v>169</v>
      </c>
      <c r="AC163" s="51" t="s">
        <v>170</v>
      </c>
      <c r="AD163" s="51" t="s">
        <v>171</v>
      </c>
      <c r="AE163" s="51" t="s">
        <v>172</v>
      </c>
    </row>
    <row r="164" spans="3:34" ht="20.100000000000001" customHeight="1" x14ac:dyDescent="0.25">
      <c r="D164" s="52" t="s">
        <v>176</v>
      </c>
      <c r="E164" s="52" t="str" cm="1">
        <f t="array" ref="E164">_xlfn.IFS($D$164=$G$148,"Calving season",$D$163=$G$148,"Season after calving",TRUE, "")</f>
        <v>Calving season</v>
      </c>
      <c r="F164" s="52" cm="1">
        <f t="array" ref="F164">_xlfn.XLOOKUP(1, (Table_SourceData_PastureBeef_FeedIntakeAdjustment_Variation[Breed]=$G$147)*(Table_SourceData_PastureBeef_FeedIntakeAdjustment_Variation[Season]=$E164), Table_SourceData_PastureBeef_FeedIntakeAdjustment_Variation[Milk intake/production], 0)</f>
        <v>6</v>
      </c>
      <c r="G164" s="52">
        <v>0</v>
      </c>
      <c r="H164" s="52" cm="1">
        <f t="array" ref="H164">_xlfn.XLOOKUP(1, (Table_SourceData_PastureBeef_FeedIntakeAdjustment_Variation[Breed]=$G$147)*(Table_SourceData_PastureBeef_FeedIntakeAdjustment_Variation[Season]=$E164), Table_SourceData_PastureBeef_FeedIntakeAdjustment_Variation[Milk intake/production], 0)</f>
        <v>6</v>
      </c>
      <c r="I164" s="52">
        <v>0</v>
      </c>
      <c r="J164" s="52">
        <v>0</v>
      </c>
      <c r="K164" s="52">
        <v>0</v>
      </c>
      <c r="L164" s="52" cm="1">
        <f t="array" ref="L164">_xlfn.XLOOKUP(1, (Table_SourceData_PastureBeef_FeedIntakeAdjustment_Variation[Breed]=$G$147)*(Table_SourceData_PastureBeef_FeedIntakeAdjustment_Variation[Season]=$E164), Table_SourceData_PastureBeef_FeedIntakeAdjustment_Variation[Milk intake/production], 0)</f>
        <v>6</v>
      </c>
      <c r="M164" s="52">
        <v>0</v>
      </c>
      <c r="N164" s="52">
        <v>0</v>
      </c>
      <c r="O164" s="52">
        <v>0</v>
      </c>
      <c r="P164" s="2" t="s">
        <v>134</v>
      </c>
      <c r="Q164" s="2"/>
      <c r="U164" s="52" t="str">
        <f>TEXT('Input - Site'!$E$12, "mmmm yyyy")</f>
        <v>January 2024</v>
      </c>
      <c r="V164" s="52">
        <f>'Input - Pasture Beef'!E153</f>
        <v>0.09</v>
      </c>
      <c r="W164" s="52">
        <f>'Input - Pasture Beef'!F153</f>
        <v>0.09</v>
      </c>
      <c r="X164" s="52">
        <f>'Input - Pasture Beef'!G153</f>
        <v>0.09</v>
      </c>
      <c r="Y164" s="52">
        <f>'Input - Pasture Beef'!H153</f>
        <v>0.09</v>
      </c>
      <c r="Z164" s="52">
        <f>'Input - Pasture Beef'!I153</f>
        <v>0.09</v>
      </c>
      <c r="AA164" s="52">
        <f>'Input - Pasture Beef'!J153</f>
        <v>0.09</v>
      </c>
      <c r="AB164" s="52">
        <f>'Input - Pasture Beef'!K153</f>
        <v>0.09</v>
      </c>
      <c r="AC164" s="52">
        <f>'Input - Pasture Beef'!L153</f>
        <v>0.09</v>
      </c>
      <c r="AD164" s="52">
        <f>'Input - Pasture Beef'!M153</f>
        <v>0.09</v>
      </c>
      <c r="AE164" s="52">
        <f>'Input - Pasture Beef'!N153</f>
        <v>0.09</v>
      </c>
      <c r="AF164" s="2" t="s">
        <v>141</v>
      </c>
    </row>
    <row r="165" spans="3:34" ht="20.100000000000001" customHeight="1" x14ac:dyDescent="0.25">
      <c r="U165" s="52" t="str">
        <f>TEXT(EDATE('Input - Site'!$E$12,1), "mmmm yyyy")</f>
        <v>February 2024</v>
      </c>
      <c r="V165" s="52">
        <f>'Input - Pasture Beef'!E154</f>
        <v>0.09</v>
      </c>
      <c r="W165" s="52">
        <f>'Input - Pasture Beef'!F154</f>
        <v>0.09</v>
      </c>
      <c r="X165" s="52">
        <f>'Input - Pasture Beef'!G154</f>
        <v>0.09</v>
      </c>
      <c r="Y165" s="52">
        <f>'Input - Pasture Beef'!H154</f>
        <v>0.09</v>
      </c>
      <c r="Z165" s="52">
        <f>'Input - Pasture Beef'!I154</f>
        <v>0.09</v>
      </c>
      <c r="AA165" s="52">
        <f>'Input - Pasture Beef'!J154</f>
        <v>0.09</v>
      </c>
      <c r="AB165" s="52">
        <f>'Input - Pasture Beef'!K154</f>
        <v>0.09</v>
      </c>
      <c r="AC165" s="52">
        <f>'Input - Pasture Beef'!L154</f>
        <v>0.09</v>
      </c>
      <c r="AD165" s="52">
        <f>'Input - Pasture Beef'!M154</f>
        <v>0.09</v>
      </c>
      <c r="AE165" s="52">
        <f>'Input - Pasture Beef'!N154</f>
        <v>0.09</v>
      </c>
      <c r="AF165" s="2" t="s">
        <v>141</v>
      </c>
    </row>
    <row r="166" spans="3:34" ht="20.100000000000001" customHeight="1" x14ac:dyDescent="0.25">
      <c r="D166" s="99" t="s">
        <v>303</v>
      </c>
      <c r="U166" s="52" t="str">
        <f>TEXT(EDATE('Input - Site'!$E$12,2), "mmmm yyyy")</f>
        <v>March 2024</v>
      </c>
      <c r="V166" s="52">
        <f>'Input - Pasture Beef'!E155</f>
        <v>0.06</v>
      </c>
      <c r="W166" s="52">
        <f>'Input - Pasture Beef'!F155</f>
        <v>0.06</v>
      </c>
      <c r="X166" s="52">
        <f>'Input - Pasture Beef'!G155</f>
        <v>0.06</v>
      </c>
      <c r="Y166" s="52">
        <f>'Input - Pasture Beef'!H155</f>
        <v>0.06</v>
      </c>
      <c r="Z166" s="52">
        <f>'Input - Pasture Beef'!I155</f>
        <v>0.06</v>
      </c>
      <c r="AA166" s="52">
        <f>'Input - Pasture Beef'!J155</f>
        <v>0.06</v>
      </c>
      <c r="AB166" s="52">
        <f>'Input - Pasture Beef'!K155</f>
        <v>0.06</v>
      </c>
      <c r="AC166" s="52">
        <f>'Input - Pasture Beef'!L155</f>
        <v>0.06</v>
      </c>
      <c r="AD166" s="52">
        <f>'Input - Pasture Beef'!M155</f>
        <v>0.06</v>
      </c>
      <c r="AE166" s="52">
        <f>'Input - Pasture Beef'!N155</f>
        <v>0.06</v>
      </c>
      <c r="AF166" s="2" t="s">
        <v>141</v>
      </c>
    </row>
    <row r="167" spans="3:34" ht="20.100000000000001" customHeight="1" x14ac:dyDescent="0.25">
      <c r="D167" s="98" t="s">
        <v>320</v>
      </c>
      <c r="U167" s="52" t="str">
        <f>TEXT(EDATE('Input - Site'!$E$12,3), "mmmm yyyy")</f>
        <v>April 2024</v>
      </c>
      <c r="V167" s="52">
        <f>'Input - Pasture Beef'!E156</f>
        <v>0.06</v>
      </c>
      <c r="W167" s="52">
        <f>'Input - Pasture Beef'!F156</f>
        <v>0.06</v>
      </c>
      <c r="X167" s="52">
        <f>'Input - Pasture Beef'!G156</f>
        <v>0.06</v>
      </c>
      <c r="Y167" s="52">
        <f>'Input - Pasture Beef'!H156</f>
        <v>0.06</v>
      </c>
      <c r="Z167" s="52">
        <f>'Input - Pasture Beef'!I156</f>
        <v>0.06</v>
      </c>
      <c r="AA167" s="52">
        <f>'Input - Pasture Beef'!J156</f>
        <v>0.06</v>
      </c>
      <c r="AB167" s="52">
        <f>'Input - Pasture Beef'!K156</f>
        <v>0.06</v>
      </c>
      <c r="AC167" s="52">
        <f>'Input - Pasture Beef'!L156</f>
        <v>0.06</v>
      </c>
      <c r="AD167" s="52">
        <f>'Input - Pasture Beef'!M156</f>
        <v>0.06</v>
      </c>
      <c r="AE167" s="52">
        <f>'Input - Pasture Beef'!N156</f>
        <v>0.06</v>
      </c>
      <c r="AF167" s="2" t="s">
        <v>141</v>
      </c>
    </row>
    <row r="168" spans="3:34" ht="20.100000000000001" customHeight="1" x14ac:dyDescent="0.25">
      <c r="D168" s="51" t="s">
        <v>184</v>
      </c>
      <c r="E168" s="51" t="s">
        <v>131</v>
      </c>
      <c r="F168" s="51" t="s">
        <v>130</v>
      </c>
      <c r="G168" s="51" t="s">
        <v>165</v>
      </c>
      <c r="H168" s="51" t="s">
        <v>166</v>
      </c>
      <c r="I168" s="51" t="s">
        <v>167</v>
      </c>
      <c r="J168" s="51" t="s">
        <v>168</v>
      </c>
      <c r="K168" s="51" t="s">
        <v>169</v>
      </c>
      <c r="L168" s="51" t="s">
        <v>170</v>
      </c>
      <c r="M168" s="51" t="s">
        <v>171</v>
      </c>
      <c r="N168" s="51" t="s">
        <v>172</v>
      </c>
      <c r="U168" s="52" t="str">
        <f>TEXT(EDATE('Input - Site'!$E$12,4), "mmmm yyyy")</f>
        <v>May 2024</v>
      </c>
      <c r="V168" s="52">
        <f>'Input - Pasture Beef'!E157</f>
        <v>0.06</v>
      </c>
      <c r="W168" s="52">
        <f>'Input - Pasture Beef'!F157</f>
        <v>0.06</v>
      </c>
      <c r="X168" s="52">
        <f>'Input - Pasture Beef'!G157</f>
        <v>0.06</v>
      </c>
      <c r="Y168" s="52">
        <f>'Input - Pasture Beef'!H157</f>
        <v>0.06</v>
      </c>
      <c r="Z168" s="52">
        <f>'Input - Pasture Beef'!I157</f>
        <v>0.06</v>
      </c>
      <c r="AA168" s="52">
        <f>'Input - Pasture Beef'!J157</f>
        <v>0.06</v>
      </c>
      <c r="AB168" s="52">
        <f>'Input - Pasture Beef'!K157</f>
        <v>0.06</v>
      </c>
      <c r="AC168" s="52">
        <f>'Input - Pasture Beef'!L157</f>
        <v>0.06</v>
      </c>
      <c r="AD168" s="52">
        <f>'Input - Pasture Beef'!M157</f>
        <v>0.06</v>
      </c>
      <c r="AE168" s="52">
        <f>'Input - Pasture Beef'!N157</f>
        <v>0.06</v>
      </c>
      <c r="AF168" s="2" t="s">
        <v>141</v>
      </c>
      <c r="AG168" s="2"/>
      <c r="AH168" s="2"/>
    </row>
    <row r="169" spans="3:34" ht="20.100000000000001" customHeight="1" x14ac:dyDescent="0.25">
      <c r="D169" s="52" t="s">
        <v>173</v>
      </c>
      <c r="E169" s="52" cm="1">
        <f t="array" ref="E169">MMS_PastureBeef_Soil_N2ODirect_Equations.VEERG_4_2_1_3__3_NitrogenExcreted(E54,E153,F161,E127,E20)</f>
        <v>0.26350651585923002</v>
      </c>
      <c r="F169" s="52" cm="1">
        <f t="array" ref="F169">MMS_PastureBeef_Soil_N2ODirect_Equations.VEERG_4_2_1_3__3_NitrogenExcreted(F54,F153,G161,F127,F20)</f>
        <v>0.37708133734232585</v>
      </c>
      <c r="G169" s="52" cm="1">
        <f t="array" ref="G169">MMS_PastureBeef_Soil_N2ODirect_Equations.VEERG_4_2_1_3__3_NitrogenExcreted(G54,G153,H161,G127,G20)</f>
        <v>0.20744815814809262</v>
      </c>
      <c r="H169" s="52" cm="1">
        <f t="array" ref="H169">MMS_PastureBeef_Soil_N2ODirect_Equations.VEERG_4_2_1_3__3_NitrogenExcreted(H54,H153,I161,H127,H20)</f>
        <v>0.27019156235411551</v>
      </c>
      <c r="I169" s="52" cm="1">
        <f t="array" ref="I169">MMS_PastureBeef_Soil_N2ODirect_Equations.VEERG_4_2_1_3__3_NitrogenExcreted(I54,I153,J161,I127,I20)</f>
        <v>0.30420135145744365</v>
      </c>
      <c r="J169" s="52" cm="1">
        <f t="array" ref="J169">MMS_PastureBeef_Soil_N2ODirect_Equations.VEERG_4_2_1_3__3_NitrogenExcreted(J54,J153,K161,J127,J20)</f>
        <v>0.30420135145744365</v>
      </c>
      <c r="K169" s="52" cm="1">
        <f t="array" ref="K169">MMS_PastureBeef_Soil_N2ODirect_Equations.VEERG_4_2_1_3__3_NitrogenExcreted(K54,K153,L161,K127,K20)</f>
        <v>0.23489856582312055</v>
      </c>
      <c r="L169" s="52" cm="1">
        <f t="array" ref="L169">MMS_PastureBeef_Soil_N2ODirect_Equations.VEERG_4_2_1_3__3_NitrogenExcreted(L54,L153,M161,L127,L20)</f>
        <v>0.2934676863299529</v>
      </c>
      <c r="M169" s="52" cm="1">
        <f t="array" ref="M169">MMS_PastureBeef_Soil_N2ODirect_Equations.VEERG_4_2_1_3__3_NitrogenExcreted(M54,M153,N161,M127,M20)</f>
        <v>0.2934676863299529</v>
      </c>
      <c r="N169" s="52" cm="1">
        <f t="array" ref="N169">MMS_PastureBeef_Soil_N2ODirect_Equations.VEERG_4_2_1_3__3_NitrogenExcreted(N54,N153,O161,N127,N20)</f>
        <v>0.2934676863299529</v>
      </c>
      <c r="O169" s="2" t="str">
        <f>$E$140</f>
        <v>kg N/head/day</v>
      </c>
      <c r="U169" s="52" t="str">
        <f>TEXT(EDATE('Input - Site'!$E$12,5), "mmmm yyyy")</f>
        <v>June 2024</v>
      </c>
      <c r="V169" s="52">
        <f>'Input - Pasture Beef'!E158</f>
        <v>0.2</v>
      </c>
      <c r="W169" s="52">
        <f>'Input - Pasture Beef'!F158</f>
        <v>0.2</v>
      </c>
      <c r="X169" s="52">
        <f>'Input - Pasture Beef'!G158</f>
        <v>0.2</v>
      </c>
      <c r="Y169" s="52">
        <f>'Input - Pasture Beef'!H158</f>
        <v>0.2</v>
      </c>
      <c r="Z169" s="52">
        <f>'Input - Pasture Beef'!I158</f>
        <v>0.2</v>
      </c>
      <c r="AA169" s="52">
        <f>'Input - Pasture Beef'!J158</f>
        <v>0.2</v>
      </c>
      <c r="AB169" s="52">
        <f>'Input - Pasture Beef'!K158</f>
        <v>0.2</v>
      </c>
      <c r="AC169" s="52">
        <f>'Input - Pasture Beef'!L158</f>
        <v>0.2</v>
      </c>
      <c r="AD169" s="52">
        <f>'Input - Pasture Beef'!M158</f>
        <v>0.2</v>
      </c>
      <c r="AE169" s="52">
        <f>'Input - Pasture Beef'!N158</f>
        <v>0.2</v>
      </c>
      <c r="AF169" s="2" t="s">
        <v>141</v>
      </c>
      <c r="AG169" s="2"/>
      <c r="AH169" s="2"/>
    </row>
    <row r="170" spans="3:34" ht="20.100000000000001" customHeight="1" x14ac:dyDescent="0.25">
      <c r="D170" s="52" t="s">
        <v>174</v>
      </c>
      <c r="E170" s="52" cm="1">
        <f t="array" ref="E170">MMS_PastureBeef_Soil_N2ODirect_Equations.VEERG_4_2_1_3__3_NitrogenExcreted(E55,E154,F162,E128,E21)</f>
        <v>9.3275223802458812E-2</v>
      </c>
      <c r="F170" s="52" cm="1">
        <f t="array" ref="F170">MMS_PastureBeef_Soil_N2ODirect_Equations.VEERG_4_2_1_3__3_NitrogenExcreted(F55,F154,G162,F128,F21)</f>
        <v>0.13601872675007995</v>
      </c>
      <c r="G170" s="52" cm="1">
        <f t="array" ref="G170">MMS_PastureBeef_Soil_N2ODirect_Equations.VEERG_4_2_1_3__3_NitrogenExcreted(G55,G154,H162,G128,G21)</f>
        <v>7.7811027960341214E-2</v>
      </c>
      <c r="H170" s="52" cm="1">
        <f t="array" ref="H170">MMS_PastureBeef_Soil_N2ODirect_Equations.VEERG_4_2_1_3__3_NitrogenExcreted(H55,H154,I162,H128,H21)</f>
        <v>0.10758035881234858</v>
      </c>
      <c r="I170" s="52" cm="1">
        <f t="array" ref="I170">MMS_PastureBeef_Soil_N2ODirect_Equations.VEERG_4_2_1_3__3_NitrogenExcreted(I55,I154,J162,I128,I21)</f>
        <v>0.11276190880086426</v>
      </c>
      <c r="J170" s="52" cm="1">
        <f t="array" ref="J170">MMS_PastureBeef_Soil_N2ODirect_Equations.VEERG_4_2_1_3__3_NitrogenExcreted(J55,J154,K162,J128,J21)</f>
        <v>0.11276190880086426</v>
      </c>
      <c r="K170" s="52" cm="1">
        <f t="array" ref="K170">MMS_PastureBeef_Soil_N2ODirect_Equations.VEERG_4_2_1_3__3_NitrogenExcreted(K55,K154,L162,K128,K21)</f>
        <v>8.562550571362422E-2</v>
      </c>
      <c r="L170" s="52" cm="1">
        <f t="array" ref="L170">MMS_PastureBeef_Soil_N2ODirect_Equations.VEERG_4_2_1_3__3_NitrogenExcreted(L55,L154,M162,L128,L21)</f>
        <v>0.1054491491748196</v>
      </c>
      <c r="M170" s="52" cm="1">
        <f t="array" ref="M170">MMS_PastureBeef_Soil_N2ODirect_Equations.VEERG_4_2_1_3__3_NitrogenExcreted(M55,M154,N162,M128,M21)</f>
        <v>0.1054491491748196</v>
      </c>
      <c r="N170" s="52" cm="1">
        <f t="array" ref="N170">MMS_PastureBeef_Soil_N2ODirect_Equations.VEERG_4_2_1_3__3_NitrogenExcreted(N55,N154,O162,N128,N21)</f>
        <v>0.1054491491748196</v>
      </c>
      <c r="O170" s="2" t="str">
        <f t="shared" ref="O170:O172" si="8">$E$140</f>
        <v>kg N/head/day</v>
      </c>
      <c r="U170" s="52" t="str">
        <f>TEXT(EDATE('Input - Site'!$E$12,6), "mmmm yyyy")</f>
        <v>July 2024</v>
      </c>
      <c r="V170" s="52">
        <f>'Input - Pasture Beef'!E159</f>
        <v>0.2</v>
      </c>
      <c r="W170" s="52">
        <f>'Input - Pasture Beef'!F159</f>
        <v>0.2</v>
      </c>
      <c r="X170" s="52">
        <f>'Input - Pasture Beef'!G159</f>
        <v>0.2</v>
      </c>
      <c r="Y170" s="52">
        <f>'Input - Pasture Beef'!H159</f>
        <v>0.2</v>
      </c>
      <c r="Z170" s="52">
        <f>'Input - Pasture Beef'!I159</f>
        <v>0.2</v>
      </c>
      <c r="AA170" s="52">
        <f>'Input - Pasture Beef'!J159</f>
        <v>0.2</v>
      </c>
      <c r="AB170" s="52">
        <f>'Input - Pasture Beef'!K159</f>
        <v>0.2</v>
      </c>
      <c r="AC170" s="52">
        <f>'Input - Pasture Beef'!L159</f>
        <v>0.2</v>
      </c>
      <c r="AD170" s="52">
        <f>'Input - Pasture Beef'!M159</f>
        <v>0.2</v>
      </c>
      <c r="AE170" s="52">
        <f>'Input - Pasture Beef'!N159</f>
        <v>0.2</v>
      </c>
      <c r="AF170" s="2" t="s">
        <v>141</v>
      </c>
      <c r="AG170" s="2"/>
      <c r="AH170" s="2"/>
    </row>
    <row r="171" spans="3:34" ht="20.100000000000001" customHeight="1" x14ac:dyDescent="0.25">
      <c r="D171" s="52" t="s">
        <v>175</v>
      </c>
      <c r="E171" s="52" cm="1">
        <f t="array" ref="E171">MMS_PastureBeef_Soil_N2ODirect_Equations.VEERG_4_2_1_3__3_NitrogenExcreted(E56,E155,F163,E129,E22)</f>
        <v>1.3490587405558481E-2</v>
      </c>
      <c r="F171" s="52" cm="1">
        <f t="array" ref="F171">MMS_PastureBeef_Soil_N2ODirect_Equations.VEERG_4_2_1_3__3_NitrogenExcreted(F56,F155,G163,F129,F22)</f>
        <v>8.8133023634157495E-2</v>
      </c>
      <c r="G171" s="52" cm="1">
        <f t="array" ref="G171">MMS_PastureBeef_Soil_N2ODirect_Equations.VEERG_4_2_1_3__3_NitrogenExcreted(G56,G155,H163,G129,G22)</f>
        <v>1.1001898802853755E-2</v>
      </c>
      <c r="H171" s="52" cm="1">
        <f t="array" ref="H171">MMS_PastureBeef_Soil_N2ODirect_Equations.VEERG_4_2_1_3__3_NitrogenExcreted(H56,H155,I163,H129,H22)</f>
        <v>5.2330323088884703E-2</v>
      </c>
      <c r="I171" s="52" cm="1">
        <f t="array" ref="I171">MMS_PastureBeef_Soil_N2ODirect_Equations.VEERG_4_2_1_3__3_NitrogenExcreted(I56,I155,J163,I129,I22)</f>
        <v>6.9185083188389812E-2</v>
      </c>
      <c r="J171" s="52" cm="1">
        <f t="array" ref="J171">MMS_PastureBeef_Soil_N2ODirect_Equations.VEERG_4_2_1_3__3_NitrogenExcreted(J56,J155,K163,J129,J22)</f>
        <v>6.9185083188389812E-2</v>
      </c>
      <c r="K171" s="52" cm="1">
        <f t="array" ref="K171">MMS_PastureBeef_Soil_N2ODirect_Equations.VEERG_4_2_1_3__3_NitrogenExcreted(K56,K155,L163,K129,K22)</f>
        <v>1.3731587835013218E-2</v>
      </c>
      <c r="L171" s="52" cm="1">
        <f t="array" ref="L171">MMS_PastureBeef_Soil_N2ODirect_Equations.VEERG_4_2_1_3__3_NitrogenExcreted(L56,L155,M163,L129,L22)</f>
        <v>5.520208336562428E-2</v>
      </c>
      <c r="M171" s="52" cm="1">
        <f t="array" ref="M171">MMS_PastureBeef_Soil_N2ODirect_Equations.VEERG_4_2_1_3__3_NitrogenExcreted(M56,M155,N163,M129,M22)</f>
        <v>5.520208336562428E-2</v>
      </c>
      <c r="N171" s="52" cm="1">
        <f t="array" ref="N171">MMS_PastureBeef_Soil_N2ODirect_Equations.VEERG_4_2_1_3__3_NitrogenExcreted(N56,N155,O163,N129,N22)</f>
        <v>5.520208336562428E-2</v>
      </c>
      <c r="O171" s="2" t="str">
        <f t="shared" si="8"/>
        <v>kg N/head/day</v>
      </c>
      <c r="U171" s="52" t="str">
        <f>TEXT(EDATE('Input - Site'!$E$12,7), "mmmm yyyy")</f>
        <v>August 2024</v>
      </c>
      <c r="V171" s="52">
        <f>'Input - Pasture Beef'!E160</f>
        <v>0.2</v>
      </c>
      <c r="W171" s="52">
        <f>'Input - Pasture Beef'!F160</f>
        <v>0.2</v>
      </c>
      <c r="X171" s="52">
        <f>'Input - Pasture Beef'!G160</f>
        <v>0.2</v>
      </c>
      <c r="Y171" s="52">
        <f>'Input - Pasture Beef'!H160</f>
        <v>0.2</v>
      </c>
      <c r="Z171" s="52">
        <f>'Input - Pasture Beef'!I160</f>
        <v>0.2</v>
      </c>
      <c r="AA171" s="52">
        <f>'Input - Pasture Beef'!J160</f>
        <v>0.2</v>
      </c>
      <c r="AB171" s="52">
        <f>'Input - Pasture Beef'!K160</f>
        <v>0.2</v>
      </c>
      <c r="AC171" s="52">
        <f>'Input - Pasture Beef'!L160</f>
        <v>0.2</v>
      </c>
      <c r="AD171" s="52">
        <f>'Input - Pasture Beef'!M160</f>
        <v>0.2</v>
      </c>
      <c r="AE171" s="52">
        <f>'Input - Pasture Beef'!N160</f>
        <v>0.2</v>
      </c>
      <c r="AF171" s="2" t="s">
        <v>141</v>
      </c>
      <c r="AG171" s="2"/>
      <c r="AH171" s="2"/>
    </row>
    <row r="172" spans="3:34" ht="20.100000000000001" customHeight="1" x14ac:dyDescent="0.25">
      <c r="D172" s="52" t="s">
        <v>176</v>
      </c>
      <c r="E172" s="52" cm="1">
        <f t="array" ref="E172">MMS_PastureBeef_Soil_N2ODirect_Equations.VEERG_4_2_1_3__3_NitrogenExcreted(E57,E156,F164,E130,E23)</f>
        <v>0.16782142173820769</v>
      </c>
      <c r="F172" s="52" cm="1">
        <f t="array" ref="F172">MMS_PastureBeef_Soil_N2ODirect_Equations.VEERG_4_2_1_3__3_NitrogenExcreted(F57,F156,G164,F130,F23)</f>
        <v>0.31425341534791917</v>
      </c>
      <c r="G172" s="52" cm="1">
        <f t="array" ref="G172">MMS_PastureBeef_Soil_N2ODirect_Equations.VEERG_4_2_1_3__3_NitrogenExcreted(G57,G156,H164,G130,G23)</f>
        <v>0.14439972918793106</v>
      </c>
      <c r="H172" s="52" cm="1">
        <f t="array" ref="H172">MMS_PastureBeef_Soil_N2ODirect_Equations.VEERG_4_2_1_3__3_NitrogenExcreted(H57,H156,I164,H130,H23)</f>
        <v>0.21074764708329058</v>
      </c>
      <c r="I172" s="52" cm="1">
        <f t="array" ref="I172">MMS_PastureBeef_Soil_N2ODirect_Equations.VEERG_4_2_1_3__3_NitrogenExcreted(I57,I156,J164,I130,I23)</f>
        <v>0.27448186171350092</v>
      </c>
      <c r="J172" s="52" cm="1">
        <f t="array" ref="J172">MMS_PastureBeef_Soil_N2ODirect_Equations.VEERG_4_2_1_3__3_NitrogenExcreted(J57,J156,K164,J130,J23)</f>
        <v>0.27448186171350092</v>
      </c>
      <c r="K172" s="52" cm="1">
        <f t="array" ref="K172">MMS_PastureBeef_Soil_N2ODirect_Equations.VEERG_4_2_1_3__3_NitrogenExcreted(K57,K156,L164,K130,K23)</f>
        <v>0.15390387455817453</v>
      </c>
      <c r="L172" s="52" cm="1">
        <f t="array" ref="L172">MMS_PastureBeef_Soil_N2ODirect_Equations.VEERG_4_2_1_3__3_NitrogenExcreted(L57,L156,M164,L130,L23)</f>
        <v>0.21091009356426255</v>
      </c>
      <c r="M172" s="52" cm="1">
        <f t="array" ref="M172">MMS_PastureBeef_Soil_N2ODirect_Equations.VEERG_4_2_1_3__3_NitrogenExcreted(M57,M156,N164,M130,M23)</f>
        <v>0.21091009356426255</v>
      </c>
      <c r="N172" s="52" cm="1">
        <f t="array" ref="N172">MMS_PastureBeef_Soil_N2ODirect_Equations.VEERG_4_2_1_3__3_NitrogenExcreted(N57,N156,O164,N130,N23)</f>
        <v>0.21091009356426255</v>
      </c>
      <c r="O172" s="2" t="str">
        <f t="shared" si="8"/>
        <v>kg N/head/day</v>
      </c>
      <c r="U172" s="52" t="str">
        <f>TEXT(EDATE('Input - Site'!$E$12,8), "mmmm yyyy")</f>
        <v>September 2024</v>
      </c>
      <c r="V172" s="52">
        <f>'Input - Pasture Beef'!E161</f>
        <v>0.2</v>
      </c>
      <c r="W172" s="52">
        <f>'Input - Pasture Beef'!F161</f>
        <v>0.2</v>
      </c>
      <c r="X172" s="52">
        <f>'Input - Pasture Beef'!G161</f>
        <v>0.2</v>
      </c>
      <c r="Y172" s="52">
        <f>'Input - Pasture Beef'!H161</f>
        <v>0.2</v>
      </c>
      <c r="Z172" s="52">
        <f>'Input - Pasture Beef'!I161</f>
        <v>0.2</v>
      </c>
      <c r="AA172" s="52">
        <f>'Input - Pasture Beef'!J161</f>
        <v>0.2</v>
      </c>
      <c r="AB172" s="52">
        <f>'Input - Pasture Beef'!K161</f>
        <v>0.2</v>
      </c>
      <c r="AC172" s="52">
        <f>'Input - Pasture Beef'!L161</f>
        <v>0.2</v>
      </c>
      <c r="AD172" s="52">
        <f>'Input - Pasture Beef'!M161</f>
        <v>0.2</v>
      </c>
      <c r="AE172" s="52">
        <f>'Input - Pasture Beef'!N161</f>
        <v>0.2</v>
      </c>
      <c r="AF172" s="2" t="s">
        <v>141</v>
      </c>
      <c r="AG172" s="2"/>
      <c r="AH172" s="2"/>
    </row>
    <row r="173" spans="3:34" ht="20.100000000000001" customHeight="1" x14ac:dyDescent="0.25">
      <c r="U173" s="52" t="str">
        <f>TEXT(EDATE('Input - Site'!$E$12,9), "mmmm yyyy")</f>
        <v>October 2024</v>
      </c>
      <c r="V173" s="52">
        <f>'Input - Pasture Beef'!E162</f>
        <v>0.2</v>
      </c>
      <c r="W173" s="52">
        <f>'Input - Pasture Beef'!F162</f>
        <v>0.2</v>
      </c>
      <c r="X173" s="52">
        <f>'Input - Pasture Beef'!G162</f>
        <v>0.2</v>
      </c>
      <c r="Y173" s="52">
        <f>'Input - Pasture Beef'!H162</f>
        <v>0.2</v>
      </c>
      <c r="Z173" s="52">
        <f>'Input - Pasture Beef'!I162</f>
        <v>0.2</v>
      </c>
      <c r="AA173" s="52">
        <f>'Input - Pasture Beef'!J162</f>
        <v>0.2</v>
      </c>
      <c r="AB173" s="52">
        <f>'Input - Pasture Beef'!K162</f>
        <v>0.2</v>
      </c>
      <c r="AC173" s="52">
        <f>'Input - Pasture Beef'!L162</f>
        <v>0.2</v>
      </c>
      <c r="AD173" s="52">
        <f>'Input - Pasture Beef'!M162</f>
        <v>0.2</v>
      </c>
      <c r="AE173" s="52">
        <f>'Input - Pasture Beef'!N162</f>
        <v>0.2</v>
      </c>
      <c r="AF173" s="2" t="s">
        <v>141</v>
      </c>
      <c r="AG173" s="2"/>
      <c r="AH173" s="2"/>
    </row>
    <row r="174" spans="3:34" ht="20.100000000000001" customHeight="1" x14ac:dyDescent="0.25">
      <c r="U174" s="52" t="str">
        <f>TEXT(EDATE('Input - Site'!$E$12,10), "mmmm yyyy")</f>
        <v>November 2024</v>
      </c>
      <c r="V174" s="52">
        <f>'Input - Pasture Beef'!E163</f>
        <v>0.2</v>
      </c>
      <c r="W174" s="52">
        <f>'Input - Pasture Beef'!F163</f>
        <v>0.2</v>
      </c>
      <c r="X174" s="52">
        <f>'Input - Pasture Beef'!G163</f>
        <v>0.2</v>
      </c>
      <c r="Y174" s="52">
        <f>'Input - Pasture Beef'!H163</f>
        <v>0.2</v>
      </c>
      <c r="Z174" s="52">
        <f>'Input - Pasture Beef'!I163</f>
        <v>0.2</v>
      </c>
      <c r="AA174" s="52">
        <f>'Input - Pasture Beef'!J163</f>
        <v>0.2</v>
      </c>
      <c r="AB174" s="52">
        <f>'Input - Pasture Beef'!K163</f>
        <v>0.2</v>
      </c>
      <c r="AC174" s="52">
        <f>'Input - Pasture Beef'!L163</f>
        <v>0.2</v>
      </c>
      <c r="AD174" s="52">
        <f>'Input - Pasture Beef'!M163</f>
        <v>0.2</v>
      </c>
      <c r="AE174" s="52">
        <f>'Input - Pasture Beef'!N163</f>
        <v>0.2</v>
      </c>
      <c r="AF174" s="2" t="s">
        <v>141</v>
      </c>
      <c r="AG174" s="2"/>
      <c r="AH174" s="2"/>
    </row>
    <row r="175" spans="3:34" ht="20.100000000000001" customHeight="1" x14ac:dyDescent="0.25">
      <c r="C175" s="45"/>
      <c r="D175" s="45"/>
      <c r="E175" s="45"/>
      <c r="F175" s="45"/>
      <c r="G175" s="45"/>
      <c r="H175" s="45"/>
      <c r="I175" s="45"/>
      <c r="J175" s="45"/>
      <c r="K175" s="45"/>
      <c r="L175" s="45"/>
      <c r="M175" s="45"/>
      <c r="N175" s="45"/>
      <c r="O175" s="45"/>
      <c r="P175" s="45"/>
      <c r="Q175" s="45"/>
      <c r="R175" s="45"/>
      <c r="U175" s="52" t="str">
        <f>TEXT(EDATE('Input - Site'!$E$12,11), "mmmm yyyy")</f>
        <v>December 2024</v>
      </c>
      <c r="V175" s="52">
        <f>'Input - Pasture Beef'!E164</f>
        <v>0.09</v>
      </c>
      <c r="W175" s="52">
        <f>'Input - Pasture Beef'!F164</f>
        <v>0.09</v>
      </c>
      <c r="X175" s="52">
        <f>'Input - Pasture Beef'!G164</f>
        <v>0.09</v>
      </c>
      <c r="Y175" s="52">
        <f>'Input - Pasture Beef'!H164</f>
        <v>0.09</v>
      </c>
      <c r="Z175" s="52">
        <f>'Input - Pasture Beef'!I164</f>
        <v>0.09</v>
      </c>
      <c r="AA175" s="52">
        <f>'Input - Pasture Beef'!J164</f>
        <v>0.09</v>
      </c>
      <c r="AB175" s="52">
        <f>'Input - Pasture Beef'!K164</f>
        <v>0.09</v>
      </c>
      <c r="AC175" s="52">
        <f>'Input - Pasture Beef'!L164</f>
        <v>0.09</v>
      </c>
      <c r="AD175" s="52">
        <f>'Input - Pasture Beef'!M164</f>
        <v>0.09</v>
      </c>
      <c r="AE175" s="52">
        <f>'Input - Pasture Beef'!N164</f>
        <v>0.09</v>
      </c>
      <c r="AF175" s="2" t="s">
        <v>141</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9" t="s">
        <v>302</v>
      </c>
      <c r="AH177" s="2"/>
    </row>
    <row r="178" spans="4:34" ht="20.100000000000001" customHeight="1" x14ac:dyDescent="0.25">
      <c r="D178" s="13" t="s">
        <v>27</v>
      </c>
      <c r="E178" s="13" t="str" cm="1">
        <f t="array" aca="1" ref="E178" ca="1">Common_InputFunctions.Utility_DisplayFunctionName($E$207)</f>
        <v>=MMS_PastureBeef_Soil_N2ODirect_Equations.VEERG_4_2_1_3__2_TotalNitrogenExcretedToPastureRangeAndPaddock</v>
      </c>
      <c r="U178" s="98" t="s">
        <v>318</v>
      </c>
      <c r="AH178" s="2"/>
    </row>
    <row r="179" spans="4:34" ht="20.100000000000001" customHeight="1" x14ac:dyDescent="0.25">
      <c r="U179" s="51" t="s">
        <v>132</v>
      </c>
      <c r="V179" s="51" t="s">
        <v>247</v>
      </c>
      <c r="W179" s="51" t="s">
        <v>131</v>
      </c>
      <c r="X179" s="51" t="s">
        <v>130</v>
      </c>
      <c r="Y179" s="51" t="s">
        <v>165</v>
      </c>
      <c r="Z179" s="51" t="s">
        <v>166</v>
      </c>
      <c r="AA179" s="51" t="s">
        <v>167</v>
      </c>
      <c r="AB179" s="51" t="s">
        <v>168</v>
      </c>
      <c r="AC179" s="51" t="s">
        <v>169</v>
      </c>
      <c r="AD179" s="51" t="s">
        <v>170</v>
      </c>
      <c r="AE179" s="51" t="s">
        <v>171</v>
      </c>
      <c r="AF179" s="51" t="s">
        <v>172</v>
      </c>
      <c r="AH179" s="2"/>
    </row>
    <row r="180" spans="4:34" ht="20.100000000000001" customHeight="1" x14ac:dyDescent="0.25">
      <c r="U180" s="52" t="str">
        <f>TEXT('Input - Site'!$E$12,"mmmm")</f>
        <v>January</v>
      </c>
      <c r="V180" s="52" t="str" cm="1">
        <f t="array" ref="V180">IFERROR(_xlfn.IFS(SUMPRODUCT(ISNUMBER(SEARCH(TRIM(_xlfn.TEXTSPLIT($U$92,",")),U180))*1)&gt;0,"Calving season",SUMPRODUCT(ISNUMBER(SEARCH(TRIM(_xlfn.TEXTSPLIT($U$93,",")),U180))*1)&gt;0,"Season after calving"), "")</f>
        <v>Season after calving</v>
      </c>
      <c r="W180" s="52" cm="1">
        <f t="array" ref="W180">_xlfn.XLOOKUP(1, (Table_SourceData_PastureBeef_FeedIntakeAdjustment_Variation[Breed]=$X$158)*(Table_SourceData_PastureBeef_FeedIntakeAdjustment_Variation[Season]=$V180), Table_SourceData_PastureBeef_FeedIntakeAdjustment_Variation[Milk intake/production], 0)</f>
        <v>4</v>
      </c>
      <c r="X180" s="52">
        <v>0</v>
      </c>
      <c r="Y180" s="52" cm="1">
        <f t="array" ref="Y180">_xlfn.XLOOKUP(1, (Table_SourceData_PastureBeef_FeedIntakeAdjustment_Variation[Breed]=$X$158)*(Table_SourceData_PastureBeef_FeedIntakeAdjustment_Variation[Season]=$V180), Table_SourceData_PastureBeef_FeedIntakeAdjustment_Variation[Milk intake/production], 0)</f>
        <v>4</v>
      </c>
      <c r="Z180" s="52">
        <v>0</v>
      </c>
      <c r="AA180" s="52">
        <v>0</v>
      </c>
      <c r="AB180" s="52">
        <v>0</v>
      </c>
      <c r="AC180" s="52" cm="1">
        <f t="array" ref="AC180">_xlfn.XLOOKUP(1, (Table_SourceData_PastureBeef_FeedIntakeAdjustment_Variation[Breed]=$X$158)*(Table_SourceData_PastureBeef_FeedIntakeAdjustment_Variation[Season]=$V180), Table_SourceData_PastureBeef_FeedIntakeAdjustment_Variation[Milk intake/production], 0)</f>
        <v>4</v>
      </c>
      <c r="AD180" s="52">
        <v>0</v>
      </c>
      <c r="AE180" s="52">
        <v>0</v>
      </c>
      <c r="AF180" s="52">
        <v>0</v>
      </c>
      <c r="AG180" s="2" t="s">
        <v>134</v>
      </c>
    </row>
    <row r="181" spans="4:34" ht="20.100000000000001" customHeight="1" x14ac:dyDescent="0.25">
      <c r="D181" s="53" t="s">
        <v>30</v>
      </c>
      <c r="E181" s="1" t="str" cm="1">
        <f t="array" ref="E181">MMS_PastureBeef_Soil_N2ODirect_Equations.VEERG_4_2_1_3__2_TotalNitrogenExcretedToPastureRangeAndPaddock_Variable()</f>
        <v>AE</v>
      </c>
      <c r="U181" s="52" t="str">
        <f>TEXT(EDATE('Input - Site'!$E$12,1), "mmmm")</f>
        <v>February</v>
      </c>
      <c r="V181" s="52" t="str" cm="1">
        <f t="array" ref="V181">IFERROR(_xlfn.IFS(SUMPRODUCT(ISNUMBER(SEARCH(TRIM(_xlfn.TEXTSPLIT($U$92,",")),U181))*1)&gt;0,"Calving season",SUMPRODUCT(ISNUMBER(SEARCH(TRIM(_xlfn.TEXTSPLIT($U$93,",")),U181))*1)&gt;0,"Season after calving"), "")</f>
        <v/>
      </c>
      <c r="W181" s="52" cm="1">
        <f t="array" ref="W181">_xlfn.XLOOKUP(1, (Table_SourceData_PastureBeef_FeedIntakeAdjustment_Variation[Breed]=$X$158)*(Table_SourceData_PastureBeef_FeedIntakeAdjustment_Variation[Season]=$V181), Table_SourceData_PastureBeef_FeedIntakeAdjustment_Variation[Milk intake/production], 0)</f>
        <v>0</v>
      </c>
      <c r="X181" s="52">
        <v>0</v>
      </c>
      <c r="Y181" s="52" cm="1">
        <f t="array" ref="Y181">_xlfn.XLOOKUP(1, (Table_SourceData_PastureBeef_FeedIntakeAdjustment_Variation[Breed]=$X$158)*(Table_SourceData_PastureBeef_FeedIntakeAdjustment_Variation[Season]=$V181), Table_SourceData_PastureBeef_FeedIntakeAdjustment_Variation[Milk intake/production], 0)</f>
        <v>0</v>
      </c>
      <c r="Z181" s="52">
        <v>0</v>
      </c>
      <c r="AA181" s="52">
        <v>0</v>
      </c>
      <c r="AB181" s="52">
        <v>0</v>
      </c>
      <c r="AC181" s="52" cm="1">
        <f t="array" ref="AC181">_xlfn.XLOOKUP(1, (Table_SourceData_PastureBeef_FeedIntakeAdjustment_Variation[Breed]=$X$158)*(Table_SourceData_PastureBeef_FeedIntakeAdjustment_Variation[Season]=$V181), Table_SourceData_PastureBeef_FeedIntakeAdjustment_Variation[Milk intake/production], 0)</f>
        <v>0</v>
      </c>
      <c r="AD181" s="52">
        <v>0</v>
      </c>
      <c r="AE181" s="52">
        <v>0</v>
      </c>
      <c r="AF181" s="52">
        <v>0</v>
      </c>
      <c r="AG181" s="2" t="s">
        <v>134</v>
      </c>
    </row>
    <row r="182" spans="4:34" ht="20.100000000000001" customHeight="1" x14ac:dyDescent="0.25">
      <c r="D182" s="53" t="s">
        <v>20</v>
      </c>
      <c r="E182" s="54" t="str" cm="1">
        <f t="array" ref="E182">MMS_PastureBeef_Soil_N2ODirect_Equations.VEERG_4_2_1_3__2_TotalNitrogenExcretedToPastureRangeAndPaddock_Unit()</f>
        <v>kg N</v>
      </c>
      <c r="U182" s="52" t="str">
        <f>TEXT(EDATE('Input - Site'!$E$12,2), "mmmm")</f>
        <v>March</v>
      </c>
      <c r="V182" s="52" t="str" cm="1">
        <f t="array" ref="V182">IFERROR(_xlfn.IFS(SUMPRODUCT(ISNUMBER(SEARCH(TRIM(_xlfn.TEXTSPLIT($U$92,",")),U182))*1)&gt;0,"Calving season",SUMPRODUCT(ISNUMBER(SEARCH(TRIM(_xlfn.TEXTSPLIT($U$93,",")),U182))*1)&gt;0,"Season after calving"), "")</f>
        <v/>
      </c>
      <c r="W182" s="52" cm="1">
        <f t="array" ref="W182">_xlfn.XLOOKUP(1, (Table_SourceData_PastureBeef_FeedIntakeAdjustment_Variation[Breed]=$X$158)*(Table_SourceData_PastureBeef_FeedIntakeAdjustment_Variation[Season]=$V182), Table_SourceData_PastureBeef_FeedIntakeAdjustment_Variation[Milk intake/production], 0)</f>
        <v>0</v>
      </c>
      <c r="X182" s="52">
        <v>0</v>
      </c>
      <c r="Y182" s="52" cm="1">
        <f t="array" ref="Y182">_xlfn.XLOOKUP(1, (Table_SourceData_PastureBeef_FeedIntakeAdjustment_Variation[Breed]=$X$158)*(Table_SourceData_PastureBeef_FeedIntakeAdjustment_Variation[Season]=$V182), Table_SourceData_PastureBeef_FeedIntakeAdjustment_Variation[Milk intake/production], 0)</f>
        <v>0</v>
      </c>
      <c r="Z182" s="52">
        <v>0</v>
      </c>
      <c r="AA182" s="52">
        <v>0</v>
      </c>
      <c r="AB182" s="52">
        <v>0</v>
      </c>
      <c r="AC182" s="52" cm="1">
        <f t="array" ref="AC182">_xlfn.XLOOKUP(1, (Table_SourceData_PastureBeef_FeedIntakeAdjustment_Variation[Breed]=$X$158)*(Table_SourceData_PastureBeef_FeedIntakeAdjustment_Variation[Season]=$V182), Table_SourceData_PastureBeef_FeedIntakeAdjustment_Variation[Milk intake/production], 0)</f>
        <v>0</v>
      </c>
      <c r="AD182" s="52">
        <v>0</v>
      </c>
      <c r="AE182" s="52">
        <v>0</v>
      </c>
      <c r="AF182" s="52">
        <v>0</v>
      </c>
      <c r="AG182" s="2" t="s">
        <v>134</v>
      </c>
    </row>
    <row r="183" spans="4:34" ht="20.100000000000001" customHeight="1" x14ac:dyDescent="0.25">
      <c r="U183" s="52" t="str">
        <f>TEXT(EDATE('Input - Site'!$E$12,3), "mmmm")</f>
        <v>April</v>
      </c>
      <c r="V183" s="52" t="str" cm="1">
        <f t="array" ref="V183">IFERROR(_xlfn.IFS(SUMPRODUCT(ISNUMBER(SEARCH(TRIM(_xlfn.TEXTSPLIT($U$92,",")),U183))*1)&gt;0,"Calving season",SUMPRODUCT(ISNUMBER(SEARCH(TRIM(_xlfn.TEXTSPLIT($U$93,",")),U183))*1)&gt;0,"Season after calving"), "")</f>
        <v/>
      </c>
      <c r="W183" s="52" cm="1">
        <f t="array" ref="W183">_xlfn.XLOOKUP(1, (Table_SourceData_PastureBeef_FeedIntakeAdjustment_Variation[Breed]=$X$158)*(Table_SourceData_PastureBeef_FeedIntakeAdjustment_Variation[Season]=$V183), Table_SourceData_PastureBeef_FeedIntakeAdjustment_Variation[Milk intake/production], 0)</f>
        <v>0</v>
      </c>
      <c r="X183" s="52">
        <v>0</v>
      </c>
      <c r="Y183" s="52" cm="1">
        <f t="array" ref="Y183">_xlfn.XLOOKUP(1, (Table_SourceData_PastureBeef_FeedIntakeAdjustment_Variation[Breed]=$X$158)*(Table_SourceData_PastureBeef_FeedIntakeAdjustment_Variation[Season]=$V183), Table_SourceData_PastureBeef_FeedIntakeAdjustment_Variation[Milk intake/production], 0)</f>
        <v>0</v>
      </c>
      <c r="Z183" s="52">
        <v>0</v>
      </c>
      <c r="AA183" s="52">
        <v>0</v>
      </c>
      <c r="AB183" s="52">
        <v>0</v>
      </c>
      <c r="AC183" s="52" cm="1">
        <f t="array" ref="AC183">_xlfn.XLOOKUP(1, (Table_SourceData_PastureBeef_FeedIntakeAdjustment_Variation[Breed]=$X$158)*(Table_SourceData_PastureBeef_FeedIntakeAdjustment_Variation[Season]=$V183), Table_SourceData_PastureBeef_FeedIntakeAdjustment_Variation[Milk intake/production], 0)</f>
        <v>0</v>
      </c>
      <c r="AD183" s="52">
        <v>0</v>
      </c>
      <c r="AE183" s="52">
        <v>0</v>
      </c>
      <c r="AF183" s="52">
        <v>0</v>
      </c>
      <c r="AG183" s="2" t="s">
        <v>134</v>
      </c>
    </row>
    <row r="184" spans="4:34" ht="20.100000000000001" customHeight="1" x14ac:dyDescent="0.25">
      <c r="D184" s="57" t="str" cm="1">
        <f t="array" ref="D184:E186">MMS_PastureBeef_Soil_N2ODirect_Equations.VEERG_4_2_1_3__2_TotalNitrogenExcretedToPastureRangeAndPaddock_Arguments()</f>
        <v>N_jkl</v>
      </c>
      <c r="E184" s="58" t="str">
        <v>number of beef cattle by time-period, class and subclass (head)</v>
      </c>
      <c r="F184" s="100"/>
      <c r="G184" s="59"/>
      <c r="H184" s="57" t="str">
        <f>"See " &amp; $D$188</f>
        <v>See M1_Table_N_j_k_l</v>
      </c>
      <c r="U184" s="52" t="str">
        <f>TEXT(EDATE('Input - Site'!$E$12,4), "mmmm")</f>
        <v>May</v>
      </c>
      <c r="V184" s="52" t="str" cm="1">
        <f t="array" ref="V184">IFERROR(_xlfn.IFS(SUMPRODUCT(ISNUMBER(SEARCH(TRIM(_xlfn.TEXTSPLIT($U$92,",")),U184))*1)&gt;0,"Calving season",SUMPRODUCT(ISNUMBER(SEARCH(TRIM(_xlfn.TEXTSPLIT($U$93,",")),U184))*1)&gt;0,"Season after calving"), "")</f>
        <v/>
      </c>
      <c r="W184" s="52" cm="1">
        <f t="array" ref="W184">_xlfn.XLOOKUP(1, (Table_SourceData_PastureBeef_FeedIntakeAdjustment_Variation[Breed]=$X$158)*(Table_SourceData_PastureBeef_FeedIntakeAdjustment_Variation[Season]=$V184), Table_SourceData_PastureBeef_FeedIntakeAdjustment_Variation[Milk intake/production], 0)</f>
        <v>0</v>
      </c>
      <c r="X184" s="52">
        <v>0</v>
      </c>
      <c r="Y184" s="52" cm="1">
        <f t="array" ref="Y184">_xlfn.XLOOKUP(1, (Table_SourceData_PastureBeef_FeedIntakeAdjustment_Variation[Breed]=$X$158)*(Table_SourceData_PastureBeef_FeedIntakeAdjustment_Variation[Season]=$V184), Table_SourceData_PastureBeef_FeedIntakeAdjustment_Variation[Milk intake/production], 0)</f>
        <v>0</v>
      </c>
      <c r="Z184" s="52">
        <v>0</v>
      </c>
      <c r="AA184" s="52">
        <v>0</v>
      </c>
      <c r="AB184" s="52">
        <v>0</v>
      </c>
      <c r="AC184" s="52" cm="1">
        <f t="array" ref="AC184">_xlfn.XLOOKUP(1, (Table_SourceData_PastureBeef_FeedIntakeAdjustment_Variation[Breed]=$X$158)*(Table_SourceData_PastureBeef_FeedIntakeAdjustment_Variation[Season]=$V184), Table_SourceData_PastureBeef_FeedIntakeAdjustment_Variation[Milk intake/production], 0)</f>
        <v>0</v>
      </c>
      <c r="AD184" s="52">
        <v>0</v>
      </c>
      <c r="AE184" s="52">
        <v>0</v>
      </c>
      <c r="AF184" s="52">
        <v>0</v>
      </c>
      <c r="AG184" s="2" t="s">
        <v>134</v>
      </c>
      <c r="AH184" s="2"/>
    </row>
    <row r="185" spans="4:34" ht="20.100000000000001" customHeight="1" x14ac:dyDescent="0.25">
      <c r="D185" s="57" t="str">
        <v>NE_jkl</v>
      </c>
      <c r="E185" s="58" t="str">
        <v>nitrogen excreted in each time-period, by each class and subclass (kg N/head/day)</v>
      </c>
      <c r="F185" s="100"/>
      <c r="G185" s="59"/>
      <c r="H185" s="57" t="str">
        <f>"See " &amp; $D$166</f>
        <v>See M1_Table_NE_j_k_l</v>
      </c>
      <c r="U185" s="52" t="str">
        <f>TEXT(EDATE('Input - Site'!$E$12,5), "mmmm")</f>
        <v>June</v>
      </c>
      <c r="V185" s="52" t="str" cm="1">
        <f t="array" ref="V185">IFERROR(_xlfn.IFS(SUMPRODUCT(ISNUMBER(SEARCH(TRIM(_xlfn.TEXTSPLIT($U$92,",")),U185))*1)&gt;0,"Calving season",SUMPRODUCT(ISNUMBER(SEARCH(TRIM(_xlfn.TEXTSPLIT($U$93,",")),U185))*1)&gt;0,"Season after calving"), "")</f>
        <v/>
      </c>
      <c r="W185" s="52" cm="1">
        <f t="array" ref="W185">_xlfn.XLOOKUP(1, (Table_SourceData_PastureBeef_FeedIntakeAdjustment_Variation[Breed]=$X$158)*(Table_SourceData_PastureBeef_FeedIntakeAdjustment_Variation[Season]=$V185), Table_SourceData_PastureBeef_FeedIntakeAdjustment_Variation[Milk intake/production], 0)</f>
        <v>0</v>
      </c>
      <c r="X185" s="52">
        <v>0</v>
      </c>
      <c r="Y185" s="52" cm="1">
        <f t="array" ref="Y185">_xlfn.XLOOKUP(1, (Table_SourceData_PastureBeef_FeedIntakeAdjustment_Variation[Breed]=$X$158)*(Table_SourceData_PastureBeef_FeedIntakeAdjustment_Variation[Season]=$V185), Table_SourceData_PastureBeef_FeedIntakeAdjustment_Variation[Milk intake/production], 0)</f>
        <v>0</v>
      </c>
      <c r="Z185" s="52">
        <v>0</v>
      </c>
      <c r="AA185" s="52">
        <v>0</v>
      </c>
      <c r="AB185" s="52">
        <v>0</v>
      </c>
      <c r="AC185" s="52" cm="1">
        <f t="array" ref="AC185">_xlfn.XLOOKUP(1, (Table_SourceData_PastureBeef_FeedIntakeAdjustment_Variation[Breed]=$X$158)*(Table_SourceData_PastureBeef_FeedIntakeAdjustment_Variation[Season]=$V185), Table_SourceData_PastureBeef_FeedIntakeAdjustment_Variation[Milk intake/production], 0)</f>
        <v>0</v>
      </c>
      <c r="AD185" s="52">
        <v>0</v>
      </c>
      <c r="AE185" s="52">
        <v>0</v>
      </c>
      <c r="AF185" s="52">
        <v>0</v>
      </c>
      <c r="AG185" s="2" t="s">
        <v>134</v>
      </c>
      <c r="AH185" s="2"/>
    </row>
    <row r="186" spans="4:34" ht="20.100000000000001" customHeight="1" x14ac:dyDescent="0.25">
      <c r="D186" s="57" t="str">
        <v>D_j</v>
      </c>
      <c r="E186" s="58" t="str">
        <v>number of days in each time-period (days)</v>
      </c>
      <c r="F186" s="100"/>
      <c r="G186" s="59"/>
      <c r="H186" s="57" t="str">
        <f>"See " &amp; $D$196</f>
        <v>See M1_Table_D_j</v>
      </c>
      <c r="U186" s="52" t="str">
        <f>TEXT(EDATE('Input - Site'!$E$12,6), "mmmm")</f>
        <v>July</v>
      </c>
      <c r="V186" s="52" t="str" cm="1">
        <f t="array" ref="V186">IFERROR(_xlfn.IFS(SUMPRODUCT(ISNUMBER(SEARCH(TRIM(_xlfn.TEXTSPLIT($U$92,",")),U186))*1)&gt;0,"Calving season",SUMPRODUCT(ISNUMBER(SEARCH(TRIM(_xlfn.TEXTSPLIT($U$93,",")),U186))*1)&gt;0,"Season after calving"), "")</f>
        <v/>
      </c>
      <c r="W186" s="52" cm="1">
        <f t="array" ref="W186">_xlfn.XLOOKUP(1, (Table_SourceData_PastureBeef_FeedIntakeAdjustment_Variation[Breed]=$X$158)*(Table_SourceData_PastureBeef_FeedIntakeAdjustment_Variation[Season]=$V186), Table_SourceData_PastureBeef_FeedIntakeAdjustment_Variation[Milk intake/production], 0)</f>
        <v>0</v>
      </c>
      <c r="X186" s="52">
        <v>0</v>
      </c>
      <c r="Y186" s="52" cm="1">
        <f t="array" ref="Y186">_xlfn.XLOOKUP(1, (Table_SourceData_PastureBeef_FeedIntakeAdjustment_Variation[Breed]=$X$158)*(Table_SourceData_PastureBeef_FeedIntakeAdjustment_Variation[Season]=$V186), Table_SourceData_PastureBeef_FeedIntakeAdjustment_Variation[Milk intake/production], 0)</f>
        <v>0</v>
      </c>
      <c r="Z186" s="52">
        <v>0</v>
      </c>
      <c r="AA186" s="52">
        <v>0</v>
      </c>
      <c r="AB186" s="52">
        <v>0</v>
      </c>
      <c r="AC186" s="52" cm="1">
        <f t="array" ref="AC186">_xlfn.XLOOKUP(1, (Table_SourceData_PastureBeef_FeedIntakeAdjustment_Variation[Breed]=$X$158)*(Table_SourceData_PastureBeef_FeedIntakeAdjustment_Variation[Season]=$V186), Table_SourceData_PastureBeef_FeedIntakeAdjustment_Variation[Milk intake/production], 0)</f>
        <v>0</v>
      </c>
      <c r="AD186" s="52">
        <v>0</v>
      </c>
      <c r="AE186" s="52">
        <v>0</v>
      </c>
      <c r="AF186" s="52">
        <v>0</v>
      </c>
      <c r="AG186" s="2" t="s">
        <v>134</v>
      </c>
      <c r="AH186" s="2"/>
    </row>
    <row r="187" spans="4:34" ht="20.100000000000001" customHeight="1" x14ac:dyDescent="0.25">
      <c r="U187" s="52" t="str">
        <f>TEXT(EDATE('Input - Site'!$E$12,7), "mmmm")</f>
        <v>August</v>
      </c>
      <c r="V187" s="52" t="str" cm="1">
        <f t="array" ref="V187">IFERROR(_xlfn.IFS(SUMPRODUCT(ISNUMBER(SEARCH(TRIM(_xlfn.TEXTSPLIT($U$92,",")),U187))*1)&gt;0,"Calving season",SUMPRODUCT(ISNUMBER(SEARCH(TRIM(_xlfn.TEXTSPLIT($U$93,",")),U187))*1)&gt;0,"Season after calving"), "")</f>
        <v>Calving season</v>
      </c>
      <c r="W187" s="52" cm="1">
        <f t="array" ref="W187">_xlfn.XLOOKUP(1, (Table_SourceData_PastureBeef_FeedIntakeAdjustment_Variation[Breed]=$X$158)*(Table_SourceData_PastureBeef_FeedIntakeAdjustment_Variation[Season]=$V187), Table_SourceData_PastureBeef_FeedIntakeAdjustment_Variation[Milk intake/production], 0)</f>
        <v>6</v>
      </c>
      <c r="X187" s="52">
        <v>0</v>
      </c>
      <c r="Y187" s="52" cm="1">
        <f t="array" ref="Y187">_xlfn.XLOOKUP(1, (Table_SourceData_PastureBeef_FeedIntakeAdjustment_Variation[Breed]=$X$158)*(Table_SourceData_PastureBeef_FeedIntakeAdjustment_Variation[Season]=$V187), Table_SourceData_PastureBeef_FeedIntakeAdjustment_Variation[Milk intake/production], 0)</f>
        <v>6</v>
      </c>
      <c r="Z187" s="52">
        <v>0</v>
      </c>
      <c r="AA187" s="52">
        <v>0</v>
      </c>
      <c r="AB187" s="52">
        <v>0</v>
      </c>
      <c r="AC187" s="52" cm="1">
        <f t="array" ref="AC187">_xlfn.XLOOKUP(1, (Table_SourceData_PastureBeef_FeedIntakeAdjustment_Variation[Breed]=$X$158)*(Table_SourceData_PastureBeef_FeedIntakeAdjustment_Variation[Season]=$V187), Table_SourceData_PastureBeef_FeedIntakeAdjustment_Variation[Milk intake/production], 0)</f>
        <v>6</v>
      </c>
      <c r="AD187" s="52">
        <v>0</v>
      </c>
      <c r="AE187" s="52">
        <v>0</v>
      </c>
      <c r="AF187" s="52">
        <v>0</v>
      </c>
      <c r="AG187" s="2" t="s">
        <v>134</v>
      </c>
      <c r="AH187" s="2"/>
    </row>
    <row r="188" spans="4:34" ht="20.100000000000001" customHeight="1" x14ac:dyDescent="0.25">
      <c r="D188" s="99" t="s">
        <v>278</v>
      </c>
      <c r="U188" s="52" t="str">
        <f>TEXT(EDATE('Input - Site'!$E$12,8), "mmmm")</f>
        <v>September</v>
      </c>
      <c r="V188" s="52" t="str" cm="1">
        <f t="array" ref="V188">IFERROR(_xlfn.IFS(SUMPRODUCT(ISNUMBER(SEARCH(TRIM(_xlfn.TEXTSPLIT($U$92,",")),U188))*1)&gt;0,"Calving season",SUMPRODUCT(ISNUMBER(SEARCH(TRIM(_xlfn.TEXTSPLIT($U$93,",")),U188))*1)&gt;0,"Season after calving"), "")</f>
        <v>Calving season</v>
      </c>
      <c r="W188" s="52" cm="1">
        <f t="array" ref="W188">_xlfn.XLOOKUP(1, (Table_SourceData_PastureBeef_FeedIntakeAdjustment_Variation[Breed]=$X$158)*(Table_SourceData_PastureBeef_FeedIntakeAdjustment_Variation[Season]=$V188), Table_SourceData_PastureBeef_FeedIntakeAdjustment_Variation[Milk intake/production], 0)</f>
        <v>6</v>
      </c>
      <c r="X188" s="52">
        <v>0</v>
      </c>
      <c r="Y188" s="52" cm="1">
        <f t="array" ref="Y188">_xlfn.XLOOKUP(1, (Table_SourceData_PastureBeef_FeedIntakeAdjustment_Variation[Breed]=$X$158)*(Table_SourceData_PastureBeef_FeedIntakeAdjustment_Variation[Season]=$V188), Table_SourceData_PastureBeef_FeedIntakeAdjustment_Variation[Milk intake/production], 0)</f>
        <v>6</v>
      </c>
      <c r="Z188" s="52">
        <v>0</v>
      </c>
      <c r="AA188" s="52">
        <v>0</v>
      </c>
      <c r="AB188" s="52">
        <v>0</v>
      </c>
      <c r="AC188" s="52" cm="1">
        <f t="array" ref="AC188">_xlfn.XLOOKUP(1, (Table_SourceData_PastureBeef_FeedIntakeAdjustment_Variation[Breed]=$X$158)*(Table_SourceData_PastureBeef_FeedIntakeAdjustment_Variation[Season]=$V188), Table_SourceData_PastureBeef_FeedIntakeAdjustment_Variation[Milk intake/production], 0)</f>
        <v>6</v>
      </c>
      <c r="AD188" s="52">
        <v>0</v>
      </c>
      <c r="AE188" s="52">
        <v>0</v>
      </c>
      <c r="AF188" s="52">
        <v>0</v>
      </c>
      <c r="AG188" s="2" t="s">
        <v>134</v>
      </c>
    </row>
    <row r="189" spans="4:34" ht="20.100000000000001" customHeight="1" x14ac:dyDescent="0.25">
      <c r="D189" s="98" t="s">
        <v>279</v>
      </c>
      <c r="U189" s="52" t="str">
        <f>TEXT(EDATE('Input - Site'!$E$12,9), "mmmm")</f>
        <v>October</v>
      </c>
      <c r="V189" s="52" t="str" cm="1">
        <f t="array" ref="V189">IFERROR(_xlfn.IFS(SUMPRODUCT(ISNUMBER(SEARCH(TRIM(_xlfn.TEXTSPLIT($U$92,",")),U189))*1)&gt;0,"Calving season",SUMPRODUCT(ISNUMBER(SEARCH(TRIM(_xlfn.TEXTSPLIT($U$93,",")),U189))*1)&gt;0,"Season after calving"), "")</f>
        <v>Calving season</v>
      </c>
      <c r="W189" s="52" cm="1">
        <f t="array" ref="W189">_xlfn.XLOOKUP(1, (Table_SourceData_PastureBeef_FeedIntakeAdjustment_Variation[Breed]=$X$158)*(Table_SourceData_PastureBeef_FeedIntakeAdjustment_Variation[Season]=$V189), Table_SourceData_PastureBeef_FeedIntakeAdjustment_Variation[Milk intake/production], 0)</f>
        <v>6</v>
      </c>
      <c r="X189" s="52">
        <v>0</v>
      </c>
      <c r="Y189" s="52" cm="1">
        <f t="array" ref="Y189">_xlfn.XLOOKUP(1, (Table_SourceData_PastureBeef_FeedIntakeAdjustment_Variation[Breed]=$X$158)*(Table_SourceData_PastureBeef_FeedIntakeAdjustment_Variation[Season]=$V189), Table_SourceData_PastureBeef_FeedIntakeAdjustment_Variation[Milk intake/production], 0)</f>
        <v>6</v>
      </c>
      <c r="Z189" s="52">
        <v>0</v>
      </c>
      <c r="AA189" s="52">
        <v>0</v>
      </c>
      <c r="AB189" s="52">
        <v>0</v>
      </c>
      <c r="AC189" s="52" cm="1">
        <f t="array" ref="AC189">_xlfn.XLOOKUP(1, (Table_SourceData_PastureBeef_FeedIntakeAdjustment_Variation[Breed]=$X$158)*(Table_SourceData_PastureBeef_FeedIntakeAdjustment_Variation[Season]=$V189), Table_SourceData_PastureBeef_FeedIntakeAdjustment_Variation[Milk intake/production], 0)</f>
        <v>6</v>
      </c>
      <c r="AD189" s="52">
        <v>0</v>
      </c>
      <c r="AE189" s="52">
        <v>0</v>
      </c>
      <c r="AF189" s="52">
        <v>0</v>
      </c>
      <c r="AG189" s="2" t="s">
        <v>134</v>
      </c>
    </row>
    <row r="190" spans="4:34" ht="20.100000000000001" customHeight="1" x14ac:dyDescent="0.25">
      <c r="D190" s="51" t="s">
        <v>184</v>
      </c>
      <c r="E190" s="51" t="s">
        <v>131</v>
      </c>
      <c r="F190" s="51" t="s">
        <v>130</v>
      </c>
      <c r="G190" s="51" t="s">
        <v>165</v>
      </c>
      <c r="H190" s="51" t="s">
        <v>166</v>
      </c>
      <c r="I190" s="51" t="s">
        <v>167</v>
      </c>
      <c r="J190" s="51" t="s">
        <v>168</v>
      </c>
      <c r="K190" s="51" t="s">
        <v>169</v>
      </c>
      <c r="L190" s="51" t="s">
        <v>170</v>
      </c>
      <c r="M190" s="51" t="s">
        <v>171</v>
      </c>
      <c r="N190" s="51" t="s">
        <v>172</v>
      </c>
      <c r="U190" s="52" t="str">
        <f>TEXT(EDATE('Input - Site'!$E$12,10), "mmmm")</f>
        <v>November</v>
      </c>
      <c r="V190" s="52" t="str" cm="1">
        <f t="array" ref="V190">IFERROR(_xlfn.IFS(SUMPRODUCT(ISNUMBER(SEARCH(TRIM(_xlfn.TEXTSPLIT($U$92,",")),U190))*1)&gt;0,"Calving season",SUMPRODUCT(ISNUMBER(SEARCH(TRIM(_xlfn.TEXTSPLIT($U$93,",")),U190))*1)&gt;0,"Season after calving"), "")</f>
        <v>Season after calving</v>
      </c>
      <c r="W190" s="52" cm="1">
        <f t="array" ref="W190">_xlfn.XLOOKUP(1, (Table_SourceData_PastureBeef_FeedIntakeAdjustment_Variation[Breed]=$X$158)*(Table_SourceData_PastureBeef_FeedIntakeAdjustment_Variation[Season]=$V190), Table_SourceData_PastureBeef_FeedIntakeAdjustment_Variation[Milk intake/production], 0)</f>
        <v>4</v>
      </c>
      <c r="X190" s="52">
        <v>0</v>
      </c>
      <c r="Y190" s="52" cm="1">
        <f t="array" ref="Y190">_xlfn.XLOOKUP(1, (Table_SourceData_PastureBeef_FeedIntakeAdjustment_Variation[Breed]=$X$158)*(Table_SourceData_PastureBeef_FeedIntakeAdjustment_Variation[Season]=$V190), Table_SourceData_PastureBeef_FeedIntakeAdjustment_Variation[Milk intake/production], 0)</f>
        <v>4</v>
      </c>
      <c r="Z190" s="52">
        <v>0</v>
      </c>
      <c r="AA190" s="52">
        <v>0</v>
      </c>
      <c r="AB190" s="52">
        <v>0</v>
      </c>
      <c r="AC190" s="52" cm="1">
        <f t="array" ref="AC190">_xlfn.XLOOKUP(1, (Table_SourceData_PastureBeef_FeedIntakeAdjustment_Variation[Breed]=$X$158)*(Table_SourceData_PastureBeef_FeedIntakeAdjustment_Variation[Season]=$V190), Table_SourceData_PastureBeef_FeedIntakeAdjustment_Variation[Milk intake/production], 0)</f>
        <v>4</v>
      </c>
      <c r="AD190" s="52">
        <v>0</v>
      </c>
      <c r="AE190" s="52">
        <v>0</v>
      </c>
      <c r="AF190" s="52">
        <v>0</v>
      </c>
      <c r="AG190" s="2" t="s">
        <v>134</v>
      </c>
    </row>
    <row r="191" spans="4:34" ht="20.100000000000001" customHeight="1" x14ac:dyDescent="0.25">
      <c r="D191" s="52" t="s">
        <v>173</v>
      </c>
      <c r="E191" s="52">
        <f>'Input - Pasture Beef'!E38</f>
        <v>100</v>
      </c>
      <c r="F191" s="52">
        <f>'Input - Pasture Beef'!F38</f>
        <v>100</v>
      </c>
      <c r="G191" s="52">
        <f>'Input - Pasture Beef'!G38</f>
        <v>100</v>
      </c>
      <c r="H191" s="52">
        <f>'Input - Pasture Beef'!H38</f>
        <v>100</v>
      </c>
      <c r="I191" s="52">
        <f>'Input - Pasture Beef'!I38</f>
        <v>100</v>
      </c>
      <c r="J191" s="52">
        <f>'Input - Pasture Beef'!J38</f>
        <v>100</v>
      </c>
      <c r="K191" s="52">
        <f>'Input - Pasture Beef'!K38</f>
        <v>100</v>
      </c>
      <c r="L191" s="52">
        <f>'Input - Pasture Beef'!L38</f>
        <v>100</v>
      </c>
      <c r="M191" s="52">
        <f>'Input - Pasture Beef'!M38</f>
        <v>100</v>
      </c>
      <c r="N191" s="52">
        <f>'Input - Pasture Beef'!N38</f>
        <v>100</v>
      </c>
      <c r="O191" s="2" t="s">
        <v>102</v>
      </c>
      <c r="U191" s="52" t="str">
        <f>TEXT(EDATE('Input - Site'!$E$12,11), "mmmm")</f>
        <v>December</v>
      </c>
      <c r="V191" s="52" t="str" cm="1">
        <f t="array" ref="V191">IFERROR(_xlfn.IFS(SUMPRODUCT(ISNUMBER(SEARCH(TRIM(_xlfn.TEXTSPLIT($U$92,",")),U191))*1)&gt;0,"Calving season",SUMPRODUCT(ISNUMBER(SEARCH(TRIM(_xlfn.TEXTSPLIT($U$93,",")),U191))*1)&gt;0,"Season after calving"), "")</f>
        <v>Season after calving</v>
      </c>
      <c r="W191" s="52" cm="1">
        <f t="array" ref="W191">_xlfn.XLOOKUP(1, (Table_SourceData_PastureBeef_FeedIntakeAdjustment_Variation[Breed]=$X$158)*(Table_SourceData_PastureBeef_FeedIntakeAdjustment_Variation[Season]=$V191), Table_SourceData_PastureBeef_FeedIntakeAdjustment_Variation[Milk intake/production], 0)</f>
        <v>4</v>
      </c>
      <c r="X191" s="52">
        <v>0</v>
      </c>
      <c r="Y191" s="52" cm="1">
        <f t="array" ref="Y191">_xlfn.XLOOKUP(1, (Table_SourceData_PastureBeef_FeedIntakeAdjustment_Variation[Breed]=$X$158)*(Table_SourceData_PastureBeef_FeedIntakeAdjustment_Variation[Season]=$V191), Table_SourceData_PastureBeef_FeedIntakeAdjustment_Variation[Milk intake/production], 0)</f>
        <v>4</v>
      </c>
      <c r="Z191" s="52">
        <v>0</v>
      </c>
      <c r="AA191" s="52">
        <v>0</v>
      </c>
      <c r="AB191" s="52">
        <v>0</v>
      </c>
      <c r="AC191" s="52" cm="1">
        <f t="array" ref="AC191">_xlfn.XLOOKUP(1, (Table_SourceData_PastureBeef_FeedIntakeAdjustment_Variation[Breed]=$X$158)*(Table_SourceData_PastureBeef_FeedIntakeAdjustment_Variation[Season]=$V191), Table_SourceData_PastureBeef_FeedIntakeAdjustment_Variation[Milk intake/production], 0)</f>
        <v>4</v>
      </c>
      <c r="AD191" s="52">
        <v>0</v>
      </c>
      <c r="AE191" s="52">
        <v>0</v>
      </c>
      <c r="AF191" s="52">
        <v>0</v>
      </c>
      <c r="AG191" s="2" t="s">
        <v>134</v>
      </c>
    </row>
    <row r="192" spans="4:34" ht="20.100000000000001" customHeight="1" x14ac:dyDescent="0.25">
      <c r="D192" s="52" t="s">
        <v>174</v>
      </c>
      <c r="E192" s="52">
        <f>'Input - Pasture Beef'!E39</f>
        <v>100</v>
      </c>
      <c r="F192" s="52">
        <f>'Input - Pasture Beef'!F39</f>
        <v>100</v>
      </c>
      <c r="G192" s="52">
        <f>'Input - Pasture Beef'!G39</f>
        <v>100</v>
      </c>
      <c r="H192" s="52">
        <f>'Input - Pasture Beef'!H39</f>
        <v>100</v>
      </c>
      <c r="I192" s="52">
        <f>'Input - Pasture Beef'!I39</f>
        <v>100</v>
      </c>
      <c r="J192" s="52">
        <f>'Input - Pasture Beef'!J39</f>
        <v>100</v>
      </c>
      <c r="K192" s="52">
        <f>'Input - Pasture Beef'!K39</f>
        <v>100</v>
      </c>
      <c r="L192" s="52">
        <f>'Input - Pasture Beef'!L39</f>
        <v>100</v>
      </c>
      <c r="M192" s="52">
        <f>'Input - Pasture Beef'!M39</f>
        <v>100</v>
      </c>
      <c r="N192" s="52">
        <f>'Input - Pasture Beef'!N39</f>
        <v>100</v>
      </c>
      <c r="O192" s="2" t="s">
        <v>102</v>
      </c>
    </row>
    <row r="193" spans="4:34" ht="20.100000000000001" customHeight="1" x14ac:dyDescent="0.25">
      <c r="D193" s="52" t="s">
        <v>175</v>
      </c>
      <c r="E193" s="52">
        <f>'Input - Pasture Beef'!E40</f>
        <v>100</v>
      </c>
      <c r="F193" s="52">
        <f>'Input - Pasture Beef'!F40</f>
        <v>100</v>
      </c>
      <c r="G193" s="52">
        <f>'Input - Pasture Beef'!G40</f>
        <v>100</v>
      </c>
      <c r="H193" s="52">
        <f>'Input - Pasture Beef'!H40</f>
        <v>100</v>
      </c>
      <c r="I193" s="52">
        <f>'Input - Pasture Beef'!I40</f>
        <v>100</v>
      </c>
      <c r="J193" s="52">
        <f>'Input - Pasture Beef'!J40</f>
        <v>100</v>
      </c>
      <c r="K193" s="52">
        <f>'Input - Pasture Beef'!K40</f>
        <v>100</v>
      </c>
      <c r="L193" s="52">
        <f>'Input - Pasture Beef'!L40</f>
        <v>100</v>
      </c>
      <c r="M193" s="52">
        <f>'Input - Pasture Beef'!M40</f>
        <v>100</v>
      </c>
      <c r="N193" s="52">
        <f>'Input - Pasture Beef'!N40</f>
        <v>100</v>
      </c>
      <c r="O193" s="2" t="s">
        <v>102</v>
      </c>
      <c r="U193" s="99" t="s">
        <v>321</v>
      </c>
    </row>
    <row r="194" spans="4:34" ht="20.100000000000001" customHeight="1" x14ac:dyDescent="0.25">
      <c r="D194" s="52" t="s">
        <v>176</v>
      </c>
      <c r="E194" s="52">
        <f>'Input - Pasture Beef'!E41</f>
        <v>100</v>
      </c>
      <c r="F194" s="52">
        <f>'Input - Pasture Beef'!F41</f>
        <v>100</v>
      </c>
      <c r="G194" s="52">
        <f>'Input - Pasture Beef'!G41</f>
        <v>100</v>
      </c>
      <c r="H194" s="52">
        <f>'Input - Pasture Beef'!H41</f>
        <v>100</v>
      </c>
      <c r="I194" s="52">
        <f>'Input - Pasture Beef'!I41</f>
        <v>100</v>
      </c>
      <c r="J194" s="52">
        <f>'Input - Pasture Beef'!J41</f>
        <v>100</v>
      </c>
      <c r="K194" s="52">
        <f>'Input - Pasture Beef'!K41</f>
        <v>100</v>
      </c>
      <c r="L194" s="52">
        <f>'Input - Pasture Beef'!L41</f>
        <v>100</v>
      </c>
      <c r="M194" s="52">
        <f>'Input - Pasture Beef'!M41</f>
        <v>100</v>
      </c>
      <c r="N194" s="52">
        <f>'Input - Pasture Beef'!N41</f>
        <v>100</v>
      </c>
      <c r="O194" s="2" t="s">
        <v>102</v>
      </c>
      <c r="U194" s="98" t="s">
        <v>322</v>
      </c>
    </row>
    <row r="195" spans="4:34" ht="20.100000000000001" customHeight="1" x14ac:dyDescent="0.25">
      <c r="U195" s="51" t="s">
        <v>132</v>
      </c>
      <c r="V195" s="51" t="s">
        <v>131</v>
      </c>
      <c r="W195" s="51" t="s">
        <v>130</v>
      </c>
      <c r="X195" s="51" t="s">
        <v>165</v>
      </c>
      <c r="Y195" s="51" t="s">
        <v>166</v>
      </c>
      <c r="Z195" s="51" t="s">
        <v>167</v>
      </c>
      <c r="AA195" s="51" t="s">
        <v>168</v>
      </c>
      <c r="AB195" s="51" t="s">
        <v>169</v>
      </c>
      <c r="AC195" s="51" t="s">
        <v>170</v>
      </c>
      <c r="AD195" s="51" t="s">
        <v>171</v>
      </c>
      <c r="AE195" s="51" t="s">
        <v>172</v>
      </c>
    </row>
    <row r="196" spans="4:34" ht="20.100000000000001" customHeight="1" x14ac:dyDescent="0.25">
      <c r="D196" s="99" t="s">
        <v>146</v>
      </c>
      <c r="U196" s="52" t="str">
        <f>TEXT('Input - Site'!$E$12, "mmmm yyyy")</f>
        <v>January 2024</v>
      </c>
      <c r="V196" s="52" cm="1">
        <f t="array" ref="V196">MMS_PastureBeef_Soil_N2ODirect_Equations.VEERG_4_2_1_3__3_NitrogenExcreted(V56,V164,W180,V136,V20)</f>
        <v>0.11333791972722371</v>
      </c>
      <c r="W196" s="52" cm="1">
        <f t="array" ref="W196">MMS_PastureBeef_Soil_N2ODirect_Equations.VEERG_4_2_1_3__3_NitrogenExcreted(W56,W164,X180,W136,W20)</f>
        <v>0.13601872675007995</v>
      </c>
      <c r="X196" s="52" cm="1">
        <f t="array" ref="X196">MMS_PastureBeef_Soil_N2ODirect_Equations.VEERG_4_2_1_3__3_NitrogenExcreted(X56,X164,Y180,X136,X20)</f>
        <v>9.7873723885106109E-2</v>
      </c>
      <c r="Y196" s="52" cm="1">
        <f t="array" ref="Y196">MMS_PastureBeef_Soil_N2ODirect_Equations.VEERG_4_2_1_3__3_NitrogenExcreted(Y56,Y164,Z180,Y136,Y20)</f>
        <v>0.10103589494585365</v>
      </c>
      <c r="Z196" s="52" cm="1">
        <f t="array" ref="Z196">MMS_PastureBeef_Soil_N2ODirect_Equations.VEERG_4_2_1_3__3_NitrogenExcreted(Z56,Z164,AA180,Z136,Z20)</f>
        <v>0.10613051058639233</v>
      </c>
      <c r="AA196" s="52" cm="1">
        <f t="array" ref="AA196">MMS_PastureBeef_Soil_N2ODirect_Equations.VEERG_4_2_1_3__3_NitrogenExcreted(AA56,AA164,AB180,AA136,AA20)</f>
        <v>0.10613051058639233</v>
      </c>
      <c r="AB196" s="52" cm="1">
        <f t="array" ref="AB196">MMS_PastureBeef_Soil_N2ODirect_Equations.VEERG_4_2_1_3__3_NitrogenExcreted(AB56,AB164,AC180,AB136,AB20)</f>
        <v>0.10568820163838911</v>
      </c>
      <c r="AC196" s="52" cm="1">
        <f t="array" ref="AC196">MMS_PastureBeef_Soil_N2ODirect_Equations.VEERG_4_2_1_3__3_NitrogenExcreted(AC56,AC164,AD180,AC136,AC20)</f>
        <v>0.1054491491748196</v>
      </c>
      <c r="AD196" s="52" cm="1">
        <f t="array" ref="AD196">MMS_PastureBeef_Soil_N2ODirect_Equations.VEERG_4_2_1_3__3_NitrogenExcreted(AD56,AD164,AE180,AD136,AD20)</f>
        <v>0.1054491491748196</v>
      </c>
      <c r="AE196" s="52" cm="1">
        <f t="array" ref="AE196">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8" t="s">
        <v>280</v>
      </c>
      <c r="U197" s="52" t="str">
        <f>TEXT(EDATE('Input - Site'!$E$12,1), "mmmm yyyy")</f>
        <v>February 2024</v>
      </c>
      <c r="V197" s="52" cm="1">
        <f t="array" ref="V197">MMS_PastureBeef_Soil_N2ODirect_Equations.VEERG_4_2_1_3__3_NitrogenExcreted(V57,V165,W181,V137,V21)</f>
        <v>9.3275223802458812E-2</v>
      </c>
      <c r="W197" s="52" cm="1">
        <f t="array" ref="W197">MMS_PastureBeef_Soil_N2ODirect_Equations.VEERG_4_2_1_3__3_NitrogenExcreted(W57,W165,X181,W137,W21)</f>
        <v>0.13601872675007995</v>
      </c>
      <c r="X197" s="52" cm="1">
        <f t="array" ref="X197">MMS_PastureBeef_Soil_N2ODirect_Equations.VEERG_4_2_1_3__3_NitrogenExcreted(X57,X165,Y181,X137,X21)</f>
        <v>7.7811027960341214E-2</v>
      </c>
      <c r="Y197" s="52" cm="1">
        <f t="array" ref="Y197">MMS_PastureBeef_Soil_N2ODirect_Equations.VEERG_4_2_1_3__3_NitrogenExcreted(Y57,Y165,Z181,Y137,Y21)</f>
        <v>0.10758035881234858</v>
      </c>
      <c r="Z197" s="52" cm="1">
        <f t="array" ref="Z197">MMS_PastureBeef_Soil_N2ODirect_Equations.VEERG_4_2_1_3__3_NitrogenExcreted(Z57,Z165,AA181,Z137,Z21)</f>
        <v>0.11276190880086426</v>
      </c>
      <c r="AA197" s="52" cm="1">
        <f t="array" ref="AA197">MMS_PastureBeef_Soil_N2ODirect_Equations.VEERG_4_2_1_3__3_NitrogenExcreted(AA57,AA165,AB181,AA137,AA21)</f>
        <v>0.11276190880086426</v>
      </c>
      <c r="AB197" s="52" cm="1">
        <f t="array" ref="AB197">MMS_PastureBeef_Soil_N2ODirect_Equations.VEERG_4_2_1_3__3_NitrogenExcreted(AB57,AB165,AC181,AB137,AB21)</f>
        <v>8.562550571362422E-2</v>
      </c>
      <c r="AC197" s="52" cm="1">
        <f t="array" ref="AC197">MMS_PastureBeef_Soil_N2ODirect_Equations.VEERG_4_2_1_3__3_NitrogenExcreted(AC57,AC165,AD181,AC137,AC21)</f>
        <v>0.1054491491748196</v>
      </c>
      <c r="AD197" s="52" cm="1">
        <f t="array" ref="AD197">MMS_PastureBeef_Soil_N2ODirect_Equations.VEERG_4_2_1_3__3_NitrogenExcreted(AD57,AD165,AE181,AD137,AD21)</f>
        <v>0.1054491491748196</v>
      </c>
      <c r="AE197" s="52" cm="1">
        <f t="array" ref="AE197">MMS_PastureBeef_Soil_N2ODirect_Equations.VEERG_4_2_1_3__3_NitrogenExcreted(AE57,AE165,AF181,AE137,AE21)</f>
        <v>0.1054491491748196</v>
      </c>
      <c r="AF197" s="2" t="str">
        <f t="shared" si="9"/>
        <v>kg N/head/day</v>
      </c>
      <c r="AG197" s="2"/>
      <c r="AH197" s="2"/>
    </row>
    <row r="198" spans="4:34" ht="20.100000000000001" customHeight="1" x14ac:dyDescent="0.25">
      <c r="D198" s="51" t="s">
        <v>184</v>
      </c>
      <c r="E198" s="51" t="s">
        <v>131</v>
      </c>
      <c r="F198" s="51" t="s">
        <v>130</v>
      </c>
      <c r="G198" s="51" t="s">
        <v>165</v>
      </c>
      <c r="H198" s="51" t="s">
        <v>166</v>
      </c>
      <c r="I198" s="51" t="s">
        <v>167</v>
      </c>
      <c r="J198" s="51" t="s">
        <v>168</v>
      </c>
      <c r="K198" s="51" t="s">
        <v>169</v>
      </c>
      <c r="L198" s="51" t="s">
        <v>170</v>
      </c>
      <c r="M198" s="51" t="s">
        <v>171</v>
      </c>
      <c r="N198" s="51" t="s">
        <v>172</v>
      </c>
      <c r="U198" s="52" t="str">
        <f>TEXT(EDATE('Input - Site'!$E$12,2), "mmmm yyyy")</f>
        <v>March 2024</v>
      </c>
      <c r="V198" s="52" cm="1">
        <f t="array" ref="V198">MMS_PastureBeef_Soil_N2ODirect_Equations.VEERG_4_2_1_3__3_NitrogenExcreted(V58,V166,W182,V138,V22)</f>
        <v>1.3490587405558481E-2</v>
      </c>
      <c r="W198" s="52" cm="1">
        <f t="array" ref="W198">MMS_PastureBeef_Soil_N2ODirect_Equations.VEERG_4_2_1_3__3_NitrogenExcreted(W58,W166,X182,W138,W22)</f>
        <v>8.8133023634157495E-2</v>
      </c>
      <c r="X198" s="52" cm="1">
        <f t="array" ref="X198">MMS_PastureBeef_Soil_N2ODirect_Equations.VEERG_4_2_1_3__3_NitrogenExcreted(X58,X166,Y182,X138,X22)</f>
        <v>1.1001898802853755E-2</v>
      </c>
      <c r="Y198" s="52" cm="1">
        <f t="array" ref="Y198">MMS_PastureBeef_Soil_N2ODirect_Equations.VEERG_4_2_1_3__3_NitrogenExcreted(Y58,Y166,Z182,Y138,Y22)</f>
        <v>5.2330323088884703E-2</v>
      </c>
      <c r="Z198" s="52" cm="1">
        <f t="array" ref="Z198">MMS_PastureBeef_Soil_N2ODirect_Equations.VEERG_4_2_1_3__3_NitrogenExcreted(Z58,Z166,AA182,Z138,Z22)</f>
        <v>6.9185083188389812E-2</v>
      </c>
      <c r="AA198" s="52" cm="1">
        <f t="array" ref="AA198">MMS_PastureBeef_Soil_N2ODirect_Equations.VEERG_4_2_1_3__3_NitrogenExcreted(AA58,AA166,AB182,AA138,AA22)</f>
        <v>6.9185083188389812E-2</v>
      </c>
      <c r="AB198" s="52" cm="1">
        <f t="array" ref="AB198">MMS_PastureBeef_Soil_N2ODirect_Equations.VEERG_4_2_1_3__3_NitrogenExcreted(AB58,AB166,AC182,AB138,AB22)</f>
        <v>1.3731587835013218E-2</v>
      </c>
      <c r="AC198" s="52" cm="1">
        <f t="array" ref="AC198">MMS_PastureBeef_Soil_N2ODirect_Equations.VEERG_4_2_1_3__3_NitrogenExcreted(AC58,AC166,AD182,AC138,AC22)</f>
        <v>5.520208336562428E-2</v>
      </c>
      <c r="AD198" s="52" cm="1">
        <f t="array" ref="AD198">MMS_PastureBeef_Soil_N2ODirect_Equations.VEERG_4_2_1_3__3_NitrogenExcreted(AD58,AD166,AE182,AD138,AD22)</f>
        <v>5.520208336562428E-2</v>
      </c>
      <c r="AE198" s="52" cm="1">
        <f t="array" ref="AE198">MMS_PastureBeef_Soil_N2ODirect_Equations.VEERG_4_2_1_3__3_NitrogenExcreted(AE58,AE166,AF182,AE138,AE22)</f>
        <v>5.520208336562428E-2</v>
      </c>
      <c r="AF198" s="2" t="str">
        <f t="shared" si="9"/>
        <v>kg N/head/day</v>
      </c>
      <c r="AG198" s="2"/>
      <c r="AH198" s="2"/>
    </row>
    <row r="199" spans="4:34" ht="20.100000000000001" customHeight="1" x14ac:dyDescent="0.25">
      <c r="D199" s="52" t="s">
        <v>173</v>
      </c>
      <c r="E199" s="52">
        <f>'Input - Pasture Beef'!E16</f>
        <v>91.25</v>
      </c>
      <c r="F199" s="52">
        <f>'Input - Pasture Beef'!F16</f>
        <v>91.25</v>
      </c>
      <c r="G199" s="52">
        <f>'Input - Pasture Beef'!G16</f>
        <v>91.25</v>
      </c>
      <c r="H199" s="52">
        <f>'Input - Pasture Beef'!H16</f>
        <v>91.25</v>
      </c>
      <c r="I199" s="52">
        <f>'Input - Pasture Beef'!I16</f>
        <v>91.25</v>
      </c>
      <c r="J199" s="52">
        <f>'Input - Pasture Beef'!J16</f>
        <v>91.25</v>
      </c>
      <c r="K199" s="52">
        <f>'Input - Pasture Beef'!K16</f>
        <v>91.25</v>
      </c>
      <c r="L199" s="52">
        <f>'Input - Pasture Beef'!L16</f>
        <v>91.25</v>
      </c>
      <c r="M199" s="52">
        <f>'Input - Pasture Beef'!M16</f>
        <v>91.25</v>
      </c>
      <c r="N199" s="52">
        <f>'Input - Pasture Beef'!N16</f>
        <v>91.25</v>
      </c>
      <c r="O199" s="2" t="s">
        <v>281</v>
      </c>
      <c r="U199" s="52" t="str">
        <f>TEXT(EDATE('Input - Site'!$E$12,3), "mmmm yyyy")</f>
        <v>April 2024</v>
      </c>
      <c r="V199" s="52" cm="1">
        <f t="array" ref="V199">MMS_PastureBeef_Soil_N2ODirect_Equations.VEERG_4_2_1_3__3_NitrogenExcreted(V59,V167,W183,V139,V23)</f>
        <v>1.3490587405558481E-2</v>
      </c>
      <c r="W199" s="52" cm="1">
        <f t="array" ref="W199">MMS_PastureBeef_Soil_N2ODirect_Equations.VEERG_4_2_1_3__3_NitrogenExcreted(W59,W167,X183,W139,W23)</f>
        <v>8.8133023634157495E-2</v>
      </c>
      <c r="X199" s="52" cm="1">
        <f t="array" ref="X199">MMS_PastureBeef_Soil_N2ODirect_Equations.VEERG_4_2_1_3__3_NitrogenExcreted(X59,X167,Y183,X139,X23)</f>
        <v>1.1001898802853755E-2</v>
      </c>
      <c r="Y199" s="52" cm="1">
        <f t="array" ref="Y199">MMS_PastureBeef_Soil_N2ODirect_Equations.VEERG_4_2_1_3__3_NitrogenExcreted(Y59,Y167,Z183,Y139,Y23)</f>
        <v>5.2330323088884703E-2</v>
      </c>
      <c r="Z199" s="52" cm="1">
        <f t="array" ref="Z199">MMS_PastureBeef_Soil_N2ODirect_Equations.VEERG_4_2_1_3__3_NitrogenExcreted(Z59,Z167,AA183,Z139,Z23)</f>
        <v>6.9185083188389812E-2</v>
      </c>
      <c r="AA199" s="52" cm="1">
        <f t="array" ref="AA199">MMS_PastureBeef_Soil_N2ODirect_Equations.VEERG_4_2_1_3__3_NitrogenExcreted(AA59,AA167,AB183,AA139,AA23)</f>
        <v>6.9185083188389812E-2</v>
      </c>
      <c r="AB199" s="52" cm="1">
        <f t="array" ref="AB199">MMS_PastureBeef_Soil_N2ODirect_Equations.VEERG_4_2_1_3__3_NitrogenExcreted(AB59,AB167,AC183,AB139,AB23)</f>
        <v>1.3731587835013218E-2</v>
      </c>
      <c r="AC199" s="52" cm="1">
        <f t="array" ref="AC199">MMS_PastureBeef_Soil_N2ODirect_Equations.VEERG_4_2_1_3__3_NitrogenExcreted(AC59,AC167,AD183,AC139,AC23)</f>
        <v>5.520208336562428E-2</v>
      </c>
      <c r="AD199" s="52" cm="1">
        <f t="array" ref="AD199">MMS_PastureBeef_Soil_N2ODirect_Equations.VEERG_4_2_1_3__3_NitrogenExcreted(AD59,AD167,AE183,AD139,AD23)</f>
        <v>5.520208336562428E-2</v>
      </c>
      <c r="AE199" s="52" cm="1">
        <f t="array" ref="AE199">MMS_PastureBeef_Soil_N2ODirect_Equations.VEERG_4_2_1_3__3_NitrogenExcreted(AE59,AE167,AF183,AE139,AE23)</f>
        <v>5.520208336562428E-2</v>
      </c>
      <c r="AF199" s="2" t="str">
        <f t="shared" si="9"/>
        <v>kg N/head/day</v>
      </c>
      <c r="AG199" s="2"/>
      <c r="AH199" s="2"/>
    </row>
    <row r="200" spans="4:34" ht="20.100000000000001" customHeight="1" x14ac:dyDescent="0.25">
      <c r="D200" s="52" t="s">
        <v>174</v>
      </c>
      <c r="E200" s="52">
        <f>'Input - Pasture Beef'!E17</f>
        <v>91.25</v>
      </c>
      <c r="F200" s="52">
        <f>'Input - Pasture Beef'!F17</f>
        <v>91.25</v>
      </c>
      <c r="G200" s="52">
        <f>'Input - Pasture Beef'!G17</f>
        <v>91.25</v>
      </c>
      <c r="H200" s="52">
        <f>'Input - Pasture Beef'!H17</f>
        <v>91.25</v>
      </c>
      <c r="I200" s="52">
        <f>'Input - Pasture Beef'!I17</f>
        <v>91.25</v>
      </c>
      <c r="J200" s="52">
        <f>'Input - Pasture Beef'!J17</f>
        <v>91.25</v>
      </c>
      <c r="K200" s="52">
        <f>'Input - Pasture Beef'!K17</f>
        <v>91.25</v>
      </c>
      <c r="L200" s="52">
        <f>'Input - Pasture Beef'!L17</f>
        <v>91.25</v>
      </c>
      <c r="M200" s="52">
        <f>'Input - Pasture Beef'!M17</f>
        <v>91.25</v>
      </c>
      <c r="N200" s="52">
        <f>'Input - Pasture Beef'!N17</f>
        <v>91.25</v>
      </c>
      <c r="O200" s="2" t="s">
        <v>281</v>
      </c>
      <c r="U200" s="52" t="str">
        <f>TEXT(EDATE('Input - Site'!$E$12,4), "mmmm yyyy")</f>
        <v>May 2024</v>
      </c>
      <c r="V200" s="52" cm="1">
        <f t="array" ref="V200">MMS_PastureBeef_Soil_N2ODirect_Equations.VEERG_4_2_1_3__3_NitrogenExcreted(V60,V168,W184,V140,V24)</f>
        <v>1.3490587405558481E-2</v>
      </c>
      <c r="W200" s="52" cm="1">
        <f t="array" ref="W200">MMS_PastureBeef_Soil_N2ODirect_Equations.VEERG_4_2_1_3__3_NitrogenExcreted(W60,W168,X184,W140,W24)</f>
        <v>8.8133023634157495E-2</v>
      </c>
      <c r="X200" s="52" cm="1">
        <f t="array" ref="X200">MMS_PastureBeef_Soil_N2ODirect_Equations.VEERG_4_2_1_3__3_NitrogenExcreted(X60,X168,Y184,X140,X24)</f>
        <v>1.1001898802853755E-2</v>
      </c>
      <c r="Y200" s="52" cm="1">
        <f t="array" ref="Y200">MMS_PastureBeef_Soil_N2ODirect_Equations.VEERG_4_2_1_3__3_NitrogenExcreted(Y60,Y168,Z184,Y140,Y24)</f>
        <v>5.2330323088884703E-2</v>
      </c>
      <c r="Z200" s="52" cm="1">
        <f t="array" ref="Z200">MMS_PastureBeef_Soil_N2ODirect_Equations.VEERG_4_2_1_3__3_NitrogenExcreted(Z60,Z168,AA184,Z140,Z24)</f>
        <v>6.9185083188389812E-2</v>
      </c>
      <c r="AA200" s="52" cm="1">
        <f t="array" ref="AA200">MMS_PastureBeef_Soil_N2ODirect_Equations.VEERG_4_2_1_3__3_NitrogenExcreted(AA60,AA168,AB184,AA140,AA24)</f>
        <v>6.9185083188389812E-2</v>
      </c>
      <c r="AB200" s="52" cm="1">
        <f t="array" ref="AB200">MMS_PastureBeef_Soil_N2ODirect_Equations.VEERG_4_2_1_3__3_NitrogenExcreted(AB60,AB168,AC184,AB140,AB24)</f>
        <v>1.3731587835013218E-2</v>
      </c>
      <c r="AC200" s="52" cm="1">
        <f t="array" ref="AC200">MMS_PastureBeef_Soil_N2ODirect_Equations.VEERG_4_2_1_3__3_NitrogenExcreted(AC60,AC168,AD184,AC140,AC24)</f>
        <v>5.520208336562428E-2</v>
      </c>
      <c r="AD200" s="52" cm="1">
        <f t="array" ref="AD200">MMS_PastureBeef_Soil_N2ODirect_Equations.VEERG_4_2_1_3__3_NitrogenExcreted(AD60,AD168,AE184,AD140,AD24)</f>
        <v>5.520208336562428E-2</v>
      </c>
      <c r="AE200" s="52" cm="1">
        <f t="array" ref="AE200">MMS_PastureBeef_Soil_N2ODirect_Equations.VEERG_4_2_1_3__3_NitrogenExcreted(AE60,AE168,AF184,AE140,AE24)</f>
        <v>5.520208336562428E-2</v>
      </c>
      <c r="AF200" s="2" t="str">
        <f t="shared" si="9"/>
        <v>kg N/head/day</v>
      </c>
      <c r="AG200" s="2"/>
      <c r="AH200" s="2"/>
    </row>
    <row r="201" spans="4:34" ht="20.100000000000001" customHeight="1" x14ac:dyDescent="0.25">
      <c r="D201" s="52" t="s">
        <v>175</v>
      </c>
      <c r="E201" s="52">
        <f>'Input - Pasture Beef'!E18</f>
        <v>91.25</v>
      </c>
      <c r="F201" s="52">
        <f>'Input - Pasture Beef'!F18</f>
        <v>91.25</v>
      </c>
      <c r="G201" s="52">
        <f>'Input - Pasture Beef'!G18</f>
        <v>91.25</v>
      </c>
      <c r="H201" s="52">
        <f>'Input - Pasture Beef'!H18</f>
        <v>91.25</v>
      </c>
      <c r="I201" s="52">
        <f>'Input - Pasture Beef'!I18</f>
        <v>91.25</v>
      </c>
      <c r="J201" s="52">
        <f>'Input - Pasture Beef'!J18</f>
        <v>91.25</v>
      </c>
      <c r="K201" s="52">
        <f>'Input - Pasture Beef'!K18</f>
        <v>91.25</v>
      </c>
      <c r="L201" s="52">
        <f>'Input - Pasture Beef'!L18</f>
        <v>91.25</v>
      </c>
      <c r="M201" s="52">
        <f>'Input - Pasture Beef'!M18</f>
        <v>91.25</v>
      </c>
      <c r="N201" s="52">
        <f>'Input - Pasture Beef'!N18</f>
        <v>91.25</v>
      </c>
      <c r="O201" s="2" t="s">
        <v>281</v>
      </c>
      <c r="U201" s="52" t="str">
        <f>TEXT(EDATE('Input - Site'!$E$12,5), "mmmm yyyy")</f>
        <v>June 2024</v>
      </c>
      <c r="V201" s="52" cm="1">
        <f t="array" ref="V201">MMS_PastureBeef_Soil_N2ODirect_Equations.VEERG_4_2_1_3__3_NitrogenExcreted(V61,V169,W185,V141,V25)</f>
        <v>0.13772737785106035</v>
      </c>
      <c r="W201" s="52" cm="1">
        <f t="array" ref="W201">MMS_PastureBeef_Soil_N2ODirect_Equations.VEERG_4_2_1_3__3_NitrogenExcreted(W61,W169,X185,W141,W25)</f>
        <v>0.31425341534791917</v>
      </c>
      <c r="X201" s="52" cm="1">
        <f t="array" ref="X201">MMS_PastureBeef_Soil_N2ODirect_Equations.VEERG_4_2_1_3__3_NitrogenExcreted(X61,X169,Y185,X141,X25)</f>
        <v>0.11430568530078369</v>
      </c>
      <c r="Y201" s="52" cm="1">
        <f t="array" ref="Y201">MMS_PastureBeef_Soil_N2ODirect_Equations.VEERG_4_2_1_3__3_NitrogenExcreted(Y61,Y169,Z185,Y141,Y25)</f>
        <v>0.18660765289897449</v>
      </c>
      <c r="Z201" s="52" cm="1">
        <f t="array" ref="Z201">MMS_PastureBeef_Soil_N2ODirect_Equations.VEERG_4_2_1_3__3_NitrogenExcreted(Z61,Z169,AA185,Z141,Z25)</f>
        <v>0.25135663949490661</v>
      </c>
      <c r="AA201" s="52" cm="1">
        <f t="array" ref="AA201">MMS_PastureBeef_Soil_N2ODirect_Equations.VEERG_4_2_1_3__3_NitrogenExcreted(AA61,AA169,AB185,AA141,AA25)</f>
        <v>0.25135663949490661</v>
      </c>
      <c r="AB201" s="52" cm="1">
        <f t="array" ref="AB201">MMS_PastureBeef_Soil_N2ODirect_Equations.VEERG_4_2_1_3__3_NitrogenExcreted(AB61,AB169,AC185,AB141,AB25)</f>
        <v>0.12380983067102717</v>
      </c>
      <c r="AC201" s="52" cm="1">
        <f t="array" ref="AC201">MMS_PastureBeef_Soil_N2ODirect_Equations.VEERG_4_2_1_3__3_NitrogenExcreted(AC61,AC169,AD185,AC141,AC25)</f>
        <v>0.21091009356426255</v>
      </c>
      <c r="AD201" s="52" cm="1">
        <f t="array" ref="AD201">MMS_PastureBeef_Soil_N2ODirect_Equations.VEERG_4_2_1_3__3_NitrogenExcreted(AD61,AD169,AE185,AD141,AD25)</f>
        <v>0.21091009356426255</v>
      </c>
      <c r="AE201" s="52" cm="1">
        <f t="array" ref="AE201">MMS_PastureBeef_Soil_N2ODirect_Equations.VEERG_4_2_1_3__3_NitrogenExcreted(AE61,AE169,AF185,AE141,AE25)</f>
        <v>0.21091009356426255</v>
      </c>
      <c r="AF201" s="2" t="str">
        <f t="shared" si="9"/>
        <v>kg N/head/day</v>
      </c>
      <c r="AG201" s="2"/>
      <c r="AH201" s="2"/>
    </row>
    <row r="202" spans="4:34" ht="20.100000000000001" customHeight="1" x14ac:dyDescent="0.25">
      <c r="D202" s="52" t="s">
        <v>176</v>
      </c>
      <c r="E202" s="52">
        <f>'Input - Pasture Beef'!E19</f>
        <v>91.25</v>
      </c>
      <c r="F202" s="52">
        <f>'Input - Pasture Beef'!F19</f>
        <v>91.25</v>
      </c>
      <c r="G202" s="52">
        <f>'Input - Pasture Beef'!G19</f>
        <v>91.25</v>
      </c>
      <c r="H202" s="52">
        <f>'Input - Pasture Beef'!H19</f>
        <v>91.25</v>
      </c>
      <c r="I202" s="52">
        <f>'Input - Pasture Beef'!I19</f>
        <v>91.25</v>
      </c>
      <c r="J202" s="52">
        <f>'Input - Pasture Beef'!J19</f>
        <v>91.25</v>
      </c>
      <c r="K202" s="52">
        <f>'Input - Pasture Beef'!K19</f>
        <v>91.25</v>
      </c>
      <c r="L202" s="52">
        <f>'Input - Pasture Beef'!L19</f>
        <v>91.25</v>
      </c>
      <c r="M202" s="52">
        <f>'Input - Pasture Beef'!M19</f>
        <v>91.25</v>
      </c>
      <c r="N202" s="52">
        <f>'Input - Pasture Beef'!N19</f>
        <v>91.25</v>
      </c>
      <c r="O202" s="2" t="s">
        <v>281</v>
      </c>
      <c r="U202" s="52" t="str">
        <f>TEXT(EDATE('Input - Site'!$E$12,6), "mmmm yyyy")</f>
        <v>July 2024</v>
      </c>
      <c r="V202" s="52" cm="1">
        <f t="array" ref="V202">MMS_PastureBeef_Soil_N2ODirect_Equations.VEERG_4_2_1_3__3_NitrogenExcreted(V62,V170,W186,V142,V26)</f>
        <v>0.13772737785106035</v>
      </c>
      <c r="W202" s="52" cm="1">
        <f t="array" ref="W202">MMS_PastureBeef_Soil_N2ODirect_Equations.VEERG_4_2_1_3__3_NitrogenExcreted(W62,W170,X186,W142,W26)</f>
        <v>0.31425341534791917</v>
      </c>
      <c r="X202" s="52" cm="1">
        <f t="array" ref="X202">MMS_PastureBeef_Soil_N2ODirect_Equations.VEERG_4_2_1_3__3_NitrogenExcreted(X62,X170,Y186,X142,X26)</f>
        <v>0.11430568530078369</v>
      </c>
      <c r="Y202" s="52" cm="1">
        <f t="array" ref="Y202">MMS_PastureBeef_Soil_N2ODirect_Equations.VEERG_4_2_1_3__3_NitrogenExcreted(Y62,Y170,Z186,Y142,Y26)</f>
        <v>0.18660765289897449</v>
      </c>
      <c r="Z202" s="52" cm="1">
        <f t="array" ref="Z202">MMS_PastureBeef_Soil_N2ODirect_Equations.VEERG_4_2_1_3__3_NitrogenExcreted(Z62,Z170,AA186,Z142,Z26)</f>
        <v>0.25135663949490661</v>
      </c>
      <c r="AA202" s="52" cm="1">
        <f t="array" ref="AA202">MMS_PastureBeef_Soil_N2ODirect_Equations.VEERG_4_2_1_3__3_NitrogenExcreted(AA62,AA170,AB186,AA142,AA26)</f>
        <v>0.25135663949490661</v>
      </c>
      <c r="AB202" s="52" cm="1">
        <f t="array" ref="AB202">MMS_PastureBeef_Soil_N2ODirect_Equations.VEERG_4_2_1_3__3_NitrogenExcreted(AB62,AB170,AC186,AB142,AB26)</f>
        <v>0.12380983067102717</v>
      </c>
      <c r="AC202" s="52" cm="1">
        <f t="array" ref="AC202">MMS_PastureBeef_Soil_N2ODirect_Equations.VEERG_4_2_1_3__3_NitrogenExcreted(AC62,AC170,AD186,AC142,AC26)</f>
        <v>0.21091009356426255</v>
      </c>
      <c r="AD202" s="52" cm="1">
        <f t="array" ref="AD202">MMS_PastureBeef_Soil_N2ODirect_Equations.VEERG_4_2_1_3__3_NitrogenExcreted(AD62,AD170,AE186,AD142,AD26)</f>
        <v>0.21091009356426255</v>
      </c>
      <c r="AE202" s="52" cm="1">
        <f t="array" ref="AE202">MMS_PastureBeef_Soil_N2ODirect_Equations.VEERG_4_2_1_3__3_NitrogenExcreted(AE62,AE170,AF186,AE142,AE26)</f>
        <v>0.21091009356426255</v>
      </c>
      <c r="AF202" s="2" t="str">
        <f t="shared" si="9"/>
        <v>kg N/head/day</v>
      </c>
      <c r="AG202" s="2"/>
      <c r="AH202" s="2"/>
    </row>
    <row r="203" spans="4:34" ht="20.100000000000001" customHeight="1" x14ac:dyDescent="0.25">
      <c r="U203" s="52" t="str">
        <f>TEXT(EDATE('Input - Site'!$E$12,7), "mmmm yyyy")</f>
        <v>August 2024</v>
      </c>
      <c r="V203" s="52" cm="1">
        <f t="array" ref="V203">MMS_PastureBeef_Soil_N2ODirect_Equations.VEERG_4_2_1_3__3_NitrogenExcreted(V63,V171,W187,V143,V27)</f>
        <v>0.16782142173820769</v>
      </c>
      <c r="W203" s="52" cm="1">
        <f t="array" ref="W203">MMS_PastureBeef_Soil_N2ODirect_Equations.VEERG_4_2_1_3__3_NitrogenExcreted(W63,W171,X187,W143,W27)</f>
        <v>0.31425341534791917</v>
      </c>
      <c r="X203" s="52" cm="1">
        <f t="array" ref="X203">MMS_PastureBeef_Soil_N2ODirect_Equations.VEERG_4_2_1_3__3_NitrogenExcreted(X63,X171,Y187,X143,X27)</f>
        <v>0.14439972918793106</v>
      </c>
      <c r="Y203" s="52" cm="1">
        <f t="array" ref="Y203">MMS_PastureBeef_Soil_N2ODirect_Equations.VEERG_4_2_1_3__3_NitrogenExcreted(Y63,Y171,Z187,Y143,Y27)</f>
        <v>0.20672431471923791</v>
      </c>
      <c r="Z203" s="52" cm="1">
        <f t="array" ref="Z203">MMS_PastureBeef_Soil_N2ODirect_Equations.VEERG_4_2_1_3__3_NitrogenExcreted(Z63,Z171,AA187,Z143,Z27)</f>
        <v>0.28604447282279805</v>
      </c>
      <c r="AA203" s="52" cm="1">
        <f t="array" ref="AA203">MMS_PastureBeef_Soil_N2ODirect_Equations.VEERG_4_2_1_3__3_NitrogenExcreted(AA63,AA171,AB187,AA143,AA27)</f>
        <v>0.28604447282279805</v>
      </c>
      <c r="AB203" s="52" cm="1">
        <f t="array" ref="AB203">MMS_PastureBeef_Soil_N2ODirect_Equations.VEERG_4_2_1_3__3_NitrogenExcreted(AB63,AB171,AC187,AB143,AB27)</f>
        <v>0.15390387455817453</v>
      </c>
      <c r="AC203" s="52" cm="1">
        <f t="array" ref="AC203">MMS_PastureBeef_Soil_N2ODirect_Equations.VEERG_4_2_1_3__3_NitrogenExcreted(AC63,AC171,AD187,AC143,AC27)</f>
        <v>0.21091009356426255</v>
      </c>
      <c r="AD203" s="52" cm="1">
        <f t="array" ref="AD203">MMS_PastureBeef_Soil_N2ODirect_Equations.VEERG_4_2_1_3__3_NitrogenExcreted(AD63,AD171,AE187,AD143,AD27)</f>
        <v>0.21091009356426255</v>
      </c>
      <c r="AE203" s="52" cm="1">
        <f t="array" ref="AE203">MMS_PastureBeef_Soil_N2ODirect_Equations.VEERG_4_2_1_3__3_NitrogenExcreted(AE63,AE171,AF187,AE143,AE27)</f>
        <v>0.21091009356426255</v>
      </c>
      <c r="AF203" s="2" t="str">
        <f t="shared" si="9"/>
        <v>kg N/head/day</v>
      </c>
      <c r="AG203" s="2"/>
      <c r="AH203" s="2"/>
    </row>
    <row r="204" spans="4:34" ht="20.100000000000001" customHeight="1" x14ac:dyDescent="0.25">
      <c r="D204" s="99" t="s">
        <v>304</v>
      </c>
      <c r="U204" s="52" t="str">
        <f>TEXT(EDATE('Input - Site'!$E$12,8), "mmmm yyyy")</f>
        <v>September 2024</v>
      </c>
      <c r="V204" s="52" cm="1">
        <f t="array" ref="V204">MMS_PastureBeef_Soil_N2ODirect_Equations.VEERG_4_2_1_3__3_NitrogenExcreted(V64,V172,W188,V144,V28)</f>
        <v>0.27353786382161244</v>
      </c>
      <c r="W204" s="52" cm="1">
        <f t="array" ref="W204">MMS_PastureBeef_Soil_N2ODirect_Equations.VEERG_4_2_1_3__3_NitrogenExcreted(W64,W172,X188,W144,W28)</f>
        <v>0.37708133734232585</v>
      </c>
      <c r="X204" s="52" cm="1">
        <f t="array" ref="X204">MMS_PastureBeef_Soil_N2ODirect_Equations.VEERG_4_2_1_3__3_NitrogenExcreted(X64,X172,Y188,X144,X28)</f>
        <v>0.21747950611047506</v>
      </c>
      <c r="Y204" s="52" cm="1">
        <f t="array" ref="Y204">MMS_PastureBeef_Soil_N2ODirect_Equations.VEERG_4_2_1_3__3_NitrogenExcreted(Y64,Y172,Z188,Y144,Y28)</f>
        <v>0.30316514016990781</v>
      </c>
      <c r="Z204" s="52" cm="1">
        <f t="array" ref="Z204">MMS_PastureBeef_Soil_N2ODirect_Equations.VEERG_4_2_1_3__3_NitrogenExcreted(Z64,Z172,AA188,Z144,Z28)</f>
        <v>0.3456004349071124</v>
      </c>
      <c r="AA204" s="52" cm="1">
        <f t="array" ref="AA204">MMS_PastureBeef_Soil_N2ODirect_Equations.VEERG_4_2_1_3__3_NitrogenExcreted(AA64,AA172,AB188,AA144,AA28)</f>
        <v>0.3456004349071124</v>
      </c>
      <c r="AB204" s="52" cm="1">
        <f t="array" ref="AB204">MMS_PastureBeef_Soil_N2ODirect_Equations.VEERG_4_2_1_3__3_NitrogenExcreted(AB64,AB172,AC188,AB144,AB28)</f>
        <v>0.24492991378550297</v>
      </c>
      <c r="AC204" s="52" cm="1">
        <f t="array" ref="AC204">MMS_PastureBeef_Soil_N2ODirect_Equations.VEERG_4_2_1_3__3_NitrogenExcreted(AC64,AC172,AD188,AC144,AC28)</f>
        <v>0.2934676863299529</v>
      </c>
      <c r="AD204" s="52" cm="1">
        <f t="array" ref="AD204">MMS_PastureBeef_Soil_N2ODirect_Equations.VEERG_4_2_1_3__3_NitrogenExcreted(AD64,AD172,AE188,AD144,AD28)</f>
        <v>0.2934676863299529</v>
      </c>
      <c r="AE204" s="52" cm="1">
        <f t="array" ref="AE204">MMS_PastureBeef_Soil_N2ODirect_Equations.VEERG_4_2_1_3__3_NitrogenExcreted(AE64,AE172,AF188,AE144,AE28)</f>
        <v>0.2934676863299529</v>
      </c>
      <c r="AF204" s="2" t="str">
        <f t="shared" si="9"/>
        <v>kg N/head/day</v>
      </c>
      <c r="AG204" s="2"/>
      <c r="AH204" s="2"/>
    </row>
    <row r="205" spans="4:34" ht="20.100000000000001" customHeight="1" x14ac:dyDescent="0.25">
      <c r="D205" s="98" t="s">
        <v>305</v>
      </c>
      <c r="U205" s="52" t="str">
        <f>TEXT(EDATE('Input - Site'!$E$12,9), "mmmm yyyy")</f>
        <v>October 2024</v>
      </c>
      <c r="V205" s="52" cm="1">
        <f t="array" ref="V205">MMS_PastureBeef_Soil_N2ODirect_Equations.VEERG_4_2_1_3__3_NitrogenExcreted(V65,V173,W189,V145,V29)</f>
        <v>0.27353786382161244</v>
      </c>
      <c r="W205" s="52" cm="1">
        <f t="array" ref="W205">MMS_PastureBeef_Soil_N2ODirect_Equations.VEERG_4_2_1_3__3_NitrogenExcreted(W65,W173,X189,W145,W29)</f>
        <v>0.37708133734232585</v>
      </c>
      <c r="X205" s="52" cm="1">
        <f t="array" ref="X205">MMS_PastureBeef_Soil_N2ODirect_Equations.VEERG_4_2_1_3__3_NitrogenExcreted(X65,X173,Y189,X145,X29)</f>
        <v>0.21747950611047506</v>
      </c>
      <c r="Y205" s="52" cm="1">
        <f t="array" ref="Y205">MMS_PastureBeef_Soil_N2ODirect_Equations.VEERG_4_2_1_3__3_NitrogenExcreted(Y65,Y173,Z189,Y145,Y29)</f>
        <v>0.30316514016990781</v>
      </c>
      <c r="Z205" s="52" cm="1">
        <f t="array" ref="Z205">MMS_PastureBeef_Soil_N2ODirect_Equations.VEERG_4_2_1_3__3_NitrogenExcreted(Z65,Z173,AA189,Z145,Z29)</f>
        <v>0.3456004349071124</v>
      </c>
      <c r="AA205" s="52" cm="1">
        <f t="array" ref="AA205">MMS_PastureBeef_Soil_N2ODirect_Equations.VEERG_4_2_1_3__3_NitrogenExcreted(AA65,AA173,AB189,AA145,AA29)</f>
        <v>0.3456004349071124</v>
      </c>
      <c r="AB205" s="52" cm="1">
        <f t="array" ref="AB205">MMS_PastureBeef_Soil_N2ODirect_Equations.VEERG_4_2_1_3__3_NitrogenExcreted(AB65,AB173,AC189,AB145,AB29)</f>
        <v>0.24492991378550297</v>
      </c>
      <c r="AC205" s="52" cm="1">
        <f t="array" ref="AC205">MMS_PastureBeef_Soil_N2ODirect_Equations.VEERG_4_2_1_3__3_NitrogenExcreted(AC65,AC173,AD189,AC145,AC29)</f>
        <v>0.2934676863299529</v>
      </c>
      <c r="AD205" s="52" cm="1">
        <f t="array" ref="AD205">MMS_PastureBeef_Soil_N2ODirect_Equations.VEERG_4_2_1_3__3_NitrogenExcreted(AD65,AD173,AE189,AD145,AD29)</f>
        <v>0.2934676863299529</v>
      </c>
      <c r="AE205" s="52" cm="1">
        <f t="array" ref="AE205">MMS_PastureBeef_Soil_N2ODirect_Equations.VEERG_4_2_1_3__3_NitrogenExcreted(AE65,AE173,AF189,AE145,AE29)</f>
        <v>0.2934676863299529</v>
      </c>
      <c r="AF205" s="2" t="str">
        <f t="shared" si="9"/>
        <v>kg N/head/day</v>
      </c>
      <c r="AG205" s="2"/>
      <c r="AH205" s="2"/>
    </row>
    <row r="206" spans="4:34" ht="20.100000000000001" customHeight="1" x14ac:dyDescent="0.25">
      <c r="D206" s="51" t="s">
        <v>184</v>
      </c>
      <c r="E206" s="51" t="s">
        <v>131</v>
      </c>
      <c r="F206" s="51" t="s">
        <v>130</v>
      </c>
      <c r="G206" s="51" t="s">
        <v>165</v>
      </c>
      <c r="H206" s="51" t="s">
        <v>166</v>
      </c>
      <c r="I206" s="51" t="s">
        <v>167</v>
      </c>
      <c r="J206" s="51" t="s">
        <v>168</v>
      </c>
      <c r="K206" s="51" t="s">
        <v>169</v>
      </c>
      <c r="L206" s="51" t="s">
        <v>170</v>
      </c>
      <c r="M206" s="51" t="s">
        <v>171</v>
      </c>
      <c r="N206" s="51" t="s">
        <v>172</v>
      </c>
      <c r="U206" s="52" t="str">
        <f>TEXT(EDATE('Input - Site'!$E$12,10), "mmmm yyyy")</f>
        <v>November 2024</v>
      </c>
      <c r="V206" s="52" cm="1">
        <f t="array" ref="V206">MMS_PastureBeef_Soil_N2ODirect_Equations.VEERG_4_2_1_3__3_NitrogenExcreted(V66,V174,W190,V146,V30)</f>
        <v>0.26350651585923002</v>
      </c>
      <c r="W206" s="52" cm="1">
        <f t="array" ref="W206">MMS_PastureBeef_Soil_N2ODirect_Equations.VEERG_4_2_1_3__3_NitrogenExcreted(W66,W174,X190,W146,W30)</f>
        <v>0.37708133734232585</v>
      </c>
      <c r="X206" s="52" cm="1">
        <f t="array" ref="X206">MMS_PastureBeef_Soil_N2ODirect_Equations.VEERG_4_2_1_3__3_NitrogenExcreted(X66,X174,Y190,X146,X30)</f>
        <v>0.20744815814809262</v>
      </c>
      <c r="Y206" s="52" cm="1">
        <f t="array" ref="Y206">MMS_PastureBeef_Soil_N2ODirect_Equations.VEERG_4_2_1_3__3_NitrogenExcreted(Y66,Y174,Z190,Y146,Y30)</f>
        <v>0.26903566847628974</v>
      </c>
      <c r="Z206" s="52" cm="1">
        <f t="array" ref="Z206">MMS_PastureBeef_Soil_N2ODirect_Equations.VEERG_4_2_1_3__3_NitrogenExcreted(Z66,Z174,AA190,Z146,Z30)</f>
        <v>0.30689114439091625</v>
      </c>
      <c r="AA206" s="52" cm="1">
        <f t="array" ref="AA206">MMS_PastureBeef_Soil_N2ODirect_Equations.VEERG_4_2_1_3__3_NitrogenExcreted(AA66,AA174,AB190,AA146,AA30)</f>
        <v>0.30689114439091625</v>
      </c>
      <c r="AB206" s="52" cm="1">
        <f t="array" ref="AB206">MMS_PastureBeef_Soil_N2ODirect_Equations.VEERG_4_2_1_3__3_NitrogenExcreted(AB66,AB174,AC190,AB146,AB30)</f>
        <v>0.23489856582312055</v>
      </c>
      <c r="AC206" s="52" cm="1">
        <f t="array" ref="AC206">MMS_PastureBeef_Soil_N2ODirect_Equations.VEERG_4_2_1_3__3_NitrogenExcreted(AC66,AC174,AD190,AC146,AC30)</f>
        <v>0.2934676863299529</v>
      </c>
      <c r="AD206" s="52" cm="1">
        <f t="array" ref="AD206">MMS_PastureBeef_Soil_N2ODirect_Equations.VEERG_4_2_1_3__3_NitrogenExcreted(AD66,AD174,AE190,AD146,AD30)</f>
        <v>0.2934676863299529</v>
      </c>
      <c r="AE206" s="52" cm="1">
        <f t="array" ref="AE206">MMS_PastureBeef_Soil_N2ODirect_Equations.VEERG_4_2_1_3__3_NitrogenExcreted(AE66,AE174,AF190,AE146,AE30)</f>
        <v>0.2934676863299529</v>
      </c>
      <c r="AF206" s="2" t="str">
        <f t="shared" si="9"/>
        <v>kg N/head/day</v>
      </c>
      <c r="AG206" s="2"/>
      <c r="AH206" s="2"/>
    </row>
    <row r="207" spans="4:34" ht="20.100000000000001" customHeight="1" x14ac:dyDescent="0.25">
      <c r="D207" s="52" t="s">
        <v>173</v>
      </c>
      <c r="E207" s="52" cm="1">
        <f t="array" ref="E207">MMS_PastureBeef_Soil_N2ODirect_Equations.VEERG_4_2_1_3__2_TotalNitrogenExcretedToPastureRangeAndPaddock(E191,E169,E199)</f>
        <v>2404.4969572154741</v>
      </c>
      <c r="F207" s="52" cm="1">
        <f t="array" ref="F207">MMS_PastureBeef_Soil_N2ODirect_Equations.VEERG_4_2_1_3__2_TotalNitrogenExcretedToPastureRangeAndPaddock(F191,F169,F199)</f>
        <v>3440.8672032487229</v>
      </c>
      <c r="G207" s="52" cm="1">
        <f t="array" ref="G207">MMS_PastureBeef_Soil_N2ODirect_Equations.VEERG_4_2_1_3__2_TotalNitrogenExcretedToPastureRangeAndPaddock(G191,G169,G199)</f>
        <v>1892.9644431013451</v>
      </c>
      <c r="H207" s="52" cm="1">
        <f t="array" ref="H207">MMS_PastureBeef_Soil_N2ODirect_Equations.VEERG_4_2_1_3__2_TotalNitrogenExcretedToPastureRangeAndPaddock(H191,H169,H199)</f>
        <v>2465.4980064813039</v>
      </c>
      <c r="I207" s="52" cm="1">
        <f t="array" ref="I207">MMS_PastureBeef_Soil_N2ODirect_Equations.VEERG_4_2_1_3__2_TotalNitrogenExcretedToPastureRangeAndPaddock(I191,I169,I199)</f>
        <v>2775.8373320491733</v>
      </c>
      <c r="J207" s="52" cm="1">
        <f t="array" ref="J207">MMS_PastureBeef_Soil_N2ODirect_Equations.VEERG_4_2_1_3__2_TotalNitrogenExcretedToPastureRangeAndPaddock(J191,J169,J199)</f>
        <v>2775.8373320491733</v>
      </c>
      <c r="K207" s="52" cm="1">
        <f t="array" ref="K207">MMS_PastureBeef_Soil_N2ODirect_Equations.VEERG_4_2_1_3__2_TotalNitrogenExcretedToPastureRangeAndPaddock(K191,K169,K199)</f>
        <v>2143.4494131359747</v>
      </c>
      <c r="L207" s="52" cm="1">
        <f t="array" ref="L207">MMS_PastureBeef_Soil_N2ODirect_Equations.VEERG_4_2_1_3__2_TotalNitrogenExcretedToPastureRangeAndPaddock(L191,L169,L199)</f>
        <v>2677.89263776082</v>
      </c>
      <c r="M207" s="52" cm="1">
        <f t="array" ref="M207">MMS_PastureBeef_Soil_N2ODirect_Equations.VEERG_4_2_1_3__2_TotalNitrogenExcretedToPastureRangeAndPaddock(M191,M169,M199)</f>
        <v>2677.89263776082</v>
      </c>
      <c r="N207" s="52" cm="1">
        <f t="array" ref="N207">MMS_PastureBeef_Soil_N2ODirect_Equations.VEERG_4_2_1_3__2_TotalNitrogenExcretedToPastureRangeAndPaddock(N191,N169,N199)</f>
        <v>2677.89263776082</v>
      </c>
      <c r="O207" s="2" t="str">
        <f>$E$182</f>
        <v>kg N</v>
      </c>
      <c r="U207" s="52" t="str">
        <f>TEXT(EDATE('Input - Site'!$E$12,11), "mmmm yyyy")</f>
        <v>December 2024</v>
      </c>
      <c r="V207" s="52" cm="1">
        <f t="array" ref="V207">MMS_PastureBeef_Soil_N2ODirect_Equations.VEERG_4_2_1_3__3_NitrogenExcreted(V67,V175,W191,V147,V31)</f>
        <v>0.11333791972722371</v>
      </c>
      <c r="W207" s="52" cm="1">
        <f t="array" ref="W207">MMS_PastureBeef_Soil_N2ODirect_Equations.VEERG_4_2_1_3__3_NitrogenExcreted(W67,W175,X191,W147,W31)</f>
        <v>0.13601872675007995</v>
      </c>
      <c r="X207" s="52" cm="1">
        <f t="array" ref="X207">MMS_PastureBeef_Soil_N2ODirect_Equations.VEERG_4_2_1_3__3_NitrogenExcreted(X67,X175,Y191,X147,X31)</f>
        <v>9.7873723885106109E-2</v>
      </c>
      <c r="Y207" s="52" cm="1">
        <f t="array" ref="Y207">MMS_PastureBeef_Soil_N2ODirect_Equations.VEERG_4_2_1_3__3_NitrogenExcreted(Y67,Y175,Z191,Y147,Y31)</f>
        <v>0.10103589494585365</v>
      </c>
      <c r="Z207" s="52" cm="1">
        <f t="array" ref="Z207">MMS_PastureBeef_Soil_N2ODirect_Equations.VEERG_4_2_1_3__3_NitrogenExcreted(Z67,Z175,AA191,Z147,Z31)</f>
        <v>0.10613051058639233</v>
      </c>
      <c r="AA207" s="52" cm="1">
        <f t="array" ref="AA207">MMS_PastureBeef_Soil_N2ODirect_Equations.VEERG_4_2_1_3__3_NitrogenExcreted(AA67,AA175,AB191,AA147,AA31)</f>
        <v>0.10613051058639233</v>
      </c>
      <c r="AB207" s="52" cm="1">
        <f t="array" ref="AB207">MMS_PastureBeef_Soil_N2ODirect_Equations.VEERG_4_2_1_3__3_NitrogenExcreted(AB67,AB175,AC191,AB147,AB31)</f>
        <v>0.10568820163838911</v>
      </c>
      <c r="AC207" s="52" cm="1">
        <f t="array" ref="AC207">MMS_PastureBeef_Soil_N2ODirect_Equations.VEERG_4_2_1_3__3_NitrogenExcreted(AC67,AC175,AD191,AC147,AC31)</f>
        <v>0.1054491491748196</v>
      </c>
      <c r="AD207" s="52" cm="1">
        <f t="array" ref="AD207">MMS_PastureBeef_Soil_N2ODirect_Equations.VEERG_4_2_1_3__3_NitrogenExcreted(AD67,AD175,AE191,AD147,AD31)</f>
        <v>0.1054491491748196</v>
      </c>
      <c r="AE207" s="52" cm="1">
        <f t="array" ref="AE207">MMS_PastureBeef_Soil_N2ODirect_Equations.VEERG_4_2_1_3__3_NitrogenExcreted(AE67,AE175,AF191,AE147,AE31)</f>
        <v>0.1054491491748196</v>
      </c>
      <c r="AF207" s="2" t="str">
        <f t="shared" si="9"/>
        <v>kg N/head/day</v>
      </c>
      <c r="AG207" s="2"/>
      <c r="AH207" s="2"/>
    </row>
    <row r="208" spans="4:34" ht="20.100000000000001" customHeight="1" x14ac:dyDescent="0.25">
      <c r="D208" s="52" t="s">
        <v>174</v>
      </c>
      <c r="E208" s="52" cm="1">
        <f t="array" ref="E208">MMS_PastureBeef_Soil_N2ODirect_Equations.VEERG_4_2_1_3__2_TotalNitrogenExcretedToPastureRangeAndPaddock(E192,E170,E200)</f>
        <v>851.13641719743669</v>
      </c>
      <c r="F208" s="52" cm="1">
        <f t="array" ref="F208">MMS_PastureBeef_Soil_N2ODirect_Equations.VEERG_4_2_1_3__2_TotalNitrogenExcretedToPastureRangeAndPaddock(F192,F170,F200)</f>
        <v>1241.1708815944794</v>
      </c>
      <c r="G208" s="52" cm="1">
        <f t="array" ref="G208">MMS_PastureBeef_Soil_N2ODirect_Equations.VEERG_4_2_1_3__2_TotalNitrogenExcretedToPastureRangeAndPaddock(G192,G170,G200)</f>
        <v>710.02563013811357</v>
      </c>
      <c r="H208" s="52" cm="1">
        <f t="array" ref="H208">MMS_PastureBeef_Soil_N2ODirect_Equations.VEERG_4_2_1_3__2_TotalNitrogenExcretedToPastureRangeAndPaddock(H192,H170,H200)</f>
        <v>981.67077416268069</v>
      </c>
      <c r="I208" s="52" cm="1">
        <f t="array" ref="I208">MMS_PastureBeef_Soil_N2ODirect_Equations.VEERG_4_2_1_3__2_TotalNitrogenExcretedToPastureRangeAndPaddock(I192,I170,I200)</f>
        <v>1028.9524178078864</v>
      </c>
      <c r="J208" s="52" cm="1">
        <f t="array" ref="J208">MMS_PastureBeef_Soil_N2ODirect_Equations.VEERG_4_2_1_3__2_TotalNitrogenExcretedToPastureRangeAndPaddock(J192,J170,J200)</f>
        <v>1028.9524178078864</v>
      </c>
      <c r="K208" s="52" cm="1">
        <f t="array" ref="K208">MMS_PastureBeef_Soil_N2ODirect_Equations.VEERG_4_2_1_3__2_TotalNitrogenExcretedToPastureRangeAndPaddock(K192,K170,K200)</f>
        <v>781.33273963682097</v>
      </c>
      <c r="L208" s="52" cm="1">
        <f t="array" ref="L208">MMS_PastureBeef_Soil_N2ODirect_Equations.VEERG_4_2_1_3__2_TotalNitrogenExcretedToPastureRangeAndPaddock(L192,L170,L200)</f>
        <v>962.22348622022878</v>
      </c>
      <c r="M208" s="52" cm="1">
        <f t="array" ref="M208">MMS_PastureBeef_Soil_N2ODirect_Equations.VEERG_4_2_1_3__2_TotalNitrogenExcretedToPastureRangeAndPaddock(M192,M170,M200)</f>
        <v>962.22348622022878</v>
      </c>
      <c r="N208" s="52" cm="1">
        <f t="array" ref="N208">MMS_PastureBeef_Soil_N2ODirect_Equations.VEERG_4_2_1_3__2_TotalNitrogenExcretedToPastureRangeAndPaddock(N192,N170,N200)</f>
        <v>962.22348622022878</v>
      </c>
      <c r="O208" s="2" t="str">
        <f>$E$182</f>
        <v>kg N</v>
      </c>
    </row>
    <row r="209" spans="3:35" ht="20.100000000000001" customHeight="1" x14ac:dyDescent="0.25">
      <c r="D209" s="52" t="s">
        <v>175</v>
      </c>
      <c r="E209" s="52" cm="1">
        <f t="array" ref="E209">MMS_PastureBeef_Soil_N2ODirect_Equations.VEERG_4_2_1_3__2_TotalNitrogenExcretedToPastureRangeAndPaddock(E193,E171,E201)</f>
        <v>123.10161007572114</v>
      </c>
      <c r="F209" s="52" cm="1">
        <f t="array" ref="F209">MMS_PastureBeef_Soil_N2ODirect_Equations.VEERG_4_2_1_3__2_TotalNitrogenExcretedToPastureRangeAndPaddock(F193,F171,F201)</f>
        <v>804.21384066168707</v>
      </c>
      <c r="G209" s="52" cm="1">
        <f t="array" ref="G209">MMS_PastureBeef_Soil_N2ODirect_Equations.VEERG_4_2_1_3__2_TotalNitrogenExcretedToPastureRangeAndPaddock(G193,G171,G201)</f>
        <v>100.39232657604052</v>
      </c>
      <c r="H209" s="52" cm="1">
        <f t="array" ref="H209">MMS_PastureBeef_Soil_N2ODirect_Equations.VEERG_4_2_1_3__2_TotalNitrogenExcretedToPastureRangeAndPaddock(H193,H171,H201)</f>
        <v>477.51419818607292</v>
      </c>
      <c r="I209" s="52" cm="1">
        <f t="array" ref="I209">MMS_PastureBeef_Soil_N2ODirect_Equations.VEERG_4_2_1_3__2_TotalNitrogenExcretedToPastureRangeAndPaddock(I193,I171,I201)</f>
        <v>631.31388409405702</v>
      </c>
      <c r="J209" s="52" cm="1">
        <f t="array" ref="J209">MMS_PastureBeef_Soil_N2ODirect_Equations.VEERG_4_2_1_3__2_TotalNitrogenExcretedToPastureRangeAndPaddock(J193,J171,J201)</f>
        <v>631.31388409405702</v>
      </c>
      <c r="K209" s="52" cm="1">
        <f t="array" ref="K209">MMS_PastureBeef_Soil_N2ODirect_Equations.VEERG_4_2_1_3__2_TotalNitrogenExcretedToPastureRangeAndPaddock(K193,K171,K201)</f>
        <v>125.30073899449563</v>
      </c>
      <c r="L209" s="52" cm="1">
        <f t="array" ref="L209">MMS_PastureBeef_Soil_N2ODirect_Equations.VEERG_4_2_1_3__2_TotalNitrogenExcretedToPastureRangeAndPaddock(L193,L171,L201)</f>
        <v>503.71901071132157</v>
      </c>
      <c r="M209" s="52" cm="1">
        <f t="array" ref="M209">MMS_PastureBeef_Soil_N2ODirect_Equations.VEERG_4_2_1_3__2_TotalNitrogenExcretedToPastureRangeAndPaddock(M193,M171,M201)</f>
        <v>503.71901071132157</v>
      </c>
      <c r="N209" s="52" cm="1">
        <f t="array" ref="N209">MMS_PastureBeef_Soil_N2ODirect_Equations.VEERG_4_2_1_3__2_TotalNitrogenExcretedToPastureRangeAndPaddock(N193,N171,N201)</f>
        <v>503.71901071132157</v>
      </c>
      <c r="O209" s="2" t="str">
        <f>$E$182</f>
        <v>kg N</v>
      </c>
    </row>
    <row r="210" spans="3:35" ht="20.100000000000001" customHeight="1" x14ac:dyDescent="0.25">
      <c r="D210" s="52" t="s">
        <v>176</v>
      </c>
      <c r="E210" s="52" cm="1">
        <f t="array" ref="E210">MMS_PastureBeef_Soil_N2ODirect_Equations.VEERG_4_2_1_3__2_TotalNitrogenExcretedToPastureRangeAndPaddock(E194,E172,E202)</f>
        <v>1531.3704733611453</v>
      </c>
      <c r="F210" s="52" cm="1">
        <f t="array" ref="F210">MMS_PastureBeef_Soil_N2ODirect_Equations.VEERG_4_2_1_3__2_TotalNitrogenExcretedToPastureRangeAndPaddock(F194,F172,F202)</f>
        <v>2867.5624150497624</v>
      </c>
      <c r="G210" s="52" cm="1">
        <f t="array" ref="G210">MMS_PastureBeef_Soil_N2ODirect_Equations.VEERG_4_2_1_3__2_TotalNitrogenExcretedToPastureRangeAndPaddock(G194,G172,G202)</f>
        <v>1317.647528839871</v>
      </c>
      <c r="H210" s="52" cm="1">
        <f t="array" ref="H210">MMS_PastureBeef_Soil_N2ODirect_Equations.VEERG_4_2_1_3__2_TotalNitrogenExcretedToPastureRangeAndPaddock(H194,H172,H202)</f>
        <v>1923.0722796350267</v>
      </c>
      <c r="I210" s="52" cm="1">
        <f t="array" ref="I210">MMS_PastureBeef_Soil_N2ODirect_Equations.VEERG_4_2_1_3__2_TotalNitrogenExcretedToPastureRangeAndPaddock(I194,I172,I202)</f>
        <v>2504.6469881356957</v>
      </c>
      <c r="J210" s="52" cm="1">
        <f t="array" ref="J210">MMS_PastureBeef_Soil_N2ODirect_Equations.VEERG_4_2_1_3__2_TotalNitrogenExcretedToPastureRangeAndPaddock(J194,J172,J202)</f>
        <v>2504.6469881356957</v>
      </c>
      <c r="K210" s="52" cm="1">
        <f t="array" ref="K210">MMS_PastureBeef_Soil_N2ODirect_Equations.VEERG_4_2_1_3__2_TotalNitrogenExcretedToPastureRangeAndPaddock(K194,K172,K202)</f>
        <v>1404.3728553433427</v>
      </c>
      <c r="L210" s="52" cm="1">
        <f t="array" ref="L210">MMS_PastureBeef_Soil_N2ODirect_Equations.VEERG_4_2_1_3__2_TotalNitrogenExcretedToPastureRangeAndPaddock(L194,L172,L202)</f>
        <v>1924.5546037738959</v>
      </c>
      <c r="M210" s="52" cm="1">
        <f t="array" ref="M210">MMS_PastureBeef_Soil_N2ODirect_Equations.VEERG_4_2_1_3__2_TotalNitrogenExcretedToPastureRangeAndPaddock(M194,M172,M202)</f>
        <v>1924.5546037738959</v>
      </c>
      <c r="N210" s="52" cm="1">
        <f t="array" ref="N210">MMS_PastureBeef_Soil_N2ODirect_Equations.VEERG_4_2_1_3__2_TotalNitrogenExcretedToPastureRangeAndPaddock(N194,N172,N202)</f>
        <v>1924.5546037738959</v>
      </c>
      <c r="O210" s="2" t="str">
        <f>$E$182</f>
        <v>kg N</v>
      </c>
      <c r="T210" s="45"/>
      <c r="U210" s="45"/>
      <c r="V210" s="45"/>
      <c r="W210" s="45"/>
      <c r="X210" s="45"/>
      <c r="Y210" s="45"/>
      <c r="Z210" s="45"/>
      <c r="AA210" s="45"/>
      <c r="AB210" s="45"/>
      <c r="AC210" s="45"/>
      <c r="AD210" s="45"/>
      <c r="AE210" s="45"/>
      <c r="AF210" s="45"/>
      <c r="AG210" s="45"/>
      <c r="AH210" s="45"/>
      <c r="AI210" s="45"/>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13" t="s">
        <v>306</v>
      </c>
      <c r="E212" s="45">
        <f>SUM(E207:N210)</f>
        <v>59673.831192207945</v>
      </c>
      <c r="F212" s="105" t="str">
        <f>E182</f>
        <v>kg N</v>
      </c>
    </row>
    <row r="213" spans="3:35" ht="20.100000000000001" customHeight="1" x14ac:dyDescent="0.25">
      <c r="U213" s="99" t="s">
        <v>283</v>
      </c>
    </row>
    <row r="214" spans="3:35" ht="20.100000000000001" customHeight="1" x14ac:dyDescent="0.25">
      <c r="U214" s="98" t="s">
        <v>284</v>
      </c>
    </row>
    <row r="215" spans="3:35" ht="20.100000000000001" customHeight="1" x14ac:dyDescent="0.25">
      <c r="C215" s="45"/>
      <c r="D215" s="45"/>
      <c r="E215" s="45"/>
      <c r="F215" s="45"/>
      <c r="G215" s="45"/>
      <c r="H215" s="45"/>
      <c r="I215" s="45"/>
      <c r="J215" s="45"/>
      <c r="K215" s="45"/>
      <c r="L215" s="45"/>
      <c r="M215" s="45"/>
      <c r="N215" s="45"/>
      <c r="O215" s="45"/>
      <c r="P215" s="45"/>
      <c r="Q215" s="45"/>
      <c r="R215" s="45"/>
      <c r="U215" s="51" t="s">
        <v>132</v>
      </c>
      <c r="V215" s="51" t="s">
        <v>131</v>
      </c>
      <c r="W215" s="51" t="s">
        <v>130</v>
      </c>
      <c r="X215" s="51" t="s">
        <v>165</v>
      </c>
      <c r="Y215" s="51" t="s">
        <v>166</v>
      </c>
      <c r="Z215" s="51" t="s">
        <v>167</v>
      </c>
      <c r="AA215" s="51" t="s">
        <v>168</v>
      </c>
      <c r="AB215" s="51" t="s">
        <v>169</v>
      </c>
      <c r="AC215" s="51" t="s">
        <v>170</v>
      </c>
      <c r="AD215" s="51" t="s">
        <v>171</v>
      </c>
      <c r="AE215" s="51" t="s">
        <v>172</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2" t="str">
        <f>TEXT('Input - Site'!$E$12, "mmmm yyyy")</f>
        <v>January 2024</v>
      </c>
      <c r="V216" s="52">
        <f>'Input - Pasture Beef'!E44</f>
        <v>100</v>
      </c>
      <c r="W216" s="52">
        <f>'Input - Pasture Beef'!F44</f>
        <v>100</v>
      </c>
      <c r="X216" s="52">
        <f>'Input - Pasture Beef'!G44</f>
        <v>100</v>
      </c>
      <c r="Y216" s="52">
        <f>'Input - Pasture Beef'!H44</f>
        <v>100</v>
      </c>
      <c r="Z216" s="52">
        <f>'Input - Pasture Beef'!I44</f>
        <v>100</v>
      </c>
      <c r="AA216" s="52">
        <f>'Input - Pasture Beef'!J44</f>
        <v>100</v>
      </c>
      <c r="AB216" s="52">
        <f>'Input - Pasture Beef'!K44</f>
        <v>100</v>
      </c>
      <c r="AC216" s="52">
        <f>'Input - Pasture Beef'!L44</f>
        <v>100</v>
      </c>
      <c r="AD216" s="52">
        <f>'Input - Pasture Beef'!M44</f>
        <v>100</v>
      </c>
      <c r="AE216" s="52">
        <f>'Input - Pasture Beef'!N44</f>
        <v>100</v>
      </c>
      <c r="AF216" s="2" t="s">
        <v>102</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2" t="str">
        <f>TEXT(EDATE('Input - Site'!$E$12,1), "mmmm yyyy")</f>
        <v>February 2024</v>
      </c>
      <c r="V217" s="52">
        <f>'Input - Pasture Beef'!E45</f>
        <v>100</v>
      </c>
      <c r="W217" s="52">
        <f>'Input - Pasture Beef'!F45</f>
        <v>100</v>
      </c>
      <c r="X217" s="52">
        <f>'Input - Pasture Beef'!G45</f>
        <v>100</v>
      </c>
      <c r="Y217" s="52">
        <f>'Input - Pasture Beef'!H45</f>
        <v>100</v>
      </c>
      <c r="Z217" s="52">
        <f>'Input - Pasture Beef'!I45</f>
        <v>100</v>
      </c>
      <c r="AA217" s="52">
        <f>'Input - Pasture Beef'!J45</f>
        <v>100</v>
      </c>
      <c r="AB217" s="52">
        <f>'Input - Pasture Beef'!K45</f>
        <v>100</v>
      </c>
      <c r="AC217" s="52">
        <f>'Input - Pasture Beef'!L45</f>
        <v>100</v>
      </c>
      <c r="AD217" s="52">
        <f>'Input - Pasture Beef'!M45</f>
        <v>100</v>
      </c>
      <c r="AE217" s="52">
        <f>'Input - Pasture Beef'!N45</f>
        <v>100</v>
      </c>
      <c r="AF217" s="2" t="s">
        <v>102</v>
      </c>
      <c r="AG217" s="2"/>
      <c r="AH217" s="2"/>
    </row>
    <row r="218" spans="3:35" ht="20.100000000000001" customHeight="1" x14ac:dyDescent="0.25">
      <c r="D218" s="13" t="s">
        <v>27</v>
      </c>
      <c r="E218" s="13" t="str" cm="1">
        <f t="array" aca="1" ref="E218" ca="1">Common_InputFunctions.Utility_DisplayFunctionName(E229)</f>
        <v>=MMS_PastureBeef_Soil_N2ODirect_Equations.VEERG_4_2_1_3__1_DirectNitrousOxideEmissionsOnPasture</v>
      </c>
      <c r="U218" s="52" t="str">
        <f>TEXT(EDATE('Input - Site'!$E$12,2), "mmmm yyyy")</f>
        <v>March 2024</v>
      </c>
      <c r="V218" s="52">
        <f>'Input - Pasture Beef'!E46</f>
        <v>100</v>
      </c>
      <c r="W218" s="52">
        <f>'Input - Pasture Beef'!F46</f>
        <v>100</v>
      </c>
      <c r="X218" s="52">
        <f>'Input - Pasture Beef'!G46</f>
        <v>100</v>
      </c>
      <c r="Y218" s="52">
        <f>'Input - Pasture Beef'!H46</f>
        <v>100</v>
      </c>
      <c r="Z218" s="52">
        <f>'Input - Pasture Beef'!I46</f>
        <v>100</v>
      </c>
      <c r="AA218" s="52">
        <f>'Input - Pasture Beef'!J46</f>
        <v>100</v>
      </c>
      <c r="AB218" s="52">
        <f>'Input - Pasture Beef'!K46</f>
        <v>100</v>
      </c>
      <c r="AC218" s="52">
        <f>'Input - Pasture Beef'!L46</f>
        <v>100</v>
      </c>
      <c r="AD218" s="52">
        <f>'Input - Pasture Beef'!M46</f>
        <v>100</v>
      </c>
      <c r="AE218" s="52">
        <f>'Input - Pasture Beef'!N46</f>
        <v>100</v>
      </c>
      <c r="AF218" s="2" t="s">
        <v>102</v>
      </c>
      <c r="AG218" s="2"/>
      <c r="AH218" s="2"/>
    </row>
    <row r="219" spans="3:35" ht="20.100000000000001" customHeight="1" x14ac:dyDescent="0.25">
      <c r="U219" s="52" t="str">
        <f>TEXT(EDATE('Input - Site'!$E$12,3), "mmmm yyyy")</f>
        <v>April 2024</v>
      </c>
      <c r="V219" s="52">
        <f>'Input - Pasture Beef'!E47</f>
        <v>100</v>
      </c>
      <c r="W219" s="52">
        <f>'Input - Pasture Beef'!F47</f>
        <v>100</v>
      </c>
      <c r="X219" s="52">
        <f>'Input - Pasture Beef'!G47</f>
        <v>100</v>
      </c>
      <c r="Y219" s="52">
        <f>'Input - Pasture Beef'!H47</f>
        <v>100</v>
      </c>
      <c r="Z219" s="52">
        <f>'Input - Pasture Beef'!I47</f>
        <v>100</v>
      </c>
      <c r="AA219" s="52">
        <f>'Input - Pasture Beef'!J47</f>
        <v>100</v>
      </c>
      <c r="AB219" s="52">
        <f>'Input - Pasture Beef'!K47</f>
        <v>100</v>
      </c>
      <c r="AC219" s="52">
        <f>'Input - Pasture Beef'!L47</f>
        <v>100</v>
      </c>
      <c r="AD219" s="52">
        <f>'Input - Pasture Beef'!M47</f>
        <v>100</v>
      </c>
      <c r="AE219" s="52">
        <f>'Input - Pasture Beef'!N47</f>
        <v>100</v>
      </c>
      <c r="AF219" s="2" t="s">
        <v>102</v>
      </c>
      <c r="AG219" s="2"/>
      <c r="AH219" s="2"/>
    </row>
    <row r="220" spans="3:35" ht="20.100000000000001" customHeight="1" x14ac:dyDescent="0.25">
      <c r="U220" s="52" t="str">
        <f>TEXT(EDATE('Input - Site'!$E$12,4), "mmmm yyyy")</f>
        <v>May 2024</v>
      </c>
      <c r="V220" s="52">
        <f>'Input - Pasture Beef'!E48</f>
        <v>100</v>
      </c>
      <c r="W220" s="52">
        <f>'Input - Pasture Beef'!F48</f>
        <v>100</v>
      </c>
      <c r="X220" s="52">
        <f>'Input - Pasture Beef'!G48</f>
        <v>100</v>
      </c>
      <c r="Y220" s="52">
        <f>'Input - Pasture Beef'!H48</f>
        <v>100</v>
      </c>
      <c r="Z220" s="52">
        <f>'Input - Pasture Beef'!I48</f>
        <v>100</v>
      </c>
      <c r="AA220" s="52">
        <f>'Input - Pasture Beef'!J48</f>
        <v>100</v>
      </c>
      <c r="AB220" s="52">
        <f>'Input - Pasture Beef'!K48</f>
        <v>100</v>
      </c>
      <c r="AC220" s="52">
        <f>'Input - Pasture Beef'!L48</f>
        <v>100</v>
      </c>
      <c r="AD220" s="52">
        <f>'Input - Pasture Beef'!M48</f>
        <v>100</v>
      </c>
      <c r="AE220" s="52">
        <f>'Input - Pasture Beef'!N48</f>
        <v>100</v>
      </c>
      <c r="AF220" s="2" t="s">
        <v>102</v>
      </c>
      <c r="AG220" s="2"/>
      <c r="AH220" s="2"/>
    </row>
    <row r="221" spans="3:35" ht="20.100000000000001" customHeight="1" x14ac:dyDescent="0.25">
      <c r="D221" s="53" t="s">
        <v>30</v>
      </c>
      <c r="E221" s="1" t="str" cm="1">
        <f t="array" ref="E221">MMS_PastureBeef_Soil_N2ODirect_Equations.VEERG_4_2_1_3__1_DirectNitrousOxideEmissionsOnPasture_Variable()</f>
        <v>E_N2Odir</v>
      </c>
      <c r="U221" s="52" t="str">
        <f>TEXT(EDATE('Input - Site'!$E$12,5), "mmmm yyyy")</f>
        <v>June 2024</v>
      </c>
      <c r="V221" s="52">
        <f>'Input - Pasture Beef'!E49</f>
        <v>100</v>
      </c>
      <c r="W221" s="52">
        <f>'Input - Pasture Beef'!F49</f>
        <v>100</v>
      </c>
      <c r="X221" s="52">
        <f>'Input - Pasture Beef'!G49</f>
        <v>100</v>
      </c>
      <c r="Y221" s="52">
        <f>'Input - Pasture Beef'!H49</f>
        <v>100</v>
      </c>
      <c r="Z221" s="52">
        <f>'Input - Pasture Beef'!I49</f>
        <v>100</v>
      </c>
      <c r="AA221" s="52">
        <f>'Input - Pasture Beef'!J49</f>
        <v>100</v>
      </c>
      <c r="AB221" s="52">
        <f>'Input - Pasture Beef'!K49</f>
        <v>100</v>
      </c>
      <c r="AC221" s="52">
        <f>'Input - Pasture Beef'!L49</f>
        <v>100</v>
      </c>
      <c r="AD221" s="52">
        <f>'Input - Pasture Beef'!M49</f>
        <v>100</v>
      </c>
      <c r="AE221" s="52">
        <f>'Input - Pasture Beef'!N49</f>
        <v>100</v>
      </c>
      <c r="AF221" s="2" t="s">
        <v>102</v>
      </c>
      <c r="AG221" s="2"/>
      <c r="AH221" s="2"/>
    </row>
    <row r="222" spans="3:35" ht="20.100000000000001" customHeight="1" x14ac:dyDescent="0.25">
      <c r="D222" s="53" t="s">
        <v>20</v>
      </c>
      <c r="E222" s="54" t="str" cm="1">
        <f t="array" ref="E222">MMS_PastureBeef_Soil_N2ODirect_Equations.VEERG_4_2_1_3__1_DirectNitrousOxideEmissionsOnPasture_Unit()</f>
        <v>t N2O</v>
      </c>
      <c r="U222" s="52" t="str">
        <f>TEXT(EDATE('Input - Site'!$E$12,6), "mmmm yyyy")</f>
        <v>July 2024</v>
      </c>
      <c r="V222" s="52">
        <f>'Input - Pasture Beef'!E50</f>
        <v>100</v>
      </c>
      <c r="W222" s="52">
        <f>'Input - Pasture Beef'!F50</f>
        <v>100</v>
      </c>
      <c r="X222" s="52">
        <f>'Input - Pasture Beef'!G50</f>
        <v>100</v>
      </c>
      <c r="Y222" s="52">
        <f>'Input - Pasture Beef'!H50</f>
        <v>100</v>
      </c>
      <c r="Z222" s="52">
        <f>'Input - Pasture Beef'!I50</f>
        <v>100</v>
      </c>
      <c r="AA222" s="52">
        <f>'Input - Pasture Beef'!J50</f>
        <v>100</v>
      </c>
      <c r="AB222" s="52">
        <f>'Input - Pasture Beef'!K50</f>
        <v>100</v>
      </c>
      <c r="AC222" s="52">
        <f>'Input - Pasture Beef'!L50</f>
        <v>100</v>
      </c>
      <c r="AD222" s="52">
        <f>'Input - Pasture Beef'!M50</f>
        <v>100</v>
      </c>
      <c r="AE222" s="52">
        <f>'Input - Pasture Beef'!N50</f>
        <v>100</v>
      </c>
      <c r="AF222" s="2" t="s">
        <v>102</v>
      </c>
      <c r="AG222" s="2"/>
      <c r="AH222" s="2"/>
    </row>
    <row r="223" spans="3:35" ht="20.100000000000001" customHeight="1" x14ac:dyDescent="0.25">
      <c r="U223" s="52" t="str">
        <f>TEXT(EDATE('Input - Site'!$E$12,7), "mmmm yyyy")</f>
        <v>August 2024</v>
      </c>
      <c r="V223" s="52">
        <f>'Input - Pasture Beef'!E51</f>
        <v>100</v>
      </c>
      <c r="W223" s="52">
        <f>'Input - Pasture Beef'!F51</f>
        <v>100</v>
      </c>
      <c r="X223" s="52">
        <f>'Input - Pasture Beef'!G51</f>
        <v>100</v>
      </c>
      <c r="Y223" s="52">
        <f>'Input - Pasture Beef'!H51</f>
        <v>100</v>
      </c>
      <c r="Z223" s="52">
        <f>'Input - Pasture Beef'!I51</f>
        <v>100</v>
      </c>
      <c r="AA223" s="52">
        <f>'Input - Pasture Beef'!J51</f>
        <v>100</v>
      </c>
      <c r="AB223" s="52">
        <f>'Input - Pasture Beef'!K51</f>
        <v>100</v>
      </c>
      <c r="AC223" s="52">
        <f>'Input - Pasture Beef'!L51</f>
        <v>100</v>
      </c>
      <c r="AD223" s="52">
        <f>'Input - Pasture Beef'!M51</f>
        <v>100</v>
      </c>
      <c r="AE223" s="52">
        <f>'Input - Pasture Beef'!N51</f>
        <v>100</v>
      </c>
      <c r="AF223" s="2" t="s">
        <v>102</v>
      </c>
      <c r="AG223" s="2"/>
      <c r="AH223" s="2"/>
    </row>
    <row r="224" spans="3:35" ht="20.100000000000001" customHeight="1" x14ac:dyDescent="0.25">
      <c r="D224" s="108" t="str" cm="1">
        <f t="array" ref="D224:E227">MMS_PastureBeef_Soil_N2ODirect_Equations.VEERG_4_2_1_3__1_DirectNitrousOxideEmissionsOnPasture_Arguments()</f>
        <v>AE</v>
      </c>
      <c r="E224" s="110" t="str">
        <v>total mass of nitrogen excreted on PRP for beef cattle (kg N)</v>
      </c>
      <c r="F224" s="117"/>
      <c r="G224" s="109"/>
      <c r="H224" s="108" t="str">
        <f>"See " &amp; D204</f>
        <v>See M1_Table_AE</v>
      </c>
      <c r="U224" s="52" t="str">
        <f>TEXT(EDATE('Input - Site'!$E$12,8), "mmmm yyyy")</f>
        <v>September 2024</v>
      </c>
      <c r="V224" s="52">
        <f>'Input - Pasture Beef'!E52</f>
        <v>100</v>
      </c>
      <c r="W224" s="52">
        <f>'Input - Pasture Beef'!F52</f>
        <v>100</v>
      </c>
      <c r="X224" s="52">
        <f>'Input - Pasture Beef'!G52</f>
        <v>100</v>
      </c>
      <c r="Y224" s="52">
        <f>'Input - Pasture Beef'!H52</f>
        <v>100</v>
      </c>
      <c r="Z224" s="52">
        <f>'Input - Pasture Beef'!I52</f>
        <v>100</v>
      </c>
      <c r="AA224" s="52">
        <f>'Input - Pasture Beef'!J52</f>
        <v>100</v>
      </c>
      <c r="AB224" s="52">
        <f>'Input - Pasture Beef'!K52</f>
        <v>100</v>
      </c>
      <c r="AC224" s="52">
        <f>'Input - Pasture Beef'!L52</f>
        <v>100</v>
      </c>
      <c r="AD224" s="52">
        <f>'Input - Pasture Beef'!M52</f>
        <v>100</v>
      </c>
      <c r="AE224" s="52">
        <f>'Input - Pasture Beef'!N52</f>
        <v>100</v>
      </c>
      <c r="AF224" s="2" t="s">
        <v>102</v>
      </c>
      <c r="AG224" s="2"/>
      <c r="AH224" s="2"/>
    </row>
    <row r="225" spans="4:34" ht="20.100000000000001" customHeight="1" x14ac:dyDescent="0.25">
      <c r="D225" s="108" t="str">
        <v>EF_PRP</v>
      </c>
      <c r="E225" s="110" t="str">
        <v>emission factor for nitrous oxide from urine and dung deposited to soil (kg N2O-N/kg N deposited)</v>
      </c>
      <c r="F225" s="117"/>
      <c r="G225" s="109"/>
      <c r="H225" s="57">
        <f>_xlfn.XLOOKUP(H227,Table_SourceData_EFPastureRangeAndPaddock[Climate zone],Table_SourceData_EFPastureRangeAndPaddock[EFPRP])</f>
        <v>2E-3</v>
      </c>
      <c r="U225" s="52" t="str">
        <f>TEXT(EDATE('Input - Site'!$E$12,9), "mmmm yyyy")</f>
        <v>October 2024</v>
      </c>
      <c r="V225" s="52">
        <f>'Input - Pasture Beef'!E53</f>
        <v>100</v>
      </c>
      <c r="W225" s="52">
        <f>'Input - Pasture Beef'!F53</f>
        <v>100</v>
      </c>
      <c r="X225" s="52">
        <f>'Input - Pasture Beef'!G53</f>
        <v>100</v>
      </c>
      <c r="Y225" s="52">
        <f>'Input - Pasture Beef'!H53</f>
        <v>100</v>
      </c>
      <c r="Z225" s="52">
        <f>'Input - Pasture Beef'!I53</f>
        <v>100</v>
      </c>
      <c r="AA225" s="52">
        <f>'Input - Pasture Beef'!J53</f>
        <v>100</v>
      </c>
      <c r="AB225" s="52">
        <f>'Input - Pasture Beef'!K53</f>
        <v>100</v>
      </c>
      <c r="AC225" s="52">
        <f>'Input - Pasture Beef'!L53</f>
        <v>100</v>
      </c>
      <c r="AD225" s="52">
        <f>'Input - Pasture Beef'!M53</f>
        <v>100</v>
      </c>
      <c r="AE225" s="52">
        <f>'Input - Pasture Beef'!N53</f>
        <v>100</v>
      </c>
      <c r="AF225" s="2" t="s">
        <v>102</v>
      </c>
      <c r="AG225" s="2"/>
      <c r="AH225" s="2"/>
    </row>
    <row r="226" spans="4:34" ht="20.100000000000001" customHeight="1" x14ac:dyDescent="0.25">
      <c r="D226" s="108" t="str">
        <v>C_N2O</v>
      </c>
      <c r="E226" s="110" t="str">
        <v>factor to convert elemental mass of nitrous oxide to molecular mass</v>
      </c>
      <c r="F226" s="117"/>
      <c r="G226" s="109"/>
      <c r="H226" s="57">
        <f>Common_InputFunctions.Utility_LookupValueInTableNumber("N2O",Table_GasToMolecularConversionFactor[Gas],Table_GasToMolecularConversionFactor[Conversion factor combined])</f>
        <v>1.5714285714285714</v>
      </c>
      <c r="U226" s="52" t="str">
        <f>TEXT(EDATE('Input - Site'!$E$12,10), "mmmm yyyy")</f>
        <v>November 2024</v>
      </c>
      <c r="V226" s="52">
        <f>'Input - Pasture Beef'!E54</f>
        <v>100</v>
      </c>
      <c r="W226" s="52">
        <f>'Input - Pasture Beef'!F54</f>
        <v>100</v>
      </c>
      <c r="X226" s="52">
        <f>'Input - Pasture Beef'!G54</f>
        <v>100</v>
      </c>
      <c r="Y226" s="52">
        <f>'Input - Pasture Beef'!H54</f>
        <v>100</v>
      </c>
      <c r="Z226" s="52">
        <f>'Input - Pasture Beef'!I54</f>
        <v>100</v>
      </c>
      <c r="AA226" s="52">
        <f>'Input - Pasture Beef'!J54</f>
        <v>100</v>
      </c>
      <c r="AB226" s="52">
        <f>'Input - Pasture Beef'!K54</f>
        <v>100</v>
      </c>
      <c r="AC226" s="52">
        <f>'Input - Pasture Beef'!L54</f>
        <v>100</v>
      </c>
      <c r="AD226" s="52">
        <f>'Input - Pasture Beef'!M54</f>
        <v>100</v>
      </c>
      <c r="AE226" s="52">
        <f>'Input - Pasture Beef'!N54</f>
        <v>100</v>
      </c>
      <c r="AF226" s="2" t="s">
        <v>102</v>
      </c>
      <c r="AG226" s="2"/>
      <c r="AH226" s="2"/>
    </row>
    <row r="227" spans="4:34" ht="20.100000000000001" customHeight="1" x14ac:dyDescent="0.25">
      <c r="D227" s="108" t="str">
        <v>z</v>
      </c>
      <c r="E227" s="110" t="str">
        <v>wet or dry climate zone</v>
      </c>
      <c r="F227" s="117"/>
      <c r="G227" s="109"/>
      <c r="H227" s="108" t="str">
        <f>'Input - Site'!$E$32</f>
        <v>Dry climate zone</v>
      </c>
      <c r="U227" s="52" t="str">
        <f>TEXT(EDATE('Input - Site'!$E$12,11), "mmmm yyyy")</f>
        <v>December 2024</v>
      </c>
      <c r="V227" s="52">
        <f>'Input - Pasture Beef'!E55</f>
        <v>100</v>
      </c>
      <c r="W227" s="52">
        <f>'Input - Pasture Beef'!F55</f>
        <v>100</v>
      </c>
      <c r="X227" s="52">
        <f>'Input - Pasture Beef'!G55</f>
        <v>100</v>
      </c>
      <c r="Y227" s="52">
        <f>'Input - Pasture Beef'!H55</f>
        <v>100</v>
      </c>
      <c r="Z227" s="52">
        <f>'Input - Pasture Beef'!I55</f>
        <v>100</v>
      </c>
      <c r="AA227" s="52">
        <f>'Input - Pasture Beef'!J55</f>
        <v>100</v>
      </c>
      <c r="AB227" s="52">
        <f>'Input - Pasture Beef'!K55</f>
        <v>100</v>
      </c>
      <c r="AC227" s="52">
        <f>'Input - Pasture Beef'!L55</f>
        <v>100</v>
      </c>
      <c r="AD227" s="52">
        <f>'Input - Pasture Beef'!M55</f>
        <v>100</v>
      </c>
      <c r="AE227" s="52">
        <f>'Input - Pasture Beef'!N55</f>
        <v>100</v>
      </c>
      <c r="AF227" s="2" t="s">
        <v>102</v>
      </c>
      <c r="AG227" s="2"/>
      <c r="AH227" s="2"/>
    </row>
    <row r="228" spans="4:34" ht="20.100000000000001" customHeight="1" x14ac:dyDescent="0.25"/>
    <row r="229" spans="4:34" ht="20.100000000000001" customHeight="1" x14ac:dyDescent="0.25">
      <c r="D229" s="101" t="s">
        <v>110</v>
      </c>
      <c r="E229" s="102" cm="1">
        <f t="array" ref="E229">MMS_PastureBeef_Soil_N2ODirect_Equations.VEERG_4_2_1_3__1_DirectNitrousOxideEmissionsOnPasture($E$212,$H$225,$H$226)</f>
        <v>0.1875463266040821</v>
      </c>
      <c r="F229" s="103" t="str">
        <f>$E$222</f>
        <v>t N2O</v>
      </c>
      <c r="U229" s="99" t="s">
        <v>149</v>
      </c>
    </row>
    <row r="230" spans="4:34" ht="20.100000000000001" customHeight="1" x14ac:dyDescent="0.25">
      <c r="U230" s="98" t="s">
        <v>285</v>
      </c>
    </row>
    <row r="231" spans="4:34" ht="20.100000000000001" customHeight="1" x14ac:dyDescent="0.25">
      <c r="D231" s="57" t="str" cm="1">
        <f t="array" ref="D231:E232">Common_Equations.Common_ConvertN2OToCO2e_Arguments()</f>
        <v>EN2O</v>
      </c>
      <c r="E231" s="58" t="str">
        <v>Nitrous oxide emissions (t N2O)</v>
      </c>
      <c r="F231" s="104"/>
      <c r="G231" s="52">
        <f>E229</f>
        <v>0.1875463266040821</v>
      </c>
      <c r="U231" s="51" t="s">
        <v>132</v>
      </c>
      <c r="V231" s="51" t="s">
        <v>131</v>
      </c>
      <c r="W231" s="51" t="s">
        <v>130</v>
      </c>
      <c r="X231" s="51" t="s">
        <v>165</v>
      </c>
      <c r="Y231" s="51" t="s">
        <v>166</v>
      </c>
      <c r="Z231" s="51" t="s">
        <v>167</v>
      </c>
      <c r="AA231" s="51" t="s">
        <v>168</v>
      </c>
      <c r="AB231" s="51" t="s">
        <v>169</v>
      </c>
      <c r="AC231" s="51" t="s">
        <v>170</v>
      </c>
      <c r="AD231" s="51" t="s">
        <v>171</v>
      </c>
      <c r="AE231" s="51" t="s">
        <v>172</v>
      </c>
    </row>
    <row r="232" spans="4:34" ht="20.100000000000001" customHeight="1" x14ac:dyDescent="0.25">
      <c r="D232" s="57" t="str">
        <v>GWPN2O</v>
      </c>
      <c r="E232" s="58" t="str">
        <v>Global warming potential for nitrous oxide (t CO2-e / t N2O)</v>
      </c>
      <c r="F232" s="104"/>
      <c r="G232" s="52">
        <f>Common_InputFunctions.Utility_LookupValueInTableNumber("N2O",Table_GWPData[Gas],Table_GWPData[CO2-e factor])</f>
        <v>265</v>
      </c>
      <c r="U232" s="52" t="str">
        <f>TEXT('Input - Site'!$E$12, "mmmm yyyy")</f>
        <v>January 2024</v>
      </c>
      <c r="V232" s="52">
        <f>'Input - Pasture Beef'!E22</f>
        <v>31</v>
      </c>
      <c r="W232" s="52">
        <f>'Input - Pasture Beef'!F22</f>
        <v>31</v>
      </c>
      <c r="X232" s="52">
        <f>'Input - Pasture Beef'!G22</f>
        <v>31</v>
      </c>
      <c r="Y232" s="52">
        <f>'Input - Pasture Beef'!H22</f>
        <v>31</v>
      </c>
      <c r="Z232" s="52">
        <f>'Input - Pasture Beef'!I22</f>
        <v>31</v>
      </c>
      <c r="AA232" s="52">
        <f>'Input - Pasture Beef'!J22</f>
        <v>31</v>
      </c>
      <c r="AB232" s="52">
        <f>'Input - Pasture Beef'!K22</f>
        <v>31</v>
      </c>
      <c r="AC232" s="52">
        <f>'Input - Pasture Beef'!L22</f>
        <v>31</v>
      </c>
      <c r="AD232" s="52">
        <f>'Input - Pasture Beef'!M22</f>
        <v>31</v>
      </c>
      <c r="AE232" s="52">
        <f>'Input - Pasture Beef'!N22</f>
        <v>31</v>
      </c>
      <c r="AF232" s="2" t="s">
        <v>281</v>
      </c>
      <c r="AG232" s="2"/>
      <c r="AH232" s="2"/>
    </row>
    <row r="233" spans="4:34" ht="20.100000000000001" customHeight="1" x14ac:dyDescent="0.25">
      <c r="U233" s="52" t="str">
        <f>TEXT(EDATE('Input - Site'!$E$12,1), "mmmm yyyy")</f>
        <v>February 2024</v>
      </c>
      <c r="V233" s="52">
        <f>'Input - Pasture Beef'!E23</f>
        <v>29</v>
      </c>
      <c r="W233" s="52">
        <f>'Input - Pasture Beef'!F23</f>
        <v>29</v>
      </c>
      <c r="X233" s="52">
        <f>'Input - Pasture Beef'!G23</f>
        <v>29</v>
      </c>
      <c r="Y233" s="52">
        <f>'Input - Pasture Beef'!H23</f>
        <v>29</v>
      </c>
      <c r="Z233" s="52">
        <f>'Input - Pasture Beef'!I23</f>
        <v>29</v>
      </c>
      <c r="AA233" s="52">
        <f>'Input - Pasture Beef'!J23</f>
        <v>29</v>
      </c>
      <c r="AB233" s="52">
        <f>'Input - Pasture Beef'!K23</f>
        <v>29</v>
      </c>
      <c r="AC233" s="52">
        <f>'Input - Pasture Beef'!L23</f>
        <v>29</v>
      </c>
      <c r="AD233" s="52">
        <f>'Input - Pasture Beef'!M23</f>
        <v>29</v>
      </c>
      <c r="AE233" s="52">
        <f>'Input - Pasture Beef'!N23</f>
        <v>29</v>
      </c>
      <c r="AF233" s="2" t="s">
        <v>281</v>
      </c>
      <c r="AG233" s="2"/>
      <c r="AH233" s="2"/>
    </row>
    <row r="234" spans="4:34" ht="20.100000000000001" customHeight="1" x14ac:dyDescent="0.25">
      <c r="D234" s="45" t="s">
        <v>104</v>
      </c>
      <c r="E234" s="45" cm="1">
        <f t="array" ref="E234">Common_Equations.Common_ConvertN2OToCO2e(G231,G232)</f>
        <v>49.699776550081758</v>
      </c>
      <c r="F234" s="105" t="str" cm="1">
        <f t="array" ref="F234">Common_Equations.Common_ConvertN2OToCO2e_Unit()</f>
        <v>t CO2e</v>
      </c>
      <c r="U234" s="52" t="str">
        <f>TEXT(EDATE('Input - Site'!$E$12,2), "mmmm yyyy")</f>
        <v>March 2024</v>
      </c>
      <c r="V234" s="52">
        <f>'Input - Pasture Beef'!E24</f>
        <v>31</v>
      </c>
      <c r="W234" s="52">
        <f>'Input - Pasture Beef'!F24</f>
        <v>31</v>
      </c>
      <c r="X234" s="52">
        <f>'Input - Pasture Beef'!G24</f>
        <v>31</v>
      </c>
      <c r="Y234" s="52">
        <f>'Input - Pasture Beef'!H24</f>
        <v>31</v>
      </c>
      <c r="Z234" s="52">
        <f>'Input - Pasture Beef'!I24</f>
        <v>31</v>
      </c>
      <c r="AA234" s="52">
        <f>'Input - Pasture Beef'!J24</f>
        <v>31</v>
      </c>
      <c r="AB234" s="52">
        <f>'Input - Pasture Beef'!K24</f>
        <v>31</v>
      </c>
      <c r="AC234" s="52">
        <f>'Input - Pasture Beef'!L24</f>
        <v>31</v>
      </c>
      <c r="AD234" s="52">
        <f>'Input - Pasture Beef'!M24</f>
        <v>31</v>
      </c>
      <c r="AE234" s="52">
        <f>'Input - Pasture Beef'!N24</f>
        <v>31</v>
      </c>
      <c r="AF234" s="2" t="s">
        <v>281</v>
      </c>
      <c r="AG234" s="2"/>
      <c r="AH234" s="2"/>
    </row>
    <row r="235" spans="4:34" ht="20.100000000000001" customHeight="1" x14ac:dyDescent="0.25">
      <c r="U235" s="52" t="str">
        <f>TEXT(EDATE('Input - Site'!$E$12,3), "mmmm yyyy")</f>
        <v>April 2024</v>
      </c>
      <c r="V235" s="52">
        <f>'Input - Pasture Beef'!E25</f>
        <v>30</v>
      </c>
      <c r="W235" s="52">
        <f>'Input - Pasture Beef'!F25</f>
        <v>30</v>
      </c>
      <c r="X235" s="52">
        <f>'Input - Pasture Beef'!G25</f>
        <v>30</v>
      </c>
      <c r="Y235" s="52">
        <f>'Input - Pasture Beef'!H25</f>
        <v>30</v>
      </c>
      <c r="Z235" s="52">
        <f>'Input - Pasture Beef'!I25</f>
        <v>30</v>
      </c>
      <c r="AA235" s="52">
        <f>'Input - Pasture Beef'!J25</f>
        <v>30</v>
      </c>
      <c r="AB235" s="52">
        <f>'Input - Pasture Beef'!K25</f>
        <v>30</v>
      </c>
      <c r="AC235" s="52">
        <f>'Input - Pasture Beef'!L25</f>
        <v>30</v>
      </c>
      <c r="AD235" s="52">
        <f>'Input - Pasture Beef'!M25</f>
        <v>30</v>
      </c>
      <c r="AE235" s="52">
        <f>'Input - Pasture Beef'!N25</f>
        <v>30</v>
      </c>
      <c r="AF235" s="2" t="s">
        <v>281</v>
      </c>
      <c r="AG235" s="2"/>
      <c r="AH235" s="2"/>
    </row>
    <row r="236" spans="4:34" ht="20.100000000000001" customHeight="1" x14ac:dyDescent="0.25">
      <c r="U236" s="52" t="str">
        <f>TEXT(EDATE('Input - Site'!$E$12,4), "mmmm yyyy")</f>
        <v>May 2024</v>
      </c>
      <c r="V236" s="52">
        <f>'Input - Pasture Beef'!E26</f>
        <v>31</v>
      </c>
      <c r="W236" s="52">
        <f>'Input - Pasture Beef'!F26</f>
        <v>31</v>
      </c>
      <c r="X236" s="52">
        <f>'Input - Pasture Beef'!G26</f>
        <v>31</v>
      </c>
      <c r="Y236" s="52">
        <f>'Input - Pasture Beef'!H26</f>
        <v>31</v>
      </c>
      <c r="Z236" s="52">
        <f>'Input - Pasture Beef'!I26</f>
        <v>31</v>
      </c>
      <c r="AA236" s="52">
        <f>'Input - Pasture Beef'!J26</f>
        <v>31</v>
      </c>
      <c r="AB236" s="52">
        <f>'Input - Pasture Beef'!K26</f>
        <v>31</v>
      </c>
      <c r="AC236" s="52">
        <f>'Input - Pasture Beef'!L26</f>
        <v>31</v>
      </c>
      <c r="AD236" s="52">
        <f>'Input - Pasture Beef'!M26</f>
        <v>31</v>
      </c>
      <c r="AE236" s="52">
        <f>'Input - Pasture Beef'!N26</f>
        <v>31</v>
      </c>
      <c r="AF236" s="2" t="s">
        <v>281</v>
      </c>
      <c r="AG236" s="2"/>
      <c r="AH236" s="2"/>
    </row>
    <row r="237" spans="4:34" ht="20.100000000000001" customHeight="1" x14ac:dyDescent="0.25">
      <c r="U237" s="52" t="str">
        <f>TEXT(EDATE('Input - Site'!$E$12,5), "mmmm yyyy")</f>
        <v>June 2024</v>
      </c>
      <c r="V237" s="52">
        <f>'Input - Pasture Beef'!E27</f>
        <v>30</v>
      </c>
      <c r="W237" s="52">
        <f>'Input - Pasture Beef'!F27</f>
        <v>30</v>
      </c>
      <c r="X237" s="52">
        <f>'Input - Pasture Beef'!G27</f>
        <v>30</v>
      </c>
      <c r="Y237" s="52">
        <f>'Input - Pasture Beef'!H27</f>
        <v>30</v>
      </c>
      <c r="Z237" s="52">
        <f>'Input - Pasture Beef'!I27</f>
        <v>30</v>
      </c>
      <c r="AA237" s="52">
        <f>'Input - Pasture Beef'!J27</f>
        <v>30</v>
      </c>
      <c r="AB237" s="52">
        <f>'Input - Pasture Beef'!K27</f>
        <v>30</v>
      </c>
      <c r="AC237" s="52">
        <f>'Input - Pasture Beef'!L27</f>
        <v>30</v>
      </c>
      <c r="AD237" s="52">
        <f>'Input - Pasture Beef'!M27</f>
        <v>30</v>
      </c>
      <c r="AE237" s="52">
        <f>'Input - Pasture Beef'!N27</f>
        <v>30</v>
      </c>
      <c r="AF237" s="2" t="s">
        <v>281</v>
      </c>
      <c r="AG237" s="2"/>
      <c r="AH237" s="2"/>
    </row>
    <row r="238" spans="4:34" ht="20.100000000000001" customHeight="1" x14ac:dyDescent="0.25">
      <c r="U238" s="52" t="str">
        <f>TEXT(EDATE('Input - Site'!$E$12,6), "mmmm yyyy")</f>
        <v>July 2024</v>
      </c>
      <c r="V238" s="52">
        <f>'Input - Pasture Beef'!E28</f>
        <v>31</v>
      </c>
      <c r="W238" s="52">
        <f>'Input - Pasture Beef'!F28</f>
        <v>31</v>
      </c>
      <c r="X238" s="52">
        <f>'Input - Pasture Beef'!G28</f>
        <v>31</v>
      </c>
      <c r="Y238" s="52">
        <f>'Input - Pasture Beef'!H28</f>
        <v>31</v>
      </c>
      <c r="Z238" s="52">
        <f>'Input - Pasture Beef'!I28</f>
        <v>31</v>
      </c>
      <c r="AA238" s="52">
        <f>'Input - Pasture Beef'!J28</f>
        <v>31</v>
      </c>
      <c r="AB238" s="52">
        <f>'Input - Pasture Beef'!K28</f>
        <v>31</v>
      </c>
      <c r="AC238" s="52">
        <f>'Input - Pasture Beef'!L28</f>
        <v>31</v>
      </c>
      <c r="AD238" s="52">
        <f>'Input - Pasture Beef'!M28</f>
        <v>31</v>
      </c>
      <c r="AE238" s="52">
        <f>'Input - Pasture Beef'!N28</f>
        <v>31</v>
      </c>
      <c r="AF238" s="2" t="s">
        <v>281</v>
      </c>
      <c r="AG238" s="2"/>
      <c r="AH238" s="2"/>
    </row>
    <row r="239" spans="4:34" ht="20.100000000000001" customHeight="1" x14ac:dyDescent="0.25">
      <c r="U239" s="52" t="str">
        <f>TEXT(EDATE('Input - Site'!$E$12,7), "mmmm yyyy")</f>
        <v>August 2024</v>
      </c>
      <c r="V239" s="52">
        <f>'Input - Pasture Beef'!E29</f>
        <v>31</v>
      </c>
      <c r="W239" s="52">
        <f>'Input - Pasture Beef'!F29</f>
        <v>31</v>
      </c>
      <c r="X239" s="52">
        <f>'Input - Pasture Beef'!G29</f>
        <v>31</v>
      </c>
      <c r="Y239" s="52">
        <f>'Input - Pasture Beef'!H29</f>
        <v>31</v>
      </c>
      <c r="Z239" s="52">
        <f>'Input - Pasture Beef'!I29</f>
        <v>31</v>
      </c>
      <c r="AA239" s="52">
        <f>'Input - Pasture Beef'!J29</f>
        <v>31</v>
      </c>
      <c r="AB239" s="52">
        <f>'Input - Pasture Beef'!K29</f>
        <v>31</v>
      </c>
      <c r="AC239" s="52">
        <f>'Input - Pasture Beef'!L29</f>
        <v>31</v>
      </c>
      <c r="AD239" s="52">
        <f>'Input - Pasture Beef'!M29</f>
        <v>31</v>
      </c>
      <c r="AE239" s="52">
        <f>'Input - Pasture Beef'!N29</f>
        <v>31</v>
      </c>
      <c r="AF239" s="2" t="s">
        <v>281</v>
      </c>
      <c r="AG239" s="2"/>
      <c r="AH239" s="2"/>
    </row>
    <row r="240" spans="4:34" ht="20.100000000000001" customHeight="1" x14ac:dyDescent="0.25">
      <c r="U240" s="52" t="str">
        <f>TEXT(EDATE('Input - Site'!$E$12,8), "mmmm yyyy")</f>
        <v>September 2024</v>
      </c>
      <c r="V240" s="52">
        <f>'Input - Pasture Beef'!E30</f>
        <v>30</v>
      </c>
      <c r="W240" s="52">
        <f>'Input - Pasture Beef'!F30</f>
        <v>30</v>
      </c>
      <c r="X240" s="52">
        <f>'Input - Pasture Beef'!G30</f>
        <v>30</v>
      </c>
      <c r="Y240" s="52">
        <f>'Input - Pasture Beef'!H30</f>
        <v>30</v>
      </c>
      <c r="Z240" s="52">
        <f>'Input - Pasture Beef'!I30</f>
        <v>30</v>
      </c>
      <c r="AA240" s="52">
        <f>'Input - Pasture Beef'!J30</f>
        <v>30</v>
      </c>
      <c r="AB240" s="52">
        <f>'Input - Pasture Beef'!K30</f>
        <v>30</v>
      </c>
      <c r="AC240" s="52">
        <f>'Input - Pasture Beef'!L30</f>
        <v>30</v>
      </c>
      <c r="AD240" s="52">
        <f>'Input - Pasture Beef'!M30</f>
        <v>30</v>
      </c>
      <c r="AE240" s="52">
        <f>'Input - Pasture Beef'!N30</f>
        <v>30</v>
      </c>
      <c r="AF240" s="2" t="s">
        <v>281</v>
      </c>
      <c r="AG240" s="2"/>
      <c r="AH240" s="2"/>
    </row>
    <row r="241" spans="21:34" ht="20.100000000000001" customHeight="1" x14ac:dyDescent="0.25">
      <c r="U241" s="52" t="str">
        <f>TEXT(EDATE('Input - Site'!$E$12,9), "mmmm yyyy")</f>
        <v>October 2024</v>
      </c>
      <c r="V241" s="52">
        <f>'Input - Pasture Beef'!E31</f>
        <v>31</v>
      </c>
      <c r="W241" s="52">
        <f>'Input - Pasture Beef'!F31</f>
        <v>31</v>
      </c>
      <c r="X241" s="52">
        <f>'Input - Pasture Beef'!G31</f>
        <v>31</v>
      </c>
      <c r="Y241" s="52">
        <f>'Input - Pasture Beef'!H31</f>
        <v>31</v>
      </c>
      <c r="Z241" s="52">
        <f>'Input - Pasture Beef'!I31</f>
        <v>31</v>
      </c>
      <c r="AA241" s="52">
        <f>'Input - Pasture Beef'!J31</f>
        <v>31</v>
      </c>
      <c r="AB241" s="52">
        <f>'Input - Pasture Beef'!K31</f>
        <v>31</v>
      </c>
      <c r="AC241" s="52">
        <f>'Input - Pasture Beef'!L31</f>
        <v>31</v>
      </c>
      <c r="AD241" s="52">
        <f>'Input - Pasture Beef'!M31</f>
        <v>31</v>
      </c>
      <c r="AE241" s="52">
        <f>'Input - Pasture Beef'!N31</f>
        <v>31</v>
      </c>
      <c r="AF241" s="2" t="s">
        <v>281</v>
      </c>
      <c r="AG241" s="2"/>
      <c r="AH241" s="2"/>
    </row>
    <row r="242" spans="21:34" ht="20.100000000000001" customHeight="1" x14ac:dyDescent="0.25">
      <c r="U242" s="52" t="str">
        <f>TEXT(EDATE('Input - Site'!$E$12,10), "mmmm yyyy")</f>
        <v>November 2024</v>
      </c>
      <c r="V242" s="52">
        <f>'Input - Pasture Beef'!E32</f>
        <v>30</v>
      </c>
      <c r="W242" s="52">
        <f>'Input - Pasture Beef'!F32</f>
        <v>30</v>
      </c>
      <c r="X242" s="52">
        <f>'Input - Pasture Beef'!G32</f>
        <v>30</v>
      </c>
      <c r="Y242" s="52">
        <f>'Input - Pasture Beef'!H32</f>
        <v>30</v>
      </c>
      <c r="Z242" s="52">
        <f>'Input - Pasture Beef'!I32</f>
        <v>30</v>
      </c>
      <c r="AA242" s="52">
        <f>'Input - Pasture Beef'!J32</f>
        <v>30</v>
      </c>
      <c r="AB242" s="52">
        <f>'Input - Pasture Beef'!K32</f>
        <v>30</v>
      </c>
      <c r="AC242" s="52">
        <f>'Input - Pasture Beef'!L32</f>
        <v>30</v>
      </c>
      <c r="AD242" s="52">
        <f>'Input - Pasture Beef'!M32</f>
        <v>30</v>
      </c>
      <c r="AE242" s="52">
        <f>'Input - Pasture Beef'!N32</f>
        <v>30</v>
      </c>
      <c r="AF242" s="2" t="s">
        <v>281</v>
      </c>
      <c r="AG242" s="2"/>
      <c r="AH242" s="2"/>
    </row>
    <row r="243" spans="21:34" ht="20.100000000000001" customHeight="1" x14ac:dyDescent="0.25">
      <c r="U243" s="52" t="str">
        <f>TEXT(EDATE('Input - Site'!$E$12,11), "mmmm yyyy")</f>
        <v>December 2024</v>
      </c>
      <c r="V243" s="52">
        <f>'Input - Pasture Beef'!E33</f>
        <v>31</v>
      </c>
      <c r="W243" s="52">
        <f>'Input - Pasture Beef'!F33</f>
        <v>31</v>
      </c>
      <c r="X243" s="52">
        <f>'Input - Pasture Beef'!G33</f>
        <v>31</v>
      </c>
      <c r="Y243" s="52">
        <f>'Input - Pasture Beef'!H33</f>
        <v>31</v>
      </c>
      <c r="Z243" s="52">
        <f>'Input - Pasture Beef'!I33</f>
        <v>31</v>
      </c>
      <c r="AA243" s="52">
        <f>'Input - Pasture Beef'!J33</f>
        <v>31</v>
      </c>
      <c r="AB243" s="52">
        <f>'Input - Pasture Beef'!K33</f>
        <v>31</v>
      </c>
      <c r="AC243" s="52">
        <f>'Input - Pasture Beef'!L33</f>
        <v>31</v>
      </c>
      <c r="AD243" s="52">
        <f>'Input - Pasture Beef'!M33</f>
        <v>31</v>
      </c>
      <c r="AE243" s="52">
        <f>'Input - Pasture Beef'!N33</f>
        <v>31</v>
      </c>
      <c r="AF243" s="2" t="s">
        <v>281</v>
      </c>
      <c r="AG243" s="2"/>
      <c r="AH243" s="2"/>
    </row>
    <row r="244" spans="21:34" ht="20.100000000000001" customHeight="1" x14ac:dyDescent="0.25"/>
    <row r="245" spans="21:34" ht="20.100000000000001" customHeight="1" x14ac:dyDescent="0.25">
      <c r="U245" s="99" t="s">
        <v>323</v>
      </c>
    </row>
    <row r="246" spans="21:34" ht="20.100000000000001" customHeight="1" x14ac:dyDescent="0.25">
      <c r="U246" s="98" t="s">
        <v>324</v>
      </c>
    </row>
    <row r="247" spans="21:34" ht="20.100000000000001" customHeight="1" x14ac:dyDescent="0.25">
      <c r="U247" s="51" t="s">
        <v>132</v>
      </c>
      <c r="V247" s="51" t="s">
        <v>131</v>
      </c>
      <c r="W247" s="51" t="s">
        <v>130</v>
      </c>
      <c r="X247" s="51" t="s">
        <v>165</v>
      </c>
      <c r="Y247" s="51" t="s">
        <v>166</v>
      </c>
      <c r="Z247" s="51" t="s">
        <v>167</v>
      </c>
      <c r="AA247" s="51" t="s">
        <v>168</v>
      </c>
      <c r="AB247" s="51" t="s">
        <v>169</v>
      </c>
      <c r="AC247" s="51" t="s">
        <v>170</v>
      </c>
      <c r="AD247" s="51" t="s">
        <v>171</v>
      </c>
      <c r="AE247" s="51" t="s">
        <v>172</v>
      </c>
    </row>
    <row r="248" spans="21:34" ht="20.100000000000001" customHeight="1" x14ac:dyDescent="0.25">
      <c r="U248" s="52" t="str">
        <f>TEXT('Input - Site'!$E$12, "mmmm yyyy")</f>
        <v>January 2024</v>
      </c>
      <c r="V248" s="52" cm="1">
        <f t="array" ref="V248">MMS_PastureBeef_Soil_N2ODirect_Equations.VEERG_4_2_1_3__2_TotalNitrogenExcretedToPastureRangeAndPaddock(V216,V196,V232)</f>
        <v>351.34755115439344</v>
      </c>
      <c r="W248" s="52" cm="1">
        <f t="array" ref="W248">MMS_PastureBeef_Soil_N2ODirect_Equations.VEERG_4_2_1_3__2_TotalNitrogenExcretedToPastureRangeAndPaddock(W216,W196,W232)</f>
        <v>421.65805292524783</v>
      </c>
      <c r="X248" s="52" cm="1">
        <f t="array" ref="X248">MMS_PastureBeef_Soil_N2ODirect_Equations.VEERG_4_2_1_3__2_TotalNitrogenExcretedToPastureRangeAndPaddock(X216,X196,X232)</f>
        <v>303.40854404382895</v>
      </c>
      <c r="Y248" s="52" cm="1">
        <f t="array" ref="Y248">MMS_PastureBeef_Soil_N2ODirect_Equations.VEERG_4_2_1_3__2_TotalNitrogenExcretedToPastureRangeAndPaddock(Y216,Y196,Y232)</f>
        <v>313.21127433214627</v>
      </c>
      <c r="Z248" s="52" cm="1">
        <f t="array" ref="Z248">MMS_PastureBeef_Soil_N2ODirect_Equations.VEERG_4_2_1_3__2_TotalNitrogenExcretedToPastureRangeAndPaddock(Z216,Z196,Z232)</f>
        <v>329.00458281781619</v>
      </c>
      <c r="AA248" s="52" cm="1">
        <f t="array" ref="AA248">MMS_PastureBeef_Soil_N2ODirect_Equations.VEERG_4_2_1_3__2_TotalNitrogenExcretedToPastureRangeAndPaddock(AA216,AA196,AA232)</f>
        <v>329.00458281781619</v>
      </c>
      <c r="AB248" s="52" cm="1">
        <f t="array" ref="AB248">MMS_PastureBeef_Soil_N2ODirect_Equations.VEERG_4_2_1_3__2_TotalNitrogenExcretedToPastureRangeAndPaddock(AB216,AB196,AB232)</f>
        <v>327.63342507900626</v>
      </c>
      <c r="AC248" s="52" cm="1">
        <f t="array" ref="AC248">MMS_PastureBeef_Soil_N2ODirect_Equations.VEERG_4_2_1_3__2_TotalNitrogenExcretedToPastureRangeAndPaddock(AC216,AC196,AC232)</f>
        <v>326.89236244194075</v>
      </c>
      <c r="AD248" s="52" cm="1">
        <f t="array" ref="AD248">MMS_PastureBeef_Soil_N2ODirect_Equations.VEERG_4_2_1_3__2_TotalNitrogenExcretedToPastureRangeAndPaddock(AD216,AD196,AD232)</f>
        <v>326.89236244194075</v>
      </c>
      <c r="AE248" s="52" cm="1">
        <f t="array" ref="AE248">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2" t="str">
        <f>TEXT(EDATE('Input - Site'!$E$12,1), "mmmm yyyy")</f>
        <v>February 2024</v>
      </c>
      <c r="V249" s="52" cm="1">
        <f t="array" ref="V249">MMS_PastureBeef_Soil_N2ODirect_Equations.VEERG_4_2_1_3__2_TotalNitrogenExcretedToPastureRangeAndPaddock(V217,V197,V233)</f>
        <v>270.49814902713058</v>
      </c>
      <c r="W249" s="52" cm="1">
        <f t="array" ref="W249">MMS_PastureBeef_Soil_N2ODirect_Equations.VEERG_4_2_1_3__2_TotalNitrogenExcretedToPastureRangeAndPaddock(W217,W197,W233)</f>
        <v>394.45430757523184</v>
      </c>
      <c r="X249" s="52" cm="1">
        <f t="array" ref="X249">MMS_PastureBeef_Soil_N2ODirect_Equations.VEERG_4_2_1_3__2_TotalNitrogenExcretedToPastureRangeAndPaddock(X217,X197,X233)</f>
        <v>225.6519810849895</v>
      </c>
      <c r="Y249" s="52" cm="1">
        <f t="array" ref="Y249">MMS_PastureBeef_Soil_N2ODirect_Equations.VEERG_4_2_1_3__2_TotalNitrogenExcretedToPastureRangeAndPaddock(Y217,Y197,Y233)</f>
        <v>311.98304055581087</v>
      </c>
      <c r="Z249" s="52" cm="1">
        <f t="array" ref="Z249">MMS_PastureBeef_Soil_N2ODirect_Equations.VEERG_4_2_1_3__2_TotalNitrogenExcretedToPastureRangeAndPaddock(Z217,Z197,Z233)</f>
        <v>327.00953552250638</v>
      </c>
      <c r="AA249" s="52" cm="1">
        <f t="array" ref="AA249">MMS_PastureBeef_Soil_N2ODirect_Equations.VEERG_4_2_1_3__2_TotalNitrogenExcretedToPastureRangeAndPaddock(AA217,AA197,AA233)</f>
        <v>327.00953552250638</v>
      </c>
      <c r="AB249" s="52" cm="1">
        <f t="array" ref="AB249">MMS_PastureBeef_Soil_N2ODirect_Equations.VEERG_4_2_1_3__2_TotalNitrogenExcretedToPastureRangeAndPaddock(AB217,AB197,AB233)</f>
        <v>248.31396656951023</v>
      </c>
      <c r="AC249" s="52" cm="1">
        <f t="array" ref="AC249">MMS_PastureBeef_Soil_N2ODirect_Equations.VEERG_4_2_1_3__2_TotalNitrogenExcretedToPastureRangeAndPaddock(AC217,AC197,AC233)</f>
        <v>305.8025326069768</v>
      </c>
      <c r="AD249" s="52" cm="1">
        <f t="array" ref="AD249">MMS_PastureBeef_Soil_N2ODirect_Equations.VEERG_4_2_1_3__2_TotalNitrogenExcretedToPastureRangeAndPaddock(AD217,AD197,AD233)</f>
        <v>305.8025326069768</v>
      </c>
      <c r="AE249" s="52" cm="1">
        <f t="array" ref="AE249">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2" t="str">
        <f>TEXT(EDATE('Input - Site'!$E$12,2), "mmmm yyyy")</f>
        <v>March 2024</v>
      </c>
      <c r="V250" s="52" cm="1">
        <f t="array" ref="V250">MMS_PastureBeef_Soil_N2ODirect_Equations.VEERG_4_2_1_3__2_TotalNitrogenExcretedToPastureRangeAndPaddock(V218,V198,V234)</f>
        <v>41.820820957231291</v>
      </c>
      <c r="W250" s="52" cm="1">
        <f t="array" ref="W250">MMS_PastureBeef_Soil_N2ODirect_Equations.VEERG_4_2_1_3__2_TotalNitrogenExcretedToPastureRangeAndPaddock(W218,W198,W234)</f>
        <v>273.21237326588823</v>
      </c>
      <c r="X250" s="52" cm="1">
        <f t="array" ref="X250">MMS_PastureBeef_Soil_N2ODirect_Equations.VEERG_4_2_1_3__2_TotalNitrogenExcretedToPastureRangeAndPaddock(X218,X198,X234)</f>
        <v>34.105886288846641</v>
      </c>
      <c r="Y250" s="52" cm="1">
        <f t="array" ref="Y250">MMS_PastureBeef_Soil_N2ODirect_Equations.VEERG_4_2_1_3__2_TotalNitrogenExcretedToPastureRangeAndPaddock(Y218,Y198,Y234)</f>
        <v>162.22400157554256</v>
      </c>
      <c r="Z250" s="52" cm="1">
        <f t="array" ref="Z250">MMS_PastureBeef_Soil_N2ODirect_Equations.VEERG_4_2_1_3__2_TotalNitrogenExcretedToPastureRangeAndPaddock(Z218,Z198,Z234)</f>
        <v>214.47375788400842</v>
      </c>
      <c r="AA250" s="52" cm="1">
        <f t="array" ref="AA250">MMS_PastureBeef_Soil_N2ODirect_Equations.VEERG_4_2_1_3__2_TotalNitrogenExcretedToPastureRangeAndPaddock(AA218,AA198,AA234)</f>
        <v>214.47375788400842</v>
      </c>
      <c r="AB250" s="52" cm="1">
        <f t="array" ref="AB250">MMS_PastureBeef_Soil_N2ODirect_Equations.VEERG_4_2_1_3__2_TotalNitrogenExcretedToPastureRangeAndPaddock(AB218,AB198,AB234)</f>
        <v>42.567922288540977</v>
      </c>
      <c r="AC250" s="52" cm="1">
        <f t="array" ref="AC250">MMS_PastureBeef_Soil_N2ODirect_Equations.VEERG_4_2_1_3__2_TotalNitrogenExcretedToPastureRangeAndPaddock(AC218,AC198,AC234)</f>
        <v>171.12645843343526</v>
      </c>
      <c r="AD250" s="52" cm="1">
        <f t="array" ref="AD250">MMS_PastureBeef_Soil_N2ODirect_Equations.VEERG_4_2_1_3__2_TotalNitrogenExcretedToPastureRangeAndPaddock(AD218,AD198,AD234)</f>
        <v>171.12645843343526</v>
      </c>
      <c r="AE250" s="52" cm="1">
        <f t="array" ref="AE250">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2" t="str">
        <f>TEXT(EDATE('Input - Site'!$E$12,3), "mmmm yyyy")</f>
        <v>April 2024</v>
      </c>
      <c r="V251" s="52" cm="1">
        <f t="array" ref="V251">MMS_PastureBeef_Soil_N2ODirect_Equations.VEERG_4_2_1_3__2_TotalNitrogenExcretedToPastureRangeAndPaddock(V219,V199,V235)</f>
        <v>40.471762216675444</v>
      </c>
      <c r="W251" s="52" cm="1">
        <f t="array" ref="W251">MMS_PastureBeef_Soil_N2ODirect_Equations.VEERG_4_2_1_3__2_TotalNitrogenExcretedToPastureRangeAndPaddock(W219,W199,W235)</f>
        <v>264.39907090247249</v>
      </c>
      <c r="X251" s="52" cm="1">
        <f t="array" ref="X251">MMS_PastureBeef_Soil_N2ODirect_Equations.VEERG_4_2_1_3__2_TotalNitrogenExcretedToPastureRangeAndPaddock(X219,X199,X235)</f>
        <v>33.005696408561263</v>
      </c>
      <c r="Y251" s="52" cm="1">
        <f t="array" ref="Y251">MMS_PastureBeef_Soil_N2ODirect_Equations.VEERG_4_2_1_3__2_TotalNitrogenExcretedToPastureRangeAndPaddock(Y219,Y199,Y235)</f>
        <v>156.9909692666541</v>
      </c>
      <c r="Z251" s="52" cm="1">
        <f t="array" ref="Z251">MMS_PastureBeef_Soil_N2ODirect_Equations.VEERG_4_2_1_3__2_TotalNitrogenExcretedToPastureRangeAndPaddock(Z219,Z199,Z235)</f>
        <v>207.55524956516945</v>
      </c>
      <c r="AA251" s="52" cm="1">
        <f t="array" ref="AA251">MMS_PastureBeef_Soil_N2ODirect_Equations.VEERG_4_2_1_3__2_TotalNitrogenExcretedToPastureRangeAndPaddock(AA219,AA199,AA235)</f>
        <v>207.55524956516945</v>
      </c>
      <c r="AB251" s="52" cm="1">
        <f t="array" ref="AB251">MMS_PastureBeef_Soil_N2ODirect_Equations.VEERG_4_2_1_3__2_TotalNitrogenExcretedToPastureRangeAndPaddock(AB219,AB199,AB235)</f>
        <v>41.19476350503966</v>
      </c>
      <c r="AC251" s="52" cm="1">
        <f t="array" ref="AC251">MMS_PastureBeef_Soil_N2ODirect_Equations.VEERG_4_2_1_3__2_TotalNitrogenExcretedToPastureRangeAndPaddock(AC219,AC199,AC235)</f>
        <v>165.60625009687283</v>
      </c>
      <c r="AD251" s="52" cm="1">
        <f t="array" ref="AD251">MMS_PastureBeef_Soil_N2ODirect_Equations.VEERG_4_2_1_3__2_TotalNitrogenExcretedToPastureRangeAndPaddock(AD219,AD199,AD235)</f>
        <v>165.60625009687283</v>
      </c>
      <c r="AE251" s="52" cm="1">
        <f t="array" ref="AE25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2" t="str">
        <f>TEXT(EDATE('Input - Site'!$E$12,4), "mmmm yyyy")</f>
        <v>May 2024</v>
      </c>
      <c r="V252" s="52" cm="1">
        <f t="array" ref="V252">MMS_PastureBeef_Soil_N2ODirect_Equations.VEERG_4_2_1_3__2_TotalNitrogenExcretedToPastureRangeAndPaddock(V220,V200,V236)</f>
        <v>41.820820957231291</v>
      </c>
      <c r="W252" s="52" cm="1">
        <f t="array" ref="W252">MMS_PastureBeef_Soil_N2ODirect_Equations.VEERG_4_2_1_3__2_TotalNitrogenExcretedToPastureRangeAndPaddock(W220,W200,W236)</f>
        <v>273.21237326588823</v>
      </c>
      <c r="X252" s="52" cm="1">
        <f t="array" ref="X252">MMS_PastureBeef_Soil_N2ODirect_Equations.VEERG_4_2_1_3__2_TotalNitrogenExcretedToPastureRangeAndPaddock(X220,X200,X236)</f>
        <v>34.105886288846641</v>
      </c>
      <c r="Y252" s="52" cm="1">
        <f t="array" ref="Y252">MMS_PastureBeef_Soil_N2ODirect_Equations.VEERG_4_2_1_3__2_TotalNitrogenExcretedToPastureRangeAndPaddock(Y220,Y200,Y236)</f>
        <v>162.22400157554256</v>
      </c>
      <c r="Z252" s="52" cm="1">
        <f t="array" ref="Z252">MMS_PastureBeef_Soil_N2ODirect_Equations.VEERG_4_2_1_3__2_TotalNitrogenExcretedToPastureRangeAndPaddock(Z220,Z200,Z236)</f>
        <v>214.47375788400842</v>
      </c>
      <c r="AA252" s="52" cm="1">
        <f t="array" ref="AA252">MMS_PastureBeef_Soil_N2ODirect_Equations.VEERG_4_2_1_3__2_TotalNitrogenExcretedToPastureRangeAndPaddock(AA220,AA200,AA236)</f>
        <v>214.47375788400842</v>
      </c>
      <c r="AB252" s="52" cm="1">
        <f t="array" ref="AB252">MMS_PastureBeef_Soil_N2ODirect_Equations.VEERG_4_2_1_3__2_TotalNitrogenExcretedToPastureRangeAndPaddock(AB220,AB200,AB236)</f>
        <v>42.567922288540977</v>
      </c>
      <c r="AC252" s="52" cm="1">
        <f t="array" ref="AC252">MMS_PastureBeef_Soil_N2ODirect_Equations.VEERG_4_2_1_3__2_TotalNitrogenExcretedToPastureRangeAndPaddock(AC220,AC200,AC236)</f>
        <v>171.12645843343526</v>
      </c>
      <c r="AD252" s="52" cm="1">
        <f t="array" ref="AD252">MMS_PastureBeef_Soil_N2ODirect_Equations.VEERG_4_2_1_3__2_TotalNitrogenExcretedToPastureRangeAndPaddock(AD220,AD200,AD236)</f>
        <v>171.12645843343526</v>
      </c>
      <c r="AE252" s="52" cm="1">
        <f t="array" ref="AE252">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2" t="str">
        <f>TEXT(EDATE('Input - Site'!$E$12,5), "mmmm yyyy")</f>
        <v>June 2024</v>
      </c>
      <c r="V253" s="52" cm="1">
        <f t="array" ref="V253">MMS_PastureBeef_Soil_N2ODirect_Equations.VEERG_4_2_1_3__2_TotalNitrogenExcretedToPastureRangeAndPaddock(V221,V201,V237)</f>
        <v>413.18213355318102</v>
      </c>
      <c r="W253" s="52" cm="1">
        <f t="array" ref="W253">MMS_PastureBeef_Soil_N2ODirect_Equations.VEERG_4_2_1_3__2_TotalNitrogenExcretedToPastureRangeAndPaddock(W221,W201,W237)</f>
        <v>942.76024604375755</v>
      </c>
      <c r="X253" s="52" cm="1">
        <f t="array" ref="X253">MMS_PastureBeef_Soil_N2ODirect_Equations.VEERG_4_2_1_3__2_TotalNitrogenExcretedToPastureRangeAndPaddock(X221,X201,X237)</f>
        <v>342.91705590235108</v>
      </c>
      <c r="Y253" s="52" cm="1">
        <f t="array" ref="Y253">MMS_PastureBeef_Soil_N2ODirect_Equations.VEERG_4_2_1_3__2_TotalNitrogenExcretedToPastureRangeAndPaddock(Y221,Y201,Y237)</f>
        <v>559.82295869692348</v>
      </c>
      <c r="Z253" s="52" cm="1">
        <f t="array" ref="Z253">MMS_PastureBeef_Soil_N2ODirect_Equations.VEERG_4_2_1_3__2_TotalNitrogenExcretedToPastureRangeAndPaddock(Z221,Z201,Z237)</f>
        <v>754.06991848471978</v>
      </c>
      <c r="AA253" s="52" cm="1">
        <f t="array" ref="AA253">MMS_PastureBeef_Soil_N2ODirect_Equations.VEERG_4_2_1_3__2_TotalNitrogenExcretedToPastureRangeAndPaddock(AA221,AA201,AA237)</f>
        <v>754.06991848471978</v>
      </c>
      <c r="AB253" s="52" cm="1">
        <f t="array" ref="AB253">MMS_PastureBeef_Soil_N2ODirect_Equations.VEERG_4_2_1_3__2_TotalNitrogenExcretedToPastureRangeAndPaddock(AB221,AB201,AB237)</f>
        <v>371.42949201308153</v>
      </c>
      <c r="AC253" s="52" cm="1">
        <f t="array" ref="AC253">MMS_PastureBeef_Soil_N2ODirect_Equations.VEERG_4_2_1_3__2_TotalNitrogenExcretedToPastureRangeAndPaddock(AC221,AC201,AC237)</f>
        <v>632.73028069278769</v>
      </c>
      <c r="AD253" s="52" cm="1">
        <f t="array" ref="AD253">MMS_PastureBeef_Soil_N2ODirect_Equations.VEERG_4_2_1_3__2_TotalNitrogenExcretedToPastureRangeAndPaddock(AD221,AD201,AD237)</f>
        <v>632.73028069278769</v>
      </c>
      <c r="AE253" s="52" cm="1">
        <f t="array" ref="AE253">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2" t="str">
        <f>TEXT(EDATE('Input - Site'!$E$12,6), "mmmm yyyy")</f>
        <v>July 2024</v>
      </c>
      <c r="V254" s="52" cm="1">
        <f t="array" ref="V254">MMS_PastureBeef_Soil_N2ODirect_Equations.VEERG_4_2_1_3__2_TotalNitrogenExcretedToPastureRangeAndPaddock(V222,V202,V238)</f>
        <v>426.95487133828709</v>
      </c>
      <c r="W254" s="52" cm="1">
        <f t="array" ref="W254">MMS_PastureBeef_Soil_N2ODirect_Equations.VEERG_4_2_1_3__2_TotalNitrogenExcretedToPastureRangeAndPaddock(W222,W202,W238)</f>
        <v>974.18558757854953</v>
      </c>
      <c r="X254" s="52" cm="1">
        <f t="array" ref="X254">MMS_PastureBeef_Soil_N2ODirect_Equations.VEERG_4_2_1_3__2_TotalNitrogenExcretedToPastureRangeAndPaddock(X222,X202,X238)</f>
        <v>354.34762443242948</v>
      </c>
      <c r="Y254" s="52" cm="1">
        <f t="array" ref="Y254">MMS_PastureBeef_Soil_N2ODirect_Equations.VEERG_4_2_1_3__2_TotalNitrogenExcretedToPastureRangeAndPaddock(Y222,Y202,Y238)</f>
        <v>578.48372398682091</v>
      </c>
      <c r="Z254" s="52" cm="1">
        <f t="array" ref="Z254">MMS_PastureBeef_Soil_N2ODirect_Equations.VEERG_4_2_1_3__2_TotalNitrogenExcretedToPastureRangeAndPaddock(Z222,Z202,Z238)</f>
        <v>779.20558243421044</v>
      </c>
      <c r="AA254" s="52" cm="1">
        <f t="array" ref="AA254">MMS_PastureBeef_Soil_N2ODirect_Equations.VEERG_4_2_1_3__2_TotalNitrogenExcretedToPastureRangeAndPaddock(AA222,AA202,AA238)</f>
        <v>779.20558243421044</v>
      </c>
      <c r="AB254" s="52" cm="1">
        <f t="array" ref="AB254">MMS_PastureBeef_Soil_N2ODirect_Equations.VEERG_4_2_1_3__2_TotalNitrogenExcretedToPastureRangeAndPaddock(AB222,AB202,AB238)</f>
        <v>383.81047508018423</v>
      </c>
      <c r="AC254" s="52" cm="1">
        <f t="array" ref="AC254">MMS_PastureBeef_Soil_N2ODirect_Equations.VEERG_4_2_1_3__2_TotalNitrogenExcretedToPastureRangeAndPaddock(AC222,AC202,AC238)</f>
        <v>653.82129004921387</v>
      </c>
      <c r="AD254" s="52" cm="1">
        <f t="array" ref="AD254">MMS_PastureBeef_Soil_N2ODirect_Equations.VEERG_4_2_1_3__2_TotalNitrogenExcretedToPastureRangeAndPaddock(AD222,AD202,AD238)</f>
        <v>653.82129004921387</v>
      </c>
      <c r="AE254" s="52" cm="1">
        <f t="array" ref="AE254">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2" t="str">
        <f>TEXT(EDATE('Input - Site'!$E$12,7), "mmmm yyyy")</f>
        <v>August 2024</v>
      </c>
      <c r="V255" s="52" cm="1">
        <f t="array" ref="V255">MMS_PastureBeef_Soil_N2ODirect_Equations.VEERG_4_2_1_3__2_TotalNitrogenExcretedToPastureRangeAndPaddock(V223,V203,V239)</f>
        <v>520.24640738844391</v>
      </c>
      <c r="W255" s="52" cm="1">
        <f t="array" ref="W255">MMS_PastureBeef_Soil_N2ODirect_Equations.VEERG_4_2_1_3__2_TotalNitrogenExcretedToPastureRangeAndPaddock(W223,W203,W239)</f>
        <v>974.18558757854953</v>
      </c>
      <c r="X255" s="52" cm="1">
        <f t="array" ref="X255">MMS_PastureBeef_Soil_N2ODirect_Equations.VEERG_4_2_1_3__2_TotalNitrogenExcretedToPastureRangeAndPaddock(X223,X203,X239)</f>
        <v>447.63916048258631</v>
      </c>
      <c r="Y255" s="52" cm="1">
        <f t="array" ref="Y255">MMS_PastureBeef_Soil_N2ODirect_Equations.VEERG_4_2_1_3__2_TotalNitrogenExcretedToPastureRangeAndPaddock(Y223,Y203,Y239)</f>
        <v>640.84537562963749</v>
      </c>
      <c r="Z255" s="52" cm="1">
        <f t="array" ref="Z255">MMS_PastureBeef_Soil_N2ODirect_Equations.VEERG_4_2_1_3__2_TotalNitrogenExcretedToPastureRangeAndPaddock(Z223,Z203,Z239)</f>
        <v>886.7378657506739</v>
      </c>
      <c r="AA255" s="52" cm="1">
        <f t="array" ref="AA255">MMS_PastureBeef_Soil_N2ODirect_Equations.VEERG_4_2_1_3__2_TotalNitrogenExcretedToPastureRangeAndPaddock(AA223,AA203,AA239)</f>
        <v>886.7378657506739</v>
      </c>
      <c r="AB255" s="52" cm="1">
        <f t="array" ref="AB255">MMS_PastureBeef_Soil_N2ODirect_Equations.VEERG_4_2_1_3__2_TotalNitrogenExcretedToPastureRangeAndPaddock(AB223,AB203,AB239)</f>
        <v>477.10201113034105</v>
      </c>
      <c r="AC255" s="52" cm="1">
        <f t="array" ref="AC255">MMS_PastureBeef_Soil_N2ODirect_Equations.VEERG_4_2_1_3__2_TotalNitrogenExcretedToPastureRangeAndPaddock(AC223,AC203,AC239)</f>
        <v>653.82129004921387</v>
      </c>
      <c r="AD255" s="52" cm="1">
        <f t="array" ref="AD255">MMS_PastureBeef_Soil_N2ODirect_Equations.VEERG_4_2_1_3__2_TotalNitrogenExcretedToPastureRangeAndPaddock(AD223,AD203,AD239)</f>
        <v>653.82129004921387</v>
      </c>
      <c r="AE255" s="52" cm="1">
        <f t="array" ref="AE255">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2" t="str">
        <f>TEXT(EDATE('Input - Site'!$E$12,8), "mmmm yyyy")</f>
        <v>September 2024</v>
      </c>
      <c r="V256" s="52" cm="1">
        <f t="array" ref="V256">MMS_PastureBeef_Soil_N2ODirect_Equations.VEERG_4_2_1_3__2_TotalNitrogenExcretedToPastureRangeAndPaddock(V224,V204,V240)</f>
        <v>820.61359146483733</v>
      </c>
      <c r="W256" s="52" cm="1">
        <f t="array" ref="W256">MMS_PastureBeef_Soil_N2ODirect_Equations.VEERG_4_2_1_3__2_TotalNitrogenExcretedToPastureRangeAndPaddock(W224,W204,W240)</f>
        <v>1131.2440120269775</v>
      </c>
      <c r="X256" s="52" cm="1">
        <f t="array" ref="X256">MMS_PastureBeef_Soil_N2ODirect_Equations.VEERG_4_2_1_3__2_TotalNitrogenExcretedToPastureRangeAndPaddock(X224,X204,X240)</f>
        <v>652.43851833142526</v>
      </c>
      <c r="Y256" s="52" cm="1">
        <f t="array" ref="Y256">MMS_PastureBeef_Soil_N2ODirect_Equations.VEERG_4_2_1_3__2_TotalNitrogenExcretedToPastureRangeAndPaddock(Y224,Y204,Y240)</f>
        <v>909.49542050972343</v>
      </c>
      <c r="Z256" s="52" cm="1">
        <f t="array" ref="Z256">MMS_PastureBeef_Soil_N2ODirect_Equations.VEERG_4_2_1_3__2_TotalNitrogenExcretedToPastureRangeAndPaddock(Z224,Z204,Z240)</f>
        <v>1036.8013047213371</v>
      </c>
      <c r="AA256" s="52" cm="1">
        <f t="array" ref="AA256">MMS_PastureBeef_Soil_N2ODirect_Equations.VEERG_4_2_1_3__2_TotalNitrogenExcretedToPastureRangeAndPaddock(AA224,AA204,AA240)</f>
        <v>1036.8013047213371</v>
      </c>
      <c r="AB256" s="52" cm="1">
        <f t="array" ref="AB256">MMS_PastureBeef_Soil_N2ODirect_Equations.VEERG_4_2_1_3__2_TotalNitrogenExcretedToPastureRangeAndPaddock(AB224,AB204,AB240)</f>
        <v>734.7897413565089</v>
      </c>
      <c r="AC256" s="52" cm="1">
        <f t="array" ref="AC256">MMS_PastureBeef_Soil_N2ODirect_Equations.VEERG_4_2_1_3__2_TotalNitrogenExcretedToPastureRangeAndPaddock(AC224,AC204,AC240)</f>
        <v>880.40305898985866</v>
      </c>
      <c r="AD256" s="52" cm="1">
        <f t="array" ref="AD256">MMS_PastureBeef_Soil_N2ODirect_Equations.VEERG_4_2_1_3__2_TotalNitrogenExcretedToPastureRangeAndPaddock(AD224,AD204,AD240)</f>
        <v>880.40305898985866</v>
      </c>
      <c r="AE256" s="52" cm="1">
        <f t="array" ref="AE256">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2" t="str">
        <f>TEXT(EDATE('Input - Site'!$E$12,9), "mmmm yyyy")</f>
        <v>October 2024</v>
      </c>
      <c r="V257" s="52" cm="1">
        <f t="array" ref="V257">MMS_PastureBeef_Soil_N2ODirect_Equations.VEERG_4_2_1_3__2_TotalNitrogenExcretedToPastureRangeAndPaddock(V225,V205,V241)</f>
        <v>847.96737784699849</v>
      </c>
      <c r="W257" s="52" cm="1">
        <f t="array" ref="W257">MMS_PastureBeef_Soil_N2ODirect_Equations.VEERG_4_2_1_3__2_TotalNitrogenExcretedToPastureRangeAndPaddock(W225,W205,W241)</f>
        <v>1168.95214576121</v>
      </c>
      <c r="X257" s="52" cm="1">
        <f t="array" ref="X257">MMS_PastureBeef_Soil_N2ODirect_Equations.VEERG_4_2_1_3__2_TotalNitrogenExcretedToPastureRangeAndPaddock(X225,X205,X241)</f>
        <v>674.18646894247274</v>
      </c>
      <c r="Y257" s="52" cm="1">
        <f t="array" ref="Y257">MMS_PastureBeef_Soil_N2ODirect_Equations.VEERG_4_2_1_3__2_TotalNitrogenExcretedToPastureRangeAndPaddock(Y225,Y205,Y241)</f>
        <v>939.81193452671414</v>
      </c>
      <c r="Z257" s="52" cm="1">
        <f t="array" ref="Z257">MMS_PastureBeef_Soil_N2ODirect_Equations.VEERG_4_2_1_3__2_TotalNitrogenExcretedToPastureRangeAndPaddock(Z225,Z205,Z241)</f>
        <v>1071.3613482120484</v>
      </c>
      <c r="AA257" s="52" cm="1">
        <f t="array" ref="AA257">MMS_PastureBeef_Soil_N2ODirect_Equations.VEERG_4_2_1_3__2_TotalNitrogenExcretedToPastureRangeAndPaddock(AA225,AA205,AA241)</f>
        <v>1071.3613482120484</v>
      </c>
      <c r="AB257" s="52" cm="1">
        <f t="array" ref="AB257">MMS_PastureBeef_Soil_N2ODirect_Equations.VEERG_4_2_1_3__2_TotalNitrogenExcretedToPastureRangeAndPaddock(AB225,AB205,AB241)</f>
        <v>759.2827327350592</v>
      </c>
      <c r="AC257" s="52" cm="1">
        <f t="array" ref="AC257">MMS_PastureBeef_Soil_N2ODirect_Equations.VEERG_4_2_1_3__2_TotalNitrogenExcretedToPastureRangeAndPaddock(AC225,AC205,AC241)</f>
        <v>909.74982762285401</v>
      </c>
      <c r="AD257" s="52" cm="1">
        <f t="array" ref="AD257">MMS_PastureBeef_Soil_N2ODirect_Equations.VEERG_4_2_1_3__2_TotalNitrogenExcretedToPastureRangeAndPaddock(AD225,AD205,AD241)</f>
        <v>909.74982762285401</v>
      </c>
      <c r="AE257" s="52" cm="1">
        <f t="array" ref="AE257">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2" t="str">
        <f>TEXT(EDATE('Input - Site'!$E$12,10), "mmmm yyyy")</f>
        <v>November 2024</v>
      </c>
      <c r="V258" s="52" cm="1">
        <f t="array" ref="V258">MMS_PastureBeef_Soil_N2ODirect_Equations.VEERG_4_2_1_3__2_TotalNitrogenExcretedToPastureRangeAndPaddock(V226,V206,V242)</f>
        <v>790.5195475776901</v>
      </c>
      <c r="W258" s="52" cm="1">
        <f t="array" ref="W258">MMS_PastureBeef_Soil_N2ODirect_Equations.VEERG_4_2_1_3__2_TotalNitrogenExcretedToPastureRangeAndPaddock(W226,W206,W242)</f>
        <v>1131.2440120269775</v>
      </c>
      <c r="X258" s="52" cm="1">
        <f t="array" ref="X258">MMS_PastureBeef_Soil_N2ODirect_Equations.VEERG_4_2_1_3__2_TotalNitrogenExcretedToPastureRangeAndPaddock(X226,X206,X242)</f>
        <v>622.34447444427781</v>
      </c>
      <c r="Y258" s="52" cm="1">
        <f t="array" ref="Y258">MMS_PastureBeef_Soil_N2ODirect_Equations.VEERG_4_2_1_3__2_TotalNitrogenExcretedToPastureRangeAndPaddock(Y226,Y206,Y242)</f>
        <v>807.10700542886923</v>
      </c>
      <c r="Z258" s="52" cm="1">
        <f t="array" ref="Z258">MMS_PastureBeef_Soil_N2ODirect_Equations.VEERG_4_2_1_3__2_TotalNitrogenExcretedToPastureRangeAndPaddock(Z226,Z206,Z242)</f>
        <v>920.67343317274879</v>
      </c>
      <c r="AA258" s="52" cm="1">
        <f t="array" ref="AA258">MMS_PastureBeef_Soil_N2ODirect_Equations.VEERG_4_2_1_3__2_TotalNitrogenExcretedToPastureRangeAndPaddock(AA226,AA206,AA242)</f>
        <v>920.67343317274879</v>
      </c>
      <c r="AB258" s="52" cm="1">
        <f t="array" ref="AB258">MMS_PastureBeef_Soil_N2ODirect_Equations.VEERG_4_2_1_3__2_TotalNitrogenExcretedToPastureRangeAndPaddock(AB226,AB206,AB242)</f>
        <v>704.69569746936168</v>
      </c>
      <c r="AC258" s="52" cm="1">
        <f t="array" ref="AC258">MMS_PastureBeef_Soil_N2ODirect_Equations.VEERG_4_2_1_3__2_TotalNitrogenExcretedToPastureRangeAndPaddock(AC226,AC206,AC242)</f>
        <v>880.40305898985866</v>
      </c>
      <c r="AD258" s="52" cm="1">
        <f t="array" ref="AD258">MMS_PastureBeef_Soil_N2ODirect_Equations.VEERG_4_2_1_3__2_TotalNitrogenExcretedToPastureRangeAndPaddock(AD226,AD206,AD242)</f>
        <v>880.40305898985866</v>
      </c>
      <c r="AE258" s="52" cm="1">
        <f t="array" ref="AE258">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2" t="str">
        <f>TEXT(EDATE('Input - Site'!$E$12,11), "mmmm yyyy")</f>
        <v>December 2024</v>
      </c>
      <c r="V259" s="52" cm="1">
        <f t="array" ref="V259">MMS_PastureBeef_Soil_N2ODirect_Equations.VEERG_4_2_1_3__2_TotalNitrogenExcretedToPastureRangeAndPaddock(V227,V207,V243)</f>
        <v>351.34755115439344</v>
      </c>
      <c r="W259" s="52" cm="1">
        <f t="array" ref="W259">MMS_PastureBeef_Soil_N2ODirect_Equations.VEERG_4_2_1_3__2_TotalNitrogenExcretedToPastureRangeAndPaddock(W227,W207,W243)</f>
        <v>421.65805292524783</v>
      </c>
      <c r="X259" s="52" cm="1">
        <f t="array" ref="X259">MMS_PastureBeef_Soil_N2ODirect_Equations.VEERG_4_2_1_3__2_TotalNitrogenExcretedToPastureRangeAndPaddock(X227,X207,X243)</f>
        <v>303.40854404382895</v>
      </c>
      <c r="Y259" s="52" cm="1">
        <f t="array" ref="Y259">MMS_PastureBeef_Soil_N2ODirect_Equations.VEERG_4_2_1_3__2_TotalNitrogenExcretedToPastureRangeAndPaddock(Y227,Y207,Y243)</f>
        <v>313.21127433214627</v>
      </c>
      <c r="Z259" s="52" cm="1">
        <f t="array" ref="Z259">MMS_PastureBeef_Soil_N2ODirect_Equations.VEERG_4_2_1_3__2_TotalNitrogenExcretedToPastureRangeAndPaddock(Z227,Z207,Z243)</f>
        <v>329.00458281781619</v>
      </c>
      <c r="AA259" s="52" cm="1">
        <f t="array" ref="AA259">MMS_PastureBeef_Soil_N2ODirect_Equations.VEERG_4_2_1_3__2_TotalNitrogenExcretedToPastureRangeAndPaddock(AA227,AA207,AA243)</f>
        <v>329.00458281781619</v>
      </c>
      <c r="AB259" s="52" cm="1">
        <f t="array" ref="AB259">MMS_PastureBeef_Soil_N2ODirect_Equations.VEERG_4_2_1_3__2_TotalNitrogenExcretedToPastureRangeAndPaddock(AB227,AB207,AB243)</f>
        <v>327.63342507900626</v>
      </c>
      <c r="AC259" s="52" cm="1">
        <f t="array" ref="AC259">MMS_PastureBeef_Soil_N2ODirect_Equations.VEERG_4_2_1_3__2_TotalNitrogenExcretedToPastureRangeAndPaddock(AC227,AC207,AC243)</f>
        <v>326.89236244194075</v>
      </c>
      <c r="AD259" s="52" cm="1">
        <f t="array" ref="AD259">MMS_PastureBeef_Soil_N2ODirect_Equations.VEERG_4_2_1_3__2_TotalNitrogenExcretedToPastureRangeAndPaddock(AD227,AD207,AD243)</f>
        <v>326.89236244194075</v>
      </c>
      <c r="AE259" s="52" cm="1">
        <f t="array" ref="AE259">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13" t="s">
        <v>306</v>
      </c>
      <c r="V261" s="45">
        <f>SUM(V248:AE259)</f>
        <v>60007.816333296949</v>
      </c>
      <c r="W261" s="54" t="str">
        <f>$E$182</f>
        <v>kg N</v>
      </c>
    </row>
    <row r="262" spans="20:35" ht="20.100000000000001" customHeight="1" x14ac:dyDescent="0.25"/>
    <row r="263" spans="20:35" ht="20.100000000000001" customHeight="1" x14ac:dyDescent="0.25"/>
    <row r="264" spans="20:35" ht="20.100000000000001" customHeight="1" x14ac:dyDescent="0.25">
      <c r="T264" s="45"/>
      <c r="U264" s="45"/>
      <c r="V264" s="45"/>
      <c r="W264" s="45"/>
      <c r="X264" s="45"/>
      <c r="Y264" s="45"/>
      <c r="Z264" s="45"/>
      <c r="AA264" s="45"/>
      <c r="AB264" s="45"/>
      <c r="AC264" s="45"/>
      <c r="AD264" s="45"/>
      <c r="AE264" s="45"/>
      <c r="AF264" s="45"/>
      <c r="AG264" s="45"/>
      <c r="AH264" s="45"/>
      <c r="AI264" s="45"/>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101" t="s">
        <v>110</v>
      </c>
      <c r="V267" s="102" cm="1">
        <f t="array" ref="V267">MMS_PastureBeef_Soil_N2ODirect_Equations.VEERG_4_2_1_3__1_DirectNitrousOxideEmissionsOnPasture($V$261,$H$225,$H$226)</f>
        <v>0.18859599419036183</v>
      </c>
      <c r="W267" s="103" t="str">
        <f>$E$222</f>
        <v>t N2O</v>
      </c>
    </row>
    <row r="268" spans="20:35" ht="20.100000000000001" customHeight="1" x14ac:dyDescent="0.25"/>
    <row r="269" spans="20:35" ht="20.100000000000001" customHeight="1" x14ac:dyDescent="0.25">
      <c r="U269" s="57" t="str" cm="1">
        <f t="array" ref="U269:V270">Common_Equations.Common_ConvertN2OToCO2e_Arguments()</f>
        <v>EN2O</v>
      </c>
      <c r="V269" s="58" t="str">
        <v>Nitrous oxide emissions (t N2O)</v>
      </c>
      <c r="W269" s="104"/>
      <c r="X269" s="52">
        <f>V267</f>
        <v>0.18859599419036183</v>
      </c>
    </row>
    <row r="270" spans="20:35" ht="20.100000000000001" customHeight="1" x14ac:dyDescent="0.25">
      <c r="U270" s="57" t="str">
        <v>GWPN2O</v>
      </c>
      <c r="V270" s="58" t="str">
        <v>Global warming potential for nitrous oxide (t CO2-e / t N2O)</v>
      </c>
      <c r="W270" s="104"/>
      <c r="X270" s="52">
        <f>Common_InputFunctions.Utility_LookupValueInTableNumber("N2O",Table_GWPData[Gas],Table_GWPData[CO2-e factor])</f>
        <v>265</v>
      </c>
    </row>
    <row r="271" spans="20:35" ht="20.100000000000001" customHeight="1" x14ac:dyDescent="0.25"/>
    <row r="272" spans="20:35" ht="20.100000000000001" customHeight="1" x14ac:dyDescent="0.25">
      <c r="U272" s="45" t="s">
        <v>104</v>
      </c>
      <c r="V272" s="45" cm="1">
        <f t="array" ref="V272">Common_Equations.Common_ConvertN2OToCO2e(X269,X270)</f>
        <v>49.977938460445884</v>
      </c>
      <c r="W272" s="105"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T165"/>
  <sheetViews>
    <sheetView showGridLines="0" workbookViewId="0">
      <selection activeCell="G8" sqref="G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4.7109375" style="1" customWidth="1"/>
    <col min="10" max="10" width="4.7109375" customWidth="1"/>
    <col min="11" max="11" width="4.7109375" style="1" customWidth="1"/>
    <col min="12" max="19" width="30.7109375" style="1" customWidth="1"/>
    <col min="20" max="20" width="4.7109375" style="1" customWidth="1"/>
  </cols>
  <sheetData>
    <row r="1" spans="1:20" s="8" customFormat="1" ht="30" customHeight="1" x14ac:dyDescent="0.35">
      <c r="A1" s="8" t="e" vm="1">
        <v>#VALUE!</v>
      </c>
      <c r="C1" s="8" t="s">
        <v>312</v>
      </c>
    </row>
    <row r="2" spans="1:20" s="9" customFormat="1" ht="20.100000000000001" customHeight="1" x14ac:dyDescent="0.25"/>
    <row r="3" spans="1:20" ht="20.100000000000001" customHeight="1" x14ac:dyDescent="0.25">
      <c r="A3" s="17" t="str">
        <f>HYPERLINK("#'Home'!A1", "Home")</f>
        <v>Home</v>
      </c>
      <c r="C3" s="4"/>
      <c r="D3" s="4" t="s">
        <v>108</v>
      </c>
      <c r="E3" s="4"/>
      <c r="F3" s="4"/>
      <c r="G3" s="4"/>
      <c r="H3" s="4"/>
      <c r="I3" s="4"/>
      <c r="K3" s="4"/>
      <c r="L3" s="4" t="s">
        <v>109</v>
      </c>
      <c r="M3" s="4"/>
      <c r="N3" s="4"/>
      <c r="O3" s="4"/>
      <c r="P3" s="4"/>
      <c r="Q3" s="4"/>
      <c r="R3" s="4"/>
      <c r="S3" s="4"/>
      <c r="T3" s="4"/>
    </row>
    <row r="4" spans="1:20" ht="20.100000000000001" customHeight="1" x14ac:dyDescent="0.25">
      <c r="A4" s="17" t="str">
        <f>HYPERLINK("#'Results'!A1", "Results")</f>
        <v>Results</v>
      </c>
    </row>
    <row r="5" spans="1:20" ht="20.100000000000001" customHeight="1" x14ac:dyDescent="0.25">
      <c r="A5" s="16"/>
      <c r="D5" s="6" t="str" cm="1">
        <f t="array" ref="D5">MMS_PastureBeef_Soil_AtmosphericDeposition_Equations.VEERG_4_2_1_5__2_MassOfNitrogenVolatilisedOnPasture_Title()</f>
        <v>Mass of nitrogen volatilised</v>
      </c>
    </row>
    <row r="6" spans="1:20" ht="20.100000000000001" customHeight="1" x14ac:dyDescent="0.25">
      <c r="A6" s="20" t="s">
        <v>3</v>
      </c>
      <c r="D6" s="5" t="str" cm="1">
        <f t="array" ref="D6">MMS_PastureBeef_Soil_AtmosphericDeposition_Equations.VEERG_4_2_1_5__2_MassOfNitrogenVolatilisedOnPasture_Source()</f>
        <v>VEERG 2026: 4.2.1.5, Equation (2)</v>
      </c>
    </row>
    <row r="7" spans="1:20" ht="20.100000000000001" customHeight="1" x14ac:dyDescent="0.25">
      <c r="A7" s="17" t="str">
        <f>HYPERLINK("#'Input - Site'!A1", "Site")</f>
        <v>Site</v>
      </c>
      <c r="D7" s="13" t="s">
        <v>27</v>
      </c>
      <c r="E7" s="13" t="str" cm="1">
        <f t="array" aca="1" ref="E7" ca="1">Common_InputFunctions.Utility_DisplayFunctionName(E16)</f>
        <v>=MMS_PastureBeef_Soil_AtmosphericDeposition_Equations.VEERG_4_2_1_5__2_MassOfNitrogenVolatilisedOnPasture</v>
      </c>
    </row>
    <row r="8" spans="1:20" ht="20.100000000000001" customHeight="1" x14ac:dyDescent="0.25">
      <c r="A8" s="17" t="str">
        <f>HYPERLINK("#'Input - Pasture Beef'!A1", "Pasture Beef")</f>
        <v>Pasture Beef</v>
      </c>
    </row>
    <row r="9" spans="1:20" ht="20.100000000000001" customHeight="1" x14ac:dyDescent="0.25">
      <c r="A9" s="17"/>
    </row>
    <row r="10" spans="1:20" ht="20.100000000000001" customHeight="1" x14ac:dyDescent="0.25">
      <c r="A10" s="19" t="s">
        <v>77</v>
      </c>
      <c r="D10" s="53" t="s">
        <v>30</v>
      </c>
      <c r="E10" s="1" t="str" cm="1">
        <f t="array" ref="E10">MMS_PastureBeef_Soil_AtmosphericDeposition_Equations.VEERG_4_2_1_5__2_MassOfNitrogenVolatilisedOnPasture_Variable()</f>
        <v>M_vol</v>
      </c>
    </row>
    <row r="11" spans="1:20" ht="20.100000000000001" customHeight="1" x14ac:dyDescent="0.25">
      <c r="A11" s="17" t="str">
        <f>HYPERLINK("#'4.2.1.1-2 Methane'!A1", "4.2.1.1-2 Methane")</f>
        <v>4.2.1.1-2 Methane</v>
      </c>
      <c r="D11" s="53" t="s">
        <v>20</v>
      </c>
      <c r="E11" s="54" t="str" cm="1">
        <f t="array" ref="E11">MMS_PastureBeef_Soil_AtmosphericDeposition_Equations.VEERG_4_2_1_5__2_MassOfNitrogenVolatilisedOnPasture_Unit()</f>
        <v>kg N</v>
      </c>
    </row>
    <row r="12" spans="1:20" ht="20.100000000000001" customHeight="1" x14ac:dyDescent="0.25">
      <c r="A12" s="17" t="str">
        <f>HYPERLINK("#'4.2.1.3-4 Soil direct N2O'!A1", "4.2.1.3-4 Soil direct N2O")</f>
        <v>4.2.1.3-4 Soil direct N2O</v>
      </c>
    </row>
    <row r="13" spans="1:20" ht="20.100000000000001" customHeight="1" x14ac:dyDescent="0.25">
      <c r="A13" s="17" t="str">
        <f>HYPERLINK("#'4.2.1.5-6 Soil Atmos Dep'!A1", "4.2.1.5-6 Soil atm. deposition")</f>
        <v>4.2.1.5-6 Soil atm. deposition</v>
      </c>
      <c r="D13" s="57" t="str" cm="1">
        <f t="array" ref="D13:E14">MMS_PastureBeef_Soil_AtmosphericDeposition_Equations.VEERG_4_2_1_5__2_MassOfNitrogenVolatilisedOnPasture_Arguments()</f>
        <v>AE</v>
      </c>
      <c r="E13" s="58" t="str">
        <v>total mass of nitrogen excreted on PRP for beef cattle (kg N)</v>
      </c>
      <c r="F13" s="100"/>
      <c r="G13" s="59"/>
      <c r="H13" s="57">
        <f>'4.2.1.3-4 Soil direct N20'!$E$212</f>
        <v>59673.831192207945</v>
      </c>
      <c r="L13" s="57" t="str" cm="1">
        <f t="array" ref="L13:M14">MMS_PastureBeef_Soil_AtmosphericDeposition_Equations.VEERG_4_2_1_5__2_MassOfNitrogenVolatilisedOnPasture_Arguments()</f>
        <v>AE</v>
      </c>
      <c r="M13" s="58" t="str">
        <v>total mass of nitrogen excreted on PRP for beef cattle (kg N)</v>
      </c>
      <c r="N13" s="100"/>
      <c r="O13" s="59"/>
      <c r="P13" s="57">
        <f>'4.2.1.3-4 Soil direct N20'!$V$261</f>
        <v>60007.816333296949</v>
      </c>
    </row>
    <row r="14" spans="1:20" ht="20.100000000000001" customHeight="1" x14ac:dyDescent="0.25">
      <c r="A14" s="17" t="str">
        <f>HYPERLINK("#'4.2.1.7-8 Soil leach runoff'!A1", "4.2.1.7-8 Soil leach &amp; runoff")</f>
        <v>4.2.1.7-8 Soil leach &amp; runoff</v>
      </c>
      <c r="D14" s="57" t="str">
        <v>FracGASMsoil</v>
      </c>
      <c r="E14" s="58" t="str">
        <v>fraction of nitrogen volatilised from urine and faeces deposited on pasture ((kg NH3-N + NOx-N)/kg N)</v>
      </c>
      <c r="F14" s="100"/>
      <c r="G14" s="59"/>
      <c r="H14" s="57">
        <f>'Constants - Pature Beef'!$D$432</f>
        <v>0.21</v>
      </c>
      <c r="L14" s="57" t="str">
        <v>FracGASMsoil</v>
      </c>
      <c r="M14" s="58" t="str">
        <v>fraction of nitrogen volatilised from urine and faeces deposited on pasture ((kg NH3-N + NOx-N)/kg N)</v>
      </c>
      <c r="N14" s="100"/>
      <c r="O14" s="59"/>
      <c r="P14" s="57"/>
    </row>
    <row r="15" spans="1:20" ht="20.100000000000001" customHeight="1" x14ac:dyDescent="0.25">
      <c r="A15" s="17"/>
    </row>
    <row r="16" spans="1:20" ht="20.100000000000001" customHeight="1" x14ac:dyDescent="0.25">
      <c r="A16" s="18" t="s">
        <v>4</v>
      </c>
      <c r="D16" s="113" t="s">
        <v>325</v>
      </c>
      <c r="E16" s="45" cm="1">
        <f t="array" ref="E16">MMS_PastureBeef_Soil_AtmosphericDeposition_Equations.VEERG_4_2_1_5__2_MassOfNitrogenVolatilisedOnPasture(H13,H14)</f>
        <v>12531.504550363668</v>
      </c>
      <c r="F16" s="105" t="str">
        <f>E11</f>
        <v>kg N</v>
      </c>
      <c r="J16" s="56"/>
      <c r="L16" s="113" t="s">
        <v>325</v>
      </c>
      <c r="M16" s="45" cm="1">
        <f t="array" ref="M16">MMS_PastureBeef_Soil_AtmosphericDeposition_Equations.VEERG_4_2_1_5__2_MassOfNitrogenVolatilisedOnPasture(P13,$H$14)</f>
        <v>12601.641429992358</v>
      </c>
      <c r="N16" s="105">
        <f>M11</f>
        <v>0</v>
      </c>
    </row>
    <row r="17" spans="1:20" ht="20.100000000000001" customHeight="1" x14ac:dyDescent="0.25">
      <c r="A17" s="17" t="str">
        <f>HYPERLINK("#'Constants - Pasture Beef'!A1", "Constants - Pasture Beef")</f>
        <v>Constants - Pasture Beef</v>
      </c>
      <c r="J17" s="56"/>
    </row>
    <row r="18" spans="1:20" ht="20.100000000000001" customHeight="1" x14ac:dyDescent="0.25">
      <c r="A18" s="17" t="str">
        <f>HYPERLINK("#'Constants - Livestock'!A1", "Constants - Livestock")</f>
        <v>Constants - Livestock</v>
      </c>
      <c r="J18" s="56"/>
    </row>
    <row r="19" spans="1:20" ht="20.100000000000001" customHeight="1" x14ac:dyDescent="0.25">
      <c r="A19" s="17" t="str">
        <f>HYPERLINK("#'Constants - Common'!A1", "Constants - Common")</f>
        <v>Constants - Common</v>
      </c>
      <c r="C19" s="45"/>
      <c r="D19" s="45"/>
      <c r="E19" s="45"/>
      <c r="F19" s="45"/>
      <c r="G19" s="45"/>
      <c r="H19" s="45"/>
      <c r="I19" s="45"/>
      <c r="J19" s="56"/>
      <c r="K19" s="45"/>
      <c r="L19" s="45"/>
      <c r="M19" s="45"/>
      <c r="N19" s="45"/>
      <c r="O19" s="45"/>
      <c r="P19" s="45"/>
      <c r="Q19" s="45"/>
      <c r="R19" s="45"/>
      <c r="S19" s="45"/>
      <c r="T19" s="45"/>
    </row>
    <row r="20" spans="1:20" ht="20.100000000000001" customHeight="1" x14ac:dyDescent="0.25">
      <c r="A20" s="17" t="str">
        <f>HYPERLINK("#'Acknowledgements'!A1", "Acknowledgements")</f>
        <v>Acknowledgements</v>
      </c>
      <c r="D20" s="6" t="str" cm="1">
        <f t="array" ref="D20">MMS_PastureBeef_Soil_AtmosphericDeposition_Equations.VEERG_4_2_1_5__1_AtmosphericDepositionEmissionsFromUrineAndDungOnPasture_Title()</f>
        <v>Atmospheric deposition emissions from urine and dung deposited on pasture</v>
      </c>
    </row>
    <row r="21" spans="1:20" ht="20.100000000000001" customHeight="1" x14ac:dyDescent="0.25">
      <c r="D21" s="5" t="str" cm="1">
        <f t="array" ref="D21">MMS_PastureBeef_Soil_AtmosphericDeposition_Equations.VEERG_4_2_1_5__1_AtmosphericDepositionEmissionsFromUrineAndDungOnPasture_Source()</f>
        <v>VEERG 2026: 4.2.1.5, Equation (1)</v>
      </c>
    </row>
    <row r="22" spans="1:20" ht="20.100000000000001" customHeight="1" x14ac:dyDescent="0.25">
      <c r="A22" s="17"/>
      <c r="D22" s="13" t="s">
        <v>27</v>
      </c>
      <c r="E22" s="13" t="str" cm="1">
        <f t="array" aca="1" ref="E22" ca="1">Common_InputFunctions.Utility_DisplayFunctionName($E$35)</f>
        <v>=MMS_PastureBeef_Soil_AtmosphericDeposition_Equations.VEERG_4_2_1_5__1_AtmosphericDepositionEmissionsFromUrineAndDungOnPasture</v>
      </c>
    </row>
    <row r="23" spans="1:20" ht="20.100000000000001" customHeight="1" x14ac:dyDescent="0.25">
      <c r="A23" s="17"/>
    </row>
    <row r="24" spans="1:20" ht="20.100000000000001" customHeight="1" x14ac:dyDescent="0.25">
      <c r="A24" s="17"/>
    </row>
    <row r="25" spans="1:20" ht="20.100000000000001" customHeight="1" x14ac:dyDescent="0.25">
      <c r="D25" s="53" t="s">
        <v>30</v>
      </c>
      <c r="E25" s="1" t="str" cm="1">
        <f t="array" ref="E25">MMS_PastureBeef_Soil_AtmosphericDeposition_Equations.VEERG_4_2_1_5__1_AtmosphericDepositionEmissionsFromUrineAndDungOnPasture_Variable()</f>
        <v>E_N2Oad</v>
      </c>
    </row>
    <row r="26" spans="1:20" ht="20.100000000000001" customHeight="1" x14ac:dyDescent="0.25">
      <c r="D26" s="53" t="s">
        <v>20</v>
      </c>
      <c r="E26" s="54" t="str" cm="1">
        <f t="array" ref="E26">MMS_PastureBeef_Soil_AtmosphericDeposition_Equations.VEERG_4_2_1_5__1_AtmosphericDepositionEmissionsFromUrineAndDungOnPasture_Unit()</f>
        <v>t N2O</v>
      </c>
    </row>
    <row r="27" spans="1:20" ht="20.100000000000001" customHeight="1" x14ac:dyDescent="0.25"/>
    <row r="28" spans="1:20" ht="20.100000000000001" customHeight="1" x14ac:dyDescent="0.25">
      <c r="D28" s="57" t="str" cm="1">
        <f t="array" ref="D28:E33">MMS_PastureBeef_Soil_AtmosphericDeposition_Equations.VEERG_4_2_1_5__1_AtmosphericDepositionEmissionsFromUrineAndDungOnPasture_Arguments()</f>
        <v>M_vol</v>
      </c>
      <c r="E28" s="58" t="str">
        <v>mass of nitrogen volatilised from urine and faeces deposited on pasture (kg N)</v>
      </c>
      <c r="F28" s="100"/>
      <c r="G28" s="59"/>
      <c r="H28" s="57">
        <f>E16</f>
        <v>12531.504550363668</v>
      </c>
      <c r="L28" s="57" t="str" cm="1">
        <f t="array" ref="L28:M33">MMS_PastureBeef_Soil_AtmosphericDeposition_Equations.VEERG_4_2_1_5__1_AtmosphericDepositionEmissionsFromUrineAndDungOnPasture_Arguments()</f>
        <v>M_vol</v>
      </c>
      <c r="M28" s="58" t="str">
        <v>mass of nitrogen volatilised from urine and faeces deposited on pasture (kg N)</v>
      </c>
      <c r="N28" s="100"/>
      <c r="O28" s="59"/>
      <c r="P28" s="57">
        <f>M16</f>
        <v>12601.641429992358</v>
      </c>
    </row>
    <row r="29" spans="1:20" ht="20.100000000000001" customHeight="1" x14ac:dyDescent="0.25">
      <c r="D29" s="57" t="str">
        <v>EF_N2O</v>
      </c>
      <c r="E29" s="58" t="str">
        <v>nitrous oxide emission factor for atmospheric deposition (kg N2O-N/kg N)</v>
      </c>
      <c r="F29" s="100"/>
      <c r="G29" s="59"/>
      <c r="H29" s="57">
        <f>Common_InputFunctions.Utility_LookupN2OEFFromProdIrrigationRainfall($H$31,$H$32,$H$33,Table_SourceData_Common_EFN2O[Production system only],Table_SourceData_Common_EFN2O[Irrigation method],Table_SourceData_Common_EFN2O[Rainfall zone],Table_SourceData_Common_EFN2O[EFN2O])</f>
        <v>1.8E-3</v>
      </c>
      <c r="L29" s="57" t="str">
        <v>EF_N2O</v>
      </c>
      <c r="M29" s="58" t="str">
        <v>nitrous oxide emission factor for atmospheric deposition (kg N2O-N/kg N)</v>
      </c>
      <c r="N29" s="100"/>
      <c r="O29" s="59"/>
      <c r="P29" s="57"/>
    </row>
    <row r="30" spans="1:20" ht="20.100000000000001" customHeight="1" x14ac:dyDescent="0.25">
      <c r="D30" s="57" t="str">
        <v>C_N2O</v>
      </c>
      <c r="E30" s="58" t="str">
        <v>factor to convert elemental mass of N2O to molecular mass</v>
      </c>
      <c r="F30" s="100"/>
      <c r="G30" s="59"/>
      <c r="H30" s="57">
        <f>Common_InputFunctions.Utility_LookupValueInTableNumber("N2O",Table_GasToMolecularConversionFactor[Gas],Table_GasToMolecularConversionFactor[Conversion factor combined])</f>
        <v>1.5714285714285714</v>
      </c>
      <c r="L30" s="57" t="str">
        <v>C_N2O</v>
      </c>
      <c r="M30" s="58" t="str">
        <v>factor to convert elemental mass of N2O to molecular mass</v>
      </c>
      <c r="N30" s="100"/>
      <c r="O30" s="59"/>
      <c r="P30" s="57"/>
    </row>
    <row r="31" spans="1:20" ht="20.100000000000001" customHeight="1" x14ac:dyDescent="0.25">
      <c r="D31" s="57" t="str">
        <v>j</v>
      </c>
      <c r="E31" s="58" t="str">
        <v>production system</v>
      </c>
      <c r="F31" s="100"/>
      <c r="G31" s="59"/>
      <c r="H31" s="57" t="str">
        <f>'Input - Pasture Beef'!$E$176</f>
        <v>Pasture</v>
      </c>
      <c r="L31" s="57" t="str">
        <v>j</v>
      </c>
      <c r="M31" s="58" t="str">
        <v>production system</v>
      </c>
      <c r="N31" s="100"/>
      <c r="O31" s="59"/>
      <c r="P31" s="57"/>
    </row>
    <row r="32" spans="1:20" ht="20.100000000000001" customHeight="1" x14ac:dyDescent="0.25">
      <c r="D32" s="57" t="str">
        <v>i</v>
      </c>
      <c r="E32" s="58" t="str">
        <v>irrigation method</v>
      </c>
      <c r="F32" s="100"/>
      <c r="G32" s="59"/>
      <c r="H32" s="57" t="str">
        <f>'Input - Pasture Beef'!$E$177</f>
        <v>Not irrigated</v>
      </c>
      <c r="L32" s="57" t="str">
        <v>i</v>
      </c>
      <c r="M32" s="58" t="str">
        <v>irrigation method</v>
      </c>
      <c r="N32" s="100"/>
      <c r="O32" s="59"/>
      <c r="P32" s="57"/>
    </row>
    <row r="33" spans="4:16" ht="20.100000000000001" customHeight="1" x14ac:dyDescent="0.25">
      <c r="D33" s="57" t="str">
        <v>r</v>
      </c>
      <c r="E33" s="58" t="str">
        <v>rainfall zone</v>
      </c>
      <c r="F33" s="100"/>
      <c r="G33" s="59"/>
      <c r="H33" s="57" t="str">
        <f>'Input - Site'!$E$30</f>
        <v>High rainfall</v>
      </c>
      <c r="L33" s="57" t="str">
        <v>r</v>
      </c>
      <c r="M33" s="58" t="str">
        <v>rainfall zone</v>
      </c>
      <c r="N33" s="100"/>
      <c r="O33" s="59"/>
      <c r="P33" s="57"/>
    </row>
    <row r="34" spans="4:16" ht="20.100000000000001" customHeight="1" x14ac:dyDescent="0.25"/>
    <row r="35" spans="4:16" ht="20.100000000000001" customHeight="1" x14ac:dyDescent="0.25">
      <c r="D35" s="113" t="s">
        <v>328</v>
      </c>
      <c r="E35" s="45" cm="1">
        <f t="array" ref="E35">MMS_PastureBeef_Soil_AtmosphericDeposition_Equations.VEERG_4_2_1_5__1_AtmosphericDepositionEmissionsFromUrineAndDungOnPasture(H28,H29,H30)</f>
        <v>3.5446255728171526E-2</v>
      </c>
      <c r="F35" s="105" t="str">
        <f>$E$26</f>
        <v>t N2O</v>
      </c>
      <c r="L35" s="113" t="s">
        <v>328</v>
      </c>
      <c r="M35" s="45" cm="1">
        <f t="array" ref="M35">MMS_PastureBeef_Soil_AtmosphericDeposition_Equations.VEERG_4_2_1_5__1_AtmosphericDepositionEmissionsFromUrineAndDungOnPasture(P28,H29,H30)</f>
        <v>3.5644642901978378E-2</v>
      </c>
      <c r="N35" s="105" t="str">
        <f>$E$26</f>
        <v>t N2O</v>
      </c>
    </row>
    <row r="36" spans="4:16" ht="20.100000000000001" customHeight="1" x14ac:dyDescent="0.25"/>
    <row r="37" spans="4:16" ht="20.100000000000001" customHeight="1" x14ac:dyDescent="0.25">
      <c r="D37" s="57" t="str" cm="1">
        <f t="array" ref="D37:E38">Common_Equations.Common_ConvertN2OToCO2e_Arguments()</f>
        <v>EN2O</v>
      </c>
      <c r="E37" s="58" t="str">
        <v>Nitrous oxide emissions (t N2O)</v>
      </c>
      <c r="F37" s="104"/>
      <c r="G37" s="52">
        <f>E35</f>
        <v>3.5446255728171526E-2</v>
      </c>
      <c r="L37" s="57" t="str" cm="1">
        <f t="array" ref="L37:M38">Common_Equations.Common_ConvertN2OToCO2e_Arguments()</f>
        <v>EN2O</v>
      </c>
      <c r="M37" s="58" t="str">
        <v>Nitrous oxide emissions (t N2O)</v>
      </c>
      <c r="N37" s="104"/>
      <c r="O37" s="52">
        <f>M35</f>
        <v>3.5644642901978378E-2</v>
      </c>
    </row>
    <row r="38" spans="4:16" ht="20.100000000000001" customHeight="1" x14ac:dyDescent="0.25">
      <c r="D38" s="57" t="str">
        <v>GWPN2O</v>
      </c>
      <c r="E38" s="58" t="str">
        <v>Global warming potential for nitrous oxide (t CO2-e / t N2O)</v>
      </c>
      <c r="F38" s="104"/>
      <c r="G38" s="52">
        <f>Common_InputFunctions.Utility_LookupValueInTableNumber("N2O",Table_GWPData[Gas],Table_GWPData[CO2-e factor])</f>
        <v>265</v>
      </c>
      <c r="L38" s="57" t="str">
        <v>GWPN2O</v>
      </c>
      <c r="M38" s="58" t="str">
        <v>Global warming potential for nitrous oxide (t CO2-e / t N2O)</v>
      </c>
      <c r="N38" s="104"/>
      <c r="O38" s="52">
        <f>Common_InputFunctions.Utility_LookupValueInTableNumber("N2O",Table_GWPData[Gas],Table_GWPData[CO2-e factor])</f>
        <v>265</v>
      </c>
    </row>
    <row r="39" spans="4:16" ht="20.100000000000001" customHeight="1" x14ac:dyDescent="0.25"/>
    <row r="40" spans="4:16" ht="20.100000000000001" customHeight="1" x14ac:dyDescent="0.25">
      <c r="D40" s="45" t="s">
        <v>104</v>
      </c>
      <c r="E40" s="45" cm="1">
        <f t="array" ref="E40">Common_Equations.Common_ConvertN2OToCO2e(G37,G38)</f>
        <v>9.393257767965455</v>
      </c>
      <c r="F40" s="105" t="str" cm="1">
        <f t="array" ref="F40">Common_Equations.Common_ConvertN2OToCO2e_Unit()</f>
        <v>t CO2e</v>
      </c>
      <c r="L40" s="45" t="s">
        <v>104</v>
      </c>
      <c r="M40" s="45" cm="1">
        <f t="array" ref="M40">Common_Equations.Common_ConvertN2OToCO2e(O37,O38)</f>
        <v>9.4458303690242698</v>
      </c>
      <c r="N40" s="105" t="str" cm="1">
        <f t="array" ref="N40">Common_Equations.Common_ConvertN2OToCO2e_Unit()</f>
        <v>t CO2e</v>
      </c>
    </row>
    <row r="41" spans="4:16" ht="20.100000000000001" customHeight="1" x14ac:dyDescent="0.25"/>
    <row r="42" spans="4:16" ht="20.100000000000001" customHeight="1" x14ac:dyDescent="0.25"/>
    <row r="43" spans="4:16" ht="20.100000000000001" customHeight="1" x14ac:dyDescent="0.25"/>
    <row r="44" spans="4:16" ht="20.100000000000001" customHeight="1" x14ac:dyDescent="0.25"/>
    <row r="45" spans="4:16" ht="20.100000000000001" customHeight="1" x14ac:dyDescent="0.25"/>
    <row r="46" spans="4:16" ht="20.100000000000001" customHeight="1" x14ac:dyDescent="0.25"/>
    <row r="47" spans="4:16" ht="20.100000000000001" customHeight="1" x14ac:dyDescent="0.25"/>
    <row r="48" spans="4:16"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M19 E24 M24" xr:uid="{27894986-D8F7-4ECC-BDC3-495A6C274A89}"/>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O165"/>
  <sheetViews>
    <sheetView showGridLines="0" topLeftCell="A10" workbookViewId="0">
      <selection activeCell="G15" sqref="G15"/>
    </sheetView>
  </sheetViews>
  <sheetFormatPr defaultRowHeight="15.75" x14ac:dyDescent="0.25"/>
  <cols>
    <col min="1" max="1" width="30.7109375" customWidth="1"/>
    <col min="2" max="2" width="4.7109375" customWidth="1"/>
    <col min="3" max="3" width="4.7109375" style="1" customWidth="1"/>
    <col min="4" max="7" width="30.7109375" style="1" customWidth="1"/>
    <col min="8" max="8" width="4.7109375" style="1" customWidth="1"/>
    <col min="9" max="9" width="4.7109375" customWidth="1"/>
    <col min="10" max="10" width="4.7109375" style="1" customWidth="1"/>
    <col min="11" max="14" width="30.7109375" style="1" customWidth="1"/>
    <col min="15" max="15" width="4.7109375" style="1" customWidth="1"/>
  </cols>
  <sheetData>
    <row r="1" spans="1:15" s="8" customFormat="1" ht="30" customHeight="1" x14ac:dyDescent="0.35">
      <c r="A1" s="8" t="e" vm="1">
        <v>#VALUE!</v>
      </c>
      <c r="C1" s="8" t="s">
        <v>155</v>
      </c>
    </row>
    <row r="2" spans="1:15" s="9" customFormat="1" ht="20.100000000000001" customHeight="1" x14ac:dyDescent="0.25"/>
    <row r="3" spans="1:15" ht="20.100000000000001" customHeight="1" x14ac:dyDescent="0.25">
      <c r="A3" s="17" t="str">
        <f>HYPERLINK("#'Home'!A1", "Home")</f>
        <v>Home</v>
      </c>
      <c r="C3" s="4"/>
      <c r="D3" s="4" t="s">
        <v>108</v>
      </c>
      <c r="E3" s="4"/>
      <c r="F3" s="4"/>
      <c r="G3" s="4"/>
      <c r="H3" s="4"/>
      <c r="J3" s="4"/>
      <c r="K3" s="4" t="s">
        <v>109</v>
      </c>
      <c r="L3" s="4"/>
      <c r="M3" s="4"/>
      <c r="N3" s="4"/>
      <c r="O3" s="4"/>
    </row>
    <row r="4" spans="1:15" ht="20.100000000000001" customHeight="1" x14ac:dyDescent="0.25">
      <c r="A4" s="17" t="str">
        <f>HYPERLINK("#'Results'!A1", "Results")</f>
        <v>Results</v>
      </c>
    </row>
    <row r="5" spans="1:15" ht="20.100000000000001" customHeight="1" x14ac:dyDescent="0.25">
      <c r="A5" s="16"/>
      <c r="D5" s="6" t="str" cm="1">
        <f t="array" ref="D5">MMS_PastureBeef_Soil_LeachingAndRunoff.VEERG_4_2_1_7__2_MassOfNitrogenLostToLeachingAndRunoffOnPasture_Title()</f>
        <v>Mass of nitrogen lost to leaching and runoff</v>
      </c>
    </row>
    <row r="6" spans="1:15" ht="20.100000000000001" customHeight="1" x14ac:dyDescent="0.25">
      <c r="A6" s="20" t="s">
        <v>3</v>
      </c>
      <c r="D6" s="5" t="str" cm="1">
        <f t="array" ref="D6">MMS_PastureBeef_Soil_LeachingAndRunoff.VEERG_4_2_1_7__2_MassOfNitrogenLostToLeachingAndRunoffOnPasture_Source()</f>
        <v>VEERG 2026: 4.2.1.7, Equation (2)</v>
      </c>
    </row>
    <row r="7" spans="1:15" ht="20.100000000000001" customHeight="1" x14ac:dyDescent="0.25">
      <c r="A7" s="17" t="str">
        <f>HYPERLINK("#'Input - Site'!A1", "Site")</f>
        <v>Site</v>
      </c>
      <c r="D7" s="13" t="s">
        <v>27</v>
      </c>
      <c r="E7" s="13" t="str" cm="1">
        <f t="array" aca="1" ref="E7" ca="1">Common_InputFunctions.Utility_DisplayFunctionName(E20)</f>
        <v>=MMS_PastureBeef_Soil_LeachingAndRunoff.VEERG_4_2_1_7__2_MassOfNitrogenLostToLeachingAndRunoffOnPasture</v>
      </c>
    </row>
    <row r="8" spans="1:15" ht="20.100000000000001" customHeight="1" x14ac:dyDescent="0.25">
      <c r="A8" s="17" t="str">
        <f>HYPERLINK("#'Input - Pasture Beef'!A1", "Pasture Beef")</f>
        <v>Pasture Beef</v>
      </c>
    </row>
    <row r="9" spans="1:15" ht="20.100000000000001" customHeight="1" x14ac:dyDescent="0.25">
      <c r="A9" s="17"/>
    </row>
    <row r="10" spans="1:15" ht="20.100000000000001" customHeight="1" x14ac:dyDescent="0.25">
      <c r="A10" s="19" t="s">
        <v>77</v>
      </c>
      <c r="D10" s="53" t="s">
        <v>30</v>
      </c>
      <c r="E10" s="1" t="str" cm="1">
        <f t="array" ref="E10">MMS_PastureBeef_Soil_LeachingAndRunoff.VEERG_4_2_1_7__2_MassOfNitrogenLostToLeachingAndRunoffOnPasture_Variable()</f>
        <v>M_leach</v>
      </c>
    </row>
    <row r="11" spans="1:15" ht="20.100000000000001" customHeight="1" x14ac:dyDescent="0.25">
      <c r="A11" s="17" t="str">
        <f>HYPERLINK("#'4.2.1.1-2 Methane'!A1", "4.2.1.1-2 Methane")</f>
        <v>4.2.1.1-2 Methane</v>
      </c>
      <c r="D11" s="53" t="s">
        <v>20</v>
      </c>
      <c r="E11" s="54" t="str" cm="1">
        <f t="array" ref="E11">MMS_PastureBeef_Soil_LeachingAndRunoff.VEERG_4_2_1_7__2_MassOfNitrogenLostToLeachingAndRunoffOnPasture_Unit()</f>
        <v>kg N</v>
      </c>
    </row>
    <row r="12" spans="1:15" ht="20.100000000000001" customHeight="1" x14ac:dyDescent="0.25">
      <c r="A12" s="17" t="str">
        <f>HYPERLINK("#'4.2.1.3-4 Soil direct N2O'!A1", "4.2.1.3-4 Soil direct N2O")</f>
        <v>4.2.1.3-4 Soil direct N2O</v>
      </c>
    </row>
    <row r="13" spans="1:15" ht="20.100000000000001" customHeight="1" x14ac:dyDescent="0.25">
      <c r="A13" s="17" t="str">
        <f>HYPERLINK("#'4.2.1.5-6 Soil Atmos Dep'!A1", "4.2.1.5-6 Soil atm. deposition")</f>
        <v>4.2.1.5-6 Soil atm. deposition</v>
      </c>
      <c r="D13" s="108" t="str" cm="1">
        <f t="array" ref="D13:E18">MMS_PastureBeef_Soil_LeachingAndRunoff.VEERG_4_2_1_7__2_MassOfNitrogenLostToLeachingAndRunoffOnPasture_Arguments()</f>
        <v>AE</v>
      </c>
      <c r="E13" s="110" t="str">
        <v>total mass of nitrogen excreted on PRP for beef cattle (kg N)</v>
      </c>
      <c r="F13" s="109"/>
      <c r="G13" s="57">
        <f>'4.2.1.3-4 Soil direct N20'!$E$212</f>
        <v>59673.831192207945</v>
      </c>
      <c r="K13" s="108" t="str" cm="1">
        <f t="array" ref="K13:L18">MMS_PastureBeef_Soil_LeachingAndRunoff.VEERG_4_2_1_7__2_MassOfNitrogenLostToLeachingAndRunoffOnPasture_Arguments()</f>
        <v>AE</v>
      </c>
      <c r="L13" s="110" t="str">
        <v>total mass of nitrogen excreted on PRP for beef cattle (kg N)</v>
      </c>
      <c r="M13" s="109"/>
      <c r="N13" s="57">
        <f>'4.2.1.3-4 Soil direct N20'!$V$261</f>
        <v>60007.816333296949</v>
      </c>
    </row>
    <row r="14" spans="1:15" ht="20.100000000000001" customHeight="1" x14ac:dyDescent="0.25">
      <c r="A14" s="17" t="str">
        <f>HYPERLINK("#'4.2.1.7-8 Soil leach runoff'!A1", "4.2.1.7-8 Soil leach &amp; runoff")</f>
        <v>4.2.1.7-8 Soil leach &amp; runoff</v>
      </c>
      <c r="D14" s="108" t="str">
        <v>FracWet</v>
      </c>
      <c r="E14" s="110" t="str">
        <v>fraction of N available for leaching and runoff</v>
      </c>
      <c r="F14" s="109"/>
      <c r="G14" s="57">
        <f>Common_InputFunctions.CommonCropping_GetFracWET(G16,G18,#REF!,#REF!,Table_SourceData_FracWETIrrigation[Irrigation type i],Table_SourceData_FracWETIrrigation[FracWET])</f>
        <v>0</v>
      </c>
      <c r="K14" s="108" t="str">
        <v>FracWet</v>
      </c>
      <c r="L14" s="110" t="str">
        <v>fraction of N available for leaching and runoff</v>
      </c>
      <c r="M14" s="109"/>
      <c r="N14" s="57"/>
    </row>
    <row r="15" spans="1:15" ht="20.100000000000001" customHeight="1" x14ac:dyDescent="0.25">
      <c r="A15" s="17"/>
      <c r="D15" s="108" t="str">
        <v>FracLEACH</v>
      </c>
      <c r="E15" s="110" t="str">
        <v>fraction of all N that is lost through leaching and runoff</v>
      </c>
      <c r="F15" s="109"/>
      <c r="G15" s="57">
        <f>'Constants - Pature Beef'!$D$438</f>
        <v>0.24</v>
      </c>
      <c r="K15" s="108" t="str">
        <v>FracLEACH</v>
      </c>
      <c r="L15" s="110" t="str">
        <v>fraction of all N that is lost through leaching and runoff</v>
      </c>
      <c r="M15" s="109"/>
      <c r="N15" s="57"/>
    </row>
    <row r="16" spans="1:15" ht="20.100000000000001" customHeight="1" x14ac:dyDescent="0.25">
      <c r="A16" s="18" t="s">
        <v>4</v>
      </c>
      <c r="D16" s="108" t="str">
        <v>z</v>
      </c>
      <c r="E16" s="110" t="str">
        <v>location in leaching zone</v>
      </c>
      <c r="F16" s="109"/>
      <c r="G16" s="57" t="str">
        <f>'Input - Site'!$E$23</f>
        <v>NO - Not in leaching zone</v>
      </c>
      <c r="K16" s="108" t="str">
        <v>z</v>
      </c>
      <c r="L16" s="110" t="str">
        <v>location in leaching zone</v>
      </c>
      <c r="M16" s="109"/>
      <c r="N16" s="57"/>
    </row>
    <row r="17" spans="1:15" ht="20.100000000000001" customHeight="1" x14ac:dyDescent="0.25">
      <c r="A17" s="17" t="str">
        <f>HYPERLINK("#'Constants - Pasture Beef'!A1", "Constants - Pasture Beef")</f>
        <v>Constants - Pasture Beef</v>
      </c>
      <c r="D17" s="108" t="str">
        <v>j</v>
      </c>
      <c r="E17" s="110" t="str">
        <v>production system</v>
      </c>
      <c r="F17" s="109"/>
      <c r="G17" s="57" t="str">
        <f>'Input - Pasture Beef'!$E$176</f>
        <v>Pasture</v>
      </c>
      <c r="K17" s="108" t="str">
        <v>j</v>
      </c>
      <c r="L17" s="110" t="str">
        <v>production system</v>
      </c>
      <c r="M17" s="109"/>
      <c r="N17" s="57"/>
    </row>
    <row r="18" spans="1:15" ht="20.100000000000001" customHeight="1" x14ac:dyDescent="0.25">
      <c r="A18" s="17" t="str">
        <f>HYPERLINK("#'Constants - Livestock'!A1", "Constants - Livestock")</f>
        <v>Constants - Livestock</v>
      </c>
      <c r="D18" s="108" t="str">
        <v>ir</v>
      </c>
      <c r="E18" s="110" t="str">
        <v>irrigation method</v>
      </c>
      <c r="F18" s="109"/>
      <c r="G18" s="57" t="str">
        <f>'Input - Pasture Beef'!$E$177</f>
        <v>Not irrigated</v>
      </c>
      <c r="K18" s="108" t="str">
        <v>ir</v>
      </c>
      <c r="L18" s="110" t="str">
        <v>irrigation method</v>
      </c>
      <c r="M18" s="109"/>
      <c r="N18" s="57"/>
    </row>
    <row r="19" spans="1:15" ht="20.100000000000001" customHeight="1" x14ac:dyDescent="0.25">
      <c r="A19" s="17" t="str">
        <f>HYPERLINK("#'Constants - Common'!A1", "Constants - Common")</f>
        <v>Constants - Common</v>
      </c>
    </row>
    <row r="20" spans="1:15" ht="20.100000000000001" customHeight="1" x14ac:dyDescent="0.25">
      <c r="A20" s="17" t="str">
        <f>HYPERLINK("#'Acknowledgements'!A1", "Acknowledgements")</f>
        <v>Acknowledgements</v>
      </c>
      <c r="D20" s="113" t="s">
        <v>329</v>
      </c>
      <c r="E20" s="45" cm="1">
        <f t="array" ref="E20">MMS_PastureBeef_Soil_LeachingAndRunoff.VEERG_4_2_1_7__2_MassOfNitrogenLostToLeachingAndRunoffOnPasture($G$13,$G$14,$G$15)</f>
        <v>0</v>
      </c>
      <c r="F20" s="105" t="str">
        <f>$E$11</f>
        <v>kg N</v>
      </c>
      <c r="I20" s="56"/>
      <c r="K20" s="113" t="s">
        <v>329</v>
      </c>
      <c r="L20" s="45" cm="1">
        <f t="array" ref="L20">MMS_PastureBeef_Soil_LeachingAndRunoff.VEERG_4_2_1_7__2_MassOfNitrogenLostToLeachingAndRunoffOnPasture($N$13,$G$14,$G$15)</f>
        <v>0</v>
      </c>
      <c r="M20" s="105" t="str">
        <f>$E$11</f>
        <v>kg N</v>
      </c>
    </row>
    <row r="21" spans="1:15" ht="20.100000000000001" customHeight="1" x14ac:dyDescent="0.25">
      <c r="I21" s="56"/>
    </row>
    <row r="22" spans="1:15" ht="20.100000000000001" customHeight="1" x14ac:dyDescent="0.25">
      <c r="I22" s="56"/>
    </row>
    <row r="23" spans="1:15" ht="20.100000000000001" customHeight="1" x14ac:dyDescent="0.25">
      <c r="C23" s="45"/>
      <c r="D23" s="45"/>
      <c r="E23" s="45"/>
      <c r="F23" s="45"/>
      <c r="G23" s="45"/>
      <c r="H23" s="45"/>
      <c r="I23" s="56"/>
      <c r="J23" s="45"/>
      <c r="K23" s="45"/>
      <c r="L23" s="45"/>
      <c r="M23" s="45"/>
      <c r="N23" s="45"/>
      <c r="O23" s="45"/>
    </row>
    <row r="24" spans="1:15" ht="20.100000000000001" customHeight="1" x14ac:dyDescent="0.25">
      <c r="D24" s="1" t="str" cm="1">
        <f t="array" ref="D24">MMS_PastureBeef_Soil_LeachingAndRunoff.VEERG_4_2_1_7__1_LeachingAndRunoffEmissionsFromUrineAndDungOnPasture_Title()</f>
        <v>Leaching and runoff emissions from urine and dung deposited on pasture</v>
      </c>
    </row>
    <row r="25" spans="1:15" ht="20.100000000000001" customHeight="1" x14ac:dyDescent="0.25">
      <c r="D25" s="1" t="str" cm="1">
        <f t="array" ref="D25">MMS_PastureBeef_Soil_LeachingAndRunoff.VEERG_4_2_1_7__1_LeachingAndRunoffEmissionsFromUrineAndDungOnPasture_Source()</f>
        <v>VEERG 2026: 4.2.1.7, Equation (1)</v>
      </c>
    </row>
    <row r="26" spans="1:15" ht="20.100000000000001" customHeight="1" x14ac:dyDescent="0.25">
      <c r="D26" s="13" t="s">
        <v>27</v>
      </c>
      <c r="E26" s="13" t="str" cm="1">
        <f t="array" aca="1" ref="E26" ca="1">Common_InputFunctions.Utility_DisplayFunctionName(E36)</f>
        <v>=MMS_PastureBeef_Soil_LeachingAndRunoff.VEERG_4_2_1_7__1_LeachingAndRunoffEmissionsFromUrineAndDungOnPasture</v>
      </c>
    </row>
    <row r="27" spans="1:15" ht="20.100000000000001" customHeight="1" x14ac:dyDescent="0.25"/>
    <row r="28" spans="1:15" ht="20.100000000000001" customHeight="1" x14ac:dyDescent="0.25"/>
    <row r="29" spans="1:15" ht="20.100000000000001" customHeight="1" x14ac:dyDescent="0.25">
      <c r="D29" s="53" t="s">
        <v>30</v>
      </c>
      <c r="E29" s="1" t="str" cm="1">
        <f t="array" ref="E29">MMS_PastureBeef_Soil_LeachingAndRunoff.VEERG_4_2_1_7__1_LeachingAndRunoffEmissionsFromUrineAndDungOnPasture_Variable()</f>
        <v>E_N2Oleach</v>
      </c>
    </row>
    <row r="30" spans="1:15" ht="20.100000000000001" customHeight="1" x14ac:dyDescent="0.25">
      <c r="D30" s="53" t="s">
        <v>20</v>
      </c>
      <c r="E30" s="54" t="str" cm="1">
        <f t="array" ref="E30">MMS_PastureBeef_Soil_LeachingAndRunoff.VEERG_4_2_1_7__1_LeachingAndRunoffEmissionsFromUrineAndDungOnPasture_Unit()</f>
        <v>t N2O</v>
      </c>
    </row>
    <row r="31" spans="1:15" ht="20.100000000000001" customHeight="1" x14ac:dyDescent="0.25"/>
    <row r="32" spans="1:15" ht="20.100000000000001" customHeight="1" x14ac:dyDescent="0.25">
      <c r="D32" s="57" t="str" cm="1">
        <f t="array" ref="D32:E34">MMS_PastureBeef_Soil_LeachingAndRunoff.VEERG_4_2_1_7__1_LeachingAndRunoffEmissionsFromUrineAndDungOnPasture_Arguments()</f>
        <v>M_leach</v>
      </c>
      <c r="E32" s="57" t="str">
        <v>mass of nitrogen lost to leaching and runoff (kg N)</v>
      </c>
      <c r="F32" s="57"/>
      <c r="G32" s="57">
        <f>$E$20</f>
        <v>0</v>
      </c>
      <c r="K32" s="57" t="str" cm="1">
        <f t="array" ref="K32:L34">MMS_PastureBeef_Soil_LeachingAndRunoff.VEERG_4_2_1_7__1_LeachingAndRunoffEmissionsFromUrineAndDungOnPasture_Arguments()</f>
        <v>M_leach</v>
      </c>
      <c r="L32" s="57" t="str">
        <v>mass of nitrogen lost to leaching and runoff (kg N)</v>
      </c>
      <c r="M32" s="57"/>
      <c r="N32" s="57">
        <f>$E$20</f>
        <v>0</v>
      </c>
    </row>
    <row r="33" spans="4:14" ht="20.100000000000001" customHeight="1" x14ac:dyDescent="0.25">
      <c r="D33" s="57" t="str">
        <v>EF_leach</v>
      </c>
      <c r="E33" s="57" t="str">
        <v>emission factor for leaching and runoff (kg N2O-N/kg N)</v>
      </c>
      <c r="F33" s="57"/>
      <c r="G33" s="57">
        <f>'Constants - Common'!$E$170</f>
        <v>1.0999999999999999E-2</v>
      </c>
      <c r="K33" s="57" t="str">
        <v>EF_leach</v>
      </c>
      <c r="L33" s="57" t="str">
        <v>emission factor for leaching and runoff (kg N2O-N/kg N)</v>
      </c>
      <c r="M33" s="57"/>
      <c r="N33" s="57"/>
    </row>
    <row r="34" spans="4:14" ht="20.100000000000001" customHeight="1" x14ac:dyDescent="0.25">
      <c r="D34" s="57" t="str">
        <v>C_N2O</v>
      </c>
      <c r="E34" s="57" t="str">
        <v>factor to convert elemental mass of N2O to molecular mass</v>
      </c>
      <c r="F34" s="57"/>
      <c r="G34" s="57">
        <f>Common_InputFunctions.Utility_LookupValueInTableNumber("N2O",Table_GasToMolecularConversionFactor[Gas],Table_GasToMolecularConversionFactor[Conversion factor combined])</f>
        <v>1.5714285714285714</v>
      </c>
      <c r="K34" s="57" t="str">
        <v>C_N2O</v>
      </c>
      <c r="L34" s="57" t="str">
        <v>factor to convert elemental mass of N2O to molecular mass</v>
      </c>
      <c r="M34" s="57"/>
      <c r="N34" s="57"/>
    </row>
    <row r="35" spans="4:14" ht="20.100000000000001" customHeight="1" x14ac:dyDescent="0.25"/>
    <row r="36" spans="4:14" ht="20.100000000000001" customHeight="1" x14ac:dyDescent="0.25">
      <c r="D36" s="113" t="s">
        <v>156</v>
      </c>
      <c r="E36" s="45" cm="1">
        <f t="array" ref="E36">MMS_PastureBeef_Soil_LeachingAndRunoff.VEERG_4_2_1_7__1_LeachingAndRunoffEmissionsFromUrineAndDungOnPasture(G32,G33,G34)</f>
        <v>0</v>
      </c>
      <c r="F36" s="105" t="str">
        <f>$E$30</f>
        <v>t N2O</v>
      </c>
      <c r="K36" s="113" t="s">
        <v>156</v>
      </c>
      <c r="L36" s="45" cm="1">
        <f t="array" ref="L36">MMS_PastureBeef_Soil_LeachingAndRunoff.VEERG_4_2_1_7__1_LeachingAndRunoffEmissionsFromUrineAndDungOnPasture(N32,G33,G34)</f>
        <v>0</v>
      </c>
      <c r="M36" s="105" t="str">
        <f>$E$30</f>
        <v>t N2O</v>
      </c>
    </row>
    <row r="37" spans="4:14" ht="20.100000000000001" customHeight="1" x14ac:dyDescent="0.25"/>
    <row r="38" spans="4:14" ht="20.100000000000001" customHeight="1" x14ac:dyDescent="0.25">
      <c r="D38" s="57" t="str" cm="1">
        <f t="array" ref="D38:E39">Common_Equations.Common_ConvertN2OToCO2e_Arguments()</f>
        <v>EN2O</v>
      </c>
      <c r="E38" s="58" t="str">
        <v>Nitrous oxide emissions (t N2O)</v>
      </c>
      <c r="F38" s="104"/>
      <c r="G38" s="52">
        <f>E36</f>
        <v>0</v>
      </c>
      <c r="K38" s="57" t="str" cm="1">
        <f t="array" ref="K38:L39">Common_Equations.Common_ConvertN2OToCO2e_Arguments()</f>
        <v>EN2O</v>
      </c>
      <c r="L38" s="58" t="str">
        <v>Nitrous oxide emissions (t N2O)</v>
      </c>
      <c r="M38" s="104"/>
      <c r="N38" s="52">
        <f>L36</f>
        <v>0</v>
      </c>
    </row>
    <row r="39" spans="4:14" ht="20.100000000000001" customHeight="1" x14ac:dyDescent="0.25">
      <c r="D39" s="57" t="str">
        <v>GWPN2O</v>
      </c>
      <c r="E39" s="58" t="str">
        <v>Global warming potential for nitrous oxide (t CO2-e / t N2O)</v>
      </c>
      <c r="F39" s="104"/>
      <c r="G39" s="52">
        <f>Common_InputFunctions.Utility_LookupValueInTableNumber("N2O",Table_GWPData[Gas],Table_GWPData[CO2-e factor])</f>
        <v>265</v>
      </c>
      <c r="K39" s="57" t="str">
        <v>GWPN2O</v>
      </c>
      <c r="L39" s="58" t="str">
        <v>Global warming potential for nitrous oxide (t CO2-e / t N2O)</v>
      </c>
      <c r="M39" s="104"/>
      <c r="N39" s="52">
        <f>Common_InputFunctions.Utility_LookupValueInTableNumber("N2O",Table_GWPData[Gas],Table_GWPData[CO2-e factor])</f>
        <v>265</v>
      </c>
    </row>
    <row r="40" spans="4:14" ht="20.100000000000001" customHeight="1" x14ac:dyDescent="0.25"/>
    <row r="41" spans="4:14" ht="20.100000000000001" customHeight="1" x14ac:dyDescent="0.25">
      <c r="D41" s="45" t="s">
        <v>104</v>
      </c>
      <c r="E41" s="45" cm="1">
        <f t="array" ref="E41">Common_Equations.Common_ConvertN2OToCO2e(G38,G39)</f>
        <v>0</v>
      </c>
      <c r="F41" s="105" t="str" cm="1">
        <f t="array" ref="F41">Common_Equations.Common_ConvertN2OToCO2e_Unit()</f>
        <v>t CO2e</v>
      </c>
      <c r="K41" s="45" t="s">
        <v>104</v>
      </c>
      <c r="L41" s="45" cm="1">
        <f t="array" ref="L41">Common_Equations.Common_ConvertN2OToCO2e(N38,N39)</f>
        <v>0</v>
      </c>
      <c r="M41" s="105" t="str" cm="1">
        <f t="array" ref="M41">Common_Equations.Common_ConvertN2OToCO2e_Unit()</f>
        <v>t CO2e</v>
      </c>
    </row>
    <row r="42" spans="4:14" ht="20.100000000000001" customHeight="1" x14ac:dyDescent="0.25"/>
    <row r="43" spans="4:14" ht="20.100000000000001" customHeight="1" x14ac:dyDescent="0.25"/>
    <row r="44" spans="4:14" ht="20.100000000000001" customHeight="1" x14ac:dyDescent="0.25"/>
    <row r="45" spans="4:14" ht="20.100000000000001" customHeight="1" x14ac:dyDescent="0.25"/>
    <row r="46" spans="4:14" ht="20.100000000000001" customHeight="1" x14ac:dyDescent="0.25"/>
    <row r="47" spans="4:14" ht="20.100000000000001" customHeight="1" x14ac:dyDescent="0.25"/>
    <row r="48" spans="4:14"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L23 E28 L28" xr:uid="{FFC3CBA3-2876-48FD-90FB-22BFDC268162}"/>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2"/>
  <sheetViews>
    <sheetView showGridLines="0" topLeftCell="F296" zoomScale="85" zoomScaleNormal="85" workbookViewId="0">
      <selection activeCell="H342" sqref="H342"/>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182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327</v>
      </c>
      <c r="G5" s="6" t="s">
        <v>120</v>
      </c>
      <c r="M5" s="1" t="s">
        <v>206</v>
      </c>
      <c r="O5" s="1" t="s">
        <v>207</v>
      </c>
      <c r="Q5" s="1" t="s">
        <v>208</v>
      </c>
      <c r="S5" s="1" t="s">
        <v>219</v>
      </c>
    </row>
    <row r="6" spans="1:21" ht="20.100000000000001" customHeight="1" x14ac:dyDescent="0.25">
      <c r="A6" s="20" t="s">
        <v>3</v>
      </c>
      <c r="M6" s="1"/>
    </row>
    <row r="7" spans="1:21" ht="20.100000000000001" customHeight="1" x14ac:dyDescent="0.25">
      <c r="A7" s="17" t="str">
        <f>HYPERLINK("#'Input - Site'!A1", "Site")</f>
        <v>Site</v>
      </c>
      <c r="D7" s="37" t="s">
        <v>119</v>
      </c>
      <c r="G7" s="37" t="s">
        <v>118</v>
      </c>
      <c r="M7" t="s">
        <v>183</v>
      </c>
      <c r="O7" s="37" t="s">
        <v>183</v>
      </c>
      <c r="Q7" s="37" t="s">
        <v>183</v>
      </c>
      <c r="S7" s="37" t="s">
        <v>183</v>
      </c>
    </row>
    <row r="8" spans="1:21" ht="20.100000000000001" customHeight="1" x14ac:dyDescent="0.25">
      <c r="A8" s="17" t="str">
        <f>HYPERLINK("#'Input - Pasture Beef'!A1", "Pasture Beef")</f>
        <v>Pasture Beef</v>
      </c>
      <c r="D8" s="37" t="str">
        <f>'Constants - Common'!$F$187</f>
        <v>Pasture</v>
      </c>
      <c r="G8" s="37" t="s">
        <v>121</v>
      </c>
      <c r="M8" s="37" t="s">
        <v>209</v>
      </c>
      <c r="O8" s="37" t="s">
        <v>211</v>
      </c>
      <c r="Q8" s="37" t="s">
        <v>214</v>
      </c>
      <c r="S8" s="37" t="s">
        <v>202</v>
      </c>
    </row>
    <row r="9" spans="1:21" ht="20.100000000000001" customHeight="1" x14ac:dyDescent="0.25">
      <c r="A9" s="17"/>
      <c r="D9" s="1" t="str">
        <f>'Constants - Common'!$F$188</f>
        <v>Crop</v>
      </c>
      <c r="G9" s="37" t="s">
        <v>122</v>
      </c>
      <c r="M9" s="37" t="s">
        <v>210</v>
      </c>
      <c r="O9" s="37" t="s">
        <v>212</v>
      </c>
      <c r="Q9" s="37" t="s">
        <v>215</v>
      </c>
    </row>
    <row r="10" spans="1:21" ht="20.100000000000001" customHeight="1" x14ac:dyDescent="0.25">
      <c r="A10" s="19" t="s">
        <v>77</v>
      </c>
      <c r="G10" s="1" t="s">
        <v>123</v>
      </c>
      <c r="M10" s="37" t="s">
        <v>205</v>
      </c>
      <c r="O10" s="37" t="s">
        <v>213</v>
      </c>
      <c r="Q10" s="37" t="s">
        <v>216</v>
      </c>
      <c r="S10" s="1" t="s">
        <v>220</v>
      </c>
    </row>
    <row r="11" spans="1:21" ht="20.100000000000001" customHeight="1" x14ac:dyDescent="0.25">
      <c r="A11" s="17" t="str">
        <f>HYPERLINK("#'4.2.1.1-2 Methane'!A1", "4.2.1.1-2 Methane")</f>
        <v>4.2.1.1-2 Methane</v>
      </c>
      <c r="G11" s="1" t="s">
        <v>124</v>
      </c>
      <c r="M11" s="1"/>
      <c r="Q11" s="37" t="s">
        <v>217</v>
      </c>
    </row>
    <row r="12" spans="1:21" ht="20.100000000000001" customHeight="1" x14ac:dyDescent="0.25">
      <c r="A12" s="17" t="str">
        <f>HYPERLINK("#'4.2.1.3-4 Soil direct N2O'!A1", "4.2.1.3-4 Soil direct N2O")</f>
        <v>4.2.1.3-4 Soil direct N2O</v>
      </c>
      <c r="G12" s="1" t="s">
        <v>125</v>
      </c>
      <c r="M12" s="1"/>
      <c r="S12" s="37" t="s">
        <v>183</v>
      </c>
    </row>
    <row r="13" spans="1:21" ht="20.100000000000001" customHeight="1" x14ac:dyDescent="0.25">
      <c r="A13" s="17" t="str">
        <f>HYPERLINK("#'4.2.1.5-6 Soil Atmos Dep'!A1", "4.2.1.5-6 Soil atm. deposition")</f>
        <v>4.2.1.5-6 Soil atm. deposition</v>
      </c>
      <c r="M13" s="1"/>
      <c r="S13" s="37" t="s">
        <v>202</v>
      </c>
    </row>
    <row r="14" spans="1:21" ht="20.100000000000001" customHeight="1" x14ac:dyDescent="0.25">
      <c r="A14" s="17" t="str">
        <f>HYPERLINK("#'4.2.1.7-8 Soil leach runoff'!A1", "4.2.1.7-8 Soil leach &amp; runoff")</f>
        <v>4.2.1.7-8 Soil leach &amp; runoff</v>
      </c>
      <c r="D14" s="6" t="str" cm="1">
        <f t="array" ref="D14">SourceData_PastureBeef.SourceData_PastureBeef_Liveweight_Title()</f>
        <v>Beef pasture cattle - Liveweight (kg) (Wjkl)</v>
      </c>
      <c r="M14" s="1"/>
    </row>
    <row r="15" spans="1:21" ht="20.100000000000001" customHeight="1" x14ac:dyDescent="0.25">
      <c r="A15" s="17"/>
      <c r="D15" s="5" t="str" cm="1">
        <f t="array" ref="D15">SourceData_PastureBeef.SourceData_PastureBeef_Liveweight_Source()</f>
        <v>VEERG 2026: Table A.1.2.1</v>
      </c>
      <c r="M15" s="1"/>
      <c r="S15" s="1" t="s">
        <v>221</v>
      </c>
    </row>
    <row r="16" spans="1:21" ht="20.100000000000001" customHeight="1" x14ac:dyDescent="0.25">
      <c r="A16" s="18" t="s">
        <v>4</v>
      </c>
      <c r="D16" s="1" t="str" cm="1">
        <f t="array" ref="D16">SourceData_PastureBeef.SourceData_PastureBeef_Liveweight_Variable()</f>
        <v>Wjkl</v>
      </c>
      <c r="M16" s="1"/>
    </row>
    <row r="17" spans="1:19" ht="20.100000000000001" customHeight="1" x14ac:dyDescent="0.25">
      <c r="A17" s="17" t="str">
        <f>HYPERLINK("#'Constants - Pasture Beef'!A1", "Constants - Pasture Beef")</f>
        <v>Constants - Pasture Beef</v>
      </c>
      <c r="D17" s="54" t="str" cm="1">
        <f t="array" ref="D17">SourceData_PastureBeef.SourceData_PastureBeef_Liveweight_Unit()</f>
        <v>kg</v>
      </c>
      <c r="M17" s="1"/>
      <c r="S17" s="37" t="s">
        <v>183</v>
      </c>
    </row>
    <row r="18" spans="1:19" ht="20.100000000000001" customHeight="1" x14ac:dyDescent="0.25">
      <c r="A18" s="17" t="str">
        <f>HYPERLINK("#'Constants - Livestock'!A1", "Constants - Livestock")</f>
        <v>Constants - Livestock</v>
      </c>
      <c r="D18" s="37" t="s">
        <v>8</v>
      </c>
      <c r="E18" s="37" t="s">
        <v>183</v>
      </c>
      <c r="F18" s="37" t="s">
        <v>184</v>
      </c>
      <c r="G18" s="37" t="s">
        <v>185</v>
      </c>
      <c r="H18" s="37" t="s">
        <v>186</v>
      </c>
      <c r="I18" s="37" t="s">
        <v>187</v>
      </c>
      <c r="J18" s="37" t="s">
        <v>188</v>
      </c>
      <c r="K18" s="37" t="s">
        <v>189</v>
      </c>
      <c r="L18" s="37" t="s">
        <v>190</v>
      </c>
      <c r="M18" s="37" t="s">
        <v>191</v>
      </c>
      <c r="S18" s="37" t="s">
        <v>202</v>
      </c>
    </row>
    <row r="19" spans="1:19" ht="20.100000000000001" customHeight="1" x14ac:dyDescent="0.25">
      <c r="A19" s="17" t="str">
        <f>HYPERLINK("#'Constants - Common'!A1", "Constants - Common")</f>
        <v>Constants - Common</v>
      </c>
      <c r="D19" s="37" t="str" cm="1">
        <f t="array" ref="D19">Common_InputFunctions.Utility_DisplayArrayInTable(SourceData_PastureBeef.SourceData_PastureBeef_Liveweight_Data(), Table_SourceData_PastureBeef_Liveweight[[#Headers],[State]], 0)</f>
        <v>ACT/NSW</v>
      </c>
      <c r="E19" s="37" t="str" cm="1">
        <f t="array" ref="E19">Common_InputFunctions.Utility_DisplayArrayInTable(SourceData_PastureBeef.SourceData_PastureBeef_Liveweight_Data(), Table_SourceData_PastureBeef_Liveweight[[#Headers],[State]], 0)</f>
        <v>n/a</v>
      </c>
      <c r="F19" s="37" t="str" cm="1">
        <f t="array" ref="F19">Common_InputFunctions.Utility_DisplayArrayInTable(SourceData_PastureBeef.SourceData_PastureBeef_Liveweight_Data(), Table_SourceData_PastureBeef_Liveweight[[#Headers],[State]], 0)</f>
        <v>Spring</v>
      </c>
      <c r="G19" s="37" cm="1">
        <f t="array" ref="G19">Common_InputFunctions.Utility_DisplayArrayInTable(SourceData_PastureBeef.SourceData_PastureBeef_Liveweight_Data(), Table_SourceData_PastureBeef_Liveweight[[#Headers],[State]], 0)</f>
        <v>80</v>
      </c>
      <c r="H19" s="37" cm="1">
        <f t="array" ref="H19">Common_InputFunctions.Utility_DisplayArrayInTable(SourceData_PastureBeef.SourceData_PastureBeef_Liveweight_Data(), Table_SourceData_PastureBeef_Liveweight[[#Headers],[State]], 0)</f>
        <v>480</v>
      </c>
      <c r="I19" s="37" cm="1">
        <f t="array" ref="I19">Common_InputFunctions.Utility_DisplayArrayInTable(SourceData_PastureBeef.SourceData_PastureBeef_Liveweight_Data(), Table_SourceData_PastureBeef_Liveweight[[#Headers],[State]], 0)</f>
        <v>75</v>
      </c>
      <c r="J19" s="37" cm="1">
        <f t="array" ref="J19">Common_InputFunctions.Utility_DisplayArrayInTable(SourceData_PastureBeef.SourceData_PastureBeef_Liveweight_Data(), Table_SourceData_PastureBeef_Liveweight[[#Headers],[State]], 0)</f>
        <v>300</v>
      </c>
      <c r="K19" s="37" cm="1">
        <f t="array" ref="K19">Common_InputFunctions.Utility_DisplayArrayInTable(SourceData_PastureBeef.SourceData_PastureBeef_Liveweight_Data(), Table_SourceData_PastureBeef_Liveweight[[#Headers],[State]], 0)</f>
        <v>440</v>
      </c>
      <c r="L19" s="37" cm="1">
        <f t="array" ref="L19">Common_InputFunctions.Utility_DisplayArrayInTable(SourceData_PastureBeef.SourceData_PastureBeef_Liveweight_Data(), Table_SourceData_PastureBeef_Liveweight[[#Headers],[State]], 0)</f>
        <v>75</v>
      </c>
      <c r="M19" s="37" cm="1">
        <f t="array" ref="M19">Common_InputFunctions.Utility_DisplayArrayInTable(SourceData_PastureBeef.SourceData_PastureBeef_Liveweight_Data(), Table_SourceData_PastureBeef_Liveweight[[#Headers],[State]], 0)</f>
        <v>380</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7" t="str" cm="1">
        <f t="array" ref="E20">Common_InputFunctions.Utility_DisplayArrayInTable(SourceData_PastureBeef.SourceData_PastureBeef_Liveweight_Data(), Table_SourceData_PastureBeef_Liveweight[[#Headers],[State]], 0)</f>
        <v>n/a</v>
      </c>
      <c r="F20" s="37" t="str" cm="1">
        <f t="array" ref="F20">Common_InputFunctions.Utility_DisplayArrayInTable(SourceData_PastureBeef.SourceData_PastureBeef_Liveweight_Data(), Table_SourceData_PastureBeef_Liveweight[[#Headers],[State]], 0)</f>
        <v>Summer</v>
      </c>
      <c r="G20" s="37" cm="1">
        <f t="array" ref="G20">Common_InputFunctions.Utility_DisplayArrayInTable(SourceData_PastureBeef.SourceData_PastureBeef_Liveweight_Data(), Table_SourceData_PastureBeef_Liveweight[[#Headers],[State]], 0)</f>
        <v>170</v>
      </c>
      <c r="H20" s="37" cm="1">
        <f t="array" ref="H20">Common_InputFunctions.Utility_DisplayArrayInTable(SourceData_PastureBeef.SourceData_PastureBeef_Liveweight_Data(), Table_SourceData_PastureBeef_Liveweight[[#Headers],[State]], 0)</f>
        <v>520</v>
      </c>
      <c r="I20" s="37" cm="1">
        <f t="array" ref="I20">Common_InputFunctions.Utility_DisplayArrayInTable(SourceData_PastureBeef.SourceData_PastureBeef_Liveweight_Data(), Table_SourceData_PastureBeef_Liveweight[[#Headers],[State]], 0)</f>
        <v>160</v>
      </c>
      <c r="J20" s="37" cm="1">
        <f t="array" ref="J20">Common_InputFunctions.Utility_DisplayArrayInTable(SourceData_PastureBeef.SourceData_PastureBeef_Liveweight_Data(), Table_SourceData_PastureBeef_Liveweight[[#Headers],[State]], 0)</f>
        <v>360</v>
      </c>
      <c r="K20" s="37" cm="1">
        <f t="array" ref="K20">Common_InputFunctions.Utility_DisplayArrayInTable(SourceData_PastureBeef.SourceData_PastureBeef_Liveweight_Data(), Table_SourceData_PastureBeef_Liveweight[[#Headers],[State]], 0)</f>
        <v>470</v>
      </c>
      <c r="L20" s="37" cm="1">
        <f t="array" ref="L20">Common_InputFunctions.Utility_DisplayArrayInTable(SourceData_PastureBeef.SourceData_PastureBeef_Liveweight_Data(), Table_SourceData_PastureBeef_Liveweight[[#Headers],[State]], 0)</f>
        <v>160</v>
      </c>
      <c r="M20" s="37" cm="1">
        <f t="array" ref="M20">Common_InputFunctions.Utility_DisplayArrayInTable(SourceData_PastureBeef.SourceData_PastureBeef_Liveweight_Data(), Table_SourceData_PastureBeef_Liveweight[[#Headers],[State]], 0)</f>
        <v>420</v>
      </c>
      <c r="S20" s="1" t="s">
        <v>222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7" t="str" cm="1">
        <f t="array" ref="E21">Common_InputFunctions.Utility_DisplayArrayInTable(SourceData_PastureBeef.SourceData_PastureBeef_Liveweight_Data(), Table_SourceData_PastureBeef_Liveweight[[#Headers],[State]], 0)</f>
        <v>n/a</v>
      </c>
      <c r="F21" s="37" t="str" cm="1">
        <f t="array" ref="F21">Common_InputFunctions.Utility_DisplayArrayInTable(SourceData_PastureBeef.SourceData_PastureBeef_Liveweight_Data(), Table_SourceData_PastureBeef_Liveweight[[#Headers],[State]], 0)</f>
        <v>Autumn</v>
      </c>
      <c r="G21" s="37" cm="1">
        <f t="array" ref="G21">Common_InputFunctions.Utility_DisplayArrayInTable(SourceData_PastureBeef.SourceData_PastureBeef_Liveweight_Data(), Table_SourceData_PastureBeef_Liveweight[[#Headers],[State]], 0)</f>
        <v>240</v>
      </c>
      <c r="H21" s="37" cm="1">
        <f t="array" ref="H21">Common_InputFunctions.Utility_DisplayArrayInTable(SourceData_PastureBeef.SourceData_PastureBeef_Liveweight_Data(), Table_SourceData_PastureBeef_Liveweight[[#Headers],[State]], 0)</f>
        <v>550</v>
      </c>
      <c r="I21" s="37" cm="1">
        <f t="array" ref="I21">Common_InputFunctions.Utility_DisplayArrayInTable(SourceData_PastureBeef.SourceData_PastureBeef_Liveweight_Data(), Table_SourceData_PastureBeef_Liveweight[[#Headers],[State]], 0)</f>
        <v>220</v>
      </c>
      <c r="J21" s="37" cm="1">
        <f t="array" ref="J21">Common_InputFunctions.Utility_DisplayArrayInTable(SourceData_PastureBeef.SourceData_PastureBeef_Liveweight_Data(), Table_SourceData_PastureBeef_Liveweight[[#Headers],[State]], 0)</f>
        <v>390</v>
      </c>
      <c r="K21" s="37" cm="1">
        <f t="array" ref="K21">Common_InputFunctions.Utility_DisplayArrayInTable(SourceData_PastureBeef.SourceData_PastureBeef_Liveweight_Data(), Table_SourceData_PastureBeef_Liveweight[[#Headers],[State]], 0)</f>
        <v>490</v>
      </c>
      <c r="L21" s="37" cm="1">
        <f t="array" ref="L21">Common_InputFunctions.Utility_DisplayArrayInTable(SourceData_PastureBeef.SourceData_PastureBeef_Liveweight_Data(), Table_SourceData_PastureBeef_Liveweight[[#Headers],[State]], 0)</f>
        <v>220</v>
      </c>
      <c r="M21" s="37"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7" t="str" cm="1">
        <f t="array" ref="E22">Common_InputFunctions.Utility_DisplayArrayInTable(SourceData_PastureBeef.SourceData_PastureBeef_Liveweight_Data(), Table_SourceData_PastureBeef_Liveweight[[#Headers],[State]], 0)</f>
        <v>n/a</v>
      </c>
      <c r="F22" s="37" t="str" cm="1">
        <f t="array" ref="F22">Common_InputFunctions.Utility_DisplayArrayInTable(SourceData_PastureBeef.SourceData_PastureBeef_Liveweight_Data(), Table_SourceData_PastureBeef_Liveweight[[#Headers],[State]], 0)</f>
        <v>Winter</v>
      </c>
      <c r="G22" s="37" cm="1">
        <f t="array" ref="G22">Common_InputFunctions.Utility_DisplayArrayInTable(SourceData_PastureBeef.SourceData_PastureBeef_Liveweight_Data(), Table_SourceData_PastureBeef_Liveweight[[#Headers],[State]], 0)</f>
        <v>280</v>
      </c>
      <c r="H22" s="37" cm="1">
        <f t="array" ref="H22">Common_InputFunctions.Utility_DisplayArrayInTable(SourceData_PastureBeef.SourceData_PastureBeef_Liveweight_Data(), Table_SourceData_PastureBeef_Liveweight[[#Headers],[State]], 0)</f>
        <v>560</v>
      </c>
      <c r="I22" s="37" cm="1">
        <f t="array" ref="I22">Common_InputFunctions.Utility_DisplayArrayInTable(SourceData_PastureBeef.SourceData_PastureBeef_Liveweight_Data(), Table_SourceData_PastureBeef_Liveweight[[#Headers],[State]], 0)</f>
        <v>260</v>
      </c>
      <c r="J22" s="37" cm="1">
        <f t="array" ref="J22">Common_InputFunctions.Utility_DisplayArrayInTable(SourceData_PastureBeef.SourceData_PastureBeef_Liveweight_Data(), Table_SourceData_PastureBeef_Liveweight[[#Headers],[State]], 0)</f>
        <v>410</v>
      </c>
      <c r="K22" s="37" cm="1">
        <f t="array" ref="K22">Common_InputFunctions.Utility_DisplayArrayInTable(SourceData_PastureBeef.SourceData_PastureBeef_Liveweight_Data(), Table_SourceData_PastureBeef_Liveweight[[#Headers],[State]], 0)</f>
        <v>500</v>
      </c>
      <c r="L22" s="37" cm="1">
        <f t="array" ref="L22">Common_InputFunctions.Utility_DisplayArrayInTable(SourceData_PastureBeef.SourceData_PastureBeef_Liveweight_Data(), Table_SourceData_PastureBeef_Liveweight[[#Headers],[State]], 0)</f>
        <v>260</v>
      </c>
      <c r="M22" s="37" cm="1">
        <f t="array" ref="M22">Common_InputFunctions.Utility_DisplayArrayInTable(SourceData_PastureBeef.SourceData_PastureBeef_Liveweight_Data(), Table_SourceData_PastureBeef_Liveweight[[#Headers],[State]], 0)</f>
        <v>460</v>
      </c>
      <c r="S22" s="37" t="s">
        <v>183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7" t="str" cm="1">
        <f t="array" ref="E23">Common_InputFunctions.Utility_DisplayArrayInTable(SourceData_PastureBeef.SourceData_PastureBeef_Liveweight_Data(), Table_SourceData_PastureBeef_Liveweight[[#Headers],[State]], 0)</f>
        <v>n/a</v>
      </c>
      <c r="F23" s="37" t="str" cm="1">
        <f t="array" ref="F23">Common_InputFunctions.Utility_DisplayArrayInTable(SourceData_PastureBeef.SourceData_PastureBeef_Liveweight_Data(), Table_SourceData_PastureBeef_Liveweight[[#Headers],[State]], 0)</f>
        <v>Spring</v>
      </c>
      <c r="G23" s="37" cm="1">
        <f t="array" ref="G23">Common_InputFunctions.Utility_DisplayArrayInTable(SourceData_PastureBeef.SourceData_PastureBeef_Liveweight_Data(), Table_SourceData_PastureBeef_Liveweight[[#Headers],[State]], 0)</f>
        <v>250</v>
      </c>
      <c r="H23" s="37" cm="1">
        <f t="array" ref="H23">Common_InputFunctions.Utility_DisplayArrayInTable(SourceData_PastureBeef.SourceData_PastureBeef_Liveweight_Data(), Table_SourceData_PastureBeef_Liveweight[[#Headers],[State]], 0)</f>
        <v>800</v>
      </c>
      <c r="I23" s="37" cm="1">
        <f t="array" ref="I23">Common_InputFunctions.Utility_DisplayArrayInTable(SourceData_PastureBeef.SourceData_PastureBeef_Liveweight_Data(), Table_SourceData_PastureBeef_Liveweight[[#Headers],[State]], 0)</f>
        <v>220</v>
      </c>
      <c r="J23" s="37" cm="1">
        <f t="array" ref="J23">Common_InputFunctions.Utility_DisplayArrayInTable(SourceData_PastureBeef.SourceData_PastureBeef_Liveweight_Data(), Table_SourceData_PastureBeef_Liveweight[[#Headers],[State]], 0)</f>
        <v>400</v>
      </c>
      <c r="K23" s="37" cm="1">
        <f t="array" ref="K23">Common_InputFunctions.Utility_DisplayArrayInTable(SourceData_PastureBeef.SourceData_PastureBeef_Liveweight_Data(), Table_SourceData_PastureBeef_Liveweight[[#Headers],[State]], 0)</f>
        <v>500</v>
      </c>
      <c r="L23" s="37" cm="1">
        <f t="array" ref="L23">Common_InputFunctions.Utility_DisplayArrayInTable(SourceData_PastureBeef.SourceData_PastureBeef_Liveweight_Data(), Table_SourceData_PastureBeef_Liveweight[[#Headers],[State]], 0)</f>
        <v>230</v>
      </c>
      <c r="M23" s="37" cm="1">
        <f t="array" ref="M23">Common_InputFunctions.Utility_DisplayArrayInTable(SourceData_PastureBeef.SourceData_PastureBeef_Liveweight_Data(), Table_SourceData_PastureBeef_Liveweight[[#Headers],[State]], 0)</f>
        <v>420</v>
      </c>
      <c r="S23" s="37" t="s">
        <v>202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7" t="str" cm="1">
        <f t="array" ref="E24">Common_InputFunctions.Utility_DisplayArrayInTable(SourceData_PastureBeef.SourceData_PastureBeef_Liveweight_Data(), Table_SourceData_PastureBeef_Liveweight[[#Headers],[State]], 0)</f>
        <v>n/a</v>
      </c>
      <c r="F24" s="37" t="str" cm="1">
        <f t="array" ref="F24">Common_InputFunctions.Utility_DisplayArrayInTable(SourceData_PastureBeef.SourceData_PastureBeef_Liveweight_Data(), Table_SourceData_PastureBeef_Liveweight[[#Headers],[State]], 0)</f>
        <v>Summer</v>
      </c>
      <c r="G24" s="37" cm="1">
        <f t="array" ref="G24">Common_InputFunctions.Utility_DisplayArrayInTable(SourceData_PastureBeef.SourceData_PastureBeef_Liveweight_Data(), Table_SourceData_PastureBeef_Liveweight[[#Headers],[State]], 0)</f>
        <v>320</v>
      </c>
      <c r="H24" s="37" cm="1">
        <f t="array" ref="H24">Common_InputFunctions.Utility_DisplayArrayInTable(SourceData_PastureBeef.SourceData_PastureBeef_Liveweight_Data(), Table_SourceData_PastureBeef_Liveweight[[#Headers],[State]], 0)</f>
        <v>800</v>
      </c>
      <c r="I24" s="37" cm="1">
        <f t="array" ref="I24">Common_InputFunctions.Utility_DisplayArrayInTable(SourceData_PastureBeef.SourceData_PastureBeef_Liveweight_Data(), Table_SourceData_PastureBeef_Liveweight[[#Headers],[State]], 0)</f>
        <v>280</v>
      </c>
      <c r="J24" s="37" cm="1">
        <f t="array" ref="J24">Common_InputFunctions.Utility_DisplayArrayInTable(SourceData_PastureBeef.SourceData_PastureBeef_Liveweight_Data(), Table_SourceData_PastureBeef_Liveweight[[#Headers],[State]], 0)</f>
        <v>420</v>
      </c>
      <c r="K24" s="37" cm="1">
        <f t="array" ref="K24">Common_InputFunctions.Utility_DisplayArrayInTable(SourceData_PastureBeef.SourceData_PastureBeef_Liveweight_Data(), Table_SourceData_PastureBeef_Liveweight[[#Headers],[State]], 0)</f>
        <v>500</v>
      </c>
      <c r="L24" s="37" cm="1">
        <f t="array" ref="L24">Common_InputFunctions.Utility_DisplayArrayInTable(SourceData_PastureBeef.SourceData_PastureBeef_Liveweight_Data(), Table_SourceData_PastureBeef_Liveweight[[#Headers],[State]], 0)</f>
        <v>290</v>
      </c>
      <c r="M24" s="37"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7" t="str" cm="1">
        <f t="array" ref="E25">Common_InputFunctions.Utility_DisplayArrayInTable(SourceData_PastureBeef.SourceData_PastureBeef_Liveweight_Data(), Table_SourceData_PastureBeef_Liveweight[[#Headers],[State]], 0)</f>
        <v>n/a</v>
      </c>
      <c r="F25" s="37" t="str" cm="1">
        <f t="array" ref="F25">Common_InputFunctions.Utility_DisplayArrayInTable(SourceData_PastureBeef.SourceData_PastureBeef_Liveweight_Data(), Table_SourceData_PastureBeef_Liveweight[[#Headers],[State]], 0)</f>
        <v>Autumn</v>
      </c>
      <c r="G25" s="37" cm="1">
        <f t="array" ref="G25">Common_InputFunctions.Utility_DisplayArrayInTable(SourceData_PastureBeef.SourceData_PastureBeef_Liveweight_Data(), Table_SourceData_PastureBeef_Liveweight[[#Headers],[State]], 0)</f>
        <v>80</v>
      </c>
      <c r="H25" s="37" cm="1">
        <f t="array" ref="H25">Common_InputFunctions.Utility_DisplayArrayInTable(SourceData_PastureBeef.SourceData_PastureBeef_Liveweight_Data(), Table_SourceData_PastureBeef_Liveweight[[#Headers],[State]], 0)</f>
        <v>700</v>
      </c>
      <c r="I25" s="37" cm="1">
        <f t="array" ref="I25">Common_InputFunctions.Utility_DisplayArrayInTable(SourceData_PastureBeef.SourceData_PastureBeef_Liveweight_Data(), Table_SourceData_PastureBeef_Liveweight[[#Headers],[State]], 0)</f>
        <v>70</v>
      </c>
      <c r="J25" s="37" cm="1">
        <f t="array" ref="J25">Common_InputFunctions.Utility_DisplayArrayInTable(SourceData_PastureBeef.SourceData_PastureBeef_Liveweight_Data(), Table_SourceData_PastureBeef_Liveweight[[#Headers],[State]], 0)</f>
        <v>300</v>
      </c>
      <c r="K25" s="37" cm="1">
        <f t="array" ref="K25">Common_InputFunctions.Utility_DisplayArrayInTable(SourceData_PastureBeef.SourceData_PastureBeef_Liveweight_Data(), Table_SourceData_PastureBeef_Liveweight[[#Headers],[State]], 0)</f>
        <v>450</v>
      </c>
      <c r="L25" s="37" cm="1">
        <f t="array" ref="L25">Common_InputFunctions.Utility_DisplayArrayInTable(SourceData_PastureBeef.SourceData_PastureBeef_Liveweight_Data(), Table_SourceData_PastureBeef_Liveweight[[#Headers],[State]], 0)</f>
        <v>75</v>
      </c>
      <c r="M25" s="37" cm="1">
        <f t="array" ref="M25">Common_InputFunctions.Utility_DisplayArrayInTable(SourceData_PastureBeef.SourceData_PastureBeef_Liveweight_Data(), Table_SourceData_PastureBeef_Liveweight[[#Headers],[State]], 0)</f>
        <v>400</v>
      </c>
      <c r="S25" s="1" t="s">
        <v>223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7" t="str" cm="1">
        <f t="array" ref="E26">Common_InputFunctions.Utility_DisplayArrayInTable(SourceData_PastureBeef.SourceData_PastureBeef_Liveweight_Data(), Table_SourceData_PastureBeef_Liveweight[[#Headers],[State]], 0)</f>
        <v>n/a</v>
      </c>
      <c r="F26" s="37" t="str" cm="1">
        <f t="array" ref="F26">Common_InputFunctions.Utility_DisplayArrayInTable(SourceData_PastureBeef.SourceData_PastureBeef_Liveweight_Data(), Table_SourceData_PastureBeef_Liveweight[[#Headers],[State]], 0)</f>
        <v>Winter</v>
      </c>
      <c r="G26" s="37" cm="1">
        <f t="array" ref="G26">Common_InputFunctions.Utility_DisplayArrayInTable(SourceData_PastureBeef.SourceData_PastureBeef_Liveweight_Data(), Table_SourceData_PastureBeef_Liveweight[[#Headers],[State]], 0)</f>
        <v>160</v>
      </c>
      <c r="H26" s="37" cm="1">
        <f t="array" ref="H26">Common_InputFunctions.Utility_DisplayArrayInTable(SourceData_PastureBeef.SourceData_PastureBeef_Liveweight_Data(), Table_SourceData_PastureBeef_Liveweight[[#Headers],[State]], 0)</f>
        <v>700</v>
      </c>
      <c r="I26" s="37" cm="1">
        <f t="array" ref="I26">Common_InputFunctions.Utility_DisplayArrayInTable(SourceData_PastureBeef.SourceData_PastureBeef_Liveweight_Data(), Table_SourceData_PastureBeef_Liveweight[[#Headers],[State]], 0)</f>
        <v>140</v>
      </c>
      <c r="J26" s="37" cm="1">
        <f t="array" ref="J26">Common_InputFunctions.Utility_DisplayArrayInTable(SourceData_PastureBeef.SourceData_PastureBeef_Liveweight_Data(), Table_SourceData_PastureBeef_Liveweight[[#Headers],[State]], 0)</f>
        <v>350</v>
      </c>
      <c r="K26" s="37" cm="1">
        <f t="array" ref="K26">Common_InputFunctions.Utility_DisplayArrayInTable(SourceData_PastureBeef.SourceData_PastureBeef_Liveweight_Data(), Table_SourceData_PastureBeef_Liveweight[[#Headers],[State]], 0)</f>
        <v>450</v>
      </c>
      <c r="L26" s="37" cm="1">
        <f t="array" ref="L26">Common_InputFunctions.Utility_DisplayArrayInTable(SourceData_PastureBeef.SourceData_PastureBeef_Liveweight_Data(), Table_SourceData_PastureBeef_Liveweight[[#Headers],[State]], 0)</f>
        <v>150</v>
      </c>
      <c r="M26" s="37"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7" t="str" cm="1">
        <f t="array" ref="E27">Common_InputFunctions.Utility_DisplayArrayInTable(SourceData_PastureBeef.SourceData_PastureBeef_Liveweight_Data(), Table_SourceData_PastureBeef_Liveweight[[#Headers],[State]], 0)</f>
        <v>n/a</v>
      </c>
      <c r="F27" s="37" t="str" cm="1">
        <f t="array" ref="F27">Common_InputFunctions.Utility_DisplayArrayInTable(SourceData_PastureBeef.SourceData_PastureBeef_Liveweight_Data(), Table_SourceData_PastureBeef_Liveweight[[#Headers],[State]], 0)</f>
        <v>Spring</v>
      </c>
      <c r="G27" s="37" cm="1">
        <f t="array" ref="G27">Common_InputFunctions.Utility_DisplayArrayInTable(SourceData_PastureBeef.SourceData_PastureBeef_Liveweight_Data(), Table_SourceData_PastureBeef_Liveweight[[#Headers],[State]], 0)</f>
        <v>105</v>
      </c>
      <c r="H27" s="37" cm="1">
        <f t="array" ref="H27">Common_InputFunctions.Utility_DisplayArrayInTable(SourceData_PastureBeef.SourceData_PastureBeef_Liveweight_Data(), Table_SourceData_PastureBeef_Liveweight[[#Headers],[State]], 0)</f>
        <v>700</v>
      </c>
      <c r="I27" s="37" cm="1">
        <f t="array" ref="I27">Common_InputFunctions.Utility_DisplayArrayInTable(SourceData_PastureBeef.SourceData_PastureBeef_Liveweight_Data(), Table_SourceData_PastureBeef_Liveweight[[#Headers],[State]], 0)</f>
        <v>85</v>
      </c>
      <c r="J27" s="37" cm="1">
        <f t="array" ref="J27">Common_InputFunctions.Utility_DisplayArrayInTable(SourceData_PastureBeef.SourceData_PastureBeef_Liveweight_Data(), Table_SourceData_PastureBeef_Liveweight[[#Headers],[State]], 0)</f>
        <v>300</v>
      </c>
      <c r="K27" s="37" cm="1">
        <f t="array" ref="K27">Common_InputFunctions.Utility_DisplayArrayInTable(SourceData_PastureBeef.SourceData_PastureBeef_Liveweight_Data(), Table_SourceData_PastureBeef_Liveweight[[#Headers],[State]], 0)</f>
        <v>490</v>
      </c>
      <c r="L27" s="37" cm="1">
        <f t="array" ref="L27">Common_InputFunctions.Utility_DisplayArrayInTable(SourceData_PastureBeef.SourceData_PastureBeef_Liveweight_Data(), Table_SourceData_PastureBeef_Liveweight[[#Headers],[State]], 0)</f>
        <v>90</v>
      </c>
      <c r="M27" s="37" cm="1">
        <f t="array" ref="M27">Common_InputFunctions.Utility_DisplayArrayInTable(SourceData_PastureBeef.SourceData_PastureBeef_Liveweight_Data(), Table_SourceData_PastureBeef_Liveweight[[#Headers],[State]], 0)</f>
        <v>480</v>
      </c>
      <c r="S27" s="37" t="s">
        <v>183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7" t="str" cm="1">
        <f t="array" ref="E28">Common_InputFunctions.Utility_DisplayArrayInTable(SourceData_PastureBeef.SourceData_PastureBeef_Liveweight_Data(), Table_SourceData_PastureBeef_Liveweight[[#Headers],[State]], 0)</f>
        <v>n/a</v>
      </c>
      <c r="F28" s="37" t="str" cm="1">
        <f t="array" ref="F28">Common_InputFunctions.Utility_DisplayArrayInTable(SourceData_PastureBeef.SourceData_PastureBeef_Liveweight_Data(), Table_SourceData_PastureBeef_Liveweight[[#Headers],[State]], 0)</f>
        <v>Summer</v>
      </c>
      <c r="G28" s="37" cm="1">
        <f t="array" ref="G28">Common_InputFunctions.Utility_DisplayArrayInTable(SourceData_PastureBeef.SourceData_PastureBeef_Liveweight_Data(), Table_SourceData_PastureBeef_Liveweight[[#Headers],[State]], 0)</f>
        <v>480</v>
      </c>
      <c r="H28" s="37" cm="1">
        <f t="array" ref="H28">Common_InputFunctions.Utility_DisplayArrayInTable(SourceData_PastureBeef.SourceData_PastureBeef_Liveweight_Data(), Table_SourceData_PastureBeef_Liveweight[[#Headers],[State]], 0)</f>
        <v>750</v>
      </c>
      <c r="I28" s="37" cm="1">
        <f t="array" ref="I28">Common_InputFunctions.Utility_DisplayArrayInTable(SourceData_PastureBeef.SourceData_PastureBeef_Liveweight_Data(), Table_SourceData_PastureBeef_Liveweight[[#Headers],[State]], 0)</f>
        <v>150</v>
      </c>
      <c r="J28" s="37" cm="1">
        <f t="array" ref="J28">Common_InputFunctions.Utility_DisplayArrayInTable(SourceData_PastureBeef.SourceData_PastureBeef_Liveweight_Data(), Table_SourceData_PastureBeef_Liveweight[[#Headers],[State]], 0)</f>
        <v>350</v>
      </c>
      <c r="K28" s="37" cm="1">
        <f t="array" ref="K28">Common_InputFunctions.Utility_DisplayArrayInTable(SourceData_PastureBeef.SourceData_PastureBeef_Liveweight_Data(), Table_SourceData_PastureBeef_Liveweight[[#Headers],[State]], 0)</f>
        <v>530</v>
      </c>
      <c r="L28" s="37" cm="1">
        <f t="array" ref="L28">Common_InputFunctions.Utility_DisplayArrayInTable(SourceData_PastureBeef.SourceData_PastureBeef_Liveweight_Data(), Table_SourceData_PastureBeef_Liveweight[[#Headers],[State]], 0)</f>
        <v>160</v>
      </c>
      <c r="M28" s="37" cm="1">
        <f t="array" ref="M28">Common_InputFunctions.Utility_DisplayArrayInTable(SourceData_PastureBeef.SourceData_PastureBeef_Liveweight_Data(), Table_SourceData_PastureBeef_Liveweight[[#Headers],[State]], 0)</f>
        <v>460</v>
      </c>
      <c r="S28" s="37" t="s">
        <v>202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7" t="str" cm="1">
        <f t="array" ref="E29">Common_InputFunctions.Utility_DisplayArrayInTable(SourceData_PastureBeef.SourceData_PastureBeef_Liveweight_Data(), Table_SourceData_PastureBeef_Liveweight[[#Headers],[State]], 0)</f>
        <v>n/a</v>
      </c>
      <c r="F29" s="37" t="str" cm="1">
        <f t="array" ref="F29">Common_InputFunctions.Utility_DisplayArrayInTable(SourceData_PastureBeef.SourceData_PastureBeef_Liveweight_Data(), Table_SourceData_PastureBeef_Liveweight[[#Headers],[State]], 0)</f>
        <v>Autumn</v>
      </c>
      <c r="G29" s="37" cm="1">
        <f t="array" ref="G29">Common_InputFunctions.Utility_DisplayArrayInTable(SourceData_PastureBeef.SourceData_PastureBeef_Liveweight_Data(), Table_SourceData_PastureBeef_Liveweight[[#Headers],[State]], 0)</f>
        <v>250</v>
      </c>
      <c r="H29" s="37" cm="1">
        <f t="array" ref="H29">Common_InputFunctions.Utility_DisplayArrayInTable(SourceData_PastureBeef.SourceData_PastureBeef_Liveweight_Data(), Table_SourceData_PastureBeef_Liveweight[[#Headers],[State]], 0)</f>
        <v>725</v>
      </c>
      <c r="I29" s="37" cm="1">
        <f t="array" ref="I29">Common_InputFunctions.Utility_DisplayArrayInTable(SourceData_PastureBeef.SourceData_PastureBeef_Liveweight_Data(), Table_SourceData_PastureBeef_Liveweight[[#Headers],[State]], 0)</f>
        <v>200</v>
      </c>
      <c r="J29" s="37" cm="1">
        <f t="array" ref="J29">Common_InputFunctions.Utility_DisplayArrayInTable(SourceData_PastureBeef.SourceData_PastureBeef_Liveweight_Data(), Table_SourceData_PastureBeef_Liveweight[[#Headers],[State]], 0)</f>
        <v>360</v>
      </c>
      <c r="K29" s="37" cm="1">
        <f t="array" ref="K29">Common_InputFunctions.Utility_DisplayArrayInTable(SourceData_PastureBeef.SourceData_PastureBeef_Liveweight_Data(), Table_SourceData_PastureBeef_Liveweight[[#Headers],[State]], 0)</f>
        <v>500</v>
      </c>
      <c r="L29" s="37" cm="1">
        <f t="array" ref="L29">Common_InputFunctions.Utility_DisplayArrayInTable(SourceData_PastureBeef.SourceData_PastureBeef_Liveweight_Data(), Table_SourceData_PastureBeef_Liveweight[[#Headers],[State]], 0)</f>
        <v>215</v>
      </c>
      <c r="M29" s="37"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7" t="str" cm="1">
        <f t="array" ref="E30">Common_InputFunctions.Utility_DisplayArrayInTable(SourceData_PastureBeef.SourceData_PastureBeef_Liveweight_Data(), Table_SourceData_PastureBeef_Liveweight[[#Headers],[State]], 0)</f>
        <v>n/a</v>
      </c>
      <c r="F30" s="37" t="str" cm="1">
        <f t="array" ref="F30">Common_InputFunctions.Utility_DisplayArrayInTable(SourceData_PastureBeef.SourceData_PastureBeef_Liveweight_Data(), Table_SourceData_PastureBeef_Liveweight[[#Headers],[State]], 0)</f>
        <v>Winter</v>
      </c>
      <c r="G30" s="37" cm="1">
        <f t="array" ref="G30">Common_InputFunctions.Utility_DisplayArrayInTable(SourceData_PastureBeef.SourceData_PastureBeef_Liveweight_Data(), Table_SourceData_PastureBeef_Liveweight[[#Headers],[State]], 0)</f>
        <v>260</v>
      </c>
      <c r="H30" s="37" cm="1">
        <f t="array" ref="H30">Common_InputFunctions.Utility_DisplayArrayInTable(SourceData_PastureBeef.SourceData_PastureBeef_Liveweight_Data(), Table_SourceData_PastureBeef_Liveweight[[#Headers],[State]], 0)</f>
        <v>700</v>
      </c>
      <c r="I30" s="37" cm="1">
        <f t="array" ref="I30">Common_InputFunctions.Utility_DisplayArrayInTable(SourceData_PastureBeef.SourceData_PastureBeef_Liveweight_Data(), Table_SourceData_PastureBeef_Liveweight[[#Headers],[State]], 0)</f>
        <v>210</v>
      </c>
      <c r="J30" s="37" cm="1">
        <f t="array" ref="J30">Common_InputFunctions.Utility_DisplayArrayInTable(SourceData_PastureBeef.SourceData_PastureBeef_Liveweight_Data(), Table_SourceData_PastureBeef_Liveweight[[#Headers],[State]], 0)</f>
        <v>380</v>
      </c>
      <c r="K30" s="37" cm="1">
        <f t="array" ref="K30">Common_InputFunctions.Utility_DisplayArrayInTable(SourceData_PastureBeef.SourceData_PastureBeef_Liveweight_Data(), Table_SourceData_PastureBeef_Liveweight[[#Headers],[State]], 0)</f>
        <v>460</v>
      </c>
      <c r="L30" s="37" cm="1">
        <f t="array" ref="L30">Common_InputFunctions.Utility_DisplayArrayInTable(SourceData_PastureBeef.SourceData_PastureBeef_Liveweight_Data(), Table_SourceData_PastureBeef_Liveweight[[#Headers],[State]], 0)</f>
        <v>230</v>
      </c>
      <c r="M30" s="37"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7" t="str" cm="1">
        <f t="array" ref="E31">Common_InputFunctions.Utility_DisplayArrayInTable(SourceData_PastureBeef.SourceData_PastureBeef_Liveweight_Data(), Table_SourceData_PastureBeef_Liveweight[[#Headers],[State]], 0)</f>
        <v>n/a</v>
      </c>
      <c r="F31" s="37" t="str" cm="1">
        <f t="array" ref="F31">Common_InputFunctions.Utility_DisplayArrayInTable(SourceData_PastureBeef.SourceData_PastureBeef_Liveweight_Data(), Table_SourceData_PastureBeef_Liveweight[[#Headers],[State]], 0)</f>
        <v>Spring</v>
      </c>
      <c r="G31" s="37" cm="1">
        <f t="array" ref="G31">Common_InputFunctions.Utility_DisplayArrayInTable(SourceData_PastureBeef.SourceData_PastureBeef_Liveweight_Data(), Table_SourceData_PastureBeef_Liveweight[[#Headers],[State]], 0)</f>
        <v>250</v>
      </c>
      <c r="H31" s="37" cm="1">
        <f t="array" ref="H31">Common_InputFunctions.Utility_DisplayArrayInTable(SourceData_PastureBeef.SourceData_PastureBeef_Liveweight_Data(), Table_SourceData_PastureBeef_Liveweight[[#Headers],[State]], 0)</f>
        <v>820</v>
      </c>
      <c r="I31" s="37" cm="1">
        <f t="array" ref="I31">Common_InputFunctions.Utility_DisplayArrayInTable(SourceData_PastureBeef.SourceData_PastureBeef_Liveweight_Data(), Table_SourceData_PastureBeef_Liveweight[[#Headers],[State]], 0)</f>
        <v>240</v>
      </c>
      <c r="J31" s="37" cm="1">
        <f t="array" ref="J31">Common_InputFunctions.Utility_DisplayArrayInTable(SourceData_PastureBeef.SourceData_PastureBeef_Liveweight_Data(), Table_SourceData_PastureBeef_Liveweight[[#Headers],[State]], 0)</f>
        <v>410</v>
      </c>
      <c r="K31" s="37" cm="1">
        <f t="array" ref="K31">Common_InputFunctions.Utility_DisplayArrayInTable(SourceData_PastureBeef.SourceData_PastureBeef_Liveweight_Data(), Table_SourceData_PastureBeef_Liveweight[[#Headers],[State]], 0)</f>
        <v>560</v>
      </c>
      <c r="L31" s="37" cm="1">
        <f t="array" ref="L31">Common_InputFunctions.Utility_DisplayArrayInTable(SourceData_PastureBeef.SourceData_PastureBeef_Liveweight_Data(), Table_SourceData_PastureBeef_Liveweight[[#Headers],[State]], 0)</f>
        <v>240</v>
      </c>
      <c r="M31" s="37"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7" t="str" cm="1">
        <f t="array" ref="E32">Common_InputFunctions.Utility_DisplayArrayInTable(SourceData_PastureBeef.SourceData_PastureBeef_Liveweight_Data(), Table_SourceData_PastureBeef_Liveweight[[#Headers],[State]], 0)</f>
        <v>n/a</v>
      </c>
      <c r="F32" s="37" t="str" cm="1">
        <f t="array" ref="F32">Common_InputFunctions.Utility_DisplayArrayInTable(SourceData_PastureBeef.SourceData_PastureBeef_Liveweight_Data(), Table_SourceData_PastureBeef_Liveweight[[#Headers],[State]], 0)</f>
        <v>Summer</v>
      </c>
      <c r="G32" s="37" cm="1">
        <f t="array" ref="G32">Common_InputFunctions.Utility_DisplayArrayInTable(SourceData_PastureBeef.SourceData_PastureBeef_Liveweight_Data(), Table_SourceData_PastureBeef_Liveweight[[#Headers],[State]], 0)</f>
        <v>280</v>
      </c>
      <c r="H32" s="37" cm="1">
        <f t="array" ref="H32">Common_InputFunctions.Utility_DisplayArrayInTable(SourceData_PastureBeef.SourceData_PastureBeef_Liveweight_Data(), Table_SourceData_PastureBeef_Liveweight[[#Headers],[State]], 0)</f>
        <v>850</v>
      </c>
      <c r="I32" s="37" cm="1">
        <f t="array" ref="I32">Common_InputFunctions.Utility_DisplayArrayInTable(SourceData_PastureBeef.SourceData_PastureBeef_Liveweight_Data(), Table_SourceData_PastureBeef_Liveweight[[#Headers],[State]], 0)</f>
        <v>260</v>
      </c>
      <c r="J32" s="37" cm="1">
        <f t="array" ref="J32">Common_InputFunctions.Utility_DisplayArrayInTable(SourceData_PastureBeef.SourceData_PastureBeef_Liveweight_Data(), Table_SourceData_PastureBeef_Liveweight[[#Headers],[State]], 0)</f>
        <v>440</v>
      </c>
      <c r="K32" s="37" cm="1">
        <f t="array" ref="K32">Common_InputFunctions.Utility_DisplayArrayInTable(SourceData_PastureBeef.SourceData_PastureBeef_Liveweight_Data(), Table_SourceData_PastureBeef_Liveweight[[#Headers],[State]], 0)</f>
        <v>550</v>
      </c>
      <c r="L32" s="37" cm="1">
        <f t="array" ref="L32">Common_InputFunctions.Utility_DisplayArrayInTable(SourceData_PastureBeef.SourceData_PastureBeef_Liveweight_Data(), Table_SourceData_PastureBeef_Liveweight[[#Headers],[State]], 0)</f>
        <v>270</v>
      </c>
      <c r="M32" s="37"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7" t="str" cm="1">
        <f t="array" ref="E33">Common_InputFunctions.Utility_DisplayArrayInTable(SourceData_PastureBeef.SourceData_PastureBeef_Liveweight_Data(), Table_SourceData_PastureBeef_Liveweight[[#Headers],[State]], 0)</f>
        <v>n/a</v>
      </c>
      <c r="F33" s="37" t="str" cm="1">
        <f t="array" ref="F33">Common_InputFunctions.Utility_DisplayArrayInTable(SourceData_PastureBeef.SourceData_PastureBeef_Liveweight_Data(), Table_SourceData_PastureBeef_Liveweight[[#Headers],[State]], 0)</f>
        <v>Autumn</v>
      </c>
      <c r="G33" s="37" cm="1">
        <f t="array" ref="G33">Common_InputFunctions.Utility_DisplayArrayInTable(SourceData_PastureBeef.SourceData_PastureBeef_Liveweight_Data(), Table_SourceData_PastureBeef_Liveweight[[#Headers],[State]], 0)</f>
        <v>100</v>
      </c>
      <c r="H33" s="37" cm="1">
        <f t="array" ref="H33">Common_InputFunctions.Utility_DisplayArrayInTable(SourceData_PastureBeef.SourceData_PastureBeef_Liveweight_Data(), Table_SourceData_PastureBeef_Liveweight[[#Headers],[State]], 0)</f>
        <v>700</v>
      </c>
      <c r="I33" s="37" cm="1">
        <f t="array" ref="I33">Common_InputFunctions.Utility_DisplayArrayInTable(SourceData_PastureBeef.SourceData_PastureBeef_Liveweight_Data(), Table_SourceData_PastureBeef_Liveweight[[#Headers],[State]], 0)</f>
        <v>95</v>
      </c>
      <c r="J33" s="37" cm="1">
        <f t="array" ref="J33">Common_InputFunctions.Utility_DisplayArrayInTable(SourceData_PastureBeef.SourceData_PastureBeef_Liveweight_Data(), Table_SourceData_PastureBeef_Liveweight[[#Headers],[State]], 0)</f>
        <v>300</v>
      </c>
      <c r="K33" s="37" cm="1">
        <f t="array" ref="K33">Common_InputFunctions.Utility_DisplayArrayInTable(SourceData_PastureBeef.SourceData_PastureBeef_Liveweight_Data(), Table_SourceData_PastureBeef_Liveweight[[#Headers],[State]], 0)</f>
        <v>450</v>
      </c>
      <c r="L33" s="37" cm="1">
        <f t="array" ref="L33">Common_InputFunctions.Utility_DisplayArrayInTable(SourceData_PastureBeef.SourceData_PastureBeef_Liveweight_Data(), Table_SourceData_PastureBeef_Liveweight[[#Headers],[State]], 0)</f>
        <v>95</v>
      </c>
      <c r="M33" s="37"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7" t="str" cm="1">
        <f t="array" ref="E34">Common_InputFunctions.Utility_DisplayArrayInTable(SourceData_PastureBeef.SourceData_PastureBeef_Liveweight_Data(), Table_SourceData_PastureBeef_Liveweight[[#Headers],[State]], 0)</f>
        <v>n/a</v>
      </c>
      <c r="F34" s="37" t="str" cm="1">
        <f t="array" ref="F34">Common_InputFunctions.Utility_DisplayArrayInTable(SourceData_PastureBeef.SourceData_PastureBeef_Liveweight_Data(), Table_SourceData_PastureBeef_Liveweight[[#Headers],[State]], 0)</f>
        <v>Winter</v>
      </c>
      <c r="G34" s="37" cm="1">
        <f t="array" ref="G34">Common_InputFunctions.Utility_DisplayArrayInTable(SourceData_PastureBeef.SourceData_PastureBeef_Liveweight_Data(), Table_SourceData_PastureBeef_Liveweight[[#Headers],[State]], 0)</f>
        <v>150</v>
      </c>
      <c r="H34" s="37" cm="1">
        <f t="array" ref="H34">Common_InputFunctions.Utility_DisplayArrayInTable(SourceData_PastureBeef.SourceData_PastureBeef_Liveweight_Data(), Table_SourceData_PastureBeef_Liveweight[[#Headers],[State]], 0)</f>
        <v>720</v>
      </c>
      <c r="I34" s="37" cm="1">
        <f t="array" ref="I34">Common_InputFunctions.Utility_DisplayArrayInTable(SourceData_PastureBeef.SourceData_PastureBeef_Liveweight_Data(), Table_SourceData_PastureBeef_Liveweight[[#Headers],[State]], 0)</f>
        <v>140</v>
      </c>
      <c r="J34" s="37" cm="1">
        <f t="array" ref="J34">Common_InputFunctions.Utility_DisplayArrayInTable(SourceData_PastureBeef.SourceData_PastureBeef_Liveweight_Data(), Table_SourceData_PastureBeef_Liveweight[[#Headers],[State]], 0)</f>
        <v>320</v>
      </c>
      <c r="K34" s="37" cm="1">
        <f t="array" ref="K34">Common_InputFunctions.Utility_DisplayArrayInTable(SourceData_PastureBeef.SourceData_PastureBeef_Liveweight_Data(), Table_SourceData_PastureBeef_Liveweight[[#Headers],[State]], 0)</f>
        <v>470</v>
      </c>
      <c r="L34" s="37" cm="1">
        <f t="array" ref="L34">Common_InputFunctions.Utility_DisplayArrayInTable(SourceData_PastureBeef.SourceData_PastureBeef_Liveweight_Data(), Table_SourceData_PastureBeef_Liveweight[[#Headers],[State]], 0)</f>
        <v>140</v>
      </c>
      <c r="M34" s="37"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7" t="str" cm="1">
        <f t="array" ref="E35">Common_InputFunctions.Utility_DisplayArrayInTable(SourceData_PastureBeef.SourceData_PastureBeef_Liveweight_Data(), Table_SourceData_PastureBeef_Liveweight[[#Headers],[State]], 0)</f>
        <v>South West</v>
      </c>
      <c r="F35" s="37" t="str" cm="1">
        <f t="array" ref="F35">Common_InputFunctions.Utility_DisplayArrayInTable(SourceData_PastureBeef.SourceData_PastureBeef_Liveweight_Data(), Table_SourceData_PastureBeef_Liveweight[[#Headers],[State]], 0)</f>
        <v>Spring</v>
      </c>
      <c r="G35" s="37" cm="1">
        <f t="array" ref="G35">Common_InputFunctions.Utility_DisplayArrayInTable(SourceData_PastureBeef.SourceData_PastureBeef_Liveweight_Data(), Table_SourceData_PastureBeef_Liveweight[[#Headers],[State]], 0)</f>
        <v>340</v>
      </c>
      <c r="H35" s="37" cm="1">
        <f t="array" ref="H35">Common_InputFunctions.Utility_DisplayArrayInTable(SourceData_PastureBeef.SourceData_PastureBeef_Liveweight_Data(), Table_SourceData_PastureBeef_Liveweight[[#Headers],[State]], 0)</f>
        <v>800</v>
      </c>
      <c r="I35" s="37" cm="1">
        <f t="array" ref="I35">Common_InputFunctions.Utility_DisplayArrayInTable(SourceData_PastureBeef.SourceData_PastureBeef_Liveweight_Data(), Table_SourceData_PastureBeef_Liveweight[[#Headers],[State]], 0)</f>
        <v>260</v>
      </c>
      <c r="J35" s="37" cm="1">
        <f t="array" ref="J35">Common_InputFunctions.Utility_DisplayArrayInTable(SourceData_PastureBeef.SourceData_PastureBeef_Liveweight_Data(), Table_SourceData_PastureBeef_Liveweight[[#Headers],[State]], 0)</f>
        <v>420</v>
      </c>
      <c r="K35" s="37" cm="1">
        <f t="array" ref="K35">Common_InputFunctions.Utility_DisplayArrayInTable(SourceData_PastureBeef.SourceData_PastureBeef_Liveweight_Data(), Table_SourceData_PastureBeef_Liveweight[[#Headers],[State]], 0)</f>
        <v>550</v>
      </c>
      <c r="L35" s="37" cm="1">
        <f t="array" ref="L35">Common_InputFunctions.Utility_DisplayArrayInTable(SourceData_PastureBeef.SourceData_PastureBeef_Liveweight_Data(), Table_SourceData_PastureBeef_Liveweight[[#Headers],[State]], 0)</f>
        <v>300</v>
      </c>
      <c r="M35" s="37"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7" t="str" cm="1">
        <f t="array" ref="E36">Common_InputFunctions.Utility_DisplayArrayInTable(SourceData_PastureBeef.SourceData_PastureBeef_Liveweight_Data(), Table_SourceData_PastureBeef_Liveweight[[#Headers],[State]], 0)</f>
        <v>South West</v>
      </c>
      <c r="F36" s="37" t="str" cm="1">
        <f t="array" ref="F36">Common_InputFunctions.Utility_DisplayArrayInTable(SourceData_PastureBeef.SourceData_PastureBeef_Liveweight_Data(), Table_SourceData_PastureBeef_Liveweight[[#Headers],[State]], 0)</f>
        <v>Summer</v>
      </c>
      <c r="G36" s="37" cm="1">
        <f t="array" ref="G36">Common_InputFunctions.Utility_DisplayArrayInTable(SourceData_PastureBeef.SourceData_PastureBeef_Liveweight_Data(), Table_SourceData_PastureBeef_Liveweight[[#Headers],[State]], 0)</f>
        <v>380</v>
      </c>
      <c r="H36" s="37" cm="1">
        <f t="array" ref="H36">Common_InputFunctions.Utility_DisplayArrayInTable(SourceData_PastureBeef.SourceData_PastureBeef_Liveweight_Data(), Table_SourceData_PastureBeef_Liveweight[[#Headers],[State]], 0)</f>
        <v>780</v>
      </c>
      <c r="I36" s="37" cm="1">
        <f t="array" ref="I36">Common_InputFunctions.Utility_DisplayArrayInTable(SourceData_PastureBeef.SourceData_PastureBeef_Liveweight_Data(), Table_SourceData_PastureBeef_Liveweight[[#Headers],[State]], 0)</f>
        <v>300</v>
      </c>
      <c r="J36" s="37" cm="1">
        <f t="array" ref="J36">Common_InputFunctions.Utility_DisplayArrayInTable(SourceData_PastureBeef.SourceData_PastureBeef_Liveweight_Data(), Table_SourceData_PastureBeef_Liveweight[[#Headers],[State]], 0)</f>
        <v>450</v>
      </c>
      <c r="K36" s="37" cm="1">
        <f t="array" ref="K36">Common_InputFunctions.Utility_DisplayArrayInTable(SourceData_PastureBeef.SourceData_PastureBeef_Liveweight_Data(), Table_SourceData_PastureBeef_Liveweight[[#Headers],[State]], 0)</f>
        <v>530</v>
      </c>
      <c r="L36" s="37" cm="1">
        <f t="array" ref="L36">Common_InputFunctions.Utility_DisplayArrayInTable(SourceData_PastureBeef.SourceData_PastureBeef_Liveweight_Data(), Table_SourceData_PastureBeef_Liveweight[[#Headers],[State]], 0)</f>
        <v>340</v>
      </c>
      <c r="M36" s="37"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7" t="str" cm="1">
        <f t="array" ref="E37">Common_InputFunctions.Utility_DisplayArrayInTable(SourceData_PastureBeef.SourceData_PastureBeef_Liveweight_Data(), Table_SourceData_PastureBeef_Liveweight[[#Headers],[State]], 0)</f>
        <v>South West</v>
      </c>
      <c r="F37" s="37" t="str" cm="1">
        <f t="array" ref="F37">Common_InputFunctions.Utility_DisplayArrayInTable(SourceData_PastureBeef.SourceData_PastureBeef_Liveweight_Data(), Table_SourceData_PastureBeef_Liveweight[[#Headers],[State]], 0)</f>
        <v>Autumn</v>
      </c>
      <c r="G37" s="37" cm="1">
        <f t="array" ref="G37">Common_InputFunctions.Utility_DisplayArrayInTable(SourceData_PastureBeef.SourceData_PastureBeef_Liveweight_Data(), Table_SourceData_PastureBeef_Liveweight[[#Headers],[State]], 0)</f>
        <v>100</v>
      </c>
      <c r="H37" s="37" cm="1">
        <f t="array" ref="H37">Common_InputFunctions.Utility_DisplayArrayInTable(SourceData_PastureBeef.SourceData_PastureBeef_Liveweight_Data(), Table_SourceData_PastureBeef_Liveweight[[#Headers],[State]], 0)</f>
        <v>680</v>
      </c>
      <c r="I37" s="37" cm="1">
        <f t="array" ref="I37">Common_InputFunctions.Utility_DisplayArrayInTable(SourceData_PastureBeef.SourceData_PastureBeef_Liveweight_Data(), Table_SourceData_PastureBeef_Liveweight[[#Headers],[State]], 0)</f>
        <v>80</v>
      </c>
      <c r="J37" s="37" cm="1">
        <f t="array" ref="J37">Common_InputFunctions.Utility_DisplayArrayInTable(SourceData_PastureBeef.SourceData_PastureBeef_Liveweight_Data(), Table_SourceData_PastureBeef_Liveweight[[#Headers],[State]], 0)</f>
        <v>320</v>
      </c>
      <c r="K37" s="37" cm="1">
        <f t="array" ref="K37">Common_InputFunctions.Utility_DisplayArrayInTable(SourceData_PastureBeef.SourceData_PastureBeef_Liveweight_Data(), Table_SourceData_PastureBeef_Liveweight[[#Headers],[State]], 0)</f>
        <v>480</v>
      </c>
      <c r="L37" s="37" cm="1">
        <f t="array" ref="L37">Common_InputFunctions.Utility_DisplayArrayInTable(SourceData_PastureBeef.SourceData_PastureBeef_Liveweight_Data(), Table_SourceData_PastureBeef_Liveweight[[#Headers],[State]], 0)</f>
        <v>100</v>
      </c>
      <c r="M37" s="37"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7" t="str" cm="1">
        <f t="array" ref="E38">Common_InputFunctions.Utility_DisplayArrayInTable(SourceData_PastureBeef.SourceData_PastureBeef_Liveweight_Data(), Table_SourceData_PastureBeef_Liveweight[[#Headers],[State]], 0)</f>
        <v>South West</v>
      </c>
      <c r="F38" s="37" t="str" cm="1">
        <f t="array" ref="F38">Common_InputFunctions.Utility_DisplayArrayInTable(SourceData_PastureBeef.SourceData_PastureBeef_Liveweight_Data(), Table_SourceData_PastureBeef_Liveweight[[#Headers],[State]], 0)</f>
        <v>Winter</v>
      </c>
      <c r="G38" s="37" cm="1">
        <f t="array" ref="G38">Common_InputFunctions.Utility_DisplayArrayInTable(SourceData_PastureBeef.SourceData_PastureBeef_Liveweight_Data(), Table_SourceData_PastureBeef_Liveweight[[#Headers],[State]], 0)</f>
        <v>190</v>
      </c>
      <c r="H38" s="37" cm="1">
        <f t="array" ref="H38">Common_InputFunctions.Utility_DisplayArrayInTable(SourceData_PastureBeef.SourceData_PastureBeef_Liveweight_Data(), Table_SourceData_PastureBeef_Liveweight[[#Headers],[State]], 0)</f>
        <v>700</v>
      </c>
      <c r="I38" s="37" cm="1">
        <f t="array" ref="I38">Common_InputFunctions.Utility_DisplayArrayInTable(SourceData_PastureBeef.SourceData_PastureBeef_Liveweight_Data(), Table_SourceData_PastureBeef_Liveweight[[#Headers],[State]], 0)</f>
        <v>150</v>
      </c>
      <c r="J38" s="37" cm="1">
        <f t="array" ref="J38">Common_InputFunctions.Utility_DisplayArrayInTable(SourceData_PastureBeef.SourceData_PastureBeef_Liveweight_Data(), Table_SourceData_PastureBeef_Liveweight[[#Headers],[State]], 0)</f>
        <v>330</v>
      </c>
      <c r="K38" s="37" cm="1">
        <f t="array" ref="K38">Common_InputFunctions.Utility_DisplayArrayInTable(SourceData_PastureBeef.SourceData_PastureBeef_Liveweight_Data(), Table_SourceData_PastureBeef_Liveweight[[#Headers],[State]], 0)</f>
        <v>490</v>
      </c>
      <c r="L38" s="37" cm="1">
        <f t="array" ref="L38">Common_InputFunctions.Utility_DisplayArrayInTable(SourceData_PastureBeef.SourceData_PastureBeef_Liveweight_Data(), Table_SourceData_PastureBeef_Liveweight[[#Headers],[State]], 0)</f>
        <v>170</v>
      </c>
      <c r="M38" s="37"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7" t="str" cm="1">
        <f t="array" ref="E39">Common_InputFunctions.Utility_DisplayArrayInTable(SourceData_PastureBeef.SourceData_PastureBeef_Liveweight_Data(), Table_SourceData_PastureBeef_Liveweight[[#Headers],[State]], 0)</f>
        <v>Pilbara</v>
      </c>
      <c r="F39" s="37" t="str" cm="1">
        <f t="array" ref="F39">Common_InputFunctions.Utility_DisplayArrayInTable(SourceData_PastureBeef.SourceData_PastureBeef_Liveweight_Data(), Table_SourceData_PastureBeef_Liveweight[[#Headers],[State]], 0)</f>
        <v>Spring</v>
      </c>
      <c r="G39" s="37" cm="1">
        <f t="array" ref="G39">Common_InputFunctions.Utility_DisplayArrayInTable(SourceData_PastureBeef.SourceData_PastureBeef_Liveweight_Data(), Table_SourceData_PastureBeef_Liveweight[[#Headers],[State]], 0)</f>
        <v>80</v>
      </c>
      <c r="H39" s="37" cm="1">
        <f t="array" ref="H39">Common_InputFunctions.Utility_DisplayArrayInTable(SourceData_PastureBeef.SourceData_PastureBeef_Liveweight_Data(), Table_SourceData_PastureBeef_Liveweight[[#Headers],[State]], 0)</f>
        <v>450</v>
      </c>
      <c r="I39" s="37" cm="1">
        <f t="array" ref="I39">Common_InputFunctions.Utility_DisplayArrayInTable(SourceData_PastureBeef.SourceData_PastureBeef_Liveweight_Data(), Table_SourceData_PastureBeef_Liveweight[[#Headers],[State]], 0)</f>
        <v>70</v>
      </c>
      <c r="J39" s="37" cm="1">
        <f t="array" ref="J39">Common_InputFunctions.Utility_DisplayArrayInTable(SourceData_PastureBeef.SourceData_PastureBeef_Liveweight_Data(), Table_SourceData_PastureBeef_Liveweight[[#Headers],[State]], 0)</f>
        <v>260</v>
      </c>
      <c r="K39" s="37" cm="1">
        <f t="array" ref="K39">Common_InputFunctions.Utility_DisplayArrayInTable(SourceData_PastureBeef.SourceData_PastureBeef_Liveweight_Data(), Table_SourceData_PastureBeef_Liveweight[[#Headers],[State]], 0)</f>
        <v>340</v>
      </c>
      <c r="L39" s="37" cm="1">
        <f t="array" ref="L39">Common_InputFunctions.Utility_DisplayArrayInTable(SourceData_PastureBeef.SourceData_PastureBeef_Liveweight_Data(), Table_SourceData_PastureBeef_Liveweight[[#Headers],[State]], 0)</f>
        <v>80</v>
      </c>
      <c r="M39" s="37"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7" t="str" cm="1">
        <f t="array" ref="E40">Common_InputFunctions.Utility_DisplayArrayInTable(SourceData_PastureBeef.SourceData_PastureBeef_Liveweight_Data(), Table_SourceData_PastureBeef_Liveweight[[#Headers],[State]], 0)</f>
        <v>Pilbara</v>
      </c>
      <c r="F40" s="37" t="str" cm="1">
        <f t="array" ref="F40">Common_InputFunctions.Utility_DisplayArrayInTable(SourceData_PastureBeef.SourceData_PastureBeef_Liveweight_Data(), Table_SourceData_PastureBeef_Liveweight[[#Headers],[State]], 0)</f>
        <v>Summer</v>
      </c>
      <c r="G40" s="37" cm="1">
        <f t="array" ref="G40">Common_InputFunctions.Utility_DisplayArrayInTable(SourceData_PastureBeef.SourceData_PastureBeef_Liveweight_Data(), Table_SourceData_PastureBeef_Liveweight[[#Headers],[State]], 0)</f>
        <v>150</v>
      </c>
      <c r="H40" s="37" cm="1">
        <f t="array" ref="H40">Common_InputFunctions.Utility_DisplayArrayInTable(SourceData_PastureBeef.SourceData_PastureBeef_Liveweight_Data(), Table_SourceData_PastureBeef_Liveweight[[#Headers],[State]], 0)</f>
        <v>500</v>
      </c>
      <c r="I40" s="37" cm="1">
        <f t="array" ref="I40">Common_InputFunctions.Utility_DisplayArrayInTable(SourceData_PastureBeef.SourceData_PastureBeef_Liveweight_Data(), Table_SourceData_PastureBeef_Liveweight[[#Headers],[State]], 0)</f>
        <v>140</v>
      </c>
      <c r="J40" s="37" cm="1">
        <f t="array" ref="J40">Common_InputFunctions.Utility_DisplayArrayInTable(SourceData_PastureBeef.SourceData_PastureBeef_Liveweight_Data(), Table_SourceData_PastureBeef_Liveweight[[#Headers],[State]], 0)</f>
        <v>310</v>
      </c>
      <c r="K40" s="37" cm="1">
        <f t="array" ref="K40">Common_InputFunctions.Utility_DisplayArrayInTable(SourceData_PastureBeef.SourceData_PastureBeef_Liveweight_Data(), Table_SourceData_PastureBeef_Liveweight[[#Headers],[State]], 0)</f>
        <v>360</v>
      </c>
      <c r="L40" s="37" cm="1">
        <f t="array" ref="L40">Common_InputFunctions.Utility_DisplayArrayInTable(SourceData_PastureBeef.SourceData_PastureBeef_Liveweight_Data(), Table_SourceData_PastureBeef_Liveweight[[#Headers],[State]], 0)</f>
        <v>150</v>
      </c>
      <c r="M40" s="37"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7" t="str" cm="1">
        <f t="array" ref="E41">Common_InputFunctions.Utility_DisplayArrayInTable(SourceData_PastureBeef.SourceData_PastureBeef_Liveweight_Data(), Table_SourceData_PastureBeef_Liveweight[[#Headers],[State]], 0)</f>
        <v>Pilbara</v>
      </c>
      <c r="F41" s="37" t="str" cm="1">
        <f t="array" ref="F41">Common_InputFunctions.Utility_DisplayArrayInTable(SourceData_PastureBeef.SourceData_PastureBeef_Liveweight_Data(), Table_SourceData_PastureBeef_Liveweight[[#Headers],[State]], 0)</f>
        <v>Autumn</v>
      </c>
      <c r="G41" s="37" cm="1">
        <f t="array" ref="G41">Common_InputFunctions.Utility_DisplayArrayInTable(SourceData_PastureBeef.SourceData_PastureBeef_Liveweight_Data(), Table_SourceData_PastureBeef_Liveweight[[#Headers],[State]], 0)</f>
        <v>230</v>
      </c>
      <c r="H41" s="37" cm="1">
        <f t="array" ref="H41">Common_InputFunctions.Utility_DisplayArrayInTable(SourceData_PastureBeef.SourceData_PastureBeef_Liveweight_Data(), Table_SourceData_PastureBeef_Liveweight[[#Headers],[State]], 0)</f>
        <v>550</v>
      </c>
      <c r="I41" s="37" cm="1">
        <f t="array" ref="I41">Common_InputFunctions.Utility_DisplayArrayInTable(SourceData_PastureBeef.SourceData_PastureBeef_Liveweight_Data(), Table_SourceData_PastureBeef_Liveweight[[#Headers],[State]], 0)</f>
        <v>220</v>
      </c>
      <c r="J41" s="37" cm="1">
        <f t="array" ref="J41">Common_InputFunctions.Utility_DisplayArrayInTable(SourceData_PastureBeef.SourceData_PastureBeef_Liveweight_Data(), Table_SourceData_PastureBeef_Liveweight[[#Headers],[State]], 0)</f>
        <v>330</v>
      </c>
      <c r="K41" s="37" cm="1">
        <f t="array" ref="K41">Common_InputFunctions.Utility_DisplayArrayInTable(SourceData_PastureBeef.SourceData_PastureBeef_Liveweight_Data(), Table_SourceData_PastureBeef_Liveweight[[#Headers],[State]], 0)</f>
        <v>380</v>
      </c>
      <c r="L41" s="37" cm="1">
        <f t="array" ref="L41">Common_InputFunctions.Utility_DisplayArrayInTable(SourceData_PastureBeef.SourceData_PastureBeef_Liveweight_Data(), Table_SourceData_PastureBeef_Liveweight[[#Headers],[State]], 0)</f>
        <v>230</v>
      </c>
      <c r="M41" s="37"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7" t="str" cm="1">
        <f t="array" ref="E42">Common_InputFunctions.Utility_DisplayArrayInTable(SourceData_PastureBeef.SourceData_PastureBeef_Liveweight_Data(), Table_SourceData_PastureBeef_Liveweight[[#Headers],[State]], 0)</f>
        <v>Pilbara</v>
      </c>
      <c r="F42" s="37" t="str" cm="1">
        <f t="array" ref="F42">Common_InputFunctions.Utility_DisplayArrayInTable(SourceData_PastureBeef.SourceData_PastureBeef_Liveweight_Data(), Table_SourceData_PastureBeef_Liveweight[[#Headers],[State]], 0)</f>
        <v>Winter</v>
      </c>
      <c r="G42" s="37" cm="1">
        <f t="array" ref="G42">Common_InputFunctions.Utility_DisplayArrayInTable(SourceData_PastureBeef.SourceData_PastureBeef_Liveweight_Data(), Table_SourceData_PastureBeef_Liveweight[[#Headers],[State]], 0)</f>
        <v>250</v>
      </c>
      <c r="H42" s="37" cm="1">
        <f t="array" ref="H42">Common_InputFunctions.Utility_DisplayArrayInTable(SourceData_PastureBeef.SourceData_PastureBeef_Liveweight_Data(), Table_SourceData_PastureBeef_Liveweight[[#Headers],[State]], 0)</f>
        <v>500</v>
      </c>
      <c r="I42" s="37" cm="1">
        <f t="array" ref="I42">Common_InputFunctions.Utility_DisplayArrayInTable(SourceData_PastureBeef.SourceData_PastureBeef_Liveweight_Data(), Table_SourceData_PastureBeef_Liveweight[[#Headers],[State]], 0)</f>
        <v>240</v>
      </c>
      <c r="J42" s="37" cm="1">
        <f t="array" ref="J42">Common_InputFunctions.Utility_DisplayArrayInTable(SourceData_PastureBeef.SourceData_PastureBeef_Liveweight_Data(), Table_SourceData_PastureBeef_Liveweight[[#Headers],[State]], 0)</f>
        <v>340</v>
      </c>
      <c r="K42" s="37" cm="1">
        <f t="array" ref="K42">Common_InputFunctions.Utility_DisplayArrayInTable(SourceData_PastureBeef.SourceData_PastureBeef_Liveweight_Data(), Table_SourceData_PastureBeef_Liveweight[[#Headers],[State]], 0)</f>
        <v>360</v>
      </c>
      <c r="L42" s="37" cm="1">
        <f t="array" ref="L42">Common_InputFunctions.Utility_DisplayArrayInTable(SourceData_PastureBeef.SourceData_PastureBeef_Liveweight_Data(), Table_SourceData_PastureBeef_Liveweight[[#Headers],[State]], 0)</f>
        <v>250</v>
      </c>
      <c r="M42" s="37"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7" t="str" cm="1">
        <f t="array" ref="E43">Common_InputFunctions.Utility_DisplayArrayInTable(SourceData_PastureBeef.SourceData_PastureBeef_Liveweight_Data(), Table_SourceData_PastureBeef_Liveweight[[#Headers],[State]], 0)</f>
        <v>Kimberley</v>
      </c>
      <c r="F43" s="37" t="str" cm="1">
        <f t="array" ref="F43">Common_InputFunctions.Utility_DisplayArrayInTable(SourceData_PastureBeef.SourceData_PastureBeef_Liveweight_Data(), Table_SourceData_PastureBeef_Liveweight[[#Headers],[State]], 0)</f>
        <v>Spring</v>
      </c>
      <c r="G43" s="37" cm="1">
        <f t="array" ref="G43">Common_InputFunctions.Utility_DisplayArrayInTable(SourceData_PastureBeef.SourceData_PastureBeef_Liveweight_Data(), Table_SourceData_PastureBeef_Liveweight[[#Headers],[State]], 0)</f>
        <v>220</v>
      </c>
      <c r="H43" s="37" cm="1">
        <f t="array" ref="H43">Common_InputFunctions.Utility_DisplayArrayInTable(SourceData_PastureBeef.SourceData_PastureBeef_Liveweight_Data(), Table_SourceData_PastureBeef_Liveweight[[#Headers],[State]], 0)</f>
        <v>500</v>
      </c>
      <c r="I43" s="37" cm="1">
        <f t="array" ref="I43">Common_InputFunctions.Utility_DisplayArrayInTable(SourceData_PastureBeef.SourceData_PastureBeef_Liveweight_Data(), Table_SourceData_PastureBeef_Liveweight[[#Headers],[State]], 0)</f>
        <v>180</v>
      </c>
      <c r="J43" s="37" cm="1">
        <f t="array" ref="J43">Common_InputFunctions.Utility_DisplayArrayInTable(SourceData_PastureBeef.SourceData_PastureBeef_Liveweight_Data(), Table_SourceData_PastureBeef_Liveweight[[#Headers],[State]], 0)</f>
        <v>300</v>
      </c>
      <c r="K43" s="37" cm="1">
        <f t="array" ref="K43">Common_InputFunctions.Utility_DisplayArrayInTable(SourceData_PastureBeef.SourceData_PastureBeef_Liveweight_Data(), Table_SourceData_PastureBeef_Liveweight[[#Headers],[State]], 0)</f>
        <v>320</v>
      </c>
      <c r="L43" s="37" cm="1">
        <f t="array" ref="L43">Common_InputFunctions.Utility_DisplayArrayInTable(SourceData_PastureBeef.SourceData_PastureBeef_Liveweight_Data(), Table_SourceData_PastureBeef_Liveweight[[#Headers],[State]], 0)</f>
        <v>210</v>
      </c>
      <c r="M43" s="37"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7" t="str" cm="1">
        <f t="array" ref="E44">Common_InputFunctions.Utility_DisplayArrayInTable(SourceData_PastureBeef.SourceData_PastureBeef_Liveweight_Data(), Table_SourceData_PastureBeef_Liveweight[[#Headers],[State]], 0)</f>
        <v>Kimberley</v>
      </c>
      <c r="F44" s="37" t="str" cm="1">
        <f t="array" ref="F44">Common_InputFunctions.Utility_DisplayArrayInTable(SourceData_PastureBeef.SourceData_PastureBeef_Liveweight_Data(), Table_SourceData_PastureBeef_Liveweight[[#Headers],[State]], 0)</f>
        <v>Summer</v>
      </c>
      <c r="G44" s="37" cm="1">
        <f t="array" ref="G44">Common_InputFunctions.Utility_DisplayArrayInTable(SourceData_PastureBeef.SourceData_PastureBeef_Liveweight_Data(), Table_SourceData_PastureBeef_Liveweight[[#Headers],[State]], 0)</f>
        <v>110</v>
      </c>
      <c r="H44" s="37" cm="1">
        <f t="array" ref="H44">Common_InputFunctions.Utility_DisplayArrayInTable(SourceData_PastureBeef.SourceData_PastureBeef_Liveweight_Data(), Table_SourceData_PastureBeef_Liveweight[[#Headers],[State]], 0)</f>
        <v>550</v>
      </c>
      <c r="I44" s="37" cm="1">
        <f t="array" ref="I44">Common_InputFunctions.Utility_DisplayArrayInTable(SourceData_PastureBeef.SourceData_PastureBeef_Liveweight_Data(), Table_SourceData_PastureBeef_Liveweight[[#Headers],[State]], 0)</f>
        <v>90</v>
      </c>
      <c r="J44" s="37" cm="1">
        <f t="array" ref="J44">Common_InputFunctions.Utility_DisplayArrayInTable(SourceData_PastureBeef.SourceData_PastureBeef_Liveweight_Data(), Table_SourceData_PastureBeef_Liveweight[[#Headers],[State]], 0)</f>
        <v>220</v>
      </c>
      <c r="K44" s="37" cm="1">
        <f t="array" ref="K44">Common_InputFunctions.Utility_DisplayArrayInTable(SourceData_PastureBeef.SourceData_PastureBeef_Liveweight_Data(), Table_SourceData_PastureBeef_Liveweight[[#Headers],[State]], 0)</f>
        <v>380</v>
      </c>
      <c r="L44" s="37" cm="1">
        <f t="array" ref="L44">Common_InputFunctions.Utility_DisplayArrayInTable(SourceData_PastureBeef.SourceData_PastureBeef_Liveweight_Data(), Table_SourceData_PastureBeef_Liveweight[[#Headers],[State]], 0)</f>
        <v>100</v>
      </c>
      <c r="M44" s="37"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7" t="str" cm="1">
        <f t="array" ref="E45">Common_InputFunctions.Utility_DisplayArrayInTable(SourceData_PastureBeef.SourceData_PastureBeef_Liveweight_Data(), Table_SourceData_PastureBeef_Liveweight[[#Headers],[State]], 0)</f>
        <v>Kimberley</v>
      </c>
      <c r="F45" s="37" t="str" cm="1">
        <f t="array" ref="F45">Common_InputFunctions.Utility_DisplayArrayInTable(SourceData_PastureBeef.SourceData_PastureBeef_Liveweight_Data(), Table_SourceData_PastureBeef_Liveweight[[#Headers],[State]], 0)</f>
        <v>Autumn</v>
      </c>
      <c r="G45" s="37" cm="1">
        <f t="array" ref="G45">Common_InputFunctions.Utility_DisplayArrayInTable(SourceData_PastureBeef.SourceData_PastureBeef_Liveweight_Data(), Table_SourceData_PastureBeef_Liveweight[[#Headers],[State]], 0)</f>
        <v>170</v>
      </c>
      <c r="H45" s="37" cm="1">
        <f t="array" ref="H45">Common_InputFunctions.Utility_DisplayArrayInTable(SourceData_PastureBeef.SourceData_PastureBeef_Liveweight_Data(), Table_SourceData_PastureBeef_Liveweight[[#Headers],[State]], 0)</f>
        <v>600</v>
      </c>
      <c r="I45" s="37" cm="1">
        <f t="array" ref="I45">Common_InputFunctions.Utility_DisplayArrayInTable(SourceData_PastureBeef.SourceData_PastureBeef_Liveweight_Data(), Table_SourceData_PastureBeef_Liveweight[[#Headers],[State]], 0)</f>
        <v>140</v>
      </c>
      <c r="J45" s="37" cm="1">
        <f t="array" ref="J45">Common_InputFunctions.Utility_DisplayArrayInTable(SourceData_PastureBeef.SourceData_PastureBeef_Liveweight_Data(), Table_SourceData_PastureBeef_Liveweight[[#Headers],[State]], 0)</f>
        <v>270</v>
      </c>
      <c r="K45" s="37" cm="1">
        <f t="array" ref="K45">Common_InputFunctions.Utility_DisplayArrayInTable(SourceData_PastureBeef.SourceData_PastureBeef_Liveweight_Data(), Table_SourceData_PastureBeef_Liveweight[[#Headers],[State]], 0)</f>
        <v>390</v>
      </c>
      <c r="L45" s="37" cm="1">
        <f t="array" ref="L45">Common_InputFunctions.Utility_DisplayArrayInTable(SourceData_PastureBeef.SourceData_PastureBeef_Liveweight_Data(), Table_SourceData_PastureBeef_Liveweight[[#Headers],[State]], 0)</f>
        <v>160</v>
      </c>
      <c r="M45" s="37"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7" t="str" cm="1">
        <f t="array" ref="E46">Common_InputFunctions.Utility_DisplayArrayInTable(SourceData_PastureBeef.SourceData_PastureBeef_Liveweight_Data(), Table_SourceData_PastureBeef_Liveweight[[#Headers],[State]], 0)</f>
        <v>Kimberley</v>
      </c>
      <c r="F46" s="37" t="str" cm="1">
        <f t="array" ref="F46">Common_InputFunctions.Utility_DisplayArrayInTable(SourceData_PastureBeef.SourceData_PastureBeef_Liveweight_Data(), Table_SourceData_PastureBeef_Liveweight[[#Headers],[State]], 0)</f>
        <v>Winter</v>
      </c>
      <c r="G46" s="37" cm="1">
        <f t="array" ref="G46">Common_InputFunctions.Utility_DisplayArrayInTable(SourceData_PastureBeef.SourceData_PastureBeef_Liveweight_Data(), Table_SourceData_PastureBeef_Liveweight[[#Headers],[State]], 0)</f>
        <v>200</v>
      </c>
      <c r="H46" s="37" cm="1">
        <f t="array" ref="H46">Common_InputFunctions.Utility_DisplayArrayInTable(SourceData_PastureBeef.SourceData_PastureBeef_Liveweight_Data(), Table_SourceData_PastureBeef_Liveweight[[#Headers],[State]], 0)</f>
        <v>550</v>
      </c>
      <c r="I46" s="37" cm="1">
        <f t="array" ref="I46">Common_InputFunctions.Utility_DisplayArrayInTable(SourceData_PastureBeef.SourceData_PastureBeef_Liveweight_Data(), Table_SourceData_PastureBeef_Liveweight[[#Headers],[State]], 0)</f>
        <v>150</v>
      </c>
      <c r="J46" s="37" cm="1">
        <f t="array" ref="J46">Common_InputFunctions.Utility_DisplayArrayInTable(SourceData_PastureBeef.SourceData_PastureBeef_Liveweight_Data(), Table_SourceData_PastureBeef_Liveweight[[#Headers],[State]], 0)</f>
        <v>280</v>
      </c>
      <c r="K46" s="37" cm="1">
        <f t="array" ref="K46">Common_InputFunctions.Utility_DisplayArrayInTable(SourceData_PastureBeef.SourceData_PastureBeef_Liveweight_Data(), Table_SourceData_PastureBeef_Liveweight[[#Headers],[State]], 0)</f>
        <v>350</v>
      </c>
      <c r="L46" s="37" cm="1">
        <f t="array" ref="L46">Common_InputFunctions.Utility_DisplayArrayInTable(SourceData_PastureBeef.SourceData_PastureBeef_Liveweight_Data(), Table_SourceData_PastureBeef_Liveweight[[#Headers],[State]], 0)</f>
        <v>190</v>
      </c>
      <c r="M46" s="37"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4" t="str" cm="1">
        <f t="array" ref="D52">SourceData_PastureBeef.SourceData_PastureBeef_LiveweightNTQLD_Unit()</f>
        <v>kg</v>
      </c>
      <c r="M52" s="1"/>
    </row>
    <row r="53" spans="4:16" ht="20.100000000000001" customHeight="1" x14ac:dyDescent="0.25">
      <c r="D53" s="37" t="s">
        <v>8</v>
      </c>
      <c r="E53" s="37" t="s">
        <v>183</v>
      </c>
      <c r="F53" s="37" t="s">
        <v>184</v>
      </c>
      <c r="G53" s="37" t="s">
        <v>203</v>
      </c>
      <c r="H53" s="37" t="s">
        <v>192</v>
      </c>
      <c r="I53" s="37" t="s">
        <v>193</v>
      </c>
      <c r="J53" s="37" t="s">
        <v>194</v>
      </c>
      <c r="K53" s="37" t="s">
        <v>195</v>
      </c>
      <c r="L53" s="37" t="s">
        <v>196</v>
      </c>
      <c r="M53" s="37" t="s">
        <v>197</v>
      </c>
      <c r="N53" s="37" t="s">
        <v>198</v>
      </c>
      <c r="O53" s="37" t="s">
        <v>199</v>
      </c>
      <c r="P53" s="37" t="s">
        <v>200</v>
      </c>
    </row>
    <row r="54" spans="4:16" ht="20.100000000000001" customHeight="1" x14ac:dyDescent="0.25">
      <c r="D54" s="37" t="str" cm="1">
        <f t="array" ref="D54">Common_InputFunctions.Utility_DisplayArrayInTable(SourceData_PastureBeef.SourceData_PastureBeef_LiveweightNTQLD_Data(),Table_SourceData_PastureBeef_LiveweightNTQD[[#Headers],[State]], 0)</f>
        <v>Northern Territory</v>
      </c>
      <c r="E54" s="37" t="str" cm="1">
        <f t="array" ref="E54">Common_InputFunctions.Utility_DisplayArrayInTable(SourceData_PastureBeef.SourceData_PastureBeef_LiveweightNTQLD_Data(),Table_SourceData_PastureBeef_LiveweightNTQD[[#Headers],[State]], 0)</f>
        <v>Alice Springs</v>
      </c>
      <c r="F54" s="37" t="str" cm="1">
        <f t="array" ref="F54">Common_InputFunctions.Utility_DisplayArrayInTable(SourceData_PastureBeef.SourceData_PastureBeef_LiveweightNTQLD_Data(),Table_SourceData_PastureBeef_LiveweightNTQD[[#Headers],[State]], 0)</f>
        <v>Spring</v>
      </c>
      <c r="G54" s="37" cm="1">
        <f t="array" ref="G54">Common_InputFunctions.Utility_DisplayArrayInTable(SourceData_PastureBeef.SourceData_PastureBeef_LiveweightNTQLD_Data(),Table_SourceData_PastureBeef_LiveweightNTQD[[#Headers],[State]], 0)</f>
        <v>220</v>
      </c>
      <c r="H54" s="37" cm="1">
        <f t="array" ref="H54">Common_InputFunctions.Utility_DisplayArrayInTable(SourceData_PastureBeef.SourceData_PastureBeef_LiveweightNTQLD_Data(),Table_SourceData_PastureBeef_LiveweightNTQD[[#Headers],[State]], 0)</f>
        <v>706</v>
      </c>
      <c r="I54" s="37" cm="1">
        <f t="array" ref="I54">Common_InputFunctions.Utility_DisplayArrayInTable(SourceData_PastureBeef.SourceData_PastureBeef_LiveweightNTQLD_Data(),Table_SourceData_PastureBeef_LiveweightNTQD[[#Headers],[State]], 0)</f>
        <v>208</v>
      </c>
      <c r="J54" s="37" cm="1">
        <f t="array" ref="J54">Common_InputFunctions.Utility_DisplayArrayInTable(SourceData_PastureBeef.SourceData_PastureBeef_LiveweightNTQLD_Data(),Table_SourceData_PastureBeef_LiveweightNTQD[[#Headers],[State]], 0)</f>
        <v>323</v>
      </c>
      <c r="K54" s="37" cm="1">
        <f t="array" ref="K54">Common_InputFunctions.Utility_DisplayArrayInTable(SourceData_PastureBeef.SourceData_PastureBeef_LiveweightNTQLD_Data(),Table_SourceData_PastureBeef_LiveweightNTQD[[#Headers],[State]], 0)</f>
        <v>415</v>
      </c>
      <c r="L54" s="37" cm="1">
        <f t="array" ref="L54">Common_InputFunctions.Utility_DisplayArrayInTable(SourceData_PastureBeef.SourceData_PastureBeef_LiveweightNTQLD_Data(),Table_SourceData_PastureBeef_LiveweightNTQD[[#Headers],[State]], 0)</f>
        <v>467</v>
      </c>
      <c r="M54" s="37" cm="1">
        <f t="array" ref="M54">Common_InputFunctions.Utility_DisplayArrayInTable(SourceData_PastureBeef.SourceData_PastureBeef_LiveweightNTQLD_Data(),Table_SourceData_PastureBeef_LiveweightNTQD[[#Headers],[State]], 0)</f>
        <v>223</v>
      </c>
      <c r="N54" s="37" cm="1">
        <f t="array" ref="N54">Common_InputFunctions.Utility_DisplayArrayInTable(SourceData_PastureBeef.SourceData_PastureBeef_LiveweightNTQLD_Data(),Table_SourceData_PastureBeef_LiveweightNTQD[[#Headers],[State]], 0)</f>
        <v>371</v>
      </c>
      <c r="O54" s="37" cm="1">
        <f t="array" ref="O54">Common_InputFunctions.Utility_DisplayArrayInTable(SourceData_PastureBeef.SourceData_PastureBeef_LiveweightNTQLD_Data(),Table_SourceData_PastureBeef_LiveweightNTQD[[#Headers],[State]], 0)</f>
        <v>493</v>
      </c>
      <c r="P54" s="37"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7" t="str" cm="1">
        <f t="array" ref="E55">Common_InputFunctions.Utility_DisplayArrayInTable(SourceData_PastureBeef.SourceData_PastureBeef_LiveweightNTQLD_Data(),Table_SourceData_PastureBeef_LiveweightNTQD[[#Headers],[State]], 0)</f>
        <v>Alice Springs</v>
      </c>
      <c r="F55" s="37" t="str" cm="1">
        <f t="array" ref="F55">Common_InputFunctions.Utility_DisplayArrayInTable(SourceData_PastureBeef.SourceData_PastureBeef_LiveweightNTQLD_Data(),Table_SourceData_PastureBeef_LiveweightNTQD[[#Headers],[State]], 0)</f>
        <v>Summer</v>
      </c>
      <c r="G55" s="37" cm="1">
        <f t="array" ref="G55">Common_InputFunctions.Utility_DisplayArrayInTable(SourceData_PastureBeef.SourceData_PastureBeef_LiveweightNTQLD_Data(),Table_SourceData_PastureBeef_LiveweightNTQD[[#Headers],[State]], 0)</f>
        <v>110</v>
      </c>
      <c r="H55" s="37" cm="1">
        <f t="array" ref="H55">Common_InputFunctions.Utility_DisplayArrayInTable(SourceData_PastureBeef.SourceData_PastureBeef_LiveweightNTQLD_Data(),Table_SourceData_PastureBeef_LiveweightNTQD[[#Headers],[State]], 0)</f>
        <v>703</v>
      </c>
      <c r="I55" s="37" cm="1">
        <f t="array" ref="I55">Common_InputFunctions.Utility_DisplayArrayInTable(SourceData_PastureBeef.SourceData_PastureBeef_LiveweightNTQLD_Data(),Table_SourceData_PastureBeef_LiveweightNTQD[[#Headers],[State]], 0)</f>
        <v>112</v>
      </c>
      <c r="J55" s="37" cm="1">
        <f t="array" ref="J55">Common_InputFunctions.Utility_DisplayArrayInTable(SourceData_PastureBeef.SourceData_PastureBeef_LiveweightNTQLD_Data(),Table_SourceData_PastureBeef_LiveweightNTQD[[#Headers],[State]], 0)</f>
        <v>256</v>
      </c>
      <c r="K55" s="37" cm="1">
        <f t="array" ref="K55">Common_InputFunctions.Utility_DisplayArrayInTable(SourceData_PastureBeef.SourceData_PastureBeef_LiveweightNTQLD_Data(),Table_SourceData_PastureBeef_LiveweightNTQD[[#Headers],[State]], 0)</f>
        <v>368</v>
      </c>
      <c r="L55" s="37" cm="1">
        <f t="array" ref="L55">Common_InputFunctions.Utility_DisplayArrayInTable(SourceData_PastureBeef.SourceData_PastureBeef_LiveweightNTQLD_Data(),Table_SourceData_PastureBeef_LiveweightNTQD[[#Headers],[State]], 0)</f>
        <v>465</v>
      </c>
      <c r="M55" s="37" cm="1">
        <f t="array" ref="M55">Common_InputFunctions.Utility_DisplayArrayInTable(SourceData_PastureBeef.SourceData_PastureBeef_LiveweightNTQLD_Data(),Table_SourceData_PastureBeef_LiveweightNTQD[[#Headers],[State]], 0)</f>
        <v>108</v>
      </c>
      <c r="N55" s="37" cm="1">
        <f t="array" ref="N55">Common_InputFunctions.Utility_DisplayArrayInTable(SourceData_PastureBeef.SourceData_PastureBeef_LiveweightNTQLD_Data(),Table_SourceData_PastureBeef_LiveweightNTQD[[#Headers],[State]], 0)</f>
        <v>280</v>
      </c>
      <c r="O55" s="37" cm="1">
        <f t="array" ref="O55">Common_InputFunctions.Utility_DisplayArrayInTable(SourceData_PastureBeef.SourceData_PastureBeef_LiveweightNTQLD_Data(),Table_SourceData_PastureBeef_LiveweightNTQD[[#Headers],[State]], 0)</f>
        <v>421</v>
      </c>
      <c r="P55" s="37"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7" t="str" cm="1">
        <f t="array" ref="E56">Common_InputFunctions.Utility_DisplayArrayInTable(SourceData_PastureBeef.SourceData_PastureBeef_LiveweightNTQLD_Data(),Table_SourceData_PastureBeef_LiveweightNTQD[[#Headers],[State]], 0)</f>
        <v>Alice Springs</v>
      </c>
      <c r="F56" s="37" t="str" cm="1">
        <f t="array" ref="F56">Common_InputFunctions.Utility_DisplayArrayInTable(SourceData_PastureBeef.SourceData_PastureBeef_LiveweightNTQLD_Data(),Table_SourceData_PastureBeef_LiveweightNTQD[[#Headers],[State]], 0)</f>
        <v>Autumn</v>
      </c>
      <c r="G56" s="37" cm="1">
        <f t="array" ref="G56">Common_InputFunctions.Utility_DisplayArrayInTable(SourceData_PastureBeef.SourceData_PastureBeef_LiveweightNTQLD_Data(),Table_SourceData_PastureBeef_LiveweightNTQD[[#Headers],[State]], 0)</f>
        <v>170</v>
      </c>
      <c r="H56" s="37" cm="1">
        <f t="array" ref="H56">Common_InputFunctions.Utility_DisplayArrayInTable(SourceData_PastureBeef.SourceData_PastureBeef_LiveweightNTQLD_Data(),Table_SourceData_PastureBeef_LiveweightNTQD[[#Headers],[State]], 0)</f>
        <v>721</v>
      </c>
      <c r="I56" s="37" cm="1">
        <f t="array" ref="I56">Common_InputFunctions.Utility_DisplayArrayInTable(SourceData_PastureBeef.SourceData_PastureBeef_LiveweightNTQLD_Data(),Table_SourceData_PastureBeef_LiveweightNTQD[[#Headers],[State]], 0)</f>
        <v>169</v>
      </c>
      <c r="J56" s="37" cm="1">
        <f t="array" ref="J56">Common_InputFunctions.Utility_DisplayArrayInTable(SourceData_PastureBeef.SourceData_PastureBeef_LiveweightNTQLD_Data(),Table_SourceData_PastureBeef_LiveweightNTQD[[#Headers],[State]], 0)</f>
        <v>306</v>
      </c>
      <c r="K56" s="37" cm="1">
        <f t="array" ref="K56">Common_InputFunctions.Utility_DisplayArrayInTable(SourceData_PastureBeef.SourceData_PastureBeef_LiveweightNTQLD_Data(),Table_SourceData_PastureBeef_LiveweightNTQD[[#Headers],[State]], 0)</f>
        <v>392</v>
      </c>
      <c r="L56" s="37" cm="1">
        <f t="array" ref="L56">Common_InputFunctions.Utility_DisplayArrayInTable(SourceData_PastureBeef.SourceData_PastureBeef_LiveweightNTQLD_Data(),Table_SourceData_PastureBeef_LiveweightNTQD[[#Headers],[State]], 0)</f>
        <v>464</v>
      </c>
      <c r="M56" s="37" cm="1">
        <f t="array" ref="M56">Common_InputFunctions.Utility_DisplayArrayInTable(SourceData_PastureBeef.SourceData_PastureBeef_LiveweightNTQLD_Data(),Table_SourceData_PastureBeef_LiveweightNTQD[[#Headers],[State]], 0)</f>
        <v>176</v>
      </c>
      <c r="N56" s="37" cm="1">
        <f t="array" ref="N56">Common_InputFunctions.Utility_DisplayArrayInTable(SourceData_PastureBeef.SourceData_PastureBeef_LiveweightNTQLD_Data(),Table_SourceData_PastureBeef_LiveweightNTQD[[#Headers],[State]], 0)</f>
        <v>339</v>
      </c>
      <c r="O56" s="37" cm="1">
        <f t="array" ref="O56">Common_InputFunctions.Utility_DisplayArrayInTable(SourceData_PastureBeef.SourceData_PastureBeef_LiveweightNTQLD_Data(),Table_SourceData_PastureBeef_LiveweightNTQD[[#Headers],[State]], 0)</f>
        <v>470</v>
      </c>
      <c r="P56" s="37"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7" t="str" cm="1">
        <f t="array" ref="E57">Common_InputFunctions.Utility_DisplayArrayInTable(SourceData_PastureBeef.SourceData_PastureBeef_LiveweightNTQLD_Data(),Table_SourceData_PastureBeef_LiveweightNTQD[[#Headers],[State]], 0)</f>
        <v>Alice Springs</v>
      </c>
      <c r="F57" s="37" t="str" cm="1">
        <f t="array" ref="F57">Common_InputFunctions.Utility_DisplayArrayInTable(SourceData_PastureBeef.SourceData_PastureBeef_LiveweightNTQLD_Data(),Table_SourceData_PastureBeef_LiveweightNTQD[[#Headers],[State]], 0)</f>
        <v>Winter</v>
      </c>
      <c r="G57" s="37" cm="1">
        <f t="array" ref="G57">Common_InputFunctions.Utility_DisplayArrayInTable(SourceData_PastureBeef.SourceData_PastureBeef_LiveweightNTQLD_Data(),Table_SourceData_PastureBeef_LiveweightNTQD[[#Headers],[State]], 0)</f>
        <v>200</v>
      </c>
      <c r="H57" s="37" cm="1">
        <f t="array" ref="H57">Common_InputFunctions.Utility_DisplayArrayInTable(SourceData_PastureBeef.SourceData_PastureBeef_LiveweightNTQLD_Data(),Table_SourceData_PastureBeef_LiveweightNTQD[[#Headers],[State]], 0)</f>
        <v>727</v>
      </c>
      <c r="I57" s="37" cm="1">
        <f t="array" ref="I57">Common_InputFunctions.Utility_DisplayArrayInTable(SourceData_PastureBeef.SourceData_PastureBeef_LiveweightNTQLD_Data(),Table_SourceData_PastureBeef_LiveweightNTQD[[#Headers],[State]], 0)</f>
        <v>211</v>
      </c>
      <c r="J57" s="37" cm="1">
        <f t="array" ref="J57">Common_InputFunctions.Utility_DisplayArrayInTable(SourceData_PastureBeef.SourceData_PastureBeef_LiveweightNTQLD_Data(),Table_SourceData_PastureBeef_LiveweightNTQD[[#Headers],[State]], 0)</f>
        <v>338</v>
      </c>
      <c r="K57" s="37" cm="1">
        <f t="array" ref="K57">Common_InputFunctions.Utility_DisplayArrayInTable(SourceData_PastureBeef.SourceData_PastureBeef_LiveweightNTQLD_Data(),Table_SourceData_PastureBeef_LiveweightNTQD[[#Headers],[State]], 0)</f>
        <v>432</v>
      </c>
      <c r="L57" s="37" cm="1">
        <f t="array" ref="L57">Common_InputFunctions.Utility_DisplayArrayInTable(SourceData_PastureBeef.SourceData_PastureBeef_LiveweightNTQLD_Data(),Table_SourceData_PastureBeef_LiveweightNTQD[[#Headers],[State]], 0)</f>
        <v>492</v>
      </c>
      <c r="M57" s="37" cm="1">
        <f t="array" ref="M57">Common_InputFunctions.Utility_DisplayArrayInTable(SourceData_PastureBeef.SourceData_PastureBeef_LiveweightNTQLD_Data(),Table_SourceData_PastureBeef_LiveweightNTQD[[#Headers],[State]], 0)</f>
        <v>222</v>
      </c>
      <c r="N57" s="37" cm="1">
        <f t="array" ref="N57">Common_InputFunctions.Utility_DisplayArrayInTable(SourceData_PastureBeef.SourceData_PastureBeef_LiveweightNTQLD_Data(),Table_SourceData_PastureBeef_LiveweightNTQD[[#Headers],[State]], 0)</f>
        <v>377</v>
      </c>
      <c r="O57" s="37" cm="1">
        <f t="array" ref="O57">Common_InputFunctions.Utility_DisplayArrayInTable(SourceData_PastureBeef.SourceData_PastureBeef_LiveweightNTQLD_Data(),Table_SourceData_PastureBeef_LiveweightNTQD[[#Headers],[State]], 0)</f>
        <v>498</v>
      </c>
      <c r="P57" s="37"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7" t="str" cm="1">
        <f t="array" ref="E58">Common_InputFunctions.Utility_DisplayArrayInTable(SourceData_PastureBeef.SourceData_PastureBeef_LiveweightNTQLD_Data(),Table_SourceData_PastureBeef_LiveweightNTQD[[#Headers],[State]], 0)</f>
        <v>Barkly</v>
      </c>
      <c r="F58" s="37" t="str" cm="1">
        <f t="array" ref="F58">Common_InputFunctions.Utility_DisplayArrayInTable(SourceData_PastureBeef.SourceData_PastureBeef_LiveweightNTQLD_Data(),Table_SourceData_PastureBeef_LiveweightNTQD[[#Headers],[State]], 0)</f>
        <v>Spring</v>
      </c>
      <c r="G58" s="37" cm="1">
        <f t="array" ref="G58">Common_InputFunctions.Utility_DisplayArrayInTable(SourceData_PastureBeef.SourceData_PastureBeef_LiveweightNTQLD_Data(),Table_SourceData_PastureBeef_LiveweightNTQD[[#Headers],[State]], 0)</f>
        <v>220</v>
      </c>
      <c r="H58" s="37" cm="1">
        <f t="array" ref="H58">Common_InputFunctions.Utility_DisplayArrayInTable(SourceData_PastureBeef.SourceData_PastureBeef_LiveweightNTQLD_Data(),Table_SourceData_PastureBeef_LiveweightNTQD[[#Headers],[State]], 0)</f>
        <v>620</v>
      </c>
      <c r="I58" s="37" cm="1">
        <f t="array" ref="I58">Common_InputFunctions.Utility_DisplayArrayInTable(SourceData_PastureBeef.SourceData_PastureBeef_LiveweightNTQLD_Data(),Table_SourceData_PastureBeef_LiveweightNTQD[[#Headers],[State]], 0)</f>
        <v>227</v>
      </c>
      <c r="J58" s="37" cm="1">
        <f t="array" ref="J58">Common_InputFunctions.Utility_DisplayArrayInTable(SourceData_PastureBeef.SourceData_PastureBeef_LiveweightNTQLD_Data(),Table_SourceData_PastureBeef_LiveweightNTQD[[#Headers],[State]], 0)</f>
        <v>319</v>
      </c>
      <c r="K58" s="37" cm="1">
        <f t="array" ref="K58">Common_InputFunctions.Utility_DisplayArrayInTable(SourceData_PastureBeef.SourceData_PastureBeef_LiveweightNTQLD_Data(),Table_SourceData_PastureBeef_LiveweightNTQD[[#Headers],[State]], 0)</f>
        <v>398</v>
      </c>
      <c r="L58" s="37" cm="1">
        <f t="array" ref="L58">Common_InputFunctions.Utility_DisplayArrayInTable(SourceData_PastureBeef.SourceData_PastureBeef_LiveweightNTQLD_Data(),Table_SourceData_PastureBeef_LiveweightNTQD[[#Headers],[State]], 0)</f>
        <v>452</v>
      </c>
      <c r="M58" s="37" cm="1">
        <f t="array" ref="M58">Common_InputFunctions.Utility_DisplayArrayInTable(SourceData_PastureBeef.SourceData_PastureBeef_LiveweightNTQLD_Data(),Table_SourceData_PastureBeef_LiveweightNTQD[[#Headers],[State]], 0)</f>
        <v>216</v>
      </c>
      <c r="N58" s="37" cm="1">
        <f t="array" ref="N58">Common_InputFunctions.Utility_DisplayArrayInTable(SourceData_PastureBeef.SourceData_PastureBeef_LiveweightNTQLD_Data(),Table_SourceData_PastureBeef_LiveweightNTQD[[#Headers],[State]], 0)</f>
        <v>334</v>
      </c>
      <c r="O58" s="37" t="str" cm="1">
        <f t="array" ref="O58">Common_InputFunctions.Utility_DisplayArrayInTable(SourceData_PastureBeef.SourceData_PastureBeef_LiveweightNTQLD_Data(),Table_SourceData_PastureBeef_LiveweightNTQD[[#Headers],[State]], 0)</f>
        <v>NO</v>
      </c>
      <c r="P58" s="37"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7" t="str" cm="1">
        <f t="array" ref="E59">Common_InputFunctions.Utility_DisplayArrayInTable(SourceData_PastureBeef.SourceData_PastureBeef_LiveweightNTQLD_Data(),Table_SourceData_PastureBeef_LiveweightNTQD[[#Headers],[State]], 0)</f>
        <v>Barkly</v>
      </c>
      <c r="F59" s="37" t="str" cm="1">
        <f t="array" ref="F59">Common_InputFunctions.Utility_DisplayArrayInTable(SourceData_PastureBeef.SourceData_PastureBeef_LiveweightNTQLD_Data(),Table_SourceData_PastureBeef_LiveweightNTQD[[#Headers],[State]], 0)</f>
        <v>Summer</v>
      </c>
      <c r="G59" s="37" cm="1">
        <f t="array" ref="G59">Common_InputFunctions.Utility_DisplayArrayInTable(SourceData_PastureBeef.SourceData_PastureBeef_LiveweightNTQLD_Data(),Table_SourceData_PastureBeef_LiveweightNTQD[[#Headers],[State]], 0)</f>
        <v>110</v>
      </c>
      <c r="H59" s="37" cm="1">
        <f t="array" ref="H59">Common_InputFunctions.Utility_DisplayArrayInTable(SourceData_PastureBeef.SourceData_PastureBeef_LiveweightNTQLD_Data(),Table_SourceData_PastureBeef_LiveweightNTQD[[#Headers],[State]], 0)</f>
        <v>650</v>
      </c>
      <c r="I59" s="37" cm="1">
        <f t="array" ref="I59">Common_InputFunctions.Utility_DisplayArrayInTable(SourceData_PastureBeef.SourceData_PastureBeef_LiveweightNTQLD_Data(),Table_SourceData_PastureBeef_LiveweightNTQD[[#Headers],[State]], 0)</f>
        <v>108</v>
      </c>
      <c r="J59" s="37" cm="1">
        <f t="array" ref="J59">Common_InputFunctions.Utility_DisplayArrayInTable(SourceData_PastureBeef.SourceData_PastureBeef_LiveweightNTQLD_Data(),Table_SourceData_PastureBeef_LiveweightNTQD[[#Headers],[State]], 0)</f>
        <v>262</v>
      </c>
      <c r="K59" s="37" cm="1">
        <f t="array" ref="K59">Common_InputFunctions.Utility_DisplayArrayInTable(SourceData_PastureBeef.SourceData_PastureBeef_LiveweightNTQLD_Data(),Table_SourceData_PastureBeef_LiveweightNTQD[[#Headers],[State]], 0)</f>
        <v>346</v>
      </c>
      <c r="L59" s="37" cm="1">
        <f t="array" ref="L59">Common_InputFunctions.Utility_DisplayArrayInTable(SourceData_PastureBeef.SourceData_PastureBeef_LiveweightNTQLD_Data(),Table_SourceData_PastureBeef_LiveweightNTQD[[#Headers],[State]], 0)</f>
        <v>430</v>
      </c>
      <c r="M59" s="37" cm="1">
        <f t="array" ref="M59">Common_InputFunctions.Utility_DisplayArrayInTable(SourceData_PastureBeef.SourceData_PastureBeef_LiveweightNTQLD_Data(),Table_SourceData_PastureBeef_LiveweightNTQD[[#Headers],[State]], 0)</f>
        <v>111</v>
      </c>
      <c r="N59" s="37" cm="1">
        <f t="array" ref="N59">Common_InputFunctions.Utility_DisplayArrayInTable(SourceData_PastureBeef.SourceData_PastureBeef_LiveweightNTQLD_Data(),Table_SourceData_PastureBeef_LiveweightNTQD[[#Headers],[State]], 0)</f>
        <v>236</v>
      </c>
      <c r="O59" s="37" t="str" cm="1">
        <f t="array" ref="O59">Common_InputFunctions.Utility_DisplayArrayInTable(SourceData_PastureBeef.SourceData_PastureBeef_LiveweightNTQLD_Data(),Table_SourceData_PastureBeef_LiveweightNTQD[[#Headers],[State]], 0)</f>
        <v>NO</v>
      </c>
      <c r="P59" s="37"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7" t="str" cm="1">
        <f t="array" ref="E60">Common_InputFunctions.Utility_DisplayArrayInTable(SourceData_PastureBeef.SourceData_PastureBeef_LiveweightNTQLD_Data(),Table_SourceData_PastureBeef_LiveweightNTQD[[#Headers],[State]], 0)</f>
        <v>Barkly</v>
      </c>
      <c r="F60" s="37" t="str" cm="1">
        <f t="array" ref="F60">Common_InputFunctions.Utility_DisplayArrayInTable(SourceData_PastureBeef.SourceData_PastureBeef_LiveweightNTQLD_Data(),Table_SourceData_PastureBeef_LiveweightNTQD[[#Headers],[State]], 0)</f>
        <v>Autumn</v>
      </c>
      <c r="G60" s="37" cm="1">
        <f t="array" ref="G60">Common_InputFunctions.Utility_DisplayArrayInTable(SourceData_PastureBeef.SourceData_PastureBeef_LiveweightNTQLD_Data(),Table_SourceData_PastureBeef_LiveweightNTQD[[#Headers],[State]], 0)</f>
        <v>170</v>
      </c>
      <c r="H60" s="37" cm="1">
        <f t="array" ref="H60">Common_InputFunctions.Utility_DisplayArrayInTable(SourceData_PastureBeef.SourceData_PastureBeef_LiveweightNTQLD_Data(),Table_SourceData_PastureBeef_LiveweightNTQD[[#Headers],[State]], 0)</f>
        <v>670</v>
      </c>
      <c r="I60" s="37" cm="1">
        <f t="array" ref="I60">Common_InputFunctions.Utility_DisplayArrayInTable(SourceData_PastureBeef.SourceData_PastureBeef_LiveweightNTQLD_Data(),Table_SourceData_PastureBeef_LiveweightNTQD[[#Headers],[State]], 0)</f>
        <v>170</v>
      </c>
      <c r="J60" s="37" cm="1">
        <f t="array" ref="J60">Common_InputFunctions.Utility_DisplayArrayInTable(SourceData_PastureBeef.SourceData_PastureBeef_LiveweightNTQLD_Data(),Table_SourceData_PastureBeef_LiveweightNTQD[[#Headers],[State]], 0)</f>
        <v>266</v>
      </c>
      <c r="K60" s="37" cm="1">
        <f t="array" ref="K60">Common_InputFunctions.Utility_DisplayArrayInTable(SourceData_PastureBeef.SourceData_PastureBeef_LiveweightNTQLD_Data(),Table_SourceData_PastureBeef_LiveweightNTQD[[#Headers],[State]], 0)</f>
        <v>363</v>
      </c>
      <c r="L60" s="37" cm="1">
        <f t="array" ref="L60">Common_InputFunctions.Utility_DisplayArrayInTable(SourceData_PastureBeef.SourceData_PastureBeef_LiveweightNTQLD_Data(),Table_SourceData_PastureBeef_LiveweightNTQD[[#Headers],[State]], 0)</f>
        <v>444</v>
      </c>
      <c r="M60" s="37" cm="1">
        <f t="array" ref="M60">Common_InputFunctions.Utility_DisplayArrayInTable(SourceData_PastureBeef.SourceData_PastureBeef_LiveweightNTQLD_Data(),Table_SourceData_PastureBeef_LiveweightNTQD[[#Headers],[State]], 0)</f>
        <v>169</v>
      </c>
      <c r="N60" s="37" cm="1">
        <f t="array" ref="N60">Common_InputFunctions.Utility_DisplayArrayInTable(SourceData_PastureBeef.SourceData_PastureBeef_LiveweightNTQLD_Data(),Table_SourceData_PastureBeef_LiveweightNTQD[[#Headers],[State]], 0)</f>
        <v>282</v>
      </c>
      <c r="O60" s="37" t="str" cm="1">
        <f t="array" ref="O60">Common_InputFunctions.Utility_DisplayArrayInTable(SourceData_PastureBeef.SourceData_PastureBeef_LiveweightNTQLD_Data(),Table_SourceData_PastureBeef_LiveweightNTQD[[#Headers],[State]], 0)</f>
        <v>NO</v>
      </c>
      <c r="P60" s="37"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7" t="str" cm="1">
        <f t="array" ref="E61">Common_InputFunctions.Utility_DisplayArrayInTable(SourceData_PastureBeef.SourceData_PastureBeef_LiveweightNTQLD_Data(),Table_SourceData_PastureBeef_LiveweightNTQD[[#Headers],[State]], 0)</f>
        <v>Barkly</v>
      </c>
      <c r="F61" s="37" t="str" cm="1">
        <f t="array" ref="F61">Common_InputFunctions.Utility_DisplayArrayInTable(SourceData_PastureBeef.SourceData_PastureBeef_LiveweightNTQLD_Data(),Table_SourceData_PastureBeef_LiveweightNTQD[[#Headers],[State]], 0)</f>
        <v>Winter</v>
      </c>
      <c r="G61" s="37" cm="1">
        <f t="array" ref="G61">Common_InputFunctions.Utility_DisplayArrayInTable(SourceData_PastureBeef.SourceData_PastureBeef_LiveweightNTQLD_Data(),Table_SourceData_PastureBeef_LiveweightNTQD[[#Headers],[State]], 0)</f>
        <v>200</v>
      </c>
      <c r="H61" s="37" cm="1">
        <f t="array" ref="H61">Common_InputFunctions.Utility_DisplayArrayInTable(SourceData_PastureBeef.SourceData_PastureBeef_LiveweightNTQLD_Data(),Table_SourceData_PastureBeef_LiveweightNTQD[[#Headers],[State]], 0)</f>
        <v>660</v>
      </c>
      <c r="I61" s="37" cm="1">
        <f t="array" ref="I61">Common_InputFunctions.Utility_DisplayArrayInTable(SourceData_PastureBeef.SourceData_PastureBeef_LiveweightNTQLD_Data(),Table_SourceData_PastureBeef_LiveweightNTQD[[#Headers],[State]], 0)</f>
        <v>225</v>
      </c>
      <c r="J61" s="37" cm="1">
        <f t="array" ref="J61">Common_InputFunctions.Utility_DisplayArrayInTable(SourceData_PastureBeef.SourceData_PastureBeef_LiveweightNTQLD_Data(),Table_SourceData_PastureBeef_LiveweightNTQD[[#Headers],[State]], 0)</f>
        <v>307</v>
      </c>
      <c r="K61" s="37" cm="1">
        <f t="array" ref="K61">Common_InputFunctions.Utility_DisplayArrayInTable(SourceData_PastureBeef.SourceData_PastureBeef_LiveweightNTQLD_Data(),Table_SourceData_PastureBeef_LiveweightNTQD[[#Headers],[State]], 0)</f>
        <v>398</v>
      </c>
      <c r="L61" s="37" cm="1">
        <f t="array" ref="L61">Common_InputFunctions.Utility_DisplayArrayInTable(SourceData_PastureBeef.SourceData_PastureBeef_LiveweightNTQLD_Data(),Table_SourceData_PastureBeef_LiveweightNTQD[[#Headers],[State]], 0)</f>
        <v>452</v>
      </c>
      <c r="M61" s="37" cm="1">
        <f t="array" ref="M61">Common_InputFunctions.Utility_DisplayArrayInTable(SourceData_PastureBeef.SourceData_PastureBeef_LiveweightNTQLD_Data(),Table_SourceData_PastureBeef_LiveweightNTQD[[#Headers],[State]], 0)</f>
        <v>214</v>
      </c>
      <c r="N61" s="37" cm="1">
        <f t="array" ref="N61">Common_InputFunctions.Utility_DisplayArrayInTable(SourceData_PastureBeef.SourceData_PastureBeef_LiveweightNTQLD_Data(),Table_SourceData_PastureBeef_LiveweightNTQD[[#Headers],[State]], 0)</f>
        <v>326</v>
      </c>
      <c r="O61" s="37" t="str" cm="1">
        <f t="array" ref="O61">Common_InputFunctions.Utility_DisplayArrayInTable(SourceData_PastureBeef.SourceData_PastureBeef_LiveweightNTQLD_Data(),Table_SourceData_PastureBeef_LiveweightNTQD[[#Headers],[State]], 0)</f>
        <v>NO</v>
      </c>
      <c r="P61" s="37"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7" t="str" cm="1">
        <f t="array" ref="E62">Common_InputFunctions.Utility_DisplayArrayInTable(SourceData_PastureBeef.SourceData_PastureBeef_LiveweightNTQLD_Data(),Table_SourceData_PastureBeef_LiveweightNTQD[[#Headers],[State]], 0)</f>
        <v>Northern</v>
      </c>
      <c r="F62" s="37" t="str" cm="1">
        <f t="array" ref="F62">Common_InputFunctions.Utility_DisplayArrayInTable(SourceData_PastureBeef.SourceData_PastureBeef_LiveweightNTQLD_Data(),Table_SourceData_PastureBeef_LiveweightNTQD[[#Headers],[State]], 0)</f>
        <v>Spring</v>
      </c>
      <c r="G62" s="37" cm="1">
        <f t="array" ref="G62">Common_InputFunctions.Utility_DisplayArrayInTable(SourceData_PastureBeef.SourceData_PastureBeef_LiveweightNTQLD_Data(),Table_SourceData_PastureBeef_LiveweightNTQD[[#Headers],[State]], 0)</f>
        <v>220</v>
      </c>
      <c r="H62" s="37" cm="1">
        <f t="array" ref="H62">Common_InputFunctions.Utility_DisplayArrayInTable(SourceData_PastureBeef.SourceData_PastureBeef_LiveweightNTQLD_Data(),Table_SourceData_PastureBeef_LiveweightNTQD[[#Headers],[State]], 0)</f>
        <v>620</v>
      </c>
      <c r="I62" s="37" cm="1">
        <f t="array" ref="I62">Common_InputFunctions.Utility_DisplayArrayInTable(SourceData_PastureBeef.SourceData_PastureBeef_LiveweightNTQLD_Data(),Table_SourceData_PastureBeef_LiveweightNTQD[[#Headers],[State]], 0)</f>
        <v>177</v>
      </c>
      <c r="J62" s="37" cm="1">
        <f t="array" ref="J62">Common_InputFunctions.Utility_DisplayArrayInTable(SourceData_PastureBeef.SourceData_PastureBeef_LiveweightNTQLD_Data(),Table_SourceData_PastureBeef_LiveweightNTQD[[#Headers],[State]], 0)</f>
        <v>267</v>
      </c>
      <c r="K62" s="37" cm="1">
        <f t="array" ref="K62">Common_InputFunctions.Utility_DisplayArrayInTable(SourceData_PastureBeef.SourceData_PastureBeef_LiveweightNTQLD_Data(),Table_SourceData_PastureBeef_LiveweightNTQD[[#Headers],[State]], 0)</f>
        <v>365</v>
      </c>
      <c r="L62" s="37" cm="1">
        <f t="array" ref="L62">Common_InputFunctions.Utility_DisplayArrayInTable(SourceData_PastureBeef.SourceData_PastureBeef_LiveweightNTQLD_Data(),Table_SourceData_PastureBeef_LiveweightNTQD[[#Headers],[State]], 0)</f>
        <v>406</v>
      </c>
      <c r="M62" s="37" cm="1">
        <f t="array" ref="M62">Common_InputFunctions.Utility_DisplayArrayInTable(SourceData_PastureBeef.SourceData_PastureBeef_LiveweightNTQLD_Data(),Table_SourceData_PastureBeef_LiveweightNTQD[[#Headers],[State]], 0)</f>
        <v>231</v>
      </c>
      <c r="N62" s="37" cm="1">
        <f t="array" ref="N62">Common_InputFunctions.Utility_DisplayArrayInTable(SourceData_PastureBeef.SourceData_PastureBeef_LiveweightNTQLD_Data(),Table_SourceData_PastureBeef_LiveweightNTQD[[#Headers],[State]], 0)</f>
        <v>249</v>
      </c>
      <c r="O62" s="37" cm="1">
        <f t="array" ref="O62">Common_InputFunctions.Utility_DisplayArrayInTable(SourceData_PastureBeef.SourceData_PastureBeef_LiveweightNTQLD_Data(),Table_SourceData_PastureBeef_LiveweightNTQD[[#Headers],[State]], 0)</f>
        <v>324</v>
      </c>
      <c r="P62" s="37"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7" t="str" cm="1">
        <f t="array" ref="E63">Common_InputFunctions.Utility_DisplayArrayInTable(SourceData_PastureBeef.SourceData_PastureBeef_LiveweightNTQLD_Data(),Table_SourceData_PastureBeef_LiveweightNTQD[[#Headers],[State]], 0)</f>
        <v>Northern</v>
      </c>
      <c r="F63" s="37" t="str" cm="1">
        <f t="array" ref="F63">Common_InputFunctions.Utility_DisplayArrayInTable(SourceData_PastureBeef.SourceData_PastureBeef_LiveweightNTQLD_Data(),Table_SourceData_PastureBeef_LiveweightNTQD[[#Headers],[State]], 0)</f>
        <v>Summer</v>
      </c>
      <c r="G63" s="37" cm="1">
        <f t="array" ref="G63">Common_InputFunctions.Utility_DisplayArrayInTable(SourceData_PastureBeef.SourceData_PastureBeef_LiveweightNTQLD_Data(),Table_SourceData_PastureBeef_LiveweightNTQD[[#Headers],[State]], 0)</f>
        <v>110</v>
      </c>
      <c r="H63" s="37" cm="1">
        <f t="array" ref="H63">Common_InputFunctions.Utility_DisplayArrayInTable(SourceData_PastureBeef.SourceData_PastureBeef_LiveweightNTQLD_Data(),Table_SourceData_PastureBeef_LiveweightNTQD[[#Headers],[State]], 0)</f>
        <v>650</v>
      </c>
      <c r="I63" s="37" cm="1">
        <f t="array" ref="I63">Common_InputFunctions.Utility_DisplayArrayInTable(SourceData_PastureBeef.SourceData_PastureBeef_LiveweightNTQLD_Data(),Table_SourceData_PastureBeef_LiveweightNTQD[[#Headers],[State]], 0)</f>
        <v>102</v>
      </c>
      <c r="J63" s="37" cm="1">
        <f t="array" ref="J63">Common_InputFunctions.Utility_DisplayArrayInTable(SourceData_PastureBeef.SourceData_PastureBeef_LiveweightNTQLD_Data(),Table_SourceData_PastureBeef_LiveweightNTQD[[#Headers],[State]], 0)</f>
        <v>203</v>
      </c>
      <c r="K63" s="37" cm="1">
        <f t="array" ref="K63">Common_InputFunctions.Utility_DisplayArrayInTable(SourceData_PastureBeef.SourceData_PastureBeef_LiveweightNTQLD_Data(),Table_SourceData_PastureBeef_LiveweightNTQD[[#Headers],[State]], 0)</f>
        <v>299</v>
      </c>
      <c r="L63" s="37" cm="1">
        <f t="array" ref="L63">Common_InputFunctions.Utility_DisplayArrayInTable(SourceData_PastureBeef.SourceData_PastureBeef_LiveweightNTQLD_Data(),Table_SourceData_PastureBeef_LiveweightNTQD[[#Headers],[State]], 0)</f>
        <v>380</v>
      </c>
      <c r="M63" s="37" cm="1">
        <f t="array" ref="M63">Common_InputFunctions.Utility_DisplayArrayInTable(SourceData_PastureBeef.SourceData_PastureBeef_LiveweightNTQLD_Data(),Table_SourceData_PastureBeef_LiveweightNTQD[[#Headers],[State]], 0)</f>
        <v>102</v>
      </c>
      <c r="N63" s="37" cm="1">
        <f t="array" ref="N63">Common_InputFunctions.Utility_DisplayArrayInTable(SourceData_PastureBeef.SourceData_PastureBeef_LiveweightNTQLD_Data(),Table_SourceData_PastureBeef_LiveweightNTQD[[#Headers],[State]], 0)</f>
        <v>218</v>
      </c>
      <c r="O63" s="37" cm="1">
        <f t="array" ref="O63">Common_InputFunctions.Utility_DisplayArrayInTable(SourceData_PastureBeef.SourceData_PastureBeef_LiveweightNTQLD_Data(),Table_SourceData_PastureBeef_LiveweightNTQD[[#Headers],[State]], 0)</f>
        <v>263</v>
      </c>
      <c r="P63" s="37"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7" t="str" cm="1">
        <f t="array" ref="E64">Common_InputFunctions.Utility_DisplayArrayInTable(SourceData_PastureBeef.SourceData_PastureBeef_LiveweightNTQLD_Data(),Table_SourceData_PastureBeef_LiveweightNTQD[[#Headers],[State]], 0)</f>
        <v>Northern</v>
      </c>
      <c r="F64" s="37" t="str" cm="1">
        <f t="array" ref="F64">Common_InputFunctions.Utility_DisplayArrayInTable(SourceData_PastureBeef.SourceData_PastureBeef_LiveweightNTQLD_Data(),Table_SourceData_PastureBeef_LiveweightNTQD[[#Headers],[State]], 0)</f>
        <v>Autumn</v>
      </c>
      <c r="G64" s="37" cm="1">
        <f t="array" ref="G64">Common_InputFunctions.Utility_DisplayArrayInTable(SourceData_PastureBeef.SourceData_PastureBeef_LiveweightNTQLD_Data(),Table_SourceData_PastureBeef_LiveweightNTQD[[#Headers],[State]], 0)</f>
        <v>170</v>
      </c>
      <c r="H64" s="37" cm="1">
        <f t="array" ref="H64">Common_InputFunctions.Utility_DisplayArrayInTable(SourceData_PastureBeef.SourceData_PastureBeef_LiveweightNTQLD_Data(),Table_SourceData_PastureBeef_LiveweightNTQD[[#Headers],[State]], 0)</f>
        <v>670</v>
      </c>
      <c r="I64" s="37" cm="1">
        <f t="array" ref="I64">Common_InputFunctions.Utility_DisplayArrayInTable(SourceData_PastureBeef.SourceData_PastureBeef_LiveweightNTQLD_Data(),Table_SourceData_PastureBeef_LiveweightNTQD[[#Headers],[State]], 0)</f>
        <v>173</v>
      </c>
      <c r="J64" s="37" cm="1">
        <f t="array" ref="J64">Common_InputFunctions.Utility_DisplayArrayInTable(SourceData_PastureBeef.SourceData_PastureBeef_LiveweightNTQLD_Data(),Table_SourceData_PastureBeef_LiveweightNTQD[[#Headers],[State]], 0)</f>
        <v>250</v>
      </c>
      <c r="K64" s="37" cm="1">
        <f t="array" ref="K64">Common_InputFunctions.Utility_DisplayArrayInTable(SourceData_PastureBeef.SourceData_PastureBeef_LiveweightNTQLD_Data(),Table_SourceData_PastureBeef_LiveweightNTQD[[#Headers],[State]], 0)</f>
        <v>336</v>
      </c>
      <c r="L64" s="37" cm="1">
        <f t="array" ref="L64">Common_InputFunctions.Utility_DisplayArrayInTable(SourceData_PastureBeef.SourceData_PastureBeef_LiveweightNTQLD_Data(),Table_SourceData_PastureBeef_LiveweightNTQD[[#Headers],[State]], 0)</f>
        <v>414</v>
      </c>
      <c r="M64" s="37" cm="1">
        <f t="array" ref="M64">Common_InputFunctions.Utility_DisplayArrayInTable(SourceData_PastureBeef.SourceData_PastureBeef_LiveweightNTQLD_Data(),Table_SourceData_PastureBeef_LiveweightNTQD[[#Headers],[State]], 0)</f>
        <v>175</v>
      </c>
      <c r="N64" s="37" cm="1">
        <f t="array" ref="N64">Common_InputFunctions.Utility_DisplayArrayInTable(SourceData_PastureBeef.SourceData_PastureBeef_LiveweightNTQLD_Data(),Table_SourceData_PastureBeef_LiveweightNTQD[[#Headers],[State]], 0)</f>
        <v>243</v>
      </c>
      <c r="O64" s="37" cm="1">
        <f t="array" ref="O64">Common_InputFunctions.Utility_DisplayArrayInTable(SourceData_PastureBeef.SourceData_PastureBeef_LiveweightNTQLD_Data(),Table_SourceData_PastureBeef_LiveweightNTQD[[#Headers],[State]], 0)</f>
        <v>304</v>
      </c>
      <c r="P64" s="37"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7" t="str" cm="1">
        <f t="array" ref="E65">Common_InputFunctions.Utility_DisplayArrayInTable(SourceData_PastureBeef.SourceData_PastureBeef_LiveweightNTQLD_Data(),Table_SourceData_PastureBeef_LiveweightNTQD[[#Headers],[State]], 0)</f>
        <v>Northern</v>
      </c>
      <c r="F65" s="37" t="str" cm="1">
        <f t="array" ref="F65">Common_InputFunctions.Utility_DisplayArrayInTable(SourceData_PastureBeef.SourceData_PastureBeef_LiveweightNTQLD_Data(),Table_SourceData_PastureBeef_LiveweightNTQD[[#Headers],[State]], 0)</f>
        <v>Winter</v>
      </c>
      <c r="G65" s="37" cm="1">
        <f t="array" ref="G65">Common_InputFunctions.Utility_DisplayArrayInTable(SourceData_PastureBeef.SourceData_PastureBeef_LiveweightNTQLD_Data(),Table_SourceData_PastureBeef_LiveweightNTQD[[#Headers],[State]], 0)</f>
        <v>200</v>
      </c>
      <c r="H65" s="37" cm="1">
        <f t="array" ref="H65">Common_InputFunctions.Utility_DisplayArrayInTable(SourceData_PastureBeef.SourceData_PastureBeef_LiveweightNTQLD_Data(),Table_SourceData_PastureBeef_LiveweightNTQD[[#Headers],[State]], 0)</f>
        <v>660</v>
      </c>
      <c r="I65" s="37" cm="1">
        <f t="array" ref="I65">Common_InputFunctions.Utility_DisplayArrayInTable(SourceData_PastureBeef.SourceData_PastureBeef_LiveweightNTQLD_Data(),Table_SourceData_PastureBeef_LiveweightNTQD[[#Headers],[State]], 0)</f>
        <v>202</v>
      </c>
      <c r="J65" s="37" cm="1">
        <f t="array" ref="J65">Common_InputFunctions.Utility_DisplayArrayInTable(SourceData_PastureBeef.SourceData_PastureBeef_LiveweightNTQLD_Data(),Table_SourceData_PastureBeef_LiveweightNTQD[[#Headers],[State]], 0)</f>
        <v>272</v>
      </c>
      <c r="K65" s="37" cm="1">
        <f t="array" ref="K65">Common_InputFunctions.Utility_DisplayArrayInTable(SourceData_PastureBeef.SourceData_PastureBeef_LiveweightNTQLD_Data(),Table_SourceData_PastureBeef_LiveweightNTQD[[#Headers],[State]], 0)</f>
        <v>365</v>
      </c>
      <c r="L65" s="37" cm="1">
        <f t="array" ref="L65">Common_InputFunctions.Utility_DisplayArrayInTable(SourceData_PastureBeef.SourceData_PastureBeef_LiveweightNTQLD_Data(),Table_SourceData_PastureBeef_LiveweightNTQD[[#Headers],[State]], 0)</f>
        <v>390</v>
      </c>
      <c r="M65" s="37" cm="1">
        <f t="array" ref="M65">Common_InputFunctions.Utility_DisplayArrayInTable(SourceData_PastureBeef.SourceData_PastureBeef_LiveweightNTQLD_Data(),Table_SourceData_PastureBeef_LiveweightNTQD[[#Headers],[State]], 0)</f>
        <v>208</v>
      </c>
      <c r="N65" s="37" cm="1">
        <f t="array" ref="N65">Common_InputFunctions.Utility_DisplayArrayInTable(SourceData_PastureBeef.SourceData_PastureBeef_LiveweightNTQLD_Data(),Table_SourceData_PastureBeef_LiveweightNTQD[[#Headers],[State]], 0)</f>
        <v>260</v>
      </c>
      <c r="O65" s="37" cm="1">
        <f t="array" ref="O65">Common_InputFunctions.Utility_DisplayArrayInTable(SourceData_PastureBeef.SourceData_PastureBeef_LiveweightNTQLD_Data(),Table_SourceData_PastureBeef_LiveweightNTQD[[#Headers],[State]], 0)</f>
        <v>337</v>
      </c>
      <c r="P65" s="37"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7" t="str" cm="1">
        <f t="array" ref="E66">Common_InputFunctions.Utility_DisplayArrayInTable(SourceData_PastureBeef.SourceData_PastureBeef_LiveweightNTQLD_Data(),Table_SourceData_PastureBeef_LiveweightNTQD[[#Headers],[State]], 0)</f>
        <v>High</v>
      </c>
      <c r="F66" s="37" t="str" cm="1">
        <f t="array" ref="F66">Common_InputFunctions.Utility_DisplayArrayInTable(SourceData_PastureBeef.SourceData_PastureBeef_LiveweightNTQLD_Data(),Table_SourceData_PastureBeef_LiveweightNTQD[[#Headers],[State]], 0)</f>
        <v>Spring</v>
      </c>
      <c r="G66" s="37" cm="1">
        <f t="array" ref="G66">Common_InputFunctions.Utility_DisplayArrayInTable(SourceData_PastureBeef.SourceData_PastureBeef_LiveweightNTQLD_Data(),Table_SourceData_PastureBeef_LiveweightNTQD[[#Headers],[State]], 0)</f>
        <v>260</v>
      </c>
      <c r="H66" s="37" cm="1">
        <f t="array" ref="H66">Common_InputFunctions.Utility_DisplayArrayInTable(SourceData_PastureBeef.SourceData_PastureBeef_LiveweightNTQLD_Data(),Table_SourceData_PastureBeef_LiveweightNTQD[[#Headers],[State]], 0)</f>
        <v>705</v>
      </c>
      <c r="I66" s="37" cm="1">
        <f t="array" ref="I66">Common_InputFunctions.Utility_DisplayArrayInTable(SourceData_PastureBeef.SourceData_PastureBeef_LiveweightNTQLD_Data(),Table_SourceData_PastureBeef_LiveweightNTQD[[#Headers],[State]], 0)</f>
        <v>215</v>
      </c>
      <c r="J66" s="37" cm="1">
        <f t="array" ref="J66">Common_InputFunctions.Utility_DisplayArrayInTable(SourceData_PastureBeef.SourceData_PastureBeef_LiveweightNTQLD_Data(),Table_SourceData_PastureBeef_LiveweightNTQD[[#Headers],[State]], 0)</f>
        <v>302</v>
      </c>
      <c r="K66" s="37" cm="1">
        <f t="array" ref="K66">Common_InputFunctions.Utility_DisplayArrayInTable(SourceData_PastureBeef.SourceData_PastureBeef_LiveweightNTQLD_Data(),Table_SourceData_PastureBeef_LiveweightNTQD[[#Headers],[State]], 0)</f>
        <v>416</v>
      </c>
      <c r="L66" s="37" cm="1">
        <f t="array" ref="L66">Common_InputFunctions.Utility_DisplayArrayInTable(SourceData_PastureBeef.SourceData_PastureBeef_LiveweightNTQLD_Data(),Table_SourceData_PastureBeef_LiveweightNTQD[[#Headers],[State]], 0)</f>
        <v>519</v>
      </c>
      <c r="M66" s="37" cm="1">
        <f t="array" ref="M66">Common_InputFunctions.Utility_DisplayArrayInTable(SourceData_PastureBeef.SourceData_PastureBeef_LiveweightNTQLD_Data(),Table_SourceData_PastureBeef_LiveweightNTQD[[#Headers],[State]], 0)</f>
        <v>234</v>
      </c>
      <c r="N66" s="37" cm="1">
        <f t="array" ref="N66">Common_InputFunctions.Utility_DisplayArrayInTable(SourceData_PastureBeef.SourceData_PastureBeef_LiveweightNTQLD_Data(),Table_SourceData_PastureBeef_LiveweightNTQD[[#Headers],[State]], 0)</f>
        <v>455</v>
      </c>
      <c r="O66" s="37" cm="1">
        <f t="array" ref="O66">Common_InputFunctions.Utility_DisplayArrayInTable(SourceData_PastureBeef.SourceData_PastureBeef_LiveweightNTQLD_Data(),Table_SourceData_PastureBeef_LiveweightNTQD[[#Headers],[State]], 0)</f>
        <v>551</v>
      </c>
      <c r="P66" s="37"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7" t="str" cm="1">
        <f t="array" ref="E67">Common_InputFunctions.Utility_DisplayArrayInTable(SourceData_PastureBeef.SourceData_PastureBeef_LiveweightNTQLD_Data(),Table_SourceData_PastureBeef_LiveweightNTQD[[#Headers],[State]], 0)</f>
        <v>High</v>
      </c>
      <c r="F67" s="37" t="str" cm="1">
        <f t="array" ref="F67">Common_InputFunctions.Utility_DisplayArrayInTable(SourceData_PastureBeef.SourceData_PastureBeef_LiveweightNTQLD_Data(),Table_SourceData_PastureBeef_LiveweightNTQD[[#Headers],[State]], 0)</f>
        <v>Summer</v>
      </c>
      <c r="G67" s="37" cm="1">
        <f t="array" ref="G67">Common_InputFunctions.Utility_DisplayArrayInTable(SourceData_PastureBeef.SourceData_PastureBeef_LiveweightNTQLD_Data(),Table_SourceData_PastureBeef_LiveweightNTQD[[#Headers],[State]], 0)</f>
        <v>153</v>
      </c>
      <c r="H67" s="37" cm="1">
        <f t="array" ref="H67">Common_InputFunctions.Utility_DisplayArrayInTable(SourceData_PastureBeef.SourceData_PastureBeef_LiveweightNTQLD_Data(),Table_SourceData_PastureBeef_LiveweightNTQD[[#Headers],[State]], 0)</f>
        <v>703</v>
      </c>
      <c r="I67" s="37" cm="1">
        <f t="array" ref="I67">Common_InputFunctions.Utility_DisplayArrayInTable(SourceData_PastureBeef.SourceData_PastureBeef_LiveweightNTQLD_Data(),Table_SourceData_PastureBeef_LiveweightNTQD[[#Headers],[State]], 0)</f>
        <v>118</v>
      </c>
      <c r="J67" s="37" cm="1">
        <f t="array" ref="J67">Common_InputFunctions.Utility_DisplayArrayInTable(SourceData_PastureBeef.SourceData_PastureBeef_LiveweightNTQLD_Data(),Table_SourceData_PastureBeef_LiveweightNTQD[[#Headers],[State]], 0)</f>
        <v>277</v>
      </c>
      <c r="K67" s="37" cm="1">
        <f t="array" ref="K67">Common_InputFunctions.Utility_DisplayArrayInTable(SourceData_PastureBeef.SourceData_PastureBeef_LiveweightNTQLD_Data(),Table_SourceData_PastureBeef_LiveweightNTQD[[#Headers],[State]], 0)</f>
        <v>397</v>
      </c>
      <c r="L67" s="37" cm="1">
        <f t="array" ref="L67">Common_InputFunctions.Utility_DisplayArrayInTable(SourceData_PastureBeef.SourceData_PastureBeef_LiveweightNTQLD_Data(),Table_SourceData_PastureBeef_LiveweightNTQD[[#Headers],[State]], 0)</f>
        <v>483</v>
      </c>
      <c r="M67" s="37" cm="1">
        <f t="array" ref="M67">Common_InputFunctions.Utility_DisplayArrayInTable(SourceData_PastureBeef.SourceData_PastureBeef_LiveweightNTQLD_Data(),Table_SourceData_PastureBeef_LiveweightNTQD[[#Headers],[State]], 0)</f>
        <v>111</v>
      </c>
      <c r="N67" s="37" cm="1">
        <f t="array" ref="N67">Common_InputFunctions.Utility_DisplayArrayInTable(SourceData_PastureBeef.SourceData_PastureBeef_LiveweightNTQLD_Data(),Table_SourceData_PastureBeef_LiveweightNTQD[[#Headers],[State]], 0)</f>
        <v>304</v>
      </c>
      <c r="O67" s="37" cm="1">
        <f t="array" ref="O67">Common_InputFunctions.Utility_DisplayArrayInTable(SourceData_PastureBeef.SourceData_PastureBeef_LiveweightNTQLD_Data(),Table_SourceData_PastureBeef_LiveweightNTQD[[#Headers],[State]], 0)</f>
        <v>521</v>
      </c>
      <c r="P67" s="37"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7" t="str" cm="1">
        <f t="array" ref="E68">Common_InputFunctions.Utility_DisplayArrayInTable(SourceData_PastureBeef.SourceData_PastureBeef_LiveweightNTQLD_Data(),Table_SourceData_PastureBeef_LiveweightNTQD[[#Headers],[State]], 0)</f>
        <v>High</v>
      </c>
      <c r="F68" s="37" t="str" cm="1">
        <f t="array" ref="F68">Common_InputFunctions.Utility_DisplayArrayInTable(SourceData_PastureBeef.SourceData_PastureBeef_LiveweightNTQLD_Data(),Table_SourceData_PastureBeef_LiveweightNTQD[[#Headers],[State]], 0)</f>
        <v>Autumn</v>
      </c>
      <c r="G68" s="37" cm="1">
        <f t="array" ref="G68">Common_InputFunctions.Utility_DisplayArrayInTable(SourceData_PastureBeef.SourceData_PastureBeef_LiveweightNTQLD_Data(),Table_SourceData_PastureBeef_LiveweightNTQD[[#Headers],[State]], 0)</f>
        <v>168</v>
      </c>
      <c r="H68" s="37" cm="1">
        <f t="array" ref="H68">Common_InputFunctions.Utility_DisplayArrayInTable(SourceData_PastureBeef.SourceData_PastureBeef_LiveweightNTQLD_Data(),Table_SourceData_PastureBeef_LiveweightNTQD[[#Headers],[State]], 0)</f>
        <v>718</v>
      </c>
      <c r="I68" s="37" cm="1">
        <f t="array" ref="I68">Common_InputFunctions.Utility_DisplayArrayInTable(SourceData_PastureBeef.SourceData_PastureBeef_LiveweightNTQLD_Data(),Table_SourceData_PastureBeef_LiveweightNTQD[[#Headers],[State]], 0)</f>
        <v>191</v>
      </c>
      <c r="J68" s="37" cm="1">
        <f t="array" ref="J68">Common_InputFunctions.Utility_DisplayArrayInTable(SourceData_PastureBeef.SourceData_PastureBeef_LiveweightNTQLD_Data(),Table_SourceData_PastureBeef_LiveweightNTQD[[#Headers],[State]], 0)</f>
        <v>319</v>
      </c>
      <c r="K68" s="37" cm="1">
        <f t="array" ref="K68">Common_InputFunctions.Utility_DisplayArrayInTable(SourceData_PastureBeef.SourceData_PastureBeef_LiveweightNTQLD_Data(),Table_SourceData_PastureBeef_LiveweightNTQD[[#Headers],[State]], 0)</f>
        <v>440</v>
      </c>
      <c r="L68" s="37" cm="1">
        <f t="array" ref="L68">Common_InputFunctions.Utility_DisplayArrayInTable(SourceData_PastureBeef.SourceData_PastureBeef_LiveweightNTQLD_Data(),Table_SourceData_PastureBeef_LiveweightNTQD[[#Headers],[State]], 0)</f>
        <v>506</v>
      </c>
      <c r="M68" s="37" cm="1">
        <f t="array" ref="M68">Common_InputFunctions.Utility_DisplayArrayInTable(SourceData_PastureBeef.SourceData_PastureBeef_LiveweightNTQLD_Data(),Table_SourceData_PastureBeef_LiveweightNTQD[[#Headers],[State]], 0)</f>
        <v>188</v>
      </c>
      <c r="N68" s="37" cm="1">
        <f t="array" ref="N68">Common_InputFunctions.Utility_DisplayArrayInTable(SourceData_PastureBeef.SourceData_PastureBeef_LiveweightNTQLD_Data(),Table_SourceData_PastureBeef_LiveweightNTQD[[#Headers],[State]], 0)</f>
        <v>326</v>
      </c>
      <c r="O68" s="37" cm="1">
        <f t="array" ref="O68">Common_InputFunctions.Utility_DisplayArrayInTable(SourceData_PastureBeef.SourceData_PastureBeef_LiveweightNTQLD_Data(),Table_SourceData_PastureBeef_LiveweightNTQD[[#Headers],[State]], 0)</f>
        <v>520</v>
      </c>
      <c r="P68" s="37"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7" t="str" cm="1">
        <f t="array" ref="E69">Common_InputFunctions.Utility_DisplayArrayInTable(SourceData_PastureBeef.SourceData_PastureBeef_LiveweightNTQLD_Data(),Table_SourceData_PastureBeef_LiveweightNTQD[[#Headers],[State]], 0)</f>
        <v>High</v>
      </c>
      <c r="F69" s="37" t="str" cm="1">
        <f t="array" ref="F69">Common_InputFunctions.Utility_DisplayArrayInTable(SourceData_PastureBeef.SourceData_PastureBeef_LiveweightNTQLD_Data(),Table_SourceData_PastureBeef_LiveweightNTQD[[#Headers],[State]], 0)</f>
        <v>Winter</v>
      </c>
      <c r="G69" s="37" cm="1">
        <f t="array" ref="G69">Common_InputFunctions.Utility_DisplayArrayInTable(SourceData_PastureBeef.SourceData_PastureBeef_LiveweightNTQLD_Data(),Table_SourceData_PastureBeef_LiveweightNTQD[[#Headers],[State]], 0)</f>
        <v>235</v>
      </c>
      <c r="H69" s="37" cm="1">
        <f t="array" ref="H69">Common_InputFunctions.Utility_DisplayArrayInTable(SourceData_PastureBeef.SourceData_PastureBeef_LiveweightNTQLD_Data(),Table_SourceData_PastureBeef_LiveweightNTQD[[#Headers],[State]], 0)</f>
        <v>722</v>
      </c>
      <c r="I69" s="37" cm="1">
        <f t="array" ref="I69">Common_InputFunctions.Utility_DisplayArrayInTable(SourceData_PastureBeef.SourceData_PastureBeef_LiveweightNTQLD_Data(),Table_SourceData_PastureBeef_LiveweightNTQD[[#Headers],[State]], 0)</f>
        <v>207</v>
      </c>
      <c r="J69" s="37" cm="1">
        <f t="array" ref="J69">Common_InputFunctions.Utility_DisplayArrayInTable(SourceData_PastureBeef.SourceData_PastureBeef_LiveweightNTQLD_Data(),Table_SourceData_PastureBeef_LiveweightNTQD[[#Headers],[State]], 0)</f>
        <v>352</v>
      </c>
      <c r="K69" s="37" cm="1">
        <f t="array" ref="K69">Common_InputFunctions.Utility_DisplayArrayInTable(SourceData_PastureBeef.SourceData_PastureBeef_LiveweightNTQLD_Data(),Table_SourceData_PastureBeef_LiveweightNTQD[[#Headers],[State]], 0)</f>
        <v>470</v>
      </c>
      <c r="L69" s="37" cm="1">
        <f t="array" ref="L69">Common_InputFunctions.Utility_DisplayArrayInTable(SourceData_PastureBeef.SourceData_PastureBeef_LiveweightNTQLD_Data(),Table_SourceData_PastureBeef_LiveweightNTQD[[#Headers],[State]], 0)</f>
        <v>514</v>
      </c>
      <c r="M69" s="37" cm="1">
        <f t="array" ref="M69">Common_InputFunctions.Utility_DisplayArrayInTable(SourceData_PastureBeef.SourceData_PastureBeef_LiveweightNTQLD_Data(),Table_SourceData_PastureBeef_LiveweightNTQD[[#Headers],[State]], 0)</f>
        <v>209</v>
      </c>
      <c r="N69" s="37" cm="1">
        <f t="array" ref="N69">Common_InputFunctions.Utility_DisplayArrayInTable(SourceData_PastureBeef.SourceData_PastureBeef_LiveweightNTQLD_Data(),Table_SourceData_PastureBeef_LiveweightNTQD[[#Headers],[State]], 0)</f>
        <v>421</v>
      </c>
      <c r="O69" s="37" cm="1">
        <f t="array" ref="O69">Common_InputFunctions.Utility_DisplayArrayInTable(SourceData_PastureBeef.SourceData_PastureBeef_LiveweightNTQLD_Data(),Table_SourceData_PastureBeef_LiveweightNTQD[[#Headers],[State]], 0)</f>
        <v>512</v>
      </c>
      <c r="P69" s="37"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7" t="str" cm="1">
        <f t="array" ref="E70">Common_InputFunctions.Utility_DisplayArrayInTable(SourceData_PastureBeef.SourceData_PastureBeef_LiveweightNTQLD_Data(),Table_SourceData_PastureBeef_LiveweightNTQD[[#Headers],[State]], 0)</f>
        <v>Moderate/High</v>
      </c>
      <c r="F70" s="37" t="str" cm="1">
        <f t="array" ref="F70">Common_InputFunctions.Utility_DisplayArrayInTable(SourceData_PastureBeef.SourceData_PastureBeef_LiveweightNTQLD_Data(),Table_SourceData_PastureBeef_LiveweightNTQD[[#Headers],[State]], 0)</f>
        <v>Spring</v>
      </c>
      <c r="G70" s="37" cm="1">
        <f t="array" ref="G70">Common_InputFunctions.Utility_DisplayArrayInTable(SourceData_PastureBeef.SourceData_PastureBeef_LiveweightNTQLD_Data(),Table_SourceData_PastureBeef_LiveweightNTQD[[#Headers],[State]], 0)</f>
        <v>230</v>
      </c>
      <c r="H70" s="37" cm="1">
        <f t="array" ref="H70">Common_InputFunctions.Utility_DisplayArrayInTable(SourceData_PastureBeef.SourceData_PastureBeef_LiveweightNTQLD_Data(),Table_SourceData_PastureBeef_LiveweightNTQD[[#Headers],[State]], 0)</f>
        <v>674</v>
      </c>
      <c r="I70" s="37" cm="1">
        <f t="array" ref="I70">Common_InputFunctions.Utility_DisplayArrayInTable(SourceData_PastureBeef.SourceData_PastureBeef_LiveweightNTQLD_Data(),Table_SourceData_PastureBeef_LiveweightNTQD[[#Headers],[State]], 0)</f>
        <v>217</v>
      </c>
      <c r="J70" s="37" cm="1">
        <f t="array" ref="J70">Common_InputFunctions.Utility_DisplayArrayInTable(SourceData_PastureBeef.SourceData_PastureBeef_LiveweightNTQLD_Data(),Table_SourceData_PastureBeef_LiveweightNTQD[[#Headers],[State]], 0)</f>
        <v>344</v>
      </c>
      <c r="K70" s="37" cm="1">
        <f t="array" ref="K70">Common_InputFunctions.Utility_DisplayArrayInTable(SourceData_PastureBeef.SourceData_PastureBeef_LiveweightNTQLD_Data(),Table_SourceData_PastureBeef_LiveweightNTQD[[#Headers],[State]], 0)</f>
        <v>357</v>
      </c>
      <c r="L70" s="37" cm="1">
        <f t="array" ref="L70">Common_InputFunctions.Utility_DisplayArrayInTable(SourceData_PastureBeef.SourceData_PastureBeef_LiveweightNTQLD_Data(),Table_SourceData_PastureBeef_LiveweightNTQD[[#Headers],[State]], 0)</f>
        <v>467</v>
      </c>
      <c r="M70" s="37" cm="1">
        <f t="array" ref="M70">Common_InputFunctions.Utility_DisplayArrayInTable(SourceData_PastureBeef.SourceData_PastureBeef_LiveweightNTQLD_Data(),Table_SourceData_PastureBeef_LiveweightNTQD[[#Headers],[State]], 0)</f>
        <v>242</v>
      </c>
      <c r="N70" s="37" cm="1">
        <f t="array" ref="N70">Common_InputFunctions.Utility_DisplayArrayInTable(SourceData_PastureBeef.SourceData_PastureBeef_LiveweightNTQLD_Data(),Table_SourceData_PastureBeef_LiveweightNTQD[[#Headers],[State]], 0)</f>
        <v>370</v>
      </c>
      <c r="O70" s="37" cm="1">
        <f t="array" ref="O70">Common_InputFunctions.Utility_DisplayArrayInTable(SourceData_PastureBeef.SourceData_PastureBeef_LiveweightNTQLD_Data(),Table_SourceData_PastureBeef_LiveweightNTQD[[#Headers],[State]], 0)</f>
        <v>550</v>
      </c>
      <c r="P70" s="37"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7" t="str" cm="1">
        <f t="array" ref="E71">Common_InputFunctions.Utility_DisplayArrayInTable(SourceData_PastureBeef.SourceData_PastureBeef_LiveweightNTQLD_Data(),Table_SourceData_PastureBeef_LiveweightNTQD[[#Headers],[State]], 0)</f>
        <v>Moderate/High</v>
      </c>
      <c r="F71" s="37" t="str" cm="1">
        <f t="array" ref="F71">Common_InputFunctions.Utility_DisplayArrayInTable(SourceData_PastureBeef.SourceData_PastureBeef_LiveweightNTQLD_Data(),Table_SourceData_PastureBeef_LiveweightNTQD[[#Headers],[State]], 0)</f>
        <v>Summer</v>
      </c>
      <c r="G71" s="37" cm="1">
        <f t="array" ref="G71">Common_InputFunctions.Utility_DisplayArrayInTable(SourceData_PastureBeef.SourceData_PastureBeef_LiveweightNTQLD_Data(),Table_SourceData_PastureBeef_LiveweightNTQD[[#Headers],[State]], 0)</f>
        <v>113</v>
      </c>
      <c r="H71" s="37" cm="1">
        <f t="array" ref="H71">Common_InputFunctions.Utility_DisplayArrayInTable(SourceData_PastureBeef.SourceData_PastureBeef_LiveweightNTQLD_Data(),Table_SourceData_PastureBeef_LiveweightNTQD[[#Headers],[State]], 0)</f>
        <v>669</v>
      </c>
      <c r="I71" s="37" cm="1">
        <f t="array" ref="I71">Common_InputFunctions.Utility_DisplayArrayInTable(SourceData_PastureBeef.SourceData_PastureBeef_LiveweightNTQLD_Data(),Table_SourceData_PastureBeef_LiveweightNTQD[[#Headers],[State]], 0)</f>
        <v>113</v>
      </c>
      <c r="J71" s="37" cm="1">
        <f t="array" ref="J71">Common_InputFunctions.Utility_DisplayArrayInTable(SourceData_PastureBeef.SourceData_PastureBeef_LiveweightNTQLD_Data(),Table_SourceData_PastureBeef_LiveweightNTQD[[#Headers],[State]], 0)</f>
        <v>283</v>
      </c>
      <c r="K71" s="37" cm="1">
        <f t="array" ref="K71">Common_InputFunctions.Utility_DisplayArrayInTable(SourceData_PastureBeef.SourceData_PastureBeef_LiveweightNTQLD_Data(),Table_SourceData_PastureBeef_LiveweightNTQD[[#Headers],[State]], 0)</f>
        <v>361</v>
      </c>
      <c r="L71" s="37" cm="1">
        <f t="array" ref="L71">Common_InputFunctions.Utility_DisplayArrayInTable(SourceData_PastureBeef.SourceData_PastureBeef_LiveweightNTQLD_Data(),Table_SourceData_PastureBeef_LiveweightNTQD[[#Headers],[State]], 0)</f>
        <v>477</v>
      </c>
      <c r="M71" s="37" cm="1">
        <f t="array" ref="M71">Common_InputFunctions.Utility_DisplayArrayInTable(SourceData_PastureBeef.SourceData_PastureBeef_LiveweightNTQLD_Data(),Table_SourceData_PastureBeef_LiveweightNTQD[[#Headers],[State]], 0)</f>
        <v>120</v>
      </c>
      <c r="N71" s="37" cm="1">
        <f t="array" ref="N71">Common_InputFunctions.Utility_DisplayArrayInTable(SourceData_PastureBeef.SourceData_PastureBeef_LiveweightNTQLD_Data(),Table_SourceData_PastureBeef_LiveweightNTQD[[#Headers],[State]], 0)</f>
        <v>273</v>
      </c>
      <c r="O71" s="37" cm="1">
        <f t="array" ref="O71">Common_InputFunctions.Utility_DisplayArrayInTable(SourceData_PastureBeef.SourceData_PastureBeef_LiveweightNTQLD_Data(),Table_SourceData_PastureBeef_LiveweightNTQD[[#Headers],[State]], 0)</f>
        <v>545</v>
      </c>
      <c r="P71" s="37"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7" t="str" cm="1">
        <f t="array" ref="E72">Common_InputFunctions.Utility_DisplayArrayInTable(SourceData_PastureBeef.SourceData_PastureBeef_LiveweightNTQLD_Data(),Table_SourceData_PastureBeef_LiveweightNTQD[[#Headers],[State]], 0)</f>
        <v>Moderate/High</v>
      </c>
      <c r="F72" s="37" t="str" cm="1">
        <f t="array" ref="F72">Common_InputFunctions.Utility_DisplayArrayInTable(SourceData_PastureBeef.SourceData_PastureBeef_LiveweightNTQLD_Data(),Table_SourceData_PastureBeef_LiveweightNTQD[[#Headers],[State]], 0)</f>
        <v>Autumn</v>
      </c>
      <c r="G72" s="37" cm="1">
        <f t="array" ref="G72">Common_InputFunctions.Utility_DisplayArrayInTable(SourceData_PastureBeef.SourceData_PastureBeef_LiveweightNTQLD_Data(),Table_SourceData_PastureBeef_LiveweightNTQD[[#Headers],[State]], 0)</f>
        <v>172</v>
      </c>
      <c r="H72" s="37" cm="1">
        <f t="array" ref="H72">Common_InputFunctions.Utility_DisplayArrayInTable(SourceData_PastureBeef.SourceData_PastureBeef_LiveweightNTQLD_Data(),Table_SourceData_PastureBeef_LiveweightNTQD[[#Headers],[State]], 0)</f>
        <v>685</v>
      </c>
      <c r="I72" s="37" cm="1">
        <f t="array" ref="I72">Common_InputFunctions.Utility_DisplayArrayInTable(SourceData_PastureBeef.SourceData_PastureBeef_LiveweightNTQLD_Data(),Table_SourceData_PastureBeef_LiveweightNTQD[[#Headers],[State]], 0)</f>
        <v>172</v>
      </c>
      <c r="J72" s="37" cm="1">
        <f t="array" ref="J72">Common_InputFunctions.Utility_DisplayArrayInTable(SourceData_PastureBeef.SourceData_PastureBeef_LiveweightNTQLD_Data(),Table_SourceData_PastureBeef_LiveweightNTQD[[#Headers],[State]], 0)</f>
        <v>309</v>
      </c>
      <c r="K72" s="37" cm="1">
        <f t="array" ref="K72">Common_InputFunctions.Utility_DisplayArrayInTable(SourceData_PastureBeef.SourceData_PastureBeef_LiveweightNTQLD_Data(),Table_SourceData_PastureBeef_LiveweightNTQD[[#Headers],[State]], 0)</f>
        <v>376</v>
      </c>
      <c r="L72" s="37" cm="1">
        <f t="array" ref="L72">Common_InputFunctions.Utility_DisplayArrayInTable(SourceData_PastureBeef.SourceData_PastureBeef_LiveweightNTQLD_Data(),Table_SourceData_PastureBeef_LiveweightNTQD[[#Headers],[State]], 0)</f>
        <v>471</v>
      </c>
      <c r="M72" s="37" cm="1">
        <f t="array" ref="M72">Common_InputFunctions.Utility_DisplayArrayInTable(SourceData_PastureBeef.SourceData_PastureBeef_LiveweightNTQLD_Data(),Table_SourceData_PastureBeef_LiveweightNTQD[[#Headers],[State]], 0)</f>
        <v>238</v>
      </c>
      <c r="N72" s="37" cm="1">
        <f t="array" ref="N72">Common_InputFunctions.Utility_DisplayArrayInTable(SourceData_PastureBeef.SourceData_PastureBeef_LiveweightNTQLD_Data(),Table_SourceData_PastureBeef_LiveweightNTQD[[#Headers],[State]], 0)</f>
        <v>329</v>
      </c>
      <c r="O72" s="37" cm="1">
        <f t="array" ref="O72">Common_InputFunctions.Utility_DisplayArrayInTable(SourceData_PastureBeef.SourceData_PastureBeef_LiveweightNTQLD_Data(),Table_SourceData_PastureBeef_LiveweightNTQD[[#Headers],[State]], 0)</f>
        <v>573</v>
      </c>
      <c r="P72" s="37"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7" t="str" cm="1">
        <f t="array" ref="E73">Common_InputFunctions.Utility_DisplayArrayInTable(SourceData_PastureBeef.SourceData_PastureBeef_LiveweightNTQLD_Data(),Table_SourceData_PastureBeef_LiveweightNTQD[[#Headers],[State]], 0)</f>
        <v>Moderate/High</v>
      </c>
      <c r="F73" s="37" t="str" cm="1">
        <f t="array" ref="F73">Common_InputFunctions.Utility_DisplayArrayInTable(SourceData_PastureBeef.SourceData_PastureBeef_LiveweightNTQLD_Data(),Table_SourceData_PastureBeef_LiveweightNTQD[[#Headers],[State]], 0)</f>
        <v>Winter</v>
      </c>
      <c r="G73" s="37" cm="1">
        <f t="array" ref="G73">Common_InputFunctions.Utility_DisplayArrayInTable(SourceData_PastureBeef.SourceData_PastureBeef_LiveweightNTQLD_Data(),Table_SourceData_PastureBeef_LiveweightNTQD[[#Headers],[State]], 0)</f>
        <v>241</v>
      </c>
      <c r="H73" s="37" cm="1">
        <f t="array" ref="H73">Common_InputFunctions.Utility_DisplayArrayInTable(SourceData_PastureBeef.SourceData_PastureBeef_LiveweightNTQLD_Data(),Table_SourceData_PastureBeef_LiveweightNTQD[[#Headers],[State]], 0)</f>
        <v>692</v>
      </c>
      <c r="I73" s="37" cm="1">
        <f t="array" ref="I73">Common_InputFunctions.Utility_DisplayArrayInTable(SourceData_PastureBeef.SourceData_PastureBeef_LiveweightNTQLD_Data(),Table_SourceData_PastureBeef_LiveweightNTQD[[#Headers],[State]], 0)</f>
        <v>208</v>
      </c>
      <c r="J73" s="37" cm="1">
        <f t="array" ref="J73">Common_InputFunctions.Utility_DisplayArrayInTable(SourceData_PastureBeef.SourceData_PastureBeef_LiveweightNTQLD_Data(),Table_SourceData_PastureBeef_LiveweightNTQD[[#Headers],[State]], 0)</f>
        <v>344</v>
      </c>
      <c r="K73" s="37" cm="1">
        <f t="array" ref="K73">Common_InputFunctions.Utility_DisplayArrayInTable(SourceData_PastureBeef.SourceData_PastureBeef_LiveweightNTQLD_Data(),Table_SourceData_PastureBeef_LiveweightNTQD[[#Headers],[State]], 0)</f>
        <v>364</v>
      </c>
      <c r="L73" s="37" cm="1">
        <f t="array" ref="L73">Common_InputFunctions.Utility_DisplayArrayInTable(SourceData_PastureBeef.SourceData_PastureBeef_LiveweightNTQLD_Data(),Table_SourceData_PastureBeef_LiveweightNTQD[[#Headers],[State]], 0)</f>
        <v>484</v>
      </c>
      <c r="M73" s="37" cm="1">
        <f t="array" ref="M73">Common_InputFunctions.Utility_DisplayArrayInTable(SourceData_PastureBeef.SourceData_PastureBeef_LiveweightNTQLD_Data(),Table_SourceData_PastureBeef_LiveweightNTQD[[#Headers],[State]], 0)</f>
        <v>260</v>
      </c>
      <c r="N73" s="37" cm="1">
        <f t="array" ref="N73">Common_InputFunctions.Utility_DisplayArrayInTable(SourceData_PastureBeef.SourceData_PastureBeef_LiveweightNTQLD_Data(),Table_SourceData_PastureBeef_LiveweightNTQD[[#Headers],[State]], 0)</f>
        <v>350</v>
      </c>
      <c r="O73" s="37" cm="1">
        <f t="array" ref="O73">Common_InputFunctions.Utility_DisplayArrayInTable(SourceData_PastureBeef.SourceData_PastureBeef_LiveweightNTQLD_Data(),Table_SourceData_PastureBeef_LiveweightNTQD[[#Headers],[State]], 0)</f>
        <v>567</v>
      </c>
      <c r="P73" s="37"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7" t="str" cm="1">
        <f t="array" ref="E74">Common_InputFunctions.Utility_DisplayArrayInTable(SourceData_PastureBeef.SourceData_PastureBeef_LiveweightNTQLD_Data(),Table_SourceData_PastureBeef_LiveweightNTQD[[#Headers],[State]], 0)</f>
        <v>Moderate/Low</v>
      </c>
      <c r="F74" s="37" t="str" cm="1">
        <f t="array" ref="F74">Common_InputFunctions.Utility_DisplayArrayInTable(SourceData_PastureBeef.SourceData_PastureBeef_LiveweightNTQLD_Data(),Table_SourceData_PastureBeef_LiveweightNTQD[[#Headers],[State]], 0)</f>
        <v>Spring</v>
      </c>
      <c r="G74" s="37" cm="1">
        <f t="array" ref="G74">Common_InputFunctions.Utility_DisplayArrayInTable(SourceData_PastureBeef.SourceData_PastureBeef_LiveweightNTQLD_Data(),Table_SourceData_PastureBeef_LiveweightNTQD[[#Headers],[State]], 0)</f>
        <v>236</v>
      </c>
      <c r="H74" s="37" cm="1">
        <f t="array" ref="H74">Common_InputFunctions.Utility_DisplayArrayInTable(SourceData_PastureBeef.SourceData_PastureBeef_LiveweightNTQLD_Data(),Table_SourceData_PastureBeef_LiveweightNTQD[[#Headers],[State]], 0)</f>
        <v>674</v>
      </c>
      <c r="I74" s="37" cm="1">
        <f t="array" ref="I74">Common_InputFunctions.Utility_DisplayArrayInTable(SourceData_PastureBeef.SourceData_PastureBeef_LiveweightNTQLD_Data(),Table_SourceData_PastureBeef_LiveweightNTQD[[#Headers],[State]], 0)</f>
        <v>178</v>
      </c>
      <c r="J74" s="37" cm="1">
        <f t="array" ref="J74">Common_InputFunctions.Utility_DisplayArrayInTable(SourceData_PastureBeef.SourceData_PastureBeef_LiveweightNTQLD_Data(),Table_SourceData_PastureBeef_LiveweightNTQD[[#Headers],[State]], 0)</f>
        <v>310</v>
      </c>
      <c r="K74" s="37" cm="1">
        <f t="array" ref="K74">Common_InputFunctions.Utility_DisplayArrayInTable(SourceData_PastureBeef.SourceData_PastureBeef_LiveweightNTQLD_Data(),Table_SourceData_PastureBeef_LiveweightNTQD[[#Headers],[State]], 0)</f>
        <v>428</v>
      </c>
      <c r="L74" s="37" cm="1">
        <f t="array" ref="L74">Common_InputFunctions.Utility_DisplayArrayInTable(SourceData_PastureBeef.SourceData_PastureBeef_LiveweightNTQLD_Data(),Table_SourceData_PastureBeef_LiveweightNTQD[[#Headers],[State]], 0)</f>
        <v>466</v>
      </c>
      <c r="M74" s="37" cm="1">
        <f t="array" ref="M74">Common_InputFunctions.Utility_DisplayArrayInTable(SourceData_PastureBeef.SourceData_PastureBeef_LiveweightNTQLD_Data(),Table_SourceData_PastureBeef_LiveweightNTQD[[#Headers],[State]], 0)</f>
        <v>193</v>
      </c>
      <c r="N74" s="37" cm="1">
        <f t="array" ref="N74">Common_InputFunctions.Utility_DisplayArrayInTable(SourceData_PastureBeef.SourceData_PastureBeef_LiveweightNTQLD_Data(),Table_SourceData_PastureBeef_LiveweightNTQD[[#Headers],[State]], 0)</f>
        <v>370</v>
      </c>
      <c r="O74" s="37" cm="1">
        <f t="array" ref="O74">Common_InputFunctions.Utility_DisplayArrayInTable(SourceData_PastureBeef.SourceData_PastureBeef_LiveweightNTQLD_Data(),Table_SourceData_PastureBeef_LiveweightNTQD[[#Headers],[State]], 0)</f>
        <v>519</v>
      </c>
      <c r="P74" s="37"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7" t="str" cm="1">
        <f t="array" ref="E75">Common_InputFunctions.Utility_DisplayArrayInTable(SourceData_PastureBeef.SourceData_PastureBeef_LiveweightNTQLD_Data(),Table_SourceData_PastureBeef_LiveweightNTQD[[#Headers],[State]], 0)</f>
        <v>Moderate/Low</v>
      </c>
      <c r="F75" s="37" t="str" cm="1">
        <f t="array" ref="F75">Common_InputFunctions.Utility_DisplayArrayInTable(SourceData_PastureBeef.SourceData_PastureBeef_LiveweightNTQLD_Data(),Table_SourceData_PastureBeef_LiveweightNTQD[[#Headers],[State]], 0)</f>
        <v>Summer</v>
      </c>
      <c r="G75" s="37" cm="1">
        <f t="array" ref="G75">Common_InputFunctions.Utility_DisplayArrayInTable(SourceData_PastureBeef.SourceData_PastureBeef_LiveweightNTQLD_Data(),Table_SourceData_PastureBeef_LiveweightNTQD[[#Headers],[State]], 0)</f>
        <v>120</v>
      </c>
      <c r="H75" s="37" cm="1">
        <f t="array" ref="H75">Common_InputFunctions.Utility_DisplayArrayInTable(SourceData_PastureBeef.SourceData_PastureBeef_LiveweightNTQLD_Data(),Table_SourceData_PastureBeef_LiveweightNTQD[[#Headers],[State]], 0)</f>
        <v>669</v>
      </c>
      <c r="I75" s="37" cm="1">
        <f t="array" ref="I75">Common_InputFunctions.Utility_DisplayArrayInTable(SourceData_PastureBeef.SourceData_PastureBeef_LiveweightNTQLD_Data(),Table_SourceData_PastureBeef_LiveweightNTQD[[#Headers],[State]], 0)</f>
        <v>112</v>
      </c>
      <c r="J75" s="37" cm="1">
        <f t="array" ref="J75">Common_InputFunctions.Utility_DisplayArrayInTable(SourceData_PastureBeef.SourceData_PastureBeef_LiveweightNTQLD_Data(),Table_SourceData_PastureBeef_LiveweightNTQD[[#Headers],[State]], 0)</f>
        <v>250</v>
      </c>
      <c r="K75" s="37" cm="1">
        <f t="array" ref="K75">Common_InputFunctions.Utility_DisplayArrayInTable(SourceData_PastureBeef.SourceData_PastureBeef_LiveweightNTQLD_Data(),Table_SourceData_PastureBeef_LiveweightNTQD[[#Headers],[State]], 0)</f>
        <v>390</v>
      </c>
      <c r="L75" s="37" cm="1">
        <f t="array" ref="L75">Common_InputFunctions.Utility_DisplayArrayInTable(SourceData_PastureBeef.SourceData_PastureBeef_LiveweightNTQLD_Data(),Table_SourceData_PastureBeef_LiveweightNTQD[[#Headers],[State]], 0)</f>
        <v>448</v>
      </c>
      <c r="M75" s="37" cm="1">
        <f t="array" ref="M75">Common_InputFunctions.Utility_DisplayArrayInTable(SourceData_PastureBeef.SourceData_PastureBeef_LiveweightNTQLD_Data(),Table_SourceData_PastureBeef_LiveweightNTQD[[#Headers],[State]], 0)</f>
        <v>115</v>
      </c>
      <c r="N75" s="37" cm="1">
        <f t="array" ref="N75">Common_InputFunctions.Utility_DisplayArrayInTable(SourceData_PastureBeef.SourceData_PastureBeef_LiveweightNTQLD_Data(),Table_SourceData_PastureBeef_LiveweightNTQD[[#Headers],[State]], 0)</f>
        <v>273</v>
      </c>
      <c r="O75" s="37" cm="1">
        <f t="array" ref="O75">Common_InputFunctions.Utility_DisplayArrayInTable(SourceData_PastureBeef.SourceData_PastureBeef_LiveweightNTQLD_Data(),Table_SourceData_PastureBeef_LiveweightNTQD[[#Headers],[State]], 0)</f>
        <v>433</v>
      </c>
      <c r="P75" s="37"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7" t="str" cm="1">
        <f t="array" ref="E76">Common_InputFunctions.Utility_DisplayArrayInTable(SourceData_PastureBeef.SourceData_PastureBeef_LiveweightNTQLD_Data(),Table_SourceData_PastureBeef_LiveweightNTQD[[#Headers],[State]], 0)</f>
        <v>Moderate/Low</v>
      </c>
      <c r="F76" s="37" t="str" cm="1">
        <f t="array" ref="F76">Common_InputFunctions.Utility_DisplayArrayInTable(SourceData_PastureBeef.SourceData_PastureBeef_LiveweightNTQLD_Data(),Table_SourceData_PastureBeef_LiveweightNTQD[[#Headers],[State]], 0)</f>
        <v>Autumn</v>
      </c>
      <c r="G76" s="37" cm="1">
        <f t="array" ref="G76">Common_InputFunctions.Utility_DisplayArrayInTable(SourceData_PastureBeef.SourceData_PastureBeef_LiveweightNTQLD_Data(),Table_SourceData_PastureBeef_LiveweightNTQD[[#Headers],[State]], 0)</f>
        <v>125</v>
      </c>
      <c r="H76" s="37" cm="1">
        <f t="array" ref="H76">Common_InputFunctions.Utility_DisplayArrayInTable(SourceData_PastureBeef.SourceData_PastureBeef_LiveweightNTQLD_Data(),Table_SourceData_PastureBeef_LiveweightNTQD[[#Headers],[State]], 0)</f>
        <v>685</v>
      </c>
      <c r="I76" s="37" cm="1">
        <f t="array" ref="I76">Common_InputFunctions.Utility_DisplayArrayInTable(SourceData_PastureBeef.SourceData_PastureBeef_LiveweightNTQLD_Data(),Table_SourceData_PastureBeef_LiveweightNTQD[[#Headers],[State]], 0)</f>
        <v>140</v>
      </c>
      <c r="J76" s="37" cm="1">
        <f t="array" ref="J76">Common_InputFunctions.Utility_DisplayArrayInTable(SourceData_PastureBeef.SourceData_PastureBeef_LiveweightNTQLD_Data(),Table_SourceData_PastureBeef_LiveweightNTQD[[#Headers],[State]], 0)</f>
        <v>277</v>
      </c>
      <c r="K76" s="37" cm="1">
        <f t="array" ref="K76">Common_InputFunctions.Utility_DisplayArrayInTable(SourceData_PastureBeef.SourceData_PastureBeef_LiveweightNTQLD_Data(),Table_SourceData_PastureBeef_LiveweightNTQD[[#Headers],[State]], 0)</f>
        <v>407</v>
      </c>
      <c r="L76" s="37" cm="1">
        <f t="array" ref="L76">Common_InputFunctions.Utility_DisplayArrayInTable(SourceData_PastureBeef.SourceData_PastureBeef_LiveweightNTQLD_Data(),Table_SourceData_PastureBeef_LiveweightNTQD[[#Headers],[State]], 0)</f>
        <v>455</v>
      </c>
      <c r="M76" s="37" cm="1">
        <f t="array" ref="M76">Common_InputFunctions.Utility_DisplayArrayInTable(SourceData_PastureBeef.SourceData_PastureBeef_LiveweightNTQLD_Data(),Table_SourceData_PastureBeef_LiveweightNTQD[[#Headers],[State]], 0)</f>
        <v>141</v>
      </c>
      <c r="N76" s="37" cm="1">
        <f t="array" ref="N76">Common_InputFunctions.Utility_DisplayArrayInTable(SourceData_PastureBeef.SourceData_PastureBeef_LiveweightNTQLD_Data(),Table_SourceData_PastureBeef_LiveweightNTQD[[#Headers],[State]], 0)</f>
        <v>296</v>
      </c>
      <c r="O76" s="37" cm="1">
        <f t="array" ref="O76">Common_InputFunctions.Utility_DisplayArrayInTable(SourceData_PastureBeef.SourceData_PastureBeef_LiveweightNTQLD_Data(),Table_SourceData_PastureBeef_LiveweightNTQD[[#Headers],[State]], 0)</f>
        <v>445</v>
      </c>
      <c r="P76" s="37"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7" t="str" cm="1">
        <f t="array" ref="E77">Common_InputFunctions.Utility_DisplayArrayInTable(SourceData_PastureBeef.SourceData_PastureBeef_LiveweightNTQLD_Data(),Table_SourceData_PastureBeef_LiveweightNTQD[[#Headers],[State]], 0)</f>
        <v>Moderate/Low</v>
      </c>
      <c r="F77" s="37" t="str" cm="1">
        <f t="array" ref="F77">Common_InputFunctions.Utility_DisplayArrayInTable(SourceData_PastureBeef.SourceData_PastureBeef_LiveweightNTQLD_Data(),Table_SourceData_PastureBeef_LiveweightNTQD[[#Headers],[State]], 0)</f>
        <v>Winter</v>
      </c>
      <c r="G77" s="37" cm="1">
        <f t="array" ref="G77">Common_InputFunctions.Utility_DisplayArrayInTable(SourceData_PastureBeef.SourceData_PastureBeef_LiveweightNTQLD_Data(),Table_SourceData_PastureBeef_LiveweightNTQD[[#Headers],[State]], 0)</f>
        <v>180</v>
      </c>
      <c r="H77" s="37" cm="1">
        <f t="array" ref="H77">Common_InputFunctions.Utility_DisplayArrayInTable(SourceData_PastureBeef.SourceData_PastureBeef_LiveweightNTQLD_Data(),Table_SourceData_PastureBeef_LiveweightNTQD[[#Headers],[State]], 0)</f>
        <v>692</v>
      </c>
      <c r="I77" s="37" cm="1">
        <f t="array" ref="I77">Common_InputFunctions.Utility_DisplayArrayInTable(SourceData_PastureBeef.SourceData_PastureBeef_LiveweightNTQLD_Data(),Table_SourceData_PastureBeef_LiveweightNTQD[[#Headers],[State]], 0)</f>
        <v>183</v>
      </c>
      <c r="J77" s="37" cm="1">
        <f t="array" ref="J77">Common_InputFunctions.Utility_DisplayArrayInTable(SourceData_PastureBeef.SourceData_PastureBeef_LiveweightNTQLD_Data(),Table_SourceData_PastureBeef_LiveweightNTQD[[#Headers],[State]], 0)</f>
        <v>316</v>
      </c>
      <c r="K77" s="37" cm="1">
        <f t="array" ref="K77">Common_InputFunctions.Utility_DisplayArrayInTable(SourceData_PastureBeef.SourceData_PastureBeef_LiveweightNTQLD_Data(),Table_SourceData_PastureBeef_LiveweightNTQD[[#Headers],[State]], 0)</f>
        <v>438</v>
      </c>
      <c r="L77" s="37" cm="1">
        <f t="array" ref="L77">Common_InputFunctions.Utility_DisplayArrayInTable(SourceData_PastureBeef.SourceData_PastureBeef_LiveweightNTQLD_Data(),Table_SourceData_PastureBeef_LiveweightNTQD[[#Headers],[State]], 0)</f>
        <v>468</v>
      </c>
      <c r="M77" s="37" cm="1">
        <f t="array" ref="M77">Common_InputFunctions.Utility_DisplayArrayInTable(SourceData_PastureBeef.SourceData_PastureBeef_LiveweightNTQLD_Data(),Table_SourceData_PastureBeef_LiveweightNTQD[[#Headers],[State]], 0)</f>
        <v>189</v>
      </c>
      <c r="N77" s="37" cm="1">
        <f t="array" ref="N77">Common_InputFunctions.Utility_DisplayArrayInTable(SourceData_PastureBeef.SourceData_PastureBeef_LiveweightNTQLD_Data(),Table_SourceData_PastureBeef_LiveweightNTQD[[#Headers],[State]], 0)</f>
        <v>354</v>
      </c>
      <c r="O77" s="37" cm="1">
        <f t="array" ref="O77">Common_InputFunctions.Utility_DisplayArrayInTable(SourceData_PastureBeef.SourceData_PastureBeef_LiveweightNTQLD_Data(),Table_SourceData_PastureBeef_LiveweightNTQD[[#Headers],[State]], 0)</f>
        <v>500</v>
      </c>
      <c r="P77" s="37"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7" t="str" cm="1">
        <f t="array" ref="E78">Common_InputFunctions.Utility_DisplayArrayInTable(SourceData_PastureBeef.SourceData_PastureBeef_LiveweightNTQLD_Data(),Table_SourceData_PastureBeef_LiveweightNTQD[[#Headers],[State]], 0)</f>
        <v>Low</v>
      </c>
      <c r="F78" s="37" t="str" cm="1">
        <f t="array" ref="F78">Common_InputFunctions.Utility_DisplayArrayInTable(SourceData_PastureBeef.SourceData_PastureBeef_LiveweightNTQLD_Data(),Table_SourceData_PastureBeef_LiveweightNTQD[[#Headers],[State]], 0)</f>
        <v>Spring</v>
      </c>
      <c r="G78" s="37" cm="1">
        <f t="array" ref="G78">Common_InputFunctions.Utility_DisplayArrayInTable(SourceData_PastureBeef.SourceData_PastureBeef_LiveweightNTQLD_Data(),Table_SourceData_PastureBeef_LiveweightNTQD[[#Headers],[State]], 0)</f>
        <v>190</v>
      </c>
      <c r="H78" s="37" cm="1">
        <f t="array" ref="H78">Common_InputFunctions.Utility_DisplayArrayInTable(SourceData_PastureBeef.SourceData_PastureBeef_LiveweightNTQLD_Data(),Table_SourceData_PastureBeef_LiveweightNTQD[[#Headers],[State]], 0)</f>
        <v>617</v>
      </c>
      <c r="I78" s="37" cm="1">
        <f t="array" ref="I78">Common_InputFunctions.Utility_DisplayArrayInTable(SourceData_PastureBeef.SourceData_PastureBeef_LiveweightNTQLD_Data(),Table_SourceData_PastureBeef_LiveweightNTQD[[#Headers],[State]], 0)</f>
        <v>174</v>
      </c>
      <c r="J78" s="37" cm="1">
        <f t="array" ref="J78">Common_InputFunctions.Utility_DisplayArrayInTable(SourceData_PastureBeef.SourceData_PastureBeef_LiveweightNTQLD_Data(),Table_SourceData_PastureBeef_LiveweightNTQD[[#Headers],[State]], 0)</f>
        <v>265</v>
      </c>
      <c r="K78" s="37" cm="1">
        <f t="array" ref="K78">Common_InputFunctions.Utility_DisplayArrayInTable(SourceData_PastureBeef.SourceData_PastureBeef_LiveweightNTQLD_Data(),Table_SourceData_PastureBeef_LiveweightNTQD[[#Headers],[State]], 0)</f>
        <v>371</v>
      </c>
      <c r="L78" s="37" cm="1">
        <f t="array" ref="L78">Common_InputFunctions.Utility_DisplayArrayInTable(SourceData_PastureBeef.SourceData_PastureBeef_LiveweightNTQLD_Data(),Table_SourceData_PastureBeef_LiveweightNTQD[[#Headers],[State]], 0)</f>
        <v>415</v>
      </c>
      <c r="M78" s="37" cm="1">
        <f t="array" ref="M78">Common_InputFunctions.Utility_DisplayArrayInTable(SourceData_PastureBeef.SourceData_PastureBeef_LiveweightNTQLD_Data(),Table_SourceData_PastureBeef_LiveweightNTQD[[#Headers],[State]], 0)</f>
        <v>170</v>
      </c>
      <c r="N78" s="37" cm="1">
        <f t="array" ref="N78">Common_InputFunctions.Utility_DisplayArrayInTable(SourceData_PastureBeef.SourceData_PastureBeef_LiveweightNTQLD_Data(),Table_SourceData_PastureBeef_LiveweightNTQD[[#Headers],[State]], 0)</f>
        <v>272</v>
      </c>
      <c r="O78" s="37" cm="1">
        <f t="array" ref="O78">Common_InputFunctions.Utility_DisplayArrayInTable(SourceData_PastureBeef.SourceData_PastureBeef_LiveweightNTQLD_Data(),Table_SourceData_PastureBeef_LiveweightNTQD[[#Headers],[State]], 0)</f>
        <v>392</v>
      </c>
      <c r="P78" s="37"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7" t="str" cm="1">
        <f t="array" ref="E79">Common_InputFunctions.Utility_DisplayArrayInTable(SourceData_PastureBeef.SourceData_PastureBeef_LiveweightNTQLD_Data(),Table_SourceData_PastureBeef_LiveweightNTQD[[#Headers],[State]], 0)</f>
        <v>Low</v>
      </c>
      <c r="F79" s="37" t="str" cm="1">
        <f t="array" ref="F79">Common_InputFunctions.Utility_DisplayArrayInTable(SourceData_PastureBeef.SourceData_PastureBeef_LiveweightNTQLD_Data(),Table_SourceData_PastureBeef_LiveweightNTQD[[#Headers],[State]], 0)</f>
        <v>Summer</v>
      </c>
      <c r="G79" s="37" cm="1">
        <f t="array" ref="G79">Common_InputFunctions.Utility_DisplayArrayInTable(SourceData_PastureBeef.SourceData_PastureBeef_LiveweightNTQLD_Data(),Table_SourceData_PastureBeef_LiveweightNTQD[[#Headers],[State]], 0)</f>
        <v>119</v>
      </c>
      <c r="H79" s="37" cm="1">
        <f t="array" ref="H79">Common_InputFunctions.Utility_DisplayArrayInTable(SourceData_PastureBeef.SourceData_PastureBeef_LiveweightNTQLD_Data(),Table_SourceData_PastureBeef_LiveweightNTQD[[#Headers],[State]], 0)</f>
        <v>591</v>
      </c>
      <c r="I79" s="37" cm="1">
        <f t="array" ref="I79">Common_InputFunctions.Utility_DisplayArrayInTable(SourceData_PastureBeef.SourceData_PastureBeef_LiveweightNTQLD_Data(),Table_SourceData_PastureBeef_LiveweightNTQD[[#Headers],[State]], 0)</f>
        <v>140</v>
      </c>
      <c r="J79" s="37" cm="1">
        <f t="array" ref="J79">Common_InputFunctions.Utility_DisplayArrayInTable(SourceData_PastureBeef.SourceData_PastureBeef_LiveweightNTQLD_Data(),Table_SourceData_PastureBeef_LiveweightNTQD[[#Headers],[State]], 0)</f>
        <v>205</v>
      </c>
      <c r="K79" s="37" cm="1">
        <f t="array" ref="K79">Common_InputFunctions.Utility_DisplayArrayInTable(SourceData_PastureBeef.SourceData_PastureBeef_LiveweightNTQLD_Data(),Table_SourceData_PastureBeef_LiveweightNTQD[[#Headers],[State]], 0)</f>
        <v>310</v>
      </c>
      <c r="L79" s="37" cm="1">
        <f t="array" ref="L79">Common_InputFunctions.Utility_DisplayArrayInTable(SourceData_PastureBeef.SourceData_PastureBeef_LiveweightNTQLD_Data(),Table_SourceData_PastureBeef_LiveweightNTQD[[#Headers],[State]], 0)</f>
        <v>405</v>
      </c>
      <c r="M79" s="37" cm="1">
        <f t="array" ref="M79">Common_InputFunctions.Utility_DisplayArrayInTable(SourceData_PastureBeef.SourceData_PastureBeef_LiveweightNTQLD_Data(),Table_SourceData_PastureBeef_LiveweightNTQD[[#Headers],[State]], 0)</f>
        <v>133</v>
      </c>
      <c r="N79" s="37" cm="1">
        <f t="array" ref="N79">Common_InputFunctions.Utility_DisplayArrayInTable(SourceData_PastureBeef.SourceData_PastureBeef_LiveweightNTQLD_Data(),Table_SourceData_PastureBeef_LiveweightNTQD[[#Headers],[State]], 0)</f>
        <v>218</v>
      </c>
      <c r="O79" s="37" cm="1">
        <f t="array" ref="O79">Common_InputFunctions.Utility_DisplayArrayInTable(SourceData_PastureBeef.SourceData_PastureBeef_LiveweightNTQLD_Data(),Table_SourceData_PastureBeef_LiveweightNTQD[[#Headers],[State]], 0)</f>
        <v>315</v>
      </c>
      <c r="P79" s="37"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7" t="str" cm="1">
        <f t="array" ref="E80">Common_InputFunctions.Utility_DisplayArrayInTable(SourceData_PastureBeef.SourceData_PastureBeef_LiveweightNTQLD_Data(),Table_SourceData_PastureBeef_LiveweightNTQD[[#Headers],[State]], 0)</f>
        <v>Low</v>
      </c>
      <c r="F80" s="37" t="str" cm="1">
        <f t="array" ref="F80">Common_InputFunctions.Utility_DisplayArrayInTable(SourceData_PastureBeef.SourceData_PastureBeef_LiveweightNTQLD_Data(),Table_SourceData_PastureBeef_LiveweightNTQD[[#Headers],[State]], 0)</f>
        <v>Autumn</v>
      </c>
      <c r="G80" s="37" cm="1">
        <f t="array" ref="G80">Common_InputFunctions.Utility_DisplayArrayInTable(SourceData_PastureBeef.SourceData_PastureBeef_LiveweightNTQLD_Data(),Table_SourceData_PastureBeef_LiveweightNTQD[[#Headers],[State]], 0)</f>
        <v>175</v>
      </c>
      <c r="H80" s="37" cm="1">
        <f t="array" ref="H80">Common_InputFunctions.Utility_DisplayArrayInTable(SourceData_PastureBeef.SourceData_PastureBeef_LiveweightNTQLD_Data(),Table_SourceData_PastureBeef_LiveweightNTQD[[#Headers],[State]], 0)</f>
        <v>610</v>
      </c>
      <c r="I80" s="37" cm="1">
        <f t="array" ref="I80">Common_InputFunctions.Utility_DisplayArrayInTable(SourceData_PastureBeef.SourceData_PastureBeef_LiveweightNTQLD_Data(),Table_SourceData_PastureBeef_LiveweightNTQD[[#Headers],[State]], 0)</f>
        <v>163</v>
      </c>
      <c r="J80" s="37" cm="1">
        <f t="array" ref="J80">Common_InputFunctions.Utility_DisplayArrayInTable(SourceData_PastureBeef.SourceData_PastureBeef_LiveweightNTQLD_Data(),Table_SourceData_PastureBeef_LiveweightNTQD[[#Headers],[State]], 0)</f>
        <v>232</v>
      </c>
      <c r="K80" s="37" cm="1">
        <f t="array" ref="K80">Common_InputFunctions.Utility_DisplayArrayInTable(SourceData_PastureBeef.SourceData_PastureBeef_LiveweightNTQLD_Data(),Table_SourceData_PastureBeef_LiveweightNTQD[[#Headers],[State]], 0)</f>
        <v>351</v>
      </c>
      <c r="L80" s="37" cm="1">
        <f t="array" ref="L80">Common_InputFunctions.Utility_DisplayArrayInTable(SourceData_PastureBeef.SourceData_PastureBeef_LiveweightNTQLD_Data(),Table_SourceData_PastureBeef_LiveweightNTQD[[#Headers],[State]], 0)</f>
        <v>427</v>
      </c>
      <c r="M80" s="37" cm="1">
        <f t="array" ref="M80">Common_InputFunctions.Utility_DisplayArrayInTable(SourceData_PastureBeef.SourceData_PastureBeef_LiveweightNTQLD_Data(),Table_SourceData_PastureBeef_LiveweightNTQD[[#Headers],[State]], 0)</f>
        <v>146</v>
      </c>
      <c r="N80" s="37" cm="1">
        <f t="array" ref="N80">Common_InputFunctions.Utility_DisplayArrayInTable(SourceData_PastureBeef.SourceData_PastureBeef_LiveweightNTQLD_Data(),Table_SourceData_PastureBeef_LiveweightNTQD[[#Headers],[State]], 0)</f>
        <v>242</v>
      </c>
      <c r="O80" s="37" cm="1">
        <f t="array" ref="O80">Common_InputFunctions.Utility_DisplayArrayInTable(SourceData_PastureBeef.SourceData_PastureBeef_LiveweightNTQLD_Data(),Table_SourceData_PastureBeef_LiveweightNTQD[[#Headers],[State]], 0)</f>
        <v>320</v>
      </c>
      <c r="P80" s="37"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7" t="str" cm="1">
        <f t="array" ref="E81">Common_InputFunctions.Utility_DisplayArrayInTable(SourceData_PastureBeef.SourceData_PastureBeef_LiveweightNTQLD_Data(),Table_SourceData_PastureBeef_LiveweightNTQD[[#Headers],[State]], 0)</f>
        <v>Low</v>
      </c>
      <c r="F81" s="37" t="str" cm="1">
        <f t="array" ref="F81">Common_InputFunctions.Utility_DisplayArrayInTable(SourceData_PastureBeef.SourceData_PastureBeef_LiveweightNTQLD_Data(),Table_SourceData_PastureBeef_LiveweightNTQD[[#Headers],[State]], 0)</f>
        <v>Winter</v>
      </c>
      <c r="G81" s="37" cm="1">
        <f t="array" ref="G81">Common_InputFunctions.Utility_DisplayArrayInTable(SourceData_PastureBeef.SourceData_PastureBeef_LiveweightNTQLD_Data(),Table_SourceData_PastureBeef_LiveweightNTQD[[#Headers],[State]], 0)</f>
        <v>192</v>
      </c>
      <c r="H81" s="37" cm="1">
        <f t="array" ref="H81">Common_InputFunctions.Utility_DisplayArrayInTable(SourceData_PastureBeef.SourceData_PastureBeef_LiveweightNTQLD_Data(),Table_SourceData_PastureBeef_LiveweightNTQD[[#Headers],[State]], 0)</f>
        <v>615</v>
      </c>
      <c r="I81" s="37" cm="1">
        <f t="array" ref="I81">Common_InputFunctions.Utility_DisplayArrayInTable(SourceData_PastureBeef.SourceData_PastureBeef_LiveweightNTQLD_Data(),Table_SourceData_PastureBeef_LiveweightNTQD[[#Headers],[State]], 0)</f>
        <v>162</v>
      </c>
      <c r="J81" s="37" cm="1">
        <f t="array" ref="J81">Common_InputFunctions.Utility_DisplayArrayInTable(SourceData_PastureBeef.SourceData_PastureBeef_LiveweightNTQLD_Data(),Table_SourceData_PastureBeef_LiveweightNTQD[[#Headers],[State]], 0)</f>
        <v>255</v>
      </c>
      <c r="K81" s="37" cm="1">
        <f t="array" ref="K81">Common_InputFunctions.Utility_DisplayArrayInTable(SourceData_PastureBeef.SourceData_PastureBeef_LiveweightNTQLD_Data(),Table_SourceData_PastureBeef_LiveweightNTQD[[#Headers],[State]], 0)</f>
        <v>364</v>
      </c>
      <c r="L81" s="37" cm="1">
        <f t="array" ref="L81">Common_InputFunctions.Utility_DisplayArrayInTable(SourceData_PastureBeef.SourceData_PastureBeef_LiveweightNTQLD_Data(),Table_SourceData_PastureBeef_LiveweightNTQD[[#Headers],[State]], 0)</f>
        <v>420</v>
      </c>
      <c r="M81" s="37" cm="1">
        <f t="array" ref="M81">Common_InputFunctions.Utility_DisplayArrayInTable(SourceData_PastureBeef.SourceData_PastureBeef_LiveweightNTQLD_Data(),Table_SourceData_PastureBeef_LiveweightNTQD[[#Headers],[State]], 0)</f>
        <v>157</v>
      </c>
      <c r="N81" s="37" cm="1">
        <f t="array" ref="N81">Common_InputFunctions.Utility_DisplayArrayInTable(SourceData_PastureBeef.SourceData_PastureBeef_LiveweightNTQLD_Data(),Table_SourceData_PastureBeef_LiveweightNTQD[[#Headers],[State]], 0)</f>
        <v>261</v>
      </c>
      <c r="O81" s="37" cm="1">
        <f t="array" ref="O81">Common_InputFunctions.Utility_DisplayArrayInTable(SourceData_PastureBeef.SourceData_PastureBeef_LiveweightNTQLD_Data(),Table_SourceData_PastureBeef_LiveweightNTQD[[#Headers],[State]], 0)</f>
        <v>342</v>
      </c>
      <c r="P81" s="37"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201</v>
      </c>
      <c r="M84" s="1"/>
    </row>
    <row r="85" spans="4:22" ht="20.100000000000001" customHeight="1" x14ac:dyDescent="0.25">
      <c r="D85" s="37" t="s">
        <v>8</v>
      </c>
      <c r="E85" s="37" t="s">
        <v>183</v>
      </c>
      <c r="F85" s="37" t="s">
        <v>184</v>
      </c>
      <c r="G85" s="118" t="s">
        <v>131</v>
      </c>
      <c r="H85" s="118" t="s">
        <v>130</v>
      </c>
      <c r="I85" s="118" t="s">
        <v>165</v>
      </c>
      <c r="J85" s="118" t="s">
        <v>166</v>
      </c>
      <c r="K85" s="118" t="s">
        <v>167</v>
      </c>
      <c r="L85" s="118" t="s">
        <v>168</v>
      </c>
      <c r="M85" s="118" t="s">
        <v>169</v>
      </c>
      <c r="N85" s="118" t="s">
        <v>170</v>
      </c>
      <c r="O85" s="118" t="s">
        <v>171</v>
      </c>
      <c r="P85" s="118" t="s">
        <v>172</v>
      </c>
      <c r="V85" s="1"/>
    </row>
    <row r="86" spans="4:22" ht="20.100000000000001" customHeight="1" x14ac:dyDescent="0.25">
      <c r="D86" s="37" t="s">
        <v>83</v>
      </c>
      <c r="E86" s="37" t="s">
        <v>202</v>
      </c>
      <c r="F86" s="37" t="str">
        <f>F19</f>
        <v>Spring</v>
      </c>
      <c r="G86" s="37">
        <f>G19</f>
        <v>80</v>
      </c>
      <c r="H86" s="37">
        <f t="shared" ref="H86:K89" si="0">H19</f>
        <v>480</v>
      </c>
      <c r="I86" s="37">
        <f>I19</f>
        <v>75</v>
      </c>
      <c r="J86" s="37">
        <f>J19</f>
        <v>300</v>
      </c>
      <c r="K86" s="37">
        <f>K19</f>
        <v>440</v>
      </c>
      <c r="L86" s="37">
        <f>K19</f>
        <v>440</v>
      </c>
      <c r="M86" s="37">
        <f>L19</f>
        <v>75</v>
      </c>
      <c r="N86" s="37">
        <f>M19</f>
        <v>380</v>
      </c>
      <c r="O86" s="37">
        <f>M19</f>
        <v>380</v>
      </c>
      <c r="P86" s="37">
        <f>M19</f>
        <v>380</v>
      </c>
      <c r="V86" s="1"/>
    </row>
    <row r="87" spans="4:22" ht="20.100000000000001" customHeight="1" x14ac:dyDescent="0.25">
      <c r="D87" s="37" t="s">
        <v>83</v>
      </c>
      <c r="E87" s="37" t="s">
        <v>202</v>
      </c>
      <c r="F87" s="37" t="s">
        <v>174</v>
      </c>
      <c r="G87" s="37">
        <f t="shared" ref="G87" si="1">G20</f>
        <v>170</v>
      </c>
      <c r="H87" s="37">
        <f t="shared" si="0"/>
        <v>520</v>
      </c>
      <c r="I87" s="37">
        <f t="shared" si="0"/>
        <v>160</v>
      </c>
      <c r="J87" s="37">
        <f t="shared" si="0"/>
        <v>360</v>
      </c>
      <c r="K87" s="37">
        <f t="shared" si="0"/>
        <v>470</v>
      </c>
      <c r="L87" s="37">
        <f t="shared" ref="L87:N89" si="2">K20</f>
        <v>470</v>
      </c>
      <c r="M87" s="37">
        <f t="shared" si="2"/>
        <v>160</v>
      </c>
      <c r="N87" s="37">
        <f t="shared" si="2"/>
        <v>420</v>
      </c>
      <c r="O87" s="37">
        <f t="shared" ref="O87:O89" si="3">M20</f>
        <v>420</v>
      </c>
      <c r="P87" s="37">
        <f t="shared" ref="P87:P89" si="4">M20</f>
        <v>420</v>
      </c>
      <c r="V87" s="1"/>
    </row>
    <row r="88" spans="4:22" ht="20.100000000000001" customHeight="1" x14ac:dyDescent="0.25">
      <c r="D88" s="37" t="s">
        <v>83</v>
      </c>
      <c r="E88" s="37" t="s">
        <v>202</v>
      </c>
      <c r="F88" s="37" t="s">
        <v>175</v>
      </c>
      <c r="G88" s="37">
        <f t="shared" ref="G88" si="5">G21</f>
        <v>240</v>
      </c>
      <c r="H88" s="37">
        <f t="shared" si="0"/>
        <v>550</v>
      </c>
      <c r="I88" s="37">
        <f t="shared" si="0"/>
        <v>220</v>
      </c>
      <c r="J88" s="37">
        <f t="shared" si="0"/>
        <v>390</v>
      </c>
      <c r="K88" s="37">
        <f t="shared" si="0"/>
        <v>490</v>
      </c>
      <c r="L88" s="37">
        <f t="shared" si="2"/>
        <v>490</v>
      </c>
      <c r="M88" s="37">
        <f t="shared" si="2"/>
        <v>220</v>
      </c>
      <c r="N88" s="37">
        <f t="shared" si="2"/>
        <v>450</v>
      </c>
      <c r="O88" s="37">
        <f t="shared" si="3"/>
        <v>450</v>
      </c>
      <c r="P88" s="37">
        <f t="shared" si="4"/>
        <v>450</v>
      </c>
      <c r="V88" s="1"/>
    </row>
    <row r="89" spans="4:22" ht="20.100000000000001" customHeight="1" x14ac:dyDescent="0.25">
      <c r="D89" s="37" t="s">
        <v>83</v>
      </c>
      <c r="E89" s="37" t="s">
        <v>202</v>
      </c>
      <c r="F89" s="37" t="s">
        <v>176</v>
      </c>
      <c r="G89" s="37">
        <f t="shared" ref="G89" si="6">G22</f>
        <v>280</v>
      </c>
      <c r="H89" s="37">
        <f t="shared" si="0"/>
        <v>560</v>
      </c>
      <c r="I89" s="37">
        <f t="shared" si="0"/>
        <v>260</v>
      </c>
      <c r="J89" s="37">
        <f t="shared" si="0"/>
        <v>410</v>
      </c>
      <c r="K89" s="37">
        <f t="shared" si="0"/>
        <v>500</v>
      </c>
      <c r="L89" s="37">
        <f t="shared" si="2"/>
        <v>500</v>
      </c>
      <c r="M89" s="37">
        <f t="shared" si="2"/>
        <v>260</v>
      </c>
      <c r="N89" s="37">
        <f t="shared" si="2"/>
        <v>460</v>
      </c>
      <c r="O89" s="37">
        <f t="shared" si="3"/>
        <v>460</v>
      </c>
      <c r="P89" s="37">
        <f t="shared" si="4"/>
        <v>460</v>
      </c>
      <c r="V89" s="1"/>
    </row>
    <row r="90" spans="4:22" ht="20.100000000000001" customHeight="1" x14ac:dyDescent="0.25">
      <c r="D90" s="37" t="s">
        <v>84</v>
      </c>
      <c r="E90" s="37" t="s">
        <v>202</v>
      </c>
      <c r="F90" s="37" t="str">
        <f>F23</f>
        <v>Spring</v>
      </c>
      <c r="G90" s="37">
        <f>G19</f>
        <v>80</v>
      </c>
      <c r="H90" s="37">
        <f t="shared" ref="H90:J90" si="7">H19</f>
        <v>480</v>
      </c>
      <c r="I90" s="37">
        <f t="shared" si="7"/>
        <v>75</v>
      </c>
      <c r="J90" s="37">
        <f t="shared" si="7"/>
        <v>300</v>
      </c>
      <c r="K90" s="37">
        <f>K19</f>
        <v>440</v>
      </c>
      <c r="L90" s="37">
        <f>K19</f>
        <v>440</v>
      </c>
      <c r="M90" s="37">
        <f>L19</f>
        <v>75</v>
      </c>
      <c r="N90" s="37">
        <f>M19</f>
        <v>380</v>
      </c>
      <c r="O90" s="37">
        <f>M19</f>
        <v>380</v>
      </c>
      <c r="P90" s="37">
        <f>M19</f>
        <v>380</v>
      </c>
      <c r="V90" s="1"/>
    </row>
    <row r="91" spans="4:22" ht="20.100000000000001" customHeight="1" x14ac:dyDescent="0.25">
      <c r="D91" s="37" t="s">
        <v>84</v>
      </c>
      <c r="E91" s="37" t="s">
        <v>202</v>
      </c>
      <c r="F91" s="37" t="s">
        <v>174</v>
      </c>
      <c r="G91" s="37">
        <f t="shared" ref="G91:K91" si="8">G20</f>
        <v>170</v>
      </c>
      <c r="H91" s="37">
        <f t="shared" si="8"/>
        <v>520</v>
      </c>
      <c r="I91" s="37">
        <f t="shared" si="8"/>
        <v>160</v>
      </c>
      <c r="J91" s="37">
        <f t="shared" si="8"/>
        <v>360</v>
      </c>
      <c r="K91" s="37">
        <f t="shared" si="8"/>
        <v>470</v>
      </c>
      <c r="L91" s="37">
        <f t="shared" ref="L91:M93" si="9">K20</f>
        <v>470</v>
      </c>
      <c r="M91" s="37">
        <f t="shared" si="9"/>
        <v>160</v>
      </c>
      <c r="N91" s="37">
        <f t="shared" ref="N91:N117" si="10">M20</f>
        <v>420</v>
      </c>
      <c r="O91" s="37">
        <f t="shared" ref="O91:O93" si="11">M20</f>
        <v>420</v>
      </c>
      <c r="P91" s="37">
        <f t="shared" ref="P91:P93" si="12">M20</f>
        <v>420</v>
      </c>
    </row>
    <row r="92" spans="4:22" ht="20.100000000000001" customHeight="1" x14ac:dyDescent="0.25">
      <c r="D92" s="37" t="s">
        <v>84</v>
      </c>
      <c r="E92" s="37" t="s">
        <v>202</v>
      </c>
      <c r="F92" s="37" t="s">
        <v>175</v>
      </c>
      <c r="G92" s="37">
        <f t="shared" ref="G92:K92" si="13">G21</f>
        <v>240</v>
      </c>
      <c r="H92" s="37">
        <f t="shared" si="13"/>
        <v>550</v>
      </c>
      <c r="I92" s="37">
        <f t="shared" si="13"/>
        <v>220</v>
      </c>
      <c r="J92" s="37">
        <f t="shared" si="13"/>
        <v>390</v>
      </c>
      <c r="K92" s="37">
        <f t="shared" si="13"/>
        <v>490</v>
      </c>
      <c r="L92" s="37">
        <f t="shared" si="9"/>
        <v>490</v>
      </c>
      <c r="M92" s="37">
        <f t="shared" si="9"/>
        <v>220</v>
      </c>
      <c r="N92" s="37">
        <f t="shared" si="10"/>
        <v>450</v>
      </c>
      <c r="O92" s="37">
        <f t="shared" si="11"/>
        <v>450</v>
      </c>
      <c r="P92" s="37">
        <f t="shared" si="12"/>
        <v>450</v>
      </c>
    </row>
    <row r="93" spans="4:22" ht="20.100000000000001" customHeight="1" x14ac:dyDescent="0.25">
      <c r="D93" s="37" t="s">
        <v>84</v>
      </c>
      <c r="E93" s="37" t="s">
        <v>202</v>
      </c>
      <c r="F93" s="37" t="s">
        <v>176</v>
      </c>
      <c r="G93" s="37">
        <f t="shared" ref="G93:K93" si="14">G22</f>
        <v>280</v>
      </c>
      <c r="H93" s="37">
        <f t="shared" si="14"/>
        <v>560</v>
      </c>
      <c r="I93" s="37">
        <f t="shared" si="14"/>
        <v>260</v>
      </c>
      <c r="J93" s="37">
        <f t="shared" si="14"/>
        <v>410</v>
      </c>
      <c r="K93" s="37">
        <f t="shared" si="14"/>
        <v>500</v>
      </c>
      <c r="L93" s="37">
        <f t="shared" si="9"/>
        <v>500</v>
      </c>
      <c r="M93" s="37">
        <f t="shared" si="9"/>
        <v>260</v>
      </c>
      <c r="N93" s="37">
        <f t="shared" si="10"/>
        <v>460</v>
      </c>
      <c r="O93" s="37">
        <f t="shared" si="11"/>
        <v>460</v>
      </c>
      <c r="P93" s="37">
        <f t="shared" si="12"/>
        <v>460</v>
      </c>
    </row>
    <row r="94" spans="4:22" ht="20.100000000000001" customHeight="1" x14ac:dyDescent="0.25">
      <c r="D94" s="37" t="s">
        <v>87</v>
      </c>
      <c r="E94" s="37" t="s">
        <v>202</v>
      </c>
      <c r="F94" s="37" t="str">
        <f>F27</f>
        <v>Spring</v>
      </c>
      <c r="G94" s="37">
        <f>G23</f>
        <v>250</v>
      </c>
      <c r="H94" s="37">
        <f t="shared" ref="H94:I94" si="15">H23</f>
        <v>800</v>
      </c>
      <c r="I94" s="37">
        <f t="shared" si="15"/>
        <v>220</v>
      </c>
      <c r="J94" s="37">
        <f>J23</f>
        <v>400</v>
      </c>
      <c r="K94" s="37">
        <f>K23</f>
        <v>500</v>
      </c>
      <c r="L94" s="37">
        <f>K23</f>
        <v>500</v>
      </c>
      <c r="M94" s="37">
        <f>L23</f>
        <v>230</v>
      </c>
      <c r="N94" s="37">
        <f>M23</f>
        <v>420</v>
      </c>
      <c r="O94" s="37">
        <f>M23</f>
        <v>420</v>
      </c>
      <c r="P94" s="37">
        <f>M23</f>
        <v>420</v>
      </c>
    </row>
    <row r="95" spans="4:22" ht="20.100000000000001" customHeight="1" x14ac:dyDescent="0.25">
      <c r="D95" s="37" t="s">
        <v>87</v>
      </c>
      <c r="E95" s="37" t="s">
        <v>202</v>
      </c>
      <c r="F95" s="37" t="s">
        <v>174</v>
      </c>
      <c r="G95" s="37">
        <f t="shared" ref="G95:K95" si="16">G24</f>
        <v>320</v>
      </c>
      <c r="H95" s="37">
        <f t="shared" si="16"/>
        <v>800</v>
      </c>
      <c r="I95" s="37">
        <f t="shared" si="16"/>
        <v>280</v>
      </c>
      <c r="J95" s="37">
        <f t="shared" si="16"/>
        <v>420</v>
      </c>
      <c r="K95" s="37">
        <f t="shared" si="16"/>
        <v>500</v>
      </c>
      <c r="L95" s="37">
        <f t="shared" ref="L95:M97" si="17">K24</f>
        <v>500</v>
      </c>
      <c r="M95" s="37">
        <f t="shared" si="17"/>
        <v>290</v>
      </c>
      <c r="N95" s="37">
        <f t="shared" si="10"/>
        <v>420</v>
      </c>
      <c r="O95" s="37">
        <f t="shared" ref="O95:O97" si="18">M24</f>
        <v>420</v>
      </c>
      <c r="P95" s="37">
        <f t="shared" ref="P95:P97" si="19">M24</f>
        <v>420</v>
      </c>
    </row>
    <row r="96" spans="4:22" ht="20.100000000000001" customHeight="1" x14ac:dyDescent="0.25">
      <c r="D96" s="37" t="s">
        <v>87</v>
      </c>
      <c r="E96" s="37" t="s">
        <v>202</v>
      </c>
      <c r="F96" s="37" t="s">
        <v>175</v>
      </c>
      <c r="G96" s="37">
        <f t="shared" ref="G96:K96" si="20">G25</f>
        <v>80</v>
      </c>
      <c r="H96" s="37">
        <f t="shared" si="20"/>
        <v>700</v>
      </c>
      <c r="I96" s="37">
        <f t="shared" si="20"/>
        <v>70</v>
      </c>
      <c r="J96" s="37">
        <f t="shared" si="20"/>
        <v>300</v>
      </c>
      <c r="K96" s="37">
        <f t="shared" si="20"/>
        <v>450</v>
      </c>
      <c r="L96" s="37">
        <f t="shared" si="17"/>
        <v>450</v>
      </c>
      <c r="M96" s="37">
        <f t="shared" si="17"/>
        <v>75</v>
      </c>
      <c r="N96" s="37">
        <f t="shared" si="10"/>
        <v>400</v>
      </c>
      <c r="O96" s="37">
        <f t="shared" si="18"/>
        <v>400</v>
      </c>
      <c r="P96" s="37">
        <f t="shared" si="19"/>
        <v>400</v>
      </c>
    </row>
    <row r="97" spans="4:16" ht="20.100000000000001" customHeight="1" x14ac:dyDescent="0.25">
      <c r="D97" s="37" t="s">
        <v>87</v>
      </c>
      <c r="E97" s="37" t="s">
        <v>202</v>
      </c>
      <c r="F97" s="37" t="s">
        <v>176</v>
      </c>
      <c r="G97" s="37">
        <f t="shared" ref="G97:K97" si="21">G26</f>
        <v>160</v>
      </c>
      <c r="H97" s="37">
        <f t="shared" si="21"/>
        <v>700</v>
      </c>
      <c r="I97" s="37">
        <f t="shared" si="21"/>
        <v>140</v>
      </c>
      <c r="J97" s="37">
        <f t="shared" si="21"/>
        <v>350</v>
      </c>
      <c r="K97" s="37">
        <f t="shared" si="21"/>
        <v>450</v>
      </c>
      <c r="L97" s="37">
        <f t="shared" si="17"/>
        <v>450</v>
      </c>
      <c r="M97" s="37">
        <f t="shared" si="17"/>
        <v>150</v>
      </c>
      <c r="N97" s="37">
        <f t="shared" si="10"/>
        <v>400</v>
      </c>
      <c r="O97" s="37">
        <f t="shared" si="18"/>
        <v>400</v>
      </c>
      <c r="P97" s="37">
        <f t="shared" si="19"/>
        <v>400</v>
      </c>
    </row>
    <row r="98" spans="4:16" ht="20.100000000000001" customHeight="1" x14ac:dyDescent="0.25">
      <c r="D98" s="37" t="s">
        <v>88</v>
      </c>
      <c r="E98" s="37" t="s">
        <v>202</v>
      </c>
      <c r="F98" s="37" t="str">
        <f>F31</f>
        <v>Spring</v>
      </c>
      <c r="G98" s="37">
        <f>G27</f>
        <v>105</v>
      </c>
      <c r="H98" s="37">
        <f t="shared" ref="H98:K98" si="22">H27</f>
        <v>700</v>
      </c>
      <c r="I98" s="37">
        <f t="shared" si="22"/>
        <v>85</v>
      </c>
      <c r="J98" s="37">
        <f t="shared" si="22"/>
        <v>300</v>
      </c>
      <c r="K98" s="37">
        <f t="shared" si="22"/>
        <v>490</v>
      </c>
      <c r="L98" s="37">
        <f>K27</f>
        <v>490</v>
      </c>
      <c r="M98" s="37">
        <f>L27</f>
        <v>90</v>
      </c>
      <c r="N98" s="37">
        <f>M27</f>
        <v>480</v>
      </c>
      <c r="O98" s="37">
        <f>M27</f>
        <v>480</v>
      </c>
      <c r="P98" s="37">
        <f>M27</f>
        <v>480</v>
      </c>
    </row>
    <row r="99" spans="4:16" ht="20.100000000000001" customHeight="1" x14ac:dyDescent="0.25">
      <c r="D99" s="37" t="s">
        <v>88</v>
      </c>
      <c r="E99" s="37" t="s">
        <v>202</v>
      </c>
      <c r="F99" s="37" t="s">
        <v>174</v>
      </c>
      <c r="G99" s="37">
        <f t="shared" ref="G99:K99" si="23">G28</f>
        <v>480</v>
      </c>
      <c r="H99" s="37">
        <f t="shared" si="23"/>
        <v>750</v>
      </c>
      <c r="I99" s="37">
        <f t="shared" si="23"/>
        <v>150</v>
      </c>
      <c r="J99" s="37">
        <f t="shared" si="23"/>
        <v>350</v>
      </c>
      <c r="K99" s="37">
        <f t="shared" si="23"/>
        <v>530</v>
      </c>
      <c r="L99" s="37">
        <f t="shared" ref="L99:M101" si="24">K28</f>
        <v>530</v>
      </c>
      <c r="M99" s="37">
        <f t="shared" si="24"/>
        <v>160</v>
      </c>
      <c r="N99" s="37">
        <f t="shared" si="10"/>
        <v>460</v>
      </c>
      <c r="O99" s="37">
        <f t="shared" ref="O99:O101" si="25">M28</f>
        <v>460</v>
      </c>
      <c r="P99" s="37">
        <f t="shared" ref="P99:P101" si="26">M28</f>
        <v>460</v>
      </c>
    </row>
    <row r="100" spans="4:16" ht="20.100000000000001" customHeight="1" x14ac:dyDescent="0.25">
      <c r="D100" s="37" t="s">
        <v>88</v>
      </c>
      <c r="E100" s="37" t="s">
        <v>202</v>
      </c>
      <c r="F100" s="37" t="s">
        <v>175</v>
      </c>
      <c r="G100" s="37">
        <f t="shared" ref="G100:K100" si="27">G29</f>
        <v>250</v>
      </c>
      <c r="H100" s="37">
        <f t="shared" si="27"/>
        <v>725</v>
      </c>
      <c r="I100" s="37">
        <f t="shared" si="27"/>
        <v>200</v>
      </c>
      <c r="J100" s="37">
        <f t="shared" si="27"/>
        <v>360</v>
      </c>
      <c r="K100" s="37">
        <f t="shared" si="27"/>
        <v>500</v>
      </c>
      <c r="L100" s="37">
        <f t="shared" si="24"/>
        <v>500</v>
      </c>
      <c r="M100" s="37">
        <f t="shared" si="24"/>
        <v>215</v>
      </c>
      <c r="N100" s="37">
        <f t="shared" si="10"/>
        <v>490</v>
      </c>
      <c r="O100" s="37">
        <f t="shared" si="25"/>
        <v>490</v>
      </c>
      <c r="P100" s="37">
        <f t="shared" si="26"/>
        <v>490</v>
      </c>
    </row>
    <row r="101" spans="4:16" ht="20.100000000000001" customHeight="1" x14ac:dyDescent="0.25">
      <c r="D101" s="37" t="s">
        <v>88</v>
      </c>
      <c r="E101" s="37" t="s">
        <v>202</v>
      </c>
      <c r="F101" s="37" t="s">
        <v>176</v>
      </c>
      <c r="G101" s="37">
        <f t="shared" ref="G101:K101" si="28">G30</f>
        <v>260</v>
      </c>
      <c r="H101" s="37">
        <f t="shared" si="28"/>
        <v>700</v>
      </c>
      <c r="I101" s="37">
        <f t="shared" si="28"/>
        <v>210</v>
      </c>
      <c r="J101" s="37">
        <f t="shared" si="28"/>
        <v>380</v>
      </c>
      <c r="K101" s="37">
        <f t="shared" si="28"/>
        <v>460</v>
      </c>
      <c r="L101" s="37">
        <f t="shared" si="24"/>
        <v>460</v>
      </c>
      <c r="M101" s="37">
        <f t="shared" si="24"/>
        <v>230</v>
      </c>
      <c r="N101" s="37">
        <f t="shared" si="10"/>
        <v>470</v>
      </c>
      <c r="O101" s="37">
        <f t="shared" si="25"/>
        <v>470</v>
      </c>
      <c r="P101" s="37">
        <f t="shared" si="26"/>
        <v>470</v>
      </c>
    </row>
    <row r="102" spans="4:16" ht="20.100000000000001" customHeight="1" x14ac:dyDescent="0.25">
      <c r="D102" s="37" t="s">
        <v>89</v>
      </c>
      <c r="E102" s="37" t="s">
        <v>202</v>
      </c>
      <c r="F102" s="37" t="str">
        <f>F35</f>
        <v>Spring</v>
      </c>
      <c r="G102" s="37">
        <f>G31</f>
        <v>250</v>
      </c>
      <c r="H102" s="37">
        <f t="shared" ref="H102:J102" si="29">H31</f>
        <v>820</v>
      </c>
      <c r="I102" s="37">
        <f t="shared" si="29"/>
        <v>240</v>
      </c>
      <c r="J102" s="37">
        <f t="shared" si="29"/>
        <v>410</v>
      </c>
      <c r="K102" s="37">
        <f>K31</f>
        <v>560</v>
      </c>
      <c r="L102" s="37">
        <f>K31</f>
        <v>560</v>
      </c>
      <c r="M102" s="37">
        <f>L31</f>
        <v>240</v>
      </c>
      <c r="N102" s="37">
        <f>M31</f>
        <v>510</v>
      </c>
      <c r="O102" s="37">
        <f>M31</f>
        <v>510</v>
      </c>
      <c r="P102" s="37">
        <f>M31</f>
        <v>510</v>
      </c>
    </row>
    <row r="103" spans="4:16" ht="20.100000000000001" customHeight="1" x14ac:dyDescent="0.25">
      <c r="D103" s="37" t="s">
        <v>89</v>
      </c>
      <c r="E103" s="37" t="s">
        <v>202</v>
      </c>
      <c r="F103" s="37" t="s">
        <v>174</v>
      </c>
      <c r="G103" s="37">
        <f t="shared" ref="G103:K103" si="30">G32</f>
        <v>280</v>
      </c>
      <c r="H103" s="37">
        <f t="shared" si="30"/>
        <v>850</v>
      </c>
      <c r="I103" s="37">
        <f t="shared" si="30"/>
        <v>260</v>
      </c>
      <c r="J103" s="37">
        <f t="shared" si="30"/>
        <v>440</v>
      </c>
      <c r="K103" s="37">
        <f t="shared" si="30"/>
        <v>550</v>
      </c>
      <c r="L103" s="37">
        <f t="shared" ref="L103:M105" si="31">K32</f>
        <v>550</v>
      </c>
      <c r="M103" s="37">
        <f t="shared" si="31"/>
        <v>270</v>
      </c>
      <c r="N103" s="37">
        <f t="shared" si="10"/>
        <v>520</v>
      </c>
      <c r="O103" s="37">
        <f t="shared" ref="O103:O105" si="32">M32</f>
        <v>520</v>
      </c>
      <c r="P103" s="37">
        <f t="shared" ref="P103:P105" si="33">M32</f>
        <v>520</v>
      </c>
    </row>
    <row r="104" spans="4:16" ht="20.100000000000001" customHeight="1" x14ac:dyDescent="0.25">
      <c r="D104" s="37" t="s">
        <v>89</v>
      </c>
      <c r="E104" s="37" t="s">
        <v>202</v>
      </c>
      <c r="F104" s="37" t="s">
        <v>175</v>
      </c>
      <c r="G104" s="37">
        <f t="shared" ref="G104:K104" si="34">G33</f>
        <v>100</v>
      </c>
      <c r="H104" s="37">
        <f t="shared" si="34"/>
        <v>700</v>
      </c>
      <c r="I104" s="37">
        <f t="shared" si="34"/>
        <v>95</v>
      </c>
      <c r="J104" s="37">
        <f t="shared" si="34"/>
        <v>300</v>
      </c>
      <c r="K104" s="37">
        <f t="shared" si="34"/>
        <v>450</v>
      </c>
      <c r="L104" s="37">
        <f t="shared" si="31"/>
        <v>450</v>
      </c>
      <c r="M104" s="37">
        <f t="shared" si="31"/>
        <v>95</v>
      </c>
      <c r="N104" s="37">
        <f t="shared" si="10"/>
        <v>410</v>
      </c>
      <c r="O104" s="37">
        <f t="shared" si="32"/>
        <v>410</v>
      </c>
      <c r="P104" s="37">
        <f t="shared" si="33"/>
        <v>410</v>
      </c>
    </row>
    <row r="105" spans="4:16" ht="20.100000000000001" customHeight="1" x14ac:dyDescent="0.25">
      <c r="D105" s="37" t="s">
        <v>89</v>
      </c>
      <c r="E105" s="37" t="s">
        <v>202</v>
      </c>
      <c r="F105" s="37" t="s">
        <v>176</v>
      </c>
      <c r="G105" s="37">
        <f t="shared" ref="G105:K105" si="35">G34</f>
        <v>150</v>
      </c>
      <c r="H105" s="37">
        <f t="shared" si="35"/>
        <v>720</v>
      </c>
      <c r="I105" s="37">
        <f t="shared" si="35"/>
        <v>140</v>
      </c>
      <c r="J105" s="37">
        <f t="shared" si="35"/>
        <v>320</v>
      </c>
      <c r="K105" s="37">
        <f t="shared" si="35"/>
        <v>470</v>
      </c>
      <c r="L105" s="37">
        <f t="shared" si="31"/>
        <v>470</v>
      </c>
      <c r="M105" s="37">
        <f t="shared" si="31"/>
        <v>140</v>
      </c>
      <c r="N105" s="37">
        <f t="shared" si="10"/>
        <v>440</v>
      </c>
      <c r="O105" s="37">
        <f t="shared" si="32"/>
        <v>440</v>
      </c>
      <c r="P105" s="37">
        <f t="shared" si="33"/>
        <v>440</v>
      </c>
    </row>
    <row r="106" spans="4:16" ht="20.100000000000001" customHeight="1" x14ac:dyDescent="0.25">
      <c r="D106" s="37" t="s">
        <v>90</v>
      </c>
      <c r="E106" s="37" t="str">
        <f>E35</f>
        <v>South West</v>
      </c>
      <c r="F106" s="37" t="str">
        <f t="shared" ref="F106:K106" si="36">F35</f>
        <v>Spring</v>
      </c>
      <c r="G106" s="37">
        <f t="shared" si="36"/>
        <v>340</v>
      </c>
      <c r="H106" s="37">
        <f t="shared" si="36"/>
        <v>800</v>
      </c>
      <c r="I106" s="37">
        <f t="shared" si="36"/>
        <v>260</v>
      </c>
      <c r="J106" s="37">
        <f t="shared" si="36"/>
        <v>420</v>
      </c>
      <c r="K106" s="37">
        <f t="shared" si="36"/>
        <v>550</v>
      </c>
      <c r="L106" s="37">
        <f>K35</f>
        <v>550</v>
      </c>
      <c r="M106" s="37">
        <f>L35</f>
        <v>300</v>
      </c>
      <c r="N106" s="37">
        <f>M35</f>
        <v>480</v>
      </c>
      <c r="O106" s="37">
        <f>M35</f>
        <v>480</v>
      </c>
      <c r="P106" s="37">
        <f>M35</f>
        <v>480</v>
      </c>
    </row>
    <row r="107" spans="4:16" ht="20.100000000000001" customHeight="1" x14ac:dyDescent="0.25">
      <c r="D107" s="37" t="s">
        <v>90</v>
      </c>
      <c r="E107" s="37" t="str">
        <f t="shared" ref="E107:K107" si="37">E36</f>
        <v>South West</v>
      </c>
      <c r="F107" s="37" t="str">
        <f t="shared" si="37"/>
        <v>Summer</v>
      </c>
      <c r="G107" s="37">
        <f t="shared" si="37"/>
        <v>380</v>
      </c>
      <c r="H107" s="37">
        <f t="shared" si="37"/>
        <v>780</v>
      </c>
      <c r="I107" s="37">
        <f t="shared" si="37"/>
        <v>300</v>
      </c>
      <c r="J107" s="37">
        <f t="shared" si="37"/>
        <v>450</v>
      </c>
      <c r="K107" s="37">
        <f t="shared" si="37"/>
        <v>530</v>
      </c>
      <c r="L107" s="37">
        <f t="shared" ref="L107:M117" si="38">K36</f>
        <v>530</v>
      </c>
      <c r="M107" s="37">
        <f t="shared" si="38"/>
        <v>340</v>
      </c>
      <c r="N107" s="37">
        <f t="shared" si="10"/>
        <v>470</v>
      </c>
      <c r="O107" s="37">
        <f t="shared" ref="O107:O117" si="39">M36</f>
        <v>470</v>
      </c>
      <c r="P107" s="37">
        <f t="shared" ref="P107:P117" si="40">M36</f>
        <v>470</v>
      </c>
    </row>
    <row r="108" spans="4:16" ht="20.100000000000001" customHeight="1" x14ac:dyDescent="0.25">
      <c r="D108" s="37" t="s">
        <v>90</v>
      </c>
      <c r="E108" s="37" t="str">
        <f t="shared" ref="E108:K108" si="41">E37</f>
        <v>South West</v>
      </c>
      <c r="F108" s="37" t="str">
        <f t="shared" si="41"/>
        <v>Autumn</v>
      </c>
      <c r="G108" s="37">
        <f t="shared" si="41"/>
        <v>100</v>
      </c>
      <c r="H108" s="37">
        <f t="shared" si="41"/>
        <v>680</v>
      </c>
      <c r="I108" s="37">
        <f t="shared" si="41"/>
        <v>80</v>
      </c>
      <c r="J108" s="37">
        <f t="shared" si="41"/>
        <v>320</v>
      </c>
      <c r="K108" s="37">
        <f t="shared" si="41"/>
        <v>480</v>
      </c>
      <c r="L108" s="37">
        <f t="shared" si="38"/>
        <v>480</v>
      </c>
      <c r="M108" s="37">
        <f t="shared" si="38"/>
        <v>100</v>
      </c>
      <c r="N108" s="37">
        <f t="shared" si="10"/>
        <v>340</v>
      </c>
      <c r="O108" s="37">
        <f t="shared" si="39"/>
        <v>340</v>
      </c>
      <c r="P108" s="37">
        <f t="shared" si="40"/>
        <v>340</v>
      </c>
    </row>
    <row r="109" spans="4:16" ht="20.100000000000001" customHeight="1" x14ac:dyDescent="0.25">
      <c r="D109" s="37" t="s">
        <v>90</v>
      </c>
      <c r="E109" s="37" t="str">
        <f t="shared" ref="E109:K109" si="42">E38</f>
        <v>South West</v>
      </c>
      <c r="F109" s="37" t="str">
        <f t="shared" si="42"/>
        <v>Winter</v>
      </c>
      <c r="G109" s="37">
        <f t="shared" si="42"/>
        <v>190</v>
      </c>
      <c r="H109" s="37">
        <f t="shared" si="42"/>
        <v>700</v>
      </c>
      <c r="I109" s="37">
        <f t="shared" si="42"/>
        <v>150</v>
      </c>
      <c r="J109" s="37">
        <f t="shared" si="42"/>
        <v>330</v>
      </c>
      <c r="K109" s="37">
        <f t="shared" si="42"/>
        <v>490</v>
      </c>
      <c r="L109" s="37">
        <f t="shared" si="38"/>
        <v>490</v>
      </c>
      <c r="M109" s="37">
        <f t="shared" si="38"/>
        <v>170</v>
      </c>
      <c r="N109" s="37">
        <f t="shared" si="10"/>
        <v>360</v>
      </c>
      <c r="O109" s="37">
        <f t="shared" si="39"/>
        <v>360</v>
      </c>
      <c r="P109" s="37">
        <f t="shared" si="40"/>
        <v>360</v>
      </c>
    </row>
    <row r="110" spans="4:16" ht="20.100000000000001" customHeight="1" x14ac:dyDescent="0.25">
      <c r="D110" s="37" t="s">
        <v>90</v>
      </c>
      <c r="E110" s="37" t="str">
        <f t="shared" ref="E110:K110" si="43">E39</f>
        <v>Pilbara</v>
      </c>
      <c r="F110" s="37" t="str">
        <f t="shared" si="43"/>
        <v>Spring</v>
      </c>
      <c r="G110" s="37">
        <f t="shared" si="43"/>
        <v>80</v>
      </c>
      <c r="H110" s="37">
        <f t="shared" si="43"/>
        <v>450</v>
      </c>
      <c r="I110" s="37">
        <f t="shared" si="43"/>
        <v>70</v>
      </c>
      <c r="J110" s="37">
        <f t="shared" si="43"/>
        <v>260</v>
      </c>
      <c r="K110" s="37">
        <f t="shared" si="43"/>
        <v>340</v>
      </c>
      <c r="L110" s="37">
        <f t="shared" si="38"/>
        <v>340</v>
      </c>
      <c r="M110" s="37">
        <f t="shared" si="38"/>
        <v>80</v>
      </c>
      <c r="N110" s="37">
        <f t="shared" si="10"/>
        <v>370</v>
      </c>
      <c r="O110" s="37">
        <f t="shared" si="39"/>
        <v>370</v>
      </c>
      <c r="P110" s="37">
        <f t="shared" si="40"/>
        <v>370</v>
      </c>
    </row>
    <row r="111" spans="4:16" ht="20.100000000000001" customHeight="1" x14ac:dyDescent="0.25">
      <c r="D111" s="37" t="s">
        <v>90</v>
      </c>
      <c r="E111" s="37" t="str">
        <f t="shared" ref="E111:K111" si="44">E40</f>
        <v>Pilbara</v>
      </c>
      <c r="F111" s="37" t="str">
        <f t="shared" si="44"/>
        <v>Summer</v>
      </c>
      <c r="G111" s="37">
        <f t="shared" si="44"/>
        <v>150</v>
      </c>
      <c r="H111" s="37">
        <f t="shared" si="44"/>
        <v>500</v>
      </c>
      <c r="I111" s="37">
        <f t="shared" si="44"/>
        <v>140</v>
      </c>
      <c r="J111" s="37">
        <f t="shared" si="44"/>
        <v>310</v>
      </c>
      <c r="K111" s="37">
        <f t="shared" si="44"/>
        <v>360</v>
      </c>
      <c r="L111" s="37">
        <f t="shared" si="38"/>
        <v>360</v>
      </c>
      <c r="M111" s="37">
        <f t="shared" si="38"/>
        <v>150</v>
      </c>
      <c r="N111" s="37">
        <f t="shared" si="10"/>
        <v>400</v>
      </c>
      <c r="O111" s="37">
        <f t="shared" si="39"/>
        <v>400</v>
      </c>
      <c r="P111" s="37">
        <f t="shared" si="40"/>
        <v>400</v>
      </c>
    </row>
    <row r="112" spans="4:16" ht="20.100000000000001" customHeight="1" x14ac:dyDescent="0.25">
      <c r="D112" s="37" t="s">
        <v>90</v>
      </c>
      <c r="E112" s="37" t="str">
        <f t="shared" ref="E112:K112" si="45">E41</f>
        <v>Pilbara</v>
      </c>
      <c r="F112" s="37" t="str">
        <f t="shared" si="45"/>
        <v>Autumn</v>
      </c>
      <c r="G112" s="37">
        <f t="shared" si="45"/>
        <v>230</v>
      </c>
      <c r="H112" s="37">
        <f t="shared" si="45"/>
        <v>550</v>
      </c>
      <c r="I112" s="37">
        <f t="shared" si="45"/>
        <v>220</v>
      </c>
      <c r="J112" s="37">
        <f t="shared" si="45"/>
        <v>330</v>
      </c>
      <c r="K112" s="37">
        <f t="shared" si="45"/>
        <v>380</v>
      </c>
      <c r="L112" s="37">
        <f t="shared" si="38"/>
        <v>380</v>
      </c>
      <c r="M112" s="37">
        <f t="shared" si="38"/>
        <v>230</v>
      </c>
      <c r="N112" s="37">
        <f t="shared" si="10"/>
        <v>420</v>
      </c>
      <c r="O112" s="37">
        <f t="shared" si="39"/>
        <v>420</v>
      </c>
      <c r="P112" s="37">
        <f t="shared" si="40"/>
        <v>420</v>
      </c>
    </row>
    <row r="113" spans="4:22" ht="20.100000000000001" customHeight="1" x14ac:dyDescent="0.25">
      <c r="D113" s="37" t="s">
        <v>90</v>
      </c>
      <c r="E113" s="37" t="str">
        <f t="shared" ref="E113:K113" si="46">E42</f>
        <v>Pilbara</v>
      </c>
      <c r="F113" s="37" t="str">
        <f t="shared" si="46"/>
        <v>Winter</v>
      </c>
      <c r="G113" s="37">
        <f t="shared" si="46"/>
        <v>250</v>
      </c>
      <c r="H113" s="37">
        <f t="shared" si="46"/>
        <v>500</v>
      </c>
      <c r="I113" s="37">
        <f t="shared" si="46"/>
        <v>240</v>
      </c>
      <c r="J113" s="37">
        <f t="shared" si="46"/>
        <v>340</v>
      </c>
      <c r="K113" s="37">
        <f t="shared" si="46"/>
        <v>360</v>
      </c>
      <c r="L113" s="37">
        <f t="shared" si="38"/>
        <v>360</v>
      </c>
      <c r="M113" s="37">
        <f t="shared" si="38"/>
        <v>250</v>
      </c>
      <c r="N113" s="37">
        <f t="shared" si="10"/>
        <v>390</v>
      </c>
      <c r="O113" s="37">
        <f t="shared" si="39"/>
        <v>390</v>
      </c>
      <c r="P113" s="37">
        <f t="shared" si="40"/>
        <v>390</v>
      </c>
    </row>
    <row r="114" spans="4:22" ht="20.100000000000001" customHeight="1" x14ac:dyDescent="0.25">
      <c r="D114" s="37" t="s">
        <v>90</v>
      </c>
      <c r="E114" s="37" t="str">
        <f t="shared" ref="E114:K114" si="47">E43</f>
        <v>Kimberley</v>
      </c>
      <c r="F114" s="37" t="str">
        <f t="shared" si="47"/>
        <v>Spring</v>
      </c>
      <c r="G114" s="37">
        <f t="shared" si="47"/>
        <v>220</v>
      </c>
      <c r="H114" s="37">
        <f t="shared" si="47"/>
        <v>500</v>
      </c>
      <c r="I114" s="37">
        <f t="shared" si="47"/>
        <v>180</v>
      </c>
      <c r="J114" s="37">
        <f t="shared" si="47"/>
        <v>300</v>
      </c>
      <c r="K114" s="37">
        <f t="shared" si="47"/>
        <v>320</v>
      </c>
      <c r="L114" s="37">
        <f t="shared" si="38"/>
        <v>320</v>
      </c>
      <c r="M114" s="37">
        <f t="shared" si="38"/>
        <v>210</v>
      </c>
      <c r="N114" s="37">
        <f t="shared" si="10"/>
        <v>340</v>
      </c>
      <c r="O114" s="37">
        <f t="shared" si="39"/>
        <v>340</v>
      </c>
      <c r="P114" s="37">
        <f t="shared" si="40"/>
        <v>340</v>
      </c>
    </row>
    <row r="115" spans="4:22" ht="20.100000000000001" customHeight="1" x14ac:dyDescent="0.25">
      <c r="D115" s="37" t="s">
        <v>90</v>
      </c>
      <c r="E115" s="37" t="str">
        <f t="shared" ref="E115:K115" si="48">E44</f>
        <v>Kimberley</v>
      </c>
      <c r="F115" s="37" t="str">
        <f t="shared" si="48"/>
        <v>Summer</v>
      </c>
      <c r="G115" s="37">
        <f t="shared" si="48"/>
        <v>110</v>
      </c>
      <c r="H115" s="37">
        <f t="shared" si="48"/>
        <v>550</v>
      </c>
      <c r="I115" s="37">
        <f t="shared" si="48"/>
        <v>90</v>
      </c>
      <c r="J115" s="37">
        <f t="shared" si="48"/>
        <v>220</v>
      </c>
      <c r="K115" s="37">
        <f t="shared" si="48"/>
        <v>380</v>
      </c>
      <c r="L115" s="37">
        <f t="shared" si="38"/>
        <v>380</v>
      </c>
      <c r="M115" s="37">
        <f t="shared" si="38"/>
        <v>100</v>
      </c>
      <c r="N115" s="37">
        <f t="shared" si="10"/>
        <v>390</v>
      </c>
      <c r="O115" s="37">
        <f t="shared" si="39"/>
        <v>390</v>
      </c>
      <c r="P115" s="37">
        <f t="shared" si="40"/>
        <v>390</v>
      </c>
      <c r="V115" s="1"/>
    </row>
    <row r="116" spans="4:22" ht="20.100000000000001" customHeight="1" x14ac:dyDescent="0.25">
      <c r="D116" s="37" t="s">
        <v>90</v>
      </c>
      <c r="E116" s="37" t="str">
        <f t="shared" ref="E116:K116" si="49">E45</f>
        <v>Kimberley</v>
      </c>
      <c r="F116" s="37" t="str">
        <f t="shared" si="49"/>
        <v>Autumn</v>
      </c>
      <c r="G116" s="37">
        <f t="shared" si="49"/>
        <v>170</v>
      </c>
      <c r="H116" s="37">
        <f t="shared" si="49"/>
        <v>600</v>
      </c>
      <c r="I116" s="37">
        <f t="shared" si="49"/>
        <v>140</v>
      </c>
      <c r="J116" s="37">
        <f t="shared" si="49"/>
        <v>270</v>
      </c>
      <c r="K116" s="37">
        <f t="shared" si="49"/>
        <v>390</v>
      </c>
      <c r="L116" s="37">
        <f t="shared" si="38"/>
        <v>390</v>
      </c>
      <c r="M116" s="37">
        <f t="shared" si="38"/>
        <v>160</v>
      </c>
      <c r="N116" s="37">
        <f t="shared" si="10"/>
        <v>430</v>
      </c>
      <c r="O116" s="37">
        <f t="shared" si="39"/>
        <v>430</v>
      </c>
      <c r="P116" s="37">
        <f t="shared" si="40"/>
        <v>430</v>
      </c>
      <c r="V116" s="1"/>
    </row>
    <row r="117" spans="4:22" ht="20.100000000000001" customHeight="1" x14ac:dyDescent="0.25">
      <c r="D117" s="37" t="s">
        <v>90</v>
      </c>
      <c r="E117" s="37" t="str">
        <f t="shared" ref="E117:K117" si="50">E46</f>
        <v>Kimberley</v>
      </c>
      <c r="F117" s="37" t="str">
        <f t="shared" si="50"/>
        <v>Winter</v>
      </c>
      <c r="G117" s="37">
        <f t="shared" si="50"/>
        <v>200</v>
      </c>
      <c r="H117" s="37">
        <f t="shared" si="50"/>
        <v>550</v>
      </c>
      <c r="I117" s="37">
        <f t="shared" si="50"/>
        <v>150</v>
      </c>
      <c r="J117" s="37">
        <f t="shared" si="50"/>
        <v>280</v>
      </c>
      <c r="K117" s="37">
        <f t="shared" si="50"/>
        <v>350</v>
      </c>
      <c r="L117" s="37">
        <f t="shared" si="38"/>
        <v>350</v>
      </c>
      <c r="M117" s="37">
        <f t="shared" si="38"/>
        <v>190</v>
      </c>
      <c r="N117" s="37">
        <f t="shared" si="10"/>
        <v>400</v>
      </c>
      <c r="O117" s="37">
        <f t="shared" si="39"/>
        <v>400</v>
      </c>
      <c r="P117" s="37">
        <f t="shared" si="40"/>
        <v>400</v>
      </c>
      <c r="V117" s="1"/>
    </row>
    <row r="118" spans="4:22" ht="20.100000000000001" customHeight="1" x14ac:dyDescent="0.25">
      <c r="D118" s="37" t="s">
        <v>85</v>
      </c>
      <c r="E118" s="37" t="str">
        <f>E54</f>
        <v>Alice Springs</v>
      </c>
      <c r="F118" s="37" t="str">
        <f t="shared" ref="F118:P118" si="51">F54</f>
        <v>Spring</v>
      </c>
      <c r="G118" s="37">
        <f t="shared" si="51"/>
        <v>220</v>
      </c>
      <c r="H118" s="37">
        <f t="shared" si="51"/>
        <v>706</v>
      </c>
      <c r="I118" s="37">
        <f t="shared" si="51"/>
        <v>208</v>
      </c>
      <c r="J118" s="37">
        <f t="shared" si="51"/>
        <v>323</v>
      </c>
      <c r="K118" s="37">
        <f t="shared" si="51"/>
        <v>415</v>
      </c>
      <c r="L118" s="37">
        <f t="shared" si="51"/>
        <v>467</v>
      </c>
      <c r="M118" s="37">
        <f t="shared" si="51"/>
        <v>223</v>
      </c>
      <c r="N118" s="37">
        <f t="shared" si="51"/>
        <v>371</v>
      </c>
      <c r="O118" s="37">
        <f t="shared" si="51"/>
        <v>493</v>
      </c>
      <c r="P118" s="37">
        <f t="shared" si="51"/>
        <v>585</v>
      </c>
    </row>
    <row r="119" spans="4:22" ht="20.100000000000001" customHeight="1" x14ac:dyDescent="0.25">
      <c r="D119" s="37" t="s">
        <v>85</v>
      </c>
      <c r="E119" s="37" t="str">
        <f t="shared" ref="E119:P119" si="52">E55</f>
        <v>Alice Springs</v>
      </c>
      <c r="F119" s="37" t="str">
        <f t="shared" si="52"/>
        <v>Summer</v>
      </c>
      <c r="G119" s="37">
        <f t="shared" si="52"/>
        <v>110</v>
      </c>
      <c r="H119" s="37">
        <f t="shared" si="52"/>
        <v>703</v>
      </c>
      <c r="I119" s="37">
        <f t="shared" si="52"/>
        <v>112</v>
      </c>
      <c r="J119" s="37">
        <f t="shared" si="52"/>
        <v>256</v>
      </c>
      <c r="K119" s="37">
        <f t="shared" si="52"/>
        <v>368</v>
      </c>
      <c r="L119" s="37">
        <f t="shared" si="52"/>
        <v>465</v>
      </c>
      <c r="M119" s="37">
        <f t="shared" si="52"/>
        <v>108</v>
      </c>
      <c r="N119" s="37">
        <f t="shared" si="52"/>
        <v>280</v>
      </c>
      <c r="O119" s="37">
        <f t="shared" si="52"/>
        <v>421</v>
      </c>
      <c r="P119" s="37">
        <f t="shared" si="52"/>
        <v>543</v>
      </c>
    </row>
    <row r="120" spans="4:22" ht="20.100000000000001" customHeight="1" x14ac:dyDescent="0.25">
      <c r="D120" s="37" t="s">
        <v>85</v>
      </c>
      <c r="E120" s="37" t="str">
        <f t="shared" ref="E120:P120" si="53">E56</f>
        <v>Alice Springs</v>
      </c>
      <c r="F120" s="37" t="str">
        <f t="shared" si="53"/>
        <v>Autumn</v>
      </c>
      <c r="G120" s="37">
        <f t="shared" si="53"/>
        <v>170</v>
      </c>
      <c r="H120" s="37">
        <f t="shared" si="53"/>
        <v>721</v>
      </c>
      <c r="I120" s="37">
        <f t="shared" si="53"/>
        <v>169</v>
      </c>
      <c r="J120" s="37">
        <f t="shared" si="53"/>
        <v>306</v>
      </c>
      <c r="K120" s="37">
        <f t="shared" si="53"/>
        <v>392</v>
      </c>
      <c r="L120" s="37">
        <f t="shared" si="53"/>
        <v>464</v>
      </c>
      <c r="M120" s="37">
        <f t="shared" si="53"/>
        <v>176</v>
      </c>
      <c r="N120" s="37">
        <f t="shared" si="53"/>
        <v>339</v>
      </c>
      <c r="O120" s="37">
        <f t="shared" si="53"/>
        <v>470</v>
      </c>
      <c r="P120" s="37">
        <f t="shared" si="53"/>
        <v>580</v>
      </c>
    </row>
    <row r="121" spans="4:22" ht="20.100000000000001" customHeight="1" x14ac:dyDescent="0.25">
      <c r="D121" s="37" t="s">
        <v>85</v>
      </c>
      <c r="E121" s="37" t="str">
        <f t="shared" ref="E121:P121" si="54">E57</f>
        <v>Alice Springs</v>
      </c>
      <c r="F121" s="37" t="str">
        <f t="shared" si="54"/>
        <v>Winter</v>
      </c>
      <c r="G121" s="37">
        <f t="shared" si="54"/>
        <v>200</v>
      </c>
      <c r="H121" s="37">
        <f t="shared" si="54"/>
        <v>727</v>
      </c>
      <c r="I121" s="37">
        <f t="shared" si="54"/>
        <v>211</v>
      </c>
      <c r="J121" s="37">
        <f t="shared" si="54"/>
        <v>338</v>
      </c>
      <c r="K121" s="37">
        <f t="shared" si="54"/>
        <v>432</v>
      </c>
      <c r="L121" s="37">
        <f t="shared" si="54"/>
        <v>492</v>
      </c>
      <c r="M121" s="37">
        <f t="shared" si="54"/>
        <v>222</v>
      </c>
      <c r="N121" s="37">
        <f t="shared" si="54"/>
        <v>377</v>
      </c>
      <c r="O121" s="37">
        <f t="shared" si="54"/>
        <v>498</v>
      </c>
      <c r="P121" s="37">
        <f t="shared" si="54"/>
        <v>590</v>
      </c>
    </row>
    <row r="122" spans="4:22" ht="20.100000000000001" customHeight="1" x14ac:dyDescent="0.25">
      <c r="D122" s="37" t="s">
        <v>85</v>
      </c>
      <c r="E122" s="37" t="str">
        <f t="shared" ref="E122:P122" si="55">E58</f>
        <v>Barkly</v>
      </c>
      <c r="F122" s="37" t="str">
        <f t="shared" si="55"/>
        <v>Spring</v>
      </c>
      <c r="G122" s="37">
        <f t="shared" si="55"/>
        <v>220</v>
      </c>
      <c r="H122" s="37">
        <f t="shared" si="55"/>
        <v>620</v>
      </c>
      <c r="I122" s="37">
        <f t="shared" si="55"/>
        <v>227</v>
      </c>
      <c r="J122" s="37">
        <f t="shared" si="55"/>
        <v>319</v>
      </c>
      <c r="K122" s="37">
        <f t="shared" si="55"/>
        <v>398</v>
      </c>
      <c r="L122" s="37">
        <f t="shared" si="55"/>
        <v>452</v>
      </c>
      <c r="M122" s="37">
        <f t="shared" si="55"/>
        <v>216</v>
      </c>
      <c r="N122" s="37">
        <f t="shared" si="55"/>
        <v>334</v>
      </c>
      <c r="O122" s="37" t="str">
        <f t="shared" si="55"/>
        <v>NO</v>
      </c>
      <c r="P122" s="37" t="str">
        <f t="shared" si="55"/>
        <v>NO</v>
      </c>
    </row>
    <row r="123" spans="4:22" ht="20.100000000000001" customHeight="1" x14ac:dyDescent="0.25">
      <c r="D123" s="37" t="s">
        <v>85</v>
      </c>
      <c r="E123" s="37" t="str">
        <f t="shared" ref="E123:P123" si="56">E59</f>
        <v>Barkly</v>
      </c>
      <c r="F123" s="37" t="str">
        <f t="shared" si="56"/>
        <v>Summer</v>
      </c>
      <c r="G123" s="37">
        <f t="shared" si="56"/>
        <v>110</v>
      </c>
      <c r="H123" s="37">
        <f t="shared" si="56"/>
        <v>650</v>
      </c>
      <c r="I123" s="37">
        <f t="shared" si="56"/>
        <v>108</v>
      </c>
      <c r="J123" s="37">
        <f t="shared" si="56"/>
        <v>262</v>
      </c>
      <c r="K123" s="37">
        <f t="shared" si="56"/>
        <v>346</v>
      </c>
      <c r="L123" s="37">
        <f t="shared" si="56"/>
        <v>430</v>
      </c>
      <c r="M123" s="37">
        <f t="shared" si="56"/>
        <v>111</v>
      </c>
      <c r="N123" s="37">
        <f t="shared" si="56"/>
        <v>236</v>
      </c>
      <c r="O123" s="37" t="str">
        <f t="shared" si="56"/>
        <v>NO</v>
      </c>
      <c r="P123" s="37" t="str">
        <f t="shared" si="56"/>
        <v>NO</v>
      </c>
    </row>
    <row r="124" spans="4:22" ht="20.100000000000001" customHeight="1" x14ac:dyDescent="0.25">
      <c r="D124" s="37" t="s">
        <v>85</v>
      </c>
      <c r="E124" s="37" t="str">
        <f t="shared" ref="E124:P124" si="57">E60</f>
        <v>Barkly</v>
      </c>
      <c r="F124" s="37" t="str">
        <f t="shared" si="57"/>
        <v>Autumn</v>
      </c>
      <c r="G124" s="37">
        <f t="shared" si="57"/>
        <v>170</v>
      </c>
      <c r="H124" s="37">
        <f t="shared" si="57"/>
        <v>670</v>
      </c>
      <c r="I124" s="37">
        <f t="shared" si="57"/>
        <v>170</v>
      </c>
      <c r="J124" s="37">
        <f t="shared" si="57"/>
        <v>266</v>
      </c>
      <c r="K124" s="37">
        <f t="shared" si="57"/>
        <v>363</v>
      </c>
      <c r="L124" s="37">
        <f t="shared" si="57"/>
        <v>444</v>
      </c>
      <c r="M124" s="37">
        <f t="shared" si="57"/>
        <v>169</v>
      </c>
      <c r="N124" s="37">
        <f t="shared" si="57"/>
        <v>282</v>
      </c>
      <c r="O124" s="37" t="str">
        <f t="shared" si="57"/>
        <v>NO</v>
      </c>
      <c r="P124" s="37" t="str">
        <f t="shared" si="57"/>
        <v>NO</v>
      </c>
    </row>
    <row r="125" spans="4:22" ht="20.100000000000001" customHeight="1" x14ac:dyDescent="0.25">
      <c r="D125" s="37" t="s">
        <v>85</v>
      </c>
      <c r="E125" s="37" t="str">
        <f t="shared" ref="E125:P125" si="58">E61</f>
        <v>Barkly</v>
      </c>
      <c r="F125" s="37" t="str">
        <f t="shared" si="58"/>
        <v>Winter</v>
      </c>
      <c r="G125" s="37">
        <f t="shared" si="58"/>
        <v>200</v>
      </c>
      <c r="H125" s="37">
        <f t="shared" si="58"/>
        <v>660</v>
      </c>
      <c r="I125" s="37">
        <f t="shared" si="58"/>
        <v>225</v>
      </c>
      <c r="J125" s="37">
        <f t="shared" si="58"/>
        <v>307</v>
      </c>
      <c r="K125" s="37">
        <f t="shared" si="58"/>
        <v>398</v>
      </c>
      <c r="L125" s="37">
        <f t="shared" si="58"/>
        <v>452</v>
      </c>
      <c r="M125" s="37">
        <f t="shared" si="58"/>
        <v>214</v>
      </c>
      <c r="N125" s="37">
        <f t="shared" si="58"/>
        <v>326</v>
      </c>
      <c r="O125" s="37" t="str">
        <f t="shared" si="58"/>
        <v>NO</v>
      </c>
      <c r="P125" s="37" t="str">
        <f t="shared" si="58"/>
        <v>NO</v>
      </c>
      <c r="V125" s="1"/>
    </row>
    <row r="126" spans="4:22" ht="20.100000000000001" customHeight="1" x14ac:dyDescent="0.25">
      <c r="D126" s="37" t="s">
        <v>85</v>
      </c>
      <c r="E126" s="37" t="str">
        <f t="shared" ref="E126:P126" si="59">E62</f>
        <v>Northern</v>
      </c>
      <c r="F126" s="37" t="str">
        <f t="shared" si="59"/>
        <v>Spring</v>
      </c>
      <c r="G126" s="37">
        <f t="shared" si="59"/>
        <v>220</v>
      </c>
      <c r="H126" s="37">
        <f t="shared" si="59"/>
        <v>620</v>
      </c>
      <c r="I126" s="37">
        <f t="shared" si="59"/>
        <v>177</v>
      </c>
      <c r="J126" s="37">
        <f t="shared" si="59"/>
        <v>267</v>
      </c>
      <c r="K126" s="37">
        <f t="shared" si="59"/>
        <v>365</v>
      </c>
      <c r="L126" s="37">
        <f t="shared" si="59"/>
        <v>406</v>
      </c>
      <c r="M126" s="37">
        <f t="shared" si="59"/>
        <v>231</v>
      </c>
      <c r="N126" s="37">
        <f t="shared" si="59"/>
        <v>249</v>
      </c>
      <c r="O126" s="37">
        <f t="shared" si="59"/>
        <v>324</v>
      </c>
      <c r="P126" s="37" t="str">
        <f t="shared" si="59"/>
        <v>NO</v>
      </c>
      <c r="V126" s="1"/>
    </row>
    <row r="127" spans="4:22" ht="20.100000000000001" customHeight="1" x14ac:dyDescent="0.25">
      <c r="D127" s="37" t="s">
        <v>85</v>
      </c>
      <c r="E127" s="37" t="str">
        <f t="shared" ref="E127:P127" si="60">E63</f>
        <v>Northern</v>
      </c>
      <c r="F127" s="37" t="str">
        <f t="shared" si="60"/>
        <v>Summer</v>
      </c>
      <c r="G127" s="37">
        <f t="shared" si="60"/>
        <v>110</v>
      </c>
      <c r="H127" s="37">
        <f t="shared" si="60"/>
        <v>650</v>
      </c>
      <c r="I127" s="37">
        <f t="shared" si="60"/>
        <v>102</v>
      </c>
      <c r="J127" s="37">
        <f t="shared" si="60"/>
        <v>203</v>
      </c>
      <c r="K127" s="37">
        <f t="shared" si="60"/>
        <v>299</v>
      </c>
      <c r="L127" s="37">
        <f t="shared" si="60"/>
        <v>380</v>
      </c>
      <c r="M127" s="37">
        <f t="shared" si="60"/>
        <v>102</v>
      </c>
      <c r="N127" s="37">
        <f t="shared" si="60"/>
        <v>218</v>
      </c>
      <c r="O127" s="37">
        <f t="shared" si="60"/>
        <v>263</v>
      </c>
      <c r="P127" s="37" t="str">
        <f t="shared" si="60"/>
        <v>NO</v>
      </c>
      <c r="V127" s="1"/>
    </row>
    <row r="128" spans="4:22" ht="20.100000000000001" customHeight="1" x14ac:dyDescent="0.25">
      <c r="D128" s="37" t="s">
        <v>85</v>
      </c>
      <c r="E128" s="37" t="str">
        <f t="shared" ref="E128:P128" si="61">E64</f>
        <v>Northern</v>
      </c>
      <c r="F128" s="37" t="str">
        <f t="shared" si="61"/>
        <v>Autumn</v>
      </c>
      <c r="G128" s="37">
        <f t="shared" si="61"/>
        <v>170</v>
      </c>
      <c r="H128" s="37">
        <f t="shared" si="61"/>
        <v>670</v>
      </c>
      <c r="I128" s="37">
        <f t="shared" si="61"/>
        <v>173</v>
      </c>
      <c r="J128" s="37">
        <f t="shared" si="61"/>
        <v>250</v>
      </c>
      <c r="K128" s="37">
        <f t="shared" si="61"/>
        <v>336</v>
      </c>
      <c r="L128" s="37">
        <f t="shared" si="61"/>
        <v>414</v>
      </c>
      <c r="M128" s="37">
        <f t="shared" si="61"/>
        <v>175</v>
      </c>
      <c r="N128" s="37">
        <f t="shared" si="61"/>
        <v>243</v>
      </c>
      <c r="O128" s="37">
        <f t="shared" si="61"/>
        <v>304</v>
      </c>
      <c r="P128" s="37" t="str">
        <f t="shared" si="61"/>
        <v>NO</v>
      </c>
      <c r="V128" s="1"/>
    </row>
    <row r="129" spans="4:22" ht="20.100000000000001" customHeight="1" x14ac:dyDescent="0.25">
      <c r="D129" s="37" t="s">
        <v>85</v>
      </c>
      <c r="E129" s="37" t="str">
        <f t="shared" ref="E129:P129" si="62">E65</f>
        <v>Northern</v>
      </c>
      <c r="F129" s="37" t="str">
        <f t="shared" si="62"/>
        <v>Winter</v>
      </c>
      <c r="G129" s="37">
        <f t="shared" si="62"/>
        <v>200</v>
      </c>
      <c r="H129" s="37">
        <f t="shared" si="62"/>
        <v>660</v>
      </c>
      <c r="I129" s="37">
        <f t="shared" si="62"/>
        <v>202</v>
      </c>
      <c r="J129" s="37">
        <f t="shared" si="62"/>
        <v>272</v>
      </c>
      <c r="K129" s="37">
        <f t="shared" si="62"/>
        <v>365</v>
      </c>
      <c r="L129" s="37">
        <f t="shared" si="62"/>
        <v>390</v>
      </c>
      <c r="M129" s="37">
        <f t="shared" si="62"/>
        <v>208</v>
      </c>
      <c r="N129" s="37">
        <f t="shared" si="62"/>
        <v>260</v>
      </c>
      <c r="O129" s="37">
        <f t="shared" si="62"/>
        <v>337</v>
      </c>
      <c r="P129" s="37" t="str">
        <f t="shared" si="62"/>
        <v>NO</v>
      </c>
      <c r="V129" s="1"/>
    </row>
    <row r="130" spans="4:22" ht="20.100000000000001" customHeight="1" x14ac:dyDescent="0.25">
      <c r="D130" s="37" t="s">
        <v>86</v>
      </c>
      <c r="E130" s="37" t="str">
        <f t="shared" ref="E130:P130" si="63">E66</f>
        <v>High</v>
      </c>
      <c r="F130" s="37" t="str">
        <f t="shared" si="63"/>
        <v>Spring</v>
      </c>
      <c r="G130" s="37">
        <f t="shared" si="63"/>
        <v>260</v>
      </c>
      <c r="H130" s="37">
        <f t="shared" si="63"/>
        <v>705</v>
      </c>
      <c r="I130" s="37">
        <f t="shared" si="63"/>
        <v>215</v>
      </c>
      <c r="J130" s="37">
        <f t="shared" si="63"/>
        <v>302</v>
      </c>
      <c r="K130" s="37">
        <f t="shared" si="63"/>
        <v>416</v>
      </c>
      <c r="L130" s="37">
        <f t="shared" si="63"/>
        <v>519</v>
      </c>
      <c r="M130" s="37">
        <f t="shared" si="63"/>
        <v>234</v>
      </c>
      <c r="N130" s="37">
        <f t="shared" si="63"/>
        <v>455</v>
      </c>
      <c r="O130" s="37">
        <f t="shared" si="63"/>
        <v>551</v>
      </c>
      <c r="P130" s="37">
        <f t="shared" si="63"/>
        <v>660</v>
      </c>
      <c r="V130" s="1"/>
    </row>
    <row r="131" spans="4:22" ht="20.100000000000001" customHeight="1" x14ac:dyDescent="0.25">
      <c r="D131" s="37" t="s">
        <v>86</v>
      </c>
      <c r="E131" s="37" t="str">
        <f t="shared" ref="E131:P131" si="64">E67</f>
        <v>High</v>
      </c>
      <c r="F131" s="37" t="str">
        <f t="shared" si="64"/>
        <v>Summer</v>
      </c>
      <c r="G131" s="37">
        <f t="shared" si="64"/>
        <v>153</v>
      </c>
      <c r="H131" s="37">
        <f t="shared" si="64"/>
        <v>703</v>
      </c>
      <c r="I131" s="37">
        <f t="shared" si="64"/>
        <v>118</v>
      </c>
      <c r="J131" s="37">
        <f t="shared" si="64"/>
        <v>277</v>
      </c>
      <c r="K131" s="37">
        <f t="shared" si="64"/>
        <v>397</v>
      </c>
      <c r="L131" s="37">
        <f t="shared" si="64"/>
        <v>483</v>
      </c>
      <c r="M131" s="37">
        <f t="shared" si="64"/>
        <v>111</v>
      </c>
      <c r="N131" s="37">
        <f t="shared" si="64"/>
        <v>304</v>
      </c>
      <c r="O131" s="37">
        <f t="shared" si="64"/>
        <v>521</v>
      </c>
      <c r="P131" s="37">
        <f t="shared" si="64"/>
        <v>547</v>
      </c>
    </row>
    <row r="132" spans="4:22" ht="20.100000000000001" customHeight="1" x14ac:dyDescent="0.25">
      <c r="D132" s="37" t="s">
        <v>86</v>
      </c>
      <c r="E132" s="37" t="str">
        <f t="shared" ref="E132:P132" si="65">E68</f>
        <v>High</v>
      </c>
      <c r="F132" s="37" t="str">
        <f t="shared" si="65"/>
        <v>Autumn</v>
      </c>
      <c r="G132" s="37">
        <f t="shared" si="65"/>
        <v>168</v>
      </c>
      <c r="H132" s="37">
        <f t="shared" si="65"/>
        <v>718</v>
      </c>
      <c r="I132" s="37">
        <f t="shared" si="65"/>
        <v>191</v>
      </c>
      <c r="J132" s="37">
        <f t="shared" si="65"/>
        <v>319</v>
      </c>
      <c r="K132" s="37">
        <f t="shared" si="65"/>
        <v>440</v>
      </c>
      <c r="L132" s="37">
        <f t="shared" si="65"/>
        <v>506</v>
      </c>
      <c r="M132" s="37">
        <f t="shared" si="65"/>
        <v>188</v>
      </c>
      <c r="N132" s="37">
        <f t="shared" si="65"/>
        <v>326</v>
      </c>
      <c r="O132" s="37">
        <f t="shared" si="65"/>
        <v>520</v>
      </c>
      <c r="P132" s="37">
        <f t="shared" si="65"/>
        <v>582</v>
      </c>
    </row>
    <row r="133" spans="4:22" ht="20.100000000000001" customHeight="1" x14ac:dyDescent="0.25">
      <c r="D133" s="37" t="s">
        <v>86</v>
      </c>
      <c r="E133" s="37" t="str">
        <f t="shared" ref="E133:P133" si="66">E69</f>
        <v>High</v>
      </c>
      <c r="F133" s="37" t="str">
        <f t="shared" si="66"/>
        <v>Winter</v>
      </c>
      <c r="G133" s="37">
        <f t="shared" si="66"/>
        <v>235</v>
      </c>
      <c r="H133" s="37">
        <f t="shared" si="66"/>
        <v>722</v>
      </c>
      <c r="I133" s="37">
        <f t="shared" si="66"/>
        <v>207</v>
      </c>
      <c r="J133" s="37">
        <f t="shared" si="66"/>
        <v>352</v>
      </c>
      <c r="K133" s="37">
        <f t="shared" si="66"/>
        <v>470</v>
      </c>
      <c r="L133" s="37">
        <f t="shared" si="66"/>
        <v>514</v>
      </c>
      <c r="M133" s="37">
        <f t="shared" si="66"/>
        <v>209</v>
      </c>
      <c r="N133" s="37">
        <f t="shared" si="66"/>
        <v>421</v>
      </c>
      <c r="O133" s="37">
        <f t="shared" si="66"/>
        <v>512</v>
      </c>
      <c r="P133" s="37">
        <f t="shared" si="66"/>
        <v>605</v>
      </c>
    </row>
    <row r="134" spans="4:22" ht="20.100000000000001" customHeight="1" x14ac:dyDescent="0.25">
      <c r="D134" s="37" t="s">
        <v>86</v>
      </c>
      <c r="E134" s="37" t="str">
        <f t="shared" ref="E134:P134" si="67">E70</f>
        <v>Moderate/High</v>
      </c>
      <c r="F134" s="37" t="str">
        <f t="shared" si="67"/>
        <v>Spring</v>
      </c>
      <c r="G134" s="37">
        <f t="shared" si="67"/>
        <v>230</v>
      </c>
      <c r="H134" s="37">
        <f t="shared" si="67"/>
        <v>674</v>
      </c>
      <c r="I134" s="37">
        <f t="shared" si="67"/>
        <v>217</v>
      </c>
      <c r="J134" s="37">
        <f t="shared" si="67"/>
        <v>344</v>
      </c>
      <c r="K134" s="37">
        <f t="shared" si="67"/>
        <v>357</v>
      </c>
      <c r="L134" s="37">
        <f t="shared" si="67"/>
        <v>467</v>
      </c>
      <c r="M134" s="37">
        <f t="shared" si="67"/>
        <v>242</v>
      </c>
      <c r="N134" s="37">
        <f t="shared" si="67"/>
        <v>370</v>
      </c>
      <c r="O134" s="37">
        <f t="shared" si="67"/>
        <v>550</v>
      </c>
      <c r="P134" s="37">
        <f t="shared" si="67"/>
        <v>620</v>
      </c>
    </row>
    <row r="135" spans="4:22" ht="20.100000000000001" customHeight="1" x14ac:dyDescent="0.25">
      <c r="D135" s="37" t="s">
        <v>86</v>
      </c>
      <c r="E135" s="37" t="str">
        <f t="shared" ref="E135:P135" si="68">E71</f>
        <v>Moderate/High</v>
      </c>
      <c r="F135" s="37" t="str">
        <f t="shared" si="68"/>
        <v>Summer</v>
      </c>
      <c r="G135" s="37">
        <f t="shared" si="68"/>
        <v>113</v>
      </c>
      <c r="H135" s="37">
        <f t="shared" si="68"/>
        <v>669</v>
      </c>
      <c r="I135" s="37">
        <f t="shared" si="68"/>
        <v>113</v>
      </c>
      <c r="J135" s="37">
        <f t="shared" si="68"/>
        <v>283</v>
      </c>
      <c r="K135" s="37">
        <f t="shared" si="68"/>
        <v>361</v>
      </c>
      <c r="L135" s="37">
        <f t="shared" si="68"/>
        <v>477</v>
      </c>
      <c r="M135" s="37">
        <f t="shared" si="68"/>
        <v>120</v>
      </c>
      <c r="N135" s="37">
        <f t="shared" si="68"/>
        <v>273</v>
      </c>
      <c r="O135" s="37">
        <f t="shared" si="68"/>
        <v>545</v>
      </c>
      <c r="P135" s="37">
        <f t="shared" si="68"/>
        <v>553</v>
      </c>
    </row>
    <row r="136" spans="4:22" ht="20.100000000000001" customHeight="1" x14ac:dyDescent="0.25">
      <c r="D136" s="37" t="s">
        <v>86</v>
      </c>
      <c r="E136" s="37" t="str">
        <f t="shared" ref="E136:P136" si="69">E72</f>
        <v>Moderate/High</v>
      </c>
      <c r="F136" s="37" t="str">
        <f t="shared" si="69"/>
        <v>Autumn</v>
      </c>
      <c r="G136" s="37">
        <f t="shared" si="69"/>
        <v>172</v>
      </c>
      <c r="H136" s="37">
        <f t="shared" si="69"/>
        <v>685</v>
      </c>
      <c r="I136" s="37">
        <f t="shared" si="69"/>
        <v>172</v>
      </c>
      <c r="J136" s="37">
        <f t="shared" si="69"/>
        <v>309</v>
      </c>
      <c r="K136" s="37">
        <f t="shared" si="69"/>
        <v>376</v>
      </c>
      <c r="L136" s="37">
        <f t="shared" si="69"/>
        <v>471</v>
      </c>
      <c r="M136" s="37">
        <f t="shared" si="69"/>
        <v>238</v>
      </c>
      <c r="N136" s="37">
        <f t="shared" si="69"/>
        <v>329</v>
      </c>
      <c r="O136" s="37">
        <f t="shared" si="69"/>
        <v>573</v>
      </c>
      <c r="P136" s="37">
        <f t="shared" si="69"/>
        <v>620</v>
      </c>
    </row>
    <row r="137" spans="4:22" ht="20.100000000000001" customHeight="1" x14ac:dyDescent="0.25">
      <c r="D137" s="37" t="s">
        <v>86</v>
      </c>
      <c r="E137" s="37" t="str">
        <f t="shared" ref="E137:P137" si="70">E73</f>
        <v>Moderate/High</v>
      </c>
      <c r="F137" s="37" t="str">
        <f t="shared" si="70"/>
        <v>Winter</v>
      </c>
      <c r="G137" s="37">
        <f t="shared" si="70"/>
        <v>241</v>
      </c>
      <c r="H137" s="37">
        <f t="shared" si="70"/>
        <v>692</v>
      </c>
      <c r="I137" s="37">
        <f t="shared" si="70"/>
        <v>208</v>
      </c>
      <c r="J137" s="37">
        <f t="shared" si="70"/>
        <v>344</v>
      </c>
      <c r="K137" s="37">
        <f t="shared" si="70"/>
        <v>364</v>
      </c>
      <c r="L137" s="37">
        <f t="shared" si="70"/>
        <v>484</v>
      </c>
      <c r="M137" s="37">
        <f t="shared" si="70"/>
        <v>260</v>
      </c>
      <c r="N137" s="37">
        <f t="shared" si="70"/>
        <v>350</v>
      </c>
      <c r="O137" s="37">
        <f t="shared" si="70"/>
        <v>567</v>
      </c>
      <c r="P137" s="37">
        <f t="shared" si="70"/>
        <v>620</v>
      </c>
    </row>
    <row r="138" spans="4:22" ht="20.100000000000001" customHeight="1" x14ac:dyDescent="0.25">
      <c r="D138" s="37" t="s">
        <v>86</v>
      </c>
      <c r="E138" s="37" t="str">
        <f t="shared" ref="E138:P138" si="71">E74</f>
        <v>Moderate/Low</v>
      </c>
      <c r="F138" s="37" t="str">
        <f t="shared" si="71"/>
        <v>Spring</v>
      </c>
      <c r="G138" s="37">
        <f t="shared" si="71"/>
        <v>236</v>
      </c>
      <c r="H138" s="37">
        <f t="shared" si="71"/>
        <v>674</v>
      </c>
      <c r="I138" s="37">
        <f t="shared" si="71"/>
        <v>178</v>
      </c>
      <c r="J138" s="37">
        <f t="shared" si="71"/>
        <v>310</v>
      </c>
      <c r="K138" s="37">
        <f t="shared" si="71"/>
        <v>428</v>
      </c>
      <c r="L138" s="37">
        <f t="shared" si="71"/>
        <v>466</v>
      </c>
      <c r="M138" s="37">
        <f t="shared" si="71"/>
        <v>193</v>
      </c>
      <c r="N138" s="37">
        <f t="shared" si="71"/>
        <v>370</v>
      </c>
      <c r="O138" s="37">
        <f t="shared" si="71"/>
        <v>519</v>
      </c>
      <c r="P138" s="37">
        <f t="shared" si="71"/>
        <v>565</v>
      </c>
    </row>
    <row r="139" spans="4:22" ht="20.100000000000001" customHeight="1" x14ac:dyDescent="0.25">
      <c r="D139" s="37" t="s">
        <v>86</v>
      </c>
      <c r="E139" s="37" t="str">
        <f t="shared" ref="E139:P139" si="72">E75</f>
        <v>Moderate/Low</v>
      </c>
      <c r="F139" s="37" t="str">
        <f t="shared" si="72"/>
        <v>Summer</v>
      </c>
      <c r="G139" s="37">
        <f t="shared" si="72"/>
        <v>120</v>
      </c>
      <c r="H139" s="37">
        <f t="shared" si="72"/>
        <v>669</v>
      </c>
      <c r="I139" s="37">
        <f t="shared" si="72"/>
        <v>112</v>
      </c>
      <c r="J139" s="37">
        <f t="shared" si="72"/>
        <v>250</v>
      </c>
      <c r="K139" s="37">
        <f t="shared" si="72"/>
        <v>390</v>
      </c>
      <c r="L139" s="37">
        <f t="shared" si="72"/>
        <v>448</v>
      </c>
      <c r="M139" s="37">
        <f t="shared" si="72"/>
        <v>115</v>
      </c>
      <c r="N139" s="37">
        <f t="shared" si="72"/>
        <v>273</v>
      </c>
      <c r="O139" s="37">
        <f t="shared" si="72"/>
        <v>433</v>
      </c>
      <c r="P139" s="37">
        <f t="shared" si="72"/>
        <v>556</v>
      </c>
    </row>
    <row r="140" spans="4:22" ht="20.100000000000001" customHeight="1" x14ac:dyDescent="0.25">
      <c r="D140" s="37" t="s">
        <v>86</v>
      </c>
      <c r="E140" s="37" t="str">
        <f t="shared" ref="E140:P140" si="73">E76</f>
        <v>Moderate/Low</v>
      </c>
      <c r="F140" s="37" t="str">
        <f t="shared" si="73"/>
        <v>Autumn</v>
      </c>
      <c r="G140" s="37">
        <f t="shared" si="73"/>
        <v>125</v>
      </c>
      <c r="H140" s="37">
        <f t="shared" si="73"/>
        <v>685</v>
      </c>
      <c r="I140" s="37">
        <f t="shared" si="73"/>
        <v>140</v>
      </c>
      <c r="J140" s="37">
        <f t="shared" si="73"/>
        <v>277</v>
      </c>
      <c r="K140" s="37">
        <f t="shared" si="73"/>
        <v>407</v>
      </c>
      <c r="L140" s="37">
        <f t="shared" si="73"/>
        <v>455</v>
      </c>
      <c r="M140" s="37">
        <f t="shared" si="73"/>
        <v>141</v>
      </c>
      <c r="N140" s="37">
        <f t="shared" si="73"/>
        <v>296</v>
      </c>
      <c r="O140" s="37">
        <f t="shared" si="73"/>
        <v>445</v>
      </c>
      <c r="P140" s="37">
        <f t="shared" si="73"/>
        <v>593</v>
      </c>
    </row>
    <row r="141" spans="4:22" ht="20.100000000000001" customHeight="1" x14ac:dyDescent="0.25">
      <c r="D141" s="37" t="s">
        <v>86</v>
      </c>
      <c r="E141" s="37" t="str">
        <f t="shared" ref="E141:P141" si="74">E77</f>
        <v>Moderate/Low</v>
      </c>
      <c r="F141" s="37" t="str">
        <f t="shared" si="74"/>
        <v>Winter</v>
      </c>
      <c r="G141" s="37">
        <f t="shared" si="74"/>
        <v>180</v>
      </c>
      <c r="H141" s="37">
        <f t="shared" si="74"/>
        <v>692</v>
      </c>
      <c r="I141" s="37">
        <f t="shared" si="74"/>
        <v>183</v>
      </c>
      <c r="J141" s="37">
        <f t="shared" si="74"/>
        <v>316</v>
      </c>
      <c r="K141" s="37">
        <f t="shared" si="74"/>
        <v>438</v>
      </c>
      <c r="L141" s="37">
        <f t="shared" si="74"/>
        <v>468</v>
      </c>
      <c r="M141" s="37">
        <f t="shared" si="74"/>
        <v>189</v>
      </c>
      <c r="N141" s="37">
        <f t="shared" si="74"/>
        <v>354</v>
      </c>
      <c r="O141" s="37">
        <f t="shared" si="74"/>
        <v>500</v>
      </c>
      <c r="P141" s="37">
        <f t="shared" si="74"/>
        <v>553</v>
      </c>
    </row>
    <row r="142" spans="4:22" ht="20.100000000000001" customHeight="1" x14ac:dyDescent="0.25">
      <c r="D142" s="37" t="s">
        <v>86</v>
      </c>
      <c r="E142" s="37" t="str">
        <f t="shared" ref="E142:P142" si="75">E78</f>
        <v>Low</v>
      </c>
      <c r="F142" s="37" t="str">
        <f t="shared" si="75"/>
        <v>Spring</v>
      </c>
      <c r="G142" s="37">
        <f t="shared" si="75"/>
        <v>190</v>
      </c>
      <c r="H142" s="37">
        <f t="shared" si="75"/>
        <v>617</v>
      </c>
      <c r="I142" s="37">
        <f t="shared" si="75"/>
        <v>174</v>
      </c>
      <c r="J142" s="37">
        <f t="shared" si="75"/>
        <v>265</v>
      </c>
      <c r="K142" s="37">
        <f t="shared" si="75"/>
        <v>371</v>
      </c>
      <c r="L142" s="37">
        <f t="shared" si="75"/>
        <v>415</v>
      </c>
      <c r="M142" s="37">
        <f t="shared" si="75"/>
        <v>170</v>
      </c>
      <c r="N142" s="37">
        <f t="shared" si="75"/>
        <v>272</v>
      </c>
      <c r="O142" s="37">
        <f t="shared" si="75"/>
        <v>392</v>
      </c>
      <c r="P142" s="37">
        <f t="shared" si="75"/>
        <v>531</v>
      </c>
    </row>
    <row r="143" spans="4:22" ht="20.100000000000001" customHeight="1" x14ac:dyDescent="0.25">
      <c r="D143" s="37" t="s">
        <v>86</v>
      </c>
      <c r="E143" s="37" t="str">
        <f t="shared" ref="E143:P143" si="76">E79</f>
        <v>Low</v>
      </c>
      <c r="F143" s="37" t="str">
        <f t="shared" si="76"/>
        <v>Summer</v>
      </c>
      <c r="G143" s="37">
        <f t="shared" si="76"/>
        <v>119</v>
      </c>
      <c r="H143" s="37">
        <f t="shared" si="76"/>
        <v>591</v>
      </c>
      <c r="I143" s="37">
        <f t="shared" si="76"/>
        <v>140</v>
      </c>
      <c r="J143" s="37">
        <f t="shared" si="76"/>
        <v>205</v>
      </c>
      <c r="K143" s="37">
        <f t="shared" si="76"/>
        <v>310</v>
      </c>
      <c r="L143" s="37">
        <f t="shared" si="76"/>
        <v>405</v>
      </c>
      <c r="M143" s="37">
        <f t="shared" si="76"/>
        <v>133</v>
      </c>
      <c r="N143" s="37">
        <f t="shared" si="76"/>
        <v>218</v>
      </c>
      <c r="O143" s="37">
        <f t="shared" si="76"/>
        <v>315</v>
      </c>
      <c r="P143" s="37">
        <f t="shared" si="76"/>
        <v>445</v>
      </c>
    </row>
    <row r="144" spans="4:22" ht="20.100000000000001" customHeight="1" x14ac:dyDescent="0.25">
      <c r="D144" s="37" t="s">
        <v>86</v>
      </c>
      <c r="E144" s="37" t="str">
        <f t="shared" ref="E144:P144" si="77">E80</f>
        <v>Low</v>
      </c>
      <c r="F144" s="37" t="str">
        <f t="shared" si="77"/>
        <v>Autumn</v>
      </c>
      <c r="G144" s="37">
        <f t="shared" si="77"/>
        <v>175</v>
      </c>
      <c r="H144" s="37">
        <f t="shared" si="77"/>
        <v>610</v>
      </c>
      <c r="I144" s="37">
        <f t="shared" si="77"/>
        <v>163</v>
      </c>
      <c r="J144" s="37">
        <f t="shared" si="77"/>
        <v>232</v>
      </c>
      <c r="K144" s="37">
        <f t="shared" si="77"/>
        <v>351</v>
      </c>
      <c r="L144" s="37">
        <f t="shared" si="77"/>
        <v>427</v>
      </c>
      <c r="M144" s="37">
        <f t="shared" si="77"/>
        <v>146</v>
      </c>
      <c r="N144" s="37">
        <f t="shared" si="77"/>
        <v>242</v>
      </c>
      <c r="O144" s="37">
        <f t="shared" si="77"/>
        <v>320</v>
      </c>
      <c r="P144" s="37">
        <f t="shared" si="77"/>
        <v>471</v>
      </c>
    </row>
    <row r="145" spans="4:16" ht="20.100000000000001" customHeight="1" x14ac:dyDescent="0.25">
      <c r="D145" s="37" t="s">
        <v>86</v>
      </c>
      <c r="E145" s="37" t="str">
        <f t="shared" ref="E145:P145" si="78">E81</f>
        <v>Low</v>
      </c>
      <c r="F145" s="37" t="str">
        <f t="shared" si="78"/>
        <v>Winter</v>
      </c>
      <c r="G145" s="37">
        <f t="shared" si="78"/>
        <v>192</v>
      </c>
      <c r="H145" s="37">
        <f t="shared" si="78"/>
        <v>615</v>
      </c>
      <c r="I145" s="37">
        <f t="shared" si="78"/>
        <v>162</v>
      </c>
      <c r="J145" s="37">
        <f t="shared" si="78"/>
        <v>255</v>
      </c>
      <c r="K145" s="37">
        <f t="shared" si="78"/>
        <v>364</v>
      </c>
      <c r="L145" s="37">
        <f t="shared" si="78"/>
        <v>420</v>
      </c>
      <c r="M145" s="37">
        <f t="shared" si="78"/>
        <v>157</v>
      </c>
      <c r="N145" s="37">
        <f t="shared" si="78"/>
        <v>261</v>
      </c>
      <c r="O145" s="37">
        <f t="shared" si="78"/>
        <v>342</v>
      </c>
      <c r="P145" s="37">
        <f t="shared" si="78"/>
        <v>484</v>
      </c>
    </row>
    <row r="146" spans="4:16" ht="20.100000000000001" customHeight="1" x14ac:dyDescent="0.25">
      <c r="M146" s="1"/>
    </row>
    <row r="147" spans="4:16" ht="20.100000000000001" customHeight="1" x14ac:dyDescent="0.25">
      <c r="M147" s="1"/>
    </row>
    <row r="148" spans="4:16" ht="20.100000000000001" customHeight="1" x14ac:dyDescent="0.25">
      <c r="D148" s="6" t="str" cm="1">
        <f t="array" ref="D148">SourceData_PastureBeef.SourceData_PastureBeef_LiveweightGain_Title()</f>
        <v>Beef pasture cattle - Liveweight gain (kg) (LWGjkl)</v>
      </c>
      <c r="M148" s="1"/>
    </row>
    <row r="149" spans="4:16" ht="20.100000000000001" customHeight="1" x14ac:dyDescent="0.25">
      <c r="D149" s="5" t="str" cm="1">
        <f t="array" ref="D149">SourceData_PastureBeef.SourceData_PastureBeef_LiveweightGain_Source()</f>
        <v>VEERG 2026: Table A.1.2.3</v>
      </c>
      <c r="M149" s="1"/>
    </row>
    <row r="150" spans="4:16" ht="20.100000000000001" customHeight="1" x14ac:dyDescent="0.25">
      <c r="D150" s="1" t="str" cm="1">
        <f t="array" ref="D150">SourceData_PastureBeef.SourceData_PastureBeef_LiveweightGain_Variable()</f>
        <v>LWGjkl</v>
      </c>
      <c r="M150" s="1"/>
    </row>
    <row r="151" spans="4:16" ht="20.100000000000001" customHeight="1" x14ac:dyDescent="0.25">
      <c r="D151" s="54" t="str" cm="1">
        <f t="array" ref="D151">SourceData_PastureBeef.SourceData_PastureBeef_LiveweightGain_Unit()</f>
        <v>kg</v>
      </c>
      <c r="M151" s="1"/>
    </row>
    <row r="152" spans="4:16" ht="20.100000000000001" customHeight="1" x14ac:dyDescent="0.25">
      <c r="D152" s="37" t="s">
        <v>8</v>
      </c>
      <c r="E152" s="37" t="s">
        <v>183</v>
      </c>
      <c r="F152" s="37" t="s">
        <v>184</v>
      </c>
      <c r="G152" s="37" t="s">
        <v>203</v>
      </c>
      <c r="H152" s="37" t="s">
        <v>192</v>
      </c>
      <c r="I152" s="37" t="s">
        <v>224</v>
      </c>
      <c r="J152" s="37" t="s">
        <v>188</v>
      </c>
      <c r="K152" s="37" t="s">
        <v>225</v>
      </c>
      <c r="L152" s="37" t="s">
        <v>197</v>
      </c>
      <c r="M152" s="37" t="s">
        <v>226</v>
      </c>
    </row>
    <row r="153" spans="4:16" ht="20.100000000000001" customHeight="1" x14ac:dyDescent="0.25">
      <c r="D153" s="37" t="str" cm="1">
        <f t="array" ref="D153">Common_InputFunctions.Utility_DisplayArrayInTable(SourceData_PastureBeef.SourceData_PastureBeef_LiveweightGain_Data(), Table_SourceData_PastureBeef_LiveweightGain[[#Headers],[State]],0)</f>
        <v>ACT/NSW</v>
      </c>
      <c r="E153" s="37" t="str" cm="1">
        <f t="array" ref="E153">Common_InputFunctions.Utility_DisplayArrayInTable(SourceData_PastureBeef.SourceData_PastureBeef_LiveweightGain_Data(), Table_SourceData_PastureBeef_LiveweightGain[[#Headers],[State]],0)</f>
        <v>n/a</v>
      </c>
      <c r="F153" s="37" t="str" cm="1">
        <f t="array" ref="F153">Common_InputFunctions.Utility_DisplayArrayInTable(SourceData_PastureBeef.SourceData_PastureBeef_LiveweightGain_Data(), Table_SourceData_PastureBeef_LiveweightGain[[#Headers],[State]],0)</f>
        <v>Spring</v>
      </c>
      <c r="G153" s="37" cm="1">
        <f t="array" ref="G153">Common_InputFunctions.Utility_DisplayArrayInTable(SourceData_PastureBeef.SourceData_PastureBeef_LiveweightGain_Data(), Table_SourceData_PastureBeef_LiveweightGain[[#Headers],[State]],0)</f>
        <v>0.5</v>
      </c>
      <c r="H153" s="37" cm="1">
        <f t="array" ref="H153">Common_InputFunctions.Utility_DisplayArrayInTable(SourceData_PastureBeef.SourceData_PastureBeef_LiveweightGain_Data(), Table_SourceData_PastureBeef_LiveweightGain[[#Headers],[State]],0)</f>
        <v>0.2</v>
      </c>
      <c r="I153" s="37" cm="1">
        <f t="array" ref="I153">Common_InputFunctions.Utility_DisplayArrayInTable(SourceData_PastureBeef.SourceData_PastureBeef_LiveweightGain_Data(), Table_SourceData_PastureBeef_LiveweightGain[[#Headers],[State]],0)</f>
        <v>0.5</v>
      </c>
      <c r="J153" s="37" cm="1">
        <f t="array" ref="J153">Common_InputFunctions.Utility_DisplayArrayInTable(SourceData_PastureBeef.SourceData_PastureBeef_LiveweightGain_Data(), Table_SourceData_PastureBeef_LiveweightGain[[#Headers],[State]],0)</f>
        <v>0.4</v>
      </c>
      <c r="K153" s="37" cm="1">
        <f t="array" ref="K153">Common_InputFunctions.Utility_DisplayArrayInTable(SourceData_PastureBeef.SourceData_PastureBeef_LiveweightGain_Data(), Table_SourceData_PastureBeef_LiveweightGain[[#Headers],[State]],0)</f>
        <v>0.3</v>
      </c>
      <c r="L153" s="37" cm="1">
        <f t="array" ref="L153">Common_InputFunctions.Utility_DisplayArrayInTable(SourceData_PastureBeef.SourceData_PastureBeef_LiveweightGain_Data(), Table_SourceData_PastureBeef_LiveweightGain[[#Headers],[State]],0)</f>
        <v>0.5</v>
      </c>
      <c r="M153" s="37" cm="1">
        <f t="array" ref="M153">Common_InputFunctions.Utility_DisplayArrayInTable(SourceData_PastureBeef.SourceData_PastureBeef_LiveweightGain_Data(), Table_SourceData_PastureBeef_LiveweightGain[[#Headers],[State]],0)</f>
        <v>0.4</v>
      </c>
    </row>
    <row r="154" spans="4:16" ht="20.100000000000001" customHeight="1" x14ac:dyDescent="0.25">
      <c r="D154" s="1" t="str" cm="1">
        <f t="array" ref="D154">Common_InputFunctions.Utility_DisplayArrayInTable(SourceData_PastureBeef.SourceData_PastureBeef_LiveweightGain_Data(), Table_SourceData_PastureBeef_LiveweightGain[[#Headers],[State]],0)</f>
        <v>ACT/NSW</v>
      </c>
      <c r="E154" s="37" t="str" cm="1">
        <f t="array" ref="E154">Common_InputFunctions.Utility_DisplayArrayInTable(SourceData_PastureBeef.SourceData_PastureBeef_LiveweightGain_Data(), Table_SourceData_PastureBeef_LiveweightGain[[#Headers],[State]],0)</f>
        <v>n/a</v>
      </c>
      <c r="F154" s="37" t="str" cm="1">
        <f t="array" ref="F154">Common_InputFunctions.Utility_DisplayArrayInTable(SourceData_PastureBeef.SourceData_PastureBeef_LiveweightGain_Data(), Table_SourceData_PastureBeef_LiveweightGain[[#Headers],[State]],0)</f>
        <v>Summer</v>
      </c>
      <c r="G154" s="37" cm="1">
        <f t="array" ref="G154">Common_InputFunctions.Utility_DisplayArrayInTable(SourceData_PastureBeef.SourceData_PastureBeef_LiveweightGain_Data(), Table_SourceData_PastureBeef_LiveweightGain[[#Headers],[State]],0)</f>
        <v>1</v>
      </c>
      <c r="H154" s="37" cm="1">
        <f t="array" ref="H154">Common_InputFunctions.Utility_DisplayArrayInTable(SourceData_PastureBeef.SourceData_PastureBeef_LiveweightGain_Data(), Table_SourceData_PastureBeef_LiveweightGain[[#Headers],[State]],0)</f>
        <v>0.4</v>
      </c>
      <c r="I154" s="37" cm="1">
        <f t="array" ref="I154">Common_InputFunctions.Utility_DisplayArrayInTable(SourceData_PastureBeef.SourceData_PastureBeef_LiveweightGain_Data(), Table_SourceData_PastureBeef_LiveweightGain[[#Headers],[State]],0)</f>
        <v>0.9</v>
      </c>
      <c r="J154" s="37" cm="1">
        <f t="array" ref="J154">Common_InputFunctions.Utility_DisplayArrayInTable(SourceData_PastureBeef.SourceData_PastureBeef_LiveweightGain_Data(), Table_SourceData_PastureBeef_LiveweightGain[[#Headers],[State]],0)</f>
        <v>0.7</v>
      </c>
      <c r="K154" s="37" cm="1">
        <f t="array" ref="K154">Common_InputFunctions.Utility_DisplayArrayInTable(SourceData_PastureBeef.SourceData_PastureBeef_LiveweightGain_Data(), Table_SourceData_PastureBeef_LiveweightGain[[#Headers],[State]],0)</f>
        <v>0.3</v>
      </c>
      <c r="L154" s="37" cm="1">
        <f t="array" ref="L154">Common_InputFunctions.Utility_DisplayArrayInTable(SourceData_PastureBeef.SourceData_PastureBeef_LiveweightGain_Data(), Table_SourceData_PastureBeef_LiveweightGain[[#Headers],[State]],0)</f>
        <v>0.9</v>
      </c>
      <c r="M154" s="37" cm="1">
        <f t="array" ref="M154">Common_InputFunctions.Utility_DisplayArrayInTable(SourceData_PastureBeef.SourceData_PastureBeef_LiveweightGain_Data(), Table_SourceData_PastureBeef_LiveweightGain[[#Headers],[State]],0)</f>
        <v>0.4</v>
      </c>
    </row>
    <row r="155" spans="4:16" ht="20.100000000000001" customHeight="1" x14ac:dyDescent="0.25">
      <c r="D155" s="1" t="str" cm="1">
        <f t="array" ref="D155">Common_InputFunctions.Utility_DisplayArrayInTable(SourceData_PastureBeef.SourceData_PastureBeef_LiveweightGain_Data(), Table_SourceData_PastureBeef_LiveweightGain[[#Headers],[State]],0)</f>
        <v>ACT/NSW</v>
      </c>
      <c r="E155" s="37" t="str" cm="1">
        <f t="array" ref="E155">Common_InputFunctions.Utility_DisplayArrayInTable(SourceData_PastureBeef.SourceData_PastureBeef_LiveweightGain_Data(), Table_SourceData_PastureBeef_LiveweightGain[[#Headers],[State]],0)</f>
        <v>n/a</v>
      </c>
      <c r="F155" s="37" t="str" cm="1">
        <f t="array" ref="F155">Common_InputFunctions.Utility_DisplayArrayInTable(SourceData_PastureBeef.SourceData_PastureBeef_LiveweightGain_Data(), Table_SourceData_PastureBeef_LiveweightGain[[#Headers],[State]],0)</f>
        <v>Autumn</v>
      </c>
      <c r="G155" s="37" cm="1">
        <f t="array" ref="G155">Common_InputFunctions.Utility_DisplayArrayInTable(SourceData_PastureBeef.SourceData_PastureBeef_LiveweightGain_Data(), Table_SourceData_PastureBeef_LiveweightGain[[#Headers],[State]],0)</f>
        <v>0.8</v>
      </c>
      <c r="H155" s="37" cm="1">
        <f t="array" ref="H155">Common_InputFunctions.Utility_DisplayArrayInTable(SourceData_PastureBeef.SourceData_PastureBeef_LiveweightGain_Data(), Table_SourceData_PastureBeef_LiveweightGain[[#Headers],[State]],0)</f>
        <v>0.3</v>
      </c>
      <c r="I155" s="37" cm="1">
        <f t="array" ref="I155">Common_InputFunctions.Utility_DisplayArrayInTable(SourceData_PastureBeef.SourceData_PastureBeef_LiveweightGain_Data(), Table_SourceData_PastureBeef_LiveweightGain[[#Headers],[State]],0)</f>
        <v>0.7</v>
      </c>
      <c r="J155" s="37" cm="1">
        <f t="array" ref="J155">Common_InputFunctions.Utility_DisplayArrayInTable(SourceData_PastureBeef.SourceData_PastureBeef_LiveweightGain_Data(), Table_SourceData_PastureBeef_LiveweightGain[[#Headers],[State]],0)</f>
        <v>0.3</v>
      </c>
      <c r="K155" s="37" cm="1">
        <f t="array" ref="K155">Common_InputFunctions.Utility_DisplayArrayInTable(SourceData_PastureBeef.SourceData_PastureBeef_LiveweightGain_Data(), Table_SourceData_PastureBeef_LiveweightGain[[#Headers],[State]],0)</f>
        <v>0.2</v>
      </c>
      <c r="L155" s="37" cm="1">
        <f t="array" ref="L155">Common_InputFunctions.Utility_DisplayArrayInTable(SourceData_PastureBeef.SourceData_PastureBeef_LiveweightGain_Data(), Table_SourceData_PastureBeef_LiveweightGain[[#Headers],[State]],0)</f>
        <v>0.7</v>
      </c>
      <c r="M155" s="37" cm="1">
        <f t="array" ref="M155">Common_InputFunctions.Utility_DisplayArrayInTable(SourceData_PastureBeef.SourceData_PastureBeef_LiveweightGain_Data(), Table_SourceData_PastureBeef_LiveweightGain[[#Headers],[State]],0)</f>
        <v>0.3</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7" t="str" cm="1">
        <f t="array" ref="E156">Common_InputFunctions.Utility_DisplayArrayInTable(SourceData_PastureBeef.SourceData_PastureBeef_LiveweightGain_Data(), Table_SourceData_PastureBeef_LiveweightGain[[#Headers],[State]],0)</f>
        <v>n/a</v>
      </c>
      <c r="F156" s="37" t="str" cm="1">
        <f t="array" ref="F156">Common_InputFunctions.Utility_DisplayArrayInTable(SourceData_PastureBeef.SourceData_PastureBeef_LiveweightGain_Data(), Table_SourceData_PastureBeef_LiveweightGain[[#Headers],[State]],0)</f>
        <v>Winter</v>
      </c>
      <c r="G156" s="37" cm="1">
        <f t="array" ref="G156">Common_InputFunctions.Utility_DisplayArrayInTable(SourceData_PastureBeef.SourceData_PastureBeef_LiveweightGain_Data(), Table_SourceData_PastureBeef_LiveweightGain[[#Headers],[State]],0)</f>
        <v>0.4</v>
      </c>
      <c r="H156" s="37" cm="1">
        <f t="array" ref="H156">Common_InputFunctions.Utility_DisplayArrayInTable(SourceData_PastureBeef.SourceData_PastureBeef_LiveweightGain_Data(), Table_SourceData_PastureBeef_LiveweightGain[[#Headers],[State]],0)</f>
        <v>0.1</v>
      </c>
      <c r="I156" s="37" cm="1">
        <f t="array" ref="I156">Common_InputFunctions.Utility_DisplayArrayInTable(SourceData_PastureBeef.SourceData_PastureBeef_LiveweightGain_Data(), Table_SourceData_PastureBeef_LiveweightGain[[#Headers],[State]],0)</f>
        <v>0.4</v>
      </c>
      <c r="J156" s="37" cm="1">
        <f t="array" ref="J156">Common_InputFunctions.Utility_DisplayArrayInTable(SourceData_PastureBeef.SourceData_PastureBeef_LiveweightGain_Data(), Table_SourceData_PastureBeef_LiveweightGain[[#Headers],[State]],0)</f>
        <v>0.2</v>
      </c>
      <c r="K156" s="37" cm="1">
        <f t="array" ref="K156">Common_InputFunctions.Utility_DisplayArrayInTable(SourceData_PastureBeef.SourceData_PastureBeef_LiveweightGain_Data(), Table_SourceData_PastureBeef_LiveweightGain[[#Headers],[State]],0)</f>
        <v>0.1</v>
      </c>
      <c r="L156" s="37" cm="1">
        <f t="array" ref="L156">Common_InputFunctions.Utility_DisplayArrayInTable(SourceData_PastureBeef.SourceData_PastureBeef_LiveweightGain_Data(), Table_SourceData_PastureBeef_LiveweightGain[[#Headers],[State]],0)</f>
        <v>0.4</v>
      </c>
      <c r="M156" s="37" cm="1">
        <f t="array" ref="M156">Common_InputFunctions.Utility_DisplayArrayInTable(SourceData_PastureBeef.SourceData_PastureBeef_LiveweightGain_Data(), Table_SourceData_PastureBeef_LiveweightGain[[#Headers],[State]],0)</f>
        <v>0.1</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South Australia</v>
      </c>
      <c r="E157" s="37" t="str" cm="1">
        <f t="array" ref="E157">Common_InputFunctions.Utility_DisplayArrayInTable(SourceData_PastureBeef.SourceData_PastureBeef_LiveweightGain_Data(), Table_SourceData_PastureBeef_LiveweightGain[[#Headers],[State]],0)</f>
        <v>n/a</v>
      </c>
      <c r="F157" s="37" t="str" cm="1">
        <f t="array" ref="F157">Common_InputFunctions.Utility_DisplayArrayInTable(SourceData_PastureBeef.SourceData_PastureBeef_LiveweightGain_Data(), Table_SourceData_PastureBeef_LiveweightGain[[#Headers],[State]],0)</f>
        <v>Spring</v>
      </c>
      <c r="G157" s="37" cm="1">
        <f t="array" ref="G157">Common_InputFunctions.Utility_DisplayArrayInTable(SourceData_PastureBeef.SourceData_PastureBeef_LiveweightGain_Data(), Table_SourceData_PastureBeef_LiveweightGain[[#Headers],[State]],0)</f>
        <v>0.99</v>
      </c>
      <c r="H157" s="37" cm="1">
        <f t="array" ref="H157">Common_InputFunctions.Utility_DisplayArrayInTable(SourceData_PastureBeef.SourceData_PastureBeef_LiveweightGain_Data(), Table_SourceData_PastureBeef_LiveweightGain[[#Headers],[State]],0)</f>
        <v>1.1000000000000001</v>
      </c>
      <c r="I157" s="37" cm="1">
        <f t="array" ref="I157">Common_InputFunctions.Utility_DisplayArrayInTable(SourceData_PastureBeef.SourceData_PastureBeef_LiveweightGain_Data(), Table_SourceData_PastureBeef_LiveweightGain[[#Headers],[State]],0)</f>
        <v>0.88</v>
      </c>
      <c r="J157" s="37" cm="1">
        <f t="array" ref="J157">Common_InputFunctions.Utility_DisplayArrayInTable(SourceData_PastureBeef.SourceData_PastureBeef_LiveweightGain_Data(), Table_SourceData_PastureBeef_LiveweightGain[[#Headers],[State]],0)</f>
        <v>0.55000000000000004</v>
      </c>
      <c r="K157" s="37" cm="1">
        <f t="array" ref="K157">Common_InputFunctions.Utility_DisplayArrayInTable(SourceData_PastureBeef.SourceData_PastureBeef_LiveweightGain_Data(), Table_SourceData_PastureBeef_LiveweightGain[[#Headers],[State]],0)</f>
        <v>0.55000000000000004</v>
      </c>
      <c r="L157" s="37" cm="1">
        <f t="array" ref="L157">Common_InputFunctions.Utility_DisplayArrayInTable(SourceData_PastureBeef.SourceData_PastureBeef_LiveweightGain_Data(), Table_SourceData_PastureBeef_LiveweightGain[[#Headers],[State]],0)</f>
        <v>0.88</v>
      </c>
      <c r="M157" s="37" cm="1">
        <f t="array" ref="M157">Common_InputFunctions.Utility_DisplayArrayInTable(SourceData_PastureBeef.SourceData_PastureBeef_LiveweightGain_Data(), Table_SourceData_PastureBeef_LiveweightGain[[#Headers],[State]],0)</f>
        <v>0.22</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South Australia</v>
      </c>
      <c r="E158" s="37" t="str" cm="1">
        <f t="array" ref="E158">Common_InputFunctions.Utility_DisplayArrayInTable(SourceData_PastureBeef.SourceData_PastureBeef_LiveweightGain_Data(), Table_SourceData_PastureBeef_LiveweightGain[[#Headers],[State]],0)</f>
        <v>n/a</v>
      </c>
      <c r="F158" s="37" t="str" cm="1">
        <f t="array" ref="F158">Common_InputFunctions.Utility_DisplayArrayInTable(SourceData_PastureBeef.SourceData_PastureBeef_LiveweightGain_Data(), Table_SourceData_PastureBeef_LiveweightGain[[#Headers],[State]],0)</f>
        <v>Summer</v>
      </c>
      <c r="G158" s="37" cm="1">
        <f t="array" ref="G158">Common_InputFunctions.Utility_DisplayArrayInTable(SourceData_PastureBeef.SourceData_PastureBeef_LiveweightGain_Data(), Table_SourceData_PastureBeef_LiveweightGain[[#Headers],[State]],0)</f>
        <v>0.77</v>
      </c>
      <c r="H158" s="37" cm="1">
        <f t="array" ref="H158">Common_InputFunctions.Utility_DisplayArrayInTable(SourceData_PastureBeef.SourceData_PastureBeef_LiveweightGain_Data(), Table_SourceData_PastureBeef_LiveweightGain[[#Headers],[State]],0)</f>
        <v>0</v>
      </c>
      <c r="I158" s="37" cm="1">
        <f t="array" ref="I158">Common_InputFunctions.Utility_DisplayArrayInTable(SourceData_PastureBeef.SourceData_PastureBeef_LiveweightGain_Data(), Table_SourceData_PastureBeef_LiveweightGain[[#Headers],[State]],0)</f>
        <v>0.66</v>
      </c>
      <c r="J158" s="37" cm="1">
        <f t="array" ref="J158">Common_InputFunctions.Utility_DisplayArrayInTable(SourceData_PastureBeef.SourceData_PastureBeef_LiveweightGain_Data(), Table_SourceData_PastureBeef_LiveweightGain[[#Headers],[State]],0)</f>
        <v>0.22</v>
      </c>
      <c r="K158" s="37" cm="1">
        <f t="array" ref="K158">Common_InputFunctions.Utility_DisplayArrayInTable(SourceData_PastureBeef.SourceData_PastureBeef_LiveweightGain_Data(), Table_SourceData_PastureBeef_LiveweightGain[[#Headers],[State]],0)</f>
        <v>0</v>
      </c>
      <c r="L158" s="37" cm="1">
        <f t="array" ref="L158">Common_InputFunctions.Utility_DisplayArrayInTable(SourceData_PastureBeef.SourceData_PastureBeef_LiveweightGain_Data(), Table_SourceData_PastureBeef_LiveweightGain[[#Headers],[State]],0)</f>
        <v>0.66</v>
      </c>
      <c r="M158" s="37" cm="1">
        <f t="array" ref="M158">Common_InputFunctions.Utility_DisplayArrayInTable(SourceData_PastureBeef.SourceData_PastureBeef_LiveweightGain_Data(), Table_SourceData_PastureBeef_LiveweightGain[[#Headers],[State]],0)</f>
        <v>0</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7" t="str" cm="1">
        <f t="array" ref="E159">Common_InputFunctions.Utility_DisplayArrayInTable(SourceData_PastureBeef.SourceData_PastureBeef_LiveweightGain_Data(), Table_SourceData_PastureBeef_LiveweightGain[[#Headers],[State]],0)</f>
        <v>n/a</v>
      </c>
      <c r="F159" s="37" t="str" cm="1">
        <f t="array" ref="F159">Common_InputFunctions.Utility_DisplayArrayInTable(SourceData_PastureBeef.SourceData_PastureBeef_LiveweightGain_Data(), Table_SourceData_PastureBeef_LiveweightGain[[#Headers],[State]],0)</f>
        <v>Autumn</v>
      </c>
      <c r="G159" s="37" cm="1">
        <f t="array" ref="G159">Common_InputFunctions.Utility_DisplayArrayInTable(SourceData_PastureBeef.SourceData_PastureBeef_LiveweightGain_Data(), Table_SourceData_PastureBeef_LiveweightGain[[#Headers],[State]],0)</f>
        <v>0.9</v>
      </c>
      <c r="H159" s="37" cm="1">
        <f t="array" ref="H159">Common_InputFunctions.Utility_DisplayArrayInTable(SourceData_PastureBeef.SourceData_PastureBeef_LiveweightGain_Data(), Table_SourceData_PastureBeef_LiveweightGain[[#Headers],[State]],0)</f>
        <v>-1.1000000000000001</v>
      </c>
      <c r="I159" s="37" cm="1">
        <f t="array" ref="I159">Common_InputFunctions.Utility_DisplayArrayInTable(SourceData_PastureBeef.SourceData_PastureBeef_LiveweightGain_Data(), Table_SourceData_PastureBeef_LiveweightGain[[#Headers],[State]],0)</f>
        <v>0.7</v>
      </c>
      <c r="J159" s="37" cm="1">
        <f t="array" ref="J159">Common_InputFunctions.Utility_DisplayArrayInTable(SourceData_PastureBeef.SourceData_PastureBeef_LiveweightGain_Data(), Table_SourceData_PastureBeef_LiveweightGain[[#Headers],[State]],0)</f>
        <v>0.22</v>
      </c>
      <c r="K159" s="37" cm="1">
        <f t="array" ref="K159">Common_InputFunctions.Utility_DisplayArrayInTable(SourceData_PastureBeef.SourceData_PastureBeef_LiveweightGain_Data(), Table_SourceData_PastureBeef_LiveweightGain[[#Headers],[State]],0)</f>
        <v>-0.55000000000000004</v>
      </c>
      <c r="L159" s="37" cm="1">
        <f t="array" ref="L159">Common_InputFunctions.Utility_DisplayArrayInTable(SourceData_PastureBeef.SourceData_PastureBeef_LiveweightGain_Data(), Table_SourceData_PastureBeef_LiveweightGain[[#Headers],[State]],0)</f>
        <v>0.8</v>
      </c>
      <c r="M159" s="37"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7" t="str" cm="1">
        <f t="array" ref="E160">Common_InputFunctions.Utility_DisplayArrayInTable(SourceData_PastureBeef.SourceData_PastureBeef_LiveweightGain_Data(), Table_SourceData_PastureBeef_LiveweightGain[[#Headers],[State]],0)</f>
        <v>n/a</v>
      </c>
      <c r="F160" s="37" t="str" cm="1">
        <f t="array" ref="F160">Common_InputFunctions.Utility_DisplayArrayInTable(SourceData_PastureBeef.SourceData_PastureBeef_LiveweightGain_Data(), Table_SourceData_PastureBeef_LiveweightGain[[#Headers],[State]],0)</f>
        <v>Winter</v>
      </c>
      <c r="G160" s="37" cm="1">
        <f t="array" ref="G160">Common_InputFunctions.Utility_DisplayArrayInTable(SourceData_PastureBeef.SourceData_PastureBeef_LiveweightGain_Data(), Table_SourceData_PastureBeef_LiveweightGain[[#Headers],[State]],0)</f>
        <v>0.88</v>
      </c>
      <c r="H160" s="37" cm="1">
        <f t="array" ref="H160">Common_InputFunctions.Utility_DisplayArrayInTable(SourceData_PastureBeef.SourceData_PastureBeef_LiveweightGain_Data(), Table_SourceData_PastureBeef_LiveweightGain[[#Headers],[State]],0)</f>
        <v>0</v>
      </c>
      <c r="I160" s="37" cm="1">
        <f t="array" ref="I160">Common_InputFunctions.Utility_DisplayArrayInTable(SourceData_PastureBeef.SourceData_PastureBeef_LiveweightGain_Data(), Table_SourceData_PastureBeef_LiveweightGain[[#Headers],[State]],0)</f>
        <v>0.77</v>
      </c>
      <c r="J160" s="37" cm="1">
        <f t="array" ref="J160">Common_InputFunctions.Utility_DisplayArrayInTable(SourceData_PastureBeef.SourceData_PastureBeef_LiveweightGain_Data(), Table_SourceData_PastureBeef_LiveweightGain[[#Headers],[State]],0)</f>
        <v>0.55000000000000004</v>
      </c>
      <c r="K160" s="37" cm="1">
        <f t="array" ref="K160">Common_InputFunctions.Utility_DisplayArrayInTable(SourceData_PastureBeef.SourceData_PastureBeef_LiveweightGain_Data(), Table_SourceData_PastureBeef_LiveweightGain[[#Headers],[State]],0)</f>
        <v>0</v>
      </c>
      <c r="L160" s="37" cm="1">
        <f t="array" ref="L160">Common_InputFunctions.Utility_DisplayArrayInTable(SourceData_PastureBeef.SourceData_PastureBeef_LiveweightGain_Data(), Table_SourceData_PastureBeef_LiveweightGain[[#Headers],[State]],0)</f>
        <v>0.82</v>
      </c>
      <c r="M160" s="37"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Tasmania</v>
      </c>
      <c r="E161" s="37" t="str" cm="1">
        <f t="array" ref="E161">Common_InputFunctions.Utility_DisplayArrayInTable(SourceData_PastureBeef.SourceData_PastureBeef_LiveweightGain_Data(), Table_SourceData_PastureBeef_LiveweightGain[[#Headers],[State]],0)</f>
        <v>n/a</v>
      </c>
      <c r="F161" s="37" t="str" cm="1">
        <f t="array" ref="F161">Common_InputFunctions.Utility_DisplayArrayInTable(SourceData_PastureBeef.SourceData_PastureBeef_LiveweightGain_Data(), Table_SourceData_PastureBeef_LiveweightGain[[#Headers],[State]],0)</f>
        <v>Spring</v>
      </c>
      <c r="G161" s="37" cm="1">
        <f t="array" ref="G161">Common_InputFunctions.Utility_DisplayArrayInTable(SourceData_PastureBeef.SourceData_PastureBeef_LiveweightGain_Data(), Table_SourceData_PastureBeef_LiveweightGain[[#Headers],[State]],0)</f>
        <v>1</v>
      </c>
      <c r="H161" s="37" cm="1">
        <f t="array" ref="H161">Common_InputFunctions.Utility_DisplayArrayInTable(SourceData_PastureBeef.SourceData_PastureBeef_LiveweightGain_Data(), Table_SourceData_PastureBeef_LiveweightGain[[#Headers],[State]],0)</f>
        <v>0.5</v>
      </c>
      <c r="I161" s="37" cm="1">
        <f t="array" ref="I161">Common_InputFunctions.Utility_DisplayArrayInTable(SourceData_PastureBeef.SourceData_PastureBeef_LiveweightGain_Data(), Table_SourceData_PastureBeef_LiveweightGain[[#Headers],[State]],0)</f>
        <v>1</v>
      </c>
      <c r="J161" s="37" cm="1">
        <f t="array" ref="J161">Common_InputFunctions.Utility_DisplayArrayInTable(SourceData_PastureBeef.SourceData_PastureBeef_LiveweightGain_Data(), Table_SourceData_PastureBeef_LiveweightGain[[#Headers],[State]],0)</f>
        <v>1</v>
      </c>
      <c r="K161" s="37" cm="1">
        <f t="array" ref="K161">Common_InputFunctions.Utility_DisplayArrayInTable(SourceData_PastureBeef.SourceData_PastureBeef_LiveweightGain_Data(), Table_SourceData_PastureBeef_LiveweightGain[[#Headers],[State]],0)</f>
        <v>-0.44</v>
      </c>
      <c r="L161" s="37" cm="1">
        <f t="array" ref="L161">Common_InputFunctions.Utility_DisplayArrayInTable(SourceData_PastureBeef.SourceData_PastureBeef_LiveweightGain_Data(), Table_SourceData_PastureBeef_LiveweightGain[[#Headers],[State]],0)</f>
        <v>1</v>
      </c>
      <c r="M161" s="37" cm="1">
        <f t="array" ref="M161">Common_InputFunctions.Utility_DisplayArrayInTable(SourceData_PastureBeef.SourceData_PastureBeef_LiveweightGain_Data(), Table_SourceData_PastureBeef_LiveweightGain[[#Headers],[State]],0)</f>
        <v>0.5</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Tasmania</v>
      </c>
      <c r="E162" s="37" t="str" cm="1">
        <f t="array" ref="E162">Common_InputFunctions.Utility_DisplayArrayInTable(SourceData_PastureBeef.SourceData_PastureBeef_LiveweightGain_Data(), Table_SourceData_PastureBeef_LiveweightGain[[#Headers],[State]],0)</f>
        <v>n/a</v>
      </c>
      <c r="F162" s="37" t="str" cm="1">
        <f t="array" ref="F162">Common_InputFunctions.Utility_DisplayArrayInTable(SourceData_PastureBeef.SourceData_PastureBeef_LiveweightGain_Data(), Table_SourceData_PastureBeef_LiveweightGain[[#Headers],[State]],0)</f>
        <v>Summer</v>
      </c>
      <c r="G162" s="37" cm="1">
        <f t="array" ref="G162">Common_InputFunctions.Utility_DisplayArrayInTable(SourceData_PastureBeef.SourceData_PastureBeef_LiveweightGain_Data(), Table_SourceData_PastureBeef_LiveweightGain[[#Headers],[State]],0)</f>
        <v>0.82</v>
      </c>
      <c r="H162" s="37" cm="1">
        <f t="array" ref="H162">Common_InputFunctions.Utility_DisplayArrayInTable(SourceData_PastureBeef.SourceData_PastureBeef_LiveweightGain_Data(), Table_SourceData_PastureBeef_LiveweightGain[[#Headers],[State]],0)</f>
        <v>0.55000000000000004</v>
      </c>
      <c r="I162" s="37" cm="1">
        <f t="array" ref="I162">Common_InputFunctions.Utility_DisplayArrayInTable(SourceData_PastureBeef.SourceData_PastureBeef_LiveweightGain_Data(), Table_SourceData_PastureBeef_LiveweightGain[[#Headers],[State]],0)</f>
        <v>0.71</v>
      </c>
      <c r="J162" s="37" cm="1">
        <f t="array" ref="J162">Common_InputFunctions.Utility_DisplayArrayInTable(SourceData_PastureBeef.SourceData_PastureBeef_LiveweightGain_Data(), Table_SourceData_PastureBeef_LiveweightGain[[#Headers],[State]],0)</f>
        <v>0.55000000000000004</v>
      </c>
      <c r="K162" s="37" cm="1">
        <f t="array" ref="K162">Common_InputFunctions.Utility_DisplayArrayInTable(SourceData_PastureBeef.SourceData_PastureBeef_LiveweightGain_Data(), Table_SourceData_PastureBeef_LiveweightGain[[#Headers],[State]],0)</f>
        <v>0.99</v>
      </c>
      <c r="L162" s="37" cm="1">
        <f t="array" ref="L162">Common_InputFunctions.Utility_DisplayArrayInTable(SourceData_PastureBeef.SourceData_PastureBeef_LiveweightGain_Data(), Table_SourceData_PastureBeef_LiveweightGain[[#Headers],[State]],0)</f>
        <v>0.77</v>
      </c>
      <c r="M162" s="37" cm="1">
        <f t="array" ref="M162">Common_InputFunctions.Utility_DisplayArrayInTable(SourceData_PastureBeef.SourceData_PastureBeef_LiveweightGain_Data(), Table_SourceData_PastureBeef_LiveweightGain[[#Headers],[State]],0)</f>
        <v>0.5</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7" t="str" cm="1">
        <f t="array" ref="E163">Common_InputFunctions.Utility_DisplayArrayInTable(SourceData_PastureBeef.SourceData_PastureBeef_LiveweightGain_Data(), Table_SourceData_PastureBeef_LiveweightGain[[#Headers],[State]],0)</f>
        <v>n/a</v>
      </c>
      <c r="F163" s="37" t="str" cm="1">
        <f t="array" ref="F163">Common_InputFunctions.Utility_DisplayArrayInTable(SourceData_PastureBeef.SourceData_PastureBeef_LiveweightGain_Data(), Table_SourceData_PastureBeef_LiveweightGain[[#Headers],[State]],0)</f>
        <v>Autumn</v>
      </c>
      <c r="G163" s="37" cm="1">
        <f t="array" ref="G163">Common_InputFunctions.Utility_DisplayArrayInTable(SourceData_PastureBeef.SourceData_PastureBeef_LiveweightGain_Data(), Table_SourceData_PastureBeef_LiveweightGain[[#Headers],[State]],0)</f>
        <v>0.77</v>
      </c>
      <c r="H163" s="37" cm="1">
        <f t="array" ref="H163">Common_InputFunctions.Utility_DisplayArrayInTable(SourceData_PastureBeef.SourceData_PastureBeef_LiveweightGain_Data(), Table_SourceData_PastureBeef_LiveweightGain[[#Headers],[State]],0)</f>
        <v>0.5</v>
      </c>
      <c r="I163" s="37" cm="1">
        <f t="array" ref="I163">Common_InputFunctions.Utility_DisplayArrayInTable(SourceData_PastureBeef.SourceData_PastureBeef_LiveweightGain_Data(), Table_SourceData_PastureBeef_LiveweightGain[[#Headers],[State]],0)</f>
        <v>0.55000000000000004</v>
      </c>
      <c r="J163" s="37" cm="1">
        <f t="array" ref="J163">Common_InputFunctions.Utility_DisplayArrayInTable(SourceData_PastureBeef.SourceData_PastureBeef_LiveweightGain_Data(), Table_SourceData_PastureBeef_LiveweightGain[[#Headers],[State]],0)</f>
        <v>0.11</v>
      </c>
      <c r="K163" s="37" cm="1">
        <f t="array" ref="K163">Common_InputFunctions.Utility_DisplayArrayInTable(SourceData_PastureBeef.SourceData_PastureBeef_LiveweightGain_Data(), Table_SourceData_PastureBeef_LiveweightGain[[#Headers],[State]],0)</f>
        <v>-0.33</v>
      </c>
      <c r="L163" s="37" cm="1">
        <f t="array" ref="L163">Common_InputFunctions.Utility_DisplayArrayInTable(SourceData_PastureBeef.SourceData_PastureBeef_LiveweightGain_Data(), Table_SourceData_PastureBeef_LiveweightGain[[#Headers],[State]],0)</f>
        <v>0.6</v>
      </c>
      <c r="M163" s="37" cm="1">
        <f t="array" ref="M163">Common_InputFunctions.Utility_DisplayArrayInTable(SourceData_PastureBeef.SourceData_PastureBeef_LiveweightGain_Data(), Table_SourceData_PastureBeef_LiveweightGain[[#Headers],[State]],0)</f>
        <v>0.33</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7" t="str" cm="1">
        <f t="array" ref="E164">Common_InputFunctions.Utility_DisplayArrayInTable(SourceData_PastureBeef.SourceData_PastureBeef_LiveweightGain_Data(), Table_SourceData_PastureBeef_LiveweightGain[[#Headers],[State]],0)</f>
        <v>n/a</v>
      </c>
      <c r="F164" s="37" t="str" cm="1">
        <f t="array" ref="F164">Common_InputFunctions.Utility_DisplayArrayInTable(SourceData_PastureBeef.SourceData_PastureBeef_LiveweightGain_Data(), Table_SourceData_PastureBeef_LiveweightGain[[#Headers],[State]],0)</f>
        <v>Winter</v>
      </c>
      <c r="G164" s="37" cm="1">
        <f t="array" ref="G164">Common_InputFunctions.Utility_DisplayArrayInTable(SourceData_PastureBeef.SourceData_PastureBeef_LiveweightGain_Data(), Table_SourceData_PastureBeef_LiveweightGain[[#Headers],[State]],0)</f>
        <v>0.11</v>
      </c>
      <c r="H164" s="37" cm="1">
        <f t="array" ref="H164">Common_InputFunctions.Utility_DisplayArrayInTable(SourceData_PastureBeef.SourceData_PastureBeef_LiveweightGain_Data(), Table_SourceData_PastureBeef_LiveweightGain[[#Headers],[State]],0)</f>
        <v>-0.27</v>
      </c>
      <c r="I164" s="37" cm="1">
        <f t="array" ref="I164">Common_InputFunctions.Utility_DisplayArrayInTable(SourceData_PastureBeef.SourceData_PastureBeef_LiveweightGain_Data(), Table_SourceData_PastureBeef_LiveweightGain[[#Headers],[State]],0)</f>
        <v>0.11</v>
      </c>
      <c r="J164" s="37" cm="1">
        <f t="array" ref="J164">Common_InputFunctions.Utility_DisplayArrayInTable(SourceData_PastureBeef.SourceData_PastureBeef_LiveweightGain_Data(), Table_SourceData_PastureBeef_LiveweightGain[[#Headers],[State]],0)</f>
        <v>0.22</v>
      </c>
      <c r="K164" s="37" cm="1">
        <f t="array" ref="K164">Common_InputFunctions.Utility_DisplayArrayInTable(SourceData_PastureBeef.SourceData_PastureBeef_LiveweightGain_Data(), Table_SourceData_PastureBeef_LiveweightGain[[#Headers],[State]],0)</f>
        <v>-0.44</v>
      </c>
      <c r="L164" s="37" cm="1">
        <f t="array" ref="L164">Common_InputFunctions.Utility_DisplayArrayInTable(SourceData_PastureBeef.SourceData_PastureBeef_LiveweightGain_Data(), Table_SourceData_PastureBeef_LiveweightGain[[#Headers],[State]],0)</f>
        <v>0.16</v>
      </c>
      <c r="M164" s="37" cm="1">
        <f t="array" ref="M164">Common_InputFunctions.Utility_DisplayArrayInTable(SourceData_PastureBeef.SourceData_PastureBeef_LiveweightGain_Data(), Table_SourceData_PastureBeef_LiveweightGain[[#Headers],[State]],0)</f>
        <v>-0.22</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Victoria</v>
      </c>
      <c r="E165" s="37" t="str" cm="1">
        <f t="array" ref="E165">Common_InputFunctions.Utility_DisplayArrayInTable(SourceData_PastureBeef.SourceData_PastureBeef_LiveweightGain_Data(), Table_SourceData_PastureBeef_LiveweightGain[[#Headers],[State]],0)</f>
        <v>n/a</v>
      </c>
      <c r="F165" s="37" t="str" cm="1">
        <f t="array" ref="F165">Common_InputFunctions.Utility_DisplayArrayInTable(SourceData_PastureBeef.SourceData_PastureBeef_LiveweightGain_Data(), Table_SourceData_PastureBeef_LiveweightGain[[#Headers],[State]],0)</f>
        <v>Spring</v>
      </c>
      <c r="G165" s="37" cm="1">
        <f t="array" ref="G165">Common_InputFunctions.Utility_DisplayArrayInTable(SourceData_PastureBeef.SourceData_PastureBeef_LiveweightGain_Data(), Table_SourceData_PastureBeef_LiveweightGain[[#Headers],[State]],0)</f>
        <v>1.1000000000000001</v>
      </c>
      <c r="H165" s="37" cm="1">
        <f t="array" ref="H165">Common_InputFunctions.Utility_DisplayArrayInTable(SourceData_PastureBeef.SourceData_PastureBeef_LiveweightGain_Data(), Table_SourceData_PastureBeef_LiveweightGain[[#Headers],[State]],0)</f>
        <v>1.1000000000000001</v>
      </c>
      <c r="I165" s="37" cm="1">
        <f t="array" ref="I165">Common_InputFunctions.Utility_DisplayArrayInTable(SourceData_PastureBeef.SourceData_PastureBeef_LiveweightGain_Data(), Table_SourceData_PastureBeef_LiveweightGain[[#Headers],[State]],0)</f>
        <v>1.1000000000000001</v>
      </c>
      <c r="J165" s="37" cm="1">
        <f t="array" ref="J165">Common_InputFunctions.Utility_DisplayArrayInTable(SourceData_PastureBeef.SourceData_PastureBeef_LiveweightGain_Data(), Table_SourceData_PastureBeef_LiveweightGain[[#Headers],[State]],0)</f>
        <v>0.99</v>
      </c>
      <c r="K165" s="37" cm="1">
        <f t="array" ref="K165">Common_InputFunctions.Utility_DisplayArrayInTable(SourceData_PastureBeef.SourceData_PastureBeef_LiveweightGain_Data(), Table_SourceData_PastureBeef_LiveweightGain[[#Headers],[State]],0)</f>
        <v>0.99</v>
      </c>
      <c r="L165" s="37" cm="1">
        <f t="array" ref="L165">Common_InputFunctions.Utility_DisplayArrayInTable(SourceData_PastureBeef.SourceData_PastureBeef_LiveweightGain_Data(), Table_SourceData_PastureBeef_LiveweightGain[[#Headers],[State]],0)</f>
        <v>1.1000000000000001</v>
      </c>
      <c r="M165" s="37" cm="1">
        <f t="array" ref="M165">Common_InputFunctions.Utility_DisplayArrayInTable(SourceData_PastureBeef.SourceData_PastureBeef_LiveweightGain_Data(), Table_SourceData_PastureBeef_LiveweightGain[[#Headers],[State]],0)</f>
        <v>0.77</v>
      </c>
    </row>
    <row r="166" spans="4:13" x14ac:dyDescent="0.25">
      <c r="D166" s="1" t="str" cm="1">
        <f t="array" ref="D166">Common_InputFunctions.Utility_DisplayArrayInTable(SourceData_PastureBeef.SourceData_PastureBeef_LiveweightGain_Data(), Table_SourceData_PastureBeef_LiveweightGain[[#Headers],[State]],0)</f>
        <v>Victoria</v>
      </c>
      <c r="E166" s="37" t="str" cm="1">
        <f t="array" ref="E166">Common_InputFunctions.Utility_DisplayArrayInTable(SourceData_PastureBeef.SourceData_PastureBeef_LiveweightGain_Data(), Table_SourceData_PastureBeef_LiveweightGain[[#Headers],[State]],0)</f>
        <v>n/a</v>
      </c>
      <c r="F166" s="37" t="str" cm="1">
        <f t="array" ref="F166">Common_InputFunctions.Utility_DisplayArrayInTable(SourceData_PastureBeef.SourceData_PastureBeef_LiveweightGain_Data(), Table_SourceData_PastureBeef_LiveweightGain[[#Headers],[State]],0)</f>
        <v>Summer</v>
      </c>
      <c r="G166" s="37" cm="1">
        <f t="array" ref="G166">Common_InputFunctions.Utility_DisplayArrayInTable(SourceData_PastureBeef.SourceData_PastureBeef_LiveweightGain_Data(), Table_SourceData_PastureBeef_LiveweightGain[[#Headers],[State]],0)</f>
        <v>0.33</v>
      </c>
      <c r="H166" s="37" cm="1">
        <f t="array" ref="H166">Common_InputFunctions.Utility_DisplayArrayInTable(SourceData_PastureBeef.SourceData_PastureBeef_LiveweightGain_Data(), Table_SourceData_PastureBeef_LiveweightGain[[#Headers],[State]],0)</f>
        <v>0.33</v>
      </c>
      <c r="I166" s="37" cm="1">
        <f t="array" ref="I166">Common_InputFunctions.Utility_DisplayArrayInTable(SourceData_PastureBeef.SourceData_PastureBeef_LiveweightGain_Data(), Table_SourceData_PastureBeef_LiveweightGain[[#Headers],[State]],0)</f>
        <v>0.22</v>
      </c>
      <c r="J166" s="37" cm="1">
        <f t="array" ref="J166">Common_InputFunctions.Utility_DisplayArrayInTable(SourceData_PastureBeef.SourceData_PastureBeef_LiveweightGain_Data(), Table_SourceData_PastureBeef_LiveweightGain[[#Headers],[State]],0)</f>
        <v>0.33</v>
      </c>
      <c r="K166" s="37" cm="1">
        <f t="array" ref="K166">Common_InputFunctions.Utility_DisplayArrayInTable(SourceData_PastureBeef.SourceData_PastureBeef_LiveweightGain_Data(), Table_SourceData_PastureBeef_LiveweightGain[[#Headers],[State]],0)</f>
        <v>-0.1</v>
      </c>
      <c r="L166" s="37" cm="1">
        <f t="array" ref="L166">Common_InputFunctions.Utility_DisplayArrayInTable(SourceData_PastureBeef.SourceData_PastureBeef_LiveweightGain_Data(), Table_SourceData_PastureBeef_LiveweightGain[[#Headers],[State]],0)</f>
        <v>0.33</v>
      </c>
      <c r="M166" s="37" cm="1">
        <f t="array" ref="M166">Common_InputFunctions.Utility_DisplayArrayInTable(SourceData_PastureBeef.SourceData_PastureBeef_LiveweightGain_Data(), Table_SourceData_PastureBeef_LiveweightGain[[#Headers],[State]],0)</f>
        <v>0.11</v>
      </c>
    </row>
    <row r="167" spans="4:13" x14ac:dyDescent="0.25">
      <c r="D167" s="1" t="str" cm="1">
        <f t="array" ref="D167">Common_InputFunctions.Utility_DisplayArrayInTable(SourceData_PastureBeef.SourceData_PastureBeef_LiveweightGain_Data(), Table_SourceData_PastureBeef_LiveweightGain[[#Headers],[State]],0)</f>
        <v>Victoria</v>
      </c>
      <c r="E167" s="37" t="str" cm="1">
        <f t="array" ref="E167">Common_InputFunctions.Utility_DisplayArrayInTable(SourceData_PastureBeef.SourceData_PastureBeef_LiveweightGain_Data(), Table_SourceData_PastureBeef_LiveweightGain[[#Headers],[State]],0)</f>
        <v>n/a</v>
      </c>
      <c r="F167" s="37" t="str" cm="1">
        <f t="array" ref="F167">Common_InputFunctions.Utility_DisplayArrayInTable(SourceData_PastureBeef.SourceData_PastureBeef_LiveweightGain_Data(), Table_SourceData_PastureBeef_LiveweightGain[[#Headers],[State]],0)</f>
        <v>Autumn</v>
      </c>
      <c r="G167" s="37" cm="1">
        <f t="array" ref="G167">Common_InputFunctions.Utility_DisplayArrayInTable(SourceData_PastureBeef.SourceData_PastureBeef_LiveweightGain_Data(), Table_SourceData_PastureBeef_LiveweightGain[[#Headers],[State]],0)</f>
        <v>0.5</v>
      </c>
      <c r="H167" s="37" cm="1">
        <f t="array" ref="H167">Common_InputFunctions.Utility_DisplayArrayInTable(SourceData_PastureBeef.SourceData_PastureBeef_LiveweightGain_Data(), Table_SourceData_PastureBeef_LiveweightGain[[#Headers],[State]],0)</f>
        <v>0.2</v>
      </c>
      <c r="I167" s="37" cm="1">
        <f t="array" ref="I167">Common_InputFunctions.Utility_DisplayArrayInTable(SourceData_PastureBeef.SourceData_PastureBeef_LiveweightGain_Data(), Table_SourceData_PastureBeef_LiveweightGain[[#Headers],[State]],0)</f>
        <v>0.55000000000000004</v>
      </c>
      <c r="J167" s="37" cm="1">
        <f t="array" ref="J167">Common_InputFunctions.Utility_DisplayArrayInTable(SourceData_PastureBeef.SourceData_PastureBeef_LiveweightGain_Data(), Table_SourceData_PastureBeef_LiveweightGain[[#Headers],[State]],0)</f>
        <v>0.44</v>
      </c>
      <c r="K167" s="37" cm="1">
        <f t="array" ref="K167">Common_InputFunctions.Utility_DisplayArrayInTable(SourceData_PastureBeef.SourceData_PastureBeef_LiveweightGain_Data(), Table_SourceData_PastureBeef_LiveweightGain[[#Headers],[State]],0)</f>
        <v>0.2</v>
      </c>
      <c r="L167" s="37" cm="1">
        <f t="array" ref="L167">Common_InputFunctions.Utility_DisplayArrayInTable(SourceData_PastureBeef.SourceData_PastureBeef_LiveweightGain_Data(), Table_SourceData_PastureBeef_LiveweightGain[[#Headers],[State]],0)</f>
        <v>0.55000000000000004</v>
      </c>
      <c r="M167" s="37" cm="1">
        <f t="array" ref="M167">Common_InputFunctions.Utility_DisplayArrayInTable(SourceData_PastureBeef.SourceData_PastureBeef_LiveweightGain_Data(), Table_SourceData_PastureBeef_LiveweightGain[[#Headers],[State]],0)</f>
        <v>0.2</v>
      </c>
    </row>
    <row r="168" spans="4:13" x14ac:dyDescent="0.25">
      <c r="D168" s="1" t="str" cm="1">
        <f t="array" ref="D168">Common_InputFunctions.Utility_DisplayArrayInTable(SourceData_PastureBeef.SourceData_PastureBeef_LiveweightGain_Data(), Table_SourceData_PastureBeef_LiveweightGain[[#Headers],[State]],0)</f>
        <v>Victoria</v>
      </c>
      <c r="E168" s="37" t="str" cm="1">
        <f t="array" ref="E168">Common_InputFunctions.Utility_DisplayArrayInTable(SourceData_PastureBeef.SourceData_PastureBeef_LiveweightGain_Data(), Table_SourceData_PastureBeef_LiveweightGain[[#Headers],[State]],0)</f>
        <v>n/a</v>
      </c>
      <c r="F168" s="37" t="str" cm="1">
        <f t="array" ref="F168">Common_InputFunctions.Utility_DisplayArrayInTable(SourceData_PastureBeef.SourceData_PastureBeef_LiveweightGain_Data(), Table_SourceData_PastureBeef_LiveweightGain[[#Headers],[State]],0)</f>
        <v>Winter</v>
      </c>
      <c r="G168" s="37" cm="1">
        <f t="array" ref="G168">Common_InputFunctions.Utility_DisplayArrayInTable(SourceData_PastureBeef.SourceData_PastureBeef_LiveweightGain_Data(), Table_SourceData_PastureBeef_LiveweightGain[[#Headers],[State]],0)</f>
        <v>0.55000000000000004</v>
      </c>
      <c r="H168" s="37" cm="1">
        <f t="array" ref="H168">Common_InputFunctions.Utility_DisplayArrayInTable(SourceData_PastureBeef.SourceData_PastureBeef_LiveweightGain_Data(), Table_SourceData_PastureBeef_LiveweightGain[[#Headers],[State]],0)</f>
        <v>0.22</v>
      </c>
      <c r="I168" s="37" cm="1">
        <f t="array" ref="I168">Common_InputFunctions.Utility_DisplayArrayInTable(SourceData_PastureBeef.SourceData_PastureBeef_LiveweightGain_Data(), Table_SourceData_PastureBeef_LiveweightGain[[#Headers],[State]],0)</f>
        <v>0.49</v>
      </c>
      <c r="J168" s="37" cm="1">
        <f t="array" ref="J168">Common_InputFunctions.Utility_DisplayArrayInTable(SourceData_PastureBeef.SourceData_PastureBeef_LiveweightGain_Data(), Table_SourceData_PastureBeef_LiveweightGain[[#Headers],[State]],0)</f>
        <v>0.22</v>
      </c>
      <c r="K168" s="37" cm="1">
        <f t="array" ref="K168">Common_InputFunctions.Utility_DisplayArrayInTable(SourceData_PastureBeef.SourceData_PastureBeef_LiveweightGain_Data(), Table_SourceData_PastureBeef_LiveweightGain[[#Headers],[State]],0)</f>
        <v>0.22</v>
      </c>
      <c r="L168" s="37" cm="1">
        <f t="array" ref="L168">Common_InputFunctions.Utility_DisplayArrayInTable(SourceData_PastureBeef.SourceData_PastureBeef_LiveweightGain_Data(), Table_SourceData_PastureBeef_LiveweightGain[[#Headers],[State]],0)</f>
        <v>0.49</v>
      </c>
      <c r="M168" s="37" cm="1">
        <f t="array" ref="M168">Common_InputFunctions.Utility_DisplayArrayInTable(SourceData_PastureBeef.SourceData_PastureBeef_LiveweightGain_Data(), Table_SourceData_PastureBeef_LiveweightGain[[#Headers],[State]],0)</f>
        <v>0.33</v>
      </c>
    </row>
    <row r="169" spans="4:13" x14ac:dyDescent="0.25">
      <c r="D169" s="1" t="str" cm="1">
        <f t="array" ref="D169">Common_InputFunctions.Utility_DisplayArrayInTable(SourceData_PastureBeef.SourceData_PastureBeef_LiveweightGain_Data(), Table_SourceData_PastureBeef_LiveweightGain[[#Headers],[State]],0)</f>
        <v>Western Australia</v>
      </c>
      <c r="E169" s="37" t="str" cm="1">
        <f t="array" ref="E169">Common_InputFunctions.Utility_DisplayArrayInTable(SourceData_PastureBeef.SourceData_PastureBeef_LiveweightGain_Data(), Table_SourceData_PastureBeef_LiveweightGain[[#Headers],[State]],0)</f>
        <v>South West</v>
      </c>
      <c r="F169" s="37" t="str" cm="1">
        <f t="array" ref="F169">Common_InputFunctions.Utility_DisplayArrayInTable(SourceData_PastureBeef.SourceData_PastureBeef_LiveweightGain_Data(), Table_SourceData_PastureBeef_LiveweightGain[[#Headers],[State]],0)</f>
        <v>Spring</v>
      </c>
      <c r="G169" s="37" cm="1">
        <f t="array" ref="G169">Common_InputFunctions.Utility_DisplayArrayInTable(SourceData_PastureBeef.SourceData_PastureBeef_LiveweightGain_Data(), Table_SourceData_PastureBeef_LiveweightGain[[#Headers],[State]],0)</f>
        <v>1.64</v>
      </c>
      <c r="H169" s="37" cm="1">
        <f t="array" ref="H169">Common_InputFunctions.Utility_DisplayArrayInTable(SourceData_PastureBeef.SourceData_PastureBeef_LiveweightGain_Data(), Table_SourceData_PastureBeef_LiveweightGain[[#Headers],[State]],0)</f>
        <v>1.1000000000000001</v>
      </c>
      <c r="I169" s="37" cm="1">
        <f t="array" ref="I169">Common_InputFunctions.Utility_DisplayArrayInTable(SourceData_PastureBeef.SourceData_PastureBeef_LiveweightGain_Data(), Table_SourceData_PastureBeef_LiveweightGain[[#Headers],[State]],0)</f>
        <v>1.21</v>
      </c>
      <c r="J169" s="37" cm="1">
        <f t="array" ref="J169">Common_InputFunctions.Utility_DisplayArrayInTable(SourceData_PastureBeef.SourceData_PastureBeef_LiveweightGain_Data(), Table_SourceData_PastureBeef_LiveweightGain[[#Headers],[State]],0)</f>
        <v>0.99</v>
      </c>
      <c r="K169" s="37" cm="1">
        <f t="array" ref="K169">Common_InputFunctions.Utility_DisplayArrayInTable(SourceData_PastureBeef.SourceData_PastureBeef_LiveweightGain_Data(), Table_SourceData_PastureBeef_LiveweightGain[[#Headers],[State]],0)</f>
        <v>0.66</v>
      </c>
      <c r="L169" s="37" cm="1">
        <f t="array" ref="L169">Common_InputFunctions.Utility_DisplayArrayInTable(SourceData_PastureBeef.SourceData_PastureBeef_LiveweightGain_Data(), Table_SourceData_PastureBeef_LiveweightGain[[#Headers],[State]],0)</f>
        <v>1.42</v>
      </c>
      <c r="M169" s="37" cm="1">
        <f t="array" ref="M169">Common_InputFunctions.Utility_DisplayArrayInTable(SourceData_PastureBeef.SourceData_PastureBeef_LiveweightGain_Data(), Table_SourceData_PastureBeef_LiveweightGain[[#Headers],[State]],0)</f>
        <v>1.1000000000000001</v>
      </c>
    </row>
    <row r="170" spans="4:13" x14ac:dyDescent="0.25">
      <c r="D170" s="1" t="str" cm="1">
        <f t="array" ref="D170">Common_InputFunctions.Utility_DisplayArrayInTable(SourceData_PastureBeef.SourceData_PastureBeef_LiveweightGain_Data(), Table_SourceData_PastureBeef_LiveweightGain[[#Headers],[State]],0)</f>
        <v>Western Australia</v>
      </c>
      <c r="E170" s="37" t="str" cm="1">
        <f t="array" ref="E170">Common_InputFunctions.Utility_DisplayArrayInTable(SourceData_PastureBeef.SourceData_PastureBeef_LiveweightGain_Data(), Table_SourceData_PastureBeef_LiveweightGain[[#Headers],[State]],0)</f>
        <v>South West</v>
      </c>
      <c r="F170" s="37" t="str" cm="1">
        <f t="array" ref="F170">Common_InputFunctions.Utility_DisplayArrayInTable(SourceData_PastureBeef.SourceData_PastureBeef_LiveweightGain_Data(), Table_SourceData_PastureBeef_LiveweightGain[[#Headers],[State]],0)</f>
        <v>Summer</v>
      </c>
      <c r="G170" s="37" cm="1">
        <f t="array" ref="G170">Common_InputFunctions.Utility_DisplayArrayInTable(SourceData_PastureBeef.SourceData_PastureBeef_LiveweightGain_Data(), Table_SourceData_PastureBeef_LiveweightGain[[#Headers],[State]],0)</f>
        <v>0.44</v>
      </c>
      <c r="H170" s="37" cm="1">
        <f t="array" ref="H170">Common_InputFunctions.Utility_DisplayArrayInTable(SourceData_PastureBeef.SourceData_PastureBeef_LiveweightGain_Data(), Table_SourceData_PastureBeef_LiveweightGain[[#Headers],[State]],0)</f>
        <v>-0.22</v>
      </c>
      <c r="I170" s="37" cm="1">
        <f t="array" ref="I170">Common_InputFunctions.Utility_DisplayArrayInTable(SourceData_PastureBeef.SourceData_PastureBeef_LiveweightGain_Data(), Table_SourceData_PastureBeef_LiveweightGain[[#Headers],[State]],0)</f>
        <v>0.44</v>
      </c>
      <c r="J170" s="37" cm="1">
        <f t="array" ref="J170">Common_InputFunctions.Utility_DisplayArrayInTable(SourceData_PastureBeef.SourceData_PastureBeef_LiveweightGain_Data(), Table_SourceData_PastureBeef_LiveweightGain[[#Headers],[State]],0)</f>
        <v>0.33</v>
      </c>
      <c r="K170" s="37" cm="1">
        <f t="array" ref="K170">Common_InputFunctions.Utility_DisplayArrayInTable(SourceData_PastureBeef.SourceData_PastureBeef_LiveweightGain_Data(), Table_SourceData_PastureBeef_LiveweightGain[[#Headers],[State]],0)</f>
        <v>-0.22</v>
      </c>
      <c r="L170" s="37" cm="1">
        <f t="array" ref="L170">Common_InputFunctions.Utility_DisplayArrayInTable(SourceData_PastureBeef.SourceData_PastureBeef_LiveweightGain_Data(), Table_SourceData_PastureBeef_LiveweightGain[[#Headers],[State]],0)</f>
        <v>0.44</v>
      </c>
      <c r="M170" s="37" cm="1">
        <f t="array" ref="M170">Common_InputFunctions.Utility_DisplayArrayInTable(SourceData_PastureBeef.SourceData_PastureBeef_LiveweightGain_Data(), Table_SourceData_PastureBeef_LiveweightGain[[#Headers],[State]],0)</f>
        <v>-0.11</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7" t="str" cm="1">
        <f t="array" ref="E171">Common_InputFunctions.Utility_DisplayArrayInTable(SourceData_PastureBeef.SourceData_PastureBeef_LiveweightGain_Data(), Table_SourceData_PastureBeef_LiveweightGain[[#Headers],[State]],0)</f>
        <v>South West</v>
      </c>
      <c r="F171" s="37" t="str" cm="1">
        <f t="array" ref="F171">Common_InputFunctions.Utility_DisplayArrayInTable(SourceData_PastureBeef.SourceData_PastureBeef_LiveweightGain_Data(), Table_SourceData_PastureBeef_LiveweightGain[[#Headers],[State]],0)</f>
        <v>Autumn</v>
      </c>
      <c r="G171" s="37" cm="1">
        <f t="array" ref="G171">Common_InputFunctions.Utility_DisplayArrayInTable(SourceData_PastureBeef.SourceData_PastureBeef_LiveweightGain_Data(), Table_SourceData_PastureBeef_LiveweightGain[[#Headers],[State]],0)</f>
        <v>0.6</v>
      </c>
      <c r="H171" s="37" cm="1">
        <f t="array" ref="H171">Common_InputFunctions.Utility_DisplayArrayInTable(SourceData_PastureBeef.SourceData_PastureBeef_LiveweightGain_Data(), Table_SourceData_PastureBeef_LiveweightGain[[#Headers],[State]],0)</f>
        <v>0</v>
      </c>
      <c r="I171" s="37" cm="1">
        <f t="array" ref="I171">Common_InputFunctions.Utility_DisplayArrayInTable(SourceData_PastureBeef.SourceData_PastureBeef_LiveweightGain_Data(), Table_SourceData_PastureBeef_LiveweightGain[[#Headers],[State]],0)</f>
        <v>0.6</v>
      </c>
      <c r="J171" s="37" cm="1">
        <f t="array" ref="J171">Common_InputFunctions.Utility_DisplayArrayInTable(SourceData_PastureBeef.SourceData_PastureBeef_LiveweightGain_Data(), Table_SourceData_PastureBeef_LiveweightGain[[#Headers],[State]],0)</f>
        <v>0.22</v>
      </c>
      <c r="K171" s="37" cm="1">
        <f t="array" ref="K171">Common_InputFunctions.Utility_DisplayArrayInTable(SourceData_PastureBeef.SourceData_PastureBeef_LiveweightGain_Data(), Table_SourceData_PastureBeef_LiveweightGain[[#Headers],[State]],0)</f>
        <v>-0.55000000000000004</v>
      </c>
      <c r="L171" s="37" cm="1">
        <f t="array" ref="L171">Common_InputFunctions.Utility_DisplayArrayInTable(SourceData_PastureBeef.SourceData_PastureBeef_LiveweightGain_Data(), Table_SourceData_PastureBeef_LiveweightGain[[#Headers],[State]],0)</f>
        <v>0.6</v>
      </c>
      <c r="M171" s="37" cm="1">
        <f t="array" ref="M171">Common_InputFunctions.Utility_DisplayArrayInTable(SourceData_PastureBeef.SourceData_PastureBeef_LiveweightGain_Data(), Table_SourceData_PastureBeef_LiveweightGain[[#Headers],[State]],0)</f>
        <v>0</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7" t="str" cm="1">
        <f t="array" ref="E172">Common_InputFunctions.Utility_DisplayArrayInTable(SourceData_PastureBeef.SourceData_PastureBeef_LiveweightGain_Data(), Table_SourceData_PastureBeef_LiveweightGain[[#Headers],[State]],0)</f>
        <v>South West</v>
      </c>
      <c r="F172" s="37" t="str" cm="1">
        <f t="array" ref="F172">Common_InputFunctions.Utility_DisplayArrayInTable(SourceData_PastureBeef.SourceData_PastureBeef_LiveweightGain_Data(), Table_SourceData_PastureBeef_LiveweightGain[[#Headers],[State]],0)</f>
        <v>Winter</v>
      </c>
      <c r="G172" s="37" cm="1">
        <f t="array" ref="G172">Common_InputFunctions.Utility_DisplayArrayInTable(SourceData_PastureBeef.SourceData_PastureBeef_LiveweightGain_Data(), Table_SourceData_PastureBeef_LiveweightGain[[#Headers],[State]],0)</f>
        <v>0.99</v>
      </c>
      <c r="H172" s="37" cm="1">
        <f t="array" ref="H172">Common_InputFunctions.Utility_DisplayArrayInTable(SourceData_PastureBeef.SourceData_PastureBeef_LiveweightGain_Data(), Table_SourceData_PastureBeef_LiveweightGain[[#Headers],[State]],0)</f>
        <v>0.22</v>
      </c>
      <c r="I172" s="37" cm="1">
        <f t="array" ref="I172">Common_InputFunctions.Utility_DisplayArrayInTable(SourceData_PastureBeef.SourceData_PastureBeef_LiveweightGain_Data(), Table_SourceData_PastureBeef_LiveweightGain[[#Headers],[State]],0)</f>
        <v>0.77</v>
      </c>
      <c r="J172" s="37" cm="1">
        <f t="array" ref="J172">Common_InputFunctions.Utility_DisplayArrayInTable(SourceData_PastureBeef.SourceData_PastureBeef_LiveweightGain_Data(), Table_SourceData_PastureBeef_LiveweightGain[[#Headers],[State]],0)</f>
        <v>0.11</v>
      </c>
      <c r="K172" s="37" cm="1">
        <f t="array" ref="K172">Common_InputFunctions.Utility_DisplayArrayInTable(SourceData_PastureBeef.SourceData_PastureBeef_LiveweightGain_Data(), Table_SourceData_PastureBeef_LiveweightGain[[#Headers],[State]],0)</f>
        <v>0.11</v>
      </c>
      <c r="L172" s="37" cm="1">
        <f t="array" ref="L172">Common_InputFunctions.Utility_DisplayArrayInTable(SourceData_PastureBeef.SourceData_PastureBeef_LiveweightGain_Data(), Table_SourceData_PastureBeef_LiveweightGain[[#Headers],[State]],0)</f>
        <v>0.77</v>
      </c>
      <c r="M172" s="37" cm="1">
        <f t="array" ref="M172">Common_InputFunctions.Utility_DisplayArrayInTable(SourceData_PastureBeef.SourceData_PastureBeef_LiveweightGain_Data(), Table_SourceData_PastureBeef_LiveweightGain[[#Headers],[State]],0)</f>
        <v>0.44</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7" t="str" cm="1">
        <f t="array" ref="E173">Common_InputFunctions.Utility_DisplayArrayInTable(SourceData_PastureBeef.SourceData_PastureBeef_LiveweightGain_Data(), Table_SourceData_PastureBeef_LiveweightGain[[#Headers],[State]],0)</f>
        <v>Pilbara</v>
      </c>
      <c r="F173" s="37" t="str" cm="1">
        <f t="array" ref="F173">Common_InputFunctions.Utility_DisplayArrayInTable(SourceData_PastureBeef.SourceData_PastureBeef_LiveweightGain_Data(), Table_SourceData_PastureBeef_LiveweightGain[[#Headers],[State]],0)</f>
        <v>Spring</v>
      </c>
      <c r="G173" s="37" cm="1">
        <f t="array" ref="G173">Common_InputFunctions.Utility_DisplayArrayInTable(SourceData_PastureBeef.SourceData_PastureBeef_LiveweightGain_Data(), Table_SourceData_PastureBeef_LiveweightGain[[#Headers],[State]],0)</f>
        <v>0.7</v>
      </c>
      <c r="H173" s="37" cm="1">
        <f t="array" ref="H173">Common_InputFunctions.Utility_DisplayArrayInTable(SourceData_PastureBeef.SourceData_PastureBeef_LiveweightGain_Data(), Table_SourceData_PastureBeef_LiveweightGain[[#Headers],[State]],0)</f>
        <v>-0.55000000000000004</v>
      </c>
      <c r="I173" s="37" cm="1">
        <f t="array" ref="I173">Common_InputFunctions.Utility_DisplayArrayInTable(SourceData_PastureBeef.SourceData_PastureBeef_LiveweightGain_Data(), Table_SourceData_PastureBeef_LiveweightGain[[#Headers],[State]],0)</f>
        <v>0.7</v>
      </c>
      <c r="J173" s="37" cm="1">
        <f t="array" ref="J173">Common_InputFunctions.Utility_DisplayArrayInTable(SourceData_PastureBeef.SourceData_PastureBeef_LiveweightGain_Data(), Table_SourceData_PastureBeef_LiveweightGain[[#Headers],[State]],0)</f>
        <v>0.22</v>
      </c>
      <c r="K173" s="37" cm="1">
        <f t="array" ref="K173">Common_InputFunctions.Utility_DisplayArrayInTable(SourceData_PastureBeef.SourceData_PastureBeef_LiveweightGain_Data(), Table_SourceData_PastureBeef_LiveweightGain[[#Headers],[State]],0)</f>
        <v>-0.22</v>
      </c>
      <c r="L173" s="37" cm="1">
        <f t="array" ref="L173">Common_InputFunctions.Utility_DisplayArrayInTable(SourceData_PastureBeef.SourceData_PastureBeef_LiveweightGain_Data(), Table_SourceData_PastureBeef_LiveweightGain[[#Headers],[State]],0)</f>
        <v>0.7</v>
      </c>
      <c r="M173" s="37" cm="1">
        <f t="array" ref="M173">Common_InputFunctions.Utility_DisplayArrayInTable(SourceData_PastureBeef.SourceData_PastureBeef_LiveweightGain_Data(), Table_SourceData_PastureBeef_LiveweightGain[[#Headers],[State]],0)</f>
        <v>-0.22</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7" t="str" cm="1">
        <f t="array" ref="E174">Common_InputFunctions.Utility_DisplayArrayInTable(SourceData_PastureBeef.SourceData_PastureBeef_LiveweightGain_Data(), Table_SourceData_PastureBeef_LiveweightGain[[#Headers],[State]],0)</f>
        <v>Pilbara</v>
      </c>
      <c r="F174" s="37" t="str" cm="1">
        <f t="array" ref="F174">Common_InputFunctions.Utility_DisplayArrayInTable(SourceData_PastureBeef.SourceData_PastureBeef_LiveweightGain_Data(), Table_SourceData_PastureBeef_LiveweightGain[[#Headers],[State]],0)</f>
        <v>Summer</v>
      </c>
      <c r="G174" s="37" cm="1">
        <f t="array" ref="G174">Common_InputFunctions.Utility_DisplayArrayInTable(SourceData_PastureBeef.SourceData_PastureBeef_LiveweightGain_Data(), Table_SourceData_PastureBeef_LiveweightGain[[#Headers],[State]],0)</f>
        <v>0.77</v>
      </c>
      <c r="H174" s="37" cm="1">
        <f t="array" ref="H174">Common_InputFunctions.Utility_DisplayArrayInTable(SourceData_PastureBeef.SourceData_PastureBeef_LiveweightGain_Data(), Table_SourceData_PastureBeef_LiveweightGain[[#Headers],[State]],0)</f>
        <v>0.55000000000000004</v>
      </c>
      <c r="I174" s="37" cm="1">
        <f t="array" ref="I174">Common_InputFunctions.Utility_DisplayArrayInTable(SourceData_PastureBeef.SourceData_PastureBeef_LiveweightGain_Data(), Table_SourceData_PastureBeef_LiveweightGain[[#Headers],[State]],0)</f>
        <v>0.77</v>
      </c>
      <c r="J174" s="37" cm="1">
        <f t="array" ref="J174">Common_InputFunctions.Utility_DisplayArrayInTable(SourceData_PastureBeef.SourceData_PastureBeef_LiveweightGain_Data(), Table_SourceData_PastureBeef_LiveweightGain[[#Headers],[State]],0)</f>
        <v>0.66</v>
      </c>
      <c r="K174" s="37" cm="1">
        <f t="array" ref="K174">Common_InputFunctions.Utility_DisplayArrayInTable(SourceData_PastureBeef.SourceData_PastureBeef_LiveweightGain_Data(), Table_SourceData_PastureBeef_LiveweightGain[[#Headers],[State]],0)</f>
        <v>0.55000000000000004</v>
      </c>
      <c r="L174" s="37" cm="1">
        <f t="array" ref="L174">Common_InputFunctions.Utility_DisplayArrayInTable(SourceData_PastureBeef.SourceData_PastureBeef_LiveweightGain_Data(), Table_SourceData_PastureBeef_LiveweightGain[[#Headers],[State]],0)</f>
        <v>0.77</v>
      </c>
      <c r="M174" s="37" cm="1">
        <f t="array" ref="M174">Common_InputFunctions.Utility_DisplayArrayInTable(SourceData_PastureBeef.SourceData_PastureBeef_LiveweightGain_Data(), Table_SourceData_PastureBeef_LiveweightGain[[#Headers],[State]],0)</f>
        <v>0.33</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7" t="str" cm="1">
        <f t="array" ref="E175">Common_InputFunctions.Utility_DisplayArrayInTable(SourceData_PastureBeef.SourceData_PastureBeef_LiveweightGain_Data(), Table_SourceData_PastureBeef_LiveweightGain[[#Headers],[State]],0)</f>
        <v>Pilbara</v>
      </c>
      <c r="F175" s="37" t="str" cm="1">
        <f t="array" ref="F175">Common_InputFunctions.Utility_DisplayArrayInTable(SourceData_PastureBeef.SourceData_PastureBeef_LiveweightGain_Data(), Table_SourceData_PastureBeef_LiveweightGain[[#Headers],[State]],0)</f>
        <v>Autumn</v>
      </c>
      <c r="G175" s="37" cm="1">
        <f t="array" ref="G175">Common_InputFunctions.Utility_DisplayArrayInTable(SourceData_PastureBeef.SourceData_PastureBeef_LiveweightGain_Data(), Table_SourceData_PastureBeef_LiveweightGain[[#Headers],[State]],0)</f>
        <v>0.88</v>
      </c>
      <c r="H175" s="37" cm="1">
        <f t="array" ref="H175">Common_InputFunctions.Utility_DisplayArrayInTable(SourceData_PastureBeef.SourceData_PastureBeef_LiveweightGain_Data(), Table_SourceData_PastureBeef_LiveweightGain[[#Headers],[State]],0)</f>
        <v>0.55000000000000004</v>
      </c>
      <c r="I175" s="37" cm="1">
        <f t="array" ref="I175">Common_InputFunctions.Utility_DisplayArrayInTable(SourceData_PastureBeef.SourceData_PastureBeef_LiveweightGain_Data(), Table_SourceData_PastureBeef_LiveweightGain[[#Headers],[State]],0)</f>
        <v>0.88</v>
      </c>
      <c r="J175" s="37" cm="1">
        <f t="array" ref="J175">Common_InputFunctions.Utility_DisplayArrayInTable(SourceData_PastureBeef.SourceData_PastureBeef_LiveweightGain_Data(), Table_SourceData_PastureBeef_LiveweightGain[[#Headers],[State]],0)</f>
        <v>0.22</v>
      </c>
      <c r="K175" s="37" cm="1">
        <f t="array" ref="K175">Common_InputFunctions.Utility_DisplayArrayInTable(SourceData_PastureBeef.SourceData_PastureBeef_LiveweightGain_Data(), Table_SourceData_PastureBeef_LiveweightGain[[#Headers],[State]],0)</f>
        <v>0.22</v>
      </c>
      <c r="L175" s="37" cm="1">
        <f t="array" ref="L175">Common_InputFunctions.Utility_DisplayArrayInTable(SourceData_PastureBeef.SourceData_PastureBeef_LiveweightGain_Data(), Table_SourceData_PastureBeef_LiveweightGain[[#Headers],[State]],0)</f>
        <v>0.88</v>
      </c>
      <c r="M175" s="37"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7" t="str" cm="1">
        <f t="array" ref="E176">Common_InputFunctions.Utility_DisplayArrayInTable(SourceData_PastureBeef.SourceData_PastureBeef_LiveweightGain_Data(), Table_SourceData_PastureBeef_LiveweightGain[[#Headers],[State]],0)</f>
        <v>Pilbara</v>
      </c>
      <c r="F176" s="37" t="str" cm="1">
        <f t="array" ref="F176">Common_InputFunctions.Utility_DisplayArrayInTable(SourceData_PastureBeef.SourceData_PastureBeef_LiveweightGain_Data(), Table_SourceData_PastureBeef_LiveweightGain[[#Headers],[State]],0)</f>
        <v>Winter</v>
      </c>
      <c r="G176" s="37" cm="1">
        <f t="array" ref="G176">Common_InputFunctions.Utility_DisplayArrayInTable(SourceData_PastureBeef.SourceData_PastureBeef_LiveweightGain_Data(), Table_SourceData_PastureBeef_LiveweightGain[[#Headers],[State]],0)</f>
        <v>0.22</v>
      </c>
      <c r="H176" s="37" cm="1">
        <f t="array" ref="H176">Common_InputFunctions.Utility_DisplayArrayInTable(SourceData_PastureBeef.SourceData_PastureBeef_LiveweightGain_Data(), Table_SourceData_PastureBeef_LiveweightGain[[#Headers],[State]],0)</f>
        <v>-0.55000000000000004</v>
      </c>
      <c r="I176" s="37" cm="1">
        <f t="array" ref="I176">Common_InputFunctions.Utility_DisplayArrayInTable(SourceData_PastureBeef.SourceData_PastureBeef_LiveweightGain_Data(), Table_SourceData_PastureBeef_LiveweightGain[[#Headers],[State]],0)</f>
        <v>0.22</v>
      </c>
      <c r="J176" s="37" cm="1">
        <f t="array" ref="J176">Common_InputFunctions.Utility_DisplayArrayInTable(SourceData_PastureBeef.SourceData_PastureBeef_LiveweightGain_Data(), Table_SourceData_PastureBeef_LiveweightGain[[#Headers],[State]],0)</f>
        <v>0.11</v>
      </c>
      <c r="K176" s="37" cm="1">
        <f t="array" ref="K176">Common_InputFunctions.Utility_DisplayArrayInTable(SourceData_PastureBeef.SourceData_PastureBeef_LiveweightGain_Data(), Table_SourceData_PastureBeef_LiveweightGain[[#Headers],[State]],0)</f>
        <v>-0.22</v>
      </c>
      <c r="L176" s="37" cm="1">
        <f t="array" ref="L176">Common_InputFunctions.Utility_DisplayArrayInTable(SourceData_PastureBeef.SourceData_PastureBeef_LiveweightGain_Data(), Table_SourceData_PastureBeef_LiveweightGain[[#Headers],[State]],0)</f>
        <v>0.22</v>
      </c>
      <c r="M176" s="37"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7" t="str" cm="1">
        <f t="array" ref="E177">Common_InputFunctions.Utility_DisplayArrayInTable(SourceData_PastureBeef.SourceData_PastureBeef_LiveweightGain_Data(), Table_SourceData_PastureBeef_LiveweightGain[[#Headers],[State]],0)</f>
        <v>Kimberley</v>
      </c>
      <c r="F177" s="37" t="str" cm="1">
        <f t="array" ref="F177">Common_InputFunctions.Utility_DisplayArrayInTable(SourceData_PastureBeef.SourceData_PastureBeef_LiveweightGain_Data(), Table_SourceData_PastureBeef_LiveweightGain[[#Headers],[State]],0)</f>
        <v>Spring</v>
      </c>
      <c r="G177" s="37" cm="1">
        <f t="array" ref="G177">Common_InputFunctions.Utility_DisplayArrayInTable(SourceData_PastureBeef.SourceData_PastureBeef_LiveweightGain_Data(), Table_SourceData_PastureBeef_LiveweightGain[[#Headers],[State]],0)</f>
        <v>0.22</v>
      </c>
      <c r="H177" s="37" cm="1">
        <f t="array" ref="H177">Common_InputFunctions.Utility_DisplayArrayInTable(SourceData_PastureBeef.SourceData_PastureBeef_LiveweightGain_Data(), Table_SourceData_PastureBeef_LiveweightGain[[#Headers],[State]],0)</f>
        <v>-0.55000000000000004</v>
      </c>
      <c r="I177" s="37" cm="1">
        <f t="array" ref="I177">Common_InputFunctions.Utility_DisplayArrayInTable(SourceData_PastureBeef.SourceData_PastureBeef_LiveweightGain_Data(), Table_SourceData_PastureBeef_LiveweightGain[[#Headers],[State]],0)</f>
        <v>0.33</v>
      </c>
      <c r="J177" s="37" cm="1">
        <f t="array" ref="J177">Common_InputFunctions.Utility_DisplayArrayInTable(SourceData_PastureBeef.SourceData_PastureBeef_LiveweightGain_Data(), Table_SourceData_PastureBeef_LiveweightGain[[#Headers],[State]],0)</f>
        <v>0.22</v>
      </c>
      <c r="K177" s="37" cm="1">
        <f t="array" ref="K177">Common_InputFunctions.Utility_DisplayArrayInTable(SourceData_PastureBeef.SourceData_PastureBeef_LiveweightGain_Data(), Table_SourceData_PastureBeef_LiveweightGain[[#Headers],[State]],0)</f>
        <v>-0.33</v>
      </c>
      <c r="L177" s="37" cm="1">
        <f t="array" ref="L177">Common_InputFunctions.Utility_DisplayArrayInTable(SourceData_PastureBeef.SourceData_PastureBeef_LiveweightGain_Data(), Table_SourceData_PastureBeef_LiveweightGain[[#Headers],[State]],0)</f>
        <v>0.22</v>
      </c>
      <c r="M177" s="37" cm="1">
        <f t="array" ref="M177">Common_InputFunctions.Utility_DisplayArrayInTable(SourceData_PastureBeef.SourceData_PastureBeef_LiveweightGain_Data(), Table_SourceData_PastureBeef_LiveweightGain[[#Headers],[State]],0)</f>
        <v>-0.55000000000000004</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7" t="str" cm="1">
        <f t="array" ref="E178">Common_InputFunctions.Utility_DisplayArrayInTable(SourceData_PastureBeef.SourceData_PastureBeef_LiveweightGain_Data(), Table_SourceData_PastureBeef_LiveweightGain[[#Headers],[State]],0)</f>
        <v>Kimberley</v>
      </c>
      <c r="F178" s="37" t="str" cm="1">
        <f t="array" ref="F178">Common_InputFunctions.Utility_DisplayArrayInTable(SourceData_PastureBeef.SourceData_PastureBeef_LiveweightGain_Data(), Table_SourceData_PastureBeef_LiveweightGain[[#Headers],[State]],0)</f>
        <v>Summer</v>
      </c>
      <c r="G178" s="37" cm="1">
        <f t="array" ref="G178">Common_InputFunctions.Utility_DisplayArrayInTable(SourceData_PastureBeef.SourceData_PastureBeef_LiveweightGain_Data(), Table_SourceData_PastureBeef_LiveweightGain[[#Headers],[State]],0)</f>
        <v>0.8</v>
      </c>
      <c r="H178" s="37" cm="1">
        <f t="array" ref="H178">Common_InputFunctions.Utility_DisplayArrayInTable(SourceData_PastureBeef.SourceData_PastureBeef_LiveweightGain_Data(), Table_SourceData_PastureBeef_LiveweightGain[[#Headers],[State]],0)</f>
        <v>0.55000000000000004</v>
      </c>
      <c r="I178" s="37" cm="1">
        <f t="array" ref="I178">Common_InputFunctions.Utility_DisplayArrayInTable(SourceData_PastureBeef.SourceData_PastureBeef_LiveweightGain_Data(), Table_SourceData_PastureBeef_LiveweightGain[[#Headers],[State]],0)</f>
        <v>0.7</v>
      </c>
      <c r="J178" s="37" cm="1">
        <f t="array" ref="J178">Common_InputFunctions.Utility_DisplayArrayInTable(SourceData_PastureBeef.SourceData_PastureBeef_LiveweightGain_Data(), Table_SourceData_PastureBeef_LiveweightGain[[#Headers],[State]],0)</f>
        <v>0.44</v>
      </c>
      <c r="K178" s="37" cm="1">
        <f t="array" ref="K178">Common_InputFunctions.Utility_DisplayArrayInTable(SourceData_PastureBeef.SourceData_PastureBeef_LiveweightGain_Data(), Table_SourceData_PastureBeef_LiveweightGain[[#Headers],[State]],0)</f>
        <v>0.66</v>
      </c>
      <c r="L178" s="37" cm="1">
        <f t="array" ref="L178">Common_InputFunctions.Utility_DisplayArrayInTable(SourceData_PastureBeef.SourceData_PastureBeef_LiveweightGain_Data(), Table_SourceData_PastureBeef_LiveweightGain[[#Headers],[State]],0)</f>
        <v>0.8</v>
      </c>
      <c r="M178" s="37" cm="1">
        <f t="array" ref="M178">Common_InputFunctions.Utility_DisplayArrayInTable(SourceData_PastureBeef.SourceData_PastureBeef_LiveweightGain_Data(), Table_SourceData_PastureBeef_LiveweightGain[[#Headers],[State]],0)</f>
        <v>0.55000000000000004</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7" t="str" cm="1">
        <f t="array" ref="E179">Common_InputFunctions.Utility_DisplayArrayInTable(SourceData_PastureBeef.SourceData_PastureBeef_LiveweightGain_Data(), Table_SourceData_PastureBeef_LiveweightGain[[#Headers],[State]],0)</f>
        <v>Kimberley</v>
      </c>
      <c r="F179" s="37" t="str" cm="1">
        <f t="array" ref="F179">Common_InputFunctions.Utility_DisplayArrayInTable(SourceData_PastureBeef.SourceData_PastureBeef_LiveweightGain_Data(), Table_SourceData_PastureBeef_LiveweightGain[[#Headers],[State]],0)</f>
        <v>Autumn</v>
      </c>
      <c r="G179" s="37" cm="1">
        <f t="array" ref="G179">Common_InputFunctions.Utility_DisplayArrayInTable(SourceData_PastureBeef.SourceData_PastureBeef_LiveweightGain_Data(), Table_SourceData_PastureBeef_LiveweightGain[[#Headers],[State]],0)</f>
        <v>0.66</v>
      </c>
      <c r="H179" s="37" cm="1">
        <f t="array" ref="H179">Common_InputFunctions.Utility_DisplayArrayInTable(SourceData_PastureBeef.SourceData_PastureBeef_LiveweightGain_Data(), Table_SourceData_PastureBeef_LiveweightGain[[#Headers],[State]],0)</f>
        <v>0.55000000000000004</v>
      </c>
      <c r="I179" s="37" cm="1">
        <f t="array" ref="I179">Common_InputFunctions.Utility_DisplayArrayInTable(SourceData_PastureBeef.SourceData_PastureBeef_LiveweightGain_Data(), Table_SourceData_PastureBeef_LiveweightGain[[#Headers],[State]],0)</f>
        <v>0.55000000000000004</v>
      </c>
      <c r="J179" s="37" cm="1">
        <f t="array" ref="J179">Common_InputFunctions.Utility_DisplayArrayInTable(SourceData_PastureBeef.SourceData_PastureBeef_LiveweightGain_Data(), Table_SourceData_PastureBeef_LiveweightGain[[#Headers],[State]],0)</f>
        <v>0.55000000000000004</v>
      </c>
      <c r="K179" s="37" cm="1">
        <f t="array" ref="K179">Common_InputFunctions.Utility_DisplayArrayInTable(SourceData_PastureBeef.SourceData_PastureBeef_LiveweightGain_Data(), Table_SourceData_PastureBeef_LiveweightGain[[#Headers],[State]],0)</f>
        <v>0.11</v>
      </c>
      <c r="L179" s="37" cm="1">
        <f t="array" ref="L179">Common_InputFunctions.Utility_DisplayArrayInTable(SourceData_PastureBeef.SourceData_PastureBeef_LiveweightGain_Data(), Table_SourceData_PastureBeef_LiveweightGain[[#Headers],[State]],0)</f>
        <v>0.66</v>
      </c>
      <c r="M179" s="37"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7" t="str" cm="1">
        <f t="array" ref="E180">Common_InputFunctions.Utility_DisplayArrayInTable(SourceData_PastureBeef.SourceData_PastureBeef_LiveweightGain_Data(), Table_SourceData_PastureBeef_LiveweightGain[[#Headers],[State]],0)</f>
        <v>Kimberley</v>
      </c>
      <c r="F180" s="37" t="str" cm="1">
        <f t="array" ref="F180">Common_InputFunctions.Utility_DisplayArrayInTable(SourceData_PastureBeef.SourceData_PastureBeef_LiveweightGain_Data(), Table_SourceData_PastureBeef_LiveweightGain[[#Headers],[State]],0)</f>
        <v>Winter</v>
      </c>
      <c r="G180" s="37" cm="1">
        <f t="array" ref="G180">Common_InputFunctions.Utility_DisplayArrayInTable(SourceData_PastureBeef.SourceData_PastureBeef_LiveweightGain_Data(), Table_SourceData_PastureBeef_LiveweightGain[[#Headers],[State]],0)</f>
        <v>0.33</v>
      </c>
      <c r="H180" s="37" cm="1">
        <f t="array" ref="H180">Common_InputFunctions.Utility_DisplayArrayInTable(SourceData_PastureBeef.SourceData_PastureBeef_LiveweightGain_Data(), Table_SourceData_PastureBeef_LiveweightGain[[#Headers],[State]],0)</f>
        <v>-0.55000000000000004</v>
      </c>
      <c r="I180" s="37" cm="1">
        <f t="array" ref="I180">Common_InputFunctions.Utility_DisplayArrayInTable(SourceData_PastureBeef.SourceData_PastureBeef_LiveweightGain_Data(), Table_SourceData_PastureBeef_LiveweightGain[[#Headers],[State]],0)</f>
        <v>0.11</v>
      </c>
      <c r="J180" s="37" cm="1">
        <f t="array" ref="J180">Common_InputFunctions.Utility_DisplayArrayInTable(SourceData_PastureBeef.SourceData_PastureBeef_LiveweightGain_Data(), Table_SourceData_PastureBeef_LiveweightGain[[#Headers],[State]],0)</f>
        <v>0.11</v>
      </c>
      <c r="K180" s="37" cm="1">
        <f t="array" ref="K180">Common_InputFunctions.Utility_DisplayArrayInTable(SourceData_PastureBeef.SourceData_PastureBeef_LiveweightGain_Data(), Table_SourceData_PastureBeef_LiveweightGain[[#Headers],[State]],0)</f>
        <v>-0.44</v>
      </c>
      <c r="L180" s="37" cm="1">
        <f t="array" ref="L180">Common_InputFunctions.Utility_DisplayArrayInTable(SourceData_PastureBeef.SourceData_PastureBeef_LiveweightGain_Data(), Table_SourceData_PastureBeef_LiveweightGain[[#Headers],[State]],0)</f>
        <v>0.33</v>
      </c>
      <c r="M180" s="37" cm="1">
        <f t="array" ref="M180">Common_InputFunctions.Utility_DisplayArrayInTable(SourceData_PastureBeef.SourceData_PastureBeef_LiveweightGain_Data(), Table_SourceData_PastureBeef_LiveweightGain[[#Headers],[State]],0)</f>
        <v>-0.55000000000000004</v>
      </c>
    </row>
    <row r="181" spans="4:16" x14ac:dyDescent="0.25">
      <c r="M181" s="1"/>
    </row>
    <row r="182" spans="4:16" x14ac:dyDescent="0.25">
      <c r="M182" s="1"/>
    </row>
    <row r="183" spans="4:16" ht="23.25" x14ac:dyDescent="0.25">
      <c r="D183" s="6" t="str" cm="1">
        <f t="array" ref="D183">SourceData_PastureBeef.SourceData_PastureBeef_LiveweightGainNTQLD_Title()</f>
        <v>Beef pasture cattle - Liveweight gain (kg) (LWGjkl) for NT and QLD</v>
      </c>
      <c r="M183" s="1"/>
    </row>
    <row r="184" spans="4:16" x14ac:dyDescent="0.25">
      <c r="D184" s="5" t="str" cm="1">
        <f t="array" ref="D184">SourceData_PastureBeef.SourceData_PastureBeef_LiveweightGainNTQLD_Source()</f>
        <v>VEERG 2026: Table A.1.2.4</v>
      </c>
      <c r="M184" s="1"/>
    </row>
    <row r="185" spans="4:16" x14ac:dyDescent="0.25">
      <c r="D185" s="1" t="str" cm="1">
        <f t="array" ref="D185">SourceData_PastureBeef.SourceData_PastureBeef_LiveweightGainNTQLD_Variable()</f>
        <v>LWGjkl</v>
      </c>
      <c r="M185" s="1"/>
    </row>
    <row r="186" spans="4:16" x14ac:dyDescent="0.25">
      <c r="D186" s="54" t="str" cm="1">
        <f t="array" ref="D186">SourceData_PastureBeef.SourceData_PastureBeef_LiveweightGainNTQLD_Unit()</f>
        <v>kg</v>
      </c>
      <c r="M186" s="1"/>
    </row>
    <row r="187" spans="4:16" x14ac:dyDescent="0.25">
      <c r="D187" s="37" t="s">
        <v>8</v>
      </c>
      <c r="E187" s="37" t="s">
        <v>183</v>
      </c>
      <c r="F187" s="37" t="s">
        <v>184</v>
      </c>
      <c r="G187" s="37" t="s">
        <v>203</v>
      </c>
      <c r="H187" s="37" t="s">
        <v>192</v>
      </c>
      <c r="I187" s="37" t="s">
        <v>224</v>
      </c>
      <c r="J187" s="37" t="s">
        <v>188</v>
      </c>
      <c r="K187" s="37" t="s">
        <v>227</v>
      </c>
      <c r="L187" s="37" t="s">
        <v>228</v>
      </c>
      <c r="M187" s="37" t="s">
        <v>197</v>
      </c>
      <c r="N187" s="37" t="s">
        <v>198</v>
      </c>
      <c r="O187" s="37" t="s">
        <v>199</v>
      </c>
      <c r="P187" s="37" t="s">
        <v>200</v>
      </c>
    </row>
    <row r="188" spans="4:16" x14ac:dyDescent="0.25">
      <c r="D188" s="37" t="str" cm="1">
        <f t="array" ref="D188">Common_InputFunctions.Utility_DisplayArrayInTable(SourceData_PastureBeef.SourceData_PastureBeef_LiveweightGainNTQLD_Data(),Table_SourceData_PastureBeef_LiveweightGainNTQLD[[#Headers],[State]],0)</f>
        <v>Northern Territory</v>
      </c>
      <c r="E188" s="37" t="str" cm="1">
        <f t="array" ref="E188">Common_InputFunctions.Utility_DisplayArrayInTable(SourceData_PastureBeef.SourceData_PastureBeef_LiveweightGainNTQLD_Data(),Table_SourceData_PastureBeef_LiveweightGainNTQLD[[#Headers],[State]],0)</f>
        <v>Alice Springs</v>
      </c>
      <c r="F188" s="37" t="str" cm="1">
        <f t="array" ref="F188">Common_InputFunctions.Utility_DisplayArrayInTable(SourceData_PastureBeef.SourceData_PastureBeef_LiveweightGainNTQLD_Data(),Table_SourceData_PastureBeef_LiveweightGainNTQLD[[#Headers],[State]],0)</f>
        <v>Spring</v>
      </c>
      <c r="G188" s="37" cm="1">
        <f t="array" ref="G188">Common_InputFunctions.Utility_DisplayArrayInTable(SourceData_PastureBeef.SourceData_PastureBeef_LiveweightGainNTQLD_Data(),Table_SourceData_PastureBeef_LiveweightGainNTQLD[[#Headers],[State]],0)</f>
        <v>0.22</v>
      </c>
      <c r="H188" s="37" cm="1">
        <f t="array" ref="H188">Common_InputFunctions.Utility_DisplayArrayInTable(SourceData_PastureBeef.SourceData_PastureBeef_LiveweightGainNTQLD_Data(),Table_SourceData_PastureBeef_LiveweightGainNTQLD[[#Headers],[State]],0)</f>
        <v>-0.23</v>
      </c>
      <c r="I188" s="37" cm="1">
        <f t="array" ref="I188">Common_InputFunctions.Utility_DisplayArrayInTable(SourceData_PastureBeef.SourceData_PastureBeef_LiveweightGainNTQLD_Data(),Table_SourceData_PastureBeef_LiveweightGainNTQLD[[#Headers],[State]],0)</f>
        <v>0.25</v>
      </c>
      <c r="J188" s="37" cm="1">
        <f t="array" ref="J188">Common_InputFunctions.Utility_DisplayArrayInTable(SourceData_PastureBeef.SourceData_PastureBeef_LiveweightGainNTQLD_Data(),Table_SourceData_PastureBeef_LiveweightGainNTQLD[[#Headers],[State]],0)</f>
        <v>0.17</v>
      </c>
      <c r="K188" s="37" cm="1">
        <f t="array" ref="K188">Common_InputFunctions.Utility_DisplayArrayInTable(SourceData_PastureBeef.SourceData_PastureBeef_LiveweightGainNTQLD_Data(),Table_SourceData_PastureBeef_LiveweightGainNTQLD[[#Headers],[State]],0)</f>
        <v>0.18</v>
      </c>
      <c r="L188" s="37" cm="1">
        <f t="array" ref="L188">Common_InputFunctions.Utility_DisplayArrayInTable(SourceData_PastureBeef.SourceData_PastureBeef_LiveweightGainNTQLD_Data(),Table_SourceData_PastureBeef_LiveweightGainNTQLD[[#Headers],[State]],0)</f>
        <v>-0.28000000000000003</v>
      </c>
      <c r="M188" s="37" cm="1">
        <f t="array" ref="M188">Common_InputFunctions.Utility_DisplayArrayInTable(SourceData_PastureBeef.SourceData_PastureBeef_LiveweightGainNTQLD_Data(),Table_SourceData_PastureBeef_LiveweightGainNTQLD[[#Headers],[State]],0)</f>
        <v>0.32</v>
      </c>
      <c r="N188" s="37" cm="1">
        <f t="array" ref="N188">Common_InputFunctions.Utility_DisplayArrayInTable(SourceData_PastureBeef.SourceData_PastureBeef_LiveweightGainNTQLD_Data(),Table_SourceData_PastureBeef_LiveweightGainNTQLD[[#Headers],[State]],0)</f>
        <v>0.24</v>
      </c>
      <c r="O188" s="37" cm="1">
        <f t="array" ref="O188">Common_InputFunctions.Utility_DisplayArrayInTable(SourceData_PastureBeef.SourceData_PastureBeef_LiveweightGainNTQLD_Data(),Table_SourceData_PastureBeef_LiveweightGainNTQLD[[#Headers],[State]],0)</f>
        <v>0.25</v>
      </c>
      <c r="P188" s="37" cm="1">
        <f t="array" ref="P188">Common_InputFunctions.Utility_DisplayArrayInTable(SourceData_PastureBeef.SourceData_PastureBeef_LiveweightGainNTQLD_Data(),Table_SourceData_PastureBeef_LiveweightGainNTQLD[[#Headers],[State]],0)</f>
        <v>-0.05</v>
      </c>
    </row>
    <row r="189" spans="4:16" x14ac:dyDescent="0.25">
      <c r="D189" s="1" t="str" cm="1">
        <f t="array" ref="D189">Common_InputFunctions.Utility_DisplayArrayInTable(SourceData_PastureBeef.SourceData_PastureBeef_LiveweightGainNTQLD_Data(),Table_SourceData_PastureBeef_LiveweightGainNTQLD[[#Headers],[State]],0)</f>
        <v>Northern Territory</v>
      </c>
      <c r="E189" s="37" t="str" cm="1">
        <f t="array" ref="E189">Common_InputFunctions.Utility_DisplayArrayInTable(SourceData_PastureBeef.SourceData_PastureBeef_LiveweightGainNTQLD_Data(),Table_SourceData_PastureBeef_LiveweightGainNTQLD[[#Headers],[State]],0)</f>
        <v>Alice Springs</v>
      </c>
      <c r="F189" s="37" t="str" cm="1">
        <f t="array" ref="F189">Common_InputFunctions.Utility_DisplayArrayInTable(SourceData_PastureBeef.SourceData_PastureBeef_LiveweightGainNTQLD_Data(),Table_SourceData_PastureBeef_LiveweightGainNTQLD[[#Headers],[State]],0)</f>
        <v>Summer</v>
      </c>
      <c r="G189" s="37" cm="1">
        <f t="array" ref="G189">Common_InputFunctions.Utility_DisplayArrayInTable(SourceData_PastureBeef.SourceData_PastureBeef_LiveweightGainNTQLD_Data(),Table_SourceData_PastureBeef_LiveweightGainNTQLD[[#Headers],[State]],0)</f>
        <v>0.66</v>
      </c>
      <c r="H189" s="37" cm="1">
        <f t="array" ref="H189">Common_InputFunctions.Utility_DisplayArrayInTable(SourceData_PastureBeef.SourceData_PastureBeef_LiveweightGainNTQLD_Data(),Table_SourceData_PastureBeef_LiveweightGainNTQLD[[#Headers],[State]],0)</f>
        <v>0.2</v>
      </c>
      <c r="I189" s="37" cm="1">
        <f t="array" ref="I189">Common_InputFunctions.Utility_DisplayArrayInTable(SourceData_PastureBeef.SourceData_PastureBeef_LiveweightGainNTQLD_Data(),Table_SourceData_PastureBeef_LiveweightGainNTQLD[[#Headers],[State]],0)</f>
        <v>0.62</v>
      </c>
      <c r="J189" s="37" cm="1">
        <f t="array" ref="J189">Common_InputFunctions.Utility_DisplayArrayInTable(SourceData_PastureBeef.SourceData_PastureBeef_LiveweightGainNTQLD_Data(),Table_SourceData_PastureBeef_LiveweightGainNTQLD[[#Headers],[State]],0)</f>
        <v>0.54</v>
      </c>
      <c r="K189" s="37" cm="1">
        <f t="array" ref="K189">Common_InputFunctions.Utility_DisplayArrayInTable(SourceData_PastureBeef.SourceData_PastureBeef_LiveweightGainNTQLD_Data(),Table_SourceData_PastureBeef_LiveweightGainNTQLD[[#Headers],[State]],0)</f>
        <v>0.38</v>
      </c>
      <c r="L189" s="37" cm="1">
        <f t="array" ref="L189">Common_InputFunctions.Utility_DisplayArrayInTable(SourceData_PastureBeef.SourceData_PastureBeef_LiveweightGainNTQLD_Data(),Table_SourceData_PastureBeef_LiveweightGainNTQLD[[#Headers],[State]],0)</f>
        <v>0.27</v>
      </c>
      <c r="M189" s="37" cm="1">
        <f t="array" ref="M189">Common_InputFunctions.Utility_DisplayArrayInTable(SourceData_PastureBeef.SourceData_PastureBeef_LiveweightGainNTQLD_Data(),Table_SourceData_PastureBeef_LiveweightGainNTQLD[[#Headers],[State]],0)</f>
        <v>0.75</v>
      </c>
      <c r="N189" s="37" cm="1">
        <f t="array" ref="N189">Common_InputFunctions.Utility_DisplayArrayInTable(SourceData_PastureBeef.SourceData_PastureBeef_LiveweightGainNTQLD_Data(),Table_SourceData_PastureBeef_LiveweightGainNTQLD[[#Headers],[State]],0)</f>
        <v>0.64</v>
      </c>
      <c r="O189" s="37" cm="1">
        <f t="array" ref="O189">Common_InputFunctions.Utility_DisplayArrayInTable(SourceData_PastureBeef.SourceData_PastureBeef_LiveweightGainNTQLD_Data(),Table_SourceData_PastureBeef_LiveweightGainNTQLD[[#Headers],[State]],0)</f>
        <v>0.55000000000000004</v>
      </c>
      <c r="P189" s="37" cm="1">
        <f t="array" ref="P189">Common_InputFunctions.Utility_DisplayArrayInTable(SourceData_PastureBeef.SourceData_PastureBeef_LiveweightGainNTQLD_Data(),Table_SourceData_PastureBeef_LiveweightGainNTQLD[[#Headers],[State]],0)</f>
        <v>0.48</v>
      </c>
    </row>
    <row r="190" spans="4:16" x14ac:dyDescent="0.25">
      <c r="D190" s="1" t="str" cm="1">
        <f t="array" ref="D190">Common_InputFunctions.Utility_DisplayArrayInTable(SourceData_PastureBeef.SourceData_PastureBeef_LiveweightGainNTQLD_Data(),Table_SourceData_PastureBeef_LiveweightGainNTQLD[[#Headers],[State]],0)</f>
        <v>Northern Territory</v>
      </c>
      <c r="E190" s="37" t="str" cm="1">
        <f t="array" ref="E190">Common_InputFunctions.Utility_DisplayArrayInTable(SourceData_PastureBeef.SourceData_PastureBeef_LiveweightGainNTQLD_Data(),Table_SourceData_PastureBeef_LiveweightGainNTQLD[[#Headers],[State]],0)</f>
        <v>Alice Springs</v>
      </c>
      <c r="F190" s="37" t="str" cm="1">
        <f t="array" ref="F190">Common_InputFunctions.Utility_DisplayArrayInTable(SourceData_PastureBeef.SourceData_PastureBeef_LiveweightGainNTQLD_Data(),Table_SourceData_PastureBeef_LiveweightGainNTQLD[[#Headers],[State]],0)</f>
        <v>Autumn</v>
      </c>
      <c r="G190" s="37" cm="1">
        <f t="array" ref="G190">Common_InputFunctions.Utility_DisplayArrayInTable(SourceData_PastureBeef.SourceData_PastureBeef_LiveweightGainNTQLD_Data(),Table_SourceData_PastureBeef_LiveweightGainNTQLD[[#Headers],[State]],0)</f>
        <v>0.49</v>
      </c>
      <c r="H190" s="37" cm="1">
        <f t="array" ref="H190">Common_InputFunctions.Utility_DisplayArrayInTable(SourceData_PastureBeef.SourceData_PastureBeef_LiveweightGainNTQLD_Data(),Table_SourceData_PastureBeef_LiveweightGainNTQLD[[#Headers],[State]],0)</f>
        <v>0.13</v>
      </c>
      <c r="I190" s="37" cm="1">
        <f t="array" ref="I190">Common_InputFunctions.Utility_DisplayArrayInTable(SourceData_PastureBeef.SourceData_PastureBeef_LiveweightGainNTQLD_Data(),Table_SourceData_PastureBeef_LiveweightGainNTQLD[[#Headers],[State]],0)</f>
        <v>0.54</v>
      </c>
      <c r="J190" s="37" cm="1">
        <f t="array" ref="J190">Common_InputFunctions.Utility_DisplayArrayInTable(SourceData_PastureBeef.SourceData_PastureBeef_LiveweightGainNTQLD_Data(),Table_SourceData_PastureBeef_LiveweightGainNTQLD[[#Headers],[State]],0)</f>
        <v>0.45</v>
      </c>
      <c r="K190" s="37" cm="1">
        <f t="array" ref="K190">Common_InputFunctions.Utility_DisplayArrayInTable(SourceData_PastureBeef.SourceData_PastureBeef_LiveweightGainNTQLD_Data(),Table_SourceData_PastureBeef_LiveweightGainNTQLD[[#Headers],[State]],0)</f>
        <v>0.35</v>
      </c>
      <c r="L190" s="37" cm="1">
        <f t="array" ref="L190">Common_InputFunctions.Utility_DisplayArrayInTable(SourceData_PastureBeef.SourceData_PastureBeef_LiveweightGainNTQLD_Data(),Table_SourceData_PastureBeef_LiveweightGainNTQLD[[#Headers],[State]],0)</f>
        <v>0.15</v>
      </c>
      <c r="M190" s="37" cm="1">
        <f t="array" ref="M190">Common_InputFunctions.Utility_DisplayArrayInTable(SourceData_PastureBeef.SourceData_PastureBeef_LiveweightGainNTQLD_Data(),Table_SourceData_PastureBeef_LiveweightGainNTQLD[[#Headers],[State]],0)</f>
        <v>0.63</v>
      </c>
      <c r="N190" s="37" cm="1">
        <f t="array" ref="N190">Common_InputFunctions.Utility_DisplayArrayInTable(SourceData_PastureBeef.SourceData_PastureBeef_LiveweightGainNTQLD_Data(),Table_SourceData_PastureBeef_LiveweightGainNTQLD[[#Headers],[State]],0)</f>
        <v>0.54</v>
      </c>
      <c r="O190" s="37" cm="1">
        <f t="array" ref="O190">Common_InputFunctions.Utility_DisplayArrayInTable(SourceData_PastureBeef.SourceData_PastureBeef_LiveweightGainNTQLD_Data(),Table_SourceData_PastureBeef_LiveweightGainNTQLD[[#Headers],[State]],0)</f>
        <v>0.42</v>
      </c>
      <c r="P190" s="37" cm="1">
        <f t="array" ref="P190">Common_InputFunctions.Utility_DisplayArrayInTable(SourceData_PastureBeef.SourceData_PastureBeef_LiveweightGainNTQLD_Data(),Table_SourceData_PastureBeef_LiveweightGainNTQLD[[#Headers],[State]],0)</f>
        <v>0.26</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7" t="str" cm="1">
        <f t="array" ref="E191">Common_InputFunctions.Utility_DisplayArrayInTable(SourceData_PastureBeef.SourceData_PastureBeef_LiveweightGainNTQLD_Data(),Table_SourceData_PastureBeef_LiveweightGainNTQLD[[#Headers],[State]],0)</f>
        <v>Alice Springs</v>
      </c>
      <c r="F191" s="37" t="str" cm="1">
        <f t="array" ref="F191">Common_InputFunctions.Utility_DisplayArrayInTable(SourceData_PastureBeef.SourceData_PastureBeef_LiveweightGainNTQLD_Data(),Table_SourceData_PastureBeef_LiveweightGainNTQLD[[#Headers],[State]],0)</f>
        <v>Winter</v>
      </c>
      <c r="G191" s="37" cm="1">
        <f t="array" ref="G191">Common_InputFunctions.Utility_DisplayArrayInTable(SourceData_PastureBeef.SourceData_PastureBeef_LiveweightGainNTQLD_Data(),Table_SourceData_PastureBeef_LiveweightGainNTQLD[[#Headers],[State]],0)</f>
        <v>0.27</v>
      </c>
      <c r="H191" s="37" cm="1">
        <f t="array" ref="H191">Common_InputFunctions.Utility_DisplayArrayInTable(SourceData_PastureBeef.SourceData_PastureBeef_LiveweightGainNTQLD_Data(),Table_SourceData_PastureBeef_LiveweightGainNTQLD[[#Headers],[State]],0)</f>
        <v>-0.8</v>
      </c>
      <c r="I191" s="37" cm="1">
        <f t="array" ref="I191">Common_InputFunctions.Utility_DisplayArrayInTable(SourceData_PastureBeef.SourceData_PastureBeef_LiveweightGainNTQLD_Data(),Table_SourceData_PastureBeef_LiveweightGainNTQLD[[#Headers],[State]],0)</f>
        <v>0.22</v>
      </c>
      <c r="J191" s="37" cm="1">
        <f t="array" ref="J191">Common_InputFunctions.Utility_DisplayArrayInTable(SourceData_PastureBeef.SourceData_PastureBeef_LiveweightGainNTQLD_Data(),Table_SourceData_PastureBeef_LiveweightGainNTQLD[[#Headers],[State]],0)</f>
        <v>0.09</v>
      </c>
      <c r="K191" s="37" cm="1">
        <f t="array" ref="K191">Common_InputFunctions.Utility_DisplayArrayInTable(SourceData_PastureBeef.SourceData_PastureBeef_LiveweightGainNTQLD_Data(),Table_SourceData_PastureBeef_LiveweightGainNTQLD[[#Headers],[State]],0)</f>
        <v>0.12</v>
      </c>
      <c r="L191" s="37" cm="1">
        <f t="array" ref="L191">Common_InputFunctions.Utility_DisplayArrayInTable(SourceData_PastureBeef.SourceData_PastureBeef_LiveweightGainNTQLD_Data(),Table_SourceData_PastureBeef_LiveweightGainNTQLD[[#Headers],[State]],0)</f>
        <v>0.02</v>
      </c>
      <c r="M191" s="37" cm="1">
        <f t="array" ref="M191">Common_InputFunctions.Utility_DisplayArrayInTable(SourceData_PastureBeef.SourceData_PastureBeef_LiveweightGainNTQLD_Data(),Table_SourceData_PastureBeef_LiveweightGainNTQLD[[#Headers],[State]],0)</f>
        <v>0.25</v>
      </c>
      <c r="N191" s="37" cm="1">
        <f t="array" ref="N191">Common_InputFunctions.Utility_DisplayArrayInTable(SourceData_PastureBeef.SourceData_PastureBeef_LiveweightGainNTQLD_Data(),Table_SourceData_PastureBeef_LiveweightGainNTQLD[[#Headers],[State]],0)</f>
        <v>0.18</v>
      </c>
      <c r="O191" s="37" cm="1">
        <f t="array" ref="O191">Common_InputFunctions.Utility_DisplayArrayInTable(SourceData_PastureBeef.SourceData_PastureBeef_LiveweightGainNTQLD_Data(),Table_SourceData_PastureBeef_LiveweightGainNTQLD[[#Headers],[State]],0)</f>
        <v>0.12</v>
      </c>
      <c r="P191" s="37" cm="1">
        <f t="array" ref="P191">Common_InputFunctions.Utility_DisplayArrayInTable(SourceData_PastureBeef.SourceData_PastureBeef_LiveweightGainNTQLD_Data(),Table_SourceData_PastureBeef_LiveweightGainNTQLD[[#Headers],[State]],0)</f>
        <v>0.03</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7" t="str" cm="1">
        <f t="array" ref="E192">Common_InputFunctions.Utility_DisplayArrayInTable(SourceData_PastureBeef.SourceData_PastureBeef_LiveweightGainNTQLD_Data(),Table_SourceData_PastureBeef_LiveweightGainNTQLD[[#Headers],[State]],0)</f>
        <v>Barkly</v>
      </c>
      <c r="F192" s="37" t="str" cm="1">
        <f t="array" ref="F192">Common_InputFunctions.Utility_DisplayArrayInTable(SourceData_PastureBeef.SourceData_PastureBeef_LiveweightGainNTQLD_Data(),Table_SourceData_PastureBeef_LiveweightGainNTQLD[[#Headers],[State]],0)</f>
        <v>Spring</v>
      </c>
      <c r="G192" s="37" cm="1">
        <f t="array" ref="G192">Common_InputFunctions.Utility_DisplayArrayInTable(SourceData_PastureBeef.SourceData_PastureBeef_LiveweightGainNTQLD_Data(),Table_SourceData_PastureBeef_LiveweightGainNTQLD[[#Headers],[State]],0)</f>
        <v>0.22</v>
      </c>
      <c r="H192" s="37" cm="1">
        <f t="array" ref="H192">Common_InputFunctions.Utility_DisplayArrayInTable(SourceData_PastureBeef.SourceData_PastureBeef_LiveweightGainNTQLD_Data(),Table_SourceData_PastureBeef_LiveweightGainNTQLD[[#Headers],[State]],0)</f>
        <v>-0.44</v>
      </c>
      <c r="I192" s="37" cm="1">
        <f t="array" ref="I192">Common_InputFunctions.Utility_DisplayArrayInTable(SourceData_PastureBeef.SourceData_PastureBeef_LiveweightGainNTQLD_Data(),Table_SourceData_PastureBeef_LiveweightGainNTQLD[[#Headers],[State]],0)</f>
        <v>0.2</v>
      </c>
      <c r="J192" s="37" cm="1">
        <f t="array" ref="J192">Common_InputFunctions.Utility_DisplayArrayInTable(SourceData_PastureBeef.SourceData_PastureBeef_LiveweightGainNTQLD_Data(),Table_SourceData_PastureBeef_LiveweightGainNTQLD[[#Headers],[State]],0)</f>
        <v>0.21</v>
      </c>
      <c r="K192" s="37" cm="1">
        <f t="array" ref="K192">Common_InputFunctions.Utility_DisplayArrayInTable(SourceData_PastureBeef.SourceData_PastureBeef_LiveweightGainNTQLD_Data(),Table_SourceData_PastureBeef_LiveweightGainNTQLD[[#Headers],[State]],0)</f>
        <v>0.18</v>
      </c>
      <c r="L192" s="37" cm="1">
        <f t="array" ref="L192">Common_InputFunctions.Utility_DisplayArrayInTable(SourceData_PastureBeef.SourceData_PastureBeef_LiveweightGainNTQLD_Data(),Table_SourceData_PastureBeef_LiveweightGainNTQLD[[#Headers],[State]],0)</f>
        <v>0.01</v>
      </c>
      <c r="M192" s="37" cm="1">
        <f t="array" ref="M192">Common_InputFunctions.Utility_DisplayArrayInTable(SourceData_PastureBeef.SourceData_PastureBeef_LiveweightGainNTQLD_Data(),Table_SourceData_PastureBeef_LiveweightGainNTQLD[[#Headers],[State]],0)</f>
        <v>0.12</v>
      </c>
      <c r="N192" s="37" cm="1">
        <f t="array" ref="N192">Common_InputFunctions.Utility_DisplayArrayInTable(SourceData_PastureBeef.SourceData_PastureBeef_LiveweightGainNTQLD_Data(),Table_SourceData_PastureBeef_LiveweightGainNTQLD[[#Headers],[State]],0)</f>
        <v>0.09</v>
      </c>
      <c r="O192" s="37" t="str" cm="1">
        <f t="array" ref="O192">Common_InputFunctions.Utility_DisplayArrayInTable(SourceData_PastureBeef.SourceData_PastureBeef_LiveweightGainNTQLD_Data(),Table_SourceData_PastureBeef_LiveweightGainNTQLD[[#Headers],[State]],0)</f>
        <v>NO</v>
      </c>
      <c r="P192" s="37" t="str" cm="1">
        <f t="array" ref="P192">Common_InputFunctions.Utility_DisplayArrayInTable(SourceData_PastureBeef.SourceData_PastureBeef_LiveweightGainNTQLD_Data(),Table_SourceData_PastureBeef_LiveweightGainNTQLD[[#Headers],[State]],0)</f>
        <v>NO</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7" t="str" cm="1">
        <f t="array" ref="E193">Common_InputFunctions.Utility_DisplayArrayInTable(SourceData_PastureBeef.SourceData_PastureBeef_LiveweightGainNTQLD_Data(),Table_SourceData_PastureBeef_LiveweightGainNTQLD[[#Headers],[State]],0)</f>
        <v>Barkly</v>
      </c>
      <c r="F193" s="37" t="str" cm="1">
        <f t="array" ref="F193">Common_InputFunctions.Utility_DisplayArrayInTable(SourceData_PastureBeef.SourceData_PastureBeef_LiveweightGainNTQLD_Data(),Table_SourceData_PastureBeef_LiveweightGainNTQLD[[#Headers],[State]],0)</f>
        <v>Summer</v>
      </c>
      <c r="G193" s="37" cm="1">
        <f t="array" ref="G193">Common_InputFunctions.Utility_DisplayArrayInTable(SourceData_PastureBeef.SourceData_PastureBeef_LiveweightGainNTQLD_Data(),Table_SourceData_PastureBeef_LiveweightGainNTQLD[[#Headers],[State]],0)</f>
        <v>0.66</v>
      </c>
      <c r="H193" s="37" cm="1">
        <f t="array" ref="H193">Common_InputFunctions.Utility_DisplayArrayInTable(SourceData_PastureBeef.SourceData_PastureBeef_LiveweightGainNTQLD_Data(),Table_SourceData_PastureBeef_LiveweightGainNTQLD[[#Headers],[State]],0)</f>
        <v>0.22</v>
      </c>
      <c r="I193" s="37" cm="1">
        <f t="array" ref="I193">Common_InputFunctions.Utility_DisplayArrayInTable(SourceData_PastureBeef.SourceData_PastureBeef_LiveweightGainNTQLD_Data(),Table_SourceData_PastureBeef_LiveweightGainNTQLD[[#Headers],[State]],0)</f>
        <v>0.68</v>
      </c>
      <c r="J193" s="37" cm="1">
        <f t="array" ref="J193">Common_InputFunctions.Utility_DisplayArrayInTable(SourceData_PastureBeef.SourceData_PastureBeef_LiveweightGainNTQLD_Data(),Table_SourceData_PastureBeef_LiveweightGainNTQLD[[#Headers],[State]],0)</f>
        <v>0.22</v>
      </c>
      <c r="K193" s="37" cm="1">
        <f t="array" ref="K193">Common_InputFunctions.Utility_DisplayArrayInTable(SourceData_PastureBeef.SourceData_PastureBeef_LiveweightGainNTQLD_Data(),Table_SourceData_PastureBeef_LiveweightGainNTQLD[[#Headers],[State]],0)</f>
        <v>0.24</v>
      </c>
      <c r="L193" s="37" cm="1">
        <f t="array" ref="L193">Common_InputFunctions.Utility_DisplayArrayInTable(SourceData_PastureBeef.SourceData_PastureBeef_LiveweightGainNTQLD_Data(),Table_SourceData_PastureBeef_LiveweightGainNTQLD[[#Headers],[State]],0)</f>
        <v>0.25</v>
      </c>
      <c r="M193" s="37" cm="1">
        <f t="array" ref="M193">Common_InputFunctions.Utility_DisplayArrayInTable(SourceData_PastureBeef.SourceData_PastureBeef_LiveweightGainNTQLD_Data(),Table_SourceData_PastureBeef_LiveweightGainNTQLD[[#Headers],[State]],0)</f>
        <v>0.64</v>
      </c>
      <c r="N193" s="37" cm="1">
        <f t="array" ref="N193">Common_InputFunctions.Utility_DisplayArrayInTable(SourceData_PastureBeef.SourceData_PastureBeef_LiveweightGainNTQLD_Data(),Table_SourceData_PastureBeef_LiveweightGainNTQLD[[#Headers],[State]],0)</f>
        <v>0.37</v>
      </c>
      <c r="O193" s="37" t="str" cm="1">
        <f t="array" ref="O193">Common_InputFunctions.Utility_DisplayArrayInTable(SourceData_PastureBeef.SourceData_PastureBeef_LiveweightGainNTQLD_Data(),Table_SourceData_PastureBeef_LiveweightGainNTQLD[[#Headers],[State]],0)</f>
        <v>NO</v>
      </c>
      <c r="P193" s="37" t="str" cm="1">
        <f t="array" ref="P193">Common_InputFunctions.Utility_DisplayArrayInTable(SourceData_PastureBeef.SourceData_PastureBeef_LiveweightGainNTQLD_Data(),Table_SourceData_PastureBeef_LiveweightGainNTQLD[[#Headers],[State]],0)</f>
        <v>NO</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7" t="str" cm="1">
        <f t="array" ref="E194">Common_InputFunctions.Utility_DisplayArrayInTable(SourceData_PastureBeef.SourceData_PastureBeef_LiveweightGainNTQLD_Data(),Table_SourceData_PastureBeef_LiveweightGainNTQLD[[#Headers],[State]],0)</f>
        <v>Barkly</v>
      </c>
      <c r="F194" s="37" t="str" cm="1">
        <f t="array" ref="F194">Common_InputFunctions.Utility_DisplayArrayInTable(SourceData_PastureBeef.SourceData_PastureBeef_LiveweightGainNTQLD_Data(),Table_SourceData_PastureBeef_LiveweightGainNTQLD[[#Headers],[State]],0)</f>
        <v>Autumn</v>
      </c>
      <c r="G194" s="37" cm="1">
        <f t="array" ref="G194">Common_InputFunctions.Utility_DisplayArrayInTable(SourceData_PastureBeef.SourceData_PastureBeef_LiveweightGainNTQLD_Data(),Table_SourceData_PastureBeef_LiveweightGainNTQLD[[#Headers],[State]],0)</f>
        <v>0.49</v>
      </c>
      <c r="H194" s="37" cm="1">
        <f t="array" ref="H194">Common_InputFunctions.Utility_DisplayArrayInTable(SourceData_PastureBeef.SourceData_PastureBeef_LiveweightGainNTQLD_Data(),Table_SourceData_PastureBeef_LiveweightGainNTQLD[[#Headers],[State]],0)</f>
        <v>0.05</v>
      </c>
      <c r="I194" s="37" cm="1">
        <f t="array" ref="I194">Common_InputFunctions.Utility_DisplayArrayInTable(SourceData_PastureBeef.SourceData_PastureBeef_LiveweightGainNTQLD_Data(),Table_SourceData_PastureBeef_LiveweightGainNTQLD[[#Headers],[State]],0)</f>
        <v>0.64</v>
      </c>
      <c r="J194" s="37" cm="1">
        <f t="array" ref="J194">Common_InputFunctions.Utility_DisplayArrayInTable(SourceData_PastureBeef.SourceData_PastureBeef_LiveweightGainNTQLD_Data(),Table_SourceData_PastureBeef_LiveweightGainNTQLD[[#Headers],[State]],0)</f>
        <v>0.25</v>
      </c>
      <c r="K194" s="37" cm="1">
        <f t="array" ref="K194">Common_InputFunctions.Utility_DisplayArrayInTable(SourceData_PastureBeef.SourceData_PastureBeef_LiveweightGainNTQLD_Data(),Table_SourceData_PastureBeef_LiveweightGainNTQLD[[#Headers],[State]],0)</f>
        <v>0.28999999999999998</v>
      </c>
      <c r="L194" s="37" cm="1">
        <f t="array" ref="L194">Common_InputFunctions.Utility_DisplayArrayInTable(SourceData_PastureBeef.SourceData_PastureBeef_LiveweightGainNTQLD_Data(),Table_SourceData_PastureBeef_LiveweightGainNTQLD[[#Headers],[State]],0)</f>
        <v>0.12</v>
      </c>
      <c r="M194" s="37" cm="1">
        <f t="array" ref="M194">Common_InputFunctions.Utility_DisplayArrayInTable(SourceData_PastureBeef.SourceData_PastureBeef_LiveweightGainNTQLD_Data(),Table_SourceData_PastureBeef_LiveweightGainNTQLD[[#Headers],[State]],0)</f>
        <v>0.56999999999999995</v>
      </c>
      <c r="N194" s="37" cm="1">
        <f t="array" ref="N194">Common_InputFunctions.Utility_DisplayArrayInTable(SourceData_PastureBeef.SourceData_PastureBeef_LiveweightGainNTQLD_Data(),Table_SourceData_PastureBeef_LiveweightGainNTQLD[[#Headers],[State]],0)</f>
        <v>0.49</v>
      </c>
      <c r="O194" s="37" t="str" cm="1">
        <f t="array" ref="O194">Common_InputFunctions.Utility_DisplayArrayInTable(SourceData_PastureBeef.SourceData_PastureBeef_LiveweightGainNTQLD_Data(),Table_SourceData_PastureBeef_LiveweightGainNTQLD[[#Headers],[State]],0)</f>
        <v>NO</v>
      </c>
      <c r="P194" s="37"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7" t="str" cm="1">
        <f t="array" ref="E195">Common_InputFunctions.Utility_DisplayArrayInTable(SourceData_PastureBeef.SourceData_PastureBeef_LiveweightGainNTQLD_Data(),Table_SourceData_PastureBeef_LiveweightGainNTQLD[[#Headers],[State]],0)</f>
        <v>Barkly</v>
      </c>
      <c r="F195" s="37" t="str" cm="1">
        <f t="array" ref="F195">Common_InputFunctions.Utility_DisplayArrayInTable(SourceData_PastureBeef.SourceData_PastureBeef_LiveweightGainNTQLD_Data(),Table_SourceData_PastureBeef_LiveweightGainNTQLD[[#Headers],[State]],0)</f>
        <v>Winter</v>
      </c>
      <c r="G195" s="37" cm="1">
        <f t="array" ref="G195">Common_InputFunctions.Utility_DisplayArrayInTable(SourceData_PastureBeef.SourceData_PastureBeef_LiveweightGainNTQLD_Data(),Table_SourceData_PastureBeef_LiveweightGainNTQLD[[#Headers],[State]],0)</f>
        <v>0.27</v>
      </c>
      <c r="H195" s="37" cm="1">
        <f t="array" ref="H195">Common_InputFunctions.Utility_DisplayArrayInTable(SourceData_PastureBeef.SourceData_PastureBeef_LiveweightGainNTQLD_Data(),Table_SourceData_PastureBeef_LiveweightGainNTQLD[[#Headers],[State]],0)</f>
        <v>-0.27</v>
      </c>
      <c r="I195" s="37" cm="1">
        <f t="array" ref="I195">Common_InputFunctions.Utility_DisplayArrayInTable(SourceData_PastureBeef.SourceData_PastureBeef_LiveweightGainNTQLD_Data(),Table_SourceData_PastureBeef_LiveweightGainNTQLD[[#Headers],[State]],0)</f>
        <v>0.31</v>
      </c>
      <c r="J195" s="37" cm="1">
        <f t="array" ref="J195">Common_InputFunctions.Utility_DisplayArrayInTable(SourceData_PastureBeef.SourceData_PastureBeef_LiveweightGainNTQLD_Data(),Table_SourceData_PastureBeef_LiveweightGainNTQLD[[#Headers],[State]],0)</f>
        <v>0.28999999999999998</v>
      </c>
      <c r="K195" s="37" cm="1">
        <f t="array" ref="K195">Common_InputFunctions.Utility_DisplayArrayInTable(SourceData_PastureBeef.SourceData_PastureBeef_LiveweightGainNTQLD_Data(),Table_SourceData_PastureBeef_LiveweightGainNTQLD[[#Headers],[State]],0)</f>
        <v>0.19</v>
      </c>
      <c r="L195" s="37" cm="1">
        <f t="array" ref="L195">Common_InputFunctions.Utility_DisplayArrayInTable(SourceData_PastureBeef.SourceData_PastureBeef_LiveweightGainNTQLD_Data(),Table_SourceData_PastureBeef_LiveweightGainNTQLD[[#Headers],[State]],0)</f>
        <v>0.04</v>
      </c>
      <c r="M195" s="37" cm="1">
        <f t="array" ref="M195">Common_InputFunctions.Utility_DisplayArrayInTable(SourceData_PastureBeef.SourceData_PastureBeef_LiveweightGainNTQLD_Data(),Table_SourceData_PastureBeef_LiveweightGainNTQLD[[#Headers],[State]],0)</f>
        <v>0.26</v>
      </c>
      <c r="N195" s="37" cm="1">
        <f t="array" ref="N195">Common_InputFunctions.Utility_DisplayArrayInTable(SourceData_PastureBeef.SourceData_PastureBeef_LiveweightGainNTQLD_Data(),Table_SourceData_PastureBeef_LiveweightGainNTQLD[[#Headers],[State]],0)</f>
        <v>0.28000000000000003</v>
      </c>
      <c r="O195" s="37" t="str" cm="1">
        <f t="array" ref="O195">Common_InputFunctions.Utility_DisplayArrayInTable(SourceData_PastureBeef.SourceData_PastureBeef_LiveweightGainNTQLD_Data(),Table_SourceData_PastureBeef_LiveweightGainNTQLD[[#Headers],[State]],0)</f>
        <v>NO</v>
      </c>
      <c r="P195" s="37"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7" t="str" cm="1">
        <f t="array" ref="E196">Common_InputFunctions.Utility_DisplayArrayInTable(SourceData_PastureBeef.SourceData_PastureBeef_LiveweightGainNTQLD_Data(),Table_SourceData_PastureBeef_LiveweightGainNTQLD[[#Headers],[State]],0)</f>
        <v>Northern</v>
      </c>
      <c r="F196" s="37" t="str" cm="1">
        <f t="array" ref="F196">Common_InputFunctions.Utility_DisplayArrayInTable(SourceData_PastureBeef.SourceData_PastureBeef_LiveweightGainNTQLD_Data(),Table_SourceData_PastureBeef_LiveweightGainNTQLD[[#Headers],[State]],0)</f>
        <v>Spring</v>
      </c>
      <c r="G196" s="37" cm="1">
        <f t="array" ref="G196">Common_InputFunctions.Utility_DisplayArrayInTable(SourceData_PastureBeef.SourceData_PastureBeef_LiveweightGainNTQLD_Data(),Table_SourceData_PastureBeef_LiveweightGainNTQLD[[#Headers],[State]],0)</f>
        <v>0.22</v>
      </c>
      <c r="H196" s="37" cm="1">
        <f t="array" ref="H196">Common_InputFunctions.Utility_DisplayArrayInTable(SourceData_PastureBeef.SourceData_PastureBeef_LiveweightGainNTQLD_Data(),Table_SourceData_PastureBeef_LiveweightGainNTQLD[[#Headers],[State]],0)</f>
        <v>-0.44</v>
      </c>
      <c r="I196" s="37" cm="1">
        <f t="array" ref="I196">Common_InputFunctions.Utility_DisplayArrayInTable(SourceData_PastureBeef.SourceData_PastureBeef_LiveweightGainNTQLD_Data(),Table_SourceData_PastureBeef_LiveweightGainNTQLD[[#Headers],[State]],0)</f>
        <v>0</v>
      </c>
      <c r="J196" s="37" cm="1">
        <f t="array" ref="J196">Common_InputFunctions.Utility_DisplayArrayInTable(SourceData_PastureBeef.SourceData_PastureBeef_LiveweightGainNTQLD_Data(),Table_SourceData_PastureBeef_LiveweightGainNTQLD[[#Headers],[State]],0)</f>
        <v>0.15</v>
      </c>
      <c r="K196" s="37" cm="1">
        <f t="array" ref="K196">Common_InputFunctions.Utility_DisplayArrayInTable(SourceData_PastureBeef.SourceData_PastureBeef_LiveweightGainNTQLD_Data(),Table_SourceData_PastureBeef_LiveweightGainNTQLD[[#Headers],[State]],0)</f>
        <v>0.08</v>
      </c>
      <c r="L196" s="37" cm="1">
        <f t="array" ref="L196">Common_InputFunctions.Utility_DisplayArrayInTable(SourceData_PastureBeef.SourceData_PastureBeef_LiveweightGainNTQLD_Data(),Table_SourceData_PastureBeef_LiveweightGainNTQLD[[#Headers],[State]],0)</f>
        <v>0.17</v>
      </c>
      <c r="M196" s="37" cm="1">
        <f t="array" ref="M196">Common_InputFunctions.Utility_DisplayArrayInTable(SourceData_PastureBeef.SourceData_PastureBeef_LiveweightGainNTQLD_Data(),Table_SourceData_PastureBeef_LiveweightGainNTQLD[[#Headers],[State]],0)</f>
        <v>0.06</v>
      </c>
      <c r="N196" s="37" cm="1">
        <f t="array" ref="N196">Common_InputFunctions.Utility_DisplayArrayInTable(SourceData_PastureBeef.SourceData_PastureBeef_LiveweightGainNTQLD_Data(),Table_SourceData_PastureBeef_LiveweightGainNTQLD[[#Headers],[State]],0)</f>
        <v>0.02</v>
      </c>
      <c r="O196" s="37" cm="1">
        <f t="array" ref="O196">Common_InputFunctions.Utility_DisplayArrayInTable(SourceData_PastureBeef.SourceData_PastureBeef_LiveweightGainNTQLD_Data(),Table_SourceData_PastureBeef_LiveweightGainNTQLD[[#Headers],[State]],0)</f>
        <v>-0.14000000000000001</v>
      </c>
      <c r="P196" s="37"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7" t="str" cm="1">
        <f t="array" ref="E197">Common_InputFunctions.Utility_DisplayArrayInTable(SourceData_PastureBeef.SourceData_PastureBeef_LiveweightGainNTQLD_Data(),Table_SourceData_PastureBeef_LiveweightGainNTQLD[[#Headers],[State]],0)</f>
        <v>Northern</v>
      </c>
      <c r="F197" s="37" t="str" cm="1">
        <f t="array" ref="F197">Common_InputFunctions.Utility_DisplayArrayInTable(SourceData_PastureBeef.SourceData_PastureBeef_LiveweightGainNTQLD_Data(),Table_SourceData_PastureBeef_LiveweightGainNTQLD[[#Headers],[State]],0)</f>
        <v>Summer</v>
      </c>
      <c r="G197" s="37" cm="1">
        <f t="array" ref="G197">Common_InputFunctions.Utility_DisplayArrayInTable(SourceData_PastureBeef.SourceData_PastureBeef_LiveweightGainNTQLD_Data(),Table_SourceData_PastureBeef_LiveweightGainNTQLD[[#Headers],[State]],0)</f>
        <v>0.66</v>
      </c>
      <c r="H197" s="37" cm="1">
        <f t="array" ref="H197">Common_InputFunctions.Utility_DisplayArrayInTable(SourceData_PastureBeef.SourceData_PastureBeef_LiveweightGainNTQLD_Data(),Table_SourceData_PastureBeef_LiveweightGainNTQLD[[#Headers],[State]],0)</f>
        <v>0.22</v>
      </c>
      <c r="I197" s="37" cm="1">
        <f t="array" ref="I197">Common_InputFunctions.Utility_DisplayArrayInTable(SourceData_PastureBeef.SourceData_PastureBeef_LiveweightGainNTQLD_Data(),Table_SourceData_PastureBeef_LiveweightGainNTQLD[[#Headers],[State]],0)</f>
        <v>0.79</v>
      </c>
      <c r="J197" s="37" cm="1">
        <f t="array" ref="J197">Common_InputFunctions.Utility_DisplayArrayInTable(SourceData_PastureBeef.SourceData_PastureBeef_LiveweightGainNTQLD_Data(),Table_SourceData_PastureBeef_LiveweightGainNTQLD[[#Headers],[State]],0)</f>
        <v>0.4</v>
      </c>
      <c r="K197" s="37" cm="1">
        <f t="array" ref="K197">Common_InputFunctions.Utility_DisplayArrayInTable(SourceData_PastureBeef.SourceData_PastureBeef_LiveweightGainNTQLD_Data(),Table_SourceData_PastureBeef_LiveweightGainNTQLD[[#Headers],[State]],0)</f>
        <v>0.38</v>
      </c>
      <c r="L197" s="37" cm="1">
        <f t="array" ref="L197">Common_InputFunctions.Utility_DisplayArrayInTable(SourceData_PastureBeef.SourceData_PastureBeef_LiveweightGainNTQLD_Data(),Table_SourceData_PastureBeef_LiveweightGainNTQLD[[#Headers],[State]],0)</f>
        <v>0.27</v>
      </c>
      <c r="M197" s="37" cm="1">
        <f t="array" ref="M197">Common_InputFunctions.Utility_DisplayArrayInTable(SourceData_PastureBeef.SourceData_PastureBeef_LiveweightGainNTQLD_Data(),Table_SourceData_PastureBeef_LiveweightGainNTQLD[[#Headers],[State]],0)</f>
        <v>0.8</v>
      </c>
      <c r="N197" s="37" cm="1">
        <f t="array" ref="N197">Common_InputFunctions.Utility_DisplayArrayInTable(SourceData_PastureBeef.SourceData_PastureBeef_LiveweightGainNTQLD_Data(),Table_SourceData_PastureBeef_LiveweightGainNTQLD[[#Headers],[State]],0)</f>
        <v>0.16</v>
      </c>
      <c r="O197" s="37" cm="1">
        <f t="array" ref="O197">Common_InputFunctions.Utility_DisplayArrayInTable(SourceData_PastureBeef.SourceData_PastureBeef_LiveweightGainNTQLD_Data(),Table_SourceData_PastureBeef_LiveweightGainNTQLD[[#Headers],[State]],0)</f>
        <v>0.3</v>
      </c>
      <c r="P197" s="37"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7" t="str" cm="1">
        <f t="array" ref="E198">Common_InputFunctions.Utility_DisplayArrayInTable(SourceData_PastureBeef.SourceData_PastureBeef_LiveweightGainNTQLD_Data(),Table_SourceData_PastureBeef_LiveweightGainNTQLD[[#Headers],[State]],0)</f>
        <v>Northern</v>
      </c>
      <c r="F198" s="37" t="str" cm="1">
        <f t="array" ref="F198">Common_InputFunctions.Utility_DisplayArrayInTable(SourceData_PastureBeef.SourceData_PastureBeef_LiveweightGainNTQLD_Data(),Table_SourceData_PastureBeef_LiveweightGainNTQLD[[#Headers],[State]],0)</f>
        <v>Autumn</v>
      </c>
      <c r="G198" s="37" cm="1">
        <f t="array" ref="G198">Common_InputFunctions.Utility_DisplayArrayInTable(SourceData_PastureBeef.SourceData_PastureBeef_LiveweightGainNTQLD_Data(),Table_SourceData_PastureBeef_LiveweightGainNTQLD[[#Headers],[State]],0)</f>
        <v>0.49</v>
      </c>
      <c r="H198" s="37" cm="1">
        <f t="array" ref="H198">Common_InputFunctions.Utility_DisplayArrayInTable(SourceData_PastureBeef.SourceData_PastureBeef_LiveweightGainNTQLD_Data(),Table_SourceData_PastureBeef_LiveweightGainNTQLD[[#Headers],[State]],0)</f>
        <v>0.05</v>
      </c>
      <c r="I198" s="37" cm="1">
        <f t="array" ref="I198">Common_InputFunctions.Utility_DisplayArrayInTable(SourceData_PastureBeef.SourceData_PastureBeef_LiveweightGainNTQLD_Data(),Table_SourceData_PastureBeef_LiveweightGainNTQLD[[#Headers],[State]],0)</f>
        <v>0.55000000000000004</v>
      </c>
      <c r="J198" s="37" cm="1">
        <f t="array" ref="J198">Common_InputFunctions.Utility_DisplayArrayInTable(SourceData_PastureBeef.SourceData_PastureBeef_LiveweightGainNTQLD_Data(),Table_SourceData_PastureBeef_LiveweightGainNTQLD[[#Headers],[State]],0)</f>
        <v>0.38</v>
      </c>
      <c r="K198" s="37" cm="1">
        <f t="array" ref="K198">Common_InputFunctions.Utility_DisplayArrayInTable(SourceData_PastureBeef.SourceData_PastureBeef_LiveweightGainNTQLD_Data(),Table_SourceData_PastureBeef_LiveweightGainNTQLD[[#Headers],[State]],0)</f>
        <v>0.36</v>
      </c>
      <c r="L198" s="37" cm="1">
        <f t="array" ref="L198">Common_InputFunctions.Utility_DisplayArrayInTable(SourceData_PastureBeef.SourceData_PastureBeef_LiveweightGainNTQLD_Data(),Table_SourceData_PastureBeef_LiveweightGainNTQLD[[#Headers],[State]],0)</f>
        <v>0.06</v>
      </c>
      <c r="M198" s="37" cm="1">
        <f t="array" ref="M198">Common_InputFunctions.Utility_DisplayArrayInTable(SourceData_PastureBeef.SourceData_PastureBeef_LiveweightGainNTQLD_Data(),Table_SourceData_PastureBeef_LiveweightGainNTQLD[[#Headers],[State]],0)</f>
        <v>0.57999999999999996</v>
      </c>
      <c r="N198" s="37" cm="1">
        <f t="array" ref="N198">Common_InputFunctions.Utility_DisplayArrayInTable(SourceData_PastureBeef.SourceData_PastureBeef_LiveweightGainNTQLD_Data(),Table_SourceData_PastureBeef_LiveweightGainNTQLD[[#Headers],[State]],0)</f>
        <v>0.23</v>
      </c>
      <c r="O198" s="37" cm="1">
        <f t="array" ref="O198">Common_InputFunctions.Utility_DisplayArrayInTable(SourceData_PastureBeef.SourceData_PastureBeef_LiveweightGainNTQLD_Data(),Table_SourceData_PastureBeef_LiveweightGainNTQLD[[#Headers],[State]],0)</f>
        <v>0.4</v>
      </c>
      <c r="P198" s="37"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7" t="str" cm="1">
        <f t="array" ref="E199">Common_InputFunctions.Utility_DisplayArrayInTable(SourceData_PastureBeef.SourceData_PastureBeef_LiveweightGainNTQLD_Data(),Table_SourceData_PastureBeef_LiveweightGainNTQLD[[#Headers],[State]],0)</f>
        <v>Northern</v>
      </c>
      <c r="F199" s="37" t="str" cm="1">
        <f t="array" ref="F199">Common_InputFunctions.Utility_DisplayArrayInTable(SourceData_PastureBeef.SourceData_PastureBeef_LiveweightGainNTQLD_Data(),Table_SourceData_PastureBeef_LiveweightGainNTQLD[[#Headers],[State]],0)</f>
        <v>Winter</v>
      </c>
      <c r="G199" s="37" cm="1">
        <f t="array" ref="G199">Common_InputFunctions.Utility_DisplayArrayInTable(SourceData_PastureBeef.SourceData_PastureBeef_LiveweightGainNTQLD_Data(),Table_SourceData_PastureBeef_LiveweightGainNTQLD[[#Headers],[State]],0)</f>
        <v>0.27</v>
      </c>
      <c r="H199" s="37" cm="1">
        <f t="array" ref="H199">Common_InputFunctions.Utility_DisplayArrayInTable(SourceData_PastureBeef.SourceData_PastureBeef_LiveweightGainNTQLD_Data(),Table_SourceData_PastureBeef_LiveweightGainNTQLD[[#Headers],[State]],0)</f>
        <v>-0.27</v>
      </c>
      <c r="I199" s="37" cm="1">
        <f t="array" ref="I199">Common_InputFunctions.Utility_DisplayArrayInTable(SourceData_PastureBeef.SourceData_PastureBeef_LiveweightGainNTQLD_Data(),Table_SourceData_PastureBeef_LiveweightGainNTQLD[[#Headers],[State]],0)</f>
        <v>0.02</v>
      </c>
      <c r="J199" s="37" cm="1">
        <f t="array" ref="J199">Common_InputFunctions.Utility_DisplayArrayInTable(SourceData_PastureBeef.SourceData_PastureBeef_LiveweightGainNTQLD_Data(),Table_SourceData_PastureBeef_LiveweightGainNTQLD[[#Headers],[State]],0)</f>
        <v>0.09</v>
      </c>
      <c r="K199" s="37" cm="1">
        <f t="array" ref="K199">Common_InputFunctions.Utility_DisplayArrayInTable(SourceData_PastureBeef.SourceData_PastureBeef_LiveweightGainNTQLD_Data(),Table_SourceData_PastureBeef_LiveweightGainNTQLD[[#Headers],[State]],0)</f>
        <v>0.16</v>
      </c>
      <c r="L199" s="37" cm="1">
        <f t="array" ref="L199">Common_InputFunctions.Utility_DisplayArrayInTable(SourceData_PastureBeef.SourceData_PastureBeef_LiveweightGainNTQLD_Data(),Table_SourceData_PastureBeef_LiveweightGainNTQLD[[#Headers],[State]],0)</f>
        <v>-0.04</v>
      </c>
      <c r="M199" s="37" cm="1">
        <f t="array" ref="M199">Common_InputFunctions.Utility_DisplayArrayInTable(SourceData_PastureBeef.SourceData_PastureBeef_LiveweightGainNTQLD_Data(),Table_SourceData_PastureBeef_LiveweightGainNTQLD[[#Headers],[State]],0)</f>
        <v>0.21</v>
      </c>
      <c r="N199" s="37" cm="1">
        <f t="array" ref="N199">Common_InputFunctions.Utility_DisplayArrayInTable(SourceData_PastureBeef.SourceData_PastureBeef_LiveweightGainNTQLD_Data(),Table_SourceData_PastureBeef_LiveweightGainNTQLD[[#Headers],[State]],0)</f>
        <v>0.03</v>
      </c>
      <c r="O199" s="37" cm="1">
        <f t="array" ref="O199">Common_InputFunctions.Utility_DisplayArrayInTable(SourceData_PastureBeef.SourceData_PastureBeef_LiveweightGainNTQLD_Data(),Table_SourceData_PastureBeef_LiveweightGainNTQLD[[#Headers],[State]],0)</f>
        <v>0.11</v>
      </c>
      <c r="P199" s="37"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Queensland</v>
      </c>
      <c r="E200" s="37" t="str" cm="1">
        <f t="array" ref="E200">Common_InputFunctions.Utility_DisplayArrayInTable(SourceData_PastureBeef.SourceData_PastureBeef_LiveweightGainNTQLD_Data(),Table_SourceData_PastureBeef_LiveweightGainNTQLD[[#Headers],[State]],0)</f>
        <v>High</v>
      </c>
      <c r="F200" s="37" t="str" cm="1">
        <f t="array" ref="F200">Common_InputFunctions.Utility_DisplayArrayInTable(SourceData_PastureBeef.SourceData_PastureBeef_LiveweightGainNTQLD_Data(),Table_SourceData_PastureBeef_LiveweightGainNTQLD[[#Headers],[State]],0)</f>
        <v>Spring</v>
      </c>
      <c r="G200" s="37" cm="1">
        <f t="array" ref="G200">Common_InputFunctions.Utility_DisplayArrayInTable(SourceData_PastureBeef.SourceData_PastureBeef_LiveweightGainNTQLD_Data(),Table_SourceData_PastureBeef_LiveweightGainNTQLD[[#Headers],[State]],0)</f>
        <v>0.27</v>
      </c>
      <c r="H200" s="37" cm="1">
        <f t="array" ref="H200">Common_InputFunctions.Utility_DisplayArrayInTable(SourceData_PastureBeef.SourceData_PastureBeef_LiveweightGainNTQLD_Data(),Table_SourceData_PastureBeef_LiveweightGainNTQLD[[#Headers],[State]],0)</f>
        <v>-0.19</v>
      </c>
      <c r="I200" s="37" cm="1">
        <f t="array" ref="I200">Common_InputFunctions.Utility_DisplayArrayInTable(SourceData_PastureBeef.SourceData_PastureBeef_LiveweightGainNTQLD_Data(),Table_SourceData_PastureBeef_LiveweightGainNTQLD[[#Headers],[State]],0)</f>
        <v>0.38</v>
      </c>
      <c r="J200" s="37" cm="1">
        <f t="array" ref="J200">Common_InputFunctions.Utility_DisplayArrayInTable(SourceData_PastureBeef.SourceData_PastureBeef_LiveweightGainNTQLD_Data(),Table_SourceData_PastureBeef_LiveweightGainNTQLD[[#Headers],[State]],0)</f>
        <v>0.25</v>
      </c>
      <c r="K200" s="37" cm="1">
        <f t="array" ref="K200">Common_InputFunctions.Utility_DisplayArrayInTable(SourceData_PastureBeef.SourceData_PastureBeef_LiveweightGainNTQLD_Data(),Table_SourceData_PastureBeef_LiveweightGainNTQLD[[#Headers],[State]],0)</f>
        <v>7.0000000000000007E-2</v>
      </c>
      <c r="L200" s="37" cm="1">
        <f t="array" ref="L200">Common_InputFunctions.Utility_DisplayArrayInTable(SourceData_PastureBeef.SourceData_PastureBeef_LiveweightGainNTQLD_Data(),Table_SourceData_PastureBeef_LiveweightGainNTQLD[[#Headers],[State]],0)</f>
        <v>0.05</v>
      </c>
      <c r="M200" s="37" cm="1">
        <f t="array" ref="M200">Common_InputFunctions.Utility_DisplayArrayInTable(SourceData_PastureBeef.SourceData_PastureBeef_LiveweightGainNTQLD_Data(),Table_SourceData_PastureBeef_LiveweightGainNTQLD[[#Headers],[State]],0)</f>
        <v>0.52</v>
      </c>
      <c r="N200" s="37" cm="1">
        <f t="array" ref="N200">Common_InputFunctions.Utility_DisplayArrayInTable(SourceData_PastureBeef.SourceData_PastureBeef_LiveweightGainNTQLD_Data(),Table_SourceData_PastureBeef_LiveweightGainNTQLD[[#Headers],[State]],0)</f>
        <v>0.55000000000000004</v>
      </c>
      <c r="O200" s="37" cm="1">
        <f t="array" ref="O200">Common_InputFunctions.Utility_DisplayArrayInTable(SourceData_PastureBeef.SourceData_PastureBeef_LiveweightGainNTQLD_Data(),Table_SourceData_PastureBeef_LiveweightGainNTQLD[[#Headers],[State]],0)</f>
        <v>0.19</v>
      </c>
      <c r="P200" s="37" cm="1">
        <f t="array" ref="P200">Common_InputFunctions.Utility_DisplayArrayInTable(SourceData_PastureBeef.SourceData_PastureBeef_LiveweightGainNTQLD_Data(),Table_SourceData_PastureBeef_LiveweightGainNTQLD[[#Headers],[State]],0)</f>
        <v>0.6</v>
      </c>
    </row>
    <row r="201" spans="4:16" x14ac:dyDescent="0.25">
      <c r="D201" s="1" t="str" cm="1">
        <f t="array" ref="D201">Common_InputFunctions.Utility_DisplayArrayInTable(SourceData_PastureBeef.SourceData_PastureBeef_LiveweightGainNTQLD_Data(),Table_SourceData_PastureBeef_LiveweightGainNTQLD[[#Headers],[State]],0)</f>
        <v>Queensland</v>
      </c>
      <c r="E201" s="37" t="str" cm="1">
        <f t="array" ref="E201">Common_InputFunctions.Utility_DisplayArrayInTable(SourceData_PastureBeef.SourceData_PastureBeef_LiveweightGainNTQLD_Data(),Table_SourceData_PastureBeef_LiveweightGainNTQLD[[#Headers],[State]],0)</f>
        <v>High</v>
      </c>
      <c r="F201" s="37" t="str" cm="1">
        <f t="array" ref="F201">Common_InputFunctions.Utility_DisplayArrayInTable(SourceData_PastureBeef.SourceData_PastureBeef_LiveweightGainNTQLD_Data(),Table_SourceData_PastureBeef_LiveweightGainNTQLD[[#Headers],[State]],0)</f>
        <v>Summer</v>
      </c>
      <c r="G201" s="37" cm="1">
        <f t="array" ref="G201">Common_InputFunctions.Utility_DisplayArrayInTable(SourceData_PastureBeef.SourceData_PastureBeef_LiveweightGainNTQLD_Data(),Table_SourceData_PastureBeef_LiveweightGainNTQLD[[#Headers],[State]],0)</f>
        <v>0.16</v>
      </c>
      <c r="H201" s="37" cm="1">
        <f t="array" ref="H201">Common_InputFunctions.Utility_DisplayArrayInTable(SourceData_PastureBeef.SourceData_PastureBeef_LiveweightGainNTQLD_Data(),Table_SourceData_PastureBeef_LiveweightGainNTQLD[[#Headers],[State]],0)</f>
        <v>0.16</v>
      </c>
      <c r="I201" s="37" cm="1">
        <f t="array" ref="I201">Common_InputFunctions.Utility_DisplayArrayInTable(SourceData_PastureBeef.SourceData_PastureBeef_LiveweightGainNTQLD_Data(),Table_SourceData_PastureBeef_LiveweightGainNTQLD[[#Headers],[State]],0)</f>
        <v>0.8</v>
      </c>
      <c r="J201" s="37" cm="1">
        <f t="array" ref="J201">Common_InputFunctions.Utility_DisplayArrayInTable(SourceData_PastureBeef.SourceData_PastureBeef_LiveweightGainNTQLD_Data(),Table_SourceData_PastureBeef_LiveweightGainNTQLD[[#Headers],[State]],0)</f>
        <v>0.56999999999999995</v>
      </c>
      <c r="K201" s="37" cm="1">
        <f t="array" ref="K201">Common_InputFunctions.Utility_DisplayArrayInTable(SourceData_PastureBeef.SourceData_PastureBeef_LiveweightGainNTQLD_Data(),Table_SourceData_PastureBeef_LiveweightGainNTQLD[[#Headers],[State]],0)</f>
        <v>0.76</v>
      </c>
      <c r="L201" s="37" cm="1">
        <f t="array" ref="L201">Common_InputFunctions.Utility_DisplayArrayInTable(SourceData_PastureBeef.SourceData_PastureBeef_LiveweightGainNTQLD_Data(),Table_SourceData_PastureBeef_LiveweightGainNTQLD[[#Headers],[State]],0)</f>
        <v>0.49</v>
      </c>
      <c r="M201" s="37" cm="1">
        <f t="array" ref="M201">Common_InputFunctions.Utility_DisplayArrayInTable(SourceData_PastureBeef.SourceData_PastureBeef_LiveweightGainNTQLD_Data(),Table_SourceData_PastureBeef_LiveweightGainNTQLD[[#Headers],[State]],0)</f>
        <v>0.84</v>
      </c>
      <c r="N201" s="37" cm="1">
        <f t="array" ref="N201">Common_InputFunctions.Utility_DisplayArrayInTable(SourceData_PastureBeef.SourceData_PastureBeef_LiveweightGainNTQLD_Data(),Table_SourceData_PastureBeef_LiveweightGainNTQLD[[#Headers],[State]],0)</f>
        <v>0.51</v>
      </c>
      <c r="O201" s="37" cm="1">
        <f t="array" ref="O201">Common_InputFunctions.Utility_DisplayArrayInTable(SourceData_PastureBeef.SourceData_PastureBeef_LiveweightGainNTQLD_Data(),Table_SourceData_PastureBeef_LiveweightGainNTQLD[[#Headers],[State]],0)</f>
        <v>0.36</v>
      </c>
      <c r="P201" s="37" cm="1">
        <f t="array" ref="P201">Common_InputFunctions.Utility_DisplayArrayInTable(SourceData_PastureBeef.SourceData_PastureBeef_LiveweightGainNTQLD_Data(),Table_SourceData_PastureBeef_LiveweightGainNTQLD[[#Headers],[State]],0)</f>
        <v>0.17</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7" t="str" cm="1">
        <f t="array" ref="E202">Common_InputFunctions.Utility_DisplayArrayInTable(SourceData_PastureBeef.SourceData_PastureBeef_LiveweightGainNTQLD_Data(),Table_SourceData_PastureBeef_LiveweightGainNTQLD[[#Headers],[State]],0)</f>
        <v>High</v>
      </c>
      <c r="F202" s="37" t="str" cm="1">
        <f t="array" ref="F202">Common_InputFunctions.Utility_DisplayArrayInTable(SourceData_PastureBeef.SourceData_PastureBeef_LiveweightGainNTQLD_Data(),Table_SourceData_PastureBeef_LiveweightGainNTQLD[[#Headers],[State]],0)</f>
        <v>Autumn</v>
      </c>
      <c r="G202" s="37" cm="1">
        <f t="array" ref="G202">Common_InputFunctions.Utility_DisplayArrayInTable(SourceData_PastureBeef.SourceData_PastureBeef_LiveweightGainNTQLD_Data(),Table_SourceData_PastureBeef_LiveweightGainNTQLD[[#Headers],[State]],0)</f>
        <v>0.45</v>
      </c>
      <c r="H202" s="37" cm="1">
        <f t="array" ref="H202">Common_InputFunctions.Utility_DisplayArrayInTable(SourceData_PastureBeef.SourceData_PastureBeef_LiveweightGainNTQLD_Data(),Table_SourceData_PastureBeef_LiveweightGainNTQLD[[#Headers],[State]],0)</f>
        <v>0.1</v>
      </c>
      <c r="I202" s="37" cm="1">
        <f t="array" ref="I202">Common_InputFunctions.Utility_DisplayArrayInTable(SourceData_PastureBeef.SourceData_PastureBeef_LiveweightGainNTQLD_Data(),Table_SourceData_PastureBeef_LiveweightGainNTQLD[[#Headers],[State]],0)</f>
        <v>0.49</v>
      </c>
      <c r="J202" s="37" cm="1">
        <f t="array" ref="J202">Common_InputFunctions.Utility_DisplayArrayInTable(SourceData_PastureBeef.SourceData_PastureBeef_LiveweightGainNTQLD_Data(),Table_SourceData_PastureBeef_LiveweightGainNTQLD[[#Headers],[State]],0)</f>
        <v>0.41</v>
      </c>
      <c r="K202" s="37" cm="1">
        <f t="array" ref="K202">Common_InputFunctions.Utility_DisplayArrayInTable(SourceData_PastureBeef.SourceData_PastureBeef_LiveweightGainNTQLD_Data(),Table_SourceData_PastureBeef_LiveweightGainNTQLD[[#Headers],[State]],0)</f>
        <v>0.4</v>
      </c>
      <c r="L202" s="37" cm="1">
        <f t="array" ref="L202">Common_InputFunctions.Utility_DisplayArrayInTable(SourceData_PastureBeef.SourceData_PastureBeef_LiveweightGainNTQLD_Data(),Table_SourceData_PastureBeef_LiveweightGainNTQLD[[#Headers],[State]],0)</f>
        <v>0.17</v>
      </c>
      <c r="M202" s="37" cm="1">
        <f t="array" ref="M202">Common_InputFunctions.Utility_DisplayArrayInTable(SourceData_PastureBeef.SourceData_PastureBeef_LiveweightGainNTQLD_Data(),Table_SourceData_PastureBeef_LiveweightGainNTQLD[[#Headers],[State]],0)</f>
        <v>0.54</v>
      </c>
      <c r="N202" s="37" cm="1">
        <f t="array" ref="N202">Common_InputFunctions.Utility_DisplayArrayInTable(SourceData_PastureBeef.SourceData_PastureBeef_LiveweightGainNTQLD_Data(),Table_SourceData_PastureBeef_LiveweightGainNTQLD[[#Headers],[State]],0)</f>
        <v>0.64</v>
      </c>
      <c r="O202" s="37" cm="1">
        <f t="array" ref="O202">Common_InputFunctions.Utility_DisplayArrayInTable(SourceData_PastureBeef.SourceData_PastureBeef_LiveweightGainNTQLD_Data(),Table_SourceData_PastureBeef_LiveweightGainNTQLD[[#Headers],[State]],0)</f>
        <v>-0.05</v>
      </c>
      <c r="P202" s="37" cm="1">
        <f t="array" ref="P202">Common_InputFunctions.Utility_DisplayArrayInTable(SourceData_PastureBeef.SourceData_PastureBeef_LiveweightGainNTQLD_Data(),Table_SourceData_PastureBeef_LiveweightGainNTQLD[[#Headers],[State]],0)</f>
        <v>0.32</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7" t="str" cm="1">
        <f t="array" ref="E203">Common_InputFunctions.Utility_DisplayArrayInTable(SourceData_PastureBeef.SourceData_PastureBeef_LiveweightGainNTQLD_Data(),Table_SourceData_PastureBeef_LiveweightGainNTQLD[[#Headers],[State]],0)</f>
        <v>High</v>
      </c>
      <c r="F203" s="37" t="str" cm="1">
        <f t="array" ref="F203">Common_InputFunctions.Utility_DisplayArrayInTable(SourceData_PastureBeef.SourceData_PastureBeef_LiveweightGainNTQLD_Data(),Table_SourceData_PastureBeef_LiveweightGainNTQLD[[#Headers],[State]],0)</f>
        <v>Winter</v>
      </c>
      <c r="G203" s="37" cm="1">
        <f t="array" ref="G203">Common_InputFunctions.Utility_DisplayArrayInTable(SourceData_PastureBeef.SourceData_PastureBeef_LiveweightGainNTQLD_Data(),Table_SourceData_PastureBeef_LiveweightGainNTQLD[[#Headers],[State]],0)</f>
        <v>0.51</v>
      </c>
      <c r="H203" s="37" cm="1">
        <f t="array" ref="H203">Common_InputFunctions.Utility_DisplayArrayInTable(SourceData_PastureBeef.SourceData_PastureBeef_LiveweightGainNTQLD_Data(),Table_SourceData_PastureBeef_LiveweightGainNTQLD[[#Headers],[State]],0)</f>
        <v>-7.0000000000000007E-2</v>
      </c>
      <c r="I203" s="37" cm="1">
        <f t="array" ref="I203">Common_InputFunctions.Utility_DisplayArrayInTable(SourceData_PastureBeef.SourceData_PastureBeef_LiveweightGainNTQLD_Data(),Table_SourceData_PastureBeef_LiveweightGainNTQLD[[#Headers],[State]],0)</f>
        <v>0.13</v>
      </c>
      <c r="J203" s="37" cm="1">
        <f t="array" ref="J203">Common_InputFunctions.Utility_DisplayArrayInTable(SourceData_PastureBeef.SourceData_PastureBeef_LiveweightGainNTQLD_Data(),Table_SourceData_PastureBeef_LiveweightGainNTQLD[[#Headers],[State]],0)</f>
        <v>-0.09</v>
      </c>
      <c r="K203" s="37" cm="1">
        <f t="array" ref="K203">Common_InputFunctions.Utility_DisplayArrayInTable(SourceData_PastureBeef.SourceData_PastureBeef_LiveweightGainNTQLD_Data(),Table_SourceData_PastureBeef_LiveweightGainNTQLD[[#Headers],[State]],0)</f>
        <v>-0.13</v>
      </c>
      <c r="L203" s="37" cm="1">
        <f t="array" ref="L203">Common_InputFunctions.Utility_DisplayArrayInTable(SourceData_PastureBeef.SourceData_PastureBeef_LiveweightGainNTQLD_Data(),Table_SourceData_PastureBeef_LiveweightGainNTQLD[[#Headers],[State]],0)</f>
        <v>7.0000000000000007E-2</v>
      </c>
      <c r="M203" s="37" cm="1">
        <f t="array" ref="M203">Common_InputFunctions.Utility_DisplayArrayInTable(SourceData_PastureBeef.SourceData_PastureBeef_LiveweightGainNTQLD_Data(),Table_SourceData_PastureBeef_LiveweightGainNTQLD[[#Headers],[State]],0)</f>
        <v>0.25</v>
      </c>
      <c r="N203" s="37" cm="1">
        <f t="array" ref="N203">Common_InputFunctions.Utility_DisplayArrayInTable(SourceData_PastureBeef.SourceData_PastureBeef_LiveweightGainNTQLD_Data(),Table_SourceData_PastureBeef_LiveweightGainNTQLD[[#Headers],[State]],0)</f>
        <v>0.71</v>
      </c>
      <c r="O203" s="37" cm="1">
        <f t="array" ref="O203">Common_InputFunctions.Utility_DisplayArrayInTable(SourceData_PastureBeef.SourceData_PastureBeef_LiveweightGainNTQLD_Data(),Table_SourceData_PastureBeef_LiveweightGainNTQLD[[#Headers],[State]],0)</f>
        <v>0.17</v>
      </c>
      <c r="P203" s="37" cm="1">
        <f t="array" ref="P203">Common_InputFunctions.Utility_DisplayArrayInTable(SourceData_PastureBeef.SourceData_PastureBeef_LiveweightGainNTQLD_Data(),Table_SourceData_PastureBeef_LiveweightGainNTQLD[[#Headers],[State]],0)</f>
        <v>0.43</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7" t="str" cm="1">
        <f t="array" ref="E204">Common_InputFunctions.Utility_DisplayArrayInTable(SourceData_PastureBeef.SourceData_PastureBeef_LiveweightGainNTQLD_Data(),Table_SourceData_PastureBeef_LiveweightGainNTQLD[[#Headers],[State]],0)</f>
        <v>Moderate/High</v>
      </c>
      <c r="F204" s="37" t="str" cm="1">
        <f t="array" ref="F204">Common_InputFunctions.Utility_DisplayArrayInTable(SourceData_PastureBeef.SourceData_PastureBeef_LiveweightGainNTQLD_Data(),Table_SourceData_PastureBeef_LiveweightGainNTQLD[[#Headers],[State]],0)</f>
        <v>Spring</v>
      </c>
      <c r="G204" s="37" cm="1">
        <f t="array" ref="G204">Common_InputFunctions.Utility_DisplayArrayInTable(SourceData_PastureBeef.SourceData_PastureBeef_LiveweightGainNTQLD_Data(),Table_SourceData_PastureBeef_LiveweightGainNTQLD[[#Headers],[State]],0)</f>
        <v>-0.12</v>
      </c>
      <c r="H204" s="37" cm="1">
        <f t="array" ref="H204">Common_InputFunctions.Utility_DisplayArrayInTable(SourceData_PastureBeef.SourceData_PastureBeef_LiveweightGainNTQLD_Data(),Table_SourceData_PastureBeef_LiveweightGainNTQLD[[#Headers],[State]],0)</f>
        <v>-0.19</v>
      </c>
      <c r="I204" s="37" cm="1">
        <f t="array" ref="I204">Common_InputFunctions.Utility_DisplayArrayInTable(SourceData_PastureBeef.SourceData_PastureBeef_LiveweightGainNTQLD_Data(),Table_SourceData_PastureBeef_LiveweightGainNTQLD[[#Headers],[State]],0)</f>
        <v>0.41</v>
      </c>
      <c r="J204" s="37" cm="1">
        <f t="array" ref="J204">Common_InputFunctions.Utility_DisplayArrayInTable(SourceData_PastureBeef.SourceData_PastureBeef_LiveweightGainNTQLD_Data(),Table_SourceData_PastureBeef_LiveweightGainNTQLD[[#Headers],[State]],0)</f>
        <v>0.09</v>
      </c>
      <c r="K204" s="37" cm="1">
        <f t="array" ref="K204">Common_InputFunctions.Utility_DisplayArrayInTable(SourceData_PastureBeef.SourceData_PastureBeef_LiveweightGainNTQLD_Data(),Table_SourceData_PastureBeef_LiveweightGainNTQLD[[#Headers],[State]],0)</f>
        <v>0.41</v>
      </c>
      <c r="L204" s="37" cm="1">
        <f t="array" ref="L204">Common_InputFunctions.Utility_DisplayArrayInTable(SourceData_PastureBeef.SourceData_PastureBeef_LiveweightGainNTQLD_Data(),Table_SourceData_PastureBeef_LiveweightGainNTQLD[[#Headers],[State]],0)</f>
        <v>-0.19</v>
      </c>
      <c r="M204" s="37" cm="1">
        <f t="array" ref="M204">Common_InputFunctions.Utility_DisplayArrayInTable(SourceData_PastureBeef.SourceData_PastureBeef_LiveweightGainNTQLD_Data(),Table_SourceData_PastureBeef_LiveweightGainNTQLD[[#Headers],[State]],0)</f>
        <v>7.0000000000000007E-2</v>
      </c>
      <c r="N204" s="37" cm="1">
        <f t="array" ref="N204">Common_InputFunctions.Utility_DisplayArrayInTable(SourceData_PastureBeef.SourceData_PastureBeef_LiveweightGainNTQLD_Data(),Table_SourceData_PastureBeef_LiveweightGainNTQLD[[#Headers],[State]],0)</f>
        <v>1.07</v>
      </c>
      <c r="O204" s="37" cm="1">
        <f t="array" ref="O204">Common_InputFunctions.Utility_DisplayArrayInTable(SourceData_PastureBeef.SourceData_PastureBeef_LiveweightGainNTQLD_Data(),Table_SourceData_PastureBeef_LiveweightGainNTQLD[[#Headers],[State]],0)</f>
        <v>-0.08</v>
      </c>
      <c r="P204" s="37" cm="1">
        <f t="array" ref="P204">Common_InputFunctions.Utility_DisplayArrayInTable(SourceData_PastureBeef.SourceData_PastureBeef_LiveweightGainNTQLD_Data(),Table_SourceData_PastureBeef_LiveweightGainNTQLD[[#Headers],[State]],0)</f>
        <v>0</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7" t="str" cm="1">
        <f t="array" ref="E205">Common_InputFunctions.Utility_DisplayArrayInTable(SourceData_PastureBeef.SourceData_PastureBeef_LiveweightGainNTQLD_Data(),Table_SourceData_PastureBeef_LiveweightGainNTQLD[[#Headers],[State]],0)</f>
        <v>Moderate/High</v>
      </c>
      <c r="F205" s="37" t="str" cm="1">
        <f t="array" ref="F205">Common_InputFunctions.Utility_DisplayArrayInTable(SourceData_PastureBeef.SourceData_PastureBeef_LiveweightGainNTQLD_Data(),Table_SourceData_PastureBeef_LiveweightGainNTQLD[[#Headers],[State]],0)</f>
        <v>Summer</v>
      </c>
      <c r="G205" s="37" cm="1">
        <f t="array" ref="G205">Common_InputFunctions.Utility_DisplayArrayInTable(SourceData_PastureBeef.SourceData_PastureBeef_LiveweightGainNTQLD_Data(),Table_SourceData_PastureBeef_LiveweightGainNTQLD[[#Headers],[State]],0)</f>
        <v>0.65</v>
      </c>
      <c r="H205" s="37" cm="1">
        <f t="array" ref="H205">Common_InputFunctions.Utility_DisplayArrayInTable(SourceData_PastureBeef.SourceData_PastureBeef_LiveweightGainNTQLD_Data(),Table_SourceData_PastureBeef_LiveweightGainNTQLD[[#Headers],[State]],0)</f>
        <v>0.19</v>
      </c>
      <c r="I205" s="37" cm="1">
        <f t="array" ref="I205">Common_InputFunctions.Utility_DisplayArrayInTable(SourceData_PastureBeef.SourceData_PastureBeef_LiveweightGainNTQLD_Data(),Table_SourceData_PastureBeef_LiveweightGainNTQLD[[#Headers],[State]],0)</f>
        <v>0.65</v>
      </c>
      <c r="J205" s="37" cm="1">
        <f t="array" ref="J205">Common_InputFunctions.Utility_DisplayArrayInTable(SourceData_PastureBeef.SourceData_PastureBeef_LiveweightGainNTQLD_Data(),Table_SourceData_PastureBeef_LiveweightGainNTQLD[[#Headers],[State]],0)</f>
        <v>0.51</v>
      </c>
      <c r="K205" s="37" cm="1">
        <f t="array" ref="K205">Common_InputFunctions.Utility_DisplayArrayInTable(SourceData_PastureBeef.SourceData_PastureBeef_LiveweightGainNTQLD_Data(),Table_SourceData_PastureBeef_LiveweightGainNTQLD[[#Headers],[State]],0)</f>
        <v>0.18</v>
      </c>
      <c r="L205" s="37" cm="1">
        <f t="array" ref="L205">Common_InputFunctions.Utility_DisplayArrayInTable(SourceData_PastureBeef.SourceData_PastureBeef_LiveweightGainNTQLD_Data(),Table_SourceData_PastureBeef_LiveweightGainNTQLD[[#Headers],[State]],0)</f>
        <v>0.63</v>
      </c>
      <c r="M205" s="37" cm="1">
        <f t="array" ref="M205">Common_InputFunctions.Utility_DisplayArrayInTable(SourceData_PastureBeef.SourceData_PastureBeef_LiveweightGainNTQLD_Data(),Table_SourceData_PastureBeef_LiveweightGainNTQLD[[#Headers],[State]],0)</f>
        <v>1.3</v>
      </c>
      <c r="N205" s="37" cm="1">
        <f t="array" ref="N205">Common_InputFunctions.Utility_DisplayArrayInTable(SourceData_PastureBeef.SourceData_PastureBeef_LiveweightGainNTQLD_Data(),Table_SourceData_PastureBeef_LiveweightGainNTQLD[[#Headers],[State]],0)</f>
        <v>0.48</v>
      </c>
      <c r="O205" s="37" cm="1">
        <f t="array" ref="O205">Common_InputFunctions.Utility_DisplayArrayInTable(SourceData_PastureBeef.SourceData_PastureBeef_LiveweightGainNTQLD_Data(),Table_SourceData_PastureBeef_LiveweightGainNTQLD[[#Headers],[State]],0)</f>
        <v>1.1200000000000001</v>
      </c>
      <c r="P205" s="37" cm="1">
        <f t="array" ref="P205">Common_InputFunctions.Utility_DisplayArrayInTable(SourceData_PastureBeef.SourceData_PastureBeef_LiveweightGainNTQLD_Data(),Table_SourceData_PastureBeef_LiveweightGainNTQLD[[#Headers],[State]],0)</f>
        <v>0.38</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7" t="str" cm="1">
        <f t="array" ref="E206">Common_InputFunctions.Utility_DisplayArrayInTable(SourceData_PastureBeef.SourceData_PastureBeef_LiveweightGainNTQLD_Data(),Table_SourceData_PastureBeef_LiveweightGainNTQLD[[#Headers],[State]],0)</f>
        <v>Moderate/High</v>
      </c>
      <c r="F206" s="37" t="str" cm="1">
        <f t="array" ref="F206">Common_InputFunctions.Utility_DisplayArrayInTable(SourceData_PastureBeef.SourceData_PastureBeef_LiveweightGainNTQLD_Data(),Table_SourceData_PastureBeef_LiveweightGainNTQLD[[#Headers],[State]],0)</f>
        <v>Autumn</v>
      </c>
      <c r="G206" s="37" cm="1">
        <f t="array" ref="G206">Common_InputFunctions.Utility_DisplayArrayInTable(SourceData_PastureBeef.SourceData_PastureBeef_LiveweightGainNTQLD_Data(),Table_SourceData_PastureBeef_LiveweightGainNTQLD[[#Headers],[State]],0)</f>
        <v>0.7</v>
      </c>
      <c r="H206" s="37" cm="1">
        <f t="array" ref="H206">Common_InputFunctions.Utility_DisplayArrayInTable(SourceData_PastureBeef.SourceData_PastureBeef_LiveweightGainNTQLD_Data(),Table_SourceData_PastureBeef_LiveweightGainNTQLD[[#Headers],[State]],0)</f>
        <v>0.13</v>
      </c>
      <c r="I206" s="37" cm="1">
        <f t="array" ref="I206">Common_InputFunctions.Utility_DisplayArrayInTable(SourceData_PastureBeef.SourceData_PastureBeef_LiveweightGainNTQLD_Data(),Table_SourceData_PastureBeef_LiveweightGainNTQLD[[#Headers],[State]],0)</f>
        <v>0.52</v>
      </c>
      <c r="J206" s="37" cm="1">
        <f t="array" ref="J206">Common_InputFunctions.Utility_DisplayArrayInTable(SourceData_PastureBeef.SourceData_PastureBeef_LiveweightGainNTQLD_Data(),Table_SourceData_PastureBeef_LiveweightGainNTQLD[[#Headers],[State]],0)</f>
        <v>0.34</v>
      </c>
      <c r="K206" s="37" cm="1">
        <f t="array" ref="K206">Common_InputFunctions.Utility_DisplayArrayInTable(SourceData_PastureBeef.SourceData_PastureBeef_LiveweightGainNTQLD_Data(),Table_SourceData_PastureBeef_LiveweightGainNTQLD[[#Headers],[State]],0)</f>
        <v>0.02</v>
      </c>
      <c r="L206" s="37" cm="1">
        <f t="array" ref="L206">Common_InputFunctions.Utility_DisplayArrayInTable(SourceData_PastureBeef.SourceData_PastureBeef_LiveweightGainNTQLD_Data(),Table_SourceData_PastureBeef_LiveweightGainNTQLD[[#Headers],[State]],0)</f>
        <v>0.04</v>
      </c>
      <c r="M206" s="37" cm="1">
        <f t="array" ref="M206">Common_InputFunctions.Utility_DisplayArrayInTable(SourceData_PastureBeef.SourceData_PastureBeef_LiveweightGainNTQLD_Data(),Table_SourceData_PastureBeef_LiveweightGainNTQLD[[#Headers],[State]],0)</f>
        <v>0.77</v>
      </c>
      <c r="N206" s="37" cm="1">
        <f t="array" ref="N206">Common_InputFunctions.Utility_DisplayArrayInTable(SourceData_PastureBeef.SourceData_PastureBeef_LiveweightGainNTQLD_Data(),Table_SourceData_PastureBeef_LiveweightGainNTQLD[[#Headers],[State]],0)</f>
        <v>0.42</v>
      </c>
      <c r="O206" s="37" cm="1">
        <f t="array" ref="O206">Common_InputFunctions.Utility_DisplayArrayInTable(SourceData_PastureBeef.SourceData_PastureBeef_LiveweightGainNTQLD_Data(),Table_SourceData_PastureBeef_LiveweightGainNTQLD[[#Headers],[State]],0)</f>
        <v>0.12</v>
      </c>
      <c r="P206" s="37" cm="1">
        <f t="array" ref="P206">Common_InputFunctions.Utility_DisplayArrayInTable(SourceData_PastureBeef.SourceData_PastureBeef_LiveweightGainNTQLD_Data(),Table_SourceData_PastureBeef_LiveweightGainNTQLD[[#Headers],[State]],0)</f>
        <v>0.74</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7" t="str" cm="1">
        <f t="array" ref="E207">Common_InputFunctions.Utility_DisplayArrayInTable(SourceData_PastureBeef.SourceData_PastureBeef_LiveweightGainNTQLD_Data(),Table_SourceData_PastureBeef_LiveweightGainNTQLD[[#Headers],[State]],0)</f>
        <v>Moderate/High</v>
      </c>
      <c r="F207" s="37" t="str" cm="1">
        <f t="array" ref="F207">Common_InputFunctions.Utility_DisplayArrayInTable(SourceData_PastureBeef.SourceData_PastureBeef_LiveweightGainNTQLD_Data(),Table_SourceData_PastureBeef_LiveweightGainNTQLD[[#Headers],[State]],0)</f>
        <v>Winter</v>
      </c>
      <c r="G207" s="37" cm="1">
        <f t="array" ref="G207">Common_InputFunctions.Utility_DisplayArrayInTable(SourceData_PastureBeef.SourceData_PastureBeef_LiveweightGainNTQLD_Data(),Table_SourceData_PastureBeef_LiveweightGainNTQLD[[#Headers],[State]],0)</f>
        <v>0.32</v>
      </c>
      <c r="H207" s="37" cm="1">
        <f t="array" ref="H207">Common_InputFunctions.Utility_DisplayArrayInTable(SourceData_PastureBeef.SourceData_PastureBeef_LiveweightGainNTQLD_Data(),Table_SourceData_PastureBeef_LiveweightGainNTQLD[[#Headers],[State]],0)</f>
        <v>-0.06</v>
      </c>
      <c r="I207" s="37" cm="1">
        <f t="array" ref="I207">Common_InputFunctions.Utility_DisplayArrayInTable(SourceData_PastureBeef.SourceData_PastureBeef_LiveweightGainNTQLD_Data(),Table_SourceData_PastureBeef_LiveweightGainNTQLD[[#Headers],[State]],0)</f>
        <v>0.25</v>
      </c>
      <c r="J207" s="37" cm="1">
        <f t="array" ref="J207">Common_InputFunctions.Utility_DisplayArrayInTable(SourceData_PastureBeef.SourceData_PastureBeef_LiveweightGainNTQLD_Data(),Table_SourceData_PastureBeef_LiveweightGainNTQLD[[#Headers],[State]],0)</f>
        <v>0.19</v>
      </c>
      <c r="K207" s="37" cm="1">
        <f t="array" ref="K207">Common_InputFunctions.Utility_DisplayArrayInTable(SourceData_PastureBeef.SourceData_PastureBeef_LiveweightGainNTQLD_Data(),Table_SourceData_PastureBeef_LiveweightGainNTQLD[[#Headers],[State]],0)</f>
        <v>-0.1</v>
      </c>
      <c r="L207" s="37" cm="1">
        <f t="array" ref="L207">Common_InputFunctions.Utility_DisplayArrayInTable(SourceData_PastureBeef.SourceData_PastureBeef_LiveweightGainNTQLD_Data(),Table_SourceData_PastureBeef_LiveweightGainNTQLD[[#Headers],[State]],0)</f>
        <v>-0.02</v>
      </c>
      <c r="M207" s="37" cm="1">
        <f t="array" ref="M207">Common_InputFunctions.Utility_DisplayArrayInTable(SourceData_PastureBeef.SourceData_PastureBeef_LiveweightGainNTQLD_Data(),Table_SourceData_PastureBeef_LiveweightGainNTQLD[[#Headers],[State]],0)</f>
        <v>0.02</v>
      </c>
      <c r="N207" s="37" cm="1">
        <f t="array" ref="N207">Common_InputFunctions.Utility_DisplayArrayInTable(SourceData_PastureBeef.SourceData_PastureBeef_LiveweightGainNTQLD_Data(),Table_SourceData_PastureBeef_LiveweightGainNTQLD[[#Headers],[State]],0)</f>
        <v>0.23</v>
      </c>
      <c r="O207" s="37" cm="1">
        <f t="array" ref="O207">Common_InputFunctions.Utility_DisplayArrayInTable(SourceData_PastureBeef.SourceData_PastureBeef_LiveweightGainNTQLD_Data(),Table_SourceData_PastureBeef_LiveweightGainNTQLD[[#Headers],[State]],0)</f>
        <v>-0.13</v>
      </c>
      <c r="P207" s="37" cm="1">
        <f t="array" ref="P207">Common_InputFunctions.Utility_DisplayArrayInTable(SourceData_PastureBeef.SourceData_PastureBeef_LiveweightGainNTQLD_Data(),Table_SourceData_PastureBeef_LiveweightGainNTQLD[[#Headers],[State]],0)</f>
        <v>0</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7" t="str" cm="1">
        <f t="array" ref="E208">Common_InputFunctions.Utility_DisplayArrayInTable(SourceData_PastureBeef.SourceData_PastureBeef_LiveweightGainNTQLD_Data(),Table_SourceData_PastureBeef_LiveweightGainNTQLD[[#Headers],[State]],0)</f>
        <v>Moderate/Low</v>
      </c>
      <c r="F208" s="37" t="str" cm="1">
        <f t="array" ref="F208">Common_InputFunctions.Utility_DisplayArrayInTable(SourceData_PastureBeef.SourceData_PastureBeef_LiveweightGainNTQLD_Data(),Table_SourceData_PastureBeef_LiveweightGainNTQLD[[#Headers],[State]],0)</f>
        <v>Spring</v>
      </c>
      <c r="G208" s="37" cm="1">
        <f t="array" ref="G208">Common_InputFunctions.Utility_DisplayArrayInTable(SourceData_PastureBeef.SourceData_PastureBeef_LiveweightGainNTQLD_Data(),Table_SourceData_PastureBeef_LiveweightGainNTQLD[[#Headers],[State]],0)</f>
        <v>0.62</v>
      </c>
      <c r="H208" s="37" cm="1">
        <f t="array" ref="H208">Common_InputFunctions.Utility_DisplayArrayInTable(SourceData_PastureBeef.SourceData_PastureBeef_LiveweightGainNTQLD_Data(),Table_SourceData_PastureBeef_LiveweightGainNTQLD[[#Headers],[State]],0)</f>
        <v>-0.19</v>
      </c>
      <c r="I208" s="37" cm="1">
        <f t="array" ref="I208">Common_InputFunctions.Utility_DisplayArrayInTable(SourceData_PastureBeef.SourceData_PastureBeef_LiveweightGainNTQLD_Data(),Table_SourceData_PastureBeef_LiveweightGainNTQLD[[#Headers],[State]],0)</f>
        <v>0.37</v>
      </c>
      <c r="J208" s="37" cm="1">
        <f t="array" ref="J208">Common_InputFunctions.Utility_DisplayArrayInTable(SourceData_PastureBeef.SourceData_PastureBeef_LiveweightGainNTQLD_Data(),Table_SourceData_PastureBeef_LiveweightGainNTQLD[[#Headers],[State]],0)</f>
        <v>0.41</v>
      </c>
      <c r="K208" s="37" cm="1">
        <f t="array" ref="K208">Common_InputFunctions.Utility_DisplayArrayInTable(SourceData_PastureBeef.SourceData_PastureBeef_LiveweightGainNTQLD_Data(),Table_SourceData_PastureBeef_LiveweightGainNTQLD[[#Headers],[State]],0)</f>
        <v>0.06</v>
      </c>
      <c r="L208" s="37" cm="1">
        <f t="array" ref="L208">Common_InputFunctions.Utility_DisplayArrayInTable(SourceData_PastureBeef.SourceData_PastureBeef_LiveweightGainNTQLD_Data(),Table_SourceData_PastureBeef_LiveweightGainNTQLD[[#Headers],[State]],0)</f>
        <v>-0.02</v>
      </c>
      <c r="M208" s="37" cm="1">
        <f t="array" ref="M208">Common_InputFunctions.Utility_DisplayArrayInTable(SourceData_PastureBeef.SourceData_PastureBeef_LiveweightGainNTQLD_Data(),Table_SourceData_PastureBeef_LiveweightGainNTQLD[[#Headers],[State]],0)</f>
        <v>0.47</v>
      </c>
      <c r="N208" s="37" cm="1">
        <f t="array" ref="N208">Common_InputFunctions.Utility_DisplayArrayInTable(SourceData_PastureBeef.SourceData_PastureBeef_LiveweightGainNTQLD_Data(),Table_SourceData_PastureBeef_LiveweightGainNTQLD[[#Headers],[State]],0)</f>
        <v>0.44</v>
      </c>
      <c r="O208" s="37" cm="1">
        <f t="array" ref="O208">Common_InputFunctions.Utility_DisplayArrayInTable(SourceData_PastureBeef.SourceData_PastureBeef_LiveweightGainNTQLD_Data(),Table_SourceData_PastureBeef_LiveweightGainNTQLD[[#Headers],[State]],0)</f>
        <v>0.3</v>
      </c>
      <c r="P208" s="37" cm="1">
        <f t="array" ref="P208">Common_InputFunctions.Utility_DisplayArrayInTable(SourceData_PastureBeef.SourceData_PastureBeef_LiveweightGainNTQLD_Data(),Table_SourceData_PastureBeef_LiveweightGainNTQLD[[#Headers],[State]],0)</f>
        <v>0.13</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7" t="str" cm="1">
        <f t="array" ref="E209">Common_InputFunctions.Utility_DisplayArrayInTable(SourceData_PastureBeef.SourceData_PastureBeef_LiveweightGainNTQLD_Data(),Table_SourceData_PastureBeef_LiveweightGainNTQLD[[#Headers],[State]],0)</f>
        <v>Moderate/Low</v>
      </c>
      <c r="F209" s="37" t="str" cm="1">
        <f t="array" ref="F209">Common_InputFunctions.Utility_DisplayArrayInTable(SourceData_PastureBeef.SourceData_PastureBeef_LiveweightGainNTQLD_Data(),Table_SourceData_PastureBeef_LiveweightGainNTQLD[[#Headers],[State]],0)</f>
        <v>Summer</v>
      </c>
      <c r="G209" s="37" cm="1">
        <f t="array" ref="G209">Common_InputFunctions.Utility_DisplayArrayInTable(SourceData_PastureBeef.SourceData_PastureBeef_LiveweightGainNTQLD_Data(),Table_SourceData_PastureBeef_LiveweightGainNTQLD[[#Headers],[State]],0)</f>
        <v>0.05</v>
      </c>
      <c r="H209" s="37" cm="1">
        <f t="array" ref="H209">Common_InputFunctions.Utility_DisplayArrayInTable(SourceData_PastureBeef.SourceData_PastureBeef_LiveweightGainNTQLD_Data(),Table_SourceData_PastureBeef_LiveweightGainNTQLD[[#Headers],[State]],0)</f>
        <v>0.19</v>
      </c>
      <c r="I209" s="37" cm="1">
        <f t="array" ref="I209">Common_InputFunctions.Utility_DisplayArrayInTable(SourceData_PastureBeef.SourceData_PastureBeef_LiveweightGainNTQLD_Data(),Table_SourceData_PastureBeef_LiveweightGainNTQLD[[#Headers],[State]],0)</f>
        <v>0.31</v>
      </c>
      <c r="J209" s="37" cm="1">
        <f t="array" ref="J209">Common_InputFunctions.Utility_DisplayArrayInTable(SourceData_PastureBeef.SourceData_PastureBeef_LiveweightGainNTQLD_Data(),Table_SourceData_PastureBeef_LiveweightGainNTQLD[[#Headers],[State]],0)</f>
        <v>0.54</v>
      </c>
      <c r="K209" s="37" cm="1">
        <f t="array" ref="K209">Common_InputFunctions.Utility_DisplayArrayInTable(SourceData_PastureBeef.SourceData_PastureBeef_LiveweightGainNTQLD_Data(),Table_SourceData_PastureBeef_LiveweightGainNTQLD[[#Headers],[State]],0)</f>
        <v>0.53</v>
      </c>
      <c r="L209" s="37" cm="1">
        <f t="array" ref="L209">Common_InputFunctions.Utility_DisplayArrayInTable(SourceData_PastureBeef.SourceData_PastureBeef_LiveweightGainNTQLD_Data(),Table_SourceData_PastureBeef_LiveweightGainNTQLD[[#Headers],[State]],0)</f>
        <v>0.15</v>
      </c>
      <c r="M209" s="37" cm="1">
        <f t="array" ref="M209">Common_InputFunctions.Utility_DisplayArrayInTable(SourceData_PastureBeef.SourceData_PastureBeef_LiveweightGainNTQLD_Data(),Table_SourceData_PastureBeef_LiveweightGainNTQLD[[#Headers],[State]],0)</f>
        <v>0.28000000000000003</v>
      </c>
      <c r="N209" s="37" cm="1">
        <f t="array" ref="N209">Common_InputFunctions.Utility_DisplayArrayInTable(SourceData_PastureBeef.SourceData_PastureBeef_LiveweightGainNTQLD_Data(),Table_SourceData_PastureBeef_LiveweightGainNTQLD[[#Headers],[State]],0)</f>
        <v>0.56999999999999995</v>
      </c>
      <c r="O209" s="37" cm="1">
        <f t="array" ref="O209">Common_InputFunctions.Utility_DisplayArrayInTable(SourceData_PastureBeef.SourceData_PastureBeef_LiveweightGainNTQLD_Data(),Table_SourceData_PastureBeef_LiveweightGainNTQLD[[#Headers],[State]],0)</f>
        <v>0.42</v>
      </c>
      <c r="P209" s="37" cm="1">
        <f t="array" ref="P209">Common_InputFunctions.Utility_DisplayArrayInTable(SourceData_PastureBeef.SourceData_PastureBeef_LiveweightGainNTQLD_Data(),Table_SourceData_PastureBeef_LiveweightGainNTQLD[[#Headers],[State]],0)</f>
        <v>0.4</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7" t="str" cm="1">
        <f t="array" ref="E210">Common_InputFunctions.Utility_DisplayArrayInTable(SourceData_PastureBeef.SourceData_PastureBeef_LiveweightGainNTQLD_Data(),Table_SourceData_PastureBeef_LiveweightGainNTQLD[[#Headers],[State]],0)</f>
        <v>Moderate/Low</v>
      </c>
      <c r="F210" s="37" t="str" cm="1">
        <f t="array" ref="F210">Common_InputFunctions.Utility_DisplayArrayInTable(SourceData_PastureBeef.SourceData_PastureBeef_LiveweightGainNTQLD_Data(),Table_SourceData_PastureBeef_LiveweightGainNTQLD[[#Headers],[State]],0)</f>
        <v>Autumn</v>
      </c>
      <c r="G210" s="37" cm="1">
        <f t="array" ref="G210">Common_InputFunctions.Utility_DisplayArrayInTable(SourceData_PastureBeef.SourceData_PastureBeef_LiveweightGainNTQLD_Data(),Table_SourceData_PastureBeef_LiveweightGainNTQLD[[#Headers],[State]],0)</f>
        <v>0.33</v>
      </c>
      <c r="H210" s="37" cm="1">
        <f t="array" ref="H210">Common_InputFunctions.Utility_DisplayArrayInTable(SourceData_PastureBeef.SourceData_PastureBeef_LiveweightGainNTQLD_Data(),Table_SourceData_PastureBeef_LiveweightGainNTQLD[[#Headers],[State]],0)</f>
        <v>0.13</v>
      </c>
      <c r="I210" s="37" cm="1">
        <f t="array" ref="I210">Common_InputFunctions.Utility_DisplayArrayInTable(SourceData_PastureBeef.SourceData_PastureBeef_LiveweightGainNTQLD_Data(),Table_SourceData_PastureBeef_LiveweightGainNTQLD[[#Headers],[State]],0)</f>
        <v>0.39</v>
      </c>
      <c r="J210" s="37" cm="1">
        <f t="array" ref="J210">Common_InputFunctions.Utility_DisplayArrayInTable(SourceData_PastureBeef.SourceData_PastureBeef_LiveweightGainNTQLD_Data(),Table_SourceData_PastureBeef_LiveweightGainNTQLD[[#Headers],[State]],0)</f>
        <v>0.36</v>
      </c>
      <c r="K210" s="37" cm="1">
        <f t="array" ref="K210">Common_InputFunctions.Utility_DisplayArrayInTable(SourceData_PastureBeef.SourceData_PastureBeef_LiveweightGainNTQLD_Data(),Table_SourceData_PastureBeef_LiveweightGainNTQLD[[#Headers],[State]],0)</f>
        <v>0.26</v>
      </c>
      <c r="L210" s="37" cm="1">
        <f t="array" ref="L210">Common_InputFunctions.Utility_DisplayArrayInTable(SourceData_PastureBeef.SourceData_PastureBeef_LiveweightGainNTQLD_Data(),Table_SourceData_PastureBeef_LiveweightGainNTQLD[[#Headers],[State]],0)</f>
        <v>0.11</v>
      </c>
      <c r="M210" s="37" cm="1">
        <f t="array" ref="M210">Common_InputFunctions.Utility_DisplayArrayInTable(SourceData_PastureBeef.SourceData_PastureBeef_LiveweightGainNTQLD_Data(),Table_SourceData_PastureBeef_LiveweightGainNTQLD[[#Headers],[State]],0)</f>
        <v>0.4</v>
      </c>
      <c r="N210" s="37" cm="1">
        <f t="array" ref="N210">Common_InputFunctions.Utility_DisplayArrayInTable(SourceData_PastureBeef.SourceData_PastureBeef_LiveweightGainNTQLD_Data(),Table_SourceData_PastureBeef_LiveweightGainNTQLD[[#Headers],[State]],0)</f>
        <v>0.44</v>
      </c>
      <c r="O210" s="37" cm="1">
        <f t="array" ref="O210">Common_InputFunctions.Utility_DisplayArrayInTable(SourceData_PastureBeef.SourceData_PastureBeef_LiveweightGainNTQLD_Data(),Table_SourceData_PastureBeef_LiveweightGainNTQLD[[#Headers],[State]],0)</f>
        <v>0.37</v>
      </c>
      <c r="P210" s="37" cm="1">
        <f t="array" ref="P210">Common_InputFunctions.Utility_DisplayArrayInTable(SourceData_PastureBeef.SourceData_PastureBeef_LiveweightGainNTQLD_Data(),Table_SourceData_PastureBeef_LiveweightGainNTQLD[[#Headers],[State]],0)</f>
        <v>-0.01</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7" t="str" cm="1">
        <f t="array" ref="E211">Common_InputFunctions.Utility_DisplayArrayInTable(SourceData_PastureBeef.SourceData_PastureBeef_LiveweightGainNTQLD_Data(),Table_SourceData_PastureBeef_LiveweightGainNTQLD[[#Headers],[State]],0)</f>
        <v>Moderate/Low</v>
      </c>
      <c r="F211" s="37" t="str" cm="1">
        <f t="array" ref="F211">Common_InputFunctions.Utility_DisplayArrayInTable(SourceData_PastureBeef.SourceData_PastureBeef_LiveweightGainNTQLD_Data(),Table_SourceData_PastureBeef_LiveweightGainNTQLD[[#Headers],[State]],0)</f>
        <v>Winter</v>
      </c>
      <c r="G211" s="37" cm="1">
        <f t="array" ref="G211">Common_InputFunctions.Utility_DisplayArrayInTable(SourceData_PastureBeef.SourceData_PastureBeef_LiveweightGainNTQLD_Data(),Table_SourceData_PastureBeef_LiveweightGainNTQLD[[#Headers],[State]],0)</f>
        <v>0.61</v>
      </c>
      <c r="H211" s="37" cm="1">
        <f t="array" ref="H211">Common_InputFunctions.Utility_DisplayArrayInTable(SourceData_PastureBeef.SourceData_PastureBeef_LiveweightGainNTQLD_Data(),Table_SourceData_PastureBeef_LiveweightGainNTQLD[[#Headers],[State]],0)</f>
        <v>-0.06</v>
      </c>
      <c r="I211" s="37" cm="1">
        <f t="array" ref="I211">Common_InputFunctions.Utility_DisplayArrayInTable(SourceData_PastureBeef.SourceData_PastureBeef_LiveweightGainNTQLD_Data(),Table_SourceData_PastureBeef_LiveweightGainNTQLD[[#Headers],[State]],0)</f>
        <v>0.21</v>
      </c>
      <c r="J211" s="37" cm="1">
        <f t="array" ref="J211">Common_InputFunctions.Utility_DisplayArrayInTable(SourceData_PastureBeef.SourceData_PastureBeef_LiveweightGainNTQLD_Data(),Table_SourceData_PastureBeef_LiveweightGainNTQLD[[#Headers],[State]],0)</f>
        <v>0.18</v>
      </c>
      <c r="K211" s="37" cm="1">
        <f t="array" ref="K211">Common_InputFunctions.Utility_DisplayArrayInTable(SourceData_PastureBeef.SourceData_PastureBeef_LiveweightGainNTQLD_Data(),Table_SourceData_PastureBeef_LiveweightGainNTQLD[[#Headers],[State]],0)</f>
        <v>0.12</v>
      </c>
      <c r="L211" s="37" cm="1">
        <f t="array" ref="L211">Common_InputFunctions.Utility_DisplayArrayInTable(SourceData_PastureBeef.SourceData_PastureBeef_LiveweightGainNTQLD_Data(),Table_SourceData_PastureBeef_LiveweightGainNTQLD[[#Headers],[State]],0)</f>
        <v>0.06</v>
      </c>
      <c r="M211" s="37" cm="1">
        <f t="array" ref="M211">Common_InputFunctions.Utility_DisplayArrayInTable(SourceData_PastureBeef.SourceData_PastureBeef_LiveweightGainNTQLD_Data(),Table_SourceData_PastureBeef_LiveweightGainNTQLD[[#Headers],[State]],0)</f>
        <v>0.28999999999999998</v>
      </c>
      <c r="N211" s="37" cm="1">
        <f t="array" ref="N211">Common_InputFunctions.Utility_DisplayArrayInTable(SourceData_PastureBeef.SourceData_PastureBeef_LiveweightGainNTQLD_Data(),Table_SourceData_PastureBeef_LiveweightGainNTQLD[[#Headers],[State]],0)</f>
        <v>0.41</v>
      </c>
      <c r="O211" s="37" cm="1">
        <f t="array" ref="O211">Common_InputFunctions.Utility_DisplayArrayInTable(SourceData_PastureBeef.SourceData_PastureBeef_LiveweightGainNTQLD_Data(),Table_SourceData_PastureBeef_LiveweightGainNTQLD[[#Headers],[State]],0)</f>
        <v>0.41</v>
      </c>
      <c r="P211" s="37" cm="1">
        <f t="array" ref="P211">Common_InputFunctions.Utility_DisplayArrayInTable(SourceData_PastureBeef.SourceData_PastureBeef_LiveweightGainNTQLD_Data(),Table_SourceData_PastureBeef_LiveweightGainNTQLD[[#Headers],[State]],0)</f>
        <v>-0.15</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7" t="str" cm="1">
        <f t="array" ref="E212">Common_InputFunctions.Utility_DisplayArrayInTable(SourceData_PastureBeef.SourceData_PastureBeef_LiveweightGainNTQLD_Data(),Table_SourceData_PastureBeef_LiveweightGainNTQLD[[#Headers],[State]],0)</f>
        <v>Low</v>
      </c>
      <c r="F212" s="37" t="str" cm="1">
        <f t="array" ref="F212">Common_InputFunctions.Utility_DisplayArrayInTable(SourceData_PastureBeef.SourceData_PastureBeef_LiveweightGainNTQLD_Data(),Table_SourceData_PastureBeef_LiveweightGainNTQLD[[#Headers],[State]],0)</f>
        <v>Spring</v>
      </c>
      <c r="G212" s="37" cm="1">
        <f t="array" ref="G212">Common_InputFunctions.Utility_DisplayArrayInTable(SourceData_PastureBeef.SourceData_PastureBeef_LiveweightGainNTQLD_Data(),Table_SourceData_PastureBeef_LiveweightGainNTQLD[[#Headers],[State]],0)</f>
        <v>-0.2</v>
      </c>
      <c r="H212" s="37" cm="1">
        <f t="array" ref="H212">Common_InputFunctions.Utility_DisplayArrayInTable(SourceData_PastureBeef.SourceData_PastureBeef_LiveweightGainNTQLD_Data(),Table_SourceData_PastureBeef_LiveweightGainNTQLD[[#Headers],[State]],0)</f>
        <v>0.02</v>
      </c>
      <c r="I212" s="37" cm="1">
        <f t="array" ref="I212">Common_InputFunctions.Utility_DisplayArrayInTable(SourceData_PastureBeef.SourceData_PastureBeef_LiveweightGainNTQLD_Data(),Table_SourceData_PastureBeef_LiveweightGainNTQLD[[#Headers],[State]],0)</f>
        <v>0.24</v>
      </c>
      <c r="J212" s="37" cm="1">
        <f t="array" ref="J212">Common_InputFunctions.Utility_DisplayArrayInTable(SourceData_PastureBeef.SourceData_PastureBeef_LiveweightGainNTQLD_Data(),Table_SourceData_PastureBeef_LiveweightGainNTQLD[[#Headers],[State]],0)</f>
        <v>0.3</v>
      </c>
      <c r="K212" s="37" cm="1">
        <f t="array" ref="K212">Common_InputFunctions.Utility_DisplayArrayInTable(SourceData_PastureBeef.SourceData_PastureBeef_LiveweightGainNTQLD_Data(),Table_SourceData_PastureBeef_LiveweightGainNTQLD[[#Headers],[State]],0)</f>
        <v>0.23</v>
      </c>
      <c r="L212" s="37" cm="1">
        <f t="array" ref="L212">Common_InputFunctions.Utility_DisplayArrayInTable(SourceData_PastureBeef.SourceData_PastureBeef_LiveweightGainNTQLD_Data(),Table_SourceData_PastureBeef_LiveweightGainNTQLD[[#Headers],[State]],0)</f>
        <v>-0.05</v>
      </c>
      <c r="M212" s="37" cm="1">
        <f t="array" ref="M212">Common_InputFunctions.Utility_DisplayArrayInTable(SourceData_PastureBeef.SourceData_PastureBeef_LiveweightGainNTQLD_Data(),Table_SourceData_PastureBeef_LiveweightGainNTQLD[[#Headers],[State]],0)</f>
        <v>0.34</v>
      </c>
      <c r="N212" s="37" cm="1">
        <f t="array" ref="N212">Common_InputFunctions.Utility_DisplayArrayInTable(SourceData_PastureBeef.SourceData_PastureBeef_LiveweightGainNTQLD_Data(),Table_SourceData_PastureBeef_LiveweightGainNTQLD[[#Headers],[State]],0)</f>
        <v>0.3</v>
      </c>
      <c r="O212" s="37" cm="1">
        <f t="array" ref="O212">Common_InputFunctions.Utility_DisplayArrayInTable(SourceData_PastureBeef.SourceData_PastureBeef_LiveweightGainNTQLD_Data(),Table_SourceData_PastureBeef_LiveweightGainNTQLD[[#Headers],[State]],0)</f>
        <v>0.56999999999999995</v>
      </c>
      <c r="P212" s="37" cm="1">
        <f t="array" ref="P212">Common_InputFunctions.Utility_DisplayArrayInTable(SourceData_PastureBeef.SourceData_PastureBeef_LiveweightGainNTQLD_Data(),Table_SourceData_PastureBeef_LiveweightGainNTQLD[[#Headers],[State]],0)</f>
        <v>0.52</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7" t="str" cm="1">
        <f t="array" ref="E213">Common_InputFunctions.Utility_DisplayArrayInTable(SourceData_PastureBeef.SourceData_PastureBeef_LiveweightGainNTQLD_Data(),Table_SourceData_PastureBeef_LiveweightGainNTQLD[[#Headers],[State]],0)</f>
        <v>Low</v>
      </c>
      <c r="F213" s="37" t="str" cm="1">
        <f t="array" ref="F213">Common_InputFunctions.Utility_DisplayArrayInTable(SourceData_PastureBeef.SourceData_PastureBeef_LiveweightGainNTQLD_Data(),Table_SourceData_PastureBeef_LiveweightGainNTQLD[[#Headers],[State]],0)</f>
        <v>Summer</v>
      </c>
      <c r="G213" s="37" cm="1">
        <f t="array" ref="G213">Common_InputFunctions.Utility_DisplayArrayInTable(SourceData_PastureBeef.SourceData_PastureBeef_LiveweightGainNTQLD_Data(),Table_SourceData_PastureBeef_LiveweightGainNTQLD[[#Headers],[State]],0)</f>
        <v>0.62</v>
      </c>
      <c r="H213" s="37" cm="1">
        <f t="array" ref="H213">Common_InputFunctions.Utility_DisplayArrayInTable(SourceData_PastureBeef.SourceData_PastureBeef_LiveweightGainNTQLD_Data(),Table_SourceData_PastureBeef_LiveweightGainNTQLD[[#Headers],[State]],0)</f>
        <v>0.21</v>
      </c>
      <c r="I213" s="37" cm="1">
        <f t="array" ref="I213">Common_InputFunctions.Utility_DisplayArrayInTable(SourceData_PastureBeef.SourceData_PastureBeef_LiveweightGainNTQLD_Data(),Table_SourceData_PastureBeef_LiveweightGainNTQLD[[#Headers],[State]],0)</f>
        <v>0.25</v>
      </c>
      <c r="J213" s="37" cm="1">
        <f t="array" ref="J213">Common_InputFunctions.Utility_DisplayArrayInTable(SourceData_PastureBeef.SourceData_PastureBeef_LiveweightGainNTQLD_Data(),Table_SourceData_PastureBeef_LiveweightGainNTQLD[[#Headers],[State]],0)</f>
        <v>0.32</v>
      </c>
      <c r="K213" s="37" cm="1">
        <f t="array" ref="K213">Common_InputFunctions.Utility_DisplayArrayInTable(SourceData_PastureBeef.SourceData_PastureBeef_LiveweightGainNTQLD_Data(),Table_SourceData_PastureBeef_LiveweightGainNTQLD[[#Headers],[State]],0)</f>
        <v>0.47</v>
      </c>
      <c r="L213" s="37" cm="1">
        <f t="array" ref="L213">Common_InputFunctions.Utility_DisplayArrayInTable(SourceData_PastureBeef.SourceData_PastureBeef_LiveweightGainNTQLD_Data(),Table_SourceData_PastureBeef_LiveweightGainNTQLD[[#Headers],[State]],0)</f>
        <v>0.31</v>
      </c>
      <c r="M213" s="37" cm="1">
        <f t="array" ref="M213">Common_InputFunctions.Utility_DisplayArrayInTable(SourceData_PastureBeef.SourceData_PastureBeef_LiveweightGainNTQLD_Data(),Table_SourceData_PastureBeef_LiveweightGainNTQLD[[#Headers],[State]],0)</f>
        <v>0.14000000000000001</v>
      </c>
      <c r="N213" s="37" cm="1">
        <f t="array" ref="N213">Common_InputFunctions.Utility_DisplayArrayInTable(SourceData_PastureBeef.SourceData_PastureBeef_LiveweightGainNTQLD_Data(),Table_SourceData_PastureBeef_LiveweightGainNTQLD[[#Headers],[State]],0)</f>
        <v>0.4</v>
      </c>
      <c r="O213" s="37" cm="1">
        <f t="array" ref="O213">Common_InputFunctions.Utility_DisplayArrayInTable(SourceData_PastureBeef.SourceData_PastureBeef_LiveweightGainNTQLD_Data(),Table_SourceData_PastureBeef_LiveweightGainNTQLD[[#Headers],[State]],0)</f>
        <v>0.26</v>
      </c>
      <c r="P213" s="37" cm="1">
        <f t="array" ref="P213">Common_InputFunctions.Utility_DisplayArrayInTable(SourceData_PastureBeef.SourceData_PastureBeef_LiveweightGainNTQLD_Data(),Table_SourceData_PastureBeef_LiveweightGainNTQLD[[#Headers],[State]],0)</f>
        <v>0.43</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7" t="str" cm="1">
        <f t="array" ref="E214">Common_InputFunctions.Utility_DisplayArrayInTable(SourceData_PastureBeef.SourceData_PastureBeef_LiveweightGainNTQLD_Data(),Table_SourceData_PastureBeef_LiveweightGainNTQLD[[#Headers],[State]],0)</f>
        <v>Low</v>
      </c>
      <c r="F214" s="37" t="str" cm="1">
        <f t="array" ref="F214">Common_InputFunctions.Utility_DisplayArrayInTable(SourceData_PastureBeef.SourceData_PastureBeef_LiveweightGainNTQLD_Data(),Table_SourceData_PastureBeef_LiveweightGainNTQLD[[#Headers],[State]],0)</f>
        <v>Autumn</v>
      </c>
      <c r="G214" s="37" cm="1">
        <f t="array" ref="G214">Common_InputFunctions.Utility_DisplayArrayInTable(SourceData_PastureBeef.SourceData_PastureBeef_LiveweightGainNTQLD_Data(),Table_SourceData_PastureBeef_LiveweightGainNTQLD[[#Headers],[State]],0)</f>
        <v>0.4</v>
      </c>
      <c r="H214" s="37" cm="1">
        <f t="array" ref="H214">Common_InputFunctions.Utility_DisplayArrayInTable(SourceData_PastureBeef.SourceData_PastureBeef_LiveweightGainNTQLD_Data(),Table_SourceData_PastureBeef_LiveweightGainNTQLD[[#Headers],[State]],0)</f>
        <v>0.13</v>
      </c>
      <c r="I214" s="37" cm="1">
        <f t="array" ref="I214">Common_InputFunctions.Utility_DisplayArrayInTable(SourceData_PastureBeef.SourceData_PastureBeef_LiveweightGainNTQLD_Data(),Table_SourceData_PastureBeef_LiveweightGainNTQLD[[#Headers],[State]],0)</f>
        <v>0.12</v>
      </c>
      <c r="J214" s="37" cm="1">
        <f t="array" ref="J214">Common_InputFunctions.Utility_DisplayArrayInTable(SourceData_PastureBeef.SourceData_PastureBeef_LiveweightGainNTQLD_Data(),Table_SourceData_PastureBeef_LiveweightGainNTQLD[[#Headers],[State]],0)</f>
        <v>0.27</v>
      </c>
      <c r="K214" s="37" cm="1">
        <f t="array" ref="K214">Common_InputFunctions.Utility_DisplayArrayInTable(SourceData_PastureBeef.SourceData_PastureBeef_LiveweightGainNTQLD_Data(),Table_SourceData_PastureBeef_LiveweightGainNTQLD[[#Headers],[State]],0)</f>
        <v>0.3</v>
      </c>
      <c r="L214" s="37" cm="1">
        <f t="array" ref="L214">Common_InputFunctions.Utility_DisplayArrayInTable(SourceData_PastureBeef.SourceData_PastureBeef_LiveweightGainNTQLD_Data(),Table_SourceData_PastureBeef_LiveweightGainNTQLD[[#Headers],[State]],0)</f>
        <v>0.08</v>
      </c>
      <c r="M214" s="37" cm="1">
        <f t="array" ref="M214">Common_InputFunctions.Utility_DisplayArrayInTable(SourceData_PastureBeef.SourceData_PastureBeef_LiveweightGainNTQLD_Data(),Table_SourceData_PastureBeef_LiveweightGainNTQLD[[#Headers],[State]],0)</f>
        <v>0.13</v>
      </c>
      <c r="N214" s="37" cm="1">
        <f t="array" ref="N214">Common_InputFunctions.Utility_DisplayArrayInTable(SourceData_PastureBeef.SourceData_PastureBeef_LiveweightGainNTQLD_Data(),Table_SourceData_PastureBeef_LiveweightGainNTQLD[[#Headers],[State]],0)</f>
        <v>0.24</v>
      </c>
      <c r="O214" s="37" cm="1">
        <f t="array" ref="O214">Common_InputFunctions.Utility_DisplayArrayInTable(SourceData_PastureBeef.SourceData_PastureBeef_LiveweightGainNTQLD_Data(),Table_SourceData_PastureBeef_LiveweightGainNTQLD[[#Headers],[State]],0)</f>
        <v>0.15</v>
      </c>
      <c r="P214" s="37" cm="1">
        <f t="array" ref="P214">Common_InputFunctions.Utility_DisplayArrayInTable(SourceData_PastureBeef.SourceData_PastureBeef_LiveweightGainNTQLD_Data(),Table_SourceData_PastureBeef_LiveweightGainNTQLD[[#Headers],[State]],0)</f>
        <v>0.21</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7" t="str" cm="1">
        <f t="array" ref="E215">Common_InputFunctions.Utility_DisplayArrayInTable(SourceData_PastureBeef.SourceData_PastureBeef_LiveweightGainNTQLD_Data(),Table_SourceData_PastureBeef_LiveweightGainNTQLD[[#Headers],[State]],0)</f>
        <v>Low</v>
      </c>
      <c r="F215" s="37" t="str" cm="1">
        <f t="array" ref="F215">Common_InputFunctions.Utility_DisplayArrayInTable(SourceData_PastureBeef.SourceData_PastureBeef_LiveweightGainNTQLD_Data(),Table_SourceData_PastureBeef_LiveweightGainNTQLD[[#Headers],[State]],0)</f>
        <v>Winter</v>
      </c>
      <c r="G215" s="37" cm="1">
        <f t="array" ref="G215">Common_InputFunctions.Utility_DisplayArrayInTable(SourceData_PastureBeef.SourceData_PastureBeef_LiveweightGainNTQLD_Data(),Table_SourceData_PastureBeef_LiveweightGainNTQLD[[#Headers],[State]],0)</f>
        <v>0.08</v>
      </c>
      <c r="H215" s="37" cm="1">
        <f t="array" ref="H215">Common_InputFunctions.Utility_DisplayArrayInTable(SourceData_PastureBeef.SourceData_PastureBeef_LiveweightGainNTQLD_Data(),Table_SourceData_PastureBeef_LiveweightGainNTQLD[[#Headers],[State]],0)</f>
        <v>0.04</v>
      </c>
      <c r="I215" s="37" cm="1">
        <f t="array" ref="I215">Common_InputFunctions.Utility_DisplayArrayInTable(SourceData_PastureBeef.SourceData_PastureBeef_LiveweightGainNTQLD_Data(),Table_SourceData_PastureBeef_LiveweightGainNTQLD[[#Headers],[State]],0)</f>
        <v>0.06</v>
      </c>
      <c r="J215" s="37" cm="1">
        <f t="array" ref="J215">Common_InputFunctions.Utility_DisplayArrayInTable(SourceData_PastureBeef.SourceData_PastureBeef_LiveweightGainNTQLD_Data(),Table_SourceData_PastureBeef_LiveweightGainNTQLD[[#Headers],[State]],0)</f>
        <v>0.18</v>
      </c>
      <c r="K215" s="37" cm="1">
        <f t="array" ref="K215">Common_InputFunctions.Utility_DisplayArrayInTable(SourceData_PastureBeef.SourceData_PastureBeef_LiveweightGainNTQLD_Data(),Table_SourceData_PastureBeef_LiveweightGainNTQLD[[#Headers],[State]],0)</f>
        <v>0.11</v>
      </c>
      <c r="L215" s="37" cm="1">
        <f t="array" ref="L215">Common_InputFunctions.Utility_DisplayArrayInTable(SourceData_PastureBeef.SourceData_PastureBeef_LiveweightGainNTQLD_Data(),Table_SourceData_PastureBeef_LiveweightGainNTQLD[[#Headers],[State]],0)</f>
        <v>-7.0000000000000007E-2</v>
      </c>
      <c r="M215" s="37" cm="1">
        <f t="array" ref="M215">Common_InputFunctions.Utility_DisplayArrayInTable(SourceData_PastureBeef.SourceData_PastureBeef_LiveweightGainNTQLD_Data(),Table_SourceData_PastureBeef_LiveweightGainNTQLD[[#Headers],[State]],0)</f>
        <v>0.13</v>
      </c>
      <c r="N215" s="37" cm="1">
        <f t="array" ref="N215">Common_InputFunctions.Utility_DisplayArrayInTable(SourceData_PastureBeef.SourceData_PastureBeef_LiveweightGainNTQLD_Data(),Table_SourceData_PastureBeef_LiveweightGainNTQLD[[#Headers],[State]],0)</f>
        <v>0.16</v>
      </c>
      <c r="O215" s="37" cm="1">
        <f t="array" ref="O215">Common_InputFunctions.Utility_DisplayArrayInTable(SourceData_PastureBeef.SourceData_PastureBeef_LiveweightGainNTQLD_Data(),Table_SourceData_PastureBeef_LiveweightGainNTQLD[[#Headers],[State]],0)</f>
        <v>0.4</v>
      </c>
      <c r="P215" s="37" cm="1">
        <f t="array" ref="P215">Common_InputFunctions.Utility_DisplayArrayInTable(SourceData_PastureBeef.SourceData_PastureBeef_LiveweightGainNTQLD_Data(),Table_SourceData_PastureBeef_LiveweightGainNTQLD[[#Headers],[State]],0)</f>
        <v>0.33</v>
      </c>
    </row>
    <row r="216" spans="4:16" x14ac:dyDescent="0.25">
      <c r="M216" s="1"/>
    </row>
    <row r="217" spans="4:16" x14ac:dyDescent="0.25">
      <c r="M217" s="1"/>
    </row>
    <row r="218" spans="4:16" ht="23.25" x14ac:dyDescent="0.25">
      <c r="D218" s="6" t="s">
        <v>201</v>
      </c>
      <c r="M218" s="1"/>
    </row>
    <row r="219" spans="4:16" x14ac:dyDescent="0.25">
      <c r="M219" s="1"/>
    </row>
    <row r="220" spans="4:16" x14ac:dyDescent="0.25">
      <c r="D220" s="37" t="s">
        <v>8</v>
      </c>
      <c r="E220" s="37" t="s">
        <v>183</v>
      </c>
      <c r="F220" s="37" t="s">
        <v>184</v>
      </c>
      <c r="G220" s="118" t="s">
        <v>131</v>
      </c>
      <c r="H220" s="118" t="s">
        <v>130</v>
      </c>
      <c r="I220" s="118" t="s">
        <v>165</v>
      </c>
      <c r="J220" s="118" t="s">
        <v>166</v>
      </c>
      <c r="K220" s="118" t="s">
        <v>167</v>
      </c>
      <c r="L220" s="118" t="s">
        <v>168</v>
      </c>
      <c r="M220" s="118" t="s">
        <v>169</v>
      </c>
      <c r="N220" s="118" t="s">
        <v>170</v>
      </c>
      <c r="O220" s="118" t="s">
        <v>171</v>
      </c>
      <c r="P220" s="118" t="s">
        <v>172</v>
      </c>
    </row>
    <row r="221" spans="4:16" x14ac:dyDescent="0.25">
      <c r="D221" s="37" t="s">
        <v>83</v>
      </c>
      <c r="E221" s="37" t="s">
        <v>202</v>
      </c>
      <c r="F221" s="37" t="str">
        <f>F153</f>
        <v>Spring</v>
      </c>
      <c r="G221" s="37">
        <f>G153</f>
        <v>0.5</v>
      </c>
      <c r="H221" s="37">
        <f t="shared" ref="H221:J221" si="79">H153</f>
        <v>0.2</v>
      </c>
      <c r="I221" s="37">
        <f t="shared" si="79"/>
        <v>0.5</v>
      </c>
      <c r="J221" s="37">
        <f t="shared" si="79"/>
        <v>0.4</v>
      </c>
      <c r="K221" s="37">
        <f>K153</f>
        <v>0.3</v>
      </c>
      <c r="L221" s="37">
        <f>K153</f>
        <v>0.3</v>
      </c>
      <c r="M221" s="37">
        <f>L153</f>
        <v>0.5</v>
      </c>
      <c r="N221" s="37">
        <f>M153</f>
        <v>0.4</v>
      </c>
      <c r="O221" s="37">
        <f>M153</f>
        <v>0.4</v>
      </c>
      <c r="P221" s="37">
        <f>M153</f>
        <v>0.4</v>
      </c>
    </row>
    <row r="222" spans="4:16" x14ac:dyDescent="0.25">
      <c r="D222" s="37" t="s">
        <v>83</v>
      </c>
      <c r="E222" s="37" t="s">
        <v>202</v>
      </c>
      <c r="F222" s="37" t="str">
        <f t="shared" ref="F222:K224" si="80">F154</f>
        <v>Summer</v>
      </c>
      <c r="G222" s="37">
        <f t="shared" si="80"/>
        <v>1</v>
      </c>
      <c r="H222" s="37">
        <f t="shared" si="80"/>
        <v>0.4</v>
      </c>
      <c r="I222" s="37">
        <f t="shared" si="80"/>
        <v>0.9</v>
      </c>
      <c r="J222" s="37">
        <f t="shared" si="80"/>
        <v>0.7</v>
      </c>
      <c r="K222" s="37">
        <f t="shared" si="80"/>
        <v>0.3</v>
      </c>
      <c r="L222" s="37">
        <f t="shared" ref="L222:M224" si="81">K154</f>
        <v>0.3</v>
      </c>
      <c r="M222" s="37">
        <f t="shared" si="81"/>
        <v>0.9</v>
      </c>
      <c r="N222" s="37">
        <f t="shared" ref="N222:N224" si="82">M154</f>
        <v>0.4</v>
      </c>
      <c r="O222" s="37">
        <f t="shared" ref="O222:O224" si="83">M154</f>
        <v>0.4</v>
      </c>
      <c r="P222" s="37">
        <f t="shared" ref="P222:P224" si="84">M154</f>
        <v>0.4</v>
      </c>
    </row>
    <row r="223" spans="4:16" x14ac:dyDescent="0.25">
      <c r="D223" s="37" t="s">
        <v>83</v>
      </c>
      <c r="E223" s="37" t="s">
        <v>202</v>
      </c>
      <c r="F223" s="37" t="str">
        <f t="shared" si="80"/>
        <v>Autumn</v>
      </c>
      <c r="G223" s="37">
        <f t="shared" si="80"/>
        <v>0.8</v>
      </c>
      <c r="H223" s="37">
        <f t="shared" si="80"/>
        <v>0.3</v>
      </c>
      <c r="I223" s="37">
        <f t="shared" si="80"/>
        <v>0.7</v>
      </c>
      <c r="J223" s="37">
        <f t="shared" si="80"/>
        <v>0.3</v>
      </c>
      <c r="K223" s="37">
        <f t="shared" si="80"/>
        <v>0.2</v>
      </c>
      <c r="L223" s="37">
        <f t="shared" si="81"/>
        <v>0.2</v>
      </c>
      <c r="M223" s="37">
        <f t="shared" si="81"/>
        <v>0.7</v>
      </c>
      <c r="N223" s="37">
        <f t="shared" si="82"/>
        <v>0.3</v>
      </c>
      <c r="O223" s="37">
        <f t="shared" si="83"/>
        <v>0.3</v>
      </c>
      <c r="P223" s="37">
        <f t="shared" si="84"/>
        <v>0.3</v>
      </c>
    </row>
    <row r="224" spans="4:16" x14ac:dyDescent="0.25">
      <c r="D224" s="37" t="s">
        <v>83</v>
      </c>
      <c r="E224" s="37" t="s">
        <v>202</v>
      </c>
      <c r="F224" s="37" t="str">
        <f t="shared" si="80"/>
        <v>Winter</v>
      </c>
      <c r="G224" s="37">
        <f t="shared" si="80"/>
        <v>0.4</v>
      </c>
      <c r="H224" s="37">
        <f t="shared" si="80"/>
        <v>0.1</v>
      </c>
      <c r="I224" s="37">
        <f t="shared" si="80"/>
        <v>0.4</v>
      </c>
      <c r="J224" s="37">
        <f t="shared" si="80"/>
        <v>0.2</v>
      </c>
      <c r="K224" s="37">
        <f t="shared" si="80"/>
        <v>0.1</v>
      </c>
      <c r="L224" s="37">
        <f t="shared" si="81"/>
        <v>0.1</v>
      </c>
      <c r="M224" s="37">
        <f t="shared" si="81"/>
        <v>0.4</v>
      </c>
      <c r="N224" s="37">
        <f t="shared" si="82"/>
        <v>0.1</v>
      </c>
      <c r="O224" s="37">
        <f t="shared" si="83"/>
        <v>0.1</v>
      </c>
      <c r="P224" s="37">
        <f t="shared" si="84"/>
        <v>0.1</v>
      </c>
    </row>
    <row r="225" spans="4:16" x14ac:dyDescent="0.25">
      <c r="D225" s="37" t="s">
        <v>84</v>
      </c>
      <c r="E225" s="37" t="s">
        <v>202</v>
      </c>
      <c r="F225" s="37" t="str">
        <f>F153</f>
        <v>Spring</v>
      </c>
      <c r="G225" s="37">
        <f>G153</f>
        <v>0.5</v>
      </c>
      <c r="H225" s="37">
        <f t="shared" ref="H225:J225" si="85">H153</f>
        <v>0.2</v>
      </c>
      <c r="I225" s="37">
        <f t="shared" si="85"/>
        <v>0.5</v>
      </c>
      <c r="J225" s="37">
        <f t="shared" si="85"/>
        <v>0.4</v>
      </c>
      <c r="K225" s="37">
        <f>K153</f>
        <v>0.3</v>
      </c>
      <c r="L225" s="37">
        <f>K153</f>
        <v>0.3</v>
      </c>
      <c r="M225" s="37">
        <f t="shared" ref="M225" si="86">L153</f>
        <v>0.5</v>
      </c>
      <c r="N225" s="37">
        <f>M153</f>
        <v>0.4</v>
      </c>
      <c r="O225" s="37">
        <f>M153</f>
        <v>0.4</v>
      </c>
      <c r="P225" s="37">
        <f>M153</f>
        <v>0.4</v>
      </c>
    </row>
    <row r="226" spans="4:16" x14ac:dyDescent="0.25">
      <c r="D226" s="37" t="s">
        <v>84</v>
      </c>
      <c r="E226" s="37" t="s">
        <v>202</v>
      </c>
      <c r="F226" s="37" t="str">
        <f t="shared" ref="F226:K228" si="87">F154</f>
        <v>Summer</v>
      </c>
      <c r="G226" s="37">
        <f t="shared" si="87"/>
        <v>1</v>
      </c>
      <c r="H226" s="37">
        <f t="shared" si="87"/>
        <v>0.4</v>
      </c>
      <c r="I226" s="37">
        <f t="shared" si="87"/>
        <v>0.9</v>
      </c>
      <c r="J226" s="37">
        <f t="shared" si="87"/>
        <v>0.7</v>
      </c>
      <c r="K226" s="37">
        <f t="shared" si="87"/>
        <v>0.3</v>
      </c>
      <c r="L226" s="37">
        <f t="shared" ref="L226:N226" si="88">K154</f>
        <v>0.3</v>
      </c>
      <c r="M226" s="37">
        <f t="shared" si="88"/>
        <v>0.9</v>
      </c>
      <c r="N226" s="37">
        <f t="shared" si="88"/>
        <v>0.4</v>
      </c>
      <c r="O226" s="37">
        <f t="shared" ref="O226:O228" si="89">M154</f>
        <v>0.4</v>
      </c>
      <c r="P226" s="37">
        <f t="shared" ref="P226:P228" si="90">M154</f>
        <v>0.4</v>
      </c>
    </row>
    <row r="227" spans="4:16" x14ac:dyDescent="0.25">
      <c r="D227" s="37" t="s">
        <v>84</v>
      </c>
      <c r="E227" s="37" t="s">
        <v>202</v>
      </c>
      <c r="F227" s="37" t="str">
        <f t="shared" si="87"/>
        <v>Autumn</v>
      </c>
      <c r="G227" s="37">
        <f t="shared" si="87"/>
        <v>0.8</v>
      </c>
      <c r="H227" s="37">
        <f t="shared" si="87"/>
        <v>0.3</v>
      </c>
      <c r="I227" s="37">
        <f t="shared" si="87"/>
        <v>0.7</v>
      </c>
      <c r="J227" s="37">
        <f t="shared" si="87"/>
        <v>0.3</v>
      </c>
      <c r="K227" s="37">
        <f t="shared" si="87"/>
        <v>0.2</v>
      </c>
      <c r="L227" s="37">
        <f t="shared" ref="L227:N227" si="91">K155</f>
        <v>0.2</v>
      </c>
      <c r="M227" s="37">
        <f t="shared" si="91"/>
        <v>0.7</v>
      </c>
      <c r="N227" s="37">
        <f t="shared" si="91"/>
        <v>0.3</v>
      </c>
      <c r="O227" s="37">
        <f t="shared" si="89"/>
        <v>0.3</v>
      </c>
      <c r="P227" s="37">
        <f t="shared" si="90"/>
        <v>0.3</v>
      </c>
    </row>
    <row r="228" spans="4:16" x14ac:dyDescent="0.25">
      <c r="D228" s="37" t="s">
        <v>84</v>
      </c>
      <c r="E228" s="37" t="s">
        <v>202</v>
      </c>
      <c r="F228" s="37" t="str">
        <f t="shared" si="87"/>
        <v>Winter</v>
      </c>
      <c r="G228" s="37">
        <f t="shared" si="87"/>
        <v>0.4</v>
      </c>
      <c r="H228" s="37">
        <f t="shared" si="87"/>
        <v>0.1</v>
      </c>
      <c r="I228" s="37">
        <f t="shared" si="87"/>
        <v>0.4</v>
      </c>
      <c r="J228" s="37">
        <f t="shared" si="87"/>
        <v>0.2</v>
      </c>
      <c r="K228" s="37">
        <f t="shared" si="87"/>
        <v>0.1</v>
      </c>
      <c r="L228" s="37">
        <f t="shared" ref="L228:N228" si="92">K156</f>
        <v>0.1</v>
      </c>
      <c r="M228" s="37">
        <f t="shared" si="92"/>
        <v>0.4</v>
      </c>
      <c r="N228" s="37">
        <f t="shared" si="92"/>
        <v>0.1</v>
      </c>
      <c r="O228" s="37">
        <f t="shared" si="89"/>
        <v>0.1</v>
      </c>
      <c r="P228" s="37">
        <f t="shared" si="90"/>
        <v>0.1</v>
      </c>
    </row>
    <row r="229" spans="4:16" x14ac:dyDescent="0.25">
      <c r="D229" s="37" t="s">
        <v>87</v>
      </c>
      <c r="E229" s="37" t="s">
        <v>202</v>
      </c>
      <c r="F229" s="37" t="str">
        <f>F157</f>
        <v>Spring</v>
      </c>
      <c r="G229" s="37">
        <f>G157</f>
        <v>0.99</v>
      </c>
      <c r="H229" s="37">
        <f t="shared" ref="H229:J229" si="93">H157</f>
        <v>1.1000000000000001</v>
      </c>
      <c r="I229" s="37">
        <f t="shared" si="93"/>
        <v>0.88</v>
      </c>
      <c r="J229" s="37">
        <f t="shared" si="93"/>
        <v>0.55000000000000004</v>
      </c>
      <c r="K229" s="37">
        <f>K157</f>
        <v>0.55000000000000004</v>
      </c>
      <c r="L229" s="37">
        <f>K157</f>
        <v>0.55000000000000004</v>
      </c>
      <c r="M229" s="37">
        <f t="shared" ref="M229" si="94">L157</f>
        <v>0.88</v>
      </c>
      <c r="N229" s="37">
        <f>M157</f>
        <v>0.22</v>
      </c>
      <c r="O229" s="37">
        <f>M157</f>
        <v>0.22</v>
      </c>
      <c r="P229" s="37">
        <f>M157</f>
        <v>0.22</v>
      </c>
    </row>
    <row r="230" spans="4:16" x14ac:dyDescent="0.25">
      <c r="D230" s="37" t="s">
        <v>87</v>
      </c>
      <c r="E230" s="37" t="s">
        <v>202</v>
      </c>
      <c r="F230" s="37" t="str">
        <f t="shared" ref="F230:K252" si="95">F158</f>
        <v>Summer</v>
      </c>
      <c r="G230" s="37">
        <f t="shared" si="95"/>
        <v>0.77</v>
      </c>
      <c r="H230" s="37">
        <f t="shared" si="95"/>
        <v>0</v>
      </c>
      <c r="I230" s="37">
        <f t="shared" si="95"/>
        <v>0.66</v>
      </c>
      <c r="J230" s="37">
        <f t="shared" si="95"/>
        <v>0.22</v>
      </c>
      <c r="K230" s="37">
        <f t="shared" si="95"/>
        <v>0</v>
      </c>
      <c r="L230" s="37">
        <f t="shared" ref="L230:N230" si="96">K158</f>
        <v>0</v>
      </c>
      <c r="M230" s="37">
        <f t="shared" si="96"/>
        <v>0.66</v>
      </c>
      <c r="N230" s="37">
        <f t="shared" si="96"/>
        <v>0</v>
      </c>
      <c r="O230" s="37">
        <f t="shared" ref="O230:O252" si="97">M158</f>
        <v>0</v>
      </c>
      <c r="P230" s="37">
        <f t="shared" ref="P230:P252" si="98">M158</f>
        <v>0</v>
      </c>
    </row>
    <row r="231" spans="4:16" x14ac:dyDescent="0.25">
      <c r="D231" s="37" t="s">
        <v>87</v>
      </c>
      <c r="E231" s="37" t="s">
        <v>202</v>
      </c>
      <c r="F231" s="37" t="str">
        <f t="shared" si="95"/>
        <v>Autumn</v>
      </c>
      <c r="G231" s="37">
        <f t="shared" si="95"/>
        <v>0.9</v>
      </c>
      <c r="H231" s="37">
        <f t="shared" si="95"/>
        <v>-1.1000000000000001</v>
      </c>
      <c r="I231" s="37">
        <f t="shared" si="95"/>
        <v>0.7</v>
      </c>
      <c r="J231" s="37">
        <f t="shared" si="95"/>
        <v>0.22</v>
      </c>
      <c r="K231" s="37">
        <f t="shared" si="95"/>
        <v>-0.55000000000000004</v>
      </c>
      <c r="L231" s="37">
        <f t="shared" ref="L231:N231" si="99">K159</f>
        <v>-0.55000000000000004</v>
      </c>
      <c r="M231" s="37">
        <f t="shared" si="99"/>
        <v>0.8</v>
      </c>
      <c r="N231" s="37">
        <f t="shared" si="99"/>
        <v>-0.22</v>
      </c>
      <c r="O231" s="37">
        <f t="shared" si="97"/>
        <v>-0.22</v>
      </c>
      <c r="P231" s="37">
        <f t="shared" si="98"/>
        <v>-0.22</v>
      </c>
    </row>
    <row r="232" spans="4:16" x14ac:dyDescent="0.25">
      <c r="D232" s="37" t="s">
        <v>87</v>
      </c>
      <c r="E232" s="37" t="s">
        <v>202</v>
      </c>
      <c r="F232" s="37" t="str">
        <f t="shared" si="95"/>
        <v>Winter</v>
      </c>
      <c r="G232" s="37">
        <f t="shared" si="95"/>
        <v>0.88</v>
      </c>
      <c r="H232" s="37">
        <f t="shared" si="95"/>
        <v>0</v>
      </c>
      <c r="I232" s="37">
        <f t="shared" si="95"/>
        <v>0.77</v>
      </c>
      <c r="J232" s="37">
        <f t="shared" si="95"/>
        <v>0.55000000000000004</v>
      </c>
      <c r="K232" s="37">
        <f t="shared" si="95"/>
        <v>0</v>
      </c>
      <c r="L232" s="37">
        <f t="shared" ref="L232:N232" si="100">K160</f>
        <v>0</v>
      </c>
      <c r="M232" s="37">
        <f t="shared" si="100"/>
        <v>0.82</v>
      </c>
      <c r="N232" s="37">
        <f t="shared" si="100"/>
        <v>0</v>
      </c>
      <c r="O232" s="37">
        <f t="shared" si="97"/>
        <v>0</v>
      </c>
      <c r="P232" s="37">
        <f t="shared" si="98"/>
        <v>0</v>
      </c>
    </row>
    <row r="233" spans="4:16" x14ac:dyDescent="0.25">
      <c r="D233" s="37" t="s">
        <v>88</v>
      </c>
      <c r="E233" s="37" t="s">
        <v>202</v>
      </c>
      <c r="F233" s="37" t="str">
        <f t="shared" si="95"/>
        <v>Spring</v>
      </c>
      <c r="G233" s="37">
        <f t="shared" si="95"/>
        <v>1</v>
      </c>
      <c r="H233" s="37">
        <f t="shared" si="95"/>
        <v>0.5</v>
      </c>
      <c r="I233" s="37">
        <f t="shared" si="95"/>
        <v>1</v>
      </c>
      <c r="J233" s="37">
        <f t="shared" si="95"/>
        <v>1</v>
      </c>
      <c r="K233" s="37">
        <f t="shared" si="95"/>
        <v>-0.44</v>
      </c>
      <c r="L233" s="37">
        <f t="shared" ref="L233:N233" si="101">K161</f>
        <v>-0.44</v>
      </c>
      <c r="M233" s="37">
        <f t="shared" si="101"/>
        <v>1</v>
      </c>
      <c r="N233" s="37">
        <f t="shared" si="101"/>
        <v>0.5</v>
      </c>
      <c r="O233" s="37">
        <f t="shared" si="97"/>
        <v>0.5</v>
      </c>
      <c r="P233" s="37">
        <f t="shared" si="98"/>
        <v>0.5</v>
      </c>
    </row>
    <row r="234" spans="4:16" x14ac:dyDescent="0.25">
      <c r="D234" s="37" t="s">
        <v>88</v>
      </c>
      <c r="E234" s="37" t="s">
        <v>202</v>
      </c>
      <c r="F234" s="37" t="str">
        <f t="shared" si="95"/>
        <v>Summer</v>
      </c>
      <c r="G234" s="37">
        <f t="shared" si="95"/>
        <v>0.82</v>
      </c>
      <c r="H234" s="37">
        <f t="shared" si="95"/>
        <v>0.55000000000000004</v>
      </c>
      <c r="I234" s="37">
        <f t="shared" si="95"/>
        <v>0.71</v>
      </c>
      <c r="J234" s="37">
        <f t="shared" si="95"/>
        <v>0.55000000000000004</v>
      </c>
      <c r="K234" s="37">
        <f t="shared" si="95"/>
        <v>0.99</v>
      </c>
      <c r="L234" s="37">
        <f t="shared" ref="L234:N234" si="102">K162</f>
        <v>0.99</v>
      </c>
      <c r="M234" s="37">
        <f t="shared" si="102"/>
        <v>0.77</v>
      </c>
      <c r="N234" s="37">
        <f t="shared" si="102"/>
        <v>0.5</v>
      </c>
      <c r="O234" s="37">
        <f t="shared" si="97"/>
        <v>0.5</v>
      </c>
      <c r="P234" s="37">
        <f t="shared" si="98"/>
        <v>0.5</v>
      </c>
    </row>
    <row r="235" spans="4:16" x14ac:dyDescent="0.25">
      <c r="D235" s="37" t="s">
        <v>88</v>
      </c>
      <c r="E235" s="37" t="s">
        <v>202</v>
      </c>
      <c r="F235" s="37" t="str">
        <f t="shared" si="95"/>
        <v>Autumn</v>
      </c>
      <c r="G235" s="37">
        <f t="shared" si="95"/>
        <v>0.77</v>
      </c>
      <c r="H235" s="37">
        <f t="shared" si="95"/>
        <v>0.5</v>
      </c>
      <c r="I235" s="37">
        <f t="shared" si="95"/>
        <v>0.55000000000000004</v>
      </c>
      <c r="J235" s="37">
        <f t="shared" si="95"/>
        <v>0.11</v>
      </c>
      <c r="K235" s="37">
        <f t="shared" si="95"/>
        <v>-0.33</v>
      </c>
      <c r="L235" s="37">
        <f t="shared" ref="L235:N235" si="103">K163</f>
        <v>-0.33</v>
      </c>
      <c r="M235" s="37">
        <f t="shared" si="103"/>
        <v>0.6</v>
      </c>
      <c r="N235" s="37">
        <f t="shared" si="103"/>
        <v>0.33</v>
      </c>
      <c r="O235" s="37">
        <f t="shared" si="97"/>
        <v>0.33</v>
      </c>
      <c r="P235" s="37">
        <f t="shared" si="98"/>
        <v>0.33</v>
      </c>
    </row>
    <row r="236" spans="4:16" x14ac:dyDescent="0.25">
      <c r="D236" s="37" t="s">
        <v>88</v>
      </c>
      <c r="E236" s="37" t="s">
        <v>202</v>
      </c>
      <c r="F236" s="37" t="str">
        <f t="shared" si="95"/>
        <v>Winter</v>
      </c>
      <c r="G236" s="37">
        <f t="shared" si="95"/>
        <v>0.11</v>
      </c>
      <c r="H236" s="37">
        <f t="shared" si="95"/>
        <v>-0.27</v>
      </c>
      <c r="I236" s="37">
        <f t="shared" si="95"/>
        <v>0.11</v>
      </c>
      <c r="J236" s="37">
        <f t="shared" si="95"/>
        <v>0.22</v>
      </c>
      <c r="K236" s="37">
        <f t="shared" si="95"/>
        <v>-0.44</v>
      </c>
      <c r="L236" s="37">
        <f t="shared" ref="L236:N236" si="104">K164</f>
        <v>-0.44</v>
      </c>
      <c r="M236" s="37">
        <f t="shared" si="104"/>
        <v>0.16</v>
      </c>
      <c r="N236" s="37">
        <f t="shared" si="104"/>
        <v>-0.22</v>
      </c>
      <c r="O236" s="37">
        <f t="shared" si="97"/>
        <v>-0.22</v>
      </c>
      <c r="P236" s="37">
        <f t="shared" si="98"/>
        <v>-0.22</v>
      </c>
    </row>
    <row r="237" spans="4:16" x14ac:dyDescent="0.25">
      <c r="D237" s="37" t="s">
        <v>89</v>
      </c>
      <c r="E237" s="37" t="s">
        <v>202</v>
      </c>
      <c r="F237" s="37" t="str">
        <f t="shared" si="95"/>
        <v>Spring</v>
      </c>
      <c r="G237" s="37">
        <f t="shared" si="95"/>
        <v>1.1000000000000001</v>
      </c>
      <c r="H237" s="37">
        <f t="shared" si="95"/>
        <v>1.1000000000000001</v>
      </c>
      <c r="I237" s="37">
        <f t="shared" si="95"/>
        <v>1.1000000000000001</v>
      </c>
      <c r="J237" s="37">
        <f t="shared" si="95"/>
        <v>0.99</v>
      </c>
      <c r="K237" s="37">
        <f t="shared" si="95"/>
        <v>0.99</v>
      </c>
      <c r="L237" s="37">
        <f t="shared" ref="L237:N237" si="105">K165</f>
        <v>0.99</v>
      </c>
      <c r="M237" s="37">
        <f t="shared" si="105"/>
        <v>1.1000000000000001</v>
      </c>
      <c r="N237" s="37">
        <f t="shared" si="105"/>
        <v>0.77</v>
      </c>
      <c r="O237" s="37">
        <f t="shared" si="97"/>
        <v>0.77</v>
      </c>
      <c r="P237" s="37">
        <f t="shared" si="98"/>
        <v>0.77</v>
      </c>
    </row>
    <row r="238" spans="4:16" x14ac:dyDescent="0.25">
      <c r="D238" s="37" t="s">
        <v>89</v>
      </c>
      <c r="E238" s="37" t="s">
        <v>202</v>
      </c>
      <c r="F238" s="37" t="str">
        <f t="shared" si="95"/>
        <v>Summer</v>
      </c>
      <c r="G238" s="37">
        <f t="shared" si="95"/>
        <v>0.33</v>
      </c>
      <c r="H238" s="37">
        <f t="shared" si="95"/>
        <v>0.33</v>
      </c>
      <c r="I238" s="37">
        <f t="shared" si="95"/>
        <v>0.22</v>
      </c>
      <c r="J238" s="37">
        <f t="shared" si="95"/>
        <v>0.33</v>
      </c>
      <c r="K238" s="37">
        <f t="shared" si="95"/>
        <v>-0.1</v>
      </c>
      <c r="L238" s="37">
        <f t="shared" ref="L238:N238" si="106">K166</f>
        <v>-0.1</v>
      </c>
      <c r="M238" s="37">
        <f t="shared" si="106"/>
        <v>0.33</v>
      </c>
      <c r="N238" s="37">
        <f t="shared" si="106"/>
        <v>0.11</v>
      </c>
      <c r="O238" s="37">
        <f t="shared" si="97"/>
        <v>0.11</v>
      </c>
      <c r="P238" s="37">
        <f t="shared" si="98"/>
        <v>0.11</v>
      </c>
    </row>
    <row r="239" spans="4:16" x14ac:dyDescent="0.25">
      <c r="D239" s="37" t="s">
        <v>89</v>
      </c>
      <c r="E239" s="37" t="s">
        <v>202</v>
      </c>
      <c r="F239" s="37" t="str">
        <f t="shared" si="95"/>
        <v>Autumn</v>
      </c>
      <c r="G239" s="37">
        <f t="shared" si="95"/>
        <v>0.5</v>
      </c>
      <c r="H239" s="37">
        <f t="shared" si="95"/>
        <v>0.2</v>
      </c>
      <c r="I239" s="37">
        <f t="shared" si="95"/>
        <v>0.55000000000000004</v>
      </c>
      <c r="J239" s="37">
        <f t="shared" si="95"/>
        <v>0.44</v>
      </c>
      <c r="K239" s="37">
        <f t="shared" si="95"/>
        <v>0.2</v>
      </c>
      <c r="L239" s="37">
        <f t="shared" ref="L239:N239" si="107">K167</f>
        <v>0.2</v>
      </c>
      <c r="M239" s="37">
        <f t="shared" si="107"/>
        <v>0.55000000000000004</v>
      </c>
      <c r="N239" s="37">
        <f t="shared" si="107"/>
        <v>0.2</v>
      </c>
      <c r="O239" s="37">
        <f t="shared" si="97"/>
        <v>0.2</v>
      </c>
      <c r="P239" s="37">
        <f t="shared" si="98"/>
        <v>0.2</v>
      </c>
    </row>
    <row r="240" spans="4:16" x14ac:dyDescent="0.25">
      <c r="D240" s="37" t="s">
        <v>89</v>
      </c>
      <c r="E240" s="37" t="s">
        <v>202</v>
      </c>
      <c r="F240" s="37" t="str">
        <f t="shared" si="95"/>
        <v>Winter</v>
      </c>
      <c r="G240" s="37">
        <f t="shared" si="95"/>
        <v>0.55000000000000004</v>
      </c>
      <c r="H240" s="37">
        <f t="shared" si="95"/>
        <v>0.22</v>
      </c>
      <c r="I240" s="37">
        <f t="shared" si="95"/>
        <v>0.49</v>
      </c>
      <c r="J240" s="37">
        <f t="shared" si="95"/>
        <v>0.22</v>
      </c>
      <c r="K240" s="37">
        <f t="shared" si="95"/>
        <v>0.22</v>
      </c>
      <c r="L240" s="37">
        <f t="shared" ref="L240:N240" si="108">K168</f>
        <v>0.22</v>
      </c>
      <c r="M240" s="37">
        <f t="shared" si="108"/>
        <v>0.49</v>
      </c>
      <c r="N240" s="37">
        <f t="shared" si="108"/>
        <v>0.33</v>
      </c>
      <c r="O240" s="37">
        <f t="shared" si="97"/>
        <v>0.33</v>
      </c>
      <c r="P240" s="37">
        <f t="shared" si="98"/>
        <v>0.33</v>
      </c>
    </row>
    <row r="241" spans="4:16" x14ac:dyDescent="0.25">
      <c r="D241" s="37" t="s">
        <v>90</v>
      </c>
      <c r="E241" s="37" t="str">
        <f>E169</f>
        <v>South West</v>
      </c>
      <c r="F241" s="37" t="str">
        <f t="shared" si="95"/>
        <v>Spring</v>
      </c>
      <c r="G241" s="37">
        <f t="shared" si="95"/>
        <v>1.64</v>
      </c>
      <c r="H241" s="37">
        <f t="shared" si="95"/>
        <v>1.1000000000000001</v>
      </c>
      <c r="I241" s="37">
        <f t="shared" si="95"/>
        <v>1.21</v>
      </c>
      <c r="J241" s="37">
        <f t="shared" si="95"/>
        <v>0.99</v>
      </c>
      <c r="K241" s="37">
        <f t="shared" si="95"/>
        <v>0.66</v>
      </c>
      <c r="L241" s="37">
        <f t="shared" ref="L241:N241" si="109">K169</f>
        <v>0.66</v>
      </c>
      <c r="M241" s="37">
        <f t="shared" si="109"/>
        <v>1.42</v>
      </c>
      <c r="N241" s="37">
        <f t="shared" si="109"/>
        <v>1.1000000000000001</v>
      </c>
      <c r="O241" s="37">
        <f t="shared" si="97"/>
        <v>1.1000000000000001</v>
      </c>
      <c r="P241" s="37">
        <f t="shared" si="98"/>
        <v>1.1000000000000001</v>
      </c>
    </row>
    <row r="242" spans="4:16" x14ac:dyDescent="0.25">
      <c r="D242" s="37" t="s">
        <v>90</v>
      </c>
      <c r="E242" s="37" t="str">
        <f t="shared" ref="E242:E252" si="110">E170</f>
        <v>South West</v>
      </c>
      <c r="F242" s="37" t="str">
        <f t="shared" si="95"/>
        <v>Summer</v>
      </c>
      <c r="G242" s="37">
        <f t="shared" si="95"/>
        <v>0.44</v>
      </c>
      <c r="H242" s="37">
        <f t="shared" si="95"/>
        <v>-0.22</v>
      </c>
      <c r="I242" s="37">
        <f t="shared" si="95"/>
        <v>0.44</v>
      </c>
      <c r="J242" s="37">
        <f t="shared" si="95"/>
        <v>0.33</v>
      </c>
      <c r="K242" s="37">
        <f t="shared" si="95"/>
        <v>-0.22</v>
      </c>
      <c r="L242" s="37">
        <f t="shared" ref="L242:N242" si="111">K170</f>
        <v>-0.22</v>
      </c>
      <c r="M242" s="37">
        <f t="shared" si="111"/>
        <v>0.44</v>
      </c>
      <c r="N242" s="37">
        <f t="shared" si="111"/>
        <v>-0.11</v>
      </c>
      <c r="O242" s="37">
        <f t="shared" si="97"/>
        <v>-0.11</v>
      </c>
      <c r="P242" s="37">
        <f t="shared" si="98"/>
        <v>-0.11</v>
      </c>
    </row>
    <row r="243" spans="4:16" x14ac:dyDescent="0.25">
      <c r="D243" s="37" t="s">
        <v>90</v>
      </c>
      <c r="E243" s="37" t="str">
        <f t="shared" si="110"/>
        <v>South West</v>
      </c>
      <c r="F243" s="37" t="str">
        <f t="shared" si="95"/>
        <v>Autumn</v>
      </c>
      <c r="G243" s="37">
        <f t="shared" si="95"/>
        <v>0.6</v>
      </c>
      <c r="H243" s="37">
        <f t="shared" si="95"/>
        <v>0</v>
      </c>
      <c r="I243" s="37">
        <f t="shared" si="95"/>
        <v>0.6</v>
      </c>
      <c r="J243" s="37">
        <f t="shared" si="95"/>
        <v>0.22</v>
      </c>
      <c r="K243" s="37">
        <f t="shared" si="95"/>
        <v>-0.55000000000000004</v>
      </c>
      <c r="L243" s="37">
        <f t="shared" ref="L243:N243" si="112">K171</f>
        <v>-0.55000000000000004</v>
      </c>
      <c r="M243" s="37">
        <f t="shared" si="112"/>
        <v>0.6</v>
      </c>
      <c r="N243" s="37">
        <f t="shared" si="112"/>
        <v>0</v>
      </c>
      <c r="O243" s="37">
        <f t="shared" si="97"/>
        <v>0</v>
      </c>
      <c r="P243" s="37">
        <f t="shared" si="98"/>
        <v>0</v>
      </c>
    </row>
    <row r="244" spans="4:16" x14ac:dyDescent="0.25">
      <c r="D244" s="37" t="s">
        <v>90</v>
      </c>
      <c r="E244" s="37" t="str">
        <f t="shared" si="110"/>
        <v>South West</v>
      </c>
      <c r="F244" s="37" t="str">
        <f t="shared" si="95"/>
        <v>Winter</v>
      </c>
      <c r="G244" s="37">
        <f t="shared" si="95"/>
        <v>0.99</v>
      </c>
      <c r="H244" s="37">
        <f t="shared" si="95"/>
        <v>0.22</v>
      </c>
      <c r="I244" s="37">
        <f t="shared" si="95"/>
        <v>0.77</v>
      </c>
      <c r="J244" s="37">
        <f t="shared" si="95"/>
        <v>0.11</v>
      </c>
      <c r="K244" s="37">
        <f t="shared" si="95"/>
        <v>0.11</v>
      </c>
      <c r="L244" s="37">
        <f t="shared" ref="L244:N244" si="113">K172</f>
        <v>0.11</v>
      </c>
      <c r="M244" s="37">
        <f t="shared" si="113"/>
        <v>0.77</v>
      </c>
      <c r="N244" s="37">
        <f t="shared" si="113"/>
        <v>0.44</v>
      </c>
      <c r="O244" s="37">
        <f t="shared" si="97"/>
        <v>0.44</v>
      </c>
      <c r="P244" s="37">
        <f t="shared" si="98"/>
        <v>0.44</v>
      </c>
    </row>
    <row r="245" spans="4:16" x14ac:dyDescent="0.25">
      <c r="D245" s="37" t="s">
        <v>90</v>
      </c>
      <c r="E245" s="37" t="str">
        <f t="shared" si="110"/>
        <v>Pilbara</v>
      </c>
      <c r="F245" s="37" t="str">
        <f t="shared" si="95"/>
        <v>Spring</v>
      </c>
      <c r="G245" s="37">
        <f t="shared" si="95"/>
        <v>0.7</v>
      </c>
      <c r="H245" s="37">
        <f t="shared" si="95"/>
        <v>-0.55000000000000004</v>
      </c>
      <c r="I245" s="37">
        <f t="shared" si="95"/>
        <v>0.7</v>
      </c>
      <c r="J245" s="37">
        <f t="shared" si="95"/>
        <v>0.22</v>
      </c>
      <c r="K245" s="37">
        <f t="shared" si="95"/>
        <v>-0.22</v>
      </c>
      <c r="L245" s="37">
        <f t="shared" ref="L245:N245" si="114">K173</f>
        <v>-0.22</v>
      </c>
      <c r="M245" s="37">
        <f t="shared" si="114"/>
        <v>0.7</v>
      </c>
      <c r="N245" s="37">
        <f t="shared" si="114"/>
        <v>-0.22</v>
      </c>
      <c r="O245" s="37">
        <f t="shared" si="97"/>
        <v>-0.22</v>
      </c>
      <c r="P245" s="37">
        <f t="shared" si="98"/>
        <v>-0.22</v>
      </c>
    </row>
    <row r="246" spans="4:16" x14ac:dyDescent="0.25">
      <c r="D246" s="37" t="s">
        <v>90</v>
      </c>
      <c r="E246" s="37" t="str">
        <f t="shared" si="110"/>
        <v>Pilbara</v>
      </c>
      <c r="F246" s="37" t="str">
        <f t="shared" si="95"/>
        <v>Summer</v>
      </c>
      <c r="G246" s="37">
        <f t="shared" si="95"/>
        <v>0.77</v>
      </c>
      <c r="H246" s="37">
        <f t="shared" si="95"/>
        <v>0.55000000000000004</v>
      </c>
      <c r="I246" s="37">
        <f t="shared" si="95"/>
        <v>0.77</v>
      </c>
      <c r="J246" s="37">
        <f t="shared" si="95"/>
        <v>0.66</v>
      </c>
      <c r="K246" s="37">
        <f t="shared" si="95"/>
        <v>0.55000000000000004</v>
      </c>
      <c r="L246" s="37">
        <f t="shared" ref="L246:N246" si="115">K174</f>
        <v>0.55000000000000004</v>
      </c>
      <c r="M246" s="37">
        <f t="shared" si="115"/>
        <v>0.77</v>
      </c>
      <c r="N246" s="37">
        <f t="shared" si="115"/>
        <v>0.33</v>
      </c>
      <c r="O246" s="37">
        <f t="shared" si="97"/>
        <v>0.33</v>
      </c>
      <c r="P246" s="37">
        <f t="shared" si="98"/>
        <v>0.33</v>
      </c>
    </row>
    <row r="247" spans="4:16" x14ac:dyDescent="0.25">
      <c r="D247" s="37" t="s">
        <v>90</v>
      </c>
      <c r="E247" s="37" t="str">
        <f t="shared" si="110"/>
        <v>Pilbara</v>
      </c>
      <c r="F247" s="37" t="str">
        <f t="shared" si="95"/>
        <v>Autumn</v>
      </c>
      <c r="G247" s="37">
        <f t="shared" si="95"/>
        <v>0.88</v>
      </c>
      <c r="H247" s="37">
        <f t="shared" si="95"/>
        <v>0.55000000000000004</v>
      </c>
      <c r="I247" s="37">
        <f t="shared" si="95"/>
        <v>0.88</v>
      </c>
      <c r="J247" s="37">
        <f t="shared" si="95"/>
        <v>0.22</v>
      </c>
      <c r="K247" s="37">
        <f t="shared" si="95"/>
        <v>0.22</v>
      </c>
      <c r="L247" s="37">
        <f t="shared" ref="L247:N247" si="116">K175</f>
        <v>0.22</v>
      </c>
      <c r="M247" s="37">
        <f t="shared" si="116"/>
        <v>0.88</v>
      </c>
      <c r="N247" s="37">
        <f t="shared" si="116"/>
        <v>0.22</v>
      </c>
      <c r="O247" s="37">
        <f t="shared" si="97"/>
        <v>0.22</v>
      </c>
      <c r="P247" s="37">
        <f t="shared" si="98"/>
        <v>0.22</v>
      </c>
    </row>
    <row r="248" spans="4:16" x14ac:dyDescent="0.25">
      <c r="D248" s="37" t="s">
        <v>90</v>
      </c>
      <c r="E248" s="37" t="str">
        <f t="shared" si="110"/>
        <v>Pilbara</v>
      </c>
      <c r="F248" s="37" t="str">
        <f t="shared" si="95"/>
        <v>Winter</v>
      </c>
      <c r="G248" s="37">
        <f t="shared" si="95"/>
        <v>0.22</v>
      </c>
      <c r="H248" s="37">
        <f t="shared" si="95"/>
        <v>-0.55000000000000004</v>
      </c>
      <c r="I248" s="37">
        <f t="shared" si="95"/>
        <v>0.22</v>
      </c>
      <c r="J248" s="37">
        <f t="shared" si="95"/>
        <v>0.11</v>
      </c>
      <c r="K248" s="37">
        <f t="shared" si="95"/>
        <v>-0.22</v>
      </c>
      <c r="L248" s="37">
        <f t="shared" ref="L248:N248" si="117">K176</f>
        <v>-0.22</v>
      </c>
      <c r="M248" s="37">
        <f t="shared" si="117"/>
        <v>0.22</v>
      </c>
      <c r="N248" s="37">
        <f t="shared" si="117"/>
        <v>-0.33</v>
      </c>
      <c r="O248" s="37">
        <f t="shared" si="97"/>
        <v>-0.33</v>
      </c>
      <c r="P248" s="37">
        <f t="shared" si="98"/>
        <v>-0.33</v>
      </c>
    </row>
    <row r="249" spans="4:16" x14ac:dyDescent="0.25">
      <c r="D249" s="37" t="s">
        <v>90</v>
      </c>
      <c r="E249" s="37" t="str">
        <f t="shared" si="110"/>
        <v>Kimberley</v>
      </c>
      <c r="F249" s="37" t="str">
        <f t="shared" si="95"/>
        <v>Spring</v>
      </c>
      <c r="G249" s="37">
        <f t="shared" si="95"/>
        <v>0.22</v>
      </c>
      <c r="H249" s="37">
        <f t="shared" si="95"/>
        <v>-0.55000000000000004</v>
      </c>
      <c r="I249" s="37">
        <f t="shared" si="95"/>
        <v>0.33</v>
      </c>
      <c r="J249" s="37">
        <f t="shared" si="95"/>
        <v>0.22</v>
      </c>
      <c r="K249" s="37">
        <f t="shared" si="95"/>
        <v>-0.33</v>
      </c>
      <c r="L249" s="37">
        <f t="shared" ref="L249:N249" si="118">K177</f>
        <v>-0.33</v>
      </c>
      <c r="M249" s="37">
        <f t="shared" si="118"/>
        <v>0.22</v>
      </c>
      <c r="N249" s="37">
        <f t="shared" si="118"/>
        <v>-0.55000000000000004</v>
      </c>
      <c r="O249" s="37">
        <f t="shared" si="97"/>
        <v>-0.55000000000000004</v>
      </c>
      <c r="P249" s="37">
        <f t="shared" si="98"/>
        <v>-0.55000000000000004</v>
      </c>
    </row>
    <row r="250" spans="4:16" x14ac:dyDescent="0.25">
      <c r="D250" s="37" t="s">
        <v>90</v>
      </c>
      <c r="E250" s="37" t="str">
        <f t="shared" si="110"/>
        <v>Kimberley</v>
      </c>
      <c r="F250" s="37" t="str">
        <f t="shared" si="95"/>
        <v>Summer</v>
      </c>
      <c r="G250" s="37">
        <f t="shared" si="95"/>
        <v>0.8</v>
      </c>
      <c r="H250" s="37">
        <f t="shared" si="95"/>
        <v>0.55000000000000004</v>
      </c>
      <c r="I250" s="37">
        <f t="shared" si="95"/>
        <v>0.7</v>
      </c>
      <c r="J250" s="37">
        <f t="shared" si="95"/>
        <v>0.44</v>
      </c>
      <c r="K250" s="37">
        <f t="shared" si="95"/>
        <v>0.66</v>
      </c>
      <c r="L250" s="37">
        <f t="shared" ref="L250:N250" si="119">K178</f>
        <v>0.66</v>
      </c>
      <c r="M250" s="37">
        <f t="shared" si="119"/>
        <v>0.8</v>
      </c>
      <c r="N250" s="37">
        <f t="shared" si="119"/>
        <v>0.55000000000000004</v>
      </c>
      <c r="O250" s="37">
        <f t="shared" si="97"/>
        <v>0.55000000000000004</v>
      </c>
      <c r="P250" s="37">
        <f t="shared" si="98"/>
        <v>0.55000000000000004</v>
      </c>
    </row>
    <row r="251" spans="4:16" x14ac:dyDescent="0.25">
      <c r="D251" s="37" t="s">
        <v>90</v>
      </c>
      <c r="E251" s="37" t="str">
        <f t="shared" si="110"/>
        <v>Kimberley</v>
      </c>
      <c r="F251" s="37" t="str">
        <f t="shared" si="95"/>
        <v>Autumn</v>
      </c>
      <c r="G251" s="37">
        <f t="shared" si="95"/>
        <v>0.66</v>
      </c>
      <c r="H251" s="37">
        <f t="shared" si="95"/>
        <v>0.55000000000000004</v>
      </c>
      <c r="I251" s="37">
        <f t="shared" si="95"/>
        <v>0.55000000000000004</v>
      </c>
      <c r="J251" s="37">
        <f t="shared" si="95"/>
        <v>0.55000000000000004</v>
      </c>
      <c r="K251" s="37">
        <f t="shared" si="95"/>
        <v>0.11</v>
      </c>
      <c r="L251" s="37">
        <f t="shared" ref="L251:N251" si="120">K179</f>
        <v>0.11</v>
      </c>
      <c r="M251" s="37">
        <f t="shared" si="120"/>
        <v>0.66</v>
      </c>
      <c r="N251" s="37">
        <f t="shared" si="120"/>
        <v>0.55000000000000004</v>
      </c>
      <c r="O251" s="37">
        <f t="shared" si="97"/>
        <v>0.55000000000000004</v>
      </c>
      <c r="P251" s="37">
        <f t="shared" si="98"/>
        <v>0.55000000000000004</v>
      </c>
    </row>
    <row r="252" spans="4:16" x14ac:dyDescent="0.25">
      <c r="D252" s="37" t="s">
        <v>90</v>
      </c>
      <c r="E252" s="37" t="str">
        <f t="shared" si="110"/>
        <v>Kimberley</v>
      </c>
      <c r="F252" s="37" t="str">
        <f t="shared" si="95"/>
        <v>Winter</v>
      </c>
      <c r="G252" s="37">
        <f t="shared" si="95"/>
        <v>0.33</v>
      </c>
      <c r="H252" s="37">
        <f t="shared" si="95"/>
        <v>-0.55000000000000004</v>
      </c>
      <c r="I252" s="37">
        <f t="shared" si="95"/>
        <v>0.11</v>
      </c>
      <c r="J252" s="37">
        <f t="shared" si="95"/>
        <v>0.11</v>
      </c>
      <c r="K252" s="37">
        <f t="shared" si="95"/>
        <v>-0.44</v>
      </c>
      <c r="L252" s="37">
        <f t="shared" ref="L252:N252" si="121">K180</f>
        <v>-0.44</v>
      </c>
      <c r="M252" s="37">
        <f t="shared" si="121"/>
        <v>0.33</v>
      </c>
      <c r="N252" s="37">
        <f t="shared" si="121"/>
        <v>-0.55000000000000004</v>
      </c>
      <c r="O252" s="37">
        <f t="shared" si="97"/>
        <v>-0.55000000000000004</v>
      </c>
      <c r="P252" s="37">
        <f t="shared" si="98"/>
        <v>-0.55000000000000004</v>
      </c>
    </row>
    <row r="253" spans="4:16" x14ac:dyDescent="0.25">
      <c r="D253" s="37" t="s">
        <v>85</v>
      </c>
      <c r="E253" s="37" t="str">
        <f>E188</f>
        <v>Alice Springs</v>
      </c>
      <c r="F253" s="37" t="str">
        <f>F188</f>
        <v>Spring</v>
      </c>
      <c r="G253" s="37">
        <f>G188</f>
        <v>0.22</v>
      </c>
      <c r="H253" s="37">
        <f t="shared" ref="H253:P253" si="122">H188</f>
        <v>-0.23</v>
      </c>
      <c r="I253" s="37">
        <f t="shared" si="122"/>
        <v>0.25</v>
      </c>
      <c r="J253" s="37">
        <f t="shared" si="122"/>
        <v>0.17</v>
      </c>
      <c r="K253" s="37">
        <f t="shared" si="122"/>
        <v>0.18</v>
      </c>
      <c r="L253" s="37">
        <f t="shared" si="122"/>
        <v>-0.28000000000000003</v>
      </c>
      <c r="M253" s="37">
        <f t="shared" si="122"/>
        <v>0.32</v>
      </c>
      <c r="N253" s="37">
        <f t="shared" si="122"/>
        <v>0.24</v>
      </c>
      <c r="O253" s="37">
        <f t="shared" si="122"/>
        <v>0.25</v>
      </c>
      <c r="P253" s="37">
        <f t="shared" si="122"/>
        <v>-0.05</v>
      </c>
    </row>
    <row r="254" spans="4:16" x14ac:dyDescent="0.25">
      <c r="D254" s="37" t="s">
        <v>85</v>
      </c>
      <c r="E254" s="37" t="str">
        <f t="shared" ref="E254:P280" si="123">E189</f>
        <v>Alice Springs</v>
      </c>
      <c r="F254" s="37" t="str">
        <f t="shared" si="123"/>
        <v>Summer</v>
      </c>
      <c r="G254" s="37">
        <f t="shared" si="123"/>
        <v>0.66</v>
      </c>
      <c r="H254" s="37">
        <f t="shared" si="123"/>
        <v>0.2</v>
      </c>
      <c r="I254" s="37">
        <f t="shared" si="123"/>
        <v>0.62</v>
      </c>
      <c r="J254" s="37">
        <f t="shared" si="123"/>
        <v>0.54</v>
      </c>
      <c r="K254" s="37">
        <f t="shared" si="123"/>
        <v>0.38</v>
      </c>
      <c r="L254" s="37">
        <f t="shared" si="123"/>
        <v>0.27</v>
      </c>
      <c r="M254" s="37">
        <f t="shared" si="123"/>
        <v>0.75</v>
      </c>
      <c r="N254" s="37">
        <f t="shared" si="123"/>
        <v>0.64</v>
      </c>
      <c r="O254" s="37">
        <f t="shared" si="123"/>
        <v>0.55000000000000004</v>
      </c>
      <c r="P254" s="37">
        <f t="shared" si="123"/>
        <v>0.48</v>
      </c>
    </row>
    <row r="255" spans="4:16" x14ac:dyDescent="0.25">
      <c r="D255" s="37" t="s">
        <v>85</v>
      </c>
      <c r="E255" s="37" t="str">
        <f t="shared" si="123"/>
        <v>Alice Springs</v>
      </c>
      <c r="F255" s="37" t="str">
        <f t="shared" si="123"/>
        <v>Autumn</v>
      </c>
      <c r="G255" s="37">
        <f t="shared" si="123"/>
        <v>0.49</v>
      </c>
      <c r="H255" s="37">
        <f t="shared" si="123"/>
        <v>0.13</v>
      </c>
      <c r="I255" s="37">
        <f t="shared" si="123"/>
        <v>0.54</v>
      </c>
      <c r="J255" s="37">
        <f t="shared" si="123"/>
        <v>0.45</v>
      </c>
      <c r="K255" s="37">
        <f t="shared" si="123"/>
        <v>0.35</v>
      </c>
      <c r="L255" s="37">
        <f t="shared" si="123"/>
        <v>0.15</v>
      </c>
      <c r="M255" s="37">
        <f t="shared" si="123"/>
        <v>0.63</v>
      </c>
      <c r="N255" s="37">
        <f t="shared" si="123"/>
        <v>0.54</v>
      </c>
      <c r="O255" s="37">
        <f t="shared" si="123"/>
        <v>0.42</v>
      </c>
      <c r="P255" s="37">
        <f t="shared" si="123"/>
        <v>0.26</v>
      </c>
    </row>
    <row r="256" spans="4:16" x14ac:dyDescent="0.25">
      <c r="D256" s="37" t="s">
        <v>85</v>
      </c>
      <c r="E256" s="37" t="str">
        <f t="shared" si="123"/>
        <v>Alice Springs</v>
      </c>
      <c r="F256" s="37" t="str">
        <f t="shared" si="123"/>
        <v>Winter</v>
      </c>
      <c r="G256" s="37">
        <f t="shared" si="123"/>
        <v>0.27</v>
      </c>
      <c r="H256" s="37">
        <f t="shared" si="123"/>
        <v>-0.8</v>
      </c>
      <c r="I256" s="37">
        <f t="shared" si="123"/>
        <v>0.22</v>
      </c>
      <c r="J256" s="37">
        <f t="shared" si="123"/>
        <v>0.09</v>
      </c>
      <c r="K256" s="37">
        <f t="shared" si="123"/>
        <v>0.12</v>
      </c>
      <c r="L256" s="37">
        <f t="shared" si="123"/>
        <v>0.02</v>
      </c>
      <c r="M256" s="37">
        <f t="shared" si="123"/>
        <v>0.25</v>
      </c>
      <c r="N256" s="37">
        <f t="shared" si="123"/>
        <v>0.18</v>
      </c>
      <c r="O256" s="37">
        <f t="shared" si="123"/>
        <v>0.12</v>
      </c>
      <c r="P256" s="37">
        <f t="shared" si="123"/>
        <v>0.03</v>
      </c>
    </row>
    <row r="257" spans="4:16" x14ac:dyDescent="0.25">
      <c r="D257" s="37" t="s">
        <v>85</v>
      </c>
      <c r="E257" s="37" t="str">
        <f t="shared" si="123"/>
        <v>Barkly</v>
      </c>
      <c r="F257" s="37" t="str">
        <f t="shared" si="123"/>
        <v>Spring</v>
      </c>
      <c r="G257" s="37">
        <f t="shared" si="123"/>
        <v>0.22</v>
      </c>
      <c r="H257" s="37">
        <f t="shared" si="123"/>
        <v>-0.44</v>
      </c>
      <c r="I257" s="37">
        <f t="shared" si="123"/>
        <v>0.2</v>
      </c>
      <c r="J257" s="37">
        <f t="shared" si="123"/>
        <v>0.21</v>
      </c>
      <c r="K257" s="37">
        <f t="shared" si="123"/>
        <v>0.18</v>
      </c>
      <c r="L257" s="37">
        <f t="shared" si="123"/>
        <v>0.01</v>
      </c>
      <c r="M257" s="37">
        <f t="shared" si="123"/>
        <v>0.12</v>
      </c>
      <c r="N257" s="37">
        <f t="shared" si="123"/>
        <v>0.09</v>
      </c>
      <c r="O257" s="37" t="str">
        <f t="shared" si="123"/>
        <v>NO</v>
      </c>
      <c r="P257" s="37" t="str">
        <f t="shared" si="123"/>
        <v>NO</v>
      </c>
    </row>
    <row r="258" spans="4:16" x14ac:dyDescent="0.25">
      <c r="D258" s="37" t="s">
        <v>85</v>
      </c>
      <c r="E258" s="37" t="str">
        <f t="shared" si="123"/>
        <v>Barkly</v>
      </c>
      <c r="F258" s="37" t="str">
        <f t="shared" si="123"/>
        <v>Summer</v>
      </c>
      <c r="G258" s="37">
        <f t="shared" si="123"/>
        <v>0.66</v>
      </c>
      <c r="H258" s="37">
        <f t="shared" si="123"/>
        <v>0.22</v>
      </c>
      <c r="I258" s="37">
        <f t="shared" si="123"/>
        <v>0.68</v>
      </c>
      <c r="J258" s="37">
        <f t="shared" si="123"/>
        <v>0.22</v>
      </c>
      <c r="K258" s="37">
        <f t="shared" si="123"/>
        <v>0.24</v>
      </c>
      <c r="L258" s="37">
        <f t="shared" si="123"/>
        <v>0.25</v>
      </c>
      <c r="M258" s="37">
        <f t="shared" si="123"/>
        <v>0.64</v>
      </c>
      <c r="N258" s="37">
        <f t="shared" si="123"/>
        <v>0.37</v>
      </c>
      <c r="O258" s="37" t="str">
        <f t="shared" si="123"/>
        <v>NO</v>
      </c>
      <c r="P258" s="37" t="str">
        <f t="shared" si="123"/>
        <v>NO</v>
      </c>
    </row>
    <row r="259" spans="4:16" x14ac:dyDescent="0.25">
      <c r="D259" s="37" t="s">
        <v>85</v>
      </c>
      <c r="E259" s="37" t="str">
        <f t="shared" si="123"/>
        <v>Barkly</v>
      </c>
      <c r="F259" s="37" t="str">
        <f t="shared" si="123"/>
        <v>Autumn</v>
      </c>
      <c r="G259" s="37">
        <f t="shared" si="123"/>
        <v>0.49</v>
      </c>
      <c r="H259" s="37">
        <f t="shared" si="123"/>
        <v>0.05</v>
      </c>
      <c r="I259" s="37">
        <f t="shared" si="123"/>
        <v>0.64</v>
      </c>
      <c r="J259" s="37">
        <f t="shared" si="123"/>
        <v>0.25</v>
      </c>
      <c r="K259" s="37">
        <f t="shared" si="123"/>
        <v>0.28999999999999998</v>
      </c>
      <c r="L259" s="37">
        <f t="shared" si="123"/>
        <v>0.12</v>
      </c>
      <c r="M259" s="37">
        <f t="shared" si="123"/>
        <v>0.56999999999999995</v>
      </c>
      <c r="N259" s="37">
        <f t="shared" si="123"/>
        <v>0.49</v>
      </c>
      <c r="O259" s="37" t="str">
        <f t="shared" si="123"/>
        <v>NO</v>
      </c>
      <c r="P259" s="37" t="str">
        <f t="shared" si="123"/>
        <v>NO</v>
      </c>
    </row>
    <row r="260" spans="4:16" x14ac:dyDescent="0.25">
      <c r="D260" s="37" t="s">
        <v>85</v>
      </c>
      <c r="E260" s="37" t="str">
        <f t="shared" si="123"/>
        <v>Barkly</v>
      </c>
      <c r="F260" s="37" t="str">
        <f t="shared" si="123"/>
        <v>Winter</v>
      </c>
      <c r="G260" s="37">
        <f t="shared" si="123"/>
        <v>0.27</v>
      </c>
      <c r="H260" s="37">
        <f t="shared" si="123"/>
        <v>-0.27</v>
      </c>
      <c r="I260" s="37">
        <f t="shared" si="123"/>
        <v>0.31</v>
      </c>
      <c r="J260" s="37">
        <f t="shared" si="123"/>
        <v>0.28999999999999998</v>
      </c>
      <c r="K260" s="37">
        <f t="shared" si="123"/>
        <v>0.19</v>
      </c>
      <c r="L260" s="37">
        <f t="shared" si="123"/>
        <v>0.04</v>
      </c>
      <c r="M260" s="37">
        <f t="shared" si="123"/>
        <v>0.26</v>
      </c>
      <c r="N260" s="37">
        <f t="shared" si="123"/>
        <v>0.28000000000000003</v>
      </c>
      <c r="O260" s="37" t="str">
        <f t="shared" si="123"/>
        <v>NO</v>
      </c>
      <c r="P260" s="37" t="str">
        <f t="shared" si="123"/>
        <v>NO</v>
      </c>
    </row>
    <row r="261" spans="4:16" x14ac:dyDescent="0.25">
      <c r="D261" s="37" t="s">
        <v>85</v>
      </c>
      <c r="E261" s="37" t="str">
        <f t="shared" si="123"/>
        <v>Northern</v>
      </c>
      <c r="F261" s="37" t="str">
        <f t="shared" si="123"/>
        <v>Spring</v>
      </c>
      <c r="G261" s="37">
        <f t="shared" si="123"/>
        <v>0.22</v>
      </c>
      <c r="H261" s="37">
        <f t="shared" si="123"/>
        <v>-0.44</v>
      </c>
      <c r="I261" s="37">
        <f t="shared" si="123"/>
        <v>0</v>
      </c>
      <c r="J261" s="37">
        <f t="shared" si="123"/>
        <v>0.15</v>
      </c>
      <c r="K261" s="37">
        <f t="shared" si="123"/>
        <v>0.08</v>
      </c>
      <c r="L261" s="37">
        <f t="shared" si="123"/>
        <v>0.17</v>
      </c>
      <c r="M261" s="37">
        <f t="shared" si="123"/>
        <v>0.06</v>
      </c>
      <c r="N261" s="37">
        <f t="shared" si="123"/>
        <v>0.02</v>
      </c>
      <c r="O261" s="37">
        <f t="shared" si="123"/>
        <v>-0.14000000000000001</v>
      </c>
      <c r="P261" s="37" t="str">
        <f t="shared" si="123"/>
        <v>NO</v>
      </c>
    </row>
    <row r="262" spans="4:16" x14ac:dyDescent="0.25">
      <c r="D262" s="37" t="s">
        <v>85</v>
      </c>
      <c r="E262" s="37" t="str">
        <f t="shared" si="123"/>
        <v>Northern</v>
      </c>
      <c r="F262" s="37" t="str">
        <f t="shared" si="123"/>
        <v>Summer</v>
      </c>
      <c r="G262" s="37">
        <f t="shared" si="123"/>
        <v>0.66</v>
      </c>
      <c r="H262" s="37">
        <f t="shared" si="123"/>
        <v>0.22</v>
      </c>
      <c r="I262" s="37">
        <f t="shared" si="123"/>
        <v>0.79</v>
      </c>
      <c r="J262" s="37">
        <f t="shared" si="123"/>
        <v>0.4</v>
      </c>
      <c r="K262" s="37">
        <f t="shared" si="123"/>
        <v>0.38</v>
      </c>
      <c r="L262" s="37">
        <f t="shared" si="123"/>
        <v>0.27</v>
      </c>
      <c r="M262" s="37">
        <f t="shared" si="123"/>
        <v>0.8</v>
      </c>
      <c r="N262" s="37">
        <f t="shared" si="123"/>
        <v>0.16</v>
      </c>
      <c r="O262" s="37">
        <f t="shared" si="123"/>
        <v>0.3</v>
      </c>
      <c r="P262" s="37" t="str">
        <f t="shared" si="123"/>
        <v>NO</v>
      </c>
    </row>
    <row r="263" spans="4:16" x14ac:dyDescent="0.25">
      <c r="D263" s="37" t="s">
        <v>85</v>
      </c>
      <c r="E263" s="37" t="str">
        <f t="shared" si="123"/>
        <v>Northern</v>
      </c>
      <c r="F263" s="37" t="str">
        <f t="shared" si="123"/>
        <v>Autumn</v>
      </c>
      <c r="G263" s="37">
        <f t="shared" si="123"/>
        <v>0.49</v>
      </c>
      <c r="H263" s="37">
        <f t="shared" si="123"/>
        <v>0.05</v>
      </c>
      <c r="I263" s="37">
        <f t="shared" si="123"/>
        <v>0.55000000000000004</v>
      </c>
      <c r="J263" s="37">
        <f t="shared" si="123"/>
        <v>0.38</v>
      </c>
      <c r="K263" s="37">
        <f t="shared" si="123"/>
        <v>0.36</v>
      </c>
      <c r="L263" s="37">
        <f t="shared" si="123"/>
        <v>0.06</v>
      </c>
      <c r="M263" s="37">
        <f t="shared" si="123"/>
        <v>0.57999999999999996</v>
      </c>
      <c r="N263" s="37">
        <f t="shared" si="123"/>
        <v>0.23</v>
      </c>
      <c r="O263" s="37">
        <f t="shared" si="123"/>
        <v>0.4</v>
      </c>
      <c r="P263" s="37" t="str">
        <f t="shared" si="123"/>
        <v>NO</v>
      </c>
    </row>
    <row r="264" spans="4:16" x14ac:dyDescent="0.25">
      <c r="D264" s="37" t="s">
        <v>85</v>
      </c>
      <c r="E264" s="37" t="str">
        <f t="shared" si="123"/>
        <v>Northern</v>
      </c>
      <c r="F264" s="37" t="str">
        <f t="shared" si="123"/>
        <v>Winter</v>
      </c>
      <c r="G264" s="37">
        <f t="shared" si="123"/>
        <v>0.27</v>
      </c>
      <c r="H264" s="37">
        <f t="shared" si="123"/>
        <v>-0.27</v>
      </c>
      <c r="I264" s="37">
        <f t="shared" si="123"/>
        <v>0.02</v>
      </c>
      <c r="J264" s="37">
        <f t="shared" si="123"/>
        <v>0.09</v>
      </c>
      <c r="K264" s="37">
        <f t="shared" si="123"/>
        <v>0.16</v>
      </c>
      <c r="L264" s="37">
        <f t="shared" si="123"/>
        <v>-0.04</v>
      </c>
      <c r="M264" s="37">
        <f t="shared" si="123"/>
        <v>0.21</v>
      </c>
      <c r="N264" s="37">
        <f t="shared" si="123"/>
        <v>0.03</v>
      </c>
      <c r="O264" s="37">
        <f t="shared" si="123"/>
        <v>0.11</v>
      </c>
      <c r="P264" s="37" t="str">
        <f t="shared" si="123"/>
        <v>NO</v>
      </c>
    </row>
    <row r="265" spans="4:16" x14ac:dyDescent="0.25">
      <c r="D265" s="37" t="s">
        <v>86</v>
      </c>
      <c r="E265" s="37" t="str">
        <f t="shared" si="123"/>
        <v>High</v>
      </c>
      <c r="F265" s="37" t="str">
        <f t="shared" si="123"/>
        <v>Spring</v>
      </c>
      <c r="G265" s="37">
        <f t="shared" si="123"/>
        <v>0.27</v>
      </c>
      <c r="H265" s="37">
        <f t="shared" si="123"/>
        <v>-0.19</v>
      </c>
      <c r="I265" s="37">
        <f t="shared" si="123"/>
        <v>0.38</v>
      </c>
      <c r="J265" s="37">
        <f t="shared" si="123"/>
        <v>0.25</v>
      </c>
      <c r="K265" s="37">
        <f t="shared" si="123"/>
        <v>7.0000000000000007E-2</v>
      </c>
      <c r="L265" s="37">
        <f t="shared" si="123"/>
        <v>0.05</v>
      </c>
      <c r="M265" s="37">
        <f t="shared" si="123"/>
        <v>0.52</v>
      </c>
      <c r="N265" s="37">
        <f t="shared" si="123"/>
        <v>0.55000000000000004</v>
      </c>
      <c r="O265" s="37">
        <f t="shared" si="123"/>
        <v>0.19</v>
      </c>
      <c r="P265" s="37">
        <f t="shared" si="123"/>
        <v>0.6</v>
      </c>
    </row>
    <row r="266" spans="4:16" x14ac:dyDescent="0.25">
      <c r="D266" s="37" t="s">
        <v>86</v>
      </c>
      <c r="E266" s="37" t="str">
        <f t="shared" si="123"/>
        <v>High</v>
      </c>
      <c r="F266" s="37" t="str">
        <f t="shared" si="123"/>
        <v>Summer</v>
      </c>
      <c r="G266" s="37">
        <f t="shared" si="123"/>
        <v>0.16</v>
      </c>
      <c r="H266" s="37">
        <f t="shared" si="123"/>
        <v>0.16</v>
      </c>
      <c r="I266" s="37">
        <f t="shared" si="123"/>
        <v>0.8</v>
      </c>
      <c r="J266" s="37">
        <f t="shared" si="123"/>
        <v>0.56999999999999995</v>
      </c>
      <c r="K266" s="37">
        <f t="shared" si="123"/>
        <v>0.76</v>
      </c>
      <c r="L266" s="37">
        <f t="shared" si="123"/>
        <v>0.49</v>
      </c>
      <c r="M266" s="37">
        <f t="shared" si="123"/>
        <v>0.84</v>
      </c>
      <c r="N266" s="37">
        <f t="shared" si="123"/>
        <v>0.51</v>
      </c>
      <c r="O266" s="37">
        <f t="shared" si="123"/>
        <v>0.36</v>
      </c>
      <c r="P266" s="37">
        <f t="shared" si="123"/>
        <v>0.17</v>
      </c>
    </row>
    <row r="267" spans="4:16" x14ac:dyDescent="0.25">
      <c r="D267" s="37" t="s">
        <v>86</v>
      </c>
      <c r="E267" s="37" t="str">
        <f t="shared" si="123"/>
        <v>High</v>
      </c>
      <c r="F267" s="37" t="str">
        <f t="shared" si="123"/>
        <v>Autumn</v>
      </c>
      <c r="G267" s="37">
        <f t="shared" si="123"/>
        <v>0.45</v>
      </c>
      <c r="H267" s="37">
        <f t="shared" si="123"/>
        <v>0.1</v>
      </c>
      <c r="I267" s="37">
        <f t="shared" si="123"/>
        <v>0.49</v>
      </c>
      <c r="J267" s="37">
        <f t="shared" si="123"/>
        <v>0.41</v>
      </c>
      <c r="K267" s="37">
        <f t="shared" si="123"/>
        <v>0.4</v>
      </c>
      <c r="L267" s="37">
        <f t="shared" si="123"/>
        <v>0.17</v>
      </c>
      <c r="M267" s="37">
        <f t="shared" si="123"/>
        <v>0.54</v>
      </c>
      <c r="N267" s="37">
        <f t="shared" si="123"/>
        <v>0.64</v>
      </c>
      <c r="O267" s="37">
        <f t="shared" si="123"/>
        <v>-0.05</v>
      </c>
      <c r="P267" s="37">
        <f t="shared" si="123"/>
        <v>0.32</v>
      </c>
    </row>
    <row r="268" spans="4:16" x14ac:dyDescent="0.25">
      <c r="D268" s="37" t="s">
        <v>86</v>
      </c>
      <c r="E268" s="37" t="str">
        <f t="shared" si="123"/>
        <v>High</v>
      </c>
      <c r="F268" s="37" t="str">
        <f t="shared" si="123"/>
        <v>Winter</v>
      </c>
      <c r="G268" s="37">
        <f t="shared" si="123"/>
        <v>0.51</v>
      </c>
      <c r="H268" s="37">
        <f t="shared" si="123"/>
        <v>-7.0000000000000007E-2</v>
      </c>
      <c r="I268" s="37">
        <f t="shared" si="123"/>
        <v>0.13</v>
      </c>
      <c r="J268" s="37">
        <f t="shared" si="123"/>
        <v>-0.09</v>
      </c>
      <c r="K268" s="37">
        <f t="shared" si="123"/>
        <v>-0.13</v>
      </c>
      <c r="L268" s="37">
        <f t="shared" si="123"/>
        <v>7.0000000000000007E-2</v>
      </c>
      <c r="M268" s="37">
        <f t="shared" si="123"/>
        <v>0.25</v>
      </c>
      <c r="N268" s="37">
        <f t="shared" si="123"/>
        <v>0.71</v>
      </c>
      <c r="O268" s="37">
        <f t="shared" si="123"/>
        <v>0.17</v>
      </c>
      <c r="P268" s="37">
        <f t="shared" si="123"/>
        <v>0.43</v>
      </c>
    </row>
    <row r="269" spans="4:16" x14ac:dyDescent="0.25">
      <c r="D269" s="37" t="s">
        <v>86</v>
      </c>
      <c r="E269" s="37" t="str">
        <f t="shared" si="123"/>
        <v>Moderate/High</v>
      </c>
      <c r="F269" s="37" t="str">
        <f t="shared" si="123"/>
        <v>Spring</v>
      </c>
      <c r="G269" s="37">
        <f t="shared" si="123"/>
        <v>-0.12</v>
      </c>
      <c r="H269" s="37">
        <f t="shared" si="123"/>
        <v>-0.19</v>
      </c>
      <c r="I269" s="37">
        <f t="shared" si="123"/>
        <v>0.41</v>
      </c>
      <c r="J269" s="37">
        <f t="shared" si="123"/>
        <v>0.09</v>
      </c>
      <c r="K269" s="37">
        <f t="shared" si="123"/>
        <v>0.41</v>
      </c>
      <c r="L269" s="37">
        <f t="shared" si="123"/>
        <v>-0.19</v>
      </c>
      <c r="M269" s="37">
        <f t="shared" si="123"/>
        <v>7.0000000000000007E-2</v>
      </c>
      <c r="N269" s="37">
        <f t="shared" si="123"/>
        <v>1.07</v>
      </c>
      <c r="O269" s="37">
        <f t="shared" si="123"/>
        <v>-0.08</v>
      </c>
      <c r="P269" s="37">
        <f t="shared" si="123"/>
        <v>0</v>
      </c>
    </row>
    <row r="270" spans="4:16" x14ac:dyDescent="0.25">
      <c r="D270" s="37" t="s">
        <v>86</v>
      </c>
      <c r="E270" s="37" t="str">
        <f t="shared" si="123"/>
        <v>Moderate/High</v>
      </c>
      <c r="F270" s="37" t="str">
        <f t="shared" si="123"/>
        <v>Summer</v>
      </c>
      <c r="G270" s="37">
        <f t="shared" si="123"/>
        <v>0.65</v>
      </c>
      <c r="H270" s="37">
        <f t="shared" si="123"/>
        <v>0.19</v>
      </c>
      <c r="I270" s="37">
        <f t="shared" si="123"/>
        <v>0.65</v>
      </c>
      <c r="J270" s="37">
        <f t="shared" si="123"/>
        <v>0.51</v>
      </c>
      <c r="K270" s="37">
        <f t="shared" si="123"/>
        <v>0.18</v>
      </c>
      <c r="L270" s="37">
        <f t="shared" si="123"/>
        <v>0.63</v>
      </c>
      <c r="M270" s="37">
        <f t="shared" si="123"/>
        <v>1.3</v>
      </c>
      <c r="N270" s="37">
        <f t="shared" si="123"/>
        <v>0.48</v>
      </c>
      <c r="O270" s="37">
        <f t="shared" si="123"/>
        <v>1.1200000000000001</v>
      </c>
      <c r="P270" s="37">
        <f t="shared" si="123"/>
        <v>0.38</v>
      </c>
    </row>
    <row r="271" spans="4:16" x14ac:dyDescent="0.25">
      <c r="D271" s="37" t="s">
        <v>86</v>
      </c>
      <c r="E271" s="37" t="str">
        <f t="shared" si="123"/>
        <v>Moderate/High</v>
      </c>
      <c r="F271" s="37" t="str">
        <f t="shared" si="123"/>
        <v>Autumn</v>
      </c>
      <c r="G271" s="37">
        <f t="shared" si="123"/>
        <v>0.7</v>
      </c>
      <c r="H271" s="37">
        <f t="shared" si="123"/>
        <v>0.13</v>
      </c>
      <c r="I271" s="37">
        <f t="shared" si="123"/>
        <v>0.52</v>
      </c>
      <c r="J271" s="37">
        <f t="shared" si="123"/>
        <v>0.34</v>
      </c>
      <c r="K271" s="37">
        <f t="shared" si="123"/>
        <v>0.02</v>
      </c>
      <c r="L271" s="37">
        <f t="shared" si="123"/>
        <v>0.04</v>
      </c>
      <c r="M271" s="37">
        <f t="shared" si="123"/>
        <v>0.77</v>
      </c>
      <c r="N271" s="37">
        <f t="shared" si="123"/>
        <v>0.42</v>
      </c>
      <c r="O271" s="37">
        <f t="shared" si="123"/>
        <v>0.12</v>
      </c>
      <c r="P271" s="37">
        <f t="shared" si="123"/>
        <v>0.74</v>
      </c>
    </row>
    <row r="272" spans="4:16" x14ac:dyDescent="0.25">
      <c r="D272" s="37" t="s">
        <v>86</v>
      </c>
      <c r="E272" s="37" t="str">
        <f t="shared" si="123"/>
        <v>Moderate/High</v>
      </c>
      <c r="F272" s="37" t="str">
        <f t="shared" si="123"/>
        <v>Winter</v>
      </c>
      <c r="G272" s="37">
        <f t="shared" si="123"/>
        <v>0.32</v>
      </c>
      <c r="H272" s="37">
        <f t="shared" si="123"/>
        <v>-0.06</v>
      </c>
      <c r="I272" s="37">
        <f t="shared" si="123"/>
        <v>0.25</v>
      </c>
      <c r="J272" s="37">
        <f t="shared" si="123"/>
        <v>0.19</v>
      </c>
      <c r="K272" s="37">
        <f t="shared" si="123"/>
        <v>-0.1</v>
      </c>
      <c r="L272" s="37">
        <f t="shared" si="123"/>
        <v>-0.02</v>
      </c>
      <c r="M272" s="37">
        <f t="shared" si="123"/>
        <v>0.02</v>
      </c>
      <c r="N272" s="37">
        <f t="shared" si="123"/>
        <v>0.23</v>
      </c>
      <c r="O272" s="37">
        <f t="shared" si="123"/>
        <v>-0.13</v>
      </c>
      <c r="P272" s="37">
        <f t="shared" si="123"/>
        <v>0</v>
      </c>
    </row>
    <row r="273" spans="4:16" x14ac:dyDescent="0.25">
      <c r="D273" s="37" t="s">
        <v>86</v>
      </c>
      <c r="E273" s="37" t="str">
        <f t="shared" si="123"/>
        <v>Moderate/Low</v>
      </c>
      <c r="F273" s="37" t="str">
        <f t="shared" si="123"/>
        <v>Spring</v>
      </c>
      <c r="G273" s="37">
        <f t="shared" si="123"/>
        <v>0.62</v>
      </c>
      <c r="H273" s="37">
        <f t="shared" si="123"/>
        <v>-0.19</v>
      </c>
      <c r="I273" s="37">
        <f t="shared" si="123"/>
        <v>0.37</v>
      </c>
      <c r="J273" s="37">
        <f t="shared" si="123"/>
        <v>0.41</v>
      </c>
      <c r="K273" s="37">
        <f t="shared" si="123"/>
        <v>0.06</v>
      </c>
      <c r="L273" s="37">
        <f t="shared" si="123"/>
        <v>-0.02</v>
      </c>
      <c r="M273" s="37">
        <f t="shared" si="123"/>
        <v>0.47</v>
      </c>
      <c r="N273" s="37">
        <f t="shared" si="123"/>
        <v>0.44</v>
      </c>
      <c r="O273" s="37">
        <f t="shared" si="123"/>
        <v>0.3</v>
      </c>
      <c r="P273" s="37">
        <f t="shared" si="123"/>
        <v>0.13</v>
      </c>
    </row>
    <row r="274" spans="4:16" x14ac:dyDescent="0.25">
      <c r="D274" s="37" t="s">
        <v>86</v>
      </c>
      <c r="E274" s="37" t="str">
        <f t="shared" si="123"/>
        <v>Moderate/Low</v>
      </c>
      <c r="F274" s="37" t="str">
        <f t="shared" si="123"/>
        <v>Summer</v>
      </c>
      <c r="G274" s="37">
        <f t="shared" si="123"/>
        <v>0.05</v>
      </c>
      <c r="H274" s="37">
        <f t="shared" ref="H274:P274" si="124">H209</f>
        <v>0.19</v>
      </c>
      <c r="I274" s="37">
        <f t="shared" si="124"/>
        <v>0.31</v>
      </c>
      <c r="J274" s="37">
        <f t="shared" si="124"/>
        <v>0.54</v>
      </c>
      <c r="K274" s="37">
        <f t="shared" si="124"/>
        <v>0.53</v>
      </c>
      <c r="L274" s="37">
        <f t="shared" si="124"/>
        <v>0.15</v>
      </c>
      <c r="M274" s="37">
        <f t="shared" si="124"/>
        <v>0.28000000000000003</v>
      </c>
      <c r="N274" s="37">
        <f t="shared" si="124"/>
        <v>0.56999999999999995</v>
      </c>
      <c r="O274" s="37">
        <f t="shared" si="124"/>
        <v>0.42</v>
      </c>
      <c r="P274" s="37">
        <f t="shared" si="124"/>
        <v>0.4</v>
      </c>
    </row>
    <row r="275" spans="4:16" x14ac:dyDescent="0.25">
      <c r="D275" s="37" t="s">
        <v>86</v>
      </c>
      <c r="E275" s="37" t="str">
        <f t="shared" si="123"/>
        <v>Moderate/Low</v>
      </c>
      <c r="F275" s="37" t="str">
        <f t="shared" si="123"/>
        <v>Autumn</v>
      </c>
      <c r="G275" s="37">
        <f t="shared" ref="G275:P275" si="125">G210</f>
        <v>0.33</v>
      </c>
      <c r="H275" s="37">
        <f t="shared" si="125"/>
        <v>0.13</v>
      </c>
      <c r="I275" s="37">
        <f t="shared" si="125"/>
        <v>0.39</v>
      </c>
      <c r="J275" s="37">
        <f t="shared" si="125"/>
        <v>0.36</v>
      </c>
      <c r="K275" s="37">
        <f t="shared" si="125"/>
        <v>0.26</v>
      </c>
      <c r="L275" s="37">
        <f t="shared" si="125"/>
        <v>0.11</v>
      </c>
      <c r="M275" s="37">
        <f t="shared" si="125"/>
        <v>0.4</v>
      </c>
      <c r="N275" s="37">
        <f t="shared" si="125"/>
        <v>0.44</v>
      </c>
      <c r="O275" s="37">
        <f t="shared" si="125"/>
        <v>0.37</v>
      </c>
      <c r="P275" s="37">
        <f t="shared" si="125"/>
        <v>-0.01</v>
      </c>
    </row>
    <row r="276" spans="4:16" x14ac:dyDescent="0.25">
      <c r="D276" s="37" t="s">
        <v>86</v>
      </c>
      <c r="E276" s="37" t="str">
        <f t="shared" si="123"/>
        <v>Moderate/Low</v>
      </c>
      <c r="F276" s="37" t="str">
        <f t="shared" si="123"/>
        <v>Winter</v>
      </c>
      <c r="G276" s="37">
        <f t="shared" ref="G276:P276" si="126">G211</f>
        <v>0.61</v>
      </c>
      <c r="H276" s="37">
        <f t="shared" si="126"/>
        <v>-0.06</v>
      </c>
      <c r="I276" s="37">
        <f t="shared" si="126"/>
        <v>0.21</v>
      </c>
      <c r="J276" s="37">
        <f t="shared" si="126"/>
        <v>0.18</v>
      </c>
      <c r="K276" s="37">
        <f t="shared" si="126"/>
        <v>0.12</v>
      </c>
      <c r="L276" s="37">
        <f t="shared" si="126"/>
        <v>0.06</v>
      </c>
      <c r="M276" s="37">
        <f t="shared" si="126"/>
        <v>0.28999999999999998</v>
      </c>
      <c r="N276" s="37">
        <f t="shared" si="126"/>
        <v>0.41</v>
      </c>
      <c r="O276" s="37">
        <f t="shared" si="126"/>
        <v>0.41</v>
      </c>
      <c r="P276" s="37">
        <f t="shared" si="126"/>
        <v>-0.15</v>
      </c>
    </row>
    <row r="277" spans="4:16" x14ac:dyDescent="0.25">
      <c r="D277" s="37" t="s">
        <v>86</v>
      </c>
      <c r="E277" s="37" t="str">
        <f t="shared" si="123"/>
        <v>Low</v>
      </c>
      <c r="F277" s="37" t="str">
        <f t="shared" si="123"/>
        <v>Spring</v>
      </c>
      <c r="G277" s="37">
        <f t="shared" ref="G277:P277" si="127">G212</f>
        <v>-0.2</v>
      </c>
      <c r="H277" s="37">
        <f t="shared" si="127"/>
        <v>0.02</v>
      </c>
      <c r="I277" s="37">
        <f t="shared" si="127"/>
        <v>0.24</v>
      </c>
      <c r="J277" s="37">
        <f t="shared" si="127"/>
        <v>0.3</v>
      </c>
      <c r="K277" s="37">
        <f t="shared" si="127"/>
        <v>0.23</v>
      </c>
      <c r="L277" s="37">
        <f t="shared" si="127"/>
        <v>-0.05</v>
      </c>
      <c r="M277" s="37">
        <f t="shared" si="127"/>
        <v>0.34</v>
      </c>
      <c r="N277" s="37">
        <f t="shared" si="127"/>
        <v>0.3</v>
      </c>
      <c r="O277" s="37">
        <f t="shared" si="127"/>
        <v>0.56999999999999995</v>
      </c>
      <c r="P277" s="37">
        <f t="shared" si="127"/>
        <v>0.52</v>
      </c>
    </row>
    <row r="278" spans="4:16" x14ac:dyDescent="0.25">
      <c r="D278" s="37" t="s">
        <v>86</v>
      </c>
      <c r="E278" s="37" t="str">
        <f t="shared" si="123"/>
        <v>Low</v>
      </c>
      <c r="F278" s="37" t="str">
        <f t="shared" si="123"/>
        <v>Summer</v>
      </c>
      <c r="G278" s="37">
        <f t="shared" ref="G278:P278" si="128">G213</f>
        <v>0.62</v>
      </c>
      <c r="H278" s="37">
        <f t="shared" si="128"/>
        <v>0.21</v>
      </c>
      <c r="I278" s="37">
        <f t="shared" si="128"/>
        <v>0.25</v>
      </c>
      <c r="J278" s="37">
        <f t="shared" si="128"/>
        <v>0.32</v>
      </c>
      <c r="K278" s="37">
        <f t="shared" si="128"/>
        <v>0.47</v>
      </c>
      <c r="L278" s="37">
        <f t="shared" si="128"/>
        <v>0.31</v>
      </c>
      <c r="M278" s="37">
        <f t="shared" si="128"/>
        <v>0.14000000000000001</v>
      </c>
      <c r="N278" s="37">
        <f t="shared" si="128"/>
        <v>0.4</v>
      </c>
      <c r="O278" s="37">
        <f t="shared" si="128"/>
        <v>0.26</v>
      </c>
      <c r="P278" s="37">
        <f t="shared" si="128"/>
        <v>0.43</v>
      </c>
    </row>
    <row r="279" spans="4:16" x14ac:dyDescent="0.25">
      <c r="D279" s="37" t="s">
        <v>86</v>
      </c>
      <c r="E279" s="37" t="str">
        <f t="shared" si="123"/>
        <v>Low</v>
      </c>
      <c r="F279" s="37" t="str">
        <f t="shared" si="123"/>
        <v>Autumn</v>
      </c>
      <c r="G279" s="37">
        <f t="shared" ref="G279:P279" si="129">G214</f>
        <v>0.4</v>
      </c>
      <c r="H279" s="37">
        <f t="shared" si="129"/>
        <v>0.13</v>
      </c>
      <c r="I279" s="37">
        <f t="shared" si="129"/>
        <v>0.12</v>
      </c>
      <c r="J279" s="37">
        <f t="shared" si="129"/>
        <v>0.27</v>
      </c>
      <c r="K279" s="37">
        <f t="shared" si="129"/>
        <v>0.3</v>
      </c>
      <c r="L279" s="37">
        <f t="shared" si="129"/>
        <v>0.08</v>
      </c>
      <c r="M279" s="37">
        <f t="shared" si="129"/>
        <v>0.13</v>
      </c>
      <c r="N279" s="37">
        <f t="shared" si="129"/>
        <v>0.24</v>
      </c>
      <c r="O279" s="37">
        <f t="shared" si="129"/>
        <v>0.15</v>
      </c>
      <c r="P279" s="37">
        <f t="shared" si="129"/>
        <v>0.21</v>
      </c>
    </row>
    <row r="280" spans="4:16" x14ac:dyDescent="0.25">
      <c r="D280" s="37" t="s">
        <v>86</v>
      </c>
      <c r="E280" s="37" t="str">
        <f t="shared" si="123"/>
        <v>Low</v>
      </c>
      <c r="F280" s="37" t="str">
        <f t="shared" si="123"/>
        <v>Winter</v>
      </c>
      <c r="G280" s="37">
        <f t="shared" ref="G280:P280" si="130">G215</f>
        <v>0.08</v>
      </c>
      <c r="H280" s="37">
        <f t="shared" si="130"/>
        <v>0.04</v>
      </c>
      <c r="I280" s="37">
        <f t="shared" si="130"/>
        <v>0.06</v>
      </c>
      <c r="J280" s="37">
        <f t="shared" si="130"/>
        <v>0.18</v>
      </c>
      <c r="K280" s="37">
        <f t="shared" si="130"/>
        <v>0.11</v>
      </c>
      <c r="L280" s="37">
        <f t="shared" si="130"/>
        <v>-7.0000000000000007E-2</v>
      </c>
      <c r="M280" s="37">
        <f t="shared" si="130"/>
        <v>0.13</v>
      </c>
      <c r="N280" s="37">
        <f t="shared" si="130"/>
        <v>0.16</v>
      </c>
      <c r="O280" s="37">
        <f t="shared" si="130"/>
        <v>0.4</v>
      </c>
      <c r="P280" s="37">
        <f t="shared" si="130"/>
        <v>0.33</v>
      </c>
    </row>
    <row r="281" spans="4:16" x14ac:dyDescent="0.25">
      <c r="M281" s="22"/>
    </row>
    <row r="282" spans="4:16" x14ac:dyDescent="0.25">
      <c r="M282" s="22"/>
    </row>
    <row r="283" spans="4:16" ht="23.25" x14ac:dyDescent="0.25">
      <c r="D283" s="6" t="str" cm="1">
        <f t="array" ref="D283">SourceData_PastureBeef.SourceData_PastureBeef_DryMatterDigestibility_Title()</f>
        <v>Beef pasture cattle - Dry matter digestibility of feed intake (fraction) (DMDj)</v>
      </c>
      <c r="M283" s="22"/>
    </row>
    <row r="284" spans="4:16" x14ac:dyDescent="0.25">
      <c r="D284" s="5" t="str" cm="1">
        <f t="array" ref="D284">SourceData_PastureBeef.SourceData_PastureBeef_DryMatterDigestibility_Source()</f>
        <v>VEERG 2026: Table A.1.2.5</v>
      </c>
      <c r="M284" s="22"/>
    </row>
    <row r="285" spans="4:16" x14ac:dyDescent="0.25">
      <c r="D285" s="1" t="str" cm="1">
        <f t="array" ref="D285">SourceData_PastureBeef.SourceData_PastureBeef_DryMatterDigestibility_Variable()</f>
        <v>DMDj</v>
      </c>
      <c r="M285" s="22"/>
    </row>
    <row r="286" spans="4:16" x14ac:dyDescent="0.25">
      <c r="D286" s="54" t="str" cm="1">
        <f t="array" ref="D286">SourceData_PastureBeef.SourceData_PastureBeef_DryMatterDigestibility_Unit()</f>
        <v>fraction</v>
      </c>
      <c r="M286" s="22"/>
    </row>
    <row r="287" spans="4:16" x14ac:dyDescent="0.25">
      <c r="D287" s="55" t="str" cm="1">
        <f t="array" ref="D287">SourceData_PastureBeef.SourceData_PastureBeef_DryMatterDigestibility_Variation()</f>
        <v>VARIATION ON SOURCE: Split ACT and NSW into separate rows. Duplicated QLD and NT rows with regions from table A.1.2.2 to aid lookup</v>
      </c>
      <c r="M287" s="22"/>
    </row>
    <row r="288" spans="4:16" x14ac:dyDescent="0.25">
      <c r="D288" s="37" t="s">
        <v>8</v>
      </c>
      <c r="E288" s="37" t="s">
        <v>183</v>
      </c>
      <c r="F288" s="37" t="s">
        <v>173</v>
      </c>
      <c r="G288" s="37" t="s">
        <v>174</v>
      </c>
      <c r="H288" s="37" t="s">
        <v>175</v>
      </c>
      <c r="I288" s="37" t="s">
        <v>176</v>
      </c>
      <c r="M288" s="22"/>
    </row>
    <row r="289" spans="4:13" x14ac:dyDescent="0.25">
      <c r="D289" s="37" t="str" cm="1">
        <f t="array" ref="D289">Common_InputFunctions.Utility_DisplayArrayInTable(SourceData_PastureBeef.SourceData_PastureBeef_DryMatterDigestibility_Data(), Table_SourceData_PastureBeef_DryMatterDigestibility[[#Headers],[State]], 0)</f>
        <v>ACT</v>
      </c>
      <c r="E289" s="37" t="str" cm="1">
        <f t="array" ref="E289">Common_InputFunctions.Utility_DisplayArrayInTable(SourceData_PastureBeef.SourceData_PastureBeef_DryMatterDigestibility_Data(), Table_SourceData_PastureBeef_DryMatterDigestibility[[#Headers],[State]], 0)</f>
        <v>n/a</v>
      </c>
      <c r="F289" s="37" cm="1">
        <f t="array" ref="F289">Common_InputFunctions.Utility_DisplayArrayInTable(SourceData_PastureBeef.SourceData_PastureBeef_DryMatterDigestibility_Data(), Table_SourceData_PastureBeef_DryMatterDigestibility[[#Headers],[State]], 0)</f>
        <v>0.55000000000000004</v>
      </c>
      <c r="G289" s="37" cm="1">
        <f t="array" ref="G289">Common_InputFunctions.Utility_DisplayArrayInTable(SourceData_PastureBeef.SourceData_PastureBeef_DryMatterDigestibility_Data(), Table_SourceData_PastureBeef_DryMatterDigestibility[[#Headers],[State]], 0)</f>
        <v>0.65</v>
      </c>
      <c r="H289" s="37" cm="1">
        <f t="array" ref="H289">Common_InputFunctions.Utility_DisplayArrayInTable(SourceData_PastureBeef.SourceData_PastureBeef_DryMatterDigestibility_Data(), Table_SourceData_PastureBeef_DryMatterDigestibility[[#Headers],[State]], 0)</f>
        <v>0.6</v>
      </c>
      <c r="I289" s="37" cm="1">
        <f t="array" ref="I289">Common_InputFunctions.Utility_DisplayArrayInTable(SourceData_PastureBeef.SourceData_PastureBeef_DryMatterDigestibility_Data(), Table_SourceData_PastureBeef_DryMatterDigestibility[[#Headers],[State]], 0)</f>
        <v>0.5</v>
      </c>
      <c r="M289" s="22"/>
    </row>
    <row r="290" spans="4:13" x14ac:dyDescent="0.25">
      <c r="D290" s="1" t="str" cm="1">
        <f t="array" ref="D290">Common_InputFunctions.Utility_DisplayArrayInTable(SourceData_PastureBeef.SourceData_PastureBeef_DryMatterDigestibility_Data(), Table_SourceData_PastureBeef_DryMatterDigestibility[[#Headers],[State]], 0)</f>
        <v>NSW</v>
      </c>
      <c r="E290" s="37" t="str" cm="1">
        <f t="array" ref="E290">Common_InputFunctions.Utility_DisplayArrayInTable(SourceData_PastureBeef.SourceData_PastureBeef_DryMatterDigestibility_Data(), Table_SourceData_PastureBeef_DryMatterDigestibility[[#Headers],[State]], 0)</f>
        <v>n/a</v>
      </c>
      <c r="F290" s="37" cm="1">
        <f t="array" ref="F290">Common_InputFunctions.Utility_DisplayArrayInTable(SourceData_PastureBeef.SourceData_PastureBeef_DryMatterDigestibility_Data(), Table_SourceData_PastureBeef_DryMatterDigestibility[[#Headers],[State]], 0)</f>
        <v>0.55000000000000004</v>
      </c>
      <c r="G290" s="37" cm="1">
        <f t="array" ref="G290">Common_InputFunctions.Utility_DisplayArrayInTable(SourceData_PastureBeef.SourceData_PastureBeef_DryMatterDigestibility_Data(), Table_SourceData_PastureBeef_DryMatterDigestibility[[#Headers],[State]], 0)</f>
        <v>0.65</v>
      </c>
      <c r="H290" s="37" cm="1">
        <f t="array" ref="H290">Common_InputFunctions.Utility_DisplayArrayInTable(SourceData_PastureBeef.SourceData_PastureBeef_DryMatterDigestibility_Data(), Table_SourceData_PastureBeef_DryMatterDigestibility[[#Headers],[State]], 0)</f>
        <v>0.6</v>
      </c>
      <c r="I290" s="37" cm="1">
        <f t="array" ref="I290">Common_InputFunctions.Utility_DisplayArrayInTable(SourceData_PastureBeef.SourceData_PastureBeef_DryMatterDigestibility_Data(), Table_SourceData_PastureBeef_DryMatterDigestibility[[#Headers],[State]], 0)</f>
        <v>0.5</v>
      </c>
      <c r="M290" s="22"/>
    </row>
    <row r="291" spans="4:13" x14ac:dyDescent="0.25">
      <c r="D291" s="1" t="str" cm="1">
        <f t="array" ref="D291">Common_InputFunctions.Utility_DisplayArrayInTable(SourceData_PastureBeef.SourceData_PastureBeef_DryMatterDigestibility_Data(), Table_SourceData_PastureBeef_DryMatterDigestibility[[#Headers],[State]], 0)</f>
        <v>NT</v>
      </c>
      <c r="E291" s="37" t="str" cm="1">
        <f t="array" ref="E291">Common_InputFunctions.Utility_DisplayArrayInTable(SourceData_PastureBeef.SourceData_PastureBeef_DryMatterDigestibility_Data(), Table_SourceData_PastureBeef_DryMatterDigestibility[[#Headers],[State]], 0)</f>
        <v>Alice Springs</v>
      </c>
      <c r="F291" s="37" cm="1">
        <f t="array" ref="F291">Common_InputFunctions.Utility_DisplayArrayInTable(SourceData_PastureBeef.SourceData_PastureBeef_DryMatterDigestibility_Data(), Table_SourceData_PastureBeef_DryMatterDigestibility[[#Headers],[State]], 0)</f>
        <v>0.55000000000000004</v>
      </c>
      <c r="G291" s="37" cm="1">
        <f t="array" ref="G291">Common_InputFunctions.Utility_DisplayArrayInTable(SourceData_PastureBeef.SourceData_PastureBeef_DryMatterDigestibility_Data(), Table_SourceData_PastureBeef_DryMatterDigestibility[[#Headers],[State]], 0)</f>
        <v>0.61</v>
      </c>
      <c r="H291" s="37" cm="1">
        <f t="array" ref="H291">Common_InputFunctions.Utility_DisplayArrayInTable(SourceData_PastureBeef.SourceData_PastureBeef_DryMatterDigestibility_Data(), Table_SourceData_PastureBeef_DryMatterDigestibility[[#Headers],[State]], 0)</f>
        <v>0.56999999999999995</v>
      </c>
      <c r="I291" s="37" cm="1">
        <f t="array" ref="I291">Common_InputFunctions.Utility_DisplayArrayInTable(SourceData_PastureBeef.SourceData_PastureBeef_DryMatterDigestibility_Data(), Table_SourceData_PastureBeef_DryMatterDigestibility[[#Headers],[State]], 0)</f>
        <v>0.54</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NT</v>
      </c>
      <c r="E292" s="37" t="str" cm="1">
        <f t="array" ref="E292">Common_InputFunctions.Utility_DisplayArrayInTable(SourceData_PastureBeef.SourceData_PastureBeef_DryMatterDigestibility_Data(), Table_SourceData_PastureBeef_DryMatterDigestibility[[#Headers],[State]], 0)</f>
        <v>Barkly</v>
      </c>
      <c r="F292" s="37" cm="1">
        <f t="array" ref="F292">Common_InputFunctions.Utility_DisplayArrayInTable(SourceData_PastureBeef.SourceData_PastureBeef_DryMatterDigestibility_Data(), Table_SourceData_PastureBeef_DryMatterDigestibility[[#Headers],[State]], 0)</f>
        <v>0.55000000000000004</v>
      </c>
      <c r="G292" s="37" cm="1">
        <f t="array" ref="G292">Common_InputFunctions.Utility_DisplayArrayInTable(SourceData_PastureBeef.SourceData_PastureBeef_DryMatterDigestibility_Data(), Table_SourceData_PastureBeef_DryMatterDigestibility[[#Headers],[State]], 0)</f>
        <v>0.61</v>
      </c>
      <c r="H292" s="37" cm="1">
        <f t="array" ref="H292">Common_InputFunctions.Utility_DisplayArrayInTable(SourceData_PastureBeef.SourceData_PastureBeef_DryMatterDigestibility_Data(), Table_SourceData_PastureBeef_DryMatterDigestibility[[#Headers],[State]], 0)</f>
        <v>0.56999999999999995</v>
      </c>
      <c r="I292" s="37" cm="1">
        <f t="array" ref="I292">Common_InputFunctions.Utility_DisplayArrayInTable(SourceData_PastureBeef.SourceData_PastureBeef_DryMatterDigestibility_Data(), Table_SourceData_PastureBeef_DryMatterDigestibility[[#Headers],[State]], 0)</f>
        <v>0.54</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7" t="str" cm="1">
        <f t="array" ref="E293">Common_InputFunctions.Utility_DisplayArrayInTable(SourceData_PastureBeef.SourceData_PastureBeef_DryMatterDigestibility_Data(), Table_SourceData_PastureBeef_DryMatterDigestibility[[#Headers],[State]], 0)</f>
        <v>Northern</v>
      </c>
      <c r="F293" s="37" cm="1">
        <f t="array" ref="F293">Common_InputFunctions.Utility_DisplayArrayInTable(SourceData_PastureBeef.SourceData_PastureBeef_DryMatterDigestibility_Data(), Table_SourceData_PastureBeef_DryMatterDigestibility[[#Headers],[State]], 0)</f>
        <v>0.55000000000000004</v>
      </c>
      <c r="G293" s="37" cm="1">
        <f t="array" ref="G293">Common_InputFunctions.Utility_DisplayArrayInTable(SourceData_PastureBeef.SourceData_PastureBeef_DryMatterDigestibility_Data(), Table_SourceData_PastureBeef_DryMatterDigestibility[[#Headers],[State]], 0)</f>
        <v>0.61</v>
      </c>
      <c r="H293" s="37" cm="1">
        <f t="array" ref="H293">Common_InputFunctions.Utility_DisplayArrayInTable(SourceData_PastureBeef.SourceData_PastureBeef_DryMatterDigestibility_Data(), Table_SourceData_PastureBeef_DryMatterDigestibility[[#Headers],[State]], 0)</f>
        <v>0.56999999999999995</v>
      </c>
      <c r="I293" s="37"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QLD</v>
      </c>
      <c r="E294" s="37" t="str" cm="1">
        <f t="array" ref="E294">Common_InputFunctions.Utility_DisplayArrayInTable(SourceData_PastureBeef.SourceData_PastureBeef_DryMatterDigestibility_Data(), Table_SourceData_PastureBeef_DryMatterDigestibility[[#Headers],[State]], 0)</f>
        <v>High</v>
      </c>
      <c r="F294" s="37" cm="1">
        <f t="array" ref="F294">Common_InputFunctions.Utility_DisplayArrayInTable(SourceData_PastureBeef.SourceData_PastureBeef_DryMatterDigestibility_Data(), Table_SourceData_PastureBeef_DryMatterDigestibility[[#Headers],[State]], 0)</f>
        <v>0.53</v>
      </c>
      <c r="G294" s="37" cm="1">
        <f t="array" ref="G294">Common_InputFunctions.Utility_DisplayArrayInTable(SourceData_PastureBeef.SourceData_PastureBeef_DryMatterDigestibility_Data(), Table_SourceData_PastureBeef_DryMatterDigestibility[[#Headers],[State]], 0)</f>
        <v>0.56999999999999995</v>
      </c>
      <c r="H294" s="37" cm="1">
        <f t="array" ref="H294">Common_InputFunctions.Utility_DisplayArrayInTable(SourceData_PastureBeef.SourceData_PastureBeef_DryMatterDigestibility_Data(), Table_SourceData_PastureBeef_DryMatterDigestibility[[#Headers],[State]], 0)</f>
        <v>0.55000000000000004</v>
      </c>
      <c r="I294" s="37" cm="1">
        <f t="array" ref="I294">Common_InputFunctions.Utility_DisplayArrayInTable(SourceData_PastureBeef.SourceData_PastureBeef_DryMatterDigestibility_Data(), Table_SourceData_PastureBeef_DryMatterDigestibility[[#Headers],[State]], 0)</f>
        <v>0.51</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QLD</v>
      </c>
      <c r="E295" s="37" t="str" cm="1">
        <f t="array" ref="E295">Common_InputFunctions.Utility_DisplayArrayInTable(SourceData_PastureBeef.SourceData_PastureBeef_DryMatterDigestibility_Data(), Table_SourceData_PastureBeef_DryMatterDigestibility[[#Headers],[State]], 0)</f>
        <v>Moderate/High</v>
      </c>
      <c r="F295" s="37" cm="1">
        <f t="array" ref="F295">Common_InputFunctions.Utility_DisplayArrayInTable(SourceData_PastureBeef.SourceData_PastureBeef_DryMatterDigestibility_Data(), Table_SourceData_PastureBeef_DryMatterDigestibility[[#Headers],[State]], 0)</f>
        <v>0.53</v>
      </c>
      <c r="G295" s="37" cm="1">
        <f t="array" ref="G295">Common_InputFunctions.Utility_DisplayArrayInTable(SourceData_PastureBeef.SourceData_PastureBeef_DryMatterDigestibility_Data(), Table_SourceData_PastureBeef_DryMatterDigestibility[[#Headers],[State]], 0)</f>
        <v>0.56999999999999995</v>
      </c>
      <c r="H295" s="37" cm="1">
        <f t="array" ref="H295">Common_InputFunctions.Utility_DisplayArrayInTable(SourceData_PastureBeef.SourceData_PastureBeef_DryMatterDigestibility_Data(), Table_SourceData_PastureBeef_DryMatterDigestibility[[#Headers],[State]], 0)</f>
        <v>0.55000000000000004</v>
      </c>
      <c r="I295" s="37" cm="1">
        <f t="array" ref="I295">Common_InputFunctions.Utility_DisplayArrayInTable(SourceData_PastureBeef.SourceData_PastureBeef_DryMatterDigestibility_Data(), Table_SourceData_PastureBeef_DryMatterDigestibility[[#Headers],[State]], 0)</f>
        <v>0.51</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7" t="str" cm="1">
        <f t="array" ref="E296">Common_InputFunctions.Utility_DisplayArrayInTable(SourceData_PastureBeef.SourceData_PastureBeef_DryMatterDigestibility_Data(), Table_SourceData_PastureBeef_DryMatterDigestibility[[#Headers],[State]], 0)</f>
        <v>Moderate/Low</v>
      </c>
      <c r="F296" s="37" cm="1">
        <f t="array" ref="F296">Common_InputFunctions.Utility_DisplayArrayInTable(SourceData_PastureBeef.SourceData_PastureBeef_DryMatterDigestibility_Data(), Table_SourceData_PastureBeef_DryMatterDigestibility[[#Headers],[State]], 0)</f>
        <v>0.53</v>
      </c>
      <c r="G296" s="37" cm="1">
        <f t="array" ref="G296">Common_InputFunctions.Utility_DisplayArrayInTable(SourceData_PastureBeef.SourceData_PastureBeef_DryMatterDigestibility_Data(), Table_SourceData_PastureBeef_DryMatterDigestibility[[#Headers],[State]], 0)</f>
        <v>0.56999999999999995</v>
      </c>
      <c r="H296" s="37" cm="1">
        <f t="array" ref="H296">Common_InputFunctions.Utility_DisplayArrayInTable(SourceData_PastureBeef.SourceData_PastureBeef_DryMatterDigestibility_Data(), Table_SourceData_PastureBeef_DryMatterDigestibility[[#Headers],[State]], 0)</f>
        <v>0.55000000000000004</v>
      </c>
      <c r="I296" s="37"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7" t="str" cm="1">
        <f t="array" ref="E297">Common_InputFunctions.Utility_DisplayArrayInTable(SourceData_PastureBeef.SourceData_PastureBeef_DryMatterDigestibility_Data(), Table_SourceData_PastureBeef_DryMatterDigestibility[[#Headers],[State]], 0)</f>
        <v>Low</v>
      </c>
      <c r="F297" s="37" cm="1">
        <f t="array" ref="F297">Common_InputFunctions.Utility_DisplayArrayInTable(SourceData_PastureBeef.SourceData_PastureBeef_DryMatterDigestibility_Data(), Table_SourceData_PastureBeef_DryMatterDigestibility[[#Headers],[State]], 0)</f>
        <v>0.53</v>
      </c>
      <c r="G297" s="37" cm="1">
        <f t="array" ref="G297">Common_InputFunctions.Utility_DisplayArrayInTable(SourceData_PastureBeef.SourceData_PastureBeef_DryMatterDigestibility_Data(), Table_SourceData_PastureBeef_DryMatterDigestibility[[#Headers],[State]], 0)</f>
        <v>0.56999999999999995</v>
      </c>
      <c r="H297" s="37" cm="1">
        <f t="array" ref="H297">Common_InputFunctions.Utility_DisplayArrayInTable(SourceData_PastureBeef.SourceData_PastureBeef_DryMatterDigestibility_Data(), Table_SourceData_PastureBeef_DryMatterDigestibility[[#Headers],[State]], 0)</f>
        <v>0.55000000000000004</v>
      </c>
      <c r="I297" s="37"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SA</v>
      </c>
      <c r="E298" s="37" t="str" cm="1">
        <f t="array" ref="E298">Common_InputFunctions.Utility_DisplayArrayInTable(SourceData_PastureBeef.SourceData_PastureBeef_DryMatterDigestibility_Data(), Table_SourceData_PastureBeef_DryMatterDigestibility[[#Headers],[State]], 0)</f>
        <v>n/a</v>
      </c>
      <c r="F298" s="37" cm="1">
        <f t="array" ref="F298">Common_InputFunctions.Utility_DisplayArrayInTable(SourceData_PastureBeef.SourceData_PastureBeef_DryMatterDigestibility_Data(), Table_SourceData_PastureBeef_DryMatterDigestibility[[#Headers],[State]], 0)</f>
        <v>0.7</v>
      </c>
      <c r="G298" s="37" cm="1">
        <f t="array" ref="G298">Common_InputFunctions.Utility_DisplayArrayInTable(SourceData_PastureBeef.SourceData_PastureBeef_DryMatterDigestibility_Data(), Table_SourceData_PastureBeef_DryMatterDigestibility[[#Headers],[State]], 0)</f>
        <v>0.55000000000000004</v>
      </c>
      <c r="H298" s="37" cm="1">
        <f t="array" ref="H298">Common_InputFunctions.Utility_DisplayArrayInTable(SourceData_PastureBeef.SourceData_PastureBeef_DryMatterDigestibility_Data(), Table_SourceData_PastureBeef_DryMatterDigestibility[[#Headers],[State]], 0)</f>
        <v>0.55000000000000004</v>
      </c>
      <c r="I298" s="37" cm="1">
        <f t="array" ref="I298">Common_InputFunctions.Utility_DisplayArrayInTable(SourceData_PastureBeef.SourceData_PastureBeef_DryMatterDigestibility_Data(), Table_SourceData_PastureBeef_DryMatterDigestibility[[#Headers],[State]], 0)</f>
        <v>0.75</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TAS</v>
      </c>
      <c r="E299" s="37" t="str" cm="1">
        <f t="array" ref="E299">Common_InputFunctions.Utility_DisplayArrayInTable(SourceData_PastureBeef.SourceData_PastureBeef_DryMatterDigestibility_Data(), Table_SourceData_PastureBeef_DryMatterDigestibility[[#Headers],[State]], 0)</f>
        <v>n/a</v>
      </c>
      <c r="F299" s="37" cm="1">
        <f t="array" ref="F299">Common_InputFunctions.Utility_DisplayArrayInTable(SourceData_PastureBeef.SourceData_PastureBeef_DryMatterDigestibility_Data(), Table_SourceData_PastureBeef_DryMatterDigestibility[[#Headers],[State]], 0)</f>
        <v>0.75</v>
      </c>
      <c r="G299" s="37" cm="1">
        <f t="array" ref="G299">Common_InputFunctions.Utility_DisplayArrayInTable(SourceData_PastureBeef.SourceData_PastureBeef_DryMatterDigestibility_Data(), Table_SourceData_PastureBeef_DryMatterDigestibility[[#Headers],[State]], 0)</f>
        <v>0.6</v>
      </c>
      <c r="H299" s="37" cm="1">
        <f t="array" ref="H299">Common_InputFunctions.Utility_DisplayArrayInTable(SourceData_PastureBeef.SourceData_PastureBeef_DryMatterDigestibility_Data(), Table_SourceData_PastureBeef_DryMatterDigestibility[[#Headers],[State]], 0)</f>
        <v>0.7</v>
      </c>
      <c r="I299" s="37" cm="1">
        <f t="array" ref="I299">Common_InputFunctions.Utility_DisplayArrayInTable(SourceData_PastureBeef.SourceData_PastureBeef_DryMatterDigestibility_Data(), Table_SourceData_PastureBeef_DryMatterDigestibility[[#Headers],[State]], 0)</f>
        <v>0.75</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VIC</v>
      </c>
      <c r="E300" s="37" t="str" cm="1">
        <f t="array" ref="E300">Common_InputFunctions.Utility_DisplayArrayInTable(SourceData_PastureBeef.SourceData_PastureBeef_DryMatterDigestibility_Data(), Table_SourceData_PastureBeef_DryMatterDigestibility[[#Headers],[State]], 0)</f>
        <v>n/a</v>
      </c>
      <c r="F300" s="37" cm="1">
        <f t="array" ref="F300">Common_InputFunctions.Utility_DisplayArrayInTable(SourceData_PastureBeef.SourceData_PastureBeef_DryMatterDigestibility_Data(), Table_SourceData_PastureBeef_DryMatterDigestibility[[#Headers],[State]], 0)</f>
        <v>0.8</v>
      </c>
      <c r="G300" s="37" cm="1">
        <f t="array" ref="G300">Common_InputFunctions.Utility_DisplayArrayInTable(SourceData_PastureBeef.SourceData_PastureBeef_DryMatterDigestibility_Data(), Table_SourceData_PastureBeef_DryMatterDigestibility[[#Headers],[State]], 0)</f>
        <v>0.55000000000000004</v>
      </c>
      <c r="H300" s="37" cm="1">
        <f t="array" ref="H300">Common_InputFunctions.Utility_DisplayArrayInTable(SourceData_PastureBeef.SourceData_PastureBeef_DryMatterDigestibility_Data(), Table_SourceData_PastureBeef_DryMatterDigestibility[[#Headers],[State]], 0)</f>
        <v>0.6</v>
      </c>
      <c r="I300" s="37" cm="1">
        <f t="array" ref="I300">Common_InputFunctions.Utility_DisplayArrayInTable(SourceData_PastureBeef.SourceData_PastureBeef_DryMatterDigestibility_Data(), Table_SourceData_PastureBeef_DryMatterDigestibility[[#Headers],[State]], 0)</f>
        <v>0.76</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WA</v>
      </c>
      <c r="E301" s="37" t="str" cm="1">
        <f t="array" ref="E301">Common_InputFunctions.Utility_DisplayArrayInTable(SourceData_PastureBeef.SourceData_PastureBeef_DryMatterDigestibility_Data(), Table_SourceData_PastureBeef_DryMatterDigestibility[[#Headers],[State]], 0)</f>
        <v>South West</v>
      </c>
      <c r="F301" s="37" cm="1">
        <f t="array" ref="F301">Common_InputFunctions.Utility_DisplayArrayInTable(SourceData_PastureBeef.SourceData_PastureBeef_DryMatterDigestibility_Data(), Table_SourceData_PastureBeef_DryMatterDigestibility[[#Headers],[State]], 0)</f>
        <v>0.8</v>
      </c>
      <c r="G301" s="37" cm="1">
        <f t="array" ref="G301">Common_InputFunctions.Utility_DisplayArrayInTable(SourceData_PastureBeef.SourceData_PastureBeef_DryMatterDigestibility_Data(), Table_SourceData_PastureBeef_DryMatterDigestibility[[#Headers],[State]], 0)</f>
        <v>0.57999999999999996</v>
      </c>
      <c r="H301" s="37" cm="1">
        <f t="array" ref="H301">Common_InputFunctions.Utility_DisplayArrayInTable(SourceData_PastureBeef.SourceData_PastureBeef_DryMatterDigestibility_Data(), Table_SourceData_PastureBeef_DryMatterDigestibility[[#Headers],[State]], 0)</f>
        <v>0.5</v>
      </c>
      <c r="I301" s="37"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WA</v>
      </c>
      <c r="E302" s="37" t="str" cm="1">
        <f t="array" ref="E302">Common_InputFunctions.Utility_DisplayArrayInTable(SourceData_PastureBeef.SourceData_PastureBeef_DryMatterDigestibility_Data(), Table_SourceData_PastureBeef_DryMatterDigestibility[[#Headers],[State]], 0)</f>
        <v>Pilbara</v>
      </c>
      <c r="F302" s="37" cm="1">
        <f t="array" ref="F302">Common_InputFunctions.Utility_DisplayArrayInTable(SourceData_PastureBeef.SourceData_PastureBeef_DryMatterDigestibility_Data(), Table_SourceData_PastureBeef_DryMatterDigestibility[[#Headers],[State]], 0)</f>
        <v>0.4</v>
      </c>
      <c r="G302" s="37" cm="1">
        <f t="array" ref="G302">Common_InputFunctions.Utility_DisplayArrayInTable(SourceData_PastureBeef.SourceData_PastureBeef_DryMatterDigestibility_Data(), Table_SourceData_PastureBeef_DryMatterDigestibility[[#Headers],[State]], 0)</f>
        <v>0.65</v>
      </c>
      <c r="H302" s="37" cm="1">
        <f t="array" ref="H302">Common_InputFunctions.Utility_DisplayArrayInTable(SourceData_PastureBeef.SourceData_PastureBeef_DryMatterDigestibility_Data(), Table_SourceData_PastureBeef_DryMatterDigestibility[[#Headers],[State]], 0)</f>
        <v>0.55000000000000004</v>
      </c>
      <c r="I302" s="37" cm="1">
        <f t="array" ref="I302">Common_InputFunctions.Utility_DisplayArrayInTable(SourceData_PastureBeef.SourceData_PastureBeef_DryMatterDigestibility_Data(), Table_SourceData_PastureBeef_DryMatterDigestibility[[#Headers],[State]], 0)</f>
        <v>0.45</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7" t="str" cm="1">
        <f t="array" ref="E303">Common_InputFunctions.Utility_DisplayArrayInTable(SourceData_PastureBeef.SourceData_PastureBeef_DryMatterDigestibility_Data(), Table_SourceData_PastureBeef_DryMatterDigestibility[[#Headers],[State]], 0)</f>
        <v>Kimberley</v>
      </c>
      <c r="F303" s="37" cm="1">
        <f t="array" ref="F303">Common_InputFunctions.Utility_DisplayArrayInTable(SourceData_PastureBeef.SourceData_PastureBeef_DryMatterDigestibility_Data(), Table_SourceData_PastureBeef_DryMatterDigestibility[[#Headers],[State]], 0)</f>
        <v>0.4</v>
      </c>
      <c r="G303" s="37" cm="1">
        <f t="array" ref="G303">Common_InputFunctions.Utility_DisplayArrayInTable(SourceData_PastureBeef.SourceData_PastureBeef_DryMatterDigestibility_Data(), Table_SourceData_PastureBeef_DryMatterDigestibility[[#Headers],[State]], 0)</f>
        <v>0.65</v>
      </c>
      <c r="H303" s="37" cm="1">
        <f t="array" ref="H303">Common_InputFunctions.Utility_DisplayArrayInTable(SourceData_PastureBeef.SourceData_PastureBeef_DryMatterDigestibility_Data(), Table_SourceData_PastureBeef_DryMatterDigestibility[[#Headers],[State]], 0)</f>
        <v>0.55000000000000004</v>
      </c>
      <c r="I303" s="37" cm="1">
        <f t="array" ref="I303">Common_InputFunctions.Utility_DisplayArrayInTable(SourceData_PastureBeef.SourceData_PastureBeef_DryMatterDigestibility_Data(), Table_SourceData_PastureBeef_DryMatterDigestibility[[#Headers],[State]], 0)</f>
        <v>0.45</v>
      </c>
      <c r="M303" s="22"/>
    </row>
    <row r="304" spans="4:13" x14ac:dyDescent="0.25">
      <c r="M304" s="22"/>
    </row>
    <row r="305" spans="4:13" x14ac:dyDescent="0.25">
      <c r="M305" s="22"/>
    </row>
    <row r="306" spans="4:13" ht="23.25" x14ac:dyDescent="0.25">
      <c r="D306" s="6" t="str" cm="1">
        <f t="array" ref="D306">SourceData_PastureBeef.SourceData_PastureBeef_CrudeProteinContent_Title()</f>
        <v>Beef pasture cattle - Crude protein content of feed intake (fraction) (CPj)</v>
      </c>
      <c r="M306" s="22"/>
    </row>
    <row r="307" spans="4:13" x14ac:dyDescent="0.25">
      <c r="D307" s="5" t="str" cm="1">
        <f t="array" ref="D307">SourceData_PastureBeef.SourceData_PastureBeef_CrudeProteinContent_Source()</f>
        <v>VEERG 2026: Table A.1.2.6</v>
      </c>
      <c r="M307" s="22"/>
    </row>
    <row r="308" spans="4:13" x14ac:dyDescent="0.25">
      <c r="D308" s="1" t="str" cm="1">
        <f t="array" ref="D308">SourceData_PastureBeef.SourceData_PastureBeef_CrudeProteinContent_Variable()</f>
        <v>CPj</v>
      </c>
      <c r="M308" s="22"/>
    </row>
    <row r="309" spans="4:13" x14ac:dyDescent="0.25">
      <c r="D309" s="54" t="str" cm="1">
        <f t="array" ref="D309">SourceData_PastureBeef.SourceData_PastureBeef_CrudeProteinContent_Unit()</f>
        <v>fraction</v>
      </c>
      <c r="M309" s="22"/>
    </row>
    <row r="310" spans="4:13" x14ac:dyDescent="0.25">
      <c r="D310" s="55" t="str" cm="1">
        <f t="array" ref="D310">SourceData_PastureBeef.SourceData_PastureBeef_CrudeProteinContent_Variation()</f>
        <v>VARIATION ON SOURCE: Split ACT and NSW into separate rows. Duplicated QLD and NT rows with regions from table A.1.2.2 to aid lookup</v>
      </c>
      <c r="M310" s="22"/>
    </row>
    <row r="311" spans="4:13" x14ac:dyDescent="0.25">
      <c r="D311" s="37" t="s">
        <v>8</v>
      </c>
      <c r="E311" s="37" t="s">
        <v>183</v>
      </c>
      <c r="F311" s="37" t="s">
        <v>173</v>
      </c>
      <c r="G311" s="37" t="s">
        <v>174</v>
      </c>
      <c r="H311" s="37" t="s">
        <v>175</v>
      </c>
      <c r="I311" s="37" t="s">
        <v>176</v>
      </c>
      <c r="M311" s="22"/>
    </row>
    <row r="312" spans="4:13" x14ac:dyDescent="0.25">
      <c r="D312" s="37" t="str" cm="1">
        <f t="array" ref="D312">Common_InputFunctions.Utility_DisplayArrayInTable(SourceData_PastureBeef.SourceData_PastureBeef_CrudeProteinContent_Data(), Table_SourceData_PastureBeef_CrudeProtein[[#Headers],[State]], 0)</f>
        <v>ACT</v>
      </c>
      <c r="E312" s="37" t="str" cm="1">
        <f t="array" ref="E312">Common_InputFunctions.Utility_DisplayArrayInTable(SourceData_PastureBeef.SourceData_PastureBeef_CrudeProteinContent_Data(), Table_SourceData_PastureBeef_CrudeProtein[[#Headers],[State]], 0)</f>
        <v>n/a</v>
      </c>
      <c r="F312" s="37" cm="1">
        <f t="array" ref="F312">Common_InputFunctions.Utility_DisplayArrayInTable(SourceData_PastureBeef.SourceData_PastureBeef_CrudeProteinContent_Data(), Table_SourceData_PastureBeef_CrudeProtein[[#Headers],[State]], 0)</f>
        <v>7.0000000000000007E-2</v>
      </c>
      <c r="G312" s="37" cm="1">
        <f t="array" ref="G312">Common_InputFunctions.Utility_DisplayArrayInTable(SourceData_PastureBeef.SourceData_PastureBeef_CrudeProteinContent_Data(), Table_SourceData_PastureBeef_CrudeProtein[[#Headers],[State]], 0)</f>
        <v>0.13</v>
      </c>
      <c r="H312" s="37" cm="1">
        <f t="array" ref="H312">Common_InputFunctions.Utility_DisplayArrayInTable(SourceData_PastureBeef.SourceData_PastureBeef_CrudeProteinContent_Data(), Table_SourceData_PastureBeef_CrudeProtein[[#Headers],[State]], 0)</f>
        <v>0.1</v>
      </c>
      <c r="I312" s="37" cm="1">
        <f t="array" ref="I312">Common_InputFunctions.Utility_DisplayArrayInTable(SourceData_PastureBeef.SourceData_PastureBeef_CrudeProteinContent_Data(), Table_SourceData_PastureBeef_CrudeProtein[[#Headers],[State]], 0)</f>
        <v>0.06</v>
      </c>
      <c r="M312" s="22"/>
    </row>
    <row r="313" spans="4:13" x14ac:dyDescent="0.25">
      <c r="D313" s="37" t="str" cm="1">
        <f t="array" ref="D313">Common_InputFunctions.Utility_DisplayArrayInTable(SourceData_PastureBeef.SourceData_PastureBeef_CrudeProteinContent_Data(), Table_SourceData_PastureBeef_CrudeProtein[[#Headers],[State]], 0)</f>
        <v>NSW</v>
      </c>
      <c r="E313" s="37" t="str" cm="1">
        <f t="array" ref="E313">Common_InputFunctions.Utility_DisplayArrayInTable(SourceData_PastureBeef.SourceData_PastureBeef_CrudeProteinContent_Data(), Table_SourceData_PastureBeef_CrudeProtein[[#Headers],[State]], 0)</f>
        <v>n/a</v>
      </c>
      <c r="F313" s="37" cm="1">
        <f t="array" ref="F313">Common_InputFunctions.Utility_DisplayArrayInTable(SourceData_PastureBeef.SourceData_PastureBeef_CrudeProteinContent_Data(), Table_SourceData_PastureBeef_CrudeProtein[[#Headers],[State]], 0)</f>
        <v>7.0000000000000007E-2</v>
      </c>
      <c r="G313" s="37" cm="1">
        <f t="array" ref="G313">Common_InputFunctions.Utility_DisplayArrayInTable(SourceData_PastureBeef.SourceData_PastureBeef_CrudeProteinContent_Data(), Table_SourceData_PastureBeef_CrudeProtein[[#Headers],[State]], 0)</f>
        <v>0.13</v>
      </c>
      <c r="H313" s="37" cm="1">
        <f t="array" ref="H313">Common_InputFunctions.Utility_DisplayArrayInTable(SourceData_PastureBeef.SourceData_PastureBeef_CrudeProteinContent_Data(), Table_SourceData_PastureBeef_CrudeProtein[[#Headers],[State]], 0)</f>
        <v>0.1</v>
      </c>
      <c r="I313" s="37" cm="1">
        <f t="array" ref="I313">Common_InputFunctions.Utility_DisplayArrayInTable(SourceData_PastureBeef.SourceData_PastureBeef_CrudeProteinContent_Data(), Table_SourceData_PastureBeef_CrudeProtein[[#Headers],[State]], 0)</f>
        <v>0.06</v>
      </c>
      <c r="M313" s="22"/>
    </row>
    <row r="314" spans="4:13" x14ac:dyDescent="0.25">
      <c r="D314" s="37" t="str" cm="1">
        <f t="array" ref="D314">Common_InputFunctions.Utility_DisplayArrayInTable(SourceData_PastureBeef.SourceData_PastureBeef_CrudeProteinContent_Data(), Table_SourceData_PastureBeef_CrudeProtein[[#Headers],[State]], 0)</f>
        <v>NT</v>
      </c>
      <c r="E314" s="37" t="str" cm="1">
        <f t="array" ref="E314">Common_InputFunctions.Utility_DisplayArrayInTable(SourceData_PastureBeef.SourceData_PastureBeef_CrudeProteinContent_Data(), Table_SourceData_PastureBeef_CrudeProtein[[#Headers],[State]], 0)</f>
        <v>Alice Springs</v>
      </c>
      <c r="F314" s="37" cm="1">
        <f t="array" ref="F314">Common_InputFunctions.Utility_DisplayArrayInTable(SourceData_PastureBeef.SourceData_PastureBeef_CrudeProteinContent_Data(), Table_SourceData_PastureBeef_CrudeProtein[[#Headers],[State]], 0)</f>
        <v>5.8000000000000003E-2</v>
      </c>
      <c r="G314" s="37" cm="1">
        <f t="array" ref="G314">Common_InputFunctions.Utility_DisplayArrayInTable(SourceData_PastureBeef.SourceData_PastureBeef_CrudeProteinContent_Data(), Table_SourceData_PastureBeef_CrudeProtein[[#Headers],[State]], 0)</f>
        <v>9.1999999999999998E-2</v>
      </c>
      <c r="H314" s="37" cm="1">
        <f t="array" ref="H314">Common_InputFunctions.Utility_DisplayArrayInTable(SourceData_PastureBeef.SourceData_PastureBeef_CrudeProteinContent_Data(), Table_SourceData_PastureBeef_CrudeProtein[[#Headers],[State]], 0)</f>
        <v>7.4999999999999997E-2</v>
      </c>
      <c r="I314" s="37" cm="1">
        <f t="array" ref="I314">Common_InputFunctions.Utility_DisplayArrayInTable(SourceData_PastureBeef.SourceData_PastureBeef_CrudeProteinContent_Data(), Table_SourceData_PastureBeef_CrudeProtein[[#Headers],[State]], 0)</f>
        <v>5.2999999999999999E-2</v>
      </c>
      <c r="M314" s="22"/>
    </row>
    <row r="315" spans="4:13" x14ac:dyDescent="0.25">
      <c r="D315" s="37" t="str" cm="1">
        <f t="array" ref="D315">Common_InputFunctions.Utility_DisplayArrayInTable(SourceData_PastureBeef.SourceData_PastureBeef_CrudeProteinContent_Data(), Table_SourceData_PastureBeef_CrudeProtein[[#Headers],[State]], 0)</f>
        <v>NT</v>
      </c>
      <c r="E315" s="37" t="str" cm="1">
        <f t="array" ref="E315">Common_InputFunctions.Utility_DisplayArrayInTable(SourceData_PastureBeef.SourceData_PastureBeef_CrudeProteinContent_Data(), Table_SourceData_PastureBeef_CrudeProtein[[#Headers],[State]], 0)</f>
        <v>Barkly</v>
      </c>
      <c r="F315" s="37" cm="1">
        <f t="array" ref="F315">Common_InputFunctions.Utility_DisplayArrayInTable(SourceData_PastureBeef.SourceData_PastureBeef_CrudeProteinContent_Data(), Table_SourceData_PastureBeef_CrudeProtein[[#Headers],[State]], 0)</f>
        <v>5.8000000000000003E-2</v>
      </c>
      <c r="G315" s="37" cm="1">
        <f t="array" ref="G315">Common_InputFunctions.Utility_DisplayArrayInTable(SourceData_PastureBeef.SourceData_PastureBeef_CrudeProteinContent_Data(), Table_SourceData_PastureBeef_CrudeProtein[[#Headers],[State]], 0)</f>
        <v>9.1999999999999998E-2</v>
      </c>
      <c r="H315" s="37" cm="1">
        <f t="array" ref="H315">Common_InputFunctions.Utility_DisplayArrayInTable(SourceData_PastureBeef.SourceData_PastureBeef_CrudeProteinContent_Data(), Table_SourceData_PastureBeef_CrudeProtein[[#Headers],[State]], 0)</f>
        <v>7.4999999999999997E-2</v>
      </c>
      <c r="I315" s="37" cm="1">
        <f t="array" ref="I315">Common_InputFunctions.Utility_DisplayArrayInTable(SourceData_PastureBeef.SourceData_PastureBeef_CrudeProteinContent_Data(), Table_SourceData_PastureBeef_CrudeProtein[[#Headers],[State]], 0)</f>
        <v>5.2999999999999999E-2</v>
      </c>
      <c r="M315" s="22"/>
    </row>
    <row r="316" spans="4:13" x14ac:dyDescent="0.25">
      <c r="D316" s="37" t="str" cm="1">
        <f t="array" ref="D316">Common_InputFunctions.Utility_DisplayArrayInTable(SourceData_PastureBeef.SourceData_PastureBeef_CrudeProteinContent_Data(), Table_SourceData_PastureBeef_CrudeProtein[[#Headers],[State]], 0)</f>
        <v>NT</v>
      </c>
      <c r="E316" s="37" t="str" cm="1">
        <f t="array" ref="E316">Common_InputFunctions.Utility_DisplayArrayInTable(SourceData_PastureBeef.SourceData_PastureBeef_CrudeProteinContent_Data(), Table_SourceData_PastureBeef_CrudeProtein[[#Headers],[State]], 0)</f>
        <v>Northern</v>
      </c>
      <c r="F316" s="37" cm="1">
        <f t="array" ref="F316">Common_InputFunctions.Utility_DisplayArrayInTable(SourceData_PastureBeef.SourceData_PastureBeef_CrudeProteinContent_Data(), Table_SourceData_PastureBeef_CrudeProtein[[#Headers],[State]], 0)</f>
        <v>5.8000000000000003E-2</v>
      </c>
      <c r="G316" s="37" cm="1">
        <f t="array" ref="G316">Common_InputFunctions.Utility_DisplayArrayInTable(SourceData_PastureBeef.SourceData_PastureBeef_CrudeProteinContent_Data(), Table_SourceData_PastureBeef_CrudeProtein[[#Headers],[State]], 0)</f>
        <v>9.1999999999999998E-2</v>
      </c>
      <c r="H316" s="37" cm="1">
        <f t="array" ref="H316">Common_InputFunctions.Utility_DisplayArrayInTable(SourceData_PastureBeef.SourceData_PastureBeef_CrudeProteinContent_Data(), Table_SourceData_PastureBeef_CrudeProtein[[#Headers],[State]], 0)</f>
        <v>7.4999999999999997E-2</v>
      </c>
      <c r="I316" s="37"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7" t="str" cm="1">
        <f t="array" ref="D317">Common_InputFunctions.Utility_DisplayArrayInTable(SourceData_PastureBeef.SourceData_PastureBeef_CrudeProteinContent_Data(), Table_SourceData_PastureBeef_CrudeProtein[[#Headers],[State]], 0)</f>
        <v>QLD</v>
      </c>
      <c r="E317" s="37" t="str" cm="1">
        <f t="array" ref="E317">Common_InputFunctions.Utility_DisplayArrayInTable(SourceData_PastureBeef.SourceData_PastureBeef_CrudeProteinContent_Data(), Table_SourceData_PastureBeef_CrudeProtein[[#Headers],[State]], 0)</f>
        <v>High</v>
      </c>
      <c r="F317" s="37" cm="1">
        <f t="array" ref="F317">Common_InputFunctions.Utility_DisplayArrayInTable(SourceData_PastureBeef.SourceData_PastureBeef_CrudeProteinContent_Data(), Table_SourceData_PastureBeef_CrudeProtein[[#Headers],[State]], 0)</f>
        <v>7.1999999999999995E-2</v>
      </c>
      <c r="G317" s="37" cm="1">
        <f t="array" ref="G317">Common_InputFunctions.Utility_DisplayArrayInTable(SourceData_PastureBeef.SourceData_PastureBeef_CrudeProteinContent_Data(), Table_SourceData_PastureBeef_CrudeProtein[[#Headers],[State]], 0)</f>
        <v>9.9000000000000005E-2</v>
      </c>
      <c r="H317" s="37" cm="1">
        <f t="array" ref="H317">Common_InputFunctions.Utility_DisplayArrayInTable(SourceData_PastureBeef.SourceData_PastureBeef_CrudeProteinContent_Data(), Table_SourceData_PastureBeef_CrudeProtein[[#Headers],[State]], 0)</f>
        <v>7.8E-2</v>
      </c>
      <c r="I317" s="37" cm="1">
        <f t="array" ref="I317">Common_InputFunctions.Utility_DisplayArrayInTable(SourceData_PastureBeef.SourceData_PastureBeef_CrudeProteinContent_Data(), Table_SourceData_PastureBeef_CrudeProtein[[#Headers],[State]], 0)</f>
        <v>5.8999999999999997E-2</v>
      </c>
      <c r="M317" s="1"/>
    </row>
    <row r="318" spans="4:13" x14ac:dyDescent="0.25">
      <c r="D318" s="37" t="str" cm="1">
        <f t="array" ref="D318">Common_InputFunctions.Utility_DisplayArrayInTable(SourceData_PastureBeef.SourceData_PastureBeef_CrudeProteinContent_Data(), Table_SourceData_PastureBeef_CrudeProtein[[#Headers],[State]], 0)</f>
        <v>QLD</v>
      </c>
      <c r="E318" s="37" t="str" cm="1">
        <f t="array" ref="E318">Common_InputFunctions.Utility_DisplayArrayInTable(SourceData_PastureBeef.SourceData_PastureBeef_CrudeProteinContent_Data(), Table_SourceData_PastureBeef_CrudeProtein[[#Headers],[State]], 0)</f>
        <v>Moderate/High</v>
      </c>
      <c r="F318" s="37" cm="1">
        <f t="array" ref="F318">Common_InputFunctions.Utility_DisplayArrayInTable(SourceData_PastureBeef.SourceData_PastureBeef_CrudeProteinContent_Data(), Table_SourceData_PastureBeef_CrudeProtein[[#Headers],[State]], 0)</f>
        <v>7.1999999999999995E-2</v>
      </c>
      <c r="G318" s="37" cm="1">
        <f t="array" ref="G318">Common_InputFunctions.Utility_DisplayArrayInTable(SourceData_PastureBeef.SourceData_PastureBeef_CrudeProteinContent_Data(), Table_SourceData_PastureBeef_CrudeProtein[[#Headers],[State]], 0)</f>
        <v>9.9000000000000005E-2</v>
      </c>
      <c r="H318" s="37" cm="1">
        <f t="array" ref="H318">Common_InputFunctions.Utility_DisplayArrayInTable(SourceData_PastureBeef.SourceData_PastureBeef_CrudeProteinContent_Data(), Table_SourceData_PastureBeef_CrudeProtein[[#Headers],[State]], 0)</f>
        <v>7.8E-2</v>
      </c>
      <c r="I318" s="37" cm="1">
        <f t="array" ref="I318">Common_InputFunctions.Utility_DisplayArrayInTable(SourceData_PastureBeef.SourceData_PastureBeef_CrudeProteinContent_Data(), Table_SourceData_PastureBeef_CrudeProtein[[#Headers],[State]], 0)</f>
        <v>5.8999999999999997E-2</v>
      </c>
      <c r="M318" s="1"/>
    </row>
    <row r="319" spans="4:13" x14ac:dyDescent="0.25">
      <c r="D319" s="37" t="str" cm="1">
        <f t="array" ref="D319">Common_InputFunctions.Utility_DisplayArrayInTable(SourceData_PastureBeef.SourceData_PastureBeef_CrudeProteinContent_Data(), Table_SourceData_PastureBeef_CrudeProtein[[#Headers],[State]], 0)</f>
        <v>QLD</v>
      </c>
      <c r="E319" s="37" t="str" cm="1">
        <f t="array" ref="E319">Common_InputFunctions.Utility_DisplayArrayInTable(SourceData_PastureBeef.SourceData_PastureBeef_CrudeProteinContent_Data(), Table_SourceData_PastureBeef_CrudeProtein[[#Headers],[State]], 0)</f>
        <v>Moderate/Low</v>
      </c>
      <c r="F319" s="37" cm="1">
        <f t="array" ref="F319">Common_InputFunctions.Utility_DisplayArrayInTable(SourceData_PastureBeef.SourceData_PastureBeef_CrudeProteinContent_Data(), Table_SourceData_PastureBeef_CrudeProtein[[#Headers],[State]], 0)</f>
        <v>7.1999999999999995E-2</v>
      </c>
      <c r="G319" s="37" cm="1">
        <f t="array" ref="G319">Common_InputFunctions.Utility_DisplayArrayInTable(SourceData_PastureBeef.SourceData_PastureBeef_CrudeProteinContent_Data(), Table_SourceData_PastureBeef_CrudeProtein[[#Headers],[State]], 0)</f>
        <v>9.9000000000000005E-2</v>
      </c>
      <c r="H319" s="37" cm="1">
        <f t="array" ref="H319">Common_InputFunctions.Utility_DisplayArrayInTable(SourceData_PastureBeef.SourceData_PastureBeef_CrudeProteinContent_Data(), Table_SourceData_PastureBeef_CrudeProtein[[#Headers],[State]], 0)</f>
        <v>7.8E-2</v>
      </c>
      <c r="I319" s="37"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7" t="str" cm="1">
        <f t="array" ref="D320">Common_InputFunctions.Utility_DisplayArrayInTable(SourceData_PastureBeef.SourceData_PastureBeef_CrudeProteinContent_Data(), Table_SourceData_PastureBeef_CrudeProtein[[#Headers],[State]], 0)</f>
        <v>QLD</v>
      </c>
      <c r="E320" s="37" t="str" cm="1">
        <f t="array" ref="E320">Common_InputFunctions.Utility_DisplayArrayInTable(SourceData_PastureBeef.SourceData_PastureBeef_CrudeProteinContent_Data(), Table_SourceData_PastureBeef_CrudeProtein[[#Headers],[State]], 0)</f>
        <v>Low</v>
      </c>
      <c r="F320" s="37" cm="1">
        <f t="array" ref="F320">Common_InputFunctions.Utility_DisplayArrayInTable(SourceData_PastureBeef.SourceData_PastureBeef_CrudeProteinContent_Data(), Table_SourceData_PastureBeef_CrudeProtein[[#Headers],[State]], 0)</f>
        <v>7.1999999999999995E-2</v>
      </c>
      <c r="G320" s="37" cm="1">
        <f t="array" ref="G320">Common_InputFunctions.Utility_DisplayArrayInTable(SourceData_PastureBeef.SourceData_PastureBeef_CrudeProteinContent_Data(), Table_SourceData_PastureBeef_CrudeProtein[[#Headers],[State]], 0)</f>
        <v>9.9000000000000005E-2</v>
      </c>
      <c r="H320" s="37" cm="1">
        <f t="array" ref="H320">Common_InputFunctions.Utility_DisplayArrayInTable(SourceData_PastureBeef.SourceData_PastureBeef_CrudeProteinContent_Data(), Table_SourceData_PastureBeef_CrudeProtein[[#Headers],[State]], 0)</f>
        <v>7.8E-2</v>
      </c>
      <c r="I320" s="37"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7" t="str" cm="1">
        <f t="array" ref="D321">Common_InputFunctions.Utility_DisplayArrayInTable(SourceData_PastureBeef.SourceData_PastureBeef_CrudeProteinContent_Data(), Table_SourceData_PastureBeef_CrudeProtein[[#Headers],[State]], 0)</f>
        <v>SA</v>
      </c>
      <c r="E321" s="37" t="str" cm="1">
        <f t="array" ref="E321">Common_InputFunctions.Utility_DisplayArrayInTable(SourceData_PastureBeef.SourceData_PastureBeef_CrudeProteinContent_Data(), Table_SourceData_PastureBeef_CrudeProtein[[#Headers],[State]], 0)</f>
        <v>n/a</v>
      </c>
      <c r="F321" s="37" cm="1">
        <f t="array" ref="F321">Common_InputFunctions.Utility_DisplayArrayInTable(SourceData_PastureBeef.SourceData_PastureBeef_CrudeProteinContent_Data(), Table_SourceData_PastureBeef_CrudeProtein[[#Headers],[State]], 0)</f>
        <v>0.16</v>
      </c>
      <c r="G321" s="37" cm="1">
        <f t="array" ref="G321">Common_InputFunctions.Utility_DisplayArrayInTable(SourceData_PastureBeef.SourceData_PastureBeef_CrudeProteinContent_Data(), Table_SourceData_PastureBeef_CrudeProtein[[#Headers],[State]], 0)</f>
        <v>7.0000000000000007E-2</v>
      </c>
      <c r="H321" s="37" cm="1">
        <f t="array" ref="H321">Common_InputFunctions.Utility_DisplayArrayInTable(SourceData_PastureBeef.SourceData_PastureBeef_CrudeProteinContent_Data(), Table_SourceData_PastureBeef_CrudeProtein[[#Headers],[State]], 0)</f>
        <v>0.09</v>
      </c>
      <c r="I321" s="37" cm="1">
        <f t="array" ref="I321">Common_InputFunctions.Utility_DisplayArrayInTable(SourceData_PastureBeef.SourceData_PastureBeef_CrudeProteinContent_Data(), Table_SourceData_PastureBeef_CrudeProtein[[#Headers],[State]], 0)</f>
        <v>0.2</v>
      </c>
      <c r="M321" s="1"/>
    </row>
    <row r="322" spans="4:13" x14ac:dyDescent="0.25">
      <c r="D322" s="37" t="str" cm="1">
        <f t="array" ref="D322">Common_InputFunctions.Utility_DisplayArrayInTable(SourceData_PastureBeef.SourceData_PastureBeef_CrudeProteinContent_Data(), Table_SourceData_PastureBeef_CrudeProtein[[#Headers],[State]], 0)</f>
        <v>TAS</v>
      </c>
      <c r="E322" s="37" t="str" cm="1">
        <f t="array" ref="E322">Common_InputFunctions.Utility_DisplayArrayInTable(SourceData_PastureBeef.SourceData_PastureBeef_CrudeProteinContent_Data(), Table_SourceData_PastureBeef_CrudeProtein[[#Headers],[State]], 0)</f>
        <v>n/a</v>
      </c>
      <c r="F322" s="37" cm="1">
        <f t="array" ref="F322">Common_InputFunctions.Utility_DisplayArrayInTable(SourceData_PastureBeef.SourceData_PastureBeef_CrudeProteinContent_Data(), Table_SourceData_PastureBeef_CrudeProtein[[#Headers],[State]], 0)</f>
        <v>0.2</v>
      </c>
      <c r="G322" s="37" cm="1">
        <f t="array" ref="G322">Common_InputFunctions.Utility_DisplayArrayInTable(SourceData_PastureBeef.SourceData_PastureBeef_CrudeProteinContent_Data(), Table_SourceData_PastureBeef_CrudeProtein[[#Headers],[State]], 0)</f>
        <v>0.1</v>
      </c>
      <c r="H322" s="37" cm="1">
        <f t="array" ref="H322">Common_InputFunctions.Utility_DisplayArrayInTable(SourceData_PastureBeef.SourceData_PastureBeef_CrudeProteinContent_Data(), Table_SourceData_PastureBeef_CrudeProtein[[#Headers],[State]], 0)</f>
        <v>0.16</v>
      </c>
      <c r="I322" s="37" cm="1">
        <f t="array" ref="I322">Common_InputFunctions.Utility_DisplayArrayInTable(SourceData_PastureBeef.SourceData_PastureBeef_CrudeProteinContent_Data(), Table_SourceData_PastureBeef_CrudeProtein[[#Headers],[State]], 0)</f>
        <v>0.2</v>
      </c>
      <c r="M322" s="1"/>
    </row>
    <row r="323" spans="4:13" x14ac:dyDescent="0.25">
      <c r="D323" s="37" t="str" cm="1">
        <f t="array" ref="D323">Common_InputFunctions.Utility_DisplayArrayInTable(SourceData_PastureBeef.SourceData_PastureBeef_CrudeProteinContent_Data(), Table_SourceData_PastureBeef_CrudeProtein[[#Headers],[State]], 0)</f>
        <v>VIC</v>
      </c>
      <c r="E323" s="37" t="str" cm="1">
        <f t="array" ref="E323">Common_InputFunctions.Utility_DisplayArrayInTable(SourceData_PastureBeef.SourceData_PastureBeef_CrudeProteinContent_Data(), Table_SourceData_PastureBeef_CrudeProtein[[#Headers],[State]], 0)</f>
        <v>n/a</v>
      </c>
      <c r="F323" s="37" cm="1">
        <f t="array" ref="F323">Common_InputFunctions.Utility_DisplayArrayInTable(SourceData_PastureBeef.SourceData_PastureBeef_CrudeProteinContent_Data(), Table_SourceData_PastureBeef_CrudeProtein[[#Headers],[State]], 0)</f>
        <v>0.25</v>
      </c>
      <c r="G323" s="37" cm="1">
        <f t="array" ref="G323">Common_InputFunctions.Utility_DisplayArrayInTable(SourceData_PastureBeef.SourceData_PastureBeef_CrudeProteinContent_Data(), Table_SourceData_PastureBeef_CrudeProtein[[#Headers],[State]], 0)</f>
        <v>7.0000000000000007E-2</v>
      </c>
      <c r="H323" s="37" cm="1">
        <f t="array" ref="H323">Common_InputFunctions.Utility_DisplayArrayInTable(SourceData_PastureBeef.SourceData_PastureBeef_CrudeProteinContent_Data(), Table_SourceData_PastureBeef_CrudeProtein[[#Headers],[State]], 0)</f>
        <v>0.1</v>
      </c>
      <c r="I323" s="37" cm="1">
        <f t="array" ref="I323">Common_InputFunctions.Utility_DisplayArrayInTable(SourceData_PastureBeef.SourceData_PastureBeef_CrudeProteinContent_Data(), Table_SourceData_PastureBeef_CrudeProtein[[#Headers],[State]], 0)</f>
        <v>0.21</v>
      </c>
      <c r="M323" s="1"/>
    </row>
    <row r="324" spans="4:13" x14ac:dyDescent="0.25">
      <c r="D324" s="37" t="str" cm="1">
        <f t="array" ref="D324">Common_InputFunctions.Utility_DisplayArrayInTable(SourceData_PastureBeef.SourceData_PastureBeef_CrudeProteinContent_Data(), Table_SourceData_PastureBeef_CrudeProtein[[#Headers],[State]], 0)</f>
        <v>WA</v>
      </c>
      <c r="E324" s="37" t="str" cm="1">
        <f t="array" ref="E324">Common_InputFunctions.Utility_DisplayArrayInTable(SourceData_PastureBeef.SourceData_PastureBeef_CrudeProteinContent_Data(), Table_SourceData_PastureBeef_CrudeProtein[[#Headers],[State]], 0)</f>
        <v>South West</v>
      </c>
      <c r="F324" s="37" cm="1">
        <f t="array" ref="F324">Common_InputFunctions.Utility_DisplayArrayInTable(SourceData_PastureBeef.SourceData_PastureBeef_CrudeProteinContent_Data(), Table_SourceData_PastureBeef_CrudeProtein[[#Headers],[State]], 0)</f>
        <v>0.2</v>
      </c>
      <c r="G324" s="37" cm="1">
        <f t="array" ref="G324">Common_InputFunctions.Utility_DisplayArrayInTable(SourceData_PastureBeef.SourceData_PastureBeef_CrudeProteinContent_Data(), Table_SourceData_PastureBeef_CrudeProtein[[#Headers],[State]], 0)</f>
        <v>0.09</v>
      </c>
      <c r="H324" s="37" cm="1">
        <f t="array" ref="H324">Common_InputFunctions.Utility_DisplayArrayInTable(SourceData_PastureBeef.SourceData_PastureBeef_CrudeProteinContent_Data(), Table_SourceData_PastureBeef_CrudeProtein[[#Headers],[State]], 0)</f>
        <v>0.06</v>
      </c>
      <c r="I324" s="37" cm="1">
        <f t="array" ref="I324">Common_InputFunctions.Utility_DisplayArrayInTable(SourceData_PastureBeef.SourceData_PastureBeef_CrudeProteinContent_Data(), Table_SourceData_PastureBeef_CrudeProtein[[#Headers],[State]], 0)</f>
        <v>0.2</v>
      </c>
      <c r="M324" s="1"/>
    </row>
    <row r="325" spans="4:13" x14ac:dyDescent="0.25">
      <c r="D325" s="37" t="str" cm="1">
        <f t="array" ref="D325">Common_InputFunctions.Utility_DisplayArrayInTable(SourceData_PastureBeef.SourceData_PastureBeef_CrudeProteinContent_Data(), Table_SourceData_PastureBeef_CrudeProtein[[#Headers],[State]], 0)</f>
        <v>WA</v>
      </c>
      <c r="E325" s="37" t="str" cm="1">
        <f t="array" ref="E325">Common_InputFunctions.Utility_DisplayArrayInTable(SourceData_PastureBeef.SourceData_PastureBeef_CrudeProteinContent_Data(), Table_SourceData_PastureBeef_CrudeProtein[[#Headers],[State]], 0)</f>
        <v>Pilbara</v>
      </c>
      <c r="F325" s="37" cm="1">
        <f t="array" ref="F325">Common_InputFunctions.Utility_DisplayArrayInTable(SourceData_PastureBeef.SourceData_PastureBeef_CrudeProteinContent_Data(), Table_SourceData_PastureBeef_CrudeProtein[[#Headers],[State]], 0)</f>
        <v>0.04</v>
      </c>
      <c r="G325" s="37" cm="1">
        <f t="array" ref="G325">Common_InputFunctions.Utility_DisplayArrayInTable(SourceData_PastureBeef.SourceData_PastureBeef_CrudeProteinContent_Data(), Table_SourceData_PastureBeef_CrudeProtein[[#Headers],[State]], 0)</f>
        <v>0.12</v>
      </c>
      <c r="H325" s="37" cm="1">
        <f t="array" ref="H325">Common_InputFunctions.Utility_DisplayArrayInTable(SourceData_PastureBeef.SourceData_PastureBeef_CrudeProteinContent_Data(), Table_SourceData_PastureBeef_CrudeProtein[[#Headers],[State]], 0)</f>
        <v>0.09</v>
      </c>
      <c r="I325" s="37" cm="1">
        <f t="array" ref="I325">Common_InputFunctions.Utility_DisplayArrayInTable(SourceData_PastureBeef.SourceData_PastureBeef_CrudeProteinContent_Data(), Table_SourceData_PastureBeef_CrudeProtein[[#Headers],[State]], 0)</f>
        <v>0.06</v>
      </c>
      <c r="M325" s="1"/>
    </row>
    <row r="326" spans="4:13" x14ac:dyDescent="0.25">
      <c r="D326" s="37" t="str" cm="1">
        <f t="array" ref="D326">Common_InputFunctions.Utility_DisplayArrayInTable(SourceData_PastureBeef.SourceData_PastureBeef_CrudeProteinContent_Data(), Table_SourceData_PastureBeef_CrudeProtein[[#Headers],[State]], 0)</f>
        <v>WA</v>
      </c>
      <c r="E326" s="37" t="str" cm="1">
        <f t="array" ref="E326">Common_InputFunctions.Utility_DisplayArrayInTable(SourceData_PastureBeef.SourceData_PastureBeef_CrudeProteinContent_Data(), Table_SourceData_PastureBeef_CrudeProtein[[#Headers],[State]], 0)</f>
        <v>Kimberley</v>
      </c>
      <c r="F326" s="37" cm="1">
        <f t="array" ref="F326">Common_InputFunctions.Utility_DisplayArrayInTable(SourceData_PastureBeef.SourceData_PastureBeef_CrudeProteinContent_Data(), Table_SourceData_PastureBeef_CrudeProtein[[#Headers],[State]], 0)</f>
        <v>0.04</v>
      </c>
      <c r="G326" s="37" cm="1">
        <f t="array" ref="G326">Common_InputFunctions.Utility_DisplayArrayInTable(SourceData_PastureBeef.SourceData_PastureBeef_CrudeProteinContent_Data(), Table_SourceData_PastureBeef_CrudeProtein[[#Headers],[State]], 0)</f>
        <v>0.12</v>
      </c>
      <c r="H326" s="37" cm="1">
        <f t="array" ref="H326">Common_InputFunctions.Utility_DisplayArrayInTable(SourceData_PastureBeef.SourceData_PastureBeef_CrudeProteinContent_Data(), Table_SourceData_PastureBeef_CrudeProtein[[#Headers],[State]], 0)</f>
        <v>0.09</v>
      </c>
      <c r="I326" s="37" cm="1">
        <f t="array" ref="I326">Common_InputFunctions.Utility_DisplayArrayInTable(SourceData_PastureBeef.SourceData_PastureBeef_CrudeProteinContent_Data(), Table_SourceData_PastureBeef_CrudeProtein[[#Headers],[State]], 0)</f>
        <v>0.06</v>
      </c>
      <c r="M326" s="1"/>
    </row>
    <row r="327" spans="4:13" x14ac:dyDescent="0.25">
      <c r="M327" s="1"/>
    </row>
    <row r="328" spans="4:13" x14ac:dyDescent="0.25">
      <c r="M328" s="1"/>
    </row>
    <row r="329" spans="4:13" ht="23.25" x14ac:dyDescent="0.25">
      <c r="D329" s="6" t="str" cm="1">
        <f t="array" ref="D329">SourceData_PastureBeef.SourceData_PastureBeef_FeedAdjustmentAndMilkProduction_Title()</f>
        <v>Beef pasture cattle - Feed intake adjustment and milk production (kg/head/day)</v>
      </c>
      <c r="M329" s="1"/>
    </row>
    <row r="330" spans="4:13" x14ac:dyDescent="0.25">
      <c r="D330" s="5" t="str" cm="1">
        <f t="array" ref="D330">SourceData_PastureBeef.SourceData_PastureBeef_FeedAdjustmentAndMilkProduction_Source()</f>
        <v>VEERG 2026: Table A.1.2.7</v>
      </c>
      <c r="M330" s="1"/>
    </row>
    <row r="331" spans="4:13" x14ac:dyDescent="0.25">
      <c r="D331" s="1" t="str" cm="1">
        <f t="array" ref="D331">SourceData_PastureBeef.SourceData_PastureBeef_FeedAdjustmentAndMilkProduction_Variable()</f>
        <v>MCjk=1,3,6; DMPjk=5</v>
      </c>
      <c r="I331" s="55" t="s">
        <v>249</v>
      </c>
      <c r="M331" s="1"/>
    </row>
    <row r="332" spans="4:13" x14ac:dyDescent="0.25">
      <c r="D332" s="37" t="s">
        <v>129</v>
      </c>
      <c r="E332" s="37" t="s">
        <v>184</v>
      </c>
      <c r="F332" s="37" t="s">
        <v>232</v>
      </c>
      <c r="G332" s="37" t="s">
        <v>233</v>
      </c>
      <c r="I332" s="37" t="s">
        <v>129</v>
      </c>
      <c r="J332" s="37" t="s">
        <v>184</v>
      </c>
      <c r="K332" s="37" t="s">
        <v>232</v>
      </c>
      <c r="L332" s="37" t="s">
        <v>233</v>
      </c>
      <c r="M332" s="1"/>
    </row>
    <row r="333" spans="4:13" x14ac:dyDescent="0.25">
      <c r="D333" s="37" t="str" cm="1">
        <f t="array" ref="D333">Common_InputFunctions.Utility_DisplayArrayInTable(SourceData_PastureBeef.SourceData_PastureBeef_FeedAdjustmentAndMilkProduction_Data(), Table_SourceData_PastureBeef_FeedIntakeAdjustment[[#Headers],[Breed]], 0)</f>
        <v>Hereford or Shorthorn breeds</v>
      </c>
      <c r="E333" s="37" t="str" cm="1">
        <f t="array" ref="E333">Common_InputFunctions.Utility_DisplayArrayInTable(SourceData_PastureBeef.SourceData_PastureBeef_FeedAdjustmentAndMilkProduction_Data(), Table_SourceData_PastureBeef_FeedIntakeAdjustment[[#Headers],[Breed]], 0)</f>
        <v>Spring</v>
      </c>
      <c r="F333" s="37" cm="1">
        <f t="array" ref="F333">Common_InputFunctions.Utility_DisplayArrayInTable(SourceData_PastureBeef.SourceData_PastureBeef_FeedAdjustmentAndMilkProduction_Data(), Table_SourceData_PastureBeef_FeedIntakeAdjustment[[#Headers],[Breed]], 0)</f>
        <v>1.3</v>
      </c>
      <c r="G333" s="37" cm="1">
        <f t="array" ref="G333">Common_InputFunctions.Utility_DisplayArrayInTable(SourceData_PastureBeef.SourceData_PastureBeef_FeedAdjustmentAndMilkProduction_Data(), Table_SourceData_PastureBeef_FeedIntakeAdjustment[[#Headers],[Breed]], 0)</f>
        <v>6</v>
      </c>
      <c r="I333" s="37" t="str">
        <f>Table_SourceData_PastureBeef_FeedIntakeAdjustment[[#This Row],[Breed]]</f>
        <v>Hereford or Shorthorn breeds</v>
      </c>
      <c r="J333" s="37" t="s">
        <v>247</v>
      </c>
      <c r="K333" s="37">
        <f>Table_SourceData_PastureBeef_FeedIntakeAdjustment[[#This Row],[Feed adjustment]]</f>
        <v>1.3</v>
      </c>
      <c r="L333" s="37">
        <f>Table_SourceData_PastureBeef_FeedIntakeAdjustment[[#This Row],[Milk intake/production]]</f>
        <v>6</v>
      </c>
      <c r="M333" s="1"/>
    </row>
    <row r="334" spans="4:13" x14ac:dyDescent="0.25">
      <c r="D334" s="1" t="str" cm="1">
        <f t="array" ref="D334">Common_InputFunctions.Utility_DisplayArrayInTable(SourceData_PastureBeef.SourceData_PastureBeef_FeedAdjustmentAndMilkProduction_Data(), Table_SourceData_PastureBeef_FeedIntakeAdjustment[[#Headers],[Breed]], 0)</f>
        <v>Hereford or Shorthorn breeds</v>
      </c>
      <c r="E334" s="37" t="str" cm="1">
        <f t="array" ref="E334">Common_InputFunctions.Utility_DisplayArrayInTable(SourceData_PastureBeef.SourceData_PastureBeef_FeedAdjustmentAndMilkProduction_Data(), Table_SourceData_PastureBeef_FeedIntakeAdjustment[[#Headers],[Breed]], 0)</f>
        <v>Summer</v>
      </c>
      <c r="F334" s="37" cm="1">
        <f t="array" ref="F334">Common_InputFunctions.Utility_DisplayArrayInTable(SourceData_PastureBeef.SourceData_PastureBeef_FeedAdjustmentAndMilkProduction_Data(), Table_SourceData_PastureBeef_FeedIntakeAdjustment[[#Headers],[Breed]], 0)</f>
        <v>1.1000000000000001</v>
      </c>
      <c r="G334" s="37" cm="1">
        <f t="array" ref="G334">Common_InputFunctions.Utility_DisplayArrayInTable(SourceData_PastureBeef.SourceData_PastureBeef_FeedAdjustmentAndMilkProduction_Data(), Table_SourceData_PastureBeef_FeedIntakeAdjustment[[#Headers],[Breed]], 0)</f>
        <v>4</v>
      </c>
      <c r="I334" s="1" t="str">
        <f>Table_SourceData_PastureBeef_FeedIntakeAdjustment[[#This Row],[Breed]]</f>
        <v>Hereford or Shorthorn breeds</v>
      </c>
      <c r="J334" s="37" t="s">
        <v>248</v>
      </c>
      <c r="K334" s="37">
        <f>Table_SourceData_PastureBeef_FeedIntakeAdjustment[[#This Row],[Feed adjustment]]</f>
        <v>1.1000000000000001</v>
      </c>
      <c r="L334" s="37">
        <f>Table_SourceData_PastureBeef_FeedIntakeAdjustment[[#This Row],[Milk intake/production]]</f>
        <v>4</v>
      </c>
      <c r="M334" s="1"/>
    </row>
    <row r="335" spans="4:13" x14ac:dyDescent="0.25">
      <c r="D335" s="1" t="str" cm="1">
        <f t="array" ref="D335">Common_InputFunctions.Utility_DisplayArrayInTable(SourceData_PastureBeef.SourceData_PastureBeef_FeedAdjustmentAndMilkProduction_Data(), Table_SourceData_PastureBeef_FeedIntakeAdjustment[[#Headers],[Breed]], 0)</f>
        <v>Hereford or Shorthorn breeds</v>
      </c>
      <c r="E335" s="37" t="str" cm="1">
        <f t="array" ref="E335">Common_InputFunctions.Utility_DisplayArrayInTable(SourceData_PastureBeef.SourceData_PastureBeef_FeedAdjustmentAndMilkProduction_Data(), Table_SourceData_PastureBeef_FeedIntakeAdjustment[[#Headers],[Breed]], 0)</f>
        <v>Autumn</v>
      </c>
      <c r="F335" s="37" cm="1">
        <f t="array" ref="F335">Common_InputFunctions.Utility_DisplayArrayInTable(SourceData_PastureBeef.SourceData_PastureBeef_FeedAdjustmentAndMilkProduction_Data(), Table_SourceData_PastureBeef_FeedIntakeAdjustment[[#Headers],[Breed]], 0)</f>
        <v>0</v>
      </c>
      <c r="G335" s="37" cm="1">
        <f t="array" ref="G335">Common_InputFunctions.Utility_DisplayArrayInTable(SourceData_PastureBeef.SourceData_PastureBeef_FeedAdjustmentAndMilkProduction_Data(), Table_SourceData_PastureBeef_FeedIntakeAdjustment[[#Headers],[Breed]], 0)</f>
        <v>0</v>
      </c>
      <c r="I335" s="1" t="str">
        <f>D338</f>
        <v>Northern Brahman cross breed</v>
      </c>
      <c r="J335" s="37" t="s">
        <v>247</v>
      </c>
      <c r="K335" s="37">
        <f>F338</f>
        <v>1.3</v>
      </c>
      <c r="L335" s="37">
        <f t="shared" ref="L335:L336" si="131">G338</f>
        <v>4</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7" t="str" cm="1">
        <f t="array" ref="E336">Common_InputFunctions.Utility_DisplayArrayInTable(SourceData_PastureBeef.SourceData_PastureBeef_FeedAdjustmentAndMilkProduction_Data(), Table_SourceData_PastureBeef_FeedIntakeAdjustment[[#Headers],[Breed]], 0)</f>
        <v>Winter</v>
      </c>
      <c r="F336" s="37" cm="1">
        <f t="array" ref="F336">Common_InputFunctions.Utility_DisplayArrayInTable(SourceData_PastureBeef.SourceData_PastureBeef_FeedAdjustmentAndMilkProduction_Data(), Table_SourceData_PastureBeef_FeedIntakeAdjustment[[#Headers],[Breed]], 0)</f>
        <v>0</v>
      </c>
      <c r="G336" s="37" cm="1">
        <f t="array" ref="G336">Common_InputFunctions.Utility_DisplayArrayInTable(SourceData_PastureBeef.SourceData_PastureBeef_FeedAdjustmentAndMilkProduction_Data(), Table_SourceData_PastureBeef_FeedIntakeAdjustment[[#Headers],[Breed]], 0)</f>
        <v>0</v>
      </c>
      <c r="I336" s="1" t="str">
        <f>D339</f>
        <v>Northern Brahman cross breed</v>
      </c>
      <c r="J336" s="37" t="s">
        <v>248</v>
      </c>
      <c r="K336" s="37">
        <f t="shared" ref="K336" si="132">F339</f>
        <v>1.1000000000000001</v>
      </c>
      <c r="L336" s="37">
        <f t="shared" si="131"/>
        <v>3</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Northern Brahman cross breed</v>
      </c>
      <c r="E337" s="37" t="str" cm="1">
        <f t="array" ref="E337">Common_InputFunctions.Utility_DisplayArrayInTable(SourceData_PastureBeef.SourceData_PastureBeef_FeedAdjustmentAndMilkProduction_Data(), Table_SourceData_PastureBeef_FeedIntakeAdjustment[[#Headers],[Breed]], 0)</f>
        <v>Spring</v>
      </c>
      <c r="F337" s="37" cm="1">
        <f t="array" ref="F337">Common_InputFunctions.Utility_DisplayArrayInTable(SourceData_PastureBeef.SourceData_PastureBeef_FeedAdjustmentAndMilkProduction_Data(), Table_SourceData_PastureBeef_FeedIntakeAdjustment[[#Headers],[Breed]], 0)</f>
        <v>0</v>
      </c>
      <c r="G337" s="37" cm="1">
        <f t="array" ref="G337">Common_InputFunctions.Utility_DisplayArrayInTable(SourceData_PastureBeef.SourceData_PastureBeef_FeedAdjustmentAndMilkProduction_Data(), Table_SourceData_PastureBeef_FeedIntakeAdjustment[[#Headers],[Breed]], 0)</f>
        <v>0</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Northern Brahman cross breed</v>
      </c>
      <c r="E338" s="37" t="str" cm="1">
        <f t="array" ref="E338">Common_InputFunctions.Utility_DisplayArrayInTable(SourceData_PastureBeef.SourceData_PastureBeef_FeedAdjustmentAndMilkProduction_Data(), Table_SourceData_PastureBeef_FeedIntakeAdjustment[[#Headers],[Breed]], 0)</f>
        <v>Summer</v>
      </c>
      <c r="F338" s="37" cm="1">
        <f t="array" ref="F338">Common_InputFunctions.Utility_DisplayArrayInTable(SourceData_PastureBeef.SourceData_PastureBeef_FeedAdjustmentAndMilkProduction_Data(), Table_SourceData_PastureBeef_FeedIntakeAdjustment[[#Headers],[Breed]], 0)</f>
        <v>1.3</v>
      </c>
      <c r="G338" s="37" cm="1">
        <f t="array" ref="G338">Common_InputFunctions.Utility_DisplayArrayInTable(SourceData_PastureBeef.SourceData_PastureBeef_FeedAdjustmentAndMilkProduction_Data(), Table_SourceData_PastureBeef_FeedIntakeAdjustment[[#Headers],[Breed]], 0)</f>
        <v>4</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7" t="str" cm="1">
        <f t="array" ref="E339">Common_InputFunctions.Utility_DisplayArrayInTable(SourceData_PastureBeef.SourceData_PastureBeef_FeedAdjustmentAndMilkProduction_Data(), Table_SourceData_PastureBeef_FeedIntakeAdjustment[[#Headers],[Breed]], 0)</f>
        <v>Autumn</v>
      </c>
      <c r="F339" s="37" cm="1">
        <f t="array" ref="F339">Common_InputFunctions.Utility_DisplayArrayInTable(SourceData_PastureBeef.SourceData_PastureBeef_FeedAdjustmentAndMilkProduction_Data(), Table_SourceData_PastureBeef_FeedIntakeAdjustment[[#Headers],[Breed]], 0)</f>
        <v>1.1000000000000001</v>
      </c>
      <c r="G339" s="37" cm="1">
        <f t="array" ref="G339">Common_InputFunctions.Utility_DisplayArrayInTable(SourceData_PastureBeef.SourceData_PastureBeef_FeedAdjustmentAndMilkProduction_Data(), Table_SourceData_PastureBeef_FeedIntakeAdjustment[[#Headers],[Breed]], 0)</f>
        <v>3</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7" t="str" cm="1">
        <f t="array" ref="E340">Common_InputFunctions.Utility_DisplayArrayInTable(SourceData_PastureBeef.SourceData_PastureBeef_FeedAdjustmentAndMilkProduction_Data(), Table_SourceData_PastureBeef_FeedIntakeAdjustment[[#Headers],[Breed]], 0)</f>
        <v>Winter</v>
      </c>
      <c r="F340" s="37" cm="1">
        <f t="array" ref="F340">Common_InputFunctions.Utility_DisplayArrayInTable(SourceData_PastureBeef.SourceData_PastureBeef_FeedAdjustmentAndMilkProduction_Data(), Table_SourceData_PastureBeef_FeedIntakeAdjustment[[#Headers],[Breed]], 0)</f>
        <v>0</v>
      </c>
      <c r="G340" s="37" cm="1">
        <f t="array" ref="G340">Common_InputFunctions.Utility_DisplayArrayInTable(SourceData_PastureBeef.SourceData_PastureBeef_FeedAdjustmentAndMilkProduction_Data(), Table_SourceData_PastureBeef_FeedIntakeAdjustment[[#Headers],[Breed]], 0)</f>
        <v>0</v>
      </c>
      <c r="M340" s="1"/>
    </row>
    <row r="341" spans="4:13" x14ac:dyDescent="0.25">
      <c r="M341" s="1"/>
    </row>
    <row r="342" spans="4:13" x14ac:dyDescent="0.25">
      <c r="M342" s="1"/>
    </row>
    <row r="343" spans="4:13" ht="23.25" x14ac:dyDescent="0.25">
      <c r="D343" s="6" t="str" cm="1">
        <f t="array" ref="D343">SourceData_PastureBeef.SourceData_PastureBeef_StandardReferenceWeights_Title()</f>
        <v>Beef pasture cattle - Standard reference weights (kg) (SRWk)</v>
      </c>
      <c r="M343" s="1"/>
    </row>
    <row r="344" spans="4:13" x14ac:dyDescent="0.25">
      <c r="D344" s="5" t="str" cm="1">
        <f t="array" ref="D344">SourceData_PastureBeef.SourceData_PastureBeef_StandardReferenceWeights_Source()</f>
        <v>VEERG 2026: Table A.1.2.8</v>
      </c>
      <c r="M344" s="1"/>
    </row>
    <row r="345" spans="4:13" x14ac:dyDescent="0.25">
      <c r="D345" s="1" t="str" cm="1">
        <f t="array" ref="D345">SourceData_PastureBeef.SourceData_PastureBeef_StandardReferenceWeights_Variable()</f>
        <v>SRWk</v>
      </c>
      <c r="M345" s="1"/>
    </row>
    <row r="346" spans="4:13" x14ac:dyDescent="0.25">
      <c r="D346" s="54" t="str" cm="1">
        <f t="array" ref="D346">SourceData_PastureBeef.SourceData_PastureBeef_StandardReferenceWeights_Unit()</f>
        <v>kg</v>
      </c>
      <c r="M346" s="1"/>
    </row>
    <row r="347" spans="4:13" x14ac:dyDescent="0.25">
      <c r="D347" s="55" t="str" cm="1">
        <f t="array" ref="D347">SourceData_PastureBeef.SourceData_PastureBeef_StandardReferenceWeights_Variation()</f>
        <v>VARIATION ON SOURCE: Split ACT and NSW into separate rows. Added 'State abbreviation' column to aid lookup.</v>
      </c>
      <c r="M347" s="1"/>
    </row>
    <row r="348" spans="4:13" x14ac:dyDescent="0.25">
      <c r="D348" s="37" t="s">
        <v>8</v>
      </c>
      <c r="E348" s="37" t="s">
        <v>234</v>
      </c>
      <c r="F348" s="37" t="s">
        <v>235</v>
      </c>
      <c r="G348" s="37" t="s">
        <v>193</v>
      </c>
      <c r="H348" s="37" t="s">
        <v>194</v>
      </c>
      <c r="I348" s="37" t="s">
        <v>236</v>
      </c>
      <c r="J348" s="37" t="s">
        <v>197</v>
      </c>
      <c r="K348" s="37" t="s">
        <v>226</v>
      </c>
      <c r="L348" s="37" t="s">
        <v>237</v>
      </c>
      <c r="M348" s="1"/>
    </row>
    <row r="349" spans="4:13" x14ac:dyDescent="0.25">
      <c r="D349" s="37" t="str" cm="1">
        <f t="array" ref="D349">Common_InputFunctions.Utility_DisplayArrayInTable(SourceData_PastureBeef.SourceData_PastureBeef_StandardReferenceWeights_Data(), Table_SourceData_PastureBeef_StandardReferenceWeights[[#Headers],[State]], 0)</f>
        <v>ACT</v>
      </c>
      <c r="E349" s="37" cm="1">
        <f t="array" ref="E349">Common_InputFunctions.Utility_DisplayArrayInTable(SourceData_PastureBeef.SourceData_PastureBeef_StandardReferenceWeights_Data(), Table_SourceData_PastureBeef_StandardReferenceWeights[[#Headers],[State]], 0)</f>
        <v>700</v>
      </c>
      <c r="F349" s="37" cm="1">
        <f t="array" ref="F349">Common_InputFunctions.Utility_DisplayArrayInTable(SourceData_PastureBeef.SourceData_PastureBeef_StandardReferenceWeights_Data(), Table_SourceData_PastureBeef_StandardReferenceWeights[[#Headers],[State]], 0)</f>
        <v>700</v>
      </c>
      <c r="G349" s="37" cm="1">
        <f t="array" ref="G349">Common_InputFunctions.Utility_DisplayArrayInTable(SourceData_PastureBeef.SourceData_PastureBeef_StandardReferenceWeights_Data(), Table_SourceData_PastureBeef_StandardReferenceWeights[[#Headers],[State]], 0)</f>
        <v>500</v>
      </c>
      <c r="H349" s="37" cm="1">
        <f t="array" ref="H349">Common_InputFunctions.Utility_DisplayArrayInTable(SourceData_PastureBeef.SourceData_PastureBeef_StandardReferenceWeights_Data(), Table_SourceData_PastureBeef_StandardReferenceWeights[[#Headers],[State]], 0)</f>
        <v>500</v>
      </c>
      <c r="I349" s="37" cm="1">
        <f t="array" ref="I349">Common_InputFunctions.Utility_DisplayArrayInTable(SourceData_PastureBeef.SourceData_PastureBeef_StandardReferenceWeights_Data(), Table_SourceData_PastureBeef_StandardReferenceWeights[[#Headers],[State]], 0)</f>
        <v>500</v>
      </c>
      <c r="J349" s="37" cm="1">
        <f t="array" ref="J349">Common_InputFunctions.Utility_DisplayArrayInTable(SourceData_PastureBeef.SourceData_PastureBeef_StandardReferenceWeights_Data(), Table_SourceData_PastureBeef_StandardReferenceWeights[[#Headers],[State]], 0)</f>
        <v>600</v>
      </c>
      <c r="K349" s="37" cm="1">
        <f t="array" ref="K349">Common_InputFunctions.Utility_DisplayArrayInTable(SourceData_PastureBeef.SourceData_PastureBeef_StandardReferenceWeights_Data(), Table_SourceData_PastureBeef_StandardReferenceWeights[[#Headers],[State]], 0)</f>
        <v>600</v>
      </c>
      <c r="L349" s="37" t="str" cm="1">
        <f t="array" ref="L349">Common_InputFunctions.Utility_DisplayArrayInTable(SourceData_PastureBeef.SourceData_PastureBeef_StandardReferenceWeights_Data(), Table_SourceData_PastureBeef_StandardReferenceWeights[[#Headers],[State]], 0)</f>
        <v>ACT</v>
      </c>
      <c r="M349" s="1"/>
    </row>
    <row r="350" spans="4:13" x14ac:dyDescent="0.25">
      <c r="D350" s="1" t="str" cm="1">
        <f t="array" ref="D350">Common_InputFunctions.Utility_DisplayArrayInTable(SourceData_PastureBeef.SourceData_PastureBeef_StandardReferenceWeights_Data(), Table_SourceData_PastureBeef_StandardReferenceWeights[[#Headers],[State]], 0)</f>
        <v>NSW</v>
      </c>
      <c r="E350" s="37" cm="1">
        <f t="array" ref="E350">Common_InputFunctions.Utility_DisplayArrayInTable(SourceData_PastureBeef.SourceData_PastureBeef_StandardReferenceWeights_Data(), Table_SourceData_PastureBeef_StandardReferenceWeights[[#Headers],[State]], 0)</f>
        <v>700</v>
      </c>
      <c r="F350" s="37" cm="1">
        <f t="array" ref="F350">Common_InputFunctions.Utility_DisplayArrayInTable(SourceData_PastureBeef.SourceData_PastureBeef_StandardReferenceWeights_Data(), Table_SourceData_PastureBeef_StandardReferenceWeights[[#Headers],[State]], 0)</f>
        <v>700</v>
      </c>
      <c r="G350" s="37" cm="1">
        <f t="array" ref="G350">Common_InputFunctions.Utility_DisplayArrayInTable(SourceData_PastureBeef.SourceData_PastureBeef_StandardReferenceWeights_Data(), Table_SourceData_PastureBeef_StandardReferenceWeights[[#Headers],[State]], 0)</f>
        <v>500</v>
      </c>
      <c r="H350" s="37" cm="1">
        <f t="array" ref="H350">Common_InputFunctions.Utility_DisplayArrayInTable(SourceData_PastureBeef.SourceData_PastureBeef_StandardReferenceWeights_Data(), Table_SourceData_PastureBeef_StandardReferenceWeights[[#Headers],[State]], 0)</f>
        <v>500</v>
      </c>
      <c r="I350" s="37" cm="1">
        <f t="array" ref="I350">Common_InputFunctions.Utility_DisplayArrayInTable(SourceData_PastureBeef.SourceData_PastureBeef_StandardReferenceWeights_Data(), Table_SourceData_PastureBeef_StandardReferenceWeights[[#Headers],[State]], 0)</f>
        <v>500</v>
      </c>
      <c r="J350" s="37" cm="1">
        <f t="array" ref="J350">Common_InputFunctions.Utility_DisplayArrayInTable(SourceData_PastureBeef.SourceData_PastureBeef_StandardReferenceWeights_Data(), Table_SourceData_PastureBeef_StandardReferenceWeights[[#Headers],[State]], 0)</f>
        <v>600</v>
      </c>
      <c r="K350" s="37" cm="1">
        <f t="array" ref="K350">Common_InputFunctions.Utility_DisplayArrayInTable(SourceData_PastureBeef.SourceData_PastureBeef_StandardReferenceWeights_Data(), Table_SourceData_PastureBeef_StandardReferenceWeights[[#Headers],[State]], 0)</f>
        <v>600</v>
      </c>
      <c r="L350" s="37" t="str" cm="1">
        <f t="array" ref="L350">Common_InputFunctions.Utility_DisplayArrayInTable(SourceData_PastureBeef.SourceData_PastureBeef_StandardReferenceWeights_Data(), Table_SourceData_PastureBeef_StandardReferenceWeights[[#Headers],[State]], 0)</f>
        <v>NSW</v>
      </c>
      <c r="M350" s="1"/>
    </row>
    <row r="351" spans="4:13" x14ac:dyDescent="0.25">
      <c r="D351" s="1" t="str" cm="1">
        <f t="array" ref="D351">Common_InputFunctions.Utility_DisplayArrayInTable(SourceData_PastureBeef.SourceData_PastureBeef_StandardReferenceWeights_Data(), Table_SourceData_PastureBeef_StandardReferenceWeights[[#Headers],[State]], 0)</f>
        <v>Northern Territory</v>
      </c>
      <c r="E351" s="37" cm="1">
        <f t="array" ref="E351">Common_InputFunctions.Utility_DisplayArrayInTable(SourceData_PastureBeef.SourceData_PastureBeef_StandardReferenceWeights_Data(), Table_SourceData_PastureBeef_StandardReferenceWeights[[#Headers],[State]], 0)</f>
        <v>770</v>
      </c>
      <c r="F351" s="37" cm="1">
        <f t="array" ref="F351">Common_InputFunctions.Utility_DisplayArrayInTable(SourceData_PastureBeef.SourceData_PastureBeef_StandardReferenceWeights_Data(), Table_SourceData_PastureBeef_StandardReferenceWeights[[#Headers],[State]], 0)</f>
        <v>770</v>
      </c>
      <c r="G351" s="37" cm="1">
        <f t="array" ref="G351">Common_InputFunctions.Utility_DisplayArrayInTable(SourceData_PastureBeef.SourceData_PastureBeef_StandardReferenceWeights_Data(), Table_SourceData_PastureBeef_StandardReferenceWeights[[#Headers],[State]], 0)</f>
        <v>550</v>
      </c>
      <c r="H351" s="37" cm="1">
        <f t="array" ref="H351">Common_InputFunctions.Utility_DisplayArrayInTable(SourceData_PastureBeef.SourceData_PastureBeef_StandardReferenceWeights_Data(), Table_SourceData_PastureBeef_StandardReferenceWeights[[#Headers],[State]], 0)</f>
        <v>550</v>
      </c>
      <c r="I351" s="37" cm="1">
        <f t="array" ref="I351">Common_InputFunctions.Utility_DisplayArrayInTable(SourceData_PastureBeef.SourceData_PastureBeef_StandardReferenceWeights_Data(), Table_SourceData_PastureBeef_StandardReferenceWeights[[#Headers],[State]], 0)</f>
        <v>550</v>
      </c>
      <c r="J351" s="37" cm="1">
        <f t="array" ref="J351">Common_InputFunctions.Utility_DisplayArrayInTable(SourceData_PastureBeef.SourceData_PastureBeef_StandardReferenceWeights_Data(), Table_SourceData_PastureBeef_StandardReferenceWeights[[#Headers],[State]], 0)</f>
        <v>660</v>
      </c>
      <c r="K351" s="37" cm="1">
        <f t="array" ref="K351">Common_InputFunctions.Utility_DisplayArrayInTable(SourceData_PastureBeef.SourceData_PastureBeef_StandardReferenceWeights_Data(), Table_SourceData_PastureBeef_StandardReferenceWeights[[#Headers],[State]], 0)</f>
        <v>660</v>
      </c>
      <c r="L351" s="37" t="str" cm="1">
        <f t="array" ref="L351">Common_InputFunctions.Utility_DisplayArrayInTable(SourceData_PastureBeef.SourceData_PastureBeef_StandardReferenceWeights_Data(), Table_SourceData_PastureBeef_StandardReferenceWeights[[#Headers],[State]], 0)</f>
        <v>NT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Queensland</v>
      </c>
      <c r="E352" s="37" cm="1">
        <f t="array" ref="E352">Common_InputFunctions.Utility_DisplayArrayInTable(SourceData_PastureBeef.SourceData_PastureBeef_StandardReferenceWeights_Data(), Table_SourceData_PastureBeef_StandardReferenceWeights[[#Headers],[State]], 0)</f>
        <v>770</v>
      </c>
      <c r="F352" s="37" cm="1">
        <f t="array" ref="F352">Common_InputFunctions.Utility_DisplayArrayInTable(SourceData_PastureBeef.SourceData_PastureBeef_StandardReferenceWeights_Data(), Table_SourceData_PastureBeef_StandardReferenceWeights[[#Headers],[State]], 0)</f>
        <v>770</v>
      </c>
      <c r="G352" s="37" cm="1">
        <f t="array" ref="G352">Common_InputFunctions.Utility_DisplayArrayInTable(SourceData_PastureBeef.SourceData_PastureBeef_StandardReferenceWeights_Data(), Table_SourceData_PastureBeef_StandardReferenceWeights[[#Headers],[State]], 0)</f>
        <v>550</v>
      </c>
      <c r="H352" s="37" cm="1">
        <f t="array" ref="H352">Common_InputFunctions.Utility_DisplayArrayInTable(SourceData_PastureBeef.SourceData_PastureBeef_StandardReferenceWeights_Data(), Table_SourceData_PastureBeef_StandardReferenceWeights[[#Headers],[State]], 0)</f>
        <v>550</v>
      </c>
      <c r="I352" s="37" cm="1">
        <f t="array" ref="I352">Common_InputFunctions.Utility_DisplayArrayInTable(SourceData_PastureBeef.SourceData_PastureBeef_StandardReferenceWeights_Data(), Table_SourceData_PastureBeef_StandardReferenceWeights[[#Headers],[State]], 0)</f>
        <v>550</v>
      </c>
      <c r="J352" s="37" cm="1">
        <f t="array" ref="J352">Common_InputFunctions.Utility_DisplayArrayInTable(SourceData_PastureBeef.SourceData_PastureBeef_StandardReferenceWeights_Data(), Table_SourceData_PastureBeef_StandardReferenceWeights[[#Headers],[State]], 0)</f>
        <v>660</v>
      </c>
      <c r="K352" s="37" cm="1">
        <f t="array" ref="K352">Common_InputFunctions.Utility_DisplayArrayInTable(SourceData_PastureBeef.SourceData_PastureBeef_StandardReferenceWeights_Data(), Table_SourceData_PastureBeef_StandardReferenceWeights[[#Headers],[State]], 0)</f>
        <v>660</v>
      </c>
      <c r="L352" s="37" t="str" cm="1">
        <f t="array" ref="L352">Common_InputFunctions.Utility_DisplayArrayInTable(SourceData_PastureBeef.SourceData_PastureBeef_StandardReferenceWeights_Data(), Table_SourceData_PastureBeef_StandardReferenceWeights[[#Headers],[State]], 0)</f>
        <v>QLD</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South Australia</v>
      </c>
      <c r="E353" s="37" cm="1">
        <f t="array" ref="E353">Common_InputFunctions.Utility_DisplayArrayInTable(SourceData_PastureBeef.SourceData_PastureBeef_StandardReferenceWeights_Data(), Table_SourceData_PastureBeef_StandardReferenceWeights[[#Headers],[State]], 0)</f>
        <v>770</v>
      </c>
      <c r="F353" s="37" cm="1">
        <f t="array" ref="F353">Common_InputFunctions.Utility_DisplayArrayInTable(SourceData_PastureBeef.SourceData_PastureBeef_StandardReferenceWeights_Data(), Table_SourceData_PastureBeef_StandardReferenceWeights[[#Headers],[State]], 0)</f>
        <v>770</v>
      </c>
      <c r="G353" s="37" cm="1">
        <f t="array" ref="G353">Common_InputFunctions.Utility_DisplayArrayInTable(SourceData_PastureBeef.SourceData_PastureBeef_StandardReferenceWeights_Data(), Table_SourceData_PastureBeef_StandardReferenceWeights[[#Headers],[State]], 0)</f>
        <v>550</v>
      </c>
      <c r="H353" s="37" cm="1">
        <f t="array" ref="H353">Common_InputFunctions.Utility_DisplayArrayInTable(SourceData_PastureBeef.SourceData_PastureBeef_StandardReferenceWeights_Data(), Table_SourceData_PastureBeef_StandardReferenceWeights[[#Headers],[State]], 0)</f>
        <v>550</v>
      </c>
      <c r="I353" s="37" cm="1">
        <f t="array" ref="I353">Common_InputFunctions.Utility_DisplayArrayInTable(SourceData_PastureBeef.SourceData_PastureBeef_StandardReferenceWeights_Data(), Table_SourceData_PastureBeef_StandardReferenceWeights[[#Headers],[State]], 0)</f>
        <v>550</v>
      </c>
      <c r="J353" s="37" cm="1">
        <f t="array" ref="J353">Common_InputFunctions.Utility_DisplayArrayInTable(SourceData_PastureBeef.SourceData_PastureBeef_StandardReferenceWeights_Data(), Table_SourceData_PastureBeef_StandardReferenceWeights[[#Headers],[State]], 0)</f>
        <v>660</v>
      </c>
      <c r="K353" s="37" cm="1">
        <f t="array" ref="K353">Common_InputFunctions.Utility_DisplayArrayInTable(SourceData_PastureBeef.SourceData_PastureBeef_StandardReferenceWeights_Data(), Table_SourceData_PastureBeef_StandardReferenceWeights[[#Headers],[State]], 0)</f>
        <v>660</v>
      </c>
      <c r="L353" s="37" t="str" cm="1">
        <f t="array" ref="L353">Common_InputFunctions.Utility_DisplayArrayInTable(SourceData_PastureBeef.SourceData_PastureBeef_StandardReferenceWeights_Data(), Table_SourceData_PastureBeef_StandardReferenceWeights[[#Headers],[State]], 0)</f>
        <v>SA</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Tasmania</v>
      </c>
      <c r="E354" s="37" cm="1">
        <f t="array" ref="E354">Common_InputFunctions.Utility_DisplayArrayInTable(SourceData_PastureBeef.SourceData_PastureBeef_StandardReferenceWeights_Data(), Table_SourceData_PastureBeef_StandardReferenceWeights[[#Headers],[State]], 0)</f>
        <v>770</v>
      </c>
      <c r="F354" s="37" cm="1">
        <f t="array" ref="F354">Common_InputFunctions.Utility_DisplayArrayInTable(SourceData_PastureBeef.SourceData_PastureBeef_StandardReferenceWeights_Data(), Table_SourceData_PastureBeef_StandardReferenceWeights[[#Headers],[State]], 0)</f>
        <v>770</v>
      </c>
      <c r="G354" s="37" cm="1">
        <f t="array" ref="G354">Common_InputFunctions.Utility_DisplayArrayInTable(SourceData_PastureBeef.SourceData_PastureBeef_StandardReferenceWeights_Data(), Table_SourceData_PastureBeef_StandardReferenceWeights[[#Headers],[State]], 0)</f>
        <v>550</v>
      </c>
      <c r="H354" s="37" cm="1">
        <f t="array" ref="H354">Common_InputFunctions.Utility_DisplayArrayInTable(SourceData_PastureBeef.SourceData_PastureBeef_StandardReferenceWeights_Data(), Table_SourceData_PastureBeef_StandardReferenceWeights[[#Headers],[State]], 0)</f>
        <v>550</v>
      </c>
      <c r="I354" s="37" cm="1">
        <f t="array" ref="I354">Common_InputFunctions.Utility_DisplayArrayInTable(SourceData_PastureBeef.SourceData_PastureBeef_StandardReferenceWeights_Data(), Table_SourceData_PastureBeef_StandardReferenceWeights[[#Headers],[State]], 0)</f>
        <v>550</v>
      </c>
      <c r="J354" s="37" cm="1">
        <f t="array" ref="J354">Common_InputFunctions.Utility_DisplayArrayInTable(SourceData_PastureBeef.SourceData_PastureBeef_StandardReferenceWeights_Data(), Table_SourceData_PastureBeef_StandardReferenceWeights[[#Headers],[State]], 0)</f>
        <v>660</v>
      </c>
      <c r="K354" s="37" cm="1">
        <f t="array" ref="K354">Common_InputFunctions.Utility_DisplayArrayInTable(SourceData_PastureBeef.SourceData_PastureBeef_StandardReferenceWeights_Data(), Table_SourceData_PastureBeef_StandardReferenceWeights[[#Headers],[State]], 0)</f>
        <v>660</v>
      </c>
      <c r="L354" s="37" t="str" cm="1">
        <f t="array" ref="L354">Common_InputFunctions.Utility_DisplayArrayInTable(SourceData_PastureBeef.SourceData_PastureBeef_StandardReferenceWeights_Data(), Table_SourceData_PastureBeef_StandardReferenceWeights[[#Headers],[State]], 0)</f>
        <v>TAS</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Victoria</v>
      </c>
      <c r="E355" s="37" cm="1">
        <f t="array" ref="E355">Common_InputFunctions.Utility_DisplayArrayInTable(SourceData_PastureBeef.SourceData_PastureBeef_StandardReferenceWeights_Data(), Table_SourceData_PastureBeef_StandardReferenceWeights[[#Headers],[State]], 0)</f>
        <v>770</v>
      </c>
      <c r="F355" s="37" cm="1">
        <f t="array" ref="F355">Common_InputFunctions.Utility_DisplayArrayInTable(SourceData_PastureBeef.SourceData_PastureBeef_StandardReferenceWeights_Data(), Table_SourceData_PastureBeef_StandardReferenceWeights[[#Headers],[State]], 0)</f>
        <v>770</v>
      </c>
      <c r="G355" s="37" cm="1">
        <f t="array" ref="G355">Common_InputFunctions.Utility_DisplayArrayInTable(SourceData_PastureBeef.SourceData_PastureBeef_StandardReferenceWeights_Data(), Table_SourceData_PastureBeef_StandardReferenceWeights[[#Headers],[State]], 0)</f>
        <v>550</v>
      </c>
      <c r="H355" s="37" cm="1">
        <f t="array" ref="H355">Common_InputFunctions.Utility_DisplayArrayInTable(SourceData_PastureBeef.SourceData_PastureBeef_StandardReferenceWeights_Data(), Table_SourceData_PastureBeef_StandardReferenceWeights[[#Headers],[State]], 0)</f>
        <v>550</v>
      </c>
      <c r="I355" s="37" cm="1">
        <f t="array" ref="I355">Common_InputFunctions.Utility_DisplayArrayInTable(SourceData_PastureBeef.SourceData_PastureBeef_StandardReferenceWeights_Data(), Table_SourceData_PastureBeef_StandardReferenceWeights[[#Headers],[State]], 0)</f>
        <v>550</v>
      </c>
      <c r="J355" s="37" cm="1">
        <f t="array" ref="J355">Common_InputFunctions.Utility_DisplayArrayInTable(SourceData_PastureBeef.SourceData_PastureBeef_StandardReferenceWeights_Data(), Table_SourceData_PastureBeef_StandardReferenceWeights[[#Headers],[State]], 0)</f>
        <v>660</v>
      </c>
      <c r="K355" s="37" cm="1">
        <f t="array" ref="K355">Common_InputFunctions.Utility_DisplayArrayInTable(SourceData_PastureBeef.SourceData_PastureBeef_StandardReferenceWeights_Data(), Table_SourceData_PastureBeef_StandardReferenceWeights[[#Headers],[State]], 0)</f>
        <v>660</v>
      </c>
      <c r="L355" s="37" t="str" cm="1">
        <f t="array" ref="L355">Common_InputFunctions.Utility_DisplayArrayInTable(SourceData_PastureBeef.SourceData_PastureBeef_StandardReferenceWeights_Data(), Table_SourceData_PastureBeef_StandardReferenceWeights[[#Headers],[State]], 0)</f>
        <v>VIC</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Western Australia</v>
      </c>
      <c r="E356" s="37" cm="1">
        <f t="array" ref="E356">Common_InputFunctions.Utility_DisplayArrayInTable(SourceData_PastureBeef.SourceData_PastureBeef_StandardReferenceWeights_Data(), Table_SourceData_PastureBeef_StandardReferenceWeights[[#Headers],[State]], 0)</f>
        <v>770</v>
      </c>
      <c r="F356" s="37" cm="1">
        <f t="array" ref="F356">Common_InputFunctions.Utility_DisplayArrayInTable(SourceData_PastureBeef.SourceData_PastureBeef_StandardReferenceWeights_Data(), Table_SourceData_PastureBeef_StandardReferenceWeights[[#Headers],[State]], 0)</f>
        <v>770</v>
      </c>
      <c r="G356" s="37" cm="1">
        <f t="array" ref="G356">Common_InputFunctions.Utility_DisplayArrayInTable(SourceData_PastureBeef.SourceData_PastureBeef_StandardReferenceWeights_Data(), Table_SourceData_PastureBeef_StandardReferenceWeights[[#Headers],[State]], 0)</f>
        <v>550</v>
      </c>
      <c r="H356" s="37" cm="1">
        <f t="array" ref="H356">Common_InputFunctions.Utility_DisplayArrayInTable(SourceData_PastureBeef.SourceData_PastureBeef_StandardReferenceWeights_Data(), Table_SourceData_PastureBeef_StandardReferenceWeights[[#Headers],[State]], 0)</f>
        <v>550</v>
      </c>
      <c r="I356" s="37" cm="1">
        <f t="array" ref="I356">Common_InputFunctions.Utility_DisplayArrayInTable(SourceData_PastureBeef.SourceData_PastureBeef_StandardReferenceWeights_Data(), Table_SourceData_PastureBeef_StandardReferenceWeights[[#Headers],[State]], 0)</f>
        <v>550</v>
      </c>
      <c r="J356" s="37" cm="1">
        <f t="array" ref="J356">Common_InputFunctions.Utility_DisplayArrayInTable(SourceData_PastureBeef.SourceData_PastureBeef_StandardReferenceWeights_Data(), Table_SourceData_PastureBeef_StandardReferenceWeights[[#Headers],[State]], 0)</f>
        <v>660</v>
      </c>
      <c r="K356" s="37" cm="1">
        <f t="array" ref="K356">Common_InputFunctions.Utility_DisplayArrayInTable(SourceData_PastureBeef.SourceData_PastureBeef_StandardReferenceWeights_Data(), Table_SourceData_PastureBeef_StandardReferenceWeights[[#Headers],[State]], 0)</f>
        <v>660</v>
      </c>
      <c r="L356" s="37" t="str" cm="1">
        <f t="array" ref="L356">Common_InputFunctions.Utility_DisplayArrayInTable(SourceData_PastureBeef.SourceData_PastureBeef_StandardReferenceWeights_Data(), Table_SourceData_PastureBeef_StandardReferenceWeights[[#Headers],[State]], 0)</f>
        <v>WA</v>
      </c>
      <c r="M356" s="1"/>
    </row>
    <row r="357" spans="4:15" x14ac:dyDescent="0.25">
      <c r="M357" s="1"/>
    </row>
    <row r="358" spans="4:15" x14ac:dyDescent="0.25">
      <c r="M358" s="1"/>
    </row>
    <row r="359" spans="4:15" x14ac:dyDescent="0.25">
      <c r="D359" s="37" t="s">
        <v>8</v>
      </c>
      <c r="E359" s="118" t="s">
        <v>131</v>
      </c>
      <c r="F359" s="118" t="s">
        <v>130</v>
      </c>
      <c r="G359" s="118" t="s">
        <v>165</v>
      </c>
      <c r="H359" s="118" t="s">
        <v>166</v>
      </c>
      <c r="I359" s="118" t="s">
        <v>167</v>
      </c>
      <c r="J359" s="118" t="s">
        <v>168</v>
      </c>
      <c r="K359" s="118" t="s">
        <v>169</v>
      </c>
      <c r="L359" s="118" t="s">
        <v>170</v>
      </c>
      <c r="M359" s="118" t="s">
        <v>171</v>
      </c>
      <c r="N359" s="118" t="s">
        <v>172</v>
      </c>
      <c r="O359" s="37" t="s">
        <v>237</v>
      </c>
    </row>
    <row r="360" spans="4:15" x14ac:dyDescent="0.25">
      <c r="D360" s="37" t="str">
        <f>D349</f>
        <v>ACT</v>
      </c>
      <c r="E360" s="37">
        <f t="shared" ref="E360:H360" si="133">E349</f>
        <v>700</v>
      </c>
      <c r="F360" s="37">
        <f t="shared" si="133"/>
        <v>700</v>
      </c>
      <c r="G360" s="37">
        <f t="shared" si="133"/>
        <v>500</v>
      </c>
      <c r="H360" s="37">
        <f t="shared" si="133"/>
        <v>500</v>
      </c>
      <c r="I360" s="37">
        <f>I349</f>
        <v>500</v>
      </c>
      <c r="J360" s="37">
        <f>I349</f>
        <v>500</v>
      </c>
      <c r="K360" s="37">
        <f t="shared" ref="K360" si="134">J349</f>
        <v>600</v>
      </c>
      <c r="L360" s="37">
        <f>K349</f>
        <v>600</v>
      </c>
      <c r="M360" s="37">
        <f>K349</f>
        <v>600</v>
      </c>
      <c r="N360" s="37">
        <f>K349</f>
        <v>600</v>
      </c>
      <c r="O360" s="37" t="str">
        <f>L349</f>
        <v>ACT</v>
      </c>
    </row>
    <row r="361" spans="4:15" x14ac:dyDescent="0.25">
      <c r="D361" s="37" t="str">
        <f t="shared" ref="D361:I361" si="135">D350</f>
        <v>NSW</v>
      </c>
      <c r="E361" s="37">
        <f t="shared" si="135"/>
        <v>700</v>
      </c>
      <c r="F361" s="37">
        <f t="shared" si="135"/>
        <v>700</v>
      </c>
      <c r="G361" s="37">
        <f t="shared" si="135"/>
        <v>500</v>
      </c>
      <c r="H361" s="37">
        <f t="shared" si="135"/>
        <v>500</v>
      </c>
      <c r="I361" s="37">
        <f t="shared" si="135"/>
        <v>500</v>
      </c>
      <c r="J361" s="37">
        <f t="shared" ref="J361:L361" si="136">I350</f>
        <v>500</v>
      </c>
      <c r="K361" s="37">
        <f t="shared" si="136"/>
        <v>600</v>
      </c>
      <c r="L361" s="37">
        <f t="shared" si="136"/>
        <v>600</v>
      </c>
      <c r="M361" s="37">
        <f t="shared" ref="M361:M367" si="137">K350</f>
        <v>600</v>
      </c>
      <c r="N361" s="37">
        <f t="shared" ref="N361:N367" si="138">K350</f>
        <v>600</v>
      </c>
      <c r="O361" s="37" t="str">
        <f t="shared" ref="O361:O367" si="139">L350</f>
        <v>NSW</v>
      </c>
    </row>
    <row r="362" spans="4:15" x14ac:dyDescent="0.25">
      <c r="D362" s="37" t="str">
        <f t="shared" ref="D362:I362" si="140">D351</f>
        <v>Northern Territory</v>
      </c>
      <c r="E362" s="37">
        <f t="shared" si="140"/>
        <v>770</v>
      </c>
      <c r="F362" s="37">
        <f t="shared" si="140"/>
        <v>770</v>
      </c>
      <c r="G362" s="37">
        <f t="shared" si="140"/>
        <v>550</v>
      </c>
      <c r="H362" s="37">
        <f t="shared" si="140"/>
        <v>550</v>
      </c>
      <c r="I362" s="37">
        <f t="shared" si="140"/>
        <v>550</v>
      </c>
      <c r="J362" s="37">
        <f t="shared" ref="J362:L362" si="141">I351</f>
        <v>550</v>
      </c>
      <c r="K362" s="37">
        <f t="shared" si="141"/>
        <v>660</v>
      </c>
      <c r="L362" s="37">
        <f t="shared" si="141"/>
        <v>660</v>
      </c>
      <c r="M362" s="37">
        <f t="shared" si="137"/>
        <v>660</v>
      </c>
      <c r="N362" s="37">
        <f t="shared" si="138"/>
        <v>660</v>
      </c>
      <c r="O362" s="37" t="str">
        <f t="shared" si="139"/>
        <v>NT</v>
      </c>
    </row>
    <row r="363" spans="4:15" x14ac:dyDescent="0.25">
      <c r="D363" s="37" t="str">
        <f t="shared" ref="D363:I363" si="142">D352</f>
        <v>Queensland</v>
      </c>
      <c r="E363" s="37">
        <f t="shared" si="142"/>
        <v>770</v>
      </c>
      <c r="F363" s="37">
        <f t="shared" si="142"/>
        <v>770</v>
      </c>
      <c r="G363" s="37">
        <f t="shared" si="142"/>
        <v>550</v>
      </c>
      <c r="H363" s="37">
        <f t="shared" si="142"/>
        <v>550</v>
      </c>
      <c r="I363" s="37">
        <f t="shared" si="142"/>
        <v>550</v>
      </c>
      <c r="J363" s="37">
        <f t="shared" ref="J363:L363" si="143">I352</f>
        <v>550</v>
      </c>
      <c r="K363" s="37">
        <f t="shared" si="143"/>
        <v>660</v>
      </c>
      <c r="L363" s="37">
        <f t="shared" si="143"/>
        <v>660</v>
      </c>
      <c r="M363" s="37">
        <f t="shared" si="137"/>
        <v>660</v>
      </c>
      <c r="N363" s="37">
        <f t="shared" si="138"/>
        <v>660</v>
      </c>
      <c r="O363" s="37" t="str">
        <f t="shared" si="139"/>
        <v>QLD</v>
      </c>
    </row>
    <row r="364" spans="4:15" x14ac:dyDescent="0.25">
      <c r="D364" s="37" t="str">
        <f t="shared" ref="D364:I364" si="144">D353</f>
        <v>South Australia</v>
      </c>
      <c r="E364" s="37">
        <f t="shared" si="144"/>
        <v>770</v>
      </c>
      <c r="F364" s="37">
        <f t="shared" si="144"/>
        <v>770</v>
      </c>
      <c r="G364" s="37">
        <f t="shared" si="144"/>
        <v>550</v>
      </c>
      <c r="H364" s="37">
        <f t="shared" si="144"/>
        <v>550</v>
      </c>
      <c r="I364" s="37">
        <f t="shared" si="144"/>
        <v>550</v>
      </c>
      <c r="J364" s="37">
        <f t="shared" ref="J364:L364" si="145">I353</f>
        <v>550</v>
      </c>
      <c r="K364" s="37">
        <f t="shared" si="145"/>
        <v>660</v>
      </c>
      <c r="L364" s="37">
        <f t="shared" si="145"/>
        <v>660</v>
      </c>
      <c r="M364" s="37">
        <f t="shared" si="137"/>
        <v>660</v>
      </c>
      <c r="N364" s="37">
        <f t="shared" si="138"/>
        <v>660</v>
      </c>
      <c r="O364" s="37" t="str">
        <f t="shared" si="139"/>
        <v>SA</v>
      </c>
    </row>
    <row r="365" spans="4:15" x14ac:dyDescent="0.25">
      <c r="D365" s="37" t="str">
        <f t="shared" ref="D365:I365" si="146">D354</f>
        <v>Tasmania</v>
      </c>
      <c r="E365" s="37">
        <f t="shared" si="146"/>
        <v>770</v>
      </c>
      <c r="F365" s="37">
        <f t="shared" si="146"/>
        <v>770</v>
      </c>
      <c r="G365" s="37">
        <f t="shared" si="146"/>
        <v>550</v>
      </c>
      <c r="H365" s="37">
        <f t="shared" si="146"/>
        <v>550</v>
      </c>
      <c r="I365" s="37">
        <f t="shared" si="146"/>
        <v>550</v>
      </c>
      <c r="J365" s="37">
        <f t="shared" ref="J365:L365" si="147">I354</f>
        <v>550</v>
      </c>
      <c r="K365" s="37">
        <f t="shared" si="147"/>
        <v>660</v>
      </c>
      <c r="L365" s="37">
        <f t="shared" si="147"/>
        <v>660</v>
      </c>
      <c r="M365" s="37">
        <f t="shared" si="137"/>
        <v>660</v>
      </c>
      <c r="N365" s="37">
        <f t="shared" si="138"/>
        <v>660</v>
      </c>
      <c r="O365" s="37" t="str">
        <f t="shared" si="139"/>
        <v>TAS</v>
      </c>
    </row>
    <row r="366" spans="4:15" x14ac:dyDescent="0.25">
      <c r="D366" s="37" t="str">
        <f t="shared" ref="D366:I366" si="148">D355</f>
        <v>Victoria</v>
      </c>
      <c r="E366" s="37">
        <f t="shared" si="148"/>
        <v>770</v>
      </c>
      <c r="F366" s="37">
        <f t="shared" si="148"/>
        <v>770</v>
      </c>
      <c r="G366" s="37">
        <f t="shared" si="148"/>
        <v>550</v>
      </c>
      <c r="H366" s="37">
        <f t="shared" si="148"/>
        <v>550</v>
      </c>
      <c r="I366" s="37">
        <f t="shared" si="148"/>
        <v>550</v>
      </c>
      <c r="J366" s="37">
        <f t="shared" ref="J366:L366" si="149">I355</f>
        <v>550</v>
      </c>
      <c r="K366" s="37">
        <f t="shared" si="149"/>
        <v>660</v>
      </c>
      <c r="L366" s="37">
        <f t="shared" si="149"/>
        <v>660</v>
      </c>
      <c r="M366" s="37">
        <f t="shared" si="137"/>
        <v>660</v>
      </c>
      <c r="N366" s="37">
        <f t="shared" si="138"/>
        <v>660</v>
      </c>
      <c r="O366" s="37" t="str">
        <f t="shared" si="139"/>
        <v>VIC</v>
      </c>
    </row>
    <row r="367" spans="4:15" x14ac:dyDescent="0.25">
      <c r="D367" s="37" t="str">
        <f t="shared" ref="D367:I367" si="150">D356</f>
        <v>Western Australia</v>
      </c>
      <c r="E367" s="37">
        <f t="shared" si="150"/>
        <v>770</v>
      </c>
      <c r="F367" s="37">
        <f t="shared" si="150"/>
        <v>770</v>
      </c>
      <c r="G367" s="37">
        <f t="shared" si="150"/>
        <v>550</v>
      </c>
      <c r="H367" s="37">
        <f t="shared" si="150"/>
        <v>550</v>
      </c>
      <c r="I367" s="37">
        <f t="shared" si="150"/>
        <v>550</v>
      </c>
      <c r="J367" s="37">
        <f t="shared" ref="J367:L367" si="151">I356</f>
        <v>550</v>
      </c>
      <c r="K367" s="37">
        <f t="shared" si="151"/>
        <v>660</v>
      </c>
      <c r="L367" s="37">
        <f t="shared" si="151"/>
        <v>660</v>
      </c>
      <c r="M367" s="37">
        <f t="shared" si="137"/>
        <v>660</v>
      </c>
      <c r="N367" s="37">
        <f t="shared" si="138"/>
        <v>660</v>
      </c>
      <c r="O367" s="37" t="str">
        <f t="shared" si="139"/>
        <v>WA</v>
      </c>
    </row>
    <row r="368" spans="4:15" x14ac:dyDescent="0.25">
      <c r="M368" s="1"/>
    </row>
    <row r="369" spans="4:13" x14ac:dyDescent="0.25">
      <c r="M369" s="1"/>
    </row>
    <row r="370" spans="4:13" ht="23.25" x14ac:dyDescent="0.25">
      <c r="D370" s="6" t="str" cm="1">
        <f t="array" ref="D370">SourceData_PastureBeef.SourceData_PastureBeef_FractionOfManureToMMS_Title()</f>
        <v>Beef pasture cattle - Fraction of manure to each manure management system (fraction) (MMSm)</v>
      </c>
      <c r="M370" s="1"/>
    </row>
    <row r="371" spans="4:13" x14ac:dyDescent="0.25">
      <c r="D371" s="5" t="str" cm="1">
        <f t="array" ref="D371">SourceData_PastureBeef.SourceData_PastureBeef_FractionOfManureToMMS_Source()</f>
        <v>VEERG 2026: Table A.1.2.9</v>
      </c>
      <c r="M371" s="1"/>
    </row>
    <row r="372" spans="4:13" x14ac:dyDescent="0.25">
      <c r="D372" s="1" t="str" cm="1">
        <f t="array" ref="D372">SourceData_PastureBeef.SourceData_PastureBeef_FractionOfManureToMMS_Variable()</f>
        <v>MMSm</v>
      </c>
      <c r="M372" s="1"/>
    </row>
    <row r="373" spans="4:13" x14ac:dyDescent="0.25">
      <c r="D373" s="54" t="str" cm="1">
        <f t="array" ref="D373">SourceData_PastureBeef.SourceData_PastureBeef_FractionOfManureToMMS_Unit()</f>
        <v>fraction</v>
      </c>
      <c r="E373" s="107" t="s">
        <v>268</v>
      </c>
      <c r="M373" s="1"/>
    </row>
    <row r="374" spans="4:13" x14ac:dyDescent="0.25">
      <c r="D374" s="55" t="str" cm="1">
        <f t="array" ref="D374">SourceData_PastureBeef.SourceData_PastureBeef_FractionOfManureToMMS_Variation()</f>
        <v>VARIATION ON SOURCE: Removed comma from 'Pasture range and paddock' to aid lookup</v>
      </c>
      <c r="M374" s="1"/>
    </row>
    <row r="375" spans="4:13" x14ac:dyDescent="0.25">
      <c r="D375" s="37" t="s">
        <v>8</v>
      </c>
      <c r="E375" s="37" t="s">
        <v>183</v>
      </c>
      <c r="F375" s="37" t="s">
        <v>138</v>
      </c>
      <c r="G375" s="37" t="s">
        <v>238</v>
      </c>
      <c r="M375" s="1"/>
    </row>
    <row r="376" spans="4:13" x14ac:dyDescent="0.25">
      <c r="D376" s="37" t="str" cm="1">
        <f t="array" ref="D376">Common_InputFunctions.Utility_DisplayArrayInTable(SourceData_PastureBeef.SourceData_PastureBeef_FractionOfManureToMMS_Data(),Table_SourceData_PastureBeef_FractionManureToMMS[[#Headers],[State]], 0)</f>
        <v>ACT</v>
      </c>
      <c r="E376" s="37" t="str" cm="1">
        <f t="array" ref="E376">Common_InputFunctions.Utility_DisplayArrayInTable(SourceData_PastureBeef.SourceData_PastureBeef_FractionOfManureToMMS_Data(),Table_SourceData_PastureBeef_FractionManureToMMS[[#Headers],[State]], 0)</f>
        <v>n/a</v>
      </c>
      <c r="F376" s="37" cm="1">
        <f t="array" ref="F376">Common_InputFunctions.Utility_DisplayArrayInTable(SourceData_PastureBeef.SourceData_PastureBeef_FractionOfManureToMMS_Data(),Table_SourceData_PastureBeef_FractionManureToMMS[[#Headers],[State]], 0)</f>
        <v>99.191999999999993</v>
      </c>
      <c r="G376" s="37" cm="1">
        <f t="array" ref="G376">Common_InputFunctions.Utility_DisplayArrayInTable(SourceData_PastureBeef.SourceData_PastureBeef_FractionOfManureToMMS_Data(),Table_SourceData_PastureBeef_FractionManureToMMS[[#Headers],[State]], 0)</f>
        <v>0.80800000000000005</v>
      </c>
      <c r="M376" s="1"/>
    </row>
    <row r="377" spans="4:13" x14ac:dyDescent="0.25">
      <c r="D377" s="1" t="str" cm="1">
        <f t="array" ref="D377">Common_InputFunctions.Utility_DisplayArrayInTable(SourceData_PastureBeef.SourceData_PastureBeef_FractionOfManureToMMS_Data(),Table_SourceData_PastureBeef_FractionManureToMMS[[#Headers],[State]], 0)</f>
        <v>NSW</v>
      </c>
      <c r="E377" s="37" t="str" cm="1">
        <f t="array" ref="E377">Common_InputFunctions.Utility_DisplayArrayInTable(SourceData_PastureBeef.SourceData_PastureBeef_FractionOfManureToMMS_Data(),Table_SourceData_PastureBeef_FractionManureToMMS[[#Headers],[State]], 0)</f>
        <v>n/a</v>
      </c>
      <c r="F377" s="37" cm="1">
        <f t="array" ref="F377">Common_InputFunctions.Utility_DisplayArrayInTable(SourceData_PastureBeef.SourceData_PastureBeef_FractionOfManureToMMS_Data(),Table_SourceData_PastureBeef_FractionManureToMMS[[#Headers],[State]], 0)</f>
        <v>99.451999999999998</v>
      </c>
      <c r="G377" s="37" cm="1">
        <f t="array" ref="G377">Common_InputFunctions.Utility_DisplayArrayInTable(SourceData_PastureBeef.SourceData_PastureBeef_FractionOfManureToMMS_Data(),Table_SourceData_PastureBeef_FractionManureToMMS[[#Headers],[State]], 0)</f>
        <v>0.54800000000000004</v>
      </c>
      <c r="M377" s="1"/>
    </row>
    <row r="378" spans="4:13" x14ac:dyDescent="0.25">
      <c r="D378" s="1" t="str" cm="1">
        <f t="array" ref="D378">Common_InputFunctions.Utility_DisplayArrayInTable(SourceData_PastureBeef.SourceData_PastureBeef_FractionOfManureToMMS_Data(),Table_SourceData_PastureBeef_FractionManureToMMS[[#Headers],[State]], 0)</f>
        <v>SA</v>
      </c>
      <c r="E378" s="37" t="str" cm="1">
        <f t="array" ref="E378">Common_InputFunctions.Utility_DisplayArrayInTable(SourceData_PastureBeef.SourceData_PastureBeef_FractionOfManureToMMS_Data(),Table_SourceData_PastureBeef_FractionManureToMMS[[#Headers],[State]], 0)</f>
        <v>n/a</v>
      </c>
      <c r="F378" s="37" cm="1">
        <f t="array" ref="F378">Common_InputFunctions.Utility_DisplayArrayInTable(SourceData_PastureBeef.SourceData_PastureBeef_FractionOfManureToMMS_Data(),Table_SourceData_PastureBeef_FractionManureToMMS[[#Headers],[State]], 0)</f>
        <v>99.759</v>
      </c>
      <c r="G378" s="37" cm="1">
        <f t="array" ref="G378">Common_InputFunctions.Utility_DisplayArrayInTable(SourceData_PastureBeef.SourceData_PastureBeef_FractionOfManureToMMS_Data(),Table_SourceData_PastureBeef_FractionManureToMMS[[#Headers],[State]], 0)</f>
        <v>0.24099999999999999</v>
      </c>
      <c r="M378" s="1"/>
    </row>
    <row r="379" spans="4:13" x14ac:dyDescent="0.25">
      <c r="D379" s="1" t="str" cm="1">
        <f t="array" ref="D379">Common_InputFunctions.Utility_DisplayArrayInTable(SourceData_PastureBeef.SourceData_PastureBeef_FractionOfManureToMMS_Data(),Table_SourceData_PastureBeef_FractionManureToMMS[[#Headers],[State]], 0)</f>
        <v>TAS</v>
      </c>
      <c r="E379" s="37" t="str" cm="1">
        <f t="array" ref="E379">Common_InputFunctions.Utility_DisplayArrayInTable(SourceData_PastureBeef.SourceData_PastureBeef_FractionOfManureToMMS_Data(),Table_SourceData_PastureBeef_FractionManureToMMS[[#Headers],[State]], 0)</f>
        <v>n/a</v>
      </c>
      <c r="F379" s="37" cm="1">
        <f t="array" ref="F379">Common_InputFunctions.Utility_DisplayArrayInTable(SourceData_PastureBeef.SourceData_PastureBeef_FractionOfManureToMMS_Data(),Table_SourceData_PastureBeef_FractionManureToMMS[[#Headers],[State]], 0)</f>
        <v>99.122</v>
      </c>
      <c r="G379" s="37" cm="1">
        <f t="array" ref="G379">Common_InputFunctions.Utility_DisplayArrayInTable(SourceData_PastureBeef.SourceData_PastureBeef_FractionOfManureToMMS_Data(),Table_SourceData_PastureBeef_FractionManureToMMS[[#Headers],[State]], 0)</f>
        <v>0.878</v>
      </c>
      <c r="M379" s="1"/>
    </row>
    <row r="380" spans="4:13" x14ac:dyDescent="0.25">
      <c r="D380" s="1" t="str" cm="1">
        <f t="array" ref="D380">Common_InputFunctions.Utility_DisplayArrayInTable(SourceData_PastureBeef.SourceData_PastureBeef_FractionOfManureToMMS_Data(),Table_SourceData_PastureBeef_FractionManureToMMS[[#Headers],[State]], 0)</f>
        <v>VIC</v>
      </c>
      <c r="E380" s="37" t="str" cm="1">
        <f t="array" ref="E380">Common_InputFunctions.Utility_DisplayArrayInTable(SourceData_PastureBeef.SourceData_PastureBeef_FractionOfManureToMMS_Data(),Table_SourceData_PastureBeef_FractionManureToMMS[[#Headers],[State]], 0)</f>
        <v>n/a</v>
      </c>
      <c r="F380" s="37" cm="1">
        <f t="array" ref="F380">Common_InputFunctions.Utility_DisplayArrayInTable(SourceData_PastureBeef.SourceData_PastureBeef_FractionOfManureToMMS_Data(),Table_SourceData_PastureBeef_FractionManureToMMS[[#Headers],[State]], 0)</f>
        <v>98.894000000000005</v>
      </c>
      <c r="G380" s="37" cm="1">
        <f t="array" ref="G380">Common_InputFunctions.Utility_DisplayArrayInTable(SourceData_PastureBeef.SourceData_PastureBeef_FractionOfManureToMMS_Data(),Table_SourceData_PastureBeef_FractionManureToMMS[[#Headers],[State]], 0)</f>
        <v>1.1060000000000001</v>
      </c>
      <c r="M380" s="1"/>
    </row>
    <row r="381" spans="4:13" x14ac:dyDescent="0.25">
      <c r="D381" s="1" t="str" cm="1">
        <f t="array" ref="D381">Common_InputFunctions.Utility_DisplayArrayInTable(SourceData_PastureBeef.SourceData_PastureBeef_FractionOfManureToMMS_Data(),Table_SourceData_PastureBeef_FractionManureToMMS[[#Headers],[State]], 0)</f>
        <v>WA</v>
      </c>
      <c r="E381" s="37" t="str" cm="1">
        <f t="array" ref="E381">Common_InputFunctions.Utility_DisplayArrayInTable(SourceData_PastureBeef.SourceData_PastureBeef_FractionOfManureToMMS_Data(),Table_SourceData_PastureBeef_FractionManureToMMS[[#Headers],[State]], 0)</f>
        <v>South West</v>
      </c>
      <c r="F381" s="37" cm="1">
        <f t="array" ref="F381">Common_InputFunctions.Utility_DisplayArrayInTable(SourceData_PastureBeef.SourceData_PastureBeef_FractionOfManureToMMS_Data(),Table_SourceData_PastureBeef_FractionManureToMMS[[#Headers],[State]], 0)</f>
        <v>99.622</v>
      </c>
      <c r="G381" s="37" cm="1">
        <f t="array" ref="G381">Common_InputFunctions.Utility_DisplayArrayInTable(SourceData_PastureBeef.SourceData_PastureBeef_FractionOfManureToMMS_Data(),Table_SourceData_PastureBeef_FractionManureToMMS[[#Headers],[State]], 0)</f>
        <v>0.378</v>
      </c>
      <c r="M381" s="1"/>
    </row>
    <row r="382" spans="4:13" x14ac:dyDescent="0.25">
      <c r="D382" s="1" t="str" cm="1">
        <f t="array" ref="D382">Common_InputFunctions.Utility_DisplayArrayInTable(SourceData_PastureBeef.SourceData_PastureBeef_FractionOfManureToMMS_Data(),Table_SourceData_PastureBeef_FractionManureToMMS[[#Headers],[State]], 0)</f>
        <v>WA</v>
      </c>
      <c r="E382" s="37" t="str" cm="1">
        <f t="array" ref="E382">Common_InputFunctions.Utility_DisplayArrayInTable(SourceData_PastureBeef.SourceData_PastureBeef_FractionOfManureToMMS_Data(),Table_SourceData_PastureBeef_FractionManureToMMS[[#Headers],[State]], 0)</f>
        <v>Pilbara</v>
      </c>
      <c r="F382" s="37" cm="1">
        <f t="array" ref="F382">Common_InputFunctions.Utility_DisplayArrayInTable(SourceData_PastureBeef.SourceData_PastureBeef_FractionOfManureToMMS_Data(),Table_SourceData_PastureBeef_FractionManureToMMS[[#Headers],[State]], 0)</f>
        <v>99.998999999999995</v>
      </c>
      <c r="G382" s="37" cm="1">
        <f t="array" ref="G382">Common_InputFunctions.Utility_DisplayArrayInTable(SourceData_PastureBeef.SourceData_PastureBeef_FractionOfManureToMMS_Data(),Table_SourceData_PastureBeef_FractionManureToMMS[[#Headers],[State]], 0)</f>
        <v>1E-3</v>
      </c>
      <c r="M382" s="1"/>
    </row>
    <row r="383" spans="4:13" x14ac:dyDescent="0.25">
      <c r="D383" s="1" t="str" cm="1">
        <f t="array" ref="D383">Common_InputFunctions.Utility_DisplayArrayInTable(SourceData_PastureBeef.SourceData_PastureBeef_FractionOfManureToMMS_Data(),Table_SourceData_PastureBeef_FractionManureToMMS[[#Headers],[State]], 0)</f>
        <v>WA</v>
      </c>
      <c r="E383" s="37" t="str" cm="1">
        <f t="array" ref="E383">Common_InputFunctions.Utility_DisplayArrayInTable(SourceData_PastureBeef.SourceData_PastureBeef_FractionOfManureToMMS_Data(),Table_SourceData_PastureBeef_FractionManureToMMS[[#Headers],[State]], 0)</f>
        <v>Kimberley</v>
      </c>
      <c r="F383" s="37" cm="1">
        <f t="array" ref="F383">Common_InputFunctions.Utility_DisplayArrayInTable(SourceData_PastureBeef.SourceData_PastureBeef_FractionOfManureToMMS_Data(),Table_SourceData_PastureBeef_FractionManureToMMS[[#Headers],[State]], 0)</f>
        <v>99.998999999999995</v>
      </c>
      <c r="G383" s="37" cm="1">
        <f t="array" ref="G383">Common_InputFunctions.Utility_DisplayArrayInTable(SourceData_PastureBeef.SourceData_PastureBeef_FractionOfManureToMMS_Data(),Table_SourceData_PastureBeef_FractionManureToMMS[[#Headers],[State]], 0)</f>
        <v>1E-3</v>
      </c>
      <c r="M383" s="1"/>
    </row>
    <row r="384" spans="4:13" x14ac:dyDescent="0.25">
      <c r="D384" s="1" t="str" cm="1">
        <f t="array" ref="D384">Common_InputFunctions.Utility_DisplayArrayInTable(SourceData_PastureBeef.SourceData_PastureBeef_FractionOfManureToMMS_Data(),Table_SourceData_PastureBeef_FractionManureToMMS[[#Headers],[State]], 0)</f>
        <v>NT</v>
      </c>
      <c r="E384" s="37" t="str" cm="1">
        <f t="array" ref="E384">Common_InputFunctions.Utility_DisplayArrayInTable(SourceData_PastureBeef.SourceData_PastureBeef_FractionOfManureToMMS_Data(),Table_SourceData_PastureBeef_FractionManureToMMS[[#Headers],[State]], 0)</f>
        <v>Alice Springs</v>
      </c>
      <c r="F384" s="37" cm="1">
        <f t="array" ref="F384">Common_InputFunctions.Utility_DisplayArrayInTable(SourceData_PastureBeef.SourceData_PastureBeef_FractionOfManureToMMS_Data(),Table_SourceData_PastureBeef_FractionManureToMMS[[#Headers],[State]], 0)</f>
        <v>99.998999999999995</v>
      </c>
      <c r="G384" s="37"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NT</v>
      </c>
      <c r="E385" s="37" t="str" cm="1">
        <f t="array" ref="E385">Common_InputFunctions.Utility_DisplayArrayInTable(SourceData_PastureBeef.SourceData_PastureBeef_FractionOfManureToMMS_Data(),Table_SourceData_PastureBeef_FractionManureToMMS[[#Headers],[State]], 0)</f>
        <v>Barkly</v>
      </c>
      <c r="F385" s="37" cm="1">
        <f t="array" ref="F385">Common_InputFunctions.Utility_DisplayArrayInTable(SourceData_PastureBeef.SourceData_PastureBeef_FractionOfManureToMMS_Data(),Table_SourceData_PastureBeef_FractionManureToMMS[[#Headers],[State]], 0)</f>
        <v>99.994</v>
      </c>
      <c r="G385" s="37" cm="1">
        <f t="array" ref="G385">Common_InputFunctions.Utility_DisplayArrayInTable(SourceData_PastureBeef.SourceData_PastureBeef_FractionOfManureToMMS_Data(),Table_SourceData_PastureBeef_FractionManureToMMS[[#Headers],[State]], 0)</f>
        <v>6.0000000000000001E-3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7" t="str" cm="1">
        <f t="array" ref="E386">Common_InputFunctions.Utility_DisplayArrayInTable(SourceData_PastureBeef.SourceData_PastureBeef_FractionOfManureToMMS_Data(),Table_SourceData_PastureBeef_FractionManureToMMS[[#Headers],[State]], 0)</f>
        <v>Northern</v>
      </c>
      <c r="F386" s="37" cm="1">
        <f t="array" ref="F386">Common_InputFunctions.Utility_DisplayArrayInTable(SourceData_PastureBeef.SourceData_PastureBeef_FractionOfManureToMMS_Data(),Table_SourceData_PastureBeef_FractionManureToMMS[[#Headers],[State]], 0)</f>
        <v>99.998999999999995</v>
      </c>
      <c r="G386" s="37"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QLD</v>
      </c>
      <c r="E387" s="37" t="str" cm="1">
        <f t="array" ref="E387">Common_InputFunctions.Utility_DisplayArrayInTable(SourceData_PastureBeef.SourceData_PastureBeef_FractionOfManureToMMS_Data(),Table_SourceData_PastureBeef_FractionManureToMMS[[#Headers],[State]], 0)</f>
        <v>High</v>
      </c>
      <c r="F387" s="37" cm="1">
        <f t="array" ref="F387">Common_InputFunctions.Utility_DisplayArrayInTable(SourceData_PastureBeef.SourceData_PastureBeef_FractionOfManureToMMS_Data(),Table_SourceData_PastureBeef_FractionManureToMMS[[#Headers],[State]], 0)</f>
        <v>99.772999999999996</v>
      </c>
      <c r="G387" s="37" cm="1">
        <f t="array" ref="G387">Common_InputFunctions.Utility_DisplayArrayInTable(SourceData_PastureBeef.SourceData_PastureBeef_FractionOfManureToMMS_Data(),Table_SourceData_PastureBeef_FractionManureToMMS[[#Headers],[State]], 0)</f>
        <v>0.22700000000000001</v>
      </c>
      <c r="M387" s="1"/>
    </row>
    <row r="388" spans="4:13" x14ac:dyDescent="0.25">
      <c r="D388" s="1" t="str" cm="1">
        <f t="array" ref="D388">Common_InputFunctions.Utility_DisplayArrayInTable(SourceData_PastureBeef.SourceData_PastureBeef_FractionOfManureToMMS_Data(),Table_SourceData_PastureBeef_FractionManureToMMS[[#Headers],[State]], 0)</f>
        <v>QLD</v>
      </c>
      <c r="E388" s="37" t="str" cm="1">
        <f t="array" ref="E388">Common_InputFunctions.Utility_DisplayArrayInTable(SourceData_PastureBeef.SourceData_PastureBeef_FractionOfManureToMMS_Data(),Table_SourceData_PastureBeef_FractionManureToMMS[[#Headers],[State]], 0)</f>
        <v>Moderate/High</v>
      </c>
      <c r="F388" s="37" cm="1">
        <f t="array" ref="F388">Common_InputFunctions.Utility_DisplayArrayInTable(SourceData_PastureBeef.SourceData_PastureBeef_FractionOfManureToMMS_Data(),Table_SourceData_PastureBeef_FractionManureToMMS[[#Headers],[State]], 0)</f>
        <v>99.897999999999996</v>
      </c>
      <c r="G388" s="37" cm="1">
        <f t="array" ref="G388">Common_InputFunctions.Utility_DisplayArrayInTable(SourceData_PastureBeef.SourceData_PastureBeef_FractionOfManureToMMS_Data(),Table_SourceData_PastureBeef_FractionManureToMMS[[#Headers],[State]], 0)</f>
        <v>0.10199999999999999</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7" t="str" cm="1">
        <f t="array" ref="E389">Common_InputFunctions.Utility_DisplayArrayInTable(SourceData_PastureBeef.SourceData_PastureBeef_FractionOfManureToMMS_Data(),Table_SourceData_PastureBeef_FractionManureToMMS[[#Headers],[State]], 0)</f>
        <v>Moderate/Low</v>
      </c>
      <c r="F389" s="37" cm="1">
        <f t="array" ref="F389">Common_InputFunctions.Utility_DisplayArrayInTable(SourceData_PastureBeef.SourceData_PastureBeef_FractionOfManureToMMS_Data(),Table_SourceData_PastureBeef_FractionManureToMMS[[#Headers],[State]], 0)</f>
        <v>99.978999999999999</v>
      </c>
      <c r="G389" s="37" cm="1">
        <f t="array" ref="G389">Common_InputFunctions.Utility_DisplayArrayInTable(SourceData_PastureBeef.SourceData_PastureBeef_FractionOfManureToMMS_Data(),Table_SourceData_PastureBeef_FractionManureToMMS[[#Headers],[State]], 0)</f>
        <v>2.1000000000000001E-2</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7" t="str" cm="1">
        <f t="array" ref="E390">Common_InputFunctions.Utility_DisplayArrayInTable(SourceData_PastureBeef.SourceData_PastureBeef_FractionOfManureToMMS_Data(),Table_SourceData_PastureBeef_FractionManureToMMS[[#Headers],[State]], 0)</f>
        <v>Low</v>
      </c>
      <c r="F390" s="37" cm="1">
        <f t="array" ref="F390">Common_InputFunctions.Utility_DisplayArrayInTable(SourceData_PastureBeef.SourceData_PastureBeef_FractionOfManureToMMS_Data(),Table_SourceData_PastureBeef_FractionManureToMMS[[#Headers],[State]], 0)</f>
        <v>99.977000000000004</v>
      </c>
      <c r="G390" s="37" cm="1">
        <f t="array" ref="G390">Common_InputFunctions.Utility_DisplayArrayInTable(SourceData_PastureBeef.SourceData_PastureBeef_FractionOfManureToMMS_Data(),Table_SourceData_PastureBeef_FractionManureToMMS[[#Headers],[State]], 0)</f>
        <v>2.3E-2</v>
      </c>
      <c r="M390" s="1"/>
    </row>
    <row r="391" spans="4:13" x14ac:dyDescent="0.25">
      <c r="M391" s="1"/>
    </row>
    <row r="392" spans="4:13" x14ac:dyDescent="0.25">
      <c r="M392" s="1"/>
    </row>
    <row r="393" spans="4:13" ht="23.25" x14ac:dyDescent="0.25">
      <c r="D393" s="6" t="str" cm="1">
        <f t="array" ref="D393">SourceData_PastureBeef.SourceData_PastureBeef_MethaneConversionFactorPerRegion_Title()</f>
        <v>Beef pasture cattle - Methane conversion factor per region (fraction) (MCFim)</v>
      </c>
      <c r="M393" s="1"/>
    </row>
    <row r="394" spans="4:13" x14ac:dyDescent="0.25">
      <c r="D394" s="5" t="str" cm="1">
        <f t="array" ref="D394">SourceData_PastureBeef.SourceData_PastureBeef_MethaneConversionFactorPerRegion_Source()</f>
        <v>VEERG 2026: Table A.1.2.10</v>
      </c>
      <c r="M394" s="1"/>
    </row>
    <row r="395" spans="4:13" x14ac:dyDescent="0.25">
      <c r="D395" s="1" t="str" cm="1">
        <f t="array" ref="D395">SourceData_PastureBeef.SourceData_PastureBeef_MethaneConversionFactorPerRegion_Variable()</f>
        <v>MCFim</v>
      </c>
      <c r="M395" s="1"/>
    </row>
    <row r="396" spans="4:13" x14ac:dyDescent="0.25">
      <c r="D396" s="54" t="str" cm="1">
        <f t="array" ref="D396">SourceData_PastureBeef.SourceData_PastureBeef_MethaneConversionFactorPerRegion_Unit()</f>
        <v>fraction</v>
      </c>
      <c r="M396" s="1"/>
    </row>
    <row r="397" spans="4:13" x14ac:dyDescent="0.25">
      <c r="D397" s="55" t="str" cm="1">
        <f t="array" ref="D397">SourceData_PastureBeef.SourceData_PastureBeef_MethaneConversionFactorPerRegion_Variation()</f>
        <v>VARIATION ON SOURCE: Removed comma from 'Pasture range and paddock' to aid lookup</v>
      </c>
      <c r="M397" s="1"/>
    </row>
    <row r="398" spans="4:13" x14ac:dyDescent="0.25">
      <c r="D398" s="37" t="s">
        <v>8</v>
      </c>
      <c r="E398" s="37" t="s">
        <v>183</v>
      </c>
      <c r="F398" s="37" t="s">
        <v>138</v>
      </c>
      <c r="G398" s="37" t="s">
        <v>238</v>
      </c>
      <c r="M398" s="1"/>
    </row>
    <row r="399" spans="4:13" x14ac:dyDescent="0.25">
      <c r="D399" s="37" t="str" cm="1">
        <f t="array" ref="D399">Common_InputFunctions.Utility_DisplayArrayInTable(SourceData_PastureBeef.SourceData_PastureBeef_MethaneConversionFactorPerRegion_Data(), Table_SourceData_PastureBeef_MethaneConversionFactor[[#Headers],[State]], 0)</f>
        <v>ACT</v>
      </c>
      <c r="E399" s="37" t="str" cm="1">
        <f t="array" ref="E399">Common_InputFunctions.Utility_DisplayArrayInTable(SourceData_PastureBeef.SourceData_PastureBeef_MethaneConversionFactorPerRegion_Data(), Table_SourceData_PastureBeef_MethaneConversionFactor[[#Headers],[State]], 0)</f>
        <v>n/a</v>
      </c>
      <c r="F399" s="37" cm="1">
        <f t="array" ref="F399">Common_InputFunctions.Utility_DisplayArrayInTable(SourceData_PastureBeef.SourceData_PastureBeef_MethaneConversionFactorPerRegion_Data(), Table_SourceData_PastureBeef_MethaneConversionFactor[[#Headers],[State]], 0)</f>
        <v>4.7000000000000002E-3</v>
      </c>
      <c r="G399" s="37" cm="1">
        <f t="array" ref="G399">Common_InputFunctions.Utility_DisplayArrayInTable(SourceData_PastureBeef.SourceData_PastureBeef_MethaneConversionFactorPerRegion_Data(), Table_SourceData_PastureBeef_MethaneConversionFactor[[#Headers],[State]], 0)</f>
        <v>0.71</v>
      </c>
      <c r="M399" s="1"/>
    </row>
    <row r="400" spans="4:13" x14ac:dyDescent="0.25">
      <c r="D400" s="37" t="str" cm="1">
        <f t="array" ref="D400">Common_InputFunctions.Utility_DisplayArrayInTable(SourceData_PastureBeef.SourceData_PastureBeef_MethaneConversionFactorPerRegion_Data(), Table_SourceData_PastureBeef_MethaneConversionFactor[[#Headers],[State]], 0)</f>
        <v>NSW</v>
      </c>
      <c r="E400" s="37" t="str" cm="1">
        <f t="array" ref="E400">Common_InputFunctions.Utility_DisplayArrayInTable(SourceData_PastureBeef.SourceData_PastureBeef_MethaneConversionFactorPerRegion_Data(), Table_SourceData_PastureBeef_MethaneConversionFactor[[#Headers],[State]], 0)</f>
        <v>n/a</v>
      </c>
      <c r="F400" s="37" cm="1">
        <f t="array" ref="F400">Common_InputFunctions.Utility_DisplayArrayInTable(SourceData_PastureBeef.SourceData_PastureBeef_MethaneConversionFactorPerRegion_Data(), Table_SourceData_PastureBeef_MethaneConversionFactor[[#Headers],[State]], 0)</f>
        <v>4.7000000000000002E-3</v>
      </c>
      <c r="G400" s="37" cm="1">
        <f t="array" ref="G400">Common_InputFunctions.Utility_DisplayArrayInTable(SourceData_PastureBeef.SourceData_PastureBeef_MethaneConversionFactorPerRegion_Data(), Table_SourceData_PastureBeef_MethaneConversionFactor[[#Headers],[State]], 0)</f>
        <v>0.75</v>
      </c>
      <c r="M400" s="1"/>
    </row>
    <row r="401" spans="4:13" x14ac:dyDescent="0.25">
      <c r="D401" s="37" t="str" cm="1">
        <f t="array" ref="D401">Common_InputFunctions.Utility_DisplayArrayInTable(SourceData_PastureBeef.SourceData_PastureBeef_MethaneConversionFactorPerRegion_Data(), Table_SourceData_PastureBeef_MethaneConversionFactor[[#Headers],[State]], 0)</f>
        <v>SA</v>
      </c>
      <c r="E401" s="37" t="str" cm="1">
        <f t="array" ref="E401">Common_InputFunctions.Utility_DisplayArrayInTable(SourceData_PastureBeef.SourceData_PastureBeef_MethaneConversionFactorPerRegion_Data(), Table_SourceData_PastureBeef_MethaneConversionFactor[[#Headers],[State]], 0)</f>
        <v>n/a</v>
      </c>
      <c r="F401" s="37" cm="1">
        <f t="array" ref="F401">Common_InputFunctions.Utility_DisplayArrayInTable(SourceData_PastureBeef.SourceData_PastureBeef_MethaneConversionFactorPerRegion_Data(), Table_SourceData_PastureBeef_MethaneConversionFactor[[#Headers],[State]], 0)</f>
        <v>4.7000000000000002E-3</v>
      </c>
      <c r="G401" s="37" cm="1">
        <f t="array" ref="G401">Common_InputFunctions.Utility_DisplayArrayInTable(SourceData_PastureBeef.SourceData_PastureBeef_MethaneConversionFactorPerRegion_Data(), Table_SourceData_PastureBeef_MethaneConversionFactor[[#Headers],[State]], 0)</f>
        <v>0.74</v>
      </c>
      <c r="M401" s="1"/>
    </row>
    <row r="402" spans="4:13" x14ac:dyDescent="0.25">
      <c r="D402" s="37" t="str" cm="1">
        <f t="array" ref="D402">Common_InputFunctions.Utility_DisplayArrayInTable(SourceData_PastureBeef.SourceData_PastureBeef_MethaneConversionFactorPerRegion_Data(), Table_SourceData_PastureBeef_MethaneConversionFactor[[#Headers],[State]], 0)</f>
        <v>TAS</v>
      </c>
      <c r="E402" s="37" t="str" cm="1">
        <f t="array" ref="E402">Common_InputFunctions.Utility_DisplayArrayInTable(SourceData_PastureBeef.SourceData_PastureBeef_MethaneConversionFactorPerRegion_Data(), Table_SourceData_PastureBeef_MethaneConversionFactor[[#Headers],[State]], 0)</f>
        <v>n/a</v>
      </c>
      <c r="F402" s="37" cm="1">
        <f t="array" ref="F402">Common_InputFunctions.Utility_DisplayArrayInTable(SourceData_PastureBeef.SourceData_PastureBeef_MethaneConversionFactorPerRegion_Data(), Table_SourceData_PastureBeef_MethaneConversionFactor[[#Headers],[State]], 0)</f>
        <v>4.7000000000000002E-3</v>
      </c>
      <c r="G402" s="37" cm="1">
        <f t="array" ref="G402">Common_InputFunctions.Utility_DisplayArrayInTable(SourceData_PastureBeef.SourceData_PastureBeef_MethaneConversionFactorPerRegion_Data(), Table_SourceData_PastureBeef_MethaneConversionFactor[[#Headers],[State]], 0)</f>
        <v>0.7</v>
      </c>
      <c r="M402" s="1"/>
    </row>
    <row r="403" spans="4:13" x14ac:dyDescent="0.25">
      <c r="D403" s="37" t="str" cm="1">
        <f t="array" ref="D403">Common_InputFunctions.Utility_DisplayArrayInTable(SourceData_PastureBeef.SourceData_PastureBeef_MethaneConversionFactorPerRegion_Data(), Table_SourceData_PastureBeef_MethaneConversionFactor[[#Headers],[State]], 0)</f>
        <v>VIC</v>
      </c>
      <c r="E403" s="37" t="str" cm="1">
        <f t="array" ref="E403">Common_InputFunctions.Utility_DisplayArrayInTable(SourceData_PastureBeef.SourceData_PastureBeef_MethaneConversionFactorPerRegion_Data(), Table_SourceData_PastureBeef_MethaneConversionFactor[[#Headers],[State]], 0)</f>
        <v>n/a</v>
      </c>
      <c r="F403" s="37" cm="1">
        <f t="array" ref="F403">Common_InputFunctions.Utility_DisplayArrayInTable(SourceData_PastureBeef.SourceData_PastureBeef_MethaneConversionFactorPerRegion_Data(), Table_SourceData_PastureBeef_MethaneConversionFactor[[#Headers],[State]], 0)</f>
        <v>4.7000000000000002E-3</v>
      </c>
      <c r="G403" s="37"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7" t="str" cm="1">
        <f t="array" ref="D404">Common_InputFunctions.Utility_DisplayArrayInTable(SourceData_PastureBeef.SourceData_PastureBeef_MethaneConversionFactorPerRegion_Data(), Table_SourceData_PastureBeef_MethaneConversionFactor[[#Headers],[State]], 0)</f>
        <v>WA</v>
      </c>
      <c r="E404" s="37" t="str" cm="1">
        <f t="array" ref="E404">Common_InputFunctions.Utility_DisplayArrayInTable(SourceData_PastureBeef.SourceData_PastureBeef_MethaneConversionFactorPerRegion_Data(), Table_SourceData_PastureBeef_MethaneConversionFactor[[#Headers],[State]], 0)</f>
        <v>South West</v>
      </c>
      <c r="F404" s="37" cm="1">
        <f t="array" ref="F404">Common_InputFunctions.Utility_DisplayArrayInTable(SourceData_PastureBeef.SourceData_PastureBeef_MethaneConversionFactorPerRegion_Data(), Table_SourceData_PastureBeef_MethaneConversionFactor[[#Headers],[State]], 0)</f>
        <v>4.7000000000000002E-3</v>
      </c>
      <c r="G404" s="37" cm="1">
        <f t="array" ref="G404">Common_InputFunctions.Utility_DisplayArrayInTable(SourceData_PastureBeef.SourceData_PastureBeef_MethaneConversionFactorPerRegion_Data(), Table_SourceData_PastureBeef_MethaneConversionFactor[[#Headers],[State]], 0)</f>
        <v>0.76</v>
      </c>
      <c r="M404" s="1"/>
    </row>
    <row r="405" spans="4:13" x14ac:dyDescent="0.25">
      <c r="D405" s="37" t="str" cm="1">
        <f t="array" ref="D405">Common_InputFunctions.Utility_DisplayArrayInTable(SourceData_PastureBeef.SourceData_PastureBeef_MethaneConversionFactorPerRegion_Data(), Table_SourceData_PastureBeef_MethaneConversionFactor[[#Headers],[State]], 0)</f>
        <v>WA</v>
      </c>
      <c r="E405" s="37" t="str" cm="1">
        <f t="array" ref="E405">Common_InputFunctions.Utility_DisplayArrayInTable(SourceData_PastureBeef.SourceData_PastureBeef_MethaneConversionFactorPerRegion_Data(), Table_SourceData_PastureBeef_MethaneConversionFactor[[#Headers],[State]], 0)</f>
        <v>Pilbara</v>
      </c>
      <c r="F405" s="37" cm="1">
        <f t="array" ref="F405">Common_InputFunctions.Utility_DisplayArrayInTable(SourceData_PastureBeef.SourceData_PastureBeef_MethaneConversionFactorPerRegion_Data(), Table_SourceData_PastureBeef_MethaneConversionFactor[[#Headers],[State]], 0)</f>
        <v>4.7000000000000002E-3</v>
      </c>
      <c r="G405" s="37" cm="1">
        <f t="array" ref="G405">Common_InputFunctions.Utility_DisplayArrayInTable(SourceData_PastureBeef.SourceData_PastureBeef_MethaneConversionFactorPerRegion_Data(), Table_SourceData_PastureBeef_MethaneConversionFactor[[#Headers],[State]], 0)</f>
        <v>0.76</v>
      </c>
      <c r="M405" s="1"/>
    </row>
    <row r="406" spans="4:13" x14ac:dyDescent="0.25">
      <c r="D406" s="37" t="str" cm="1">
        <f t="array" ref="D406">Common_InputFunctions.Utility_DisplayArrayInTable(SourceData_PastureBeef.SourceData_PastureBeef_MethaneConversionFactorPerRegion_Data(), Table_SourceData_PastureBeef_MethaneConversionFactor[[#Headers],[State]], 0)</f>
        <v>WA</v>
      </c>
      <c r="E406" s="37" t="str" cm="1">
        <f t="array" ref="E406">Common_InputFunctions.Utility_DisplayArrayInTable(SourceData_PastureBeef.SourceData_PastureBeef_MethaneConversionFactorPerRegion_Data(), Table_SourceData_PastureBeef_MethaneConversionFactor[[#Headers],[State]], 0)</f>
        <v>Kimberley</v>
      </c>
      <c r="F406" s="37" cm="1">
        <f t="array" ref="F406">Common_InputFunctions.Utility_DisplayArrayInTable(SourceData_PastureBeef.SourceData_PastureBeef_MethaneConversionFactorPerRegion_Data(), Table_SourceData_PastureBeef_MethaneConversionFactor[[#Headers],[State]], 0)</f>
        <v>4.7000000000000002E-3</v>
      </c>
      <c r="G406" s="37"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7" t="str" cm="1">
        <f t="array" ref="D407">Common_InputFunctions.Utility_DisplayArrayInTable(SourceData_PastureBeef.SourceData_PastureBeef_MethaneConversionFactorPerRegion_Data(), Table_SourceData_PastureBeef_MethaneConversionFactor[[#Headers],[State]], 0)</f>
        <v>NT</v>
      </c>
      <c r="E407" s="37" t="str" cm="1">
        <f t="array" ref="E407">Common_InputFunctions.Utility_DisplayArrayInTable(SourceData_PastureBeef.SourceData_PastureBeef_MethaneConversionFactorPerRegion_Data(), Table_SourceData_PastureBeef_MethaneConversionFactor[[#Headers],[State]], 0)</f>
        <v>Alice Springs</v>
      </c>
      <c r="F407" s="37" cm="1">
        <f t="array" ref="F407">Common_InputFunctions.Utility_DisplayArrayInTable(SourceData_PastureBeef.SourceData_PastureBeef_MethaneConversionFactorPerRegion_Data(), Table_SourceData_PastureBeef_MethaneConversionFactor[[#Headers],[State]], 0)</f>
        <v>4.7000000000000002E-3</v>
      </c>
      <c r="G407" s="37" cm="1">
        <f t="array" ref="G407">Common_InputFunctions.Utility_DisplayArrayInTable(SourceData_PastureBeef.SourceData_PastureBeef_MethaneConversionFactorPerRegion_Data(), Table_SourceData_PastureBeef_MethaneConversionFactor[[#Headers],[State]], 0)</f>
        <v>0.8</v>
      </c>
      <c r="M407" s="1"/>
    </row>
    <row r="408" spans="4:13" x14ac:dyDescent="0.25">
      <c r="D408" s="37" t="str" cm="1">
        <f t="array" ref="D408">Common_InputFunctions.Utility_DisplayArrayInTable(SourceData_PastureBeef.SourceData_PastureBeef_MethaneConversionFactorPerRegion_Data(), Table_SourceData_PastureBeef_MethaneConversionFactor[[#Headers],[State]], 0)</f>
        <v>NT</v>
      </c>
      <c r="E408" s="37" t="str" cm="1">
        <f t="array" ref="E408">Common_InputFunctions.Utility_DisplayArrayInTable(SourceData_PastureBeef.SourceData_PastureBeef_MethaneConversionFactorPerRegion_Data(), Table_SourceData_PastureBeef_MethaneConversionFactor[[#Headers],[State]], 0)</f>
        <v>Barkly</v>
      </c>
      <c r="F408" s="37" cm="1">
        <f t="array" ref="F408">Common_InputFunctions.Utility_DisplayArrayInTable(SourceData_PastureBeef.SourceData_PastureBeef_MethaneConversionFactorPerRegion_Data(), Table_SourceData_PastureBeef_MethaneConversionFactor[[#Headers],[State]], 0)</f>
        <v>4.7000000000000002E-3</v>
      </c>
      <c r="G408" s="37" cm="1">
        <f t="array" ref="G408">Common_InputFunctions.Utility_DisplayArrayInTable(SourceData_PastureBeef.SourceData_PastureBeef_MethaneConversionFactorPerRegion_Data(), Table_SourceData_PastureBeef_MethaneConversionFactor[[#Headers],[State]], 0)</f>
        <v>0.8</v>
      </c>
      <c r="M408" s="1"/>
    </row>
    <row r="409" spans="4:13" x14ac:dyDescent="0.25">
      <c r="D409" s="37" t="str" cm="1">
        <f t="array" ref="D409">Common_InputFunctions.Utility_DisplayArrayInTable(SourceData_PastureBeef.SourceData_PastureBeef_MethaneConversionFactorPerRegion_Data(), Table_SourceData_PastureBeef_MethaneConversionFactor[[#Headers],[State]], 0)</f>
        <v>NT</v>
      </c>
      <c r="E409" s="37" t="str" cm="1">
        <f t="array" ref="E409">Common_InputFunctions.Utility_DisplayArrayInTable(SourceData_PastureBeef.SourceData_PastureBeef_MethaneConversionFactorPerRegion_Data(), Table_SourceData_PastureBeef_MethaneConversionFactor[[#Headers],[State]], 0)</f>
        <v>Northern</v>
      </c>
      <c r="F409" s="37" cm="1">
        <f t="array" ref="F409">Common_InputFunctions.Utility_DisplayArrayInTable(SourceData_PastureBeef.SourceData_PastureBeef_MethaneConversionFactorPerRegion_Data(), Table_SourceData_PastureBeef_MethaneConversionFactor[[#Headers],[State]], 0)</f>
        <v>4.7000000000000002E-3</v>
      </c>
      <c r="G409" s="37"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7" t="str" cm="1">
        <f t="array" ref="D410">Common_InputFunctions.Utility_DisplayArrayInTable(SourceData_PastureBeef.SourceData_PastureBeef_MethaneConversionFactorPerRegion_Data(), Table_SourceData_PastureBeef_MethaneConversionFactor[[#Headers],[State]], 0)</f>
        <v>QLD</v>
      </c>
      <c r="E410" s="37" t="str" cm="1">
        <f t="array" ref="E410">Common_InputFunctions.Utility_DisplayArrayInTable(SourceData_PastureBeef.SourceData_PastureBeef_MethaneConversionFactorPerRegion_Data(), Table_SourceData_PastureBeef_MethaneConversionFactor[[#Headers],[State]], 0)</f>
        <v>High</v>
      </c>
      <c r="F410" s="37" cm="1">
        <f t="array" ref="F410">Common_InputFunctions.Utility_DisplayArrayInTable(SourceData_PastureBeef.SourceData_PastureBeef_MethaneConversionFactorPerRegion_Data(), Table_SourceData_PastureBeef_MethaneConversionFactor[[#Headers],[State]], 0)</f>
        <v>4.7000000000000002E-3</v>
      </c>
      <c r="G410" s="37" cm="1">
        <f t="array" ref="G410">Common_InputFunctions.Utility_DisplayArrayInTable(SourceData_PastureBeef.SourceData_PastureBeef_MethaneConversionFactorPerRegion_Data(), Table_SourceData_PastureBeef_MethaneConversionFactor[[#Headers],[State]], 0)</f>
        <v>0.78</v>
      </c>
      <c r="M410" s="1"/>
    </row>
    <row r="411" spans="4:13" x14ac:dyDescent="0.25">
      <c r="D411" s="37" t="str" cm="1">
        <f t="array" ref="D411">Common_InputFunctions.Utility_DisplayArrayInTable(SourceData_PastureBeef.SourceData_PastureBeef_MethaneConversionFactorPerRegion_Data(), Table_SourceData_PastureBeef_MethaneConversionFactor[[#Headers],[State]], 0)</f>
        <v>QLD</v>
      </c>
      <c r="E411" s="37" t="str" cm="1">
        <f t="array" ref="E411">Common_InputFunctions.Utility_DisplayArrayInTable(SourceData_PastureBeef.SourceData_PastureBeef_MethaneConversionFactorPerRegion_Data(), Table_SourceData_PastureBeef_MethaneConversionFactor[[#Headers],[State]], 0)</f>
        <v>Moderate/High</v>
      </c>
      <c r="F411" s="37" cm="1">
        <f t="array" ref="F411">Common_InputFunctions.Utility_DisplayArrayInTable(SourceData_PastureBeef.SourceData_PastureBeef_MethaneConversionFactorPerRegion_Data(), Table_SourceData_PastureBeef_MethaneConversionFactor[[#Headers],[State]], 0)</f>
        <v>4.7000000000000002E-3</v>
      </c>
      <c r="G411" s="37" cm="1">
        <f t="array" ref="G411">Common_InputFunctions.Utility_DisplayArrayInTable(SourceData_PastureBeef.SourceData_PastureBeef_MethaneConversionFactorPerRegion_Data(), Table_SourceData_PastureBeef_MethaneConversionFactor[[#Headers],[State]], 0)</f>
        <v>0.78</v>
      </c>
      <c r="M411" s="1"/>
    </row>
    <row r="412" spans="4:13" x14ac:dyDescent="0.25">
      <c r="D412" s="37" t="str" cm="1">
        <f t="array" ref="D412">Common_InputFunctions.Utility_DisplayArrayInTable(SourceData_PastureBeef.SourceData_PastureBeef_MethaneConversionFactorPerRegion_Data(), Table_SourceData_PastureBeef_MethaneConversionFactor[[#Headers],[State]], 0)</f>
        <v>QLD</v>
      </c>
      <c r="E412" s="37" t="str" cm="1">
        <f t="array" ref="E412">Common_InputFunctions.Utility_DisplayArrayInTable(SourceData_PastureBeef.SourceData_PastureBeef_MethaneConversionFactorPerRegion_Data(), Table_SourceData_PastureBeef_MethaneConversionFactor[[#Headers],[State]], 0)</f>
        <v>Moderate/Low</v>
      </c>
      <c r="F412" s="37" cm="1">
        <f t="array" ref="F412">Common_InputFunctions.Utility_DisplayArrayInTable(SourceData_PastureBeef.SourceData_PastureBeef_MethaneConversionFactorPerRegion_Data(), Table_SourceData_PastureBeef_MethaneConversionFactor[[#Headers],[State]], 0)</f>
        <v>4.7000000000000002E-3</v>
      </c>
      <c r="G412" s="37"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7" t="str" cm="1">
        <f t="array" ref="D413">Common_InputFunctions.Utility_DisplayArrayInTable(SourceData_PastureBeef.SourceData_PastureBeef_MethaneConversionFactorPerRegion_Data(), Table_SourceData_PastureBeef_MethaneConversionFactor[[#Headers],[State]], 0)</f>
        <v>QLD</v>
      </c>
      <c r="E413" s="37" t="str" cm="1">
        <f t="array" ref="E413">Common_InputFunctions.Utility_DisplayArrayInTable(SourceData_PastureBeef.SourceData_PastureBeef_MethaneConversionFactorPerRegion_Data(), Table_SourceData_PastureBeef_MethaneConversionFactor[[#Headers],[State]], 0)</f>
        <v>Low</v>
      </c>
      <c r="F413" s="37" cm="1">
        <f t="array" ref="F413">Common_InputFunctions.Utility_DisplayArrayInTable(SourceData_PastureBeef.SourceData_PastureBeef_MethaneConversionFactorPerRegion_Data(), Table_SourceData_PastureBeef_MethaneConversionFactor[[#Headers],[State]], 0)</f>
        <v>4.7000000000000002E-3</v>
      </c>
      <c r="G413" s="37"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M414" s="1"/>
    </row>
    <row r="415" spans="4:13" x14ac:dyDescent="0.25">
      <c r="M415" s="1"/>
    </row>
    <row r="416" spans="4:13" ht="23.25" x14ac:dyDescent="0.25">
      <c r="D416" s="6" t="str" cm="1">
        <f t="array" ref="D416">SourceData_PastureBeef.SourceData_PastureBeef_AshContentOfFeedIntake_Title()</f>
        <v>Ash content of feed intake</v>
      </c>
      <c r="M416" s="1"/>
    </row>
    <row r="417" spans="4:13" x14ac:dyDescent="0.25">
      <c r="D417" s="5" t="str" cm="1">
        <f t="array" ref="D417">SourceData_PastureBeef.SourceData_PastureBeef_AshContentOfFeedIntake_Source()</f>
        <v>VEERG 2026: 4.2.2.3 CONSTANTS</v>
      </c>
      <c r="M417" s="1"/>
    </row>
    <row r="418" spans="4:13" x14ac:dyDescent="0.25">
      <c r="D418" s="1" t="str" cm="1">
        <f t="array" ref="D418">SourceData_PastureBeef.SourceData_PastureBeef_AshContentOfFeedIntake_Variable()</f>
        <v>A</v>
      </c>
      <c r="M418" s="1"/>
    </row>
    <row r="419" spans="4:13" x14ac:dyDescent="0.25">
      <c r="D419" s="54" t="str" cm="1">
        <f t="array" ref="D419">SourceData_PastureBeef.SourceData_PastureBeef_AshContentOfFeedIntake_Unit()</f>
        <v>fraction</v>
      </c>
      <c r="M419" s="1"/>
    </row>
    <row r="420" spans="4:13" x14ac:dyDescent="0.25">
      <c r="D420" s="53" cm="1">
        <f t="array" ref="D420">SourceData_PastureBeef.SourceData_PastureBeef_AshContentOfFeedIntake_Data()</f>
        <v>0.08</v>
      </c>
      <c r="M420" s="1"/>
    </row>
    <row r="421" spans="4:13" x14ac:dyDescent="0.25">
      <c r="M421" s="1"/>
    </row>
    <row r="422" spans="4:13" ht="23.25" x14ac:dyDescent="0.25">
      <c r="D422" s="6" t="str" cm="1">
        <f t="array" ref="D422">SourceData_PastureBeef.SourceData_PastureBeef_MethaneEmissionsPotential_Title()</f>
        <v>Methane emissions potential</v>
      </c>
      <c r="M422" s="1"/>
    </row>
    <row r="423" spans="4:13" x14ac:dyDescent="0.25">
      <c r="D423" s="5" t="str" cm="1">
        <f t="array" ref="D423">SourceData_PastureBeef.SourceData_PastureBeef_MethaneEmissionsPotential_Source()</f>
        <v>VEERG 2026: 4.2.2.3 CONSTANTS</v>
      </c>
      <c r="M423" s="1"/>
    </row>
    <row r="424" spans="4:13" x14ac:dyDescent="0.25">
      <c r="D424" s="1" t="str" cm="1">
        <f t="array" ref="D424">SourceData_PastureBeef.SourceData_PastureBeef_MethaneEmissionsPotential_Variable()</f>
        <v>B0</v>
      </c>
      <c r="M424" s="1"/>
    </row>
    <row r="425" spans="4:13" x14ac:dyDescent="0.25">
      <c r="D425" s="54" t="str" cm="1">
        <f t="array" ref="D425">SourceData_PastureBeef.SourceData_PastureBeef_MethaneEmissionsPotential_Unit()</f>
        <v>m3 CH4 / kg VS</v>
      </c>
      <c r="M425" s="1"/>
    </row>
    <row r="426" spans="4:13" x14ac:dyDescent="0.25">
      <c r="D426" s="53" cm="1">
        <f t="array" ref="D426">SourceData_PastureBeef.SourceData_PastureBeef_MethaneEmissionsPotential_Data()</f>
        <v>0.19</v>
      </c>
      <c r="M426" s="1"/>
    </row>
    <row r="427" spans="4:13" x14ac:dyDescent="0.25">
      <c r="M427" s="1"/>
    </row>
    <row r="428" spans="4:13" ht="23.25" x14ac:dyDescent="0.25">
      <c r="D428" s="6" t="str" cm="1">
        <f t="array" ref="D428">SourceData_PastureBeef.SourceData_PastureBeef_FracGASMSoil_Title()</f>
        <v>Fraction of nitrogen volatilised from urine and faeces deposited on pasture</v>
      </c>
      <c r="M428" s="1"/>
    </row>
    <row r="429" spans="4:13" x14ac:dyDescent="0.25">
      <c r="D429" s="5" t="str" cm="1">
        <f t="array" ref="D429">SourceData_PastureBeef.SourceData_PastureBeef_FracGASMSoil_Source()</f>
        <v>VEERG 2026: 4.2.2.3 CONSTANTS</v>
      </c>
      <c r="M429" s="1"/>
    </row>
    <row r="430" spans="4:13" x14ac:dyDescent="0.25">
      <c r="D430" s="1" t="str" cm="1">
        <f t="array" ref="D430">SourceData_PastureBeef.SourceData_PastureBeef_FracGASMSoil_Variable()</f>
        <v>FracGASMSoil</v>
      </c>
      <c r="M430" s="1"/>
    </row>
    <row r="431" spans="4:13" x14ac:dyDescent="0.25">
      <c r="D431" s="54" t="str" cm="1">
        <f t="array" ref="D431">SourceData_PastureBeef.SourceData_PastureBeef_FracGASMSoil_Unit()</f>
        <v>fraction</v>
      </c>
      <c r="M431" s="1"/>
    </row>
    <row r="432" spans="4:13" x14ac:dyDescent="0.25">
      <c r="D432" s="53" cm="1">
        <f t="array" ref="D432">SourceData_PastureBeef.SourceData_PastureBeef_FracGASMSoil_Data()</f>
        <v>0.21</v>
      </c>
      <c r="M432" s="1"/>
    </row>
    <row r="433" spans="4:13" x14ac:dyDescent="0.25">
      <c r="M433" s="1"/>
    </row>
    <row r="434" spans="4:13" ht="23.25" x14ac:dyDescent="0.25">
      <c r="D434" s="6" t="str" cm="1">
        <f t="array" ref="D434">SourceData_PastureBeef.SourceData_PastureBeef_FracLEACH_Title()</f>
        <v>Default fraction of N that is lost through leaching and runoff</v>
      </c>
      <c r="M434" s="1"/>
    </row>
    <row r="435" spans="4:13" x14ac:dyDescent="0.25">
      <c r="D435" s="5" t="str" cm="1">
        <f t="array" ref="D435">SourceData_PastureBeef.SourceData_PastureBeef_FracLEACH_Source()</f>
        <v>VEERG 2026: 4.2.2.3 CONSTANTS</v>
      </c>
      <c r="M435" s="1"/>
    </row>
    <row r="436" spans="4:13" x14ac:dyDescent="0.25">
      <c r="D436" s="1" t="str" cm="1">
        <f t="array" ref="D436">SourceData_PastureBeef.SourceData_PastureBeef_FracLEACH_Variable()</f>
        <v>FracLEACH</v>
      </c>
      <c r="M436" s="1"/>
    </row>
    <row r="437" spans="4:13" x14ac:dyDescent="0.25">
      <c r="D437" s="54" t="str" cm="1">
        <f t="array" ref="D437">SourceData_PastureBeef.SourceData_PastureBeef_FracLEACH_Unit()</f>
        <v>fraction</v>
      </c>
      <c r="M437" s="1"/>
    </row>
    <row r="438" spans="4:13" x14ac:dyDescent="0.25">
      <c r="D438" s="53" cm="1">
        <f t="array" ref="D438">SourceData_PastureBeef.SourceData_PastureBeef_FracLEACH_Data()</f>
        <v>0.24</v>
      </c>
      <c r="M438" s="1"/>
    </row>
    <row r="439" spans="4:13" x14ac:dyDescent="0.25">
      <c r="M439" s="1"/>
    </row>
    <row r="440" spans="4:13" x14ac:dyDescent="0.25">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ignoredErrors>
    <ignoredError sqref="E221:P280"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CEF0-59FE-4C48-9801-0C22E47471C6}">
  <dimension ref="A1:BY250"/>
  <sheetViews>
    <sheetView showGridLines="0" topLeftCell="A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22</v>
      </c>
      <c r="E6" s="37" t="s">
        <v>23</v>
      </c>
      <c r="F6" s="37" t="s">
        <v>24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28</v>
      </c>
      <c r="E36" s="37" t="s">
        <v>29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28</v>
      </c>
      <c r="E47" s="37" t="s">
        <v>31</v>
      </c>
      <c r="F47" s="37" t="s">
        <v>32</v>
      </c>
      <c r="G47" s="37" t="s">
        <v>33</v>
      </c>
      <c r="H47" s="37" t="s">
        <v>34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49</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37</v>
      </c>
      <c r="F89" s="37" t="s">
        <v>38</v>
      </c>
      <c r="G89" s="37" t="s">
        <v>39</v>
      </c>
      <c r="H89" s="37" t="s">
        <v>40</v>
      </c>
      <c r="I89" s="37" t="s">
        <v>41</v>
      </c>
      <c r="J89" s="37" t="s">
        <v>42</v>
      </c>
      <c r="K89" s="37" t="s">
        <v>43</v>
      </c>
      <c r="L89" s="37" t="s">
        <v>44</v>
      </c>
      <c r="M89" s="37" t="s">
        <v>45</v>
      </c>
      <c r="N89" s="37" t="s">
        <v>46</v>
      </c>
      <c r="O89" s="37" t="s">
        <v>50</v>
      </c>
      <c r="P89" s="37" t="s">
        <v>47</v>
      </c>
      <c r="Q89" s="37" t="s">
        <v>51</v>
      </c>
      <c r="R89" s="37" t="s">
        <v>48</v>
      </c>
      <c r="S89" s="37" t="s">
        <v>52</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c r="D98" s="54" t="str" cm="1">
        <f t="array" ref="D98:D101">Common_SourceData.Common_SourceData_ClimateZones_Appendices()</f>
        <v>Note:</v>
      </c>
    </row>
    <row r="99" spans="4:20" ht="20.100000000000001" customHeight="1" x14ac:dyDescent="0.25">
      <c r="D99" s="54" t="str">
        <v>MAT = mean annual temperature</v>
      </c>
    </row>
    <row r="100" spans="4:20" ht="20.100000000000001" customHeight="1" x14ac:dyDescent="0.25">
      <c r="D100" s="54" t="str">
        <v>MAP = mean annual precipitation</v>
      </c>
    </row>
    <row r="101" spans="4:20" ht="20.100000000000001" customHeight="1" x14ac:dyDescent="0.25">
      <c r="D101" s="54" t="str">
        <v>PET = potential evapotranspiration</v>
      </c>
    </row>
    <row r="102" spans="4:20" ht="20.100000000000001" customHeight="1" x14ac:dyDescent="0.25">
      <c r="D102" s="54"/>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56</v>
      </c>
      <c r="E109" s="37" t="s">
        <v>37</v>
      </c>
      <c r="F109" s="37" t="s">
        <v>57</v>
      </c>
      <c r="G109" s="37" t="s">
        <v>58</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59</v>
      </c>
      <c r="E119" s="37" t="s">
        <v>60</v>
      </c>
      <c r="F119" s="37" t="s">
        <v>44</v>
      </c>
      <c r="G119" s="37" t="s">
        <v>45</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66</v>
      </c>
      <c r="E127" s="37" t="s">
        <v>67</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94</v>
      </c>
      <c r="E134" t="s">
        <v>95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152</v>
      </c>
      <c r="E142" s="37" t="s">
        <v>95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69</v>
      </c>
      <c r="E153" s="37" t="s">
        <v>70</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36</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10</v>
      </c>
      <c r="E206" s="37" t="s">
        <v>154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184</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53</v>
      </c>
      <c r="E231" s="37" t="s">
        <v>332</v>
      </c>
      <c r="F231" s="36" t="s">
        <v>267</v>
      </c>
      <c r="G231" s="37" t="s">
        <v>333</v>
      </c>
      <c r="H231" s="37" t="s">
        <v>334</v>
      </c>
      <c r="I231" s="37" t="s">
        <v>335</v>
      </c>
      <c r="J231" s="37" t="s">
        <v>336</v>
      </c>
      <c r="K231" s="37" t="s">
        <v>337</v>
      </c>
      <c r="L231" s="37" t="s">
        <v>338</v>
      </c>
      <c r="M231" s="37" t="s">
        <v>339</v>
      </c>
      <c r="N231" s="37" t="s">
        <v>340</v>
      </c>
      <c r="O231" s="37" t="s">
        <v>341</v>
      </c>
      <c r="P231" s="37" t="s">
        <v>342</v>
      </c>
      <c r="Q231" s="37" t="s">
        <v>343</v>
      </c>
      <c r="R231" s="37" t="s">
        <v>138</v>
      </c>
      <c r="S231" s="37" t="s">
        <v>344</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80</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6" t="s">
        <v>81</v>
      </c>
      <c r="E9" s="37" t="s">
        <v>21</v>
      </c>
      <c r="F9" s="37" t="s">
        <v>82</v>
      </c>
      <c r="G9" s="3"/>
    </row>
    <row r="10" spans="1:13" ht="20.100000000000001" customHeight="1" x14ac:dyDescent="0.25">
      <c r="A10" s="19" t="s">
        <v>77</v>
      </c>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HYPERLINK("#'4.2.1.1-2 Methane'!A1", "4.2.1.1-2 Methane")</f>
        <v>4.2.1.1-2 Methane</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HYPERLINK("#'4.2.1.3-4 Soil direct N2O'!A1", "4.2.1.3-4 Soil direct N2O")</f>
        <v>4.2.1.3-4 Soil direct N2O</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HYPERLINK("#'4.2.1.5-6 Soil Atmos Dep'!A1", "4.2.1.5-6 Soil atm. deposition")</f>
        <v>4.2.1.5-6 Soil atm. deposition</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HYPERLINK("#'4.2.1.7-8 Soil leach runoff'!A1", "4.2.1.7-8 Soil leach &amp; runoff")</f>
        <v>4.2.1.7-8 Soil leach &amp; runoff</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8" t="s">
        <v>4</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Livestock'!A1", "Constants - Livestock")</f>
        <v>Constants - Livestock</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7" t="s">
        <v>79</v>
      </c>
    </row>
    <row r="17" spans="1:1" ht="20.100000000000001" customHeight="1" x14ac:dyDescent="0.25">
      <c r="A17" s="67" t="s">
        <v>75</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77</v>
      </c>
    </row>
    <row r="22" spans="1:1" ht="20.100000000000001" customHeight="1" x14ac:dyDescent="0.25">
      <c r="A22" s="67" t="s">
        <v>1</v>
      </c>
    </row>
    <row r="23" spans="1:1" ht="20.100000000000001" customHeight="1" x14ac:dyDescent="0.25">
      <c r="A23" s="67" t="s">
        <v>76</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7" t="s">
        <v>79</v>
      </c>
    </row>
    <row r="32" spans="1:1" ht="20.100000000000001" customHeight="1" x14ac:dyDescent="0.25">
      <c r="A32" s="67" t="s">
        <v>75</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7"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Mg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AgACgAaABlAGEAZAApAFwAIgA7AFwAbgAgACAAIAAgACAAIAAgACAAIAAgAFwAIgBNAF8AagBrAGwAbQBcACIALAAgAFwAIgBtAGUAdABoAGEAbgBlACAAcAByAG8AZAB1AGMAdABpAG8AbgAgAGYAcgBvAG0AIABtAGEAbgB1AHIAZQAgAGkAbgAgAGUAYQBjAGgAIAB0AGkAbQBlAC0AcABlAHIAaQBvAGQALAAgAGMAbABhAHMAcwAsACAAcwB1AGIAYwBsAGEAcwBzACAAYQBuAGQAIABNAE0AUwAgACgAawBnAC8AaABlAGEAZAAvAGQAYQB5ACkAXAAiADsAXABuACAAIAAgACAAIAAgACAAIAAgACAAXAAiAEQAXwBqAFwAIgAsACAAXAAiAG4AdQBtAGIAZQByACAAbwBmACAAZABhAHkAcwAgAGkAbgAgAGUAYQBjAGgAIAB0AGkAbQBlAC0AcABlAHIAaQBvAGQAIABmAG8AcgAgAGUAYQBjAGgAIABpAG4AcAB1AHQAIABjAGwAYQBzAHM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MgAsAFwAbgAgACAAIAAgACAAIABMAEEATQBCAEQAQQAoAHIALABjACwAXABuACAAIAAgACAAIAAgACAAIABJAE4ARABFAFgAKAB7AFwAbgAgACAAIAAgACAAIAAgACAAIAAgAFwAIgBWAFMAXwBqAGsAbABcACIALAAgAFwAIgB2AG8AbABhAHQAaQBsAGUAIABzAG8AbABpAGQAIABwAHIAbwBkAHUAYwB0AGkAbwBuACAAKABrAGcALwBkAGEAeQApAFwAIgA7AFwAbgAgACAAIAAgACAAIAAgACAAIAAgAFwAIgBCAF8AbwBcACIALAAgAFwAIgBlAG0AaQBzAHMAaQBvAG4AcwAgAHAAbwB0AGUAbgB0AGkAYQBsACAAKABtADMAIABDAEgANAAvAGsAZwAgAFYAUwApAFwAIgA7AFwAbgAgACAAIAAgACAAIAAgACAAIAAgAFwAIgBNAE0AUwBfAG0AXAAiACwAIABcACIAZgByAGEAYwB0AGkAbwBuACAAbwBmACAAdwBhAHMAdABlACAAaQBuACAAZQBhAGMAaAAgAG0AYQBuAHUAcgBlACAAbQBhAG4AYQBnAGUAbQBlAG4AdAAgAHMAeQBzAHQAZQBtAFwAIgA7AFwAbgAgACAAIAAgACAAIAAgACAAIAAgAFwAIgBNAEMARgBfAGkAbQBcACIALAAgAFwAIgBtAGUAdABoAGEAbgBlACAAYwBvAG4AdgBlAHIAcwBpAG8AbgAgAGYAYQBjAHQAbwByACAAZgBvAHIAIAB0AGUAbQBwAGUAcgBhAHQAdQByAGUAIAB6AG8AbgBlACAAYQBuAGQAIABNAE0AUwBcACIAOwBcAG4AIAAgACAAIAAgACAAIAAgACAAIABcACIAcgBoAG8AXAAiACwAIABcACIAZABlAG4AcwBpAHQAeQAgAG8AZgAgAG0AZQB0AGgAYQBuAGUAIAAoAGsAZwAvAG0AMwApAFwAIgA7AFwAbgAgACAAIAAgACAAIAAgACAAIAAgAFwAIgBpAFwAIgAsACAAXAAiAHMAdABhAHQAZQBcACIAOwBcAG4AIAAgACAAIAAgACAAIAAgACAAIABcACIAaQBcACIALAAgAFwAIgByAGUAZwBpAG8Abg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8AaABlAGEAZAAvAGQAYQB5ACkAXAAiADsAXABuACAAIAAgACAAIAAgACAAIAAgACAAXAAiAEQATQBEAF8AagBrAGwAXAAiACwAIABcACIAZAByAHkAIABtAGEAdAB0AGUAcgAgAGQAaQBnAGUAcwB0AGkAYgBpAGwAaQB0AHkAIABlAHgAcAByAGUAcwBzAGUAZAAgAGEAcwAgAGEAIABmAHIAYQBjAHQAaQBvAG4AXAAiADsAXABuACAAIAAgACAAIAAgACAAIAAgACAAXAAiAEEAXAAiACwAIABcACIAYQBzAGgAIABjAG8AbgB0AGUAbgB0ACAAbwBmACAAZgBlAGUAZAAgAGkAbgB0AGEAawBlACAAZQB4AHAAcgBlAHMAcwBlAGQAIABhAHMAIABhACAAZgByAGEAYwB0AGkAbwBu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y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CAAKABkAGEAeQBzACkAXAAiADsAXABuACAAIAAgACAAIAAgACAAIAAgACAAXAAiAE0AXwBqAGsAbABcACIALAAgAFwAIgBkAGEAaQBsAHkAIABwAHIAbwBkAHUAYwB0AGkAbwBuACAAbwBmACAAZQBuAHQAZQByAGkAYwAgAG0AZQB0AGgAYQBuAGUAIABpAG4AIABlAGEAYwBoACAAdABpAG0AZQAtAHAAZQByAGkAbwBkACwAIABjAGwAYQBzAHMAIABhAG4AZAAgAHMAdQBiAGMAbABhAHMAcwAgACgAawBnACAAQwBIADQALwBoAGUAYQBkAC8AZABhAHkAKQBcACIAOwBcAG4AIAAgACAAIAAgACAAIAAgACAAIABcACIATgBfAGoAawBsAFwAIgAsACAAXAAiAG4AdQBtAGIAZQByACAAbwBmACAAYgBlAGUAZgAgAGMAYQB0AHQAbABlACAAaQBuACAAZQBhAGMAaAAgAHQAaQBtAGUALQBwAGUAcgBpAG8AZAAsACAAYwBsAGEAcwBzACAAYQBuAGQAIABzAHUAYgBjAGwAYQBzAHMAIAAoAGgAZQBhAG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MgAsAFwAbgAgACAAIAAgACAAIABMAEEATQBCAEQAQQAoAHIALABjACwAXABuACAAIAAgACAAIAAgACAAIABJAE4ARABFAFgAKAB7AFwAbgAgACAAIAAgACAAIAAgACAAIAAgAFwAIgBJAF8AagBrAGwAXAAiACwAIABcACIAZAByAHkAIABtAGEAdAB0AGUAcgAgAGkAbgB0AGEAawBlACAAKABrAGcAIABEAE0ALwBoAGUAYQBkAC8AZABhAHk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IALABcAG4AIAAgACAAIAAgACAATABBAE0AQgBEAEEAKAByACwAYwAsAFwAbgAgACAAIAAgACAAIAAgACAASQBOAEQARQBYACgAewBcAG4AIAAgACAAIAAgACAAIAAgACAAIABcACIAVwBfAGoAawBsAFwAIgAsACAAXAAiAGwAaQB2AGUAdwBlAGkAZwBoAHQAIAAoAGsAZwApAFwAIgA7AFwAbgAgACAAIAAgACAAIAAgACAAIAAgAFwAIgBMAFcARwBfAGoAawBsAFwAIgAsACAAXAAiAGwAaQB2AGUAIAB3AGUAaQBnAGgAdAAgAGcAYQBpAG4AIAAoAGsAZwAvAGgAZQBhAGQALwBkAGEAeQApAFwAIgA7AFwAbgAgACAAIAAgACAAIAAgACAAIAAgAFwAIgBNAEEAXwBqAGsANAA1AFwAIgAsACAAXAAiAGEAZABkAGkAdABpAG8AbgBhAGwAIABpAG4AdABhAGsAZQAgAGYAbwByACAAbQBpAGwAawAgAHAAcgBvAGQAdQBjAHQAaQBvAG4AIABpAG4AIABjAG8AdwBzACAAZwByAGUAYQB0AGUAcgAgAHQAaABhAG4AIAAyACAAeQBlAGEAcgBzACAAKABrAGcALwBoAGUAYQBkAC8AZABhAHk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LAAgAEYAQQBfAGoAawA0ADUAYwBhAGwAdgAsACAARgBBAF8AagBrADQANQBhAGYAdABlAHIALABcAG4AIAAgACAAIAAoACgATABDAF8AagBrADQANQAgACoAIABGAEEAXwBqAGsANAA1AGMAYQBsAHYAKQAgACsAIAAoAEwAQwBfAGoAawA0ADUAIAAqACAARgBBAF8AagBrADQANQBhAGYAdABlAHIAKQApACAAKwAgACgAMQAgAC0AIAAoAEwAQwBfAGoAawA0ADUAIAArACAATABDAF8AagBrADQANQ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H0AXABcAHQAaQBtAGUAcwAgAEYAQQBfAHsAagBrAD0ANAAsADUALABjAGEAbAB2AH0AKQArACgATABDAF8AewBqAGsAPQA0ACwANQB9AFwAXAB0AGkAbQBlAHMAIABGAEEAXwB7AGoAawA9ADQALAA1ACwAYQBmAHQAZQByAH0AKQApACsAKAAxAC0AKABMAEMAXwB7AGoAawA9ADQALAA1AH0AKwBMAEMAXwB7AGoAawA9ADQALAA1AH0AKQApAFwAIgApADsAXABuAFwAbgBWAEUARQBSAEcAXwAzAF8AMgBfADEAXwAxAF8AXwA0AF8AQQBkAGQAaQB0AGkAbwBuAGEAbABJAG4AdABhAGsAZQBGAG8AcgBNAGkAbABrAFAAcgBvAGQAdQBjAHQAaQBvAG4AXwBBAHIAZwB1AG0AZQBuAHQAcwBcAG4AIAAgAD0ATABBAE0AQgBEAEEAKABcAG4AIAAgACAAIABNAEEASwBFAEEAUgBSAEEAWQAoADMALAAgADI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OwBcAG4AIAAgACAAIAAgACAAIAAgACAAIABcACIAYgBcACIALAAgAFwAIgBiAHIAZQBlAGQAIABvAGYAIABjAGEAdAB0AGwAZQ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Mg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7AFwAbgAgACAAIAAgACAAIAAgACAAIAAgAFwAIgBiAFwAIgAsACAAXAAiAGIAcgBlAGUAZAAgAG8AZgAgAGMAYQB0AHQAbABl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IAAxAFwAIgAsACAAXAAiAEIAdQBsAGwAIAA+ACAAMQBcACIALAAgAFwAIgBDAG8AdwAgADwAIAAxAFwAIgAsACAAXAAiAEMAbwB3ACAAMQAtADIAXAAiACwAIABcACIAQwBvAHcAIAA+ACAAMgBcACIALAAgAFwAIgBTAHQAZQBlAHIAIAA8ACAAMQBcACIALAAgAFwAIgBTAHQAZQBlAHIAIAA+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HMAIAA8ADEAXAAiACwAIABcACIAQwBvAHcAcwAgADEALQAyAFwAIgAsACAAXAAiAEMAbwB3AHMAIAAyAC0AMwBcACIALAAgAFwAIgBDAG8AdwBzACAAPgAzAFwAIgAsACAAXAAiAFMAdABlAGUAcgAgADwAMQBcACIALAAgAFwAIgBTAHQAZQBlAHIAIAAxAC0AMgBcACIALAAgAFwAIgBTAHQAZQBlAHIAIAAyAC0AMwBcACIALAAgAFwAIgBTAHQAZQBlAHIAIAA+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AnAG4ALwBhACcAIAB3AGkAdABoACAAJwBTAG8AdQB0AGgAIABXAGUAcwB0AC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IAA8ADEAXAAiACwAIABcACIAQwBvAHcAIAAxAC0AMgBcACIALAAgAFwAIgBDAG8AdwAgAD4AMgBcACIALAAgAFwAIgBTAHQAZQBlAHIAIAA8ADEAXAAiACwAIABcACIAUwB0AGUAZQByACAAPg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IAA8ADEAXAAiACwAIABcACIAQwBvAHcAIAAxAC0AMgBcACIALAAgAFwAIgBDAG8AdwAgADIALQAzAFwAIgAsACAAXAAiAEMAbwB3ACAAPgAzAFwAIgAsACAAXAAiAFMAdABlAGUAcgAgADwAMQBcACIALAAgAFwAIgBTAHQAZQBlAHIAIAAxAC0AMgBcACIALAAgAFwAIgBTAHQAZQBlAHIAIAAyAC0AMwBcACIALAAgAFwAIgBTAHQAZQBlAHIAIAA+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JwBTAHQAYQB0AGUAIABhAGIAYgByAGUAdgBpAGEAdABpAG8AbgAn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A8ADEAXAAiACwAIABcACIAQgB1AGwAbABzACAAPgAxAFwAIgAsACAAXAAiAEMAbwB3AHMAIAA8ADEAXAAiACwAIABcACIAQwBvAHcAcwAgADEALQAyAFwAIgAsACAAXAAiAEMAbwB3AHMAIAA+ADIAXAAiACwAIABcACIAUwB0AGUAZQByACAAPAAxAFwAIgAsACAAXAAiAFMAdABlAGUAcgAgAD4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JwBQAGEAcwB0AHUAcgBlACAAcgBhAG4AZwBlACAAYQBuAGQAIABwAGEAZABkAG8AYwBrAC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FwAbgBcAG4ATABvAG8AawB1AHAAVgBhAGwAdQBlAEYAcgBvAG0AUwB0AGEAdABlAFIAZQBnAGkAbwBuAFMAZQBhAHMAbwBuAFwAbgA9AEwAQQBNAEIARABBACgAXABuACAAIAAgACAAUwB0AGEAdABlACwAIABSAGUAZwBpAG8AbgAsACAAUwBlAGEAcwBvAG4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XABuAFwAbgBMAG8AbwBrAHUAcABWAGEAbAB1AGUARgByAG8AbQBTAHQAYQB0AGUAUgBlAGcAaQBvAG4ATQBvAG4AdABoAFwAbgA9AEwAQQBNAEIARABBACgAXABuACAAIAAgACAAUwB0AGEAdABlACwAIABSAGUAZwBpAG8AbgAsACAATQBvAG4AdABo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AgAE0AbwBuAHQAaABBAHIAcgBhAHkALAAgAE0AbwBuAHQAaABUAG8AUwBlAGEAcw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MAZQBhAHMAbwBuACwAIABYAEwATwBPAEsAVQBQACgAVABFAFgAVAAoAE0AbwBuAHQAaAAsACAAXAAiAG0AbQBtAG0AXAAiACkALAAgAE0AbwBuAHQAaABBAHIAcgBhAHkALAAgAE0AbwBuAHQAaABUAG8AUwBlAGEAcw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AiAH0ALAB7ACIAcABhAHQAaAAiADoAIgAvAHAAcgBvAGoAZQBjAHQAcwAvAE0ATQBTAF8AUABhAHMAdAB1AHIAZQBCAGUAZQBm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wAgAE0AZQB0AGgAbwBkACAAMQAgAC0AIABTAG8AaQBsACAARABpAHIAZQBjAHQ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wBfAF8AMQBfAEQAaQByAGUAYwB0AE4AaQB0AHIAbwB1AHMATwB4AGkAZABlAEUAbQBpAHMAcwBpAG8AbgBzAE8AbgBQAGEAcwB0AHUAcgBlAFwAbgBUAG8AdABhAGwAIABhAG4AbgB1AGEAbAAgAGQAaQByAGUAYwB0ACAAbgBpAHQAcgBvAHUAcwAgAG8AeABpAGQAZQAgAGUAbQBpAHMAcwBpAG8AbgBzACAAZgByAG8AbQAgAGEAZwByAGkAYwB1AGwAdAB1AHIAYQBsACAAcwBvAGkAbABzACAAZgByAG8AbQAgAGQAZQBwAG8AcwBpAHQAaQBvAG4AIABvAGYAIAB1AHIAaQBuAGUAIABhAG4AZAAgAGQAdQBuAGcAXABuAEUAXwBOADIATwBkAGkAcgBcAG4AdAAgAE4AMgBPAFwAbgBFAF8AewBOADIATwAsAGQAaQByAH0APQBBAEUAXABcAHQAaQBtAGUAcwAgAEUARgBfAHsAUABSAFAAfQBcAFwAdABpAG0AZQBzACAAQwBfAHsATgAyAE8AfQBcAFwAdABpAG0AZQBzACAAMQAwAF4AewAtADMAfQBcAG4AQQBFACAAPQAgAHQAbwB0AGEAbAAgAG0AYQBzAHMAIABvAGYAIABuAGkAdAByAG8AZwBlAG4AIABlAHgAYwByAGUAdABlAGQAIABvAG4AIABQAFIAUAAgAGYAbwByACAAYgBlAGUAZgAgAGMAYQB0AHQAbABlACAAKABrAGcAIABOACkAXABuAEUARgBfAFAAUgBQACAAPQAgAGUAbQBpAHMAcwBpAG8AbgAgAGYAYQBjAHQAbwByACAAZgBvAHIAIABuAGkAdAByAG8AdQBzACAAbwB4AGkAZABlACAAZgByAG8AbQAgAHUAcgBpAG4AZQAgAGEAbgBkACAAZAB1AG4AZwAgAGQAZQBwAG8AcwBpAHQAZQBkACAAdABvACAAcwBvAGkAbAAgACgAawBnACAATgAyAE8ALQBOAC8AawBnACAATgAgAGQAZQBwAG8AcwBpAHQAZQBk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yAF8AMQBfADMAXwBfADEAXwBEAGkAcgBlAGMAdABOAGkAdAByAG8AdQBzAE8AeABpAGQAZQBFAG0AaQBzAHMAaQBvAG4AcwBPAG4AUABhAHMAdAB1AHIAZQBcAG4AIAAgAD0ATABBAE0AQgBEAEEAKABcAG4AIAAgACAAIABBAEUALAAgAEUARgBfAFAAUgBQACwAIABDAF8ATgAyAE8ALABcAG4AIAAgACAAIABBAEUAIAAqACAARQBGAF8AUABSAFAAIAAqACAAQwBfAE4AMgBPACAAKgAgADEAMAAgAF4AIAAtADMAXABuACAAIAApADsAXABuAFwAbgBWAEUARQBSAEcAXwA0AF8AMgBfADEAXwAzAF8AXwAxAF8ARABpAHIAZQBjAHQATgBpAHQAcgBvAHUAcwBPAHgAaQBkAGUARQBtAGkAcwBzAGkAbwBuAHMATwBuAFAAYQBzAHQAdQByAGUAXwBUAGkAdABsAGUAXABuACAAIAA9AEwAQQBNAEIARABBACgAXAAiAFQAbwB0AGEAbAAgAGEAbgBuAHUAYQBsACAAZABpAHIAZQBjAHQAIABuAGkAdAByAG8AdQBzACAAbwB4AGkAZABlACAAZQBtAGkAcwBzAGkAbwBuAHMAIABmAHIAbwBtACAAYQBnAHIAaQBjAHUAbAB0AHUAcgBhAGwAIABzAG8AaQBsAHMAIABmAHIAbwBtACAAZABlAHAAbwBzAGkAdABpAG8AbgAgAG8AZgAgAHUAcgBpAG4AZQAgAGEAbgBkACAAZAB1AG4AZwBcACIAKQA7AFwAbgBcAG4AVgBFAEUAUgBHAF8ANABfADIAXwAxAF8AMwBfAF8AMQBfAEQAaQByAGUAYwB0AE4AaQB0AHIAbwB1AHMATwB4AGkAZABlAEUAbQBpAHMAcwBpAG8AbgBzAE8AbgBQAGEAcwB0AHUAcgBlAF8AVgBhAHIAaQBhAGIAbABlAFwAbgAgACAAPQBMAEEATQBCAEQAQQAoAFwAIgBFAF8ATgAyAE8AZABpAHIAXAAiACkAOwBcAG4AXABuAFYARQBFAFIARwBfADQAXwAyAF8AMQBfADMAXwBfADEAXwBEAGkAcgBlAGMAdABOAGkAdAByAG8AdQBzAE8AeABpAGQAZQBFAG0AaQBzAHMAaQBvAG4AcwBPAG4AUABhAHMAdAB1AHIAZQBfAFUAbgBpAHQAXABuACAAIAA9AEwAQQBNAEIARABBACgAXAAiAHQAIABOADIATwBcACIAKQA7AFwAbgBcAG4AVgBFAEUAUgBHAF8ANABfADIAXwAxAF8AMwBfAF8AMQBfAEQAaQByAGUAYwB0AE4AaQB0AHIAbwB1AHMATwB4AGkAZABlAEUAbQBpAHMAcwBpAG8AbgBzAE8AbgBQAGEAcwB0AHUAcgBlAF8AUwBvAHUAcgBjAGUAXABuACAAIAA9AEwAQQBNAEIARABBACgAXAAiAFYARQBFAFIARwAgADIAMAAyADYAOgAgADQALgAyAC4AMQAuADMALAAgAEUAcQB1AGEAdABpAG8AbgAgACgAMQApAFwAIgApADsAXABuAFwAbgBWAEUARQBSAEcAXwA0AF8AMgBfADEAXwAzAF8AXwAxAF8ARABpAHIAZQBjAHQATgBpAHQAcgBvAHUAcwBPAHgAaQBkAGUARQBtAGkAcwBzAGkAbwBuAHMATwBuAFAAYQBzAHQAdQByAGUAXwBOAEkAUgBSAGUAZgBlAHIAZQBuAGMAZQBcAG4AIAAgAD0ATABBAE0AQgBEAEEAKABcACIAXAAiACkAOwBcAG4AXABuAFYARQBFAFIARwBfADQAXwAyAF8AMQBfADMAXwBfADEAXwBEAGkAcgBlAGMAdABOAGkAdAByAG8AdQBzAE8AeABpAGQAZQBFAG0AaQBzAHMAaQBvAG4AcwBPAG4AUABhAHMAdAB1AHIAZQBfAEwAYQB0AGUAeABFAHEAdQBhAHQAaQBvAG4AXABuACAAIAA9AEwAQQBNAEIARABBACgAXAAiAEUAXwB7AE4AMgBPACwAZABpAHIAfQA9AEEARQBcAFwAdABpAG0AZQBzACAARQBGAF8AewBQAFIAUAB9AFwAXAB0AGkAbQBlAHMAIABDAF8AewBOADIATwB9AFwAXAB0AGkAbQBlAHMAIAAxADAAXgB7AC0AMwB9AFwAIgApADsAXABuAFwAbgBWAEUARQBSAEcAXwA0AF8AMgBfADEAXwAzAF8AXwAxAF8ARABpAHIAZQBjAHQATgBpAHQAcgBvAHUAcwBPAHgAaQBkAGUARQBtAGkAcwBzAGkAbwBuAHMATwBuAFAAYQBzAHQAdQByAGUAXwBBAHIAZwB1AG0AZQBuAHQAcwBcAG4AIAAgAD0ATABBAE0AQgBEAEEAKABcAG4AIAAgACAAIABNAEEASwBFAEEAUgBSAEEAWQAoADQALAAgADI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CAAKABrAGcAIABOACkAXAAiADsAXABuACAAIAAgACAAIAAgACAAIAAgACAAXAAiAEUARgBfAFAAUgBQAFwAIgAsACAAXAAiAGUAbQBpAHMAcwBpAG8AbgAgAGYAYQBjAHQAbwByACAAZgBvAHIAIABuAGkAdAByAG8AdQBzACAAbwB4AGkAZABlACAAZgByAG8AbQAgAHUAcgBpAG4AZQAgAGEAbgBkACAAZAB1AG4AZwAgAGQAZQBwAG8AcwBpAHQAZQBkACAAdABvACAAcwBvAGkAbAAgACgAawBnACAATgAyAE8ALQBOAC8AawBnACAATgAgAGQAZQBwAG8AcwBpAHQAZQBkACkAXAAiADsAXABuACAAIAAgACAAIAAgACAAIAAgACAAXAAiAEMAXwBOADIATwBcACIALAAgAFwAIgBmAGEAYwB0AG8AcgAgAHQAbwAgAGMAbwBuAHYAZQByAHQAIABlAGwAZQBtAGUAbgB0AGEAbAAgAG0AYQBzAHMAIABvAGYAIABuAGkAdAByAG8AdQBzACAAbwB4AGkAZABlACAAdABvACAAbQBvAGwAZQBjAHUAbABhAHIAIABtAGEAcwBzAFwAIgA7AFwAbgAgACAAIAAgACAAIAAgACAAIAAgAFwAIgB6AFwAIgAsACAAXAAiAHcAZQB0ACAAbwByACAAZAByAHkAIABjAGwAaQBtAGEAdABl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yAF8AVABvAHQAYQBsAE4AaQB0AHIAbwBnAGUAbgBFAHgAYwByAGUAdABlAGQAVABvAFAAYQBzAHQAdQByAGUAUgBhAG4AZwBlAEEAbgBkAFAAYQBkAGQAbwBjAGsAXABuAFQAbwB0AGEAbAAgAG4AaQB0AHIAbwBnAGUAbgAgAGUAeABjAHIAZQB0AGUAZAAgAHQAbwAgAHAAYQBzAHQAdQByAGUALAAgAHIAYQBuAGcAZQAgAGEAbgBkACAAcABhAGQAZABvAGMAawBcAG4AQQBFAFwAbgBrAGcAIABOAFwAbgBBAEUAPQBcAFwAcwB1AG0AXwB7AGoAfQBcAFwAcwB1AG0AXwB7AGsAfQBcAFwAcwB1AG0AXwB7AGwAfQAoAE4AXwB7AGoAawBsAH0AXABcAHQAaQBtAGUAcwAgAE4ARQBfAHsAagBrAGwAfQBcAFwAdABpAG0AZQBzACAARABfAGoAKQBcAG4ATgBfAGoAawBsACAAPQAgAG4AdQBtAGIAZQByACAAbwBmACAAYgBlAGUAZgAgAGMAYQB0AHQAbABlACAAYgB5ACAAdABpAG0AZQAtAHAAZQByAGkAbwBkACwAIABjAGwAYQBzAHMAIABhAG4AZAAgAHMAdQBiAGMAbABhAHMAcwAgACgAaABlAGEAZAApAFwAbgBOAEUAXwBqAGsAbAAgAD0AIABuAGkAdAByAG8AZwBlAG4AIABlAHgAYwByAGUAdABlAGQAIABpAG4AIABlAGEAYwBoACAAdABpAG0AZQAtAHAAZQByAGkAbwBkACwAIABiAHkAIABlAGEAYwBoACAAYwBsAGEAcwBzACAAYQBuAGQAIABzAHUAYgBjAGwAYQBzAHMAIAAoAGsAZwAgAE4ALwBoAGUAYQBkAC8AZABhAHkAKQBcAG4ARABfAGoAIAA9ACAAbgB1AG0AYgBlAHIAIABvAGYAIABkAGEAeQBzACAAaQBuACAAZQBhAGMAaAAgAHQAaQBtAGUALQBwAGUAcgBpAG8AZAAgACgAZABhAHkAcwApAFwAbgAtAC0ALQAtAC0ALQAtAC0ALQAtAC0ALQAtAC0ALQAtAC0ALQAtAC0ALQAtAC0ALQAtAC0ALQAtAC0ALQAtAC0ALQAtAC0ALQAtAC0AXABuACoALwBcAG4AXABuAFYARQBFAFIARwBfADQAXwAyAF8AMQBfADMAXwBfADIAXwBUAG8AdABhAGwATgBpAHQAcgBvAGcAZQBuAEUAeABjAHIAZQB0AGUAZABUAG8AUABhAHMAdAB1AHIAZQBSAGEAbgBnAGUAQQBuAGQAUABhAGQAZABvAGMAawBcAG4AIAAgAD0ATABBAE0AQgBEAEEAKABcAG4AIAAgACAAIABOAF8AagBrAGwALAAgAE4ARQBfAGoAawBsACwAIABEAF8AagAsAFwAbgAgACAAIAAgAFMAVQBNACgAKABOAF8AagBrAGwAIAAqACAATgBFAF8AagBrAGwAKQAgACoAIABEAF8AagApAFwAbgAgACAAKQA7AFwAbgBcAG4AVgBFAEUAUgBHAF8ANABfADIAXwAxAF8AMwBfAF8AMgBfAFQAbwB0AGEAbABOAGkAdAByAG8AZwBlAG4ARQB4AGMAcgBlAHQAZQBkAFQAbwBQAGEAcwB0AHUAcgBlAFIAYQBuAGcAZQBBAG4AZABQAGEAZABkAG8AYwBrAF8AVABpAHQAbABlAFwAbgAgACAAPQBMAEEATQBCAEQAQQAoAFwAIgBUAG8AdABhAGwAIABuAGkAdAByAG8AZwBlAG4AIABlAHgAYwByAGUAdABlAGQAIAB0AG8AIABwAGEAcwB0AHUAcgBlACwAIAByAGEAbgBnAGUAIABhAG4AZAAgAHAAYQBkAGQAbwBjAGsAXAAiACkAOwBcAG4AXABuAFYARQBFAFIARwBfADQAXwAyAF8AMQBfADMAXwBfADIAXwBUAG8AdABhAGwATgBpAHQAcgBvAGcAZQBuAEUAeABjAHIAZQB0AGUAZABUAG8AUABhAHMAdAB1AHIAZQBSAGEAbgBnAGUAQQBuAGQAUABhAGQAZABvAGMAawBfAFYAYQByAGkAYQBiAGwAZQBcAG4AIAAgAD0ATABBAE0AQgBEAEEAKABcACIAQQBFAFwAIgApADsAXABuAFwAbgBWAEUARQBSAEcAXwA0AF8AMgBfADEAXwAzAF8AXwAyAF8AVABvAHQAYQBsAE4AaQB0AHIAbwBnAGUAbgBFAHgAYwByAGUAdABlAGQAVABvAFAAYQBzAHQAdQByAGUAUgBhAG4AZwBlAEEAbgBkAFAAYQBkAGQAbwBjAGsAXwBVAG4AaQB0AFwAbgAgACAAPQBMAEEATQBCAEQAQQAoAFwAIgBrAGcAIABOAFwAIgApADsAXABuAFwAbgBWAEUARQBSAEcAXwA0AF8AMgBfADEAXwAzAF8AXwAyAF8AVABvAHQAYQBsAE4AaQB0AHIAbwBnAGUAbgBFAHgAYwByAGUAdABlAGQAVABvAFAAYQBzAHQAdQByAGUAUgBhAG4AZwBlAEEAbgBkAFAAYQBkAGQAbwBjAGsAXwBTAG8AdQByAGMAZQBcAG4AIAAgAD0ATABBAE0AQgBEAEEAKABcACIAVgBFAEUAUgBHACAAMgAwADIANgA6ACAANAAuADIALgAxAC4AMwAsACAARQBxAHUAYQB0AGkAbwBuACAAKAAyACkAXAAiACkAOwBcAG4AXABuAFYARQBFAFIARwBfADQAXwAyAF8AMQBfADMAXwBfADIAXwBUAG8AdABhAGwATgBpAHQAcgBvAGcAZQBuAEUAeABjAHIAZQB0AGUAZABUAG8AUABhAHMAdAB1AHIAZQBSAGEAbgBnAGUAQQBuAGQAUABhAGQAZABvAGMAawBfAE4ASQBSAFIAZQBmAGUAcgBlAG4AYwBlAFwAbgAgACAAPQBMAEEATQBCAEQAQQAoAFwAIgBcACIAKQA7AFwAbgBcAG4AVgBFAEUAUgBHAF8ANABfADIAXwAxAF8AMwBfAF8AMgBfAFQAbwB0AGEAbABOAGkAdAByAG8AZwBlAG4ARQB4AGMAcgBlAHQAZQBkAFQAbwBQAGEAcwB0AHUAcgBlAFIAYQBuAGcAZQBBAG4AZABQAGEAZABkAG8AYwBrAF8ATABhAHQAZQB4AEUAcQB1AGEAdABpAG8AbgBcAG4AIAAgAD0ATABBAE0AQgBEAEEAKABcACIAQQBFAD0AXABcAHMAdQBtAF8AewBqAH0AXABcAHMAdQBtAF8AewBrAH0AXABcAHMAdQBtAF8AewBsAH0AKABOAF8AewBqAGsAbAB9AFwAXAB0AGkAbQBlAHMAIABOAEUAXwB7AGoAawBsAH0AXABcAHQAaQBtAGUAcwAgAEQAXwBqACkAXAAiACkAOwBcAG4AXABuAFYARQBFAFIARwBfADQAXwAyAF8AMQBfADMAXwBfADIAXwBUAG8AdABhAGwATgBpAHQAcgBvAGcAZQBuAEUAeABjAHIAZQB0AGUAZABUAG8AUABhAHMAdAB1AHIAZQBSAGEAbgBnAGUAQQBuAGQAUABhAGQAZABvAGMAawBfAEEAcgBnAHUAbQBlAG4AdABzAFwAbgAgACAAPQBMAEEATQBCAEQAQQAoAFwAbgAgACAAIAAgAE0AQQBLAEUAQQBSAFIAQQBZACgAMwAsACAAMgAsAFwAbgAgACAAIAAgACAAIABMAEEATQBCAEQAQQAoAHIALABjACwAXABuACAAIAAgACAAIAAgACAAIABJAE4ARABFAFgAKAB7AFwAbgAgACAAIAAgACAAIAAgACAAIAAgAFwAIgBOAF8AagBrAGwAXAAiACwAIABcACIAbgB1AG0AYgBlAHIAIABvAGYAIABiAGUAZQBmACAAYwBhAHQAdABsAGUAIABiAHkAIAB0AGkAbQBlAC0AcABlAHIAaQBvAGQALAAgAGMAbABhAHMAcwAgAGEAbgBkACAAcwB1AGIAYwBsAGEAcwBzACAAKABoAGUAYQBkACkAXAAiADsAXABuACAAIAAgACAAIAAgACAAIAAgACAAXAAiAE4ARQBfAGoAawBsAFwAIgAsACAAXAAiAG4AaQB0AHIAbwBnAGUAbgAgAGUAeABjAHIAZQB0AGUAZAAgAGkAbgAgAGUAYQBjAGgAIAB0AGkAbQBlAC0AcABlAHIAaQBvAGQALAAgAGIAeQAgAGUAYQBjAGgAIABjAGwAYQBzAHMAIABhAG4AZAAgAHMAdQBiAGMAbABhAHMAcwAgACgAawBnACAATgAvAGgAZQBhAGQALwBkAGEAeQApAFwAIgA7AFwAbgAgACAAIAAgACAAIAAgACAAIAAgAFwAIgBEAF8AagBcACIALAAgAFwAIgBuAHUAbQBiAGUAcgAgAG8AZgAgAGQAYQB5AHMAIABpAG4AIABlAGEAYwBoACAAdABpAG0AZQAtAHAAZQByAGkAbwBkACAAKABkAGEAeQBz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w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DsAXABuACAAIAAgACAAIAAgACAAIAAgACAAXAAiAEMAUABfAGoAXAAiACwAIABcACIAYwByAHUAZABlACAAcAByAG8AdABlAGkAbgAgAGMAbwBuAHQAZQBuAHQAIABvAGYAIABkAHIAeQAgAG0AYQB0AHQAZQByACAAaQBuAHQAYQBrAGUAXAAiADsAXABuACAAIAAgACAAIAAgACAAIAAgACAAXAAiAE0AQwBfAGoAawAxADMANgBcACIALAAgAFwAIgBtAGkAbABrACAAaQBuAHQAYQBrAGUAIAAoAGsAZwAvAGgAZQBhAGQALwBkAGEAeQApAFwAIgA7AFwAbgAgACAAIAAgACAAIAAgACAAIAAgAFwAIgBOAFIAXwBqAGsAbABcACIALAAgAFwAIgB0AGgAZQAgAGEAbQBvAHUAbgB0ACAAbwBmACAAbgBpAHQAcgBvAGcAZQBuACAAcgBlAHQAYQBpAG4AZQBkACAAYgB5ACAAdABoAGUAIABiAG8AZAB5ACAAKABrAGcAIABOAC8AaABlAGEAZAAvAGQAYQB5ACkAXAAiADsAXABuACAAIAAgACAAIAAgACAAIAAgACAAXAAiAFcAXwBqAGsAbABcACIALAAgAFwAIgBsAGkAdgBlAHcAZQBpAGcAaAB0ACAAKABrAGcALwBoAGUAYQBkACkAXAAiADsAXABuACAAIAAgACAAIAAgACAAIAAgACAAXAAiAGIAXAAiACwAIABcACIAYgByAGUAZQBkACAAbwBmACAAYwBhAHQAdABsAGUAXAAiADsAXABuACAAIAAgACAAIAAgACAAIAAgACAAXAAiAHMAXAAiACwAIABcACIAQwBhAGwAdgBpAG4AZwAgAHMAZQBhAHMAbwBu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IALABcAG4AIAAgACAAIAAgACAATABBAE0AQgBEAEEAKAByACwAYwAsAFwAbgAgACAAIAAgACAAIAAgACAASQBOAEQARQBYACgAewBcAG4AIAAgACAAIAAgACAAIAAgACAAIABcACIATQBQAF8AagBrADUAXAAiACwAIABcACIAbQBpAGwAawAgAHAAcgBvAGQAdQBjAHQAaQBvAG4AIAAoAGsAZwAvAGgAZQBhAGQALwBkAGEAeQApAFwAIgA7AFwAbgAgACAAIAAgACAAIAAgACAAIAAgAFwAIgBMAF8AagBrAGwAXAAiACwAIABcACIAaQBuAHQAYQBrAGUAIAByAGUAbABhAHQAaQB2AGUAIAB0AG8AIAB0AGgAYQB0ACAAbgBlAGUAZABlAGQAIABmAG8AcgAgAG0AYQBpAG4AdABlAG4AYQBuAGMAZQBcACIAOwBcAG4AIAAgACAAIAAgACAAIAAgACAAIABcACIAWgBfAGoAawBsAFwAIgAsACAAXAAiAHIAZQBsAGEAdABpAHYAZQAgAHMAaQB6AGUAXAAiADsAXABuACAAIAAgACAAIAAgACAAIAAgACAAXAAiAEwAVwBHAF8AagBrAGwAXAAiACwAIABcACIAbABpAHYAZQB3AGUAaQBnAGgAdAAgAGcAYQBpAG4AIAAoAGsAZw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I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OwBcAG4AIAAgACAAIAAgACAAIAAgACAAIABcACIARABNAFAAXwBqAGsANQBcACIALAAgAFwAIgBkAGEAaQBsAHkAIABtAGkAbABrACAAcAByAG8AZAB1AGMAdABpAG8AbgAgACgAawBnAC8AaABlAGEAZAAvAGQAYQB5ACkAXAAiADsAXABuACAAIAAgACAAIAAgACAAIAAgACAAXAAiAGIAXAAiACwAIABcACIAYgByAGUAZQBkACAAbwBmACAAYwBhAHQAdABsAGUAXAAiAFwAbgAgACAAIAAgACAAIAAgACAAfQAsACAAcgAsACAAYwApAFwAbgAgACAAIAAgACAAIAApAFwAbgAgACAAIAAgACkAXABuACAAIAApADsAXABuAFwAbgBWAEUARQBSAEcAXwA0AF8AMgBfADEAXwAzAF8AXwA1AF8ATQBpAGwAawBQAHIAbwBkAHUAYwB0AGkAbwBuAEYAbwByAEMAYQBsAHYAaQBuAGcAUwBlAGEAcwBvAG4AXwBBAHIAZwB1AG0AZQBuAHQAcwBWAGEAcgBpAGEAdABpAG8AbgBcAG4AIAAgAD0ATABBAE0AQgBEAEEAKABcAG4AIAAgACAAIABNAEEASwBFAEEAUgBSAEEAWQAoADUALAAgADIALABcAG4AIAAgACAAIAAgACAATABBAE0AQgBEAEEAKAByACwAYwAsAFwAbgAgACAAIAAgACAAIAAgACAASQBOAEQARQBYACgAewBcAG4AIAAgACAAIAAgACAAIAAgACAAIABcACIATABDAF8AagBrADUAYwB1AHIAcgBcACIALAAgAFwAIgBwAHIAbwBwAG8AcgB0AGkAbwBuACAAbwBmACAAYwBvAHcAcwAgAGcAcgBlAGEAdABlAHIAIAB0AGgAYQBuACAAMgAgAHkAZQBhAHIAcwAgAGwAYQBjAHQAYQB0AGkAbgBnACAAZgBvAHIAIAB0AGgAZQAgAHMAZQBhAHMAbwBuACAAbwBmACAAYwBhAGwAdgBpAG4AZw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OwBcAG4AIAAgACAAIAAgACAAIAAgACAAIABcACIARABNAFAAXwBqAGsANQBjAGEAbAB2AFwAIgAsACAAXAAiAGQAYQBpAGwAeQAgAG0AaQBsAGsAIABwAHIAbwBkAHUAYwB0AGkAbwBuACAAZgBvAHIAIAB0AGgAZQAgAHMAZQBhAHMAbwBuACAAbwBmACAAYwBhAGwAdgBpAG4AZwAgACgAawBnAC8AaABlAGEAZAAvAGQAYQB5ACkAXAAiADsAXABuACAAIAAgACAAIAAgACAAIAAgACAAXAAiAEQATQBQAF8AagBrADUAYQBmAHQAZQByAFwAIgAsACAAXAAiAGQAYQBpAGwAeQAgAG0AaQBsAGsAIABwAHIAbwBkAHUAYwB0AGkAbwBuACAAZgBvAHIAIAB0AGgAZQAgAHMAZQBhAHMAbwBuACAAYQBmAHQAZQByACAAYwBhAGwAdgBpAG4AZwAgACgAawBnAC8AaABlAGEAZAAvAGQAYQB5ACkAXAAiADsAXABuACAAIAAgACAAIAAgACAAIAAgACAAXAAiAGIAXAAiACwAIABcACIAYgByAGUAZQBkACAAbwBmACAAYwBhAHQAdABsAGUAXAAiAFwAbgAgACAAIAAgACAAIAAgACAAfQAsACAAcgAsACAAYwApAFwAbgAgACAAIAAgACAAIAApAFwAbgAgACAAIAAgACkAXABuACAAIAApADsAXABuAFwAbgBWAEUARQBSAEcAXwA0AF8AMgBfADEAXwAzAF8AXwA1AF8ATQBpAGwAawBQAHIAbwBkAHUAYwB0AGkAbwBuAEYAbwByAEMAYQBsAHYAaQBuAGcAUwBlAGEAcwBvAG4AXwBWAGEAcgBpAGEAdABpAG8AbgBcAG4APQBMAEEATQBCAEQAQQAoAFwAIgBWAEEAUgBJAEEAVABJAE8ATgAgAE8ATgAgAFMATwBVAFIAQwBFADoAIABTAHAAbABpAHQAIABMAEMAIABhAG4AZAAgAEQATQBQACAAaQBuAHQAbwAgAGMAYQBsAHYAaQBuAGcAIABzAGUAYQBzAG8AbgAgAGEAbgBkACAAYQBmAHQAZQByACAAYwBhAGwAdgBpAG4AZwAgAHMAZQBhAHMAbwBuACAAdgBhAGwAdQBlAHMALgBcACIAKQA7AFwAbgBcAG4ALwAqAFwAbgAtAC0ALQAtAC0ALQAtAC0ALQAtAC0ALQAtAC0ALQAtAC0ALQAtAC0ALQAtAC0ALQAtAC0ALQAtAC0ALQAtAC0ALQAtAC0ALQAtAC0AXABuAFYARQBFAFIARwBfADQAXwAyAF8AMQBfADMAXwBfADYAXwBJAG4AdABhAGsAZQBSAGUAbABhAHQAaQB2AGUAVABvAE0AYQBpAG4AdABlAG4AYQBuAGMAZQBcAG4ASQBuAHQAYQBrAGUAIAByAGUAbABhAHQAaQB2AGUAIAB0AG8AIAB0AGgAYQB0ACAAbgBlAGUAZABlAGQAIABmAG8AcgAgAG0AYQBpAG4AdABlAG4AYQBuAGMAZQBcAG4ATABfAGoAawBsAFwAbgByAGEAdABpAG8AXABuAEwAXwB7AGoAawBsAH0APQBcAFwAZgByAGEAYwB7AEkAXwB7AGoAawBsAH0AfQB7ACgAMQAuADEAOAA1ACsAMAAuADAAMAA0ADUANABcAFwAdABpAG0AZQBzACAAVwBfAHsAagBrAGwAfQAtADAALgAwADAAMAAwADAAMgA2AFwAXAB0AGkAbQBlAHMAIABXAF8AewBqAGsAbAB9AF4AewAyAH0AKQBeAHsAMgB9AH0AXABuAEkAXwBqAGsAbAAgAD0AIABkAHIAeQAgAG0AYQB0AHQAZQByACAAaQBuAHQAYQBrAGUAIABhAHMAIABjAGEAbABjAHUAbABhAHQAZQBkACAAaQBuACAAQwBoAGEAcAB0AGUAcgAgADMAIABTAGUAYwB0AGkAbwBuACAAMwAuADIALgAxACAAKABrAGcAIABEAE0ALwBoAGUAYQBkAC8AZABhAHkAKQBcAG4AVwBfAGoAawBsACAAPQAgAGwAaQB2AGUAdwBlAGkAZwBoAHQAIAAoAGsAZwAvAGgAZQBhAGQAKQBcAG4ALQAtAC0ALQAtAC0ALQAtAC0ALQAtAC0ALQAtAC0ALQAtAC0ALQAtAC0ALQAtAC0ALQAtAC0ALQAtAC0ALQAtAC0ALQAtAC0ALQAtAFwAbgAqAC8AXABuAFwAbgBWAEUARQBSAEcAXwA0AF8AMgBfADEAXwAzAF8AXwA2AF8ASQBuAHQAYQBrAGUAUgBlAGwAYQB0AGkAdgBlAFQAbwBNAGEAaQBuAHQAZQBuAGEAbgBjAGUAXABuACAAIAA9AEwAQQBNAEIARABBACgAXABuACAAIAAgACAASQBfAGoAawBsACwAIABXAF8AagBrAGwALABcAG4AIAAgACAAIABJAF8AagBrAGwAIAAvACAAKAAoADEALgAxADgANQAgACsAIAAwAC4AMAAwADQANQA0ACAAKgAgAFcAXwBqAGsAbAAgAC0AIAAwAC4AMAAwADAAMAAwADIANgAgACoAIABXAF8AagBrAGwAIABeACAAMgApACAAXgAgADIAKQBcAG4AIAAgACkAOwBcAG4AXABuAFYARQBFAFIARwBfADQAXwAyAF8AMQBfADMAXwBfADYAXwBJAG4AdABhAGsAZQBSAGUAbABhAHQAaQB2AGUAVABvAE0AYQBpAG4AdABlAG4AYQBuAGMAZQBfAFQAaQB0AGwAZQBcAG4AIAAgAD0ATABBAE0AQgBEAEEAKABcACIASQBuAHQAYQBrAGUAIAByAGUAbABhAHQAaQB2AGUAIAB0AG8AIAB0AGgAYQB0ACAAbgBlAGUAZABlAGQAIABmAG8AcgAgAG0AYQBpAG4AdABlAG4AYQBuAGMAZQBcACIAKQA7AFwAbgBcAG4AVgBFAEUAUgBHAF8ANABfADIAXwAxAF8AMwBfAF8ANgBfAEkAbgB0AGEAawBlAFIAZQBsAGEAdABpAHYAZQBUAG8ATQBhAGkAbgB0AGUAbgBhAG4AYwBlAF8AVgBhAHIAaQBhAGIAbABlAFwAbgAgACAAPQBMAEEATQBCAEQAQQAoAFwAIgBMAF8AagBrAGwAXAAiACkAOwBcAG4AXABuAFYARQBFAFIARwBfADQAXwAyAF8AMQBfADMAXwBfADYAXwBJAG4AdABhAGsAZQBSAGUAbABhAHQAaQB2AGUAVABvAE0AYQBpAG4AdABlAG4AYQBuAGMAZQBfAFUAbgBpAHQAXABuACAAIAA9AEwAQQBNAEIARABBACgAXAAiAHIAYQB0AGkAbwBcACIAKQA7AFwAbgBcAG4AVgBFAEUAUgBHAF8ANABfADIAXwAxAF8AMwBfAF8ANgBfAEkAbgB0AGEAawBlAFIAZQBsAGEAdABpAHYAZQBUAG8ATQBhAGkAbgB0AGUAbgBhAG4AYwBlAF8AUwBvAHUAcgBjAGUAXABuACAAIAA9AEwAQQBNAEIARABBACgAXAAiAFYARQBFAFIARwAgADIAMAAyADYAOgAgADQALgAyAC4AMQAuADMALAAgAEUAcQB1AGEAdABpAG8AbgAgACgANgApAFwAIgApADsAXABuAFwAbgBWAEUARQBSAEcAXwA0AF8AMgBfADEAXwAzAF8AXwA2AF8ASQBuAHQAYQBrAGUAUgBlAGwAYQB0AGkAdgBlAFQAbwBNAGEAaQBuAHQAZQBuAGEAbgBjAGUAXwBOAEkAUgBSAGUAZgBlAHIAZQBuAGMAZQBcAG4AIAAgAD0ATABBAE0AQgBEAEEAKABcACIAXAAiACkAOwBcAG4AXABuAFYARQBFAFIARwBfADQAXwAyAF8AMQBfADMAXwBfADYAXwBJAG4AdABhAGsAZQBSAGUAbABhAHQAaQB2AGUAVABvAE0AYQBpAG4AdABlAG4AYQBuAGMAZQBfAEwAYQB0AGUAeABFAHEAdQBhAHQAaQBvAG4AXABuACAAIAA9AEwAQQBNAEIARABBACgAXAAiAEwAXwB7AGoAawBsAH0APQBcAFwAZgByAGEAYwB7AEkAXwB7AGoAawBsAH0AfQB7ACgAMQAuADEAOAA1ACsAMAAuADAAMAA0ADUANABcAFwAdABpAG0AZQBzACAAVwBfAHsAagBrAGwAfQAtADAALgAwADAAMAAwADAAMgA2AFwAXAB0AGkAbQBlAHMAIABXAF8AewBqAGsAbAB9AF4AewAyAH0AKQBeAHsAMgB9AH0AXAAiACkAOwBcAG4AXABuAFYARQBFAFIARwBfADQAXwAyAF8AMQBfADMAXwBfADYAXwBJAG4AdABhAGsAZQBSAGUAbABhAHQAaQB2AGUAVABvAE0AYQBpAG4AdABlAG4AYQBuAGMAZQBfAEEAcgBnAHUAbQBlAG4AdABzAFwAbgAgACAAPQBMAEEATQBCAEQAQQAoAFwAbgAgACAAIAAgAE0AQQBLAEUAQQBSAFIAQQBZACgAMg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DsAXABuACAAIAAgACAAIAAgACAAIAAgACAAXAAiAFcAXwBqAGsAbABcACIALAAgAFwAIgBsAGkAdgBlAHcAZQBpAGcAaAB0ACAAKABrAGcALwBoAGUAYQBk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IALABcAG4AIAAgACAAIAAgACAATABBAE0AQgBEAEEAKAByACwAYwAsAFwAbgAgACAAIAAgACAAIAAgACAASQBOAEQARQBYACgAewBcAG4AIAAgACAAIAAgACAAIAAgACAAIABcACIAVwBfAGoAawBsAFwAIgAsACAAXAAiAGwAaQB2AGUAdwBlAGkAZwBoAHQAIAAoAGsAZwApAFwAIgA7AFwAbgAgACAAIAAgACAAIAAgACAAIAAgAFwAIgBTAFIAVwBfAGsAXAAiACwAIABcACIAcwB0AGEAbgBkAGEAcgBkACAAcgBlAGYAZQByAGUAbgBjAGUAIAB3AGUAaQBnAGgAdAAgACgAawBnACkAXAAiADsAXABuACAAIAAgACAAIAAgACAAIAAgACAAXAAiAGkAXAAiACwAIABcACIAcwB0AGEAdABlAFwAIgBcAG4AIAAgACAAIAAgACAAIAAgAH0ALAAgAHIALAAgAGMAKQBcAG4AIAAgACAAIAAgACAAKQBcAG4AIAAgACAAIAApAFwAbgAgACAAKQA7AFwAbgAiAH0ALAB7ACIAcABhAHQAaAAiADoAIgAvAHAAcgBvAGoAZQBjAHQAcwAvAE0ATQBTAF8AUABhAHMAdAB1AHIAZQBCAGUAZQBm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QAgAE0AZQB0AGgAbwBkACAAMQAgAC0AIABTAG8AaQBsACAAQQB0AG0AbwBzAHAAaABlAHIAaQBjACAARABlAHAAbwBzAGkAdABpAG8Ab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1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fQBcAFwAdABpAG0AZQBzACAARQBGAF8AewBOADIATwB9AFwAXAB0AGkAbQBlAHMAIABDAF8AewBOADIATwB9AFwAXAB0AGkAbQBlAHMAIAAxADAAXgB7AC0AMwB9AFwAbgBNAF8AdgBvAGw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QBfAF8AMQBfAEEAdABtAG8AcwBwAGgAZQByAGkAYwBEAGUAcABvAHMAaQB0AGkAbwBuAEUAbQBpAHMAcwBpAG8AbgBzAEYAcgBvAG0AVQByAGkAbgBlAEEAbgBkAEQAdQBuAGcATwBuAFAAYQBzAHQAdQByAGUAXABuACAAIAA9AEwAQQBNAEIARABBACgAXABuACAAIAAgACAATQBfAHYAbwBsACwAIABFAEYAXwBOADIATwAsACAAQwBfAE4AMgBPACwAXABuACAAIAAgACAATQBfAHYAbwBsACAAKgAgAEUARgBfAE4AMgBPACAAKgAgAEMAXwBOADIATwAgACoAIAAxADAAIABeACAALQAzAFwAbgAgACAAKQA7AFwAbgBcAG4AVgBFAEUAUgBHAF8ANABfADIAXwAxAF8ANQBfAF8AMQBfAEEAdABtAG8AcwBwAGgAZQByAGkAYwBEAGUAcABvAHMAaQB0AGkAbwBuAEUAbQBpAHMAcwBpAG8AbgBzAEYAcgBvAG0AVQByAGkAbgBlAEEAbgBkAEQAdQBuAGcATwBuAFAAYQBzAHQAdQByAGUAXwBUAGkAdABsAGUAXABuACAAIAA9AEwAQQBNAEIARABBACgAXAAiAEEAdABtAG8AcwBwAGgAZQByAGkAYwAgAGQAZQBwAG8AcwBpAHQAaQBvAG4AIABlAG0AaQBzAHMAaQBvAG4AcwAgAGYAcgBvAG0AIAB1AHIAaQBuAGUAIABhAG4AZAAgAGQAdQBuAGcAIABkAGUAcABvAHMAaQB0AGUAZAAgAG8AbgAgAHAAYQBzAHQAdQByAGUAXAAiACkAOwBcAG4AXABuAFYARQBFAFIARwBfADQAXwAyAF8AMQBfADU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gBfADEAXwA1AF8AXwAxAF8AQQB0AG0AbwBzAHAAaABlAHIAaQBjAEQAZQBwAG8AcwBpAHQAaQBvAG4ARQBtAGkAcwBzAGkAbwBuAHMARgByAG8AbQBVAHIAaQBuAGUAQQBuAGQARAB1AG4AZwBPAG4AUABhAHMAdAB1AHIAZQBfAFUAbgBpAHQAXABuACAAIAA9AEwAQQBNAEIARABBACgAXAAiAHQAIABOADIATwBcACIAKQA7AFwAbgBcAG4AVgBFAEUAUgBHAF8ANABfADIAXwAxAF8ANQBfAF8AMQBfAEEAdABtAG8AcwBwAGgAZQByAGkAYwBEAGUAcABvAHMAaQB0AGkAbwBuAEUAbQBpAHMAcwBpAG8AbgBzAEYAcgBvAG0AVQByAGkAbgBlAEEAbgBkAEQAdQBuAGcATwBuAFAAYQBzAHQAdQByAGUAXwBTAG8AdQByAGMAZQBcAG4AIAAgAD0ATABBAE0AQgBEAEEAKABcACIAVgBFAEUAUgBHACAAMgAwADIANgA6ACAANAAuADIALgAxAC4ANQAsACAARQBxAHUAYQB0AGkAbwBuACAAKAAxACkAXAAiACkAOwBcAG4AXABuAFYARQBFAFIARwBfADQAXwAyAF8AMQBfADUAXwBfADEAXwBBAHQAbQBvAHMAcABoAGUAcgBpAGMARABlAHAAbwBzAGkAdABpAG8AbgBFAG0AaQBzAHMAaQBvAG4AcwBGAHIAbwBtAFUAcgBpAG4AZQBBAG4AZABEAHUAbgBnAE8AbgBQAGEAcwB0AHUAcgBlAF8ATgBJAFIAUgBlAGYAZQByAGUAbgBjAGUAXABuACAAIAA9AEwAQQBNAEIARABBACgAXAAiAFwAIgApADsAXABuAFwAbgBWAEUARQBSAEcAXwA0AF8AMgBfADEAXwA1AF8AXwAxAF8AQQB0AG0AbwBzAHAAaABlAHIAaQBjAEQAZQBwAG8AcwBpAHQAaQBvAG4ARQBtAGkAcwBzAGkAbwBuAHMARgByAG8AbQBVAHIAaQBuAGUAQQBuAGQARAB1AG4AZwBPAG4AUABhAHMAdAB1AHIAZQBfAEwAYQB0AGUAeABFAHEAdQBhAHQAaQBvAG4AXABuACAAIAA9AEwAQQBNAEIARABBACgAXAAiAEUAXwB7AE4AMgBPACwAYQBkAH0APQBNAF8AewB2AG8AbAB9AFwAXAB0AGkAbQBlAHMAIABFAEYAXwB7AE4AMgBPAH0AXABcAHQAaQBtAGUAcwAgAEMAXwB7AE4AMgBPAH0AXABcAHQAaQBtAGUAcwAgADEAMABeAHsALQAzAH0AXAAiACkAOwBcAG4AXABuAFYARQBFAFIARwBfADQAXwAyAF8AMQBfADUAXwBfADEAXwBBAHQAbQBvAHMAcABoAGUAcgBpAGMARABlAHAAbwBzAGkAdABpAG8AbgBFAG0AaQBzAHMAaQBvAG4AcwBGAHIAbwBtAFUAcgBpAG4AZQBBAG4AZABEAHUAbgBnAE8AbgBQAGEAcwB0AHUAcgBlAF8AQQByAGcAdQBtAGUAbgB0AHMAXABuACAAIAA9AEwAQQBNAEIARABBACgAXABuACAAIAAgACAATQBBAEsARQBBAFIAUgBBAFkAKAA2ACwAIAAyACwAXABuACAAIAAgACAAIAAgAEwAQQBNAEIARABBACgAcgAsAGMALABcAG4AIAAgACAAIAAgACAAIAAgAEkATgBEAEUAWAAoAHsAXABuACAAIAAgACAAIAAgACAAIAAgACAAXAAiAE0AXwB2AG8AbABcACIALAAgAFwAIgBtAGEAcwBzACAAbwBmACAAbgBpAHQAcgBvAGcAZQBuACAAdgBvAGwAYQB0AGkAbABpAHMAZQBkACAAZgByAG8AbQAgAHUAcgBpAG4AZQAgAGEAbgBkACAAZgBhAGUAYwBlAHMAIABkAGUAcABvAHMAaQB0AGUAZAAgAG8AbgAgAHAAYQBzAHQAdQByAGUAIAAoAGsAZwAgAE4AKQBcACIAOwBcAG4AIAAgACAAIAAgACAAIAAgACAAIABcACIARQBGAF8ATgAyAE8AXAAiACwAIABcACIAbgBpAHQAcgBvAHUAcwAgAG8AeABpAGQAZQAg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XAAiACwAIABcACIAaQByAHIAaQBnAGEAdABpAG8AbgAgAG0AZQB0AGgAbwBkAFwAIgA7AFwAbgAgACAAIAAgACAAIAAgACAAIAAgAFwAIgByAFwAIgAsACAAXAAiAHIAYQBpAG4AZgBhAGwAbAAgAHoAbwBuAGU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I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CAAKABrAGcAIABO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XABuACAAIAAgACAAIAAgACAAIAB9ACwAIAByACwAIABjACkAXABuACAAIAAgACAAIAAgACkAXABuACAAIAAgACAAKQBcAG4AIAAgACkAOwBcAG4AIgB9ACwAewAiAHAAYQB0AGgAIgA6ACIALwBwAHIAbwBqAGUAYwB0AHMALwBNAE0AUwBfAFAAYQBzAHQAdQByAGUAQgBlAGUAZg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wAgAE0AZQB0AGgAbwBkACAAMQAgAC0AIABTAG8AaQBsACAATABlAGEAYwBoAGkAbgBnACAAQQBuAGQAIABSAHUAbgBvAGYAZ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3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B9AFwAdABpAG0AZQBzACAARQBGAF8AewBsAGUAYQBjAGgAfQBcAHQAaQBtAGUAcwAgAEMAXwB7AE4AMgBPAH0AXAB0AGkAbQBlAHMAIAAxADAAXgB7AC0AMwB9AFwAbgBNAF8AbABlAGEAYwBoACAAPQAgAG0AYQBzAHMAIABvAGYAIABuAGkAdAByAG8AZwBlAG4AIABsAG8AcwB0ACAAdABvACAAbABlAGEAYwBoAGkAbgBnACAAYQBuAGQAIAByAHUAbgBvAGYAZg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cAXwBfADEAXwBMAGUAYQBjAGgAaQBuAGcAQQBuAGQAUgB1AG4AbwBmAGYARQBtAGkAcwBzAGkAbwBuAHMARgByAG8AbQBVAHIAaQBuAGUAQQBuAGQARAB1AG4AZwBPAG4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IAXwAxAF8ANw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gBfADEAXwA3AF8AXwAxAF8ATABlAGEAYwBoAGkAbgBnAEEAbgBkAFIAdQBuAG8AZgBmAEUAbQBpAHMAcwBpAG8AbgBzAEYAcgBvAG0AVQByAGkAbgBlAEEAbgBkAEQAdQBuAGcATwBuAFAAYQBzAHQAdQByAGUAXwBWAGEAcgBpAGEAYgBsAGUAXABuACAAIAA9AEwAQQBNAEIARABBACgAXAAiAEUAXwBOADIATwBsAGUAYQBjAGgAXAAiACkAOwBcAG4AXABuAFYARQBFAFIARwBfADQAXwAyAF8AMQBfADcAXwBfADEAXwBMAGUAYQBjAGgAaQBuAGcAQQBuAGQAUgB1AG4AbwBmAGYARQBtAGkAcwBzAGkAbwBuAHMARgByAG8AbQBVAHIAaQBuAGUAQQBuAGQARAB1AG4AZwBPAG4AUABhAHMAdAB1AHIAZQBfAFUAbgBpAHQAXABuACAAIAA9AEwAQQBNAEIARABBACgAXAAiAHQAIABOADIATwBcACIAKQA7AFwAbgBcAG4AVgBFAEUAUgBHAF8ANABfADIAXwAxAF8ANwBfAF8AMQBfAEwAZQBhAGMAaABpAG4AZwBBAG4AZABSAHUAbgBvAGYAZgBFAG0AaQBzAHMAaQBvAG4AcwBGAHIAbwBtAFUAcgBpAG4AZQBBAG4AZABEAHUAbgBnAE8AbgBQAGEAcwB0AHUAcgBlAF8AUwBvAHUAcgBjAGUAXABuACAAIAA9AEwAQQBNAEIARABBACgAXAAiAFYARQBFAFIARwAgADIAMAAyADYAOgAgADQALgAyAC4AMQAuADcALAAgAEUAcQB1AGEAdABpAG8AbgAgACgAMQApAFwAIgApADsAXABuAFwAbgBWAEUARQBSAEcAXwA0AF8AMgBfADEAXwA3AF8AXwAxAF8ATABlAGEAYwBoAGkAbgBnAEEAbgBkAFIAdQBuAG8AZgBmAEUAbQBpAHMAcwBpAG8AbgBzAEYAcgBvAG0AVQByAGkAbgBlAEEAbgBkAEQAdQBuAGcATwBuAFAAYQBzAHQAdQByAGUAXwBOAEkAUgBSAGUAZgBlAHIAZQBuAGMAZQBcAG4AIAAgAD0ATABBAE0AQgBEAEEAKABcACIAXAAiACkAOwBcAG4AXABuAFYARQBFAFIARwBfADQAXwAyAF8AMQBfADc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IAXwAxAF8ANwBfAF8AMQBfAEwAZQBhAGMAaABpAG4AZwBBAG4AZABSAHUAbgBvAGYAZgBFAG0AaQBzAHMAaQBvAG4AcwBGAHIAbwBtAFUAcgBpAG4AZQBBAG4AZABEAHUAbgBnAE8AbgBQAGEAcwB0AHUAcgBlAF8AQQByAGcAdQBtAGUAbgB0AHMAXABuACAAIAA9AEwAQQBNAEIARABBACgAXABuACAAIAAgACAATQBBAEsARQBBAFIAUgBBAFkAKAAzACwAIAAyACwAXABuACAAIAAgACAAIAAgAEwAQQBNAEIARABBACgAcgAsAGMALABcAG4AIAAgACAAIAAgACAAIAAgAEkATgBEAEUAWAAoAHsAXABuACAAIAAgACAAIAAgACAAIAAgACAAXAAiAE0AXwBsAGUAYQBjAGgAXAAiACwAIABcACIAbQBhAHMAcwAgAG8AZgAgAG4AaQB0AHIAbwBnAGUAbgAgAGwAbwBzAHQAIAB0AG8AIABsAGUAYQBjAGgAaQBuAGcAIABhAG4AZAAgAHIAdQBuAG8AZgBmACAAKABrAGcAIABOACkAXAAiADsAXABuACAAIAAgACAAIAAgACAAIAAgACAAXAAiAEUARgBfAGwAZQBhAGMAaABcACIALAAgAFwAIgBlAG0AaQBzAHMAaQBvAG4AIABmAGEAYwB0AG8AcgAgAGYAbwByACAAbABlAGEAYwBoAGkAbgBnACAAYQBuAGQAIAByAHUAbgBvAGYAZgAgACgAawBnACAATgAyAE8ALQBOAC8AawBnACAATg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IAXwAxAF8ANwBfAF8AMgBfAE0AYQBzAHMATwBmAE4AaQB0AHIAbwBnAGUAbgBMAG8AcwB0AFQAbwBMAGUAYQBjAGgAaQBuAGcAQQBuAGQAUgB1AG4AbwBmAGYATwBuAFAAYQBzAHQAdQByAGUAXABuAE0AYQBzAHMAIABvAGYAIABuAGkAdAByAG8AZwBlAG4AIABsAG8AcwB0ACAAdABvACAAbABlAGEAYwBoAGkAbgBnACAAYQBuAGQAIAByAHUAbgBvAGYAZgBcAG4ATQBfAGwAZQBhAGMAaABcAG4AawBnACAATgBcAG4ATQBfAHsAbABlAGEAYwBoAH0APQBBAEUAXABcAHQAaQBtAGUAcwAgAEYAcgBhAGMAVwBlAHQAXABcAHQAaQBtAGUAcwAgAEYAcgBhAGMATABFAEEAQwBIAFwAbgBBAEUAIAA9ACAAdABvAHQAYQBsACAAbQBhAHMAcwAgAG8AZgAgAG4AaQB0AHIAbwBnAGUAbgAgAGUAeABjAHIAZQB0AGUAZAAgAG8AbgAgAFAAUgBQACAAZgBvAHIAIABiAGUAZQBmACAAYwBhAHQAdABsAGUAIAAoAGsAZwAgAE4AKQBcAG4ARgByAGEAYwBXAGUAdAAgAD0AIABmAHIAYQBjAHQAaQBvAG4AIABvAGYAIABOACAAYQB2AGEAaQBsAGEAYgBsAGUAIABmAG8AcgAgAGwAZQBhAGMAaABpAG4AZwAgAGEAbgBkACAAcgB1AG4AbwBmAGYAXABuAEYAcgBhAGMATABFAEEAQwBIACAAPQAgAGYAcgBhAGMAdABpAG8AbgAgAG8AZgAgAGEAbABsACAATgAgAHQAaABhAHQAIABpAHMAIABsAG8AcwB0ACAAdABoAHIAbwB1AGcAaAAgAGwAZQBhAGMAaABpAG4AZwAgAGEAbgBkACAAcgB1AG4AbwBmAGYAXABuAC0ALQAtAC0ALQAtAC0ALQAtAC0ALQAtAC0ALQAtAC0ALQAtAC0ALQAtAC0ALQAtAC0ALQAtAC0ALQAtAC0ALQAtAC0ALQAtAC0ALQBcAG4AKgAvAFwAbgBcAG4AVgBFAEUAUgBHAF8ANABfADIAXwAxAF8ANwBfAF8AMgBfAE0AYQBzAHMATwBmAE4AaQB0AHIAbwBnAGUAbgBMAG8AcwB0AFQAbwBMAGUAYQBjAGgAaQBuAGcAQQBuAGQAUgB1AG4AbwBmAGYATwBuAFAAYQBzAHQAdQByAGUAXABuACAAIAA9AEwAQQBNAEIARABBACgAXABuACAAIAAgACAAQQBFACwAIABGAHIAYQBjAFcAZQB0ACwAIABGAHIAYQBjAEwARQBBAEMASAAsAFwAbgAgACAAIAAgAEEARQAgACoAIABGAHIAYQBjAFcAZQB0ACAAKgAgAEYAcgBhAGMATABFAEEAQwBIAFwAbgAgACAAKQA7AFwAbgBcAG4AVgBFAEUAUgBHAF8ANABfADIAXwAxAF8ANw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BcACIAKQA7AFwAbgBcAG4AVgBFAEUAUgBHAF8ANABfADIAXwAxAF8ANwBfAF8AMgBfAE0AYQBzAHMATwBmAE4AaQB0AHIAbwBnAGUAbgBMAG8AcwB0AFQAbwBMAGUAYQBjAGgAaQBuAGcAQQBuAGQAUgB1AG4AbwBmAGYATwBuAFAAYQBzAHQAdQByAGUAXwBWAGEAcgBpAGEAYgBsAGUAXABuACAAIAA9AEwAQQBNAEIARABBACgAXAAiAE0AXwBsAGUAYQBjAGgAXAAiACkAOwBcAG4AXABuAFYARQBFAFIARwBfADQAXwAyAF8AMQBfADcAXwBfADIAXwBNAGEAcwBzAE8AZgBOAGkAdAByAG8AZwBlAG4ATABvAHMAdABUAG8ATABlAGEAYwBoAGkAbgBnAEEAbgBkAFIAdQBuAG8AZgBmAE8AbgBQAGEAcwB0AHUAcgBlAF8AVQBuAGkAdABcAG4AIAAgAD0ATABBAE0AQgBEAEEAKABcACIAawBnACAATgBcACIAKQA7AFwAbgBcAG4AVgBFAEUAUgBHAF8ANABfADIAXwAxAF8ANwBfAF8AMgBfAE0AYQBzAHMATwBmAE4AaQB0AHIAbwBnAGUAbgBMAG8AcwB0AFQAbwBMAGUAYQBjAGgAaQBuAGcAQQBuAGQAUgB1AG4AbwBmAGYATwBuAFAAYQBzAHQAdQByAGUAXwBTAG8AdQByAGMAZQBcAG4AIAAgAD0ATABBAE0AQgBEAEEAKABcACIAVgBFAEUAUgBHACAAMgAwADIANgA6ACAANAAuADIALgAxAC4ANwAsACAARQBxAHUAYQB0AGkAbwBuACAAKAAyACkAXAAiACkAOwBcAG4AXABuAFYARQBFAFIARwBfADQAXwAyAF8AMQBfADcAXwBfADIAXwBNAGEAcwBzAE8AZgBOAGkAdAByAG8AZwBlAG4ATABvAHMAdABUAG8ATABlAGEAYwBoAGkAbgBnAEEAbgBkAFIAdQBuAG8AZgBmAE8AbgBQAGEAcwB0AHUAcgBlAF8ATgBJAFIAUgBlAGYAZQByAGUAbgBjAGUAXABuACAAIAA9AEwAQQBNAEIARABBACgAXAAiAFwAIgApADsAXABuAFwAbgBWAEUARQBSAEcAXwA0AF8AMgBfADEAXwA3AF8AXwAyAF8ATQBhAHMAcwBPAGYATgBpAHQAcgBvAGcAZQBuAEwAbwBzAHQAVABvAEwAZQBhAGMAaABpAG4AZwBBAG4AZABSAHUAbgBvAGYAZgBPAG4AUABhAHMAdAB1AHIAZQBfAEwAYQB0AGUAeABFAHEAdQBhAHQAaQBvAG4AXABuACAAIAA9AEwAQQBNAEIARABBACgAXAAiAE0AXwB7AGwAZQBhAGMAaAB9AD0AQQBFAFwAXAB0AGkAbQBlAHMAIABGAHIAYQBjAFcAZQB0AFwAXAB0AGkAbQBlAHMAIABGAHIAYQBjAEwARQBBAEMASABcACIAKQA7AFwAbgBcAG4AVgBFAEUAUgBHAF8ANABfADIAXwAxAF8ANwBfAF8AMgBfAE0AYQBzAHMATwBmAE4AaQB0AHIAbwBnAGUAbgBMAG8AcwB0AFQAbwBMAGUAYQBjAGgAaQBuAGcAQQBuAGQAUgB1AG4AbwBmAGYATwBuAFAAYQBzAHQAdQByAGUAXwBBAHIAZwB1AG0AZQBuAHQAcwBcAG4AIAAgAD0ATABBAE0AQgBEAEEAKABcAG4AIAAgACAAIABNAEEASwBFAEEAUgBSAEEAWQAoADYALAAgADI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CAAKABrAGcAIABOACkAXAAiADsAXABuACAAIAAgACAAIAAgACAAIAAgACAAXAAiAEYAcgBhAGMAVwBlAHQAXAAiACwAIABcACIAZgByAGEAYwB0AGkAbwBuACAAbwBmACAATgAgAGEAdgBhAGkAbABhAGIAbABlACAAZgBvAHIAIABsAGUAYQBjAGgAaQBuAGcAIABhAG4AZAAgAHIAdQBuAG8AZgBmAFwAIgA7AFwAbgAgACAAIAAgACAAIAAgACAAIAAgAFwAIgBGAHIAYQBjAEwARQBBAEMASABcACIALAAgAFwAIgBmAHIAYQBjAHQAaQBvAG4AIABvAGYAIABhAGwAbAAgAE4AIAB0AGgAYQB0ACAAaQBzACAAbABvAHMAdAAgAHQAaAByAG8AdQBnAGgAIABsAGUAYQBjAGgAaQBuAGcAIABhAG4AZAAgAHIAdQBuAG8AZgBmAFwAIgA7AFwAbgAgACAAIAAgACAAIAAgACAAIAAgAFwAIgB6AFwAIgAsACAAXAAiAGwAbwBjAGEAdABpAG8AbgAgAGkAbgAgAGwAZQBhAGMAaABpAG4AZwAgAHoAbwBuAGUAXAAiADsAXABuACAAIAAgACAAIAAgACAAIAAgACAAXAAiAGoAXAAiACwAIABcACIAcAByAG8AZAB1AGMAdABpAG8AbgAgAHMAeQBzAHQAZQBtAFwAIgA7AFwAbgAgACAAIAAgACAAIAAgACAAIAAgAFwAIgBpAHIAXAAiACwAIABcACIAaQByAHIAaQBnAGEAdABpAG8AbgAgAG0AZQB0AGgAbwBk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NAE0AUwBfAFAAYQBzAHQAdQByAGUAQgBlAGUAZgBfAE0AZQB0AGgAYQBuAGUAXwBFAHEAdQBhAHQAaQBvAG4AcwAuAFYARQBFAFIARwBfADQAXwAyAF8AMQBfADEAXwBfADEAXwBUAG8AdABhAGwAQQBuAG4AdQBhAGwATQBlAHQAaABhAG4AZQBQAHIAbwBkAHUAYwB0AGkAbwBuAEYAcgBvAG0ATQBhAG4AdQByAGUATQBhAG4AYQBnAGUAbQBlAG4AdAAiACwAIgBNAE0AUwBfAFAAYQBzAHQAdQByAGUAQgBlAGUAZgBfAE0AZQB0AGgAYQBuAGUAXwBFAHEAdQBhAHQAaQBvAG4AcwAuAFYARQBFAFIARwBfADQAXwAyAF8AMQBfADEAXwBfADEAXwBUAG8AdABhAGwAQQBuAG4AdQBhAGwATQBlAHQAaABhAG4AZQBQAHIAbwBkAHUAYwB0AGkAbwBuAEYAcgBvAG0ATQBhAG4AdQByAGUATQBhAG4AYQBnAGUAbQBlAG4AdABfAFQAaQB0AGwAZQAiACwAIgBNAE0AUwBfAFAAYQBzAHQAdQByAGUAQgBlAGUAZgBfAE0AZQB0AGgAYQBuAGUAXwBFAHEAdQBhAHQAaQBvAG4AcwAuAFYARQBFAFIARwBfADQAXwAyAF8AMQBfADEAXwBfADEAXwBUAG8AdABhAGwAQQBuAG4AdQBhAGwATQBlAHQAaABhAG4AZQBQAHIAbwBkAHUAYwB0AGkAbwBuAEYAcgBvAG0ATQBhAG4AdQByAGUATQBhAG4AYQBnAGUAbQBlAG4AdABfAFYAYQByAGkAYQBiAGwAZQAiACwAIgBNAE0AUwBfAFAAYQBzAHQAdQByAGUAQgBlAGUAZgBfAE0AZQB0AGgAYQBuAGUAXwBFAHEAdQBhAHQAaQBvAG4AcwAuAFYARQBFAFIARwBfADQAXwAyAF8AMQBfADEAXwBfADEAXwBUAG8AdABhAGwAQQBuAG4AdQBhAGwATQBlAHQAaABhAG4AZQBQAHIAbwBkAHUAYwB0AGkAbwBuAEYAcgBvAG0ATQBhAG4AdQByAGUATQBhAG4AYQBnAGUAbQBlAG4AdABfAFUAbgBpAHQAIgAsACIATQBNAFMAXwBQAGEAcwB0AHUAcgBlAEIAZQBlAGYAXwBNAGUAdABoAGEAbgBlAF8ARQBxAHUAYQB0AGkAbwBuAHMALgBWAEUARQBSAEcAXwA0AF8AMgBfADEAXwAxAF8AXwAxAF8AVABvAHQAYQBsAEEAbgBuAHUAYQBsAE0AZQB0AGgAYQBuAGUAUAByAG8AZAB1AGMAdABpAG8AbgBGAHIAbwBtAE0AYQBuAHUAcgBlAE0AYQBuAGEAZwBlAG0AZQBuAHQAXwBTAG8AdQBy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4ASQBSAFIAZQBmAGUAcgBlAG4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ABhAHQAZQB4AEUAcQB1AGEAdABpAG8AbgAiACwAIgBNAE0AUwBfAFAAYQBzAHQAdQByAGUAQgBlAGUAZgBfAE0AZQB0AGgAYQBuAGUAXwBFAHEAdQBhAHQAaQBvAG4AcwAuAFYARQBFAFIARwBfADQAXwAyAF8AMQBfADEAXwBfADEAXwBUAG8AdABhAGwAQQBuAG4AdQBhAGwATQBlAHQAaABhAG4AZQBQAHIAbwBkAHUAYwB0AGkAbwBuAEYAcgBvAG0ATQBhAG4AdQByAGUATQBhAG4AYQBnAGUAbQBlAG4AdABfAEEAcgBnAHUAbQBlAG4AdABzACIALAAiAE0ATQBTAF8AUABhAHMAdAB1AHIAZQBCAGUAZQBmAF8ATQBlAHQAaABhAG4AZQBfAEUAcQB1AGEAdABpAG8AbgBzAC4AVgBFAEUAUgBHAF8ANABfADIAXwAxAF8AMQBfAF8AMgBfAE0AZQB0AGgAYQBuAGUAUAByAG8AZAB1AGMAdABpAG8AbgBGAHIAbwBtAE0AYQBuAHUAcgBlACIALAAiAE0ATQBTAF8AUABhAHMAdAB1AHIAZQBCAGUAZQBmAF8ATQBlAHQAaABhAG4AZQBfAEUAcQB1AGEAdABpAG8AbgBzAC4AVgBFAEUAUgBHAF8ANABfADIAXwAxAF8AMQBfAF8AMgBfAE0AZQB0AGgAYQBuAGUAUAByAG8AZAB1AGMAdABpAG8AbgBGAHIAbwBtAE0AYQBuAHUAcgBlAF8AVABpAHQAbABlACIALAAiAE0ATQBTAF8AUABhAHMAdAB1AHIAZQBCAGUAZQBmAF8ATQBlAHQAaABhAG4AZQBfAEUAcQB1AGEAdABpAG8AbgBzAC4AVgBFAEUAUgBHAF8ANABfADIAXwAxAF8AMQBfAF8AMgBfAE0AZQB0AGgAYQBuAGUAUAByAG8AZAB1AGMAdABpAG8AbgBGAHIAbwBtAE0AYQBuAHUAcgBlAF8AVgBhAHIAaQBhAGIAbABlACIALAAiAE0ATQBTAF8AUABhAHMAdAB1AHIAZQBCAGUAZQBmAF8ATQBlAHQAaABhAG4AZQBfAEUAcQB1AGEAdABpAG8AbgBzAC4AVgBFAEUAUgBHAF8ANABfADIAXwAxAF8AMQBfAF8AMgBfAE0AZQB0AGgAYQBuAGUAUAByAG8AZAB1AGMAdABpAG8AbgBGAHIAbwBtAE0AYQBuAHUAcgBlAF8AVQBuAGkAdAAiACwAIgBNAE0AUwBfAFAAYQBzAHQAdQByAGUAQgBlAGUAZgBfAE0AZQB0AGgAYQBuAGUAXwBFAHEAdQBhAHQAaQBvAG4AcwAuAFYARQBFAFIARwBfADQAXwAyAF8AMQBfADEAXwBfADIAXwBNAGUAdABoAGEAbgBlAFAAcgBvAGQAdQBjAHQAaQBvAG4ARgByAG8AbQBNAGEAbgB1AHIAZQBfAFMAbwB1AHIAYwBlACIALAAiAE0ATQBTAF8AUABhAHMAdAB1AHIAZQBCAGUAZQBmAF8ATQBlAHQAaABhAG4AZQBfAEUAcQB1AGEAdABpAG8AbgBzAC4AVgBFAEUAUgBHAF8ANABfADIAXwAxAF8AMQBfAF8AMgBfAE0AZQB0AGgAYQBuAGUAUAByAG8AZAB1AGMAdABpAG8AbgBGAHIAbwBtAE0AYQBuAHUAcgBlAF8ATgBJAFIAUgBlAGYAZQByAGUAbgBjAGUAIgAsACIATQBNAFMAXwBQAGEAcwB0AHUAcgBlAEIAZQBlAGYAXwBNAGUAdABoAGEAbgBlAF8ARQBxAHUAYQB0AGkAbwBuAHMALgBWAEUARQBSAEcAXwA0AF8AMgBfADEAXwAxAF8AXwAyAF8ATQBlAHQAaABhAG4AZQBQAHIAbwBkAHUAYwB0AGkAbwBuAEYAcgBvAG0ATQBhAG4AdQByAGUAXwBMAGEAdABlAHgARQBxAHUAYQB0AGkAbwBuACIALAAiAE0ATQBTAF8AUABhAHMAdAB1AHIAZQBCAGUAZQBmAF8ATQBlAHQAaABhAG4AZQBfAEUAcQB1AGEAdABpAG8AbgBzAC4AVgBFAEUAUgBHAF8ANABfADIAXwAxAF8AMQBfAF8AMgBfAE0AZQB0AGgAYQBuAGUAUAByAG8AZAB1AGMAdABpAG8AbgBGAHIAbwBtAE0AYQBuAHUAcgBlAF8AQQByAGcAdQBtAGUAbgB0AHMAIgAsACIATQBNAFMAXwBQAGEAcwB0AHUAcgBlAEIAZQBlAGYAXwBNAGUAdABoAGEAbgBlAF8ARQBxAHUAYQB0AGkAbwBuAHMALgBWAEUARQBSAEcAXwA0AF8AMgBfADEAXwAxAF8AXwAzAF8AVgBvAGwAYQB0AGkAbABlAFMAbwBsAGkAZABQAHIAbwBkAHUAYwB0AGkAbwBuAEYAcgBvAG0ARwByAGEAegBpAG4AZwBCAGUAZQBmACIALAAiAE0ATQBTAF8AUABhAHMAdAB1AHIAZQBCAGUAZQBmAF8ATQBlAHQAaABhAG4AZQBfAEUAcQB1AGEAdABpAG8AbgBzAC4AVgBFAEUAUgBHAF8ANABfADIAXwAxAF8AMQBfAF8AMwBfAFYAbwBsAGEAdABpAGwAZQBTAG8AbABpAGQAUAByAG8AZAB1AGMAdABpAG8AbgBGAHIAbwBtAEcAcgBhAHoAaQBuAGcAQgBlAGUAZgBfAFQAaQB0AGwAZQAiACwAIgBNAE0AUwBfAFAAYQBzAHQAdQByAGUAQgBlAGUAZgBfAE0AZQB0AGgAYQBuAGUAXwBFAHEAdQBhAHQAaQBvAG4AcwAuAFYARQBFAFIARwBfADQAXwAyAF8AMQBfADEAXwBfADMAXwBWAG8AbABhAHQAaQBsAGUAUwBvAGwAaQBkAFAAcgBvAGQAdQBjAHQAaQBvAG4ARgByAG8AbQBHAHIAYQB6AGkAbgBnAEIAZQBlAGYAXwBWAGEAcgBpAGEAYgBsAGUAIgAsACIATQBNAFMAXwBQAGEAcwB0AHUAcgBlAEIAZQBlAGYAXwBNAGUAdABoAGEAbgBlAF8ARQBxAHUAYQB0AGkAbwBuAHMALgBWAEUARQBSAEcAXwA0AF8AMgBfADEAXwAxAF8AXwAzAF8AVgBvAGwAYQB0AGkAbABlAFMAbwBsAGkAZABQAHIAbwBkAHUAYwB0AGkAbwBuAEYAcgBvAG0ARwByAGEAegBpAG4AZwBCAGUAZQBmAF8AVQBuAGkAdAAiACwAIgBNAE0AUwBfAFAAYQBzAHQAdQByAGUAQgBlAGUAZgBfAE0AZQB0AGgAYQBuAGUAXwBFAHEAdQBhAHQAaQBvAG4AcwAuAFYARQBFAFIARwBfADQAXwAyAF8AMQBfADEAXwBfADMAXwBWAG8AbABhAHQAaQBsAGUAUwBvAGwAaQBkAFAAcgBvAGQAdQBjAHQAaQBvAG4ARgByAG8AbQBHAHIAYQB6AGkAbgBnAEIAZQBlAGYAXwBTAG8AdQByAGMAZQAiACwAIgBNAE0AUwBfAFAAYQBzAHQAdQByAGUAQgBlAGUAZgBfAE0AZQB0AGgAYQBuAGUAXwBFAHEAdQBhAHQAaQBvAG4AcwAuAFYARQBFAFIARwBfADQAXwAyAF8AMQBfADEAXwBfADMAXwBWAG8AbABhAHQAaQBsAGUAUwBvAGwAaQBkAFAAcgBvAGQAdQBjAHQAaQBvAG4ARgByAG8AbQBHAHIAYQB6AGkAbgBnAEIAZQBlAGYAXwBOAEkAUgBSAGUAZgBlAHIAZQBuAGMAZQAiACwAIgBNAE0AUwBfAFAAYQBzAHQAdQByAGUAQgBlAGUAZgBfAE0AZQB0AGgAYQBuAGUAXwBFAHEAdQBhAHQAaQBvAG4AcwAuAFYARQBFAFIARwBfADQAXwAyAF8AMQBfADEAXwBfADMAXwBWAG8AbABhAHQAaQBsAGUAUwBvAGwAaQBkAFAAcgBvAGQAdQBjAHQAaQBvAG4ARgByAG8AbQBHAHIAYQB6AGkAbgBnAEIAZQBlAGYAXwBMAGEAdABlAHgARQBxAHUAYQB0AGkAbwBuACIALAAiAE0ATQBTAF8AUABhAHMAdAB1AHIAZQBCAGUAZQBmAF8ATQBlAHQAaABhAG4AZQBfAEUAcQB1AGEAdABpAG8AbgBzAC4AVgBFAEUAUgBHAF8ANABfADIAXwAxAF8AMQBfAF8AMwBfAFYAbwBsAGEAdABpAGwAZQBTAG8AbABpAGQAUAByAG8AZAB1AGMAdABpAG8AbgBGAHIAbwBtAEcAcgBhAHoAaQBuAGcAQgBlAGUAZgBfAEEAcgBnAHUAbQBlAG4AdABzACIALAAiAEUAbgB0AGUAcgBpAGMATQBlAHQAaABhAG4AZQBfAFAAYQBzAHQAdQByAGUAQgBlAGUAZgBfAEUAcQB1AGEAdABpAG8AbgBzAC4AVgBFAEUAUgBHAF8AMwBfADIAXwAxAF8AMQBfAF8AMQBfAFQAbwB0AGEAbABBAG4AbgB1AGEAbABNAGUAdABoAGEAbgBlAEYAcgBvAG0ARQBuAHQAZQByAGkAYwBGAGUAcgBtAGUAbgB0AGEAdABpAG8AbgAiACwAIgBFAG4AdABlAHIAaQBjAE0AZQB0AGgAYQBuAGUAXwBQAGEAcwB0AHUAcgBlAEIAZQBlAGYAXwBFAHEAdQBhAHQAaQBvAG4AcwAuAFYARQBFAFIARwBfADMAXwAyAF8AMQBfADEAXwBfADEAXwBUAG8AdABhAGwAQQBuAG4AdQBhAGwATQBlAHQAaABhAG4AZQBGAHIAbwBtAEUAbgB0AGUAcgBpAGMARgBlAHIAbQBlAG4AdABhAHQAaQBvAG4AXwBUAGkAdABsAGUAIgAsACIARQBuAHQAZQByAGkAYwBNAGUAdABoAGEAbgBlAF8AUABhAHMAdAB1AHIAZQBCAGUAZQBmAF8ARQBxAHUAYQB0AGkAbwBuAHMALgBWAEUARQBSAEcAXwAzAF8AMgBfADEAXwAxAF8AXwAxAF8AVABvAHQAYQBsAEEAbgBuAHUAYQBsAE0AZQB0AGgAYQBuAGUARgByAG8AbQBFAG4AdABlAHIAaQBjAEYAZQByAG0AZQBuAHQAYQB0AGkAbwBuAF8AVgBhAHIAaQBhAGIAbABlACIALAAiAEUAbgB0AGUAcgBpAGMATQBlAHQAaABhAG4AZQBfAFAAYQBzAHQAdQByAGUAQgBlAGUAZgBfAEUAcQB1AGEAdABpAG8AbgBzAC4AVgBFAEUAUgBHAF8AMwBfADIAXwAxAF8AMQBfAF8AMQBfAFQAbwB0AGEAbABBAG4AbgB1AGEAbABNAGUAdABoAGEAbgBlAEYAcgBvAG0ARQBuAHQAZQByAGkAYwBGAGUAcgBtAGUAbgB0AGEAdABpAG8AbgBfAFUAbgBpAHQAIgAsACIARQBuAHQAZQByAGkAYwBNAGUAdABoAGEAbgBlAF8AUABhAHMAdAB1AHIAZQBCAGUAZQBmAF8ARQBxAHUAYQB0AGkAbwBuAHMALgBWAEUARQBSAEcAXwAzAF8AMgBfADEAXwAxAF8AXwAxAF8AVABvAHQAYQBsAEEAbgBuAHUAYQBsAE0AZQB0AGgAYQBuAGUARgByAG8AbQBFAG4AdABlAHIAaQBjAEYAZQByAG0AZQBuAHQAYQB0AGkAbwBuAF8AUwBvAHUAcgBjAGUAIgAsACIARQBuAHQAZQByAGkAYwBNAGUAdABoAGEAbgBlAF8AUABhAHMAdAB1AHIAZQBCAGUAZQBmAF8ARQBxAHUAYQB0AGkAbwBuAHMALgBWAEUARQBSAEcAXwAzAF8AMgBfADEAXwAxAF8AXwAxAF8AVABvAHQAYQBsAEEAbgBuAHUAYQBsAE0AZQB0AGgAYQBuAGUARgByAG8AbQBFAG4AdABlAHIAaQBjAEYAZQByAG0AZQBuAHQAYQB0AGkAbwBuAF8ATgBJAFIAUgBlAGYAZQByAGUAbgBjAGUAIgAsACIARQBuAHQAZQByAGkAYwBNAGUAdABoAGEAbgBlAF8AUABhAHMAdAB1AHIAZQBCAGUAZQBmAF8ARQBxAHUAYQB0AGkAbwBuAHMALgBWAEUARQBSAEcAXwAzAF8AMgBfADEAXwAxAF8AXwAxAF8AVABvAHQAYQBsAEEAbgBuAHUAYQBsAE0AZQB0AGgAYQBuAGUARgByAG8AbQBFAG4AdABlAHIAaQBjAEYAZQByAG0AZQBuAHQAYQB0AGkAbwBuAF8ATABhAHQAZQB4AEUAcQB1AGEAdABpAG8AbgAiACwAIgBFAG4AdABlAHIAaQBjAE0AZQB0AGgAYQBuAGUAXwBQAGEAcwB0AHUAcgBlAEIAZQBlAGYAXwBFAHEAdQBhAHQAaQBvAG4AcwAuAFYARQBFAFIARwBfADMAXwAyAF8AMQBfADEAXwBfADEAXwBUAG8AdABhAGwAQQBuAG4AdQBhAGwATQBlAHQAaABhAG4AZQBGAHIAbwBtAEUAbgB0AGUAcgBpAGMARgBlAHIAbQBlAG4AdABhAHQAaQBvAG4AXwBBAHIAZwB1AG0AZQBuAHQAcwAiACwAIgBFAG4AdABlAHIAaQBjAE0AZQB0AGgAYQBuAGUAXwBQAGEAcwB0AHUAcgBlAEIAZQBlAGYAXwBFAHEAdQBhAHQAaQBvAG4AcwAuAFYARQBFAFIARwBfADMAXwAyAF8AMQBfADEAXwBfADIAXwBEAGEAaQBsAHkARQBuAHQAZQByAGkAYwBNAGUAdABoAGEAbgBlAFAAcgBvAGQAdQBjAHQAaQBvAG4AIgAsACIARQBuAHQAZQByAGkAYwBNAGUAdABoAGEAbgBlAF8AUABhAHMAdAB1AHIAZQBCAGUAZQBmAF8ARQBxAHUAYQB0AGkAbwBuAHMALgBWAEUARQBSAEcAXwAzAF8AMgBfADEAXwAxAF8AXwAyAF8ARABhAGkAbAB5AEUAbgB0AGUAcgBpAGMATQBlAHQAaABhAG4AZQBQAHIAbwBkAHUAYwB0AGkAbwBuAF8AVABpAHQAbABlACIALAAiAEUAbgB0AGUAcgBpAGMATQBlAHQAaABhAG4AZQBfAFAAYQBzAHQAdQByAGUAQgBlAGUAZgBfAEUAcQB1AGEAdABpAG8AbgBzAC4AVgBFAEUAUgBHAF8AMwBfADIAXwAxAF8AMQBfAF8AMgBfAEQAYQBpAGwAeQBFAG4AdABlAHIAaQBjAE0AZQB0AGgAYQBuAGUAUAByAG8AZAB1AGMAdABpAG8AbgBfAFYAYQByAGkAYQBiAGwAZQAiACwAIgBFAG4AdABlAHIAaQBjAE0AZQB0AGgAYQBuAGUAXwBQAGEAcwB0AHUAcgBlAEIAZQBlAGYAXwBFAHEAdQBhAHQAaQBvAG4AcwAuAFYARQBFAFIARwBfADMAXwAyAF8AMQBfADEAXwBfADIAXwBEAGEAaQBsAHkARQBuAHQAZQByAGkAYwBNAGUAdABoAGEAbgBlAFAAcgBvAGQAdQBjAHQAaQBvAG4AXwBVAG4AaQB0ACIALAAiAEUAbgB0AGUAcgBpAGMATQBlAHQAaABhAG4AZQBfAFAAYQBzAHQAdQByAGUAQgBlAGUAZgBfAEUAcQB1AGEAdABpAG8AbgBzAC4AVgBFAEUAUgBHAF8AMwBfADIAXwAxAF8AMQBfAF8AMgBfAEQAYQBpAGwAeQBFAG4AdABlAHIAaQBjAE0AZQB0AGgAYQBuAGUAUAByAG8AZAB1AGMAdABpAG8AbgBfAFMAbwB1AHIAYwBlACIALAAiAEUAbgB0AGUAcgBpAGMATQBlAHQAaABhAG4AZQBfAFAAYQBzAHQAdQByAGUAQgBlAGUAZgBfAEUAcQB1AGEAdABpAG8AbgBzAC4AVgBFAEUAUgBHAF8AMwBfADIAXwAxAF8AMQBfAF8AMgBfAEQAYQBpAGwAeQBFAG4AdABlAHIAaQBjAE0AZQB0AGgAYQBuAGUAUAByAG8AZAB1AGMAdABpAG8AbgBfAE4ASQBSAFIAZQBmAGUAcgBlAG4AYwBlACIALAAiAEUAbgB0AGUAcgBpAGMATQBlAHQAaABhAG4AZQBfAFAAYQBzAHQAdQByAGUAQgBlAGUAZgBfAEUAcQB1AGEAdABpAG8AbgBzAC4AVgBFAEUAUgBHAF8AMwBfADIAXwAxAF8AMQBfAF8AMgBfAEQAYQBpAGwAeQBFAG4AdABlAHIAaQBjAE0AZQB0AGgAYQBuAGUAUAByAG8AZAB1AGMAdABpAG8AbgBfAEwAYQB0AGUAeABFAHEAdQBhAHQAaQBvAG4AIgAsACIARQBuAHQAZQByAGkAYwBNAGUAdABoAGEAbgBlAF8AUABhAHMAdAB1AHIAZQBCAGUAZQBmAF8ARQBxAHUAYQB0AGkAbwBuAHMALgBWAEUARQBSAEcAXwAzAF8AMgBfADEAXwAxAF8AXwAyAF8ARABhAGkAbAB5AEUAbgB0AGUAcgBpAGMATQBlAHQAaABhAG4AZQBQAHIAbwBkAHUAYwB0AGkAbwBuAF8AQQByAGcAdQBtAGUAbgB0AHMAIgAsACIARQBuAHQAZQByAGkAYwBNAGUAdABoAGEAbgBlAF8AUABhAHMAdAB1AHIAZQBCAGUAZQBmAF8ARQBxAHUAYQB0AGkAbwBuAHMALgBWAEUARQBSAEcAXwAzAF8AMgBfADEAXwAxAF8AXwAzAF8ARgBlAGUAZABJAG4AdABhAGsAZQBGAG8AcgBHAHIAYQB6AGkAbgBnAEIAZQBlAGYAIgAsACIARQBuAHQAZQByAGkAYwBNAGUAdABoAGEAbgBlAF8AUABhAHMAdAB1AHIAZQBCAGUAZQBmAF8ARQBxAHUAYQB0AGkAbwBuAHMALgBWAEUARQBSAEcAXwAzAF8AMgBfADEAXwAxAF8AXwAzAF8ARgBlAGUAZABJAG4AdABhAGsAZQBGAG8AcgBHAHIAYQB6AGkAbgBnAEIAZQBlAGYAXwBUAGkAdABsAGUAIgAsACIARQBuAHQAZQByAGkAYwBNAGUAdABoAGEAbgBlAF8AUABhAHMAdAB1AHIAZQBCAGUAZQBmAF8ARQBxAHUAYQB0AGkAbwBuAHMALgBWAEUARQBSAEcAXwAzAF8AMgBfADEAXwAxAF8AXwAzAF8ARgBlAGUAZABJAG4AdABhAGsAZQBGAG8AcgBHAHIAYQB6AGkAbgBnAEIAZQBlAGYAXwBWAGEAcgBpAGEAYgBsAGUAIgAsACIARQBuAHQAZQByAGkAYwBNAGUAdABoAGEAbgBlAF8AUABhAHMAdAB1AHIAZQBCAGUAZQBmAF8ARQBxAHUAYQB0AGkAbwBuAHMALgBWAEUARQBSAEcAXwAzAF8AMgBfADEAXwAxAF8AXwAzAF8ARgBlAGUAZABJAG4AdABhAGsAZQBGAG8AcgBHAHIAYQB6AGkAbgBnAEIAZQBlAGYAXwBVAG4AaQB0ACIALAAiAEUAbgB0AGUAcgBpAGMATQBlAHQAaABhAG4AZQBfAFAAYQBzAHQAdQByAGUAQgBlAGUAZgBfAEUAcQB1AGEAdABpAG8AbgBzAC4AVgBFAEUAUgBHAF8AMwBfADIAXwAxAF8AMQBfAF8AMwBfAEYAZQBlAGQASQBuAHQAYQBrAGUARgBvAHIARwByAGEAegBpAG4AZwBCAGUAZQBmAF8AUwBvAHUAcgBjAGUAIgAsACIARQBuAHQAZQByAGkAYwBNAGUAdABoAGEAbgBlAF8AUABhAHMAdAB1AHIAZQBCAGUAZQBmAF8ARQBxAHUAYQB0AGkAbwBuAHMALgBWAEUARQBSAEcAXwAzAF8AMgBfADEAXwAxAF8AXwAzAF8ARgBlAGUAZABJAG4AdABhAGsAZQBGAG8AcgBHAHIAYQB6AGkAbgBnAEIAZQBlAGYAXwBOAEkAUgBSAGUAZgBlAHIAZQBuAGMAZQAiACwAIgBFAG4AdABlAHIAaQBjAE0AZQB0AGgAYQBuAGUAXwBQAGEAcwB0AHUAcgBlAEIAZQBlAGYAXwBFAHEAdQBhAHQAaQBvAG4AcwAuAFYARQBFAFIARwBfADMAXwAyAF8AMQBfADEAXwBfADMAXwBGAGUAZQBkAEkAbgB0AGEAawBlAEYAbwByAEcAcgBhAHoAaQBuAGcAQgBlAGUAZgBfAEwAYQB0AGUAeABFAHEAdQBhAHQAaQBvAG4AIgAsACIARQBuAHQAZQByAGkAYwBNAGUAdABoAGEAbgBlAF8AUABhAHMAdAB1AHIAZQBCAGUAZQBmAF8ARQBxAHUAYQB0AGkAbwBuAHMALgBWAEUARQBSAEcAXwAzAF8AMgBfADEAXwAxAF8AXwAzAF8ARgBlAGUAZABJAG4AdABhAGsAZQBGAG8AcgBHAHIAYQB6AGkAbgBnAEIAZQBlAGYAXwBBAHIAZwB1AG0AZQBuAHQAcwAiACwAIgBFAG4AdABlAHIAaQBjAE0AZQB0AGgAYQBuAGUAXwBQAGEAcwB0AHUAcgBlAEIAZQBlAGYAXwBFAHEAdQBhAHQAaQBvAG4AcwAuAFYARQBFAFIARwBfADMAXwAyAF8AMQBfADEAXwBfADQAXwBBAGQAZABpAHQAaQBvAG4AYQBsAEkAbgB0AGEAawBlAEYAbwByAE0AaQBsAGsAUAByAG8AZAB1AGMAdABpAG8AbgAiACwAIgBFAG4AdABlAHIAaQBjAE0AZQB0AGgAYQBuAGUAXwBQAGEAcwB0AHUAcgBlAEIAZQBlAGYAXwBFAHEAdQBhAHQAaQBvAG4AcwAuAFYARQBFAFIARwBfADMAXwAyAF8AMQBfADEAXwBfADQAXwBBAGQAZABpAHQAaQBvAG4AYQBsAEkAbgB0AGEAawBlAEYAbwByAE0AaQBsAGsAUAByAG8AZAB1AGMAdABpAG8AbgBWAGEAcgBpAGEAdABpAG8AbgAiACwAIgBFAG4AdABlAHIAaQBjAE0AZQB0AGgAYQBuAGUAXwBQAGEAcwB0AHUAcgBlAEIAZQBlAGYAXwBFAHEAdQBhAHQAaQBvAG4AcwAuAFYARQBFAFIARwBfADMAXwAyAF8AMQBfADEAXwBfADQAXwBBAGQAZABpAHQAaQBvAG4AYQBsAEkAbgB0AGEAawBlAEYAbwByAE0AaQBsAGsAUAByAG8AZAB1AGMAdABpAG8AbgBfAFQAaQB0AGwAZQAiACwAIgBFAG4AdABlAHIAaQBjAE0AZQB0AGgAYQBuAGUAXwBQAGEAcwB0AHUAcgBlAEIAZQBlAGYAXwBFAHEAdQBhAHQAaQBvAG4AcwAuAFYARQBFAFIARwBfADMAXwAyAF8AMQBfADEAXwBfADQAXwBBAGQAZABpAHQAaQBvAG4AYQBsAEkAbgB0AGEAawBlAEYAbwByAE0AaQBsAGsAUAByAG8AZAB1AGMAdABpAG8AbgBfAFYAYQByAGkAYQBiAGwAZQAiACwAIgBFAG4AdABlAHIAaQBjAE0AZQB0AGgAYQBuAGUAXwBQAGEAcwB0AHUAcgBlAEIAZQBlAGYAXwBFAHEAdQBhAHQAaQBvAG4AcwAuAFYARQBFAFIARwBfADMAXwAyAF8AMQBfADEAXwBfADQAXwBBAGQAZABpAHQAaQBvAG4AYQBsAEkAbgB0AGEAawBlAEYAbwByAE0AaQBsAGsAUAByAG8AZAB1AGMAdABpAG8AbgBfAFUAbgBpAHQAIgAsACIARQBuAHQAZQByAGkAYwBNAGUAdABoAGEAbgBlAF8AUABhAHMAdAB1AHIAZQBCAGUAZQBmAF8ARQBxAHUAYQB0AGkAbwBuAHMALgBWAEUARQBSAEcAXwAzAF8AMgBfADEAXwAxAF8AXwA0AF8AQQBkAGQAaQB0AGkAbwBuAGEAbABJAG4AdABhAGsAZQBGAG8AcgBNAGkAbABrAFAAcgBvAGQAdQBjAHQAaQBvAG4AXwBTAG8AdQByAGMAZQAiACwAIgBFAG4AdABlAHIAaQBjAE0AZQB0AGgAYQBuAGUAXwBQAGEAcwB0AHUAcgBlAEIAZQBlAGYAXwBFAHEAdQBhAHQAaQBvAG4AcwAuAFYARQBFAFIARwBfADMAXwAyAF8AMQBfADEAXwBfADQAXwBBAGQAZABpAHQAaQBvAG4AYQBsAEkAbgB0AGEAawBlAEYAbwByAE0AaQBsAGsAUAByAG8AZAB1AGMAdABpAG8AbgBfAE4ASQBSAFIAZQBmAGUAcgBlAG4AYwBlACIALAAiAEUAbgB0AGUAcgBpAGMATQBlAHQAaABhAG4AZQBfAFAAYQBzAHQAdQByAGUAQgBlAGUAZgBfAEUAcQB1AGEAdABpAG8AbgBzAC4AVgBFAEUAUgBHAF8AMwBfADIAXwAxAF8AMQBfAF8ANABfAEEAZABkAGkAdABpAG8AbgBhAGwASQBuAHQAYQBrAGUARgBvAHIATQBpAGwAawBQAHIAbwBkAHUAYwB0AGkAbwBuAF8ATABhAHQAZQB4AEUAcQB1AGEAdABpAG8AbgAiACwAIgBFAG4AdABlAHIAaQBjAE0AZQB0AGgAYQBuAGUAXwBQAGEAcwB0AHUAcgBlAEIAZQBlAGYAXwBFAHEAdQBhAHQAaQBvAG4AcwAuAFYARQBFAFIARwBfADMAXwAyAF8AMQBfADEAXwBfADQAXwBBAGQAZABpAHQAaQBvAG4AYQBsAEkAbgB0AGEAawBlAEYAbwByAE0AaQBsAGsAUAByAG8AZAB1AGMAdABpAG8AbgBfAEwAYQB0AGUAeABFAHEAdQBhAHQAaQBvAG4AVgBhAHIAaQBhAHQAaQBvAG4AIgAsACIARQBuAHQAZQByAGkAYwBNAGUAdABoAGEAbgBlAF8AUABhAHMAdAB1AHIAZQBCAGUAZQBmAF8ARQBxAHUAYQB0AGkAbwBuAHMALgBWAEUARQBSAEcAXwAzAF8AMgBfADEAXwAxAF8AXwA0AF8AQQBkAGQAaQB0AGkAbwBuAGEAbABJAG4AdABhAGsAZQBGAG8AcgBNAGkAbABrAFAAcgBvAGQAdQBjAHQAaQBvAG4AXwBBAHIAZwB1AG0AZQBuAHQAcwAiACwAIgBFAG4AdABlAHIAaQBjAE0AZQB0AGgAYQBuAGUAXwBQAGEAcwB0AHUAcgBlAEIAZQBlAGYAXwBFAHEAdQBhAHQAaQBvAG4AcwAuAFYARQBFAFIARwBfADMAXwAyAF8AMQBfADEAXwBfADQAXwBBAGQAZABpAHQAaQBvAG4AYQBsAEkAbgB0AGEAawBlAEYAbwByAE0AaQBsAGsAUAByAG8AZAB1AGMAdABpAG8AbgBfAEEAcgBnAHUAbQBlAG4AdABzAFYAYQByAGkAYQB0AGkAbwBuACIALAAiAEUAbgB0AGUAcgBpAGMATQBlAHQAaABhAG4AZQBfAFAAYQBzAHQAdQByAGUAQgBlAGUAZgBfAEUAcQB1AGEAdABpAG8AbgBzAC4AVgBFAEUAUgBHAF8AMwBfADIAXwAxAF8AMQBfAF8ANABfAEEAZABkAGkAdABpAG8AbgBhAGwASQBuAHQAYQBrAGUARgBvAHIATQBpAGwAawBQAHIAbwBkAHUAYwB0AGkAbwBuAF8AVgBhAHIAaQBhAHQAaQBvAG4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LAAiAEkAbgBwAHUAdABGAHUAbgBjAHQAaQBvAG4AcwBfAFAAYQBzAHQAdQByAGUAQgBlAGUAZgAuAEwAbwBvAGsAdQBwAFYAYQBsAHUAZQBGAHIAbwBtAFMAdABhAHQAZQBSAGUAZwBpAG8AbgBTAGUAYQBzAG8AbgAiACwAIgBJAG4AcAB1AHQARgB1AG4AYwB0AGkAbwBuAHMAXwBQAGEAcwB0AHUAcgBlAEIAZQBlAGYALgBMAG8AbwBrAHUAcABWAGEAbAB1AGUARgByAG8AbQBTAHQAYQB0AGUAUgBlAGcAaQBvAG4ATQBvAG4AdABoACIALAAiAE0ATQBTAF8AUABhAHMAdAB1AHIAZQBCAGUAZQBmAF8AUwBvAGkAbABfAE4AMgBPAEQAaQByAGUAYwB0AF8ARQBxAHUAYQB0AGkAbwBuAHMALgBWAEUARQBSAEcAXwA0AF8AMgBfADEAXwAzAF8AXwAxAF8ARABpAHIAZQBjAHQATgBpAHQAcgBvAHUAcwBPAHgAaQBkAGUARQBtAGkAcwBzAGkAbwBuAHMATwBuAFAAYQBzAHQAdQByAGUAIgAsACIATQBNAFMAXwBQAGEAcwB0AHUAcgBlAEIAZQBlAGYAXwBTAG8AaQBsAF8ATgAyAE8ARABpAHIAZQBjAHQAXwBFAHEAdQBhAHQAaQBvAG4AcwAuAFYARQBFAFIARwBfADQAXwAyAF8AMQBfADMAXwBfADEAXwBEAGkAcgBlAGMAdABOAGkAdAByAG8AdQBzAE8AeABpAGQAZQBFAG0AaQBzAHMAaQBvAG4AcwBPAG4AUABhAHMAdAB1AHIAZQBfAFQAaQB0AGwAZQAiACwAIgBNAE0AUwBfAFAAYQBzAHQAdQByAGUAQgBlAGUAZgBfAFMAbwBpAGwAXwBOADIATwBEAGkAcgBlAGMAdABfAEUAcQB1AGEAdABpAG8AbgBzAC4AVgBFAEUAUgBHAF8ANABfADIAXwAxAF8AMwBfAF8AMQBfAEQAaQByAGUAYwB0AE4AaQB0AHIAbwB1AHMATwB4AGkAZABlAEUAbQBpAHMAcwBpAG8AbgBzAE8AbgBQAGEAcwB0AHUAcgBlAF8AVgBhAHIAaQBhAGIAbABlACIALAAiAE0ATQBTAF8AUABhAHMAdAB1AHIAZQBCAGUAZQBmAF8AUwBvAGkAbABfAE4AMgBPAEQAaQByAGUAYwB0AF8ARQBxAHUAYQB0AGkAbwBuAHMALgBWAEUARQBSAEcAXwA0AF8AMgBfADEAXwAzAF8AXwAxAF8ARABpAHIAZQBjAHQATgBpAHQAcgBvAHUAcwBPAHgAaQBkAGUARQBtAGkAcwBzAGkAbwBuAHMATwBuAFAAYQBzAHQAdQByAGUAXwBVAG4AaQB0ACIALAAiAE0ATQBTAF8AUABhAHMAdAB1AHIAZQBCAGUAZQBmAF8AUwBvAGkAbABfAE4AMgBPAEQAaQByAGUAYwB0AF8ARQBxAHUAYQB0AGkAbwBuAHMALgBWAEUARQBSAEcAXwA0AF8AMgBfADEAXwAzAF8AXwAxAF8ARABpAHIAZQBjAHQATgBpAHQAcgBvAHUAcwBPAHgAaQBkAGUARQBtAGkAcwBzAGkAbwBuAHMATwBuAFAAYQBzAHQAdQByAGUAXwBTAG8AdQByAGMAZQAiACwAIgBNAE0AUwBfAFAAYQBzAHQAdQByAGUAQgBlAGUAZgBfAFMAbwBpAGwAXwBOADIATwBEAGkAcgBlAGMAdABfAEUAcQB1AGEAdABpAG8AbgBzAC4AVgBFAEUAUgBHAF8ANABfADIAXwAxAF8AMwBfAF8AMQBfAEQAaQByAGUAYwB0AE4AaQB0AHIAbwB1AHMATwB4AGkAZABlAEUAbQBpAHMAcwBpAG8AbgBzAE8AbgBQAGEAcwB0AHUAcgBlAF8ATgBJAFIAUgBlAGYAZQByAGUAbgBjAGUAIgAsACIATQBNAFMAXwBQAGEAcwB0AHUAcgBlAEIAZQBlAGYAXwBTAG8AaQBsAF8ATgAyAE8ARABpAHIAZQBjAHQAXwBFAHEAdQBhAHQAaQBvAG4AcwAuAFYARQBFAFIARwBfADQAXwAyAF8AMQBfADMAXwBfADEAXwBEAGkAcgBlAGMAdABOAGkAdAByAG8AdQBzAE8AeABpAGQAZQBFAG0AaQBzAHMAaQBvAG4AcwBPAG4AUABhAHMAdAB1AHIAZQBfAEwAYQB0AGUAeABFAHEAdQBhAHQAaQBvAG4AIgAsACIATQBNAFMAXwBQAGEAcwB0AHUAcgBlAEIAZQBlAGYAXwBTAG8AaQBsAF8ATgAyAE8ARABpAHIAZQBjAHQAXwBFAHEAdQBhAHQAaQBvAG4AcwAuAFYARQBFAFIARwBfADQAXwAyAF8AMQBfADMAXwBfADEAXwBEAGkAcgBlAGMAdABOAGkAdAByAG8AdQBzAE8AeABpAGQAZQBFAG0AaQBzAHMAaQBvAG4AcwBPAG4AUABhAHMAdAB1AHIAZQBfAEEAcgBnAHUAbQBlAG4AdABz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QAaQB0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gBhAHIAaQBhAGI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VAG4AaQB0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TAG8AdQBy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gBJAFIAUgBlAGYAZQByAGUAb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wAYQB0AGUAeABFAHEAdQBhAHQAaQBvAG4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EAcgBnAHUAbQBlAG4AdABzACIALAAiAE0ATQBTAF8AUABhAHMAdAB1AHIAZQBCAGUAZQBmAF8AUwBvAGkAbABfAE4AMgBPAEQAaQByAGUAYwB0AF8ARQBxAHUAYQB0AGkAbwBuAHMALgBWAEUARQBSAEcAXwA0AF8AMgBfADEAXwAzAF8AXwAzAF8ATgBpAHQAcgBvAGcAZQBuAEUAeABjAHIAZQB0AGUAZAAiACwAIgBNAE0AUwBfAFAAYQBzAHQAdQByAGUAQgBlAGUAZgBfAFMAbwBpAGwAXwBOADIATwBEAGkAcgBlAGMAdABfAEUAcQB1AGEAdABpAG8AbgBzAC4AVgBFAEUAUgBHAF8ANABfADIAXwAxAF8AMwBfAF8AMwBfAE4AaQB0AHIAbwBnAGUAbgBFAHgAYwByAGUAdABlAGQAXwBUAGkAdABsAGUAIgAsACIATQBNAFMAXwBQAGEAcwB0AHUAcgBlAEIAZQBlAGYAXwBTAG8AaQBsAF8ATgAyAE8ARABpAHIAZQBjAHQAXwBFAHEAdQBhAHQAaQBvAG4AcwAuAFYARQBFAFIARwBfADQAXwAyAF8AMQBfADMAXwBfADMAXwBOAGkAdAByAG8AZwBlAG4ARQB4AGMAcgBlAHQAZQBkAF8AVgBhAHIAaQBhAGIAbABlACIALAAiAE0ATQBTAF8AUABhAHMAdAB1AHIAZQBCAGUAZQBmAF8AUwBvAGkAbABfAE4AMgBPAEQAaQByAGUAYwB0AF8ARQBxAHUAYQB0AGkAbwBuAHMALgBWAEUARQBSAEcAXwA0AF8AMgBfADEAXwAzAF8AXwAzAF8ATgBpAHQAcgBvAGcAZQBuAEUAeABjAHIAZQB0AGUAZABfAFUAbgBpAHQAIgAsACIATQBNAFMAXwBQAGEAcwB0AHUAcgBlAEIAZQBlAGYAXwBTAG8AaQBsAF8ATgAyAE8ARABpAHIAZQBjAHQAXwBFAHEAdQBhAHQAaQBvAG4AcwAuAFYARQBFAFIARwBfADQAXwAyAF8AMQBfADMAXwBfADMAXwBOAGkAdAByAG8AZwBlAG4ARQB4AGMAcgBlAHQAZQBkAF8AUwBvAHUAcgBjAGUAIgAsACIATQBNAFMAXwBQAGEAcwB0AHUAcgBlAEIAZQBlAGYAXwBTAG8AaQBsAF8ATgAyAE8ARABpAHIAZQBjAHQAXwBFAHEAdQBhAHQAaQBvAG4AcwAuAFYARQBFAFIARwBfADQAXwAyAF8AMQBfADMAXwBfADMAXwBOAGkAdAByAG8AZwBlAG4ARQB4AGMAcgBlAHQAZQBkAF8ATgBJAFIAUgBlAGYAZQByAGUAbgBjAGUAIgAsACIATQBNAFMAXwBQAGEAcwB0AHUAcgBlAEIAZQBlAGYAXwBTAG8AaQBsAF8ATgAyAE8ARABpAHIAZQBjAHQAXwBFAHEAdQBhAHQAaQBvAG4AcwAuAFYARQBFAFIARwBfADQAXwAyAF8AMQBfADMAXwBfADMAXwBOAGkAdAByAG8AZwBlAG4ARQB4AGMAcgBlAHQAZQBkAF8ATABhAHQAZQB4AEUAcQB1AGEAdABpAG8AbgAiACwAIgBNAE0AUwBfAFAAYQBzAHQAdQByAGUAQgBlAGUAZgBfAFMAbwBpAGwAXwBOADIATwBEAGkAcgBlAGMAdABfAEUAcQB1AGEAdABpAG8AbgBzAC4AVgBFAEUAUgBHAF8ANABfADIAXwAxAF8AMwBfAF8AMwBfAE4AaQB0AHIAbwBnAGUAbgBFAHgAYwByAGUAdABlAGQAXwBBAHIAZwB1AG0AZQBuAHQAcwAiACwAIgBNAE0AUwBfAFAAYQBzAHQAdQByAGUAQgBlAGUAZgBfAFMAbwBpAGwAXwBOADIATwBEAGkAcgBlAGMAdABfAEUAcQB1AGEAdABpAG8AbgBzAC4AVgBFAEUAUgBHAF8ANABfADIAXwAxAF8AMwBfAF8ANABfAE4AaQB0AHIAbwBnAGUAbgBSAGUAdABhAGkAbgBlAGQAQgB5AEIAbwBkAHkAIgAsACIATQBNAFMAXwBQAGEAcwB0AHUAcgBlAEIAZQBlAGYAXwBTAG8AaQBsAF8ATgAyAE8ARABpAHIAZQBjAHQAXwBFAHEAdQBhAHQAaQBvAG4AcwAuAFYARQBFAFIARwBfADQAXwAyAF8AMQBfADMAXwBfADQAXwBOAGkAdAByAG8AZwBlAG4AUgBlAHQAYQBpAG4AZQBkAEIAeQBCAG8AZAB5AF8AVABpAHQAbABlACIALAAiAE0ATQBTAF8AUABhAHMAdAB1AHIAZQBCAGUAZQBmAF8AUwBvAGkAbABfAE4AMgBPAEQAaQByAGUAYwB0AF8ARQBxAHUAYQB0AGkAbwBuAHMALgBWAEUARQBSAEcAXwA0AF8AMgBfADEAXwAzAF8AXwA0AF8ATgBpAHQAcgBvAGcAZQBuAFIAZQB0AGEAaQBuAGUAZABCAHkAQgBvAGQAeQBfAFYAYQByAGkAYQBiAGwAZQAiACwAIgBNAE0AUwBfAFAAYQBzAHQAdQByAGUAQgBlAGUAZgBfAFMAbwBpAGwAXwBOADIATwBEAGkAcgBlAGMAdABfAEUAcQB1AGEAdABpAG8AbgBzAC4AVgBFAEUAUgBHAF8ANABfADIAXwAxAF8AMwBfAF8ANABfAE4AaQB0AHIAbwBnAGUAbgBSAGUAdABhAGkAbgBlAGQAQgB5AEIAbwBkAHkAXwBVAG4AaQB0ACIALAAiAE0ATQBTAF8AUABhAHMAdAB1AHIAZQBCAGUAZQBmAF8AUwBvAGkAbABfAE4AMgBPAEQAaQByAGUAYwB0AF8ARQBxAHUAYQB0AGkAbwBuAHMALgBWAEUARQBSAEcAXwA0AF8AMgBfADEAXwAzAF8AXwA0AF8ATgBpAHQAcgBvAGcAZQBuAFIAZQB0AGEAaQBuAGUAZABCAHkAQgBvAGQAeQBfAFMAbwB1AHIAYwBlACIALAAiAE0ATQBTAF8AUABhAHMAdAB1AHIAZQBCAGUAZQBmAF8AUwBvAGkAbABfAE4AMgBPAEQAaQByAGUAYwB0AF8ARQBxAHUAYQB0AGkAbwBuAHMALgBWAEUARQBSAEcAXwA0AF8AMgBfADEAXwAzAF8AXwA0AF8ATgBpAHQAcgBvAGcAZQBuAFIAZQB0AGEAaQBuAGUAZABCAHkAQgBvAGQAeQBfAE4ASQBSAFIAZQBmAGUAcgBlAG4AYwBlACIALAAiAE0ATQBTAF8AUABhAHMAdAB1AHIAZQBCAGUAZQBmAF8AUwBvAGkAbABfAE4AMgBPAEQAaQByAGUAYwB0AF8ARQBxAHUAYQB0AGkAbwBuAHMALgBWAEUARQBSAEcAXwA0AF8AMgBfADEAXwAzAF8AXwA0AF8ATgBpAHQAcgBvAGcAZQBuAFIAZQB0AGEAaQBuAGUAZABCAHkAQgBvAGQAeQBfAEwAYQB0AGUAeABFAHEAdQBhAHQAaQBvAG4AIgAsACIATQBNAFMAXwBQAGEAcwB0AHUAcgBlAEIAZQBlAGYAXwBTAG8AaQBsAF8ATgAyAE8ARABpAHIAZQBjAHQAXwBFAHEAdQBhAHQAaQBvAG4AcwAuAFYARQBFAFIARwBfADQAXwAyAF8AMQBfADMAXwBfADQAXwBOAGkAdAByAG8AZwBlAG4AUgBlAHQAYQBpAG4AZQBkAEIAeQBCAG8AZAB5AF8AQQByAGcAdQBtAGUAbgB0AHMAIgAsACIATQBNAFMAXwBQAGEAcwB0AHUAcgBlAEIAZQBlAGYAXwBTAG8AaQBsAF8ATgAyAE8ARABpAHIAZQBjAHQAXwBFAHEAdQBhAHQAaQBvAG4AcwAuAFYARQBFAFIARwBfADQAXwAyAF8AMQBfADMAXwBfADUAXwBNAGkAbABrAFAAcgBvAGQAdQBjAHQAaQBvAG4ARgBvAHIAQwBhAGwAdgBpAG4AZwBTAGUAYQBzAG8AbgAiACwAIgBNAE0AUwBfAFAAYQBzAHQAdQByAGUAQgBlAGUAZgBfAFMAbwBpAGwAXwBOADIATwBEAGkAcgBlAGMAdABfAEUAcQB1AGEAdABpAG8AbgBzAC4AVgBFAEUAUgBHAF8ANABfADIAXwAxAF8AMwBfAF8ANQBfAE0AaQBsAGsAUAByAG8AZAB1AGMAdABpAG8AbgBGAG8AcgBDAGEAbAB2AGkAbgBnAFMAZQBhAHMAbwBuAFYAYQByAGkAYQB0AGkAbwBuACIALAAiAE0ATQBTAF8AUABhAHMAdAB1AHIAZQBCAGUAZQBmAF8AUwBvAGkAbABfAE4AMgBPAEQAaQByAGUAYwB0AF8ARQBxAHUAYQB0AGkAbwBuAHMALgBWAEUARQBSAEcAXwA0AF8AMgBfADEAXwAzAF8AXwA1AF8ATQBpAGwAawBQAHIAbwBkAHUAYwB0AGkAbwBuAEYAbwByAEMAYQBsAHYAaQBuAGcAUwBlAGEAcwBvAG4AXwBUAGkAdABsAGUAIgAsACIATQBNAFMAXwBQAGEAcwB0AHUAcgBlAEIAZQBlAGYAXwBTAG8AaQBsAF8ATgAyAE8ARABpAHIAZQBjAHQAXwBFAHEAdQBhAHQAaQBvAG4AcwAuAFYARQBFAFIARwBfADQAXwAyAF8AMQBfADMAXwBfADUAXwBNAGkAbABrAFAAcgBvAGQAdQBjAHQAaQBvAG4ARgBvAHIAQwBhAGwAdgBpAG4AZwBTAGUAYQBzAG8AbgBfAFYAYQByAGkAYQBiAGwAZQAiACwAIgBNAE0AUwBfAFAAYQBzAHQAdQByAGUAQgBlAGUAZgBfAFMAbwBpAGwAXwBOADIATwBEAGkAcgBlAGMAdABfAEUAcQB1AGEAdABpAG8AbgBzAC4AVgBFAEUAUgBHAF8ANABfADIAXwAxAF8AMwBfAF8ANQBfAE0AaQBsAGsAUAByAG8AZAB1AGMAdABpAG8AbgBGAG8AcgBDAGEAbAB2AGkAbgBnAFMAZQBhAHMAbwBuAF8AVQBuAGkAdAAiACwAIgBNAE0AUwBfAFAAYQBzAHQAdQByAGUAQgBlAGUAZgBfAFMAbwBpAGwAXwBOADIATwBEAGkAcgBlAGMAdABfAEUAcQB1AGEAdABpAG8AbgBzAC4AVgBFAEUAUgBHAF8ANABfADIAXwAxAF8AMwBfAF8ANQBfAE0AaQBsAGsAUAByAG8AZAB1AGMAdABpAG8AbgBGAG8AcgBDAGEAbAB2AGkAbgBnAFMAZQBhAHMAbwBuAF8AUwBvAHUAcgBjAGUAIgAsACIATQBNAFMAXwBQAGEAcwB0AHUAcgBlAEIAZQBlAGYAXwBTAG8AaQBsAF8ATgAyAE8ARABpAHIAZQBjAHQAXwBFAHEAdQBhAHQAaQBvAG4AcwAuAFYARQBFAFIARwBfADQAXwAyAF8AMQBfADMAXwBfADUAXwBNAGkAbABrAFAAcgBvAGQAdQBjAHQAaQBvAG4ARgBvAHIAQwBhAGwAdgBpAG4AZwBTAGUAYQBzAG8AbgBfAE4ASQBSAFIAZQBmAGUAcgBlAG4AYwBlACIALAAiAE0ATQBTAF8AUABhAHMAdAB1AHIAZQBCAGUAZQBmAF8AUwBvAGkAbABfAE4AMgBPAEQAaQByAGUAYwB0AF8ARQBxAHUAYQB0AGkAbwBuAHMALgBWAEUARQBSAEcAXwA0AF8AMgBfADEAXwAzAF8AXwA1AF8ATQBpAGwAawBQAHIAbwBkAHUAYwB0AGkAbwBuAEYAbwByAEMAYQBsAHYAaQBuAGcAUwBlAGEAcwBvAG4AXwBMAGEAdABlAHgARQBxAHUAYQB0AGkAbwBuACIALAAiAE0ATQBTAF8AUABhAHMAdAB1AHIAZQBCAGUAZQBmAF8AUwBvAGkAbABfAE4AMgBPAEQAaQByAGUAYwB0AF8ARQBxAHUAYQB0AGkAbwBuAHMALgBWAEUARQBSAEcAXwA0AF8AMgBfADEAXwAzAF8AXwA1AF8ATQBpAGwAawBQAHIAbwBkAHUAYwB0AGkAbwBuAEYAbwByAEMAYQBsAHYAaQBuAGcAUwBlAGEAcwBvAG4AXwBMAGEAdABlAHgARQBxAHUAYQB0AGkAbwBuAFYAYQByAGkAYQB0AGkAbwBuACIALAAiAE0ATQBTAF8AUABhAHMAdAB1AHIAZQBCAGUAZQBmAF8AUwBvAGkAbABfAE4AMgBPAEQAaQByAGUAYwB0AF8ARQBxAHUAYQB0AGkAbwBuAHMALgBWAEUARQBSAEcAXwA0AF8AMgBfADEAXwAzAF8AXwA1AF8ATQBpAGwAawBQAHIAbwBkAHUAYwB0AGkAbwBuAEYAbwByAEMAYQBsAHYAaQBuAGcAUwBlAGEAcwBvAG4AXwBBAHIAZwB1AG0AZQBuAHQAcwAiACwAIgBNAE0AUwBfAFAAYQBzAHQAdQByAGUAQgBlAGUAZgBfAFMAbwBpAGwAXwBOADIATwBEAGkAcgBlAGMAdABfAEUAcQB1AGEAdABpAG8AbgBzAC4AVgBFAEUAUgBHAF8ANABfADIAXwAxAF8AMwBfAF8ANQBfAE0AaQBsAGsAUAByAG8AZAB1AGMAdABpAG8AbgBGAG8AcgBDAGEAbAB2AGkAbgBnAFMAZQBhAHMAbwBuAF8AQQByAGcAdQBtAGUAbgB0AHMAVgBhAHIAaQBhAHQAaQBvAG4AIgAsACIATQBNAFMAXwBQAGEAcwB0AHUAcgBlAEIAZQBlAGYAXwBTAG8AaQBsAF8ATgAyAE8ARABpAHIAZQBjAHQAXwBFAHEAdQBhAHQAaQBvAG4AcwAuAFYARQBFAFIARwBfADQAXwAyAF8AMQBfADMAXwBfADUAXwBNAGkAbABrAFAAcgBvAGQAdQBjAHQAaQBvAG4ARgBvAHIAQwBhAGwAdgBpAG4AZwBTAGUAYQBzAG8AbgBfAFYAYQByAGkAYQB0AGkAbwBuACIALAAiAE0ATQBTAF8AUABhAHMAdAB1AHIAZQBCAGUAZQBmAF8AUwBvAGkAbABfAE4AMgBPAEQAaQByAGUAYwB0AF8ARQBxAHUAYQB0AGkAbwBuAHMALgBWAEUARQBSAEcAXwA0AF8AMgBfADEAXwAzAF8AXwA2AF8ASQBuAHQAYQBrAGUAUgBlAGwAYQB0AGkAdgBlAFQAbwBNAGEAaQBuAHQAZQBuAGEAbgBjAGUAIgAsACIATQBNAFMAXwBQAGEAcwB0AHUAcgBlAEIAZQBlAGYAXwBTAG8AaQBsAF8ATgAyAE8ARABpAHIAZQBjAHQAXwBFAHEAdQBhAHQAaQBvAG4AcwAuAFYARQBFAFIARwBfADQAXwAyAF8AMQBfADMAXwBfADYAXwBJAG4AdABhAGsAZQBSAGUAbABhAHQAaQB2AGUAVABvAE0AYQBpAG4AdABlAG4AYQBuAGMAZQBfAFQAaQB0AGwAZQAiACwAIgBNAE0AUwBfAFAAYQBzAHQAdQByAGUAQgBlAGUAZgBfAFMAbwBpAGwAXwBOADIATwBEAGkAcgBlAGMAdABfAEUAcQB1AGEAdABpAG8AbgBzAC4AVgBFAEUAUgBHAF8ANABfADIAXwAxAF8AMwBfAF8ANgBfAEkAbgB0AGEAawBlAFIAZQBsAGEAdABpAHYAZQBUAG8ATQBhAGkAbgB0AGUAbgBhAG4AYwBlAF8AVgBhAHIAaQBhAGIAbABlACIALAAiAE0ATQBTAF8AUABhAHMAdAB1AHIAZQBCAGUAZQBmAF8AUwBvAGkAbABfAE4AMgBPAEQAaQByAGUAYwB0AF8ARQBxAHUAYQB0AGkAbwBuAHMALgBWAEUARQBSAEcAXwA0AF8AMgBfADEAXwAzAF8AXwA2AF8ASQBuAHQAYQBrAGUAUgBlAGwAYQB0AGkAdgBlAFQAbwBNAGEAaQBuAHQAZQBuAGEAbgBjAGUAXwBVAG4AaQB0ACIALAAiAE0ATQBTAF8AUABhAHMAdAB1AHIAZQBCAGUAZQBmAF8AUwBvAGkAbABfAE4AMgBPAEQAaQByAGUAYwB0AF8ARQBxAHUAYQB0AGkAbwBuAHMALgBWAEUARQBSAEcAXwA0AF8AMgBfADEAXwAzAF8AXwA2AF8ASQBuAHQAYQBrAGUAUgBlAGwAYQB0AGkAdgBlAFQAbwBNAGEAaQBuAHQAZQBuAGEAbgBjAGUAXwBTAG8AdQByAGMAZQAiACwAIgBNAE0AUwBfAFAAYQBzAHQAdQByAGUAQgBlAGUAZgBfAFMAbwBpAGwAXwBOADIATwBEAGkAcgBlAGMAdABfAEUAcQB1AGEAdABpAG8AbgBzAC4AVgBFAEUAUgBHAF8ANABfADIAXwAxAF8AMwBfAF8ANgBfAEkAbgB0AGEAawBlAFIAZQBsAGEAdABpAHYAZQBUAG8ATQBhAGkAbgB0AGUAbgBhAG4AYwBlAF8ATgBJAFIAUgBlAGYAZQByAGUAbgBjAGUAIgAsACIATQBNAFMAXwBQAGEAcwB0AHUAcgBlAEIAZQBlAGYAXwBTAG8AaQBsAF8ATgAyAE8ARABpAHIAZQBjAHQAXwBFAHEAdQBhAHQAaQBvAG4AcwAuAFYARQBFAFIARwBfADQAXwAyAF8AMQBfADMAXwBfADYAXwBJAG4AdABhAGsAZQBSAGUAbABhAHQAaQB2AGUAVABvAE0AYQBpAG4AdABlAG4AYQBuAGMAZQBfAEwAYQB0AGUAeABFAHEAdQBhAHQAaQBvAG4AIgAsACIATQBNAFMAXwBQAGEAcwB0AHUAcgBlAEIAZQBlAGYAXwBTAG8AaQBsAF8ATgAyAE8ARABpAHIAZQBjAHQAXwBFAHEAdQBhAHQAaQBvAG4AcwAuAFYARQBFAFIARwBfADQAXwAyAF8AMQBfADMAXwBfADYAXwBJAG4AdABhAGsAZQBSAGUAbABhAHQAaQB2AGUAVABvAE0AYQBpAG4AdABlAG4AYQBuAGMAZQBfAEEAcgBnAHUAbQBlAG4AdABzACIALAAiAE0ATQBTAF8AUABhAHMAdAB1AHIAZQBCAGUAZQBmAF8AUwBvAGkAbABfAE4AMgBPAEQAaQByAGUAYwB0AF8ARQBxAHUAYQB0AGkAbwBuAHMALgBWAEUARQBSAEcAXwA0AF8AMgBfADEAXwAzAF8AXwA3AF8AUgBlAGwAYQB0AGkAdgBlAFMAaQB6AGUAIgAsACIATQBNAFMAXwBQAGEAcwB0AHUAcgBlAEIAZQBlAGYAXwBTAG8AaQBsAF8ATgAyAE8ARABpAHIAZQBjAHQAXwBFAHEAdQBhAHQAaQBvAG4AcwAuAFYARQBFAFIARwBfADQAXwAyAF8AMQBfADMAXwBfADcAXwBSAGUAbABhAHQAaQB2AGUAUwBpAHoAZQBfAFQAaQB0AGwAZQAiACwAIgBNAE0AUwBfAFAAYQBzAHQAdQByAGUAQgBlAGUAZgBfAFMAbwBpAGwAXwBOADIATwBEAGkAcgBlAGMAdABfAEUAcQB1AGEAdABpAG8AbgBzAC4AVgBFAEUAUgBHAF8ANABfADIAXwAxAF8AMwBfAF8ANwBfAFIAZQBsAGEAdABpAHYAZQBTAGkAegBlAF8AVgBhAHIAaQBhAGIAbABlACIALAAiAE0ATQBTAF8AUABhAHMAdAB1AHIAZQBCAGUAZQBmAF8AUwBvAGkAbABfAE4AMgBPAEQAaQByAGUAYwB0AF8ARQBxAHUAYQB0AGkAbwBuAHMALgBWAEUARQBSAEcAXwA0AF8AMgBfADEAXwAzAF8AXwA3AF8AUgBlAGwAYQB0AGkAdgBlAFMAaQB6AGUAXwBVAG4AaQB0ACIALAAiAE0ATQBTAF8AUABhAHMAdAB1AHIAZQBCAGUAZQBmAF8AUwBvAGkAbABfAE4AMgBPAEQAaQByAGUAYwB0AF8ARQBxAHUAYQB0AGkAbwBuAHMALgBWAEUARQBSAEcAXwA0AF8AMgBfADEAXwAzAF8AXwA3AF8AUgBlAGwAYQB0AGkAdgBlAFMAaQB6AGUAXwBTAG8AdQByAGMAZQAiACwAIgBNAE0AUwBfAFAAYQBzAHQAdQByAGUAQgBlAGUAZgBfAFMAbwBpAGwAXwBOADIATwBEAGkAcgBlAGMAdABfAEUAcQB1AGEAdABpAG8AbgBzAC4AVgBFAEUAUgBHAF8ANABfADIAXwAxAF8AMwBfAF8ANwBfAFIAZQBsAGEAdABpAHYAZQBTAGkAegBlAF8ATgBJAFIAUgBlAGYAZQByAGUAbgBjAGUAIgAsACIATQBNAFMAXwBQAGEAcwB0AHUAcgBlAEIAZQBlAGYAXwBTAG8AaQBsAF8ATgAyAE8ARABpAHIAZQBjAHQAXwBFAHEAdQBhAHQAaQBvAG4AcwAuAFYARQBFAFIARwBfADQAXwAyAF8AMQBfADMAXwBfADcAXwBSAGUAbABhAHQAaQB2AGUAUwBpAHoAZQBfAEwAYQB0AGUAeABFAHEAdQBhAHQAaQBvAG4AIgAsACIATQBNAFMAXwBQAGEAcwB0AHUAcgBlAEIAZQBlAGYAXwBTAG8AaQBsAF8ATgAyAE8ARABpAHIAZQBjAHQAXwBFAHEAdQBhAHQAaQBvAG4AcwAuAFYARQBFAFIARwBfADQAXwAyAF8AMQBfADMAXwBfADcAXwBSAGUAbABhAHQAaQB2AGUAUwBpAHoAZQBfAEEAcgBnAHUAbQBlAG4AdABz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UAGkAdA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gBhAHIAaQBhAGI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UAbgBpAHQ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UwBvAHUAcgBj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TgBJAFIAUgBlAGYAZQByAGUAbgBj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TABhAHQAZQB4AEUAcQB1AGEAdABpAG8Abg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BAHIAZwB1AG0AZQBuAHQAcw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ABpAHQ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YAYQByAGkAYQBi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VAG4AaQB0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MAbwB1AHIAYw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4ASQBSAFIAZQBmAGUAcgBlAG4AYw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wAYQB0AGUAeABFAHEAdQBhAHQAaQBvAG4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QQByAGcAdQBtAGUAbgB0AHM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QAaQB0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WAGEAcgBpAGEAYg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QBuAGkAdA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TAG8AdQByAGM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OAEkAUgBSAGUAZgBlAHIAZQBuAGM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MAGEAdABlAHgARQBxAHUAYQB0AGkAbwBu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EAcgBnAHUAbQBlAG4AdABz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VABpAHQAbA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VgBhAHIAaQBhAGIAbA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VQBuAGkAdA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MAbwB1AHI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gBJAFIAUgBlAGYAZQByAGUAb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MAGEAdABlAHgARQBxAHUAYQB0AGkAbwBu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Home</vt:lpstr>
      <vt:lpstr>Results</vt:lpstr>
      <vt:lpstr>Input - Site</vt:lpstr>
      <vt:lpstr>Input - Pasture Beef</vt:lpstr>
      <vt:lpstr>4.2.1.1-2 Methane</vt:lpstr>
      <vt:lpstr>4.2.1.3-4 Soil direct N20</vt:lpstr>
      <vt:lpstr>4.2.1.5-6 Soil Atmos Dep</vt:lpstr>
      <vt:lpstr>4.2.1.7-8 Soil leach runoff</vt:lpstr>
      <vt:lpstr>Constants - Pature Beef</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2026-05-05T00:20:28Z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