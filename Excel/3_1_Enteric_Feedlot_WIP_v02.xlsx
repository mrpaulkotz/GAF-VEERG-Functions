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6B85F72-01E5-4BB3-BC78-65F48BC8B8BD}" xr6:coauthVersionLast="47" xr6:coauthVersionMax="47" xr10:uidLastSave="{00000000-0000-0000-0000-000000000000}"/>
  <bookViews>
    <workbookView xWindow="1350" yWindow="360" windowWidth="36255" windowHeight="19140" activeTab="3"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0" i="69" l="1" a="1"/>
  <c r="M30" i="69" s="1"/>
  <c r="M25" i="69" a="1"/>
  <c r="M25" i="69" s="1"/>
  <c r="M20" i="69" a="1"/>
  <c r="M20" i="69" s="1"/>
  <c r="D30" i="69" a="1"/>
  <c r="D30" i="69" s="1"/>
  <c r="D25" i="69" a="1"/>
  <c r="D25" i="69" s="1"/>
  <c r="D20" i="69" a="1"/>
  <c r="D20" i="69" s="1"/>
  <c r="D60" i="69" a="1"/>
  <c r="D60" i="69" s="1"/>
  <c r="D55" i="69" a="1"/>
  <c r="D55" i="69" s="1"/>
  <c r="G29" i="79" l="1"/>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<sst xmlns="http://schemas.openxmlformats.org/spreadsheetml/2006/main" count="287" uniqueCount="188">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</sst>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 ca="1">VEERG_3_1_1_1__1_TotalAnnualMethaneFromEntericFermentation_Result</f>
        <v>35.420230000000004</v>
      </c>
      <c r="F7" s="98">
        <f ca="1">'3.1.1.1-2 Enteric Methane'!N67</f>
        <v>35.420230000000004</v>
      </c>
      <c r="G7" s="52" t="str">
        <f>'3.1.1.1-2 Enteric Methane'!F67</f>
        <v>t CH4</v>
      </c>
      <c r="H7" s="98">
        <f ca="1">'3.1.1.1-2 Enteric Methane'!E72</f>
        <v>991.7664400000001</v>
      </c>
      <c r="I7" s="98">
        <f ca="1">'3.1.1.1-2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 ca="1">SUM(H7:H7)</f>
        <v>991.7664400000001</v>
      </c>
      <c r="I8" s="99">
        <f ca="1">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9" sqref="E9"/>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D60" sqref="D6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cm="1">
        <f t="array" aca="1" ref="D20:F20" ca="1">OFFSET(X_Table_Feedlot_Intake_Method1, 1,1, 1,3)</f>
        <v>10.4</v>
      </c>
      <c r="E20" s="50">
        <f ca="1"/>
        <v>10.8</v>
      </c>
      <c r="F20" s="50">
        <f ca="1"/>
        <v>8.1999999999999993</v>
      </c>
      <c r="G20" s="2" t="str">
        <f>$G$13</f>
        <v>kg DM/head/day</v>
      </c>
      <c r="M20" s="50" cm="1">
        <f t="array" aca="1" ref="M20:O20" ca="1">OFFSET(X_Table_Feedlot_Intake_Method2, 1,1, 1,3)</f>
        <v>10.4</v>
      </c>
      <c r="N20" s="50">
        <f ca="1"/>
        <v>10.8</v>
      </c>
      <c r="O20" s="50">
        <f ca="1"/>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cm="1">
        <f t="array" aca="1" ref="D25:F25" ca="1">OFFSET(X_Table_Feedlot_Intake_Method1, 2,1, 1,3)</f>
        <v>4.8</v>
      </c>
      <c r="E25" s="50">
        <f ca="1"/>
        <v>5</v>
      </c>
      <c r="F25" s="50">
        <f ca="1"/>
        <v>5.5</v>
      </c>
      <c r="G25" s="2" t="str">
        <f>$G$14</f>
        <v>per cent</v>
      </c>
      <c r="M25" s="50" cm="1">
        <f t="array" aca="1" ref="M25:O25" ca="1">OFFSET(X_Table_Feedlot_Intake_Method2, 2,1, 1,3)</f>
        <v>4.8</v>
      </c>
      <c r="N25" s="50">
        <f ca="1"/>
        <v>5</v>
      </c>
      <c r="O25" s="50">
        <f ca="1"/>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cm="1">
        <f t="array" aca="1" ref="D30:F30" ca="1">OFFSET(X_Table_Feedlot_Intake_Method1, 3,1, 1,3)</f>
        <v>22</v>
      </c>
      <c r="E30" s="50">
        <f ca="1"/>
        <v>22</v>
      </c>
      <c r="F30" s="50">
        <f ca="1"/>
        <v>24</v>
      </c>
      <c r="G30" s="2" t="str">
        <f>$G$15</f>
        <v>per cent</v>
      </c>
      <c r="M30" s="50" cm="1">
        <f t="array" aca="1" ref="M30:O30" ca="1">OFFSET(X_Table_Feedlot_Intake_Method2, 3,1, 1,3)</f>
        <v>22</v>
      </c>
      <c r="N30" s="50">
        <f ca="1"/>
        <v>22</v>
      </c>
      <c r="O30" s="50">
        <f ca="1"/>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aca="1" ref="D35" ca="1">EntericMethane_Feedlot_Equations.VEERG_3_1_1_1__2_DailyEntericMethaneProduction(D20,D25,D30)</f>
        <v>8.3664000000000002E-2</v>
      </c>
      <c r="E35" s="50" cm="1">
        <f t="array" aca="1" ref="E35" ca="1">EntericMethane_Feedlot_Equations.VEERG_3_1_1_1__2_DailyEntericMethaneProduction(E20,E25,E30)</f>
        <v>8.4908000000000011E-2</v>
      </c>
      <c r="F35" s="50" cm="1">
        <f t="array" aca="1" ref="F35" ca="1">EntericMethane_Feedlot_Equations.VEERG_3_1_1_1__2_DailyEntericMethaneProduction(F20,F25,F30)</f>
        <v>7.4142E-2</v>
      </c>
      <c r="G35" s="2" t="str">
        <f>$E$11</f>
        <v>kg CH4/head/day</v>
      </c>
      <c r="M35" s="50" cm="1">
        <f t="array" aca="1" ref="M35" ca="1">EntericMethane_Feedlot_Equations.VEERG_3_1_1_1__2_DailyEntericMethaneProduction(M20,M25,M30)</f>
        <v>8.3664000000000002E-2</v>
      </c>
      <c r="N35" s="50" cm="1">
        <f t="array" aca="1" ref="N35" ca="1">EntericMethane_Feedlot_Equations.VEERG_3_1_1_1__2_DailyEntericMethaneProduction(N20,N25,N30)</f>
        <v>8.4908000000000011E-2</v>
      </c>
      <c r="O35" s="50"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cm="1">
        <f t="array" aca="1" ref="D55:F55" ca="1">OFFSET(X_Table_Feedlot_HerdMovement, 2, 1, 1, 3)</f>
        <v>90</v>
      </c>
      <c r="E55" s="88">
        <f ca="1"/>
        <v>140</v>
      </c>
      <c r="F55" s="88">
        <f ca="1"/>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cm="1">
        <f t="array" aca="1" ref="D60:F60" ca="1">OFFSET(X_Table_Feedlot_HerdMovement, 1, 1, 1, 3)</f>
        <v>4300</v>
      </c>
      <c r="E60" s="88">
        <f ca="1"/>
        <v>100</v>
      </c>
      <c r="F60" s="88">
        <f ca="1"/>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aca="1" ref="D65" ca="1">EntericMethane_Feedlot_Equations.VEERG_3_1_1_1__1_TotalAnnualMethaneFromEntericFermentation(D55,D35,D60)</f>
        <v>32.377968000000003</v>
      </c>
      <c r="E65" s="50" cm="1">
        <f t="array" aca="1" ref="E65" ca="1">EntericMethane_Feedlot_Equations.VEERG_3_1_1_1__1_TotalAnnualMethaneFromEntericFermentation(E55,E35,E60)</f>
        <v>1.1887120000000002</v>
      </c>
      <c r="F65" s="50" cm="1">
        <f t="array" aca="1" ref="F65" ca="1">EntericMethane_Feedlot_Equations.VEERG_3_1_1_1__1_TotalAnnualMethaneFromEntericFermentation(F55,F35,F60)</f>
        <v>1.85355</v>
      </c>
      <c r="G65" s="2" t="str">
        <f>$E$46</f>
        <v>t CH4</v>
      </c>
      <c r="M65" s="50" cm="1">
        <f t="array" aca="1" ref="M65" ca="1">EntericMethane_Feedlot_Equations.VEERG_3_1_1_1__1_TotalAnnualMethaneFromEntericFermentation(D55,M35,D60)</f>
        <v>32.377968000000003</v>
      </c>
      <c r="N65" s="50" cm="1">
        <f t="array" aca="1" ref="N65" ca="1">EntericMethane_Feedlot_Equations.VEERG_3_1_1_1__1_TotalAnnualMethaneFromEntericFermentation(E55,N35,E60)</f>
        <v>1.1887120000000002</v>
      </c>
      <c r="O65" s="50"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 ca="1">SUM(D65:F65)</f>
        <v>35.420230000000004</v>
      </c>
      <c r="F67" s="91" t="str">
        <f>$E$46</f>
        <v>t CH4</v>
      </c>
      <c r="M67" s="89" t="s">
        <v>176</v>
      </c>
      <c r="N67" s="90">
        <f ca="1">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 ca="1">E67</f>
        <v>35.420230000000004</v>
      </c>
      <c r="H69" s="2" t="str">
        <f>$E$46</f>
        <v>t CH4</v>
      </c>
      <c r="M69" s="55" t="str" cm="1">
        <f t="array" ref="M69:N70">Common_Equations.Common_ConvertCH4ToCO2e_Arguments()</f>
        <v>ECH4</v>
      </c>
      <c r="N69" s="56" t="str">
        <v>Methane emissions (t CH4)</v>
      </c>
      <c r="O69" s="92"/>
      <c r="P69" s="50">
        <f ca="1">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aca="1" ref="E72" ca="1">Common_Equations.Common_ConvertCH4ToCO2e(G69,G70)</f>
        <v>991.7664400000001</v>
      </c>
      <c r="F72" s="93" t="str" cm="1">
        <f t="array" ref="F72">Common_Equations.Common_ConvertN2OToCO2e_Unit()</f>
        <v>t CO2e</v>
      </c>
      <c r="M72" s="45" t="s">
        <v>113</v>
      </c>
      <c r="N72" s="45" cm="1">
        <f t="array" aca="1" ref="N72" ca="1">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