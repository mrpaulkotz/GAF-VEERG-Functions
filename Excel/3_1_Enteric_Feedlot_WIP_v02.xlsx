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F93F494-EDC9-4F34-8573-B66B50A22583}" xr6:coauthVersionLast="47" xr6:coauthVersionMax="47" xr10:uidLastSave="{00000000-0000-0000-0000-000000000000}"/>
  <bookViews>
    <workbookView xWindow="1950" yWindow="1950" windowWidth="28800" windowHeight="15345" firstSheet="3"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5"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79" l="1"/>
  <c r="G28" i="79"/>
  <c r="P70" i="69"/>
  <c r="G70" i="69"/>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c r="D211" i="105" a="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c r="D161" i="105" a="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H53" i="105" s="1"/>
  <c r="E53" i="105" a="1"/>
  <c r="E53" i="105" s="1"/>
  <c r="D53" i="105" a="1"/>
  <c r="D53" i="105" s="1"/>
  <c r="G52" i="105" a="1"/>
  <c r="G52" i="105" s="1"/>
  <c r="F52" i="105" a="1"/>
  <c r="F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a="1"/>
  <c r="D18" i="105" s="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F7" i="105" a="1"/>
  <c r="F7" i="105" s="1"/>
  <c r="E7" i="105" a="1"/>
  <c r="E7" i="105" s="1"/>
  <c r="D7" i="105" a="1"/>
  <c r="D7" i="105" s="1"/>
  <c r="D5" i="105" a="1"/>
  <c r="D5" i="105" s="1"/>
  <c r="D60" i="69" a="1"/>
  <c r="D60" i="69" s="1"/>
  <c r="D55" i="69" a="1"/>
  <c r="D55" i="69" s="1"/>
  <c r="H52" i="105" l="1"/>
  <c r="H49" i="105"/>
  <c r="H54" i="105"/>
  <c r="H50" i="105"/>
  <c r="H51" i="105"/>
  <c r="H48" i="105"/>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7" i="69" a="1"/>
  <c r="E41" i="69" a="1"/>
  <c r="E41" i="69" l="1"/>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D30" i="69" s="1" a="1"/>
  <c r="D30" i="69"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M30" i="69" l="1"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D8" i="70"/>
  <c r="D9" i="70"/>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<sst xmlns="http://schemas.openxmlformats.org/spreadsheetml/2006/main" count="287" uniqueCount="188">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</sst>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C7651A5-F6B0-4F34-A64C-5B7CC32CB69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79ABF2F-5070-4E29-B12E-DBEEB22CC833}" name="State/Territory">
      <calculatedColumnFormula array="1">Common_InputFunctions.Utility_DisplayArrayInTable(Common_SourceData.Common_SourceData_AustralianStatesTerritories_Data(),Table_AustralianStates[[#Headers],[State/Territory]],0)</calculatedColumnFormula>
    </tableColumn>
    <tableColumn id="2" xr3:uid="{7D3E5A2F-DF26-4967-BD76-1D00EE885095}" name="Common Name">
      <calculatedColumnFormula array="1">Common_InputFunctions.Utility_DisplayArrayInTable(Common_SourceData.Common_SourceData_AustralianStatesTerritories_Data(),Table_AustralianStates[[#Headers],[State/Territory]],0)</calculatedColumnFormula>
    </tableColumn>
    <tableColumn id="3" xr3:uid="{0011B266-98F0-49F3-82F6-5283CED2BE6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5AF68A-2692-4F9B-B987-CE36D8FF8F37}" name="Table_WASA4Areas" displayName="Table_WASA4Areas" ref="D20:D30" totalsRowShown="0">
  <autoFilter ref="D20:D30" xr:uid="{5FA81339-C6C8-4D36-BEEA-6C4AEDD9E676}">
    <filterColumn colId="0" hiddenButton="1"/>
  </autoFilter>
  <tableColumns count="1">
    <tableColumn id="1" xr3:uid="{7BC255C8-3012-46F3-9E02-D1CC98D32A9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F1FFDE2-6A43-468A-8984-824672D8C6FC}" name="Table_GWPData" displayName="Table_GWPData" ref="D36:E43" totalsRowShown="0">
  <autoFilter ref="D36:E43" xr:uid="{B8E87A66-3E41-4AD3-925D-01EE21B43D7A}">
    <filterColumn colId="0" hiddenButton="1"/>
    <filterColumn colId="1" hiddenButton="1"/>
  </autoFilter>
  <tableColumns count="2">
    <tableColumn id="1" xr3:uid="{9D647EEE-0C89-4D79-9FF1-6E00C4ACE353}" name="Gas">
      <calculatedColumnFormula array="1">Common_InputFunctions.Utility_DisplayArrayInTable(Common_SourceData.Common_SourceData_GWP_Data(), Table_GWPData[[#Headers],[Gas]], 0)</calculatedColumnFormula>
    </tableColumn>
    <tableColumn id="2" xr3:uid="{CFB391B1-C7F5-41D3-B8EC-5F9C5FE87CE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A8CB11-7A75-4A6D-81B1-0EC9C786B7D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BA2F6B3-6FD3-494E-BC36-34DA1252B296}" name="Gas">
      <calculatedColumnFormula array="1">Common_InputFunctions.Utility_DisplayArrayInTable(Common_SourceData.Common_SourceData_ConvertGasElementalToMolecular_Data(),Table_GasToMolecularConversionFactor[[#Headers],[Gas]], 0)</calculatedColumnFormula>
    </tableColumn>
    <tableColumn id="5" xr3:uid="{943AD3DC-D1C5-47E1-A55F-D0C7FB77FDAC}" name="Conversion factor">
      <calculatedColumnFormula array="1">Common_InputFunctions.Utility_DisplayArrayInTable(Common_SourceData.Common_SourceData_ConvertGasElementalToMolecular_Data(),Table_GasToMolecularConversionFactor[[#Headers],[Gas]], 0)</calculatedColumnFormula>
    </tableColumn>
    <tableColumn id="2" xr3:uid="{C45D40F0-1614-4C6B-A237-4CA610AC1B4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FAC96A2-1824-4A95-9F7A-4FD7AAB53F7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A2863FA-3EC5-406F-8B03-7F4801F6504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CD7176D-D83F-4701-BEDD-2A315A4E859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4C08100-8DAE-48DC-9ABF-16386536040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6ECED9-38FD-4153-9A46-4D30A842D858}"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750BFF65-E0CF-46B0-B454-25EFCCBE856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4DF9761-4CC8-49EC-83FC-0C5FE62DADB8}"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23A50F4-D913-44E7-BCAB-8110A027AA7E}"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F0938DD1-70ED-4739-B046-09D38A048E46}"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CFBF605D-BB64-4B19-9E01-8A289AFC7FB4}"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36766BCE-AAB3-47BD-A0B8-83970C71D82D}"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557EA22-34B8-4F39-B532-A2DD26A8C43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C3E4A07E-5FEE-404B-8951-7F387DCF757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E551BE6-0D07-4D53-A910-DB76BA46135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8416FD3-D603-460C-B6FB-0BC0F164CB6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C68C8B1-F1CF-4CDF-80EF-BDB2A1D4C5D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A6716551-F829-4D78-B724-DEA324CD84CA}"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126C9152-77C0-4E10-A670-BD8A878F5038}"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F701A73B-01F4-403B-ABB6-A9ADD684F1E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FBEF94D-EB94-4731-9BA0-6799671ACFB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43F390C-A553-40B5-8392-FDB09F4052C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71DA590-B62D-44FE-B5E4-74ADEB22789D}"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AE495BF-25B0-4226-A179-35BC2BCC6B2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63FABC9-2018-4FA7-BF7A-776F5F8A1334}" name="Temperature Zone">
      <calculatedColumnFormula array="1">Common_InputFunctions.Utility_DisplayArrayInTable(Common_SourceData.Common_SourceData_TemperatureZones_Data(),Table_SourceData_TemperatureZones[[#Headers],[Temperature Zone]],0)</calculatedColumnFormula>
    </tableColumn>
    <tableColumn id="2" xr3:uid="{E9B7725F-7D79-441C-B7ED-68465F31BB06}" name="MAT">
      <calculatedColumnFormula array="1">Common_InputFunctions.Utility_DisplayArrayInTable(Common_SourceData.Common_SourceData_TemperatureZones_Data(),Table_SourceData_TemperatureZones[[#Headers],[Temperature Zone]],0)</calculatedColumnFormula>
    </tableColumn>
    <tableColumn id="3" xr3:uid="{59938A2A-E5A0-4320-BA8D-AC0E87E6540A}" name="Min MAT">
      <calculatedColumnFormula array="1">Common_InputFunctions.Utility_DisplayArrayInTable(Common_SourceData.Common_SourceData_TemperatureZones_Data(),Table_SourceData_TemperatureZones[[#Headers],[Temperature Zone]],0)</calculatedColumnFormula>
    </tableColumn>
    <tableColumn id="4" xr3:uid="{23D49C41-8ED9-4323-AB33-C1A1A153A7B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2C44B99-4279-4BD5-AF05-E6869E3A9C4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0F42AE0-E2D9-4FE1-9BD5-44DBB181D811}" name="Rainfall Zone">
      <calculatedColumnFormula array="1">Common_InputFunctions.Utility_DisplayArrayInTable(Common_SourceData.Common_SourceData_RainfallZones_Data(),Table_SourceData_RainfallZones[[#Headers],[Rainfall Zone]],0)</calculatedColumnFormula>
    </tableColumn>
    <tableColumn id="2" xr3:uid="{CA9FBD75-678B-4DFD-9E4D-79F12CC4DDED}" name="Annual rainfall">
      <calculatedColumnFormula array="1">Common_InputFunctions.Utility_DisplayArrayInTable(Common_SourceData.Common_SourceData_RainfallZones_Data(),Table_SourceData_RainfallZones[[#Headers],[Rainfall Zone]],0)</calculatedColumnFormula>
    </tableColumn>
    <tableColumn id="3" xr3:uid="{E8C53D7C-992D-408A-A48A-A8D15B23C6D1}" name="Min rainfall">
      <calculatedColumnFormula array="1">Common_InputFunctions.Utility_DisplayArrayInTable(Common_SourceData.Common_SourceData_RainfallZones_Data(),Table_SourceData_RainfallZones[[#Headers],[Rainfall Zone]],0)</calculatedColumnFormula>
    </tableColumn>
    <tableColumn id="4" xr3:uid="{9D7CC934-0803-4A7F-9B51-0542D426133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259CBD2-D0C7-45EA-8C6C-E7CBBE2DF74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3CDF56D-9D0E-4E6B-8BD5-180B433DE01F}" name="Leaching Zone">
      <calculatedColumnFormula array="1">Common_InputFunctions.Utility_DisplayArrayInTable(Common_SourceData.Common_SourceData_LeachingZones_Data(), Table_SourceData_LeachingZones[[#Headers],[Leaching Zone]], 0)</calculatedColumnFormula>
    </tableColumn>
    <tableColumn id="2" xr3:uid="{A8993C70-A26A-4994-9FCB-E50C66C768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2F2BE45-7566-4F3A-A525-8B60F6782B2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CB1C64F-6DF0-413E-AAB9-FB1D2A567C38}" name="Data source">
      <calculatedColumnFormula array="1">Common_InputFunctions.Utility_DisplayArrayInTable(Common_SourceData.Common_SourceData_DataScores_Scope3_Data(), Table_SourceData_DataScores_Scope3[[#Headers],[Data source]], 0)</calculatedColumnFormula>
    </tableColumn>
    <tableColumn id="2" xr3:uid="{77E70CAE-FE9B-47CA-B463-A98044F0370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5029A9D-7315-418C-AB65-97A83311DD4B}" name="Table_SourceData_FracWET" displayName="Table_SourceData_FracWET" ref="D134:E136" totalsRowShown="0">
  <autoFilter ref="D134:E136" xr:uid="{308E99BE-FE1F-47A4-B2CA-97217277C4E9}">
    <filterColumn colId="0" hiddenButton="1"/>
    <filterColumn colId="1" hiddenButton="1"/>
  </autoFilter>
  <tableColumns count="2">
    <tableColumn id="1" xr3:uid="{90F713EE-8155-4F39-ABE1-DCA08426AC2F}" name="Is in leaching zone">
      <calculatedColumnFormula array="1">Common_InputFunctions.Utility_DisplayArrayInTable(Common_SourceData.Common_SourceData_FracWET_Data(),Table_SourceData_FracWET[[#Headers],[Is in leaching zone]],0)</calculatedColumnFormula>
    </tableColumn>
    <tableColumn id="2" xr3:uid="{237FA4E4-D4C5-4827-85B9-A4D5164F3188}"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AC4EA2B-8969-43E8-A490-4FEF35741BB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432502-ADBB-4E68-AFAF-089795A938F7}" name="Production system j">
      <calculatedColumnFormula array="1">Common_InputFunctions.Utility_DisplayArrayInTable(Common_SourceData.Common_SourceData_EFN2O_Data(), Table_SourceData_Common_EFN2O[[#Headers],[Production system j]], 0)</calculatedColumnFormula>
    </tableColumn>
    <tableColumn id="2" xr3:uid="{140BB22F-B2FD-41AC-8B72-7AEE4D5A167B}" name="EFN2O">
      <calculatedColumnFormula array="1">Common_InputFunctions.Utility_DisplayArrayInTable(Common_SourceData.Common_SourceData_EFN2O_Data(), Table_SourceData_Common_EFN2O[[#Headers],[Production system j]], 0)</calculatedColumnFormula>
    </tableColumn>
    <tableColumn id="3" xr3:uid="{AAC0F7FB-9556-41E5-AE84-F8F0CCC0161C}" name="Production system only">
      <calculatedColumnFormula array="1">Common_InputFunctions.Utility_DisplayArrayInTable(Common_SourceData.Common_SourceData_EFN2O_Data(), Table_SourceData_Common_EFN2O[[#Headers],[Production system j]], 0)</calculatedColumnFormula>
    </tableColumn>
    <tableColumn id="4" xr3:uid="{63EF0E86-E1A9-4AC0-A51D-8697C50D5DF6}" name="Irrigation method">
      <calculatedColumnFormula array="1">Common_InputFunctions.Utility_DisplayArrayInTable(Common_SourceData.Common_SourceData_EFN2O_Data(), Table_SourceData_Common_EFN2O[[#Headers],[Production system j]], 0)</calculatedColumnFormula>
    </tableColumn>
    <tableColumn id="5" xr3:uid="{93F16A76-C03F-4362-9407-16ABC31DEDE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B8EEBD2-A203-4FB5-9DA5-64FC3B33B96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581C680-003A-471B-90FB-D5E4F04B8405}" name="Irrigation type i">
      <calculatedColumnFormula array="1">Common_InputFunctions.Utility_DisplayArrayInTable(Common_SourceData.Common_SourceData_FracWETIrrigation_Data(), Table_SourceData_FracWETIrrigation[[#Headers],[Irrigation type i]], 0)</calculatedColumnFormula>
    </tableColumn>
    <tableColumn id="2" xr3:uid="{BB67E7F7-253D-47D1-AB68-D998DCD1E2C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350FCEC-D4F9-4874-9CDF-ED43EB648A0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F50BA18-CAC9-407D-91FC-4B735E67DE7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5D4257A-4549-4820-B77A-10A415B983C2}"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7D0B0B5-8679-4061-9003-382D84ED557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E7C6DDA-CB7F-4DF4-A856-21C29F8C7AD1}" name="Month">
      <calculatedColumnFormula array="1">Common_InputFunctions.Utility_DisplayArrayInTable(Common_SourceData.Common_SourceData_MonthsToSeasons_Data(), Table_SourceData_Common_MonthToSeason[[#Headers],[Month]], 0)</calculatedColumnFormula>
    </tableColumn>
    <tableColumn id="2" xr3:uid="{7A54F1CB-ED33-4B95-8B1C-F39D7ECAFD2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CE854A7-3050-410A-838D-D78DEBFCE52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1FA96B1-58B5-4400-84F9-140465D005D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31FDF0F-ACAF-4CE2-B928-4519E0C0A2D1}"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48C720F-9071-4054-A683-29B413DA0B83}"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E55D8B6-882D-4487-A6E7-92A82A95C1E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180A1A7-DEC3-4EF0-96B2-27FA4D8DFD20}"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9E90021-DC1B-48F5-82EB-DF7805D80638}"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B0C1298-ACD0-4199-87AB-C18E5D627CD3}"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B54623C-CBC4-42BB-8442-37EDE8DA053A}"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872031B-7C44-4BCE-B9A3-6E4A4CEEB3B5}"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F9BA378-B436-47E0-8682-00A6120D20F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70F9E81-75A3-4D10-BD4E-B18FAE1E03E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DA9FC38-5270-4C7B-8270-32CF9A908511}"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D0D5E4C-F4CA-488D-B200-DCA57AC0E8B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04AAD5F-638D-46A8-A7DE-DC2112A1D0A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15BF8C0-60C7-4077-8F84-FE7A5FCA71D8}"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2405948-E39D-4344-A939-98AF0F5F2F4F}"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6EE8B7-3C88-42F3-993C-726F13B4257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AD16006-20F9-4B72-922B-A7D3804457A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A084B1-F65B-461A-9289-BB5CCC5C81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 ca="1">VEERG_3_1_1_1__1_TotalAnnualMethaneFromEntericFermentation_Result</f>
        <v>35.420230000000004</v>
      </c>
      <c r="F7" s="98">
        <f ca="1">'3.1.1.1-2 Enteric Methane'!N67</f>
        <v>35.420230000000004</v>
      </c>
      <c r="G7" s="52" t="str">
        <f>'3.1.1.1-2 Enteric Methane'!F67</f>
        <v>t CH4</v>
      </c>
      <c r="H7" s="98">
        <f ca="1">'3.1.1.1-2 Enteric Methane'!E72</f>
        <v>991.7664400000001</v>
      </c>
      <c r="I7" s="98">
        <f ca="1">'3.1.1.1-2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 ca="1">SUM(H7:H7)</f>
        <v>991.7664400000001</v>
      </c>
      <c r="I8" s="99">
        <f ca="1">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9" sqref="E9"/>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D60" sqref="D6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cm="1">
        <f t="array" aca="1" ref="D20:F20" ca="1">OFFSET(X_Table_Feedlot_Intake_Method1, 1,1, 1,3)</f>
        <v>10.4</v>
      </c>
      <c r="E20" s="50">
        <f ca="1"/>
        <v>10.8</v>
      </c>
      <c r="F20" s="50">
        <f ca="1"/>
        <v>8.1999999999999993</v>
      </c>
      <c r="G20" s="2" t="str">
        <f>$G$13</f>
        <v>kg DM/head/day</v>
      </c>
      <c r="M20" s="50" cm="1">
        <f t="array" aca="1" ref="M20:O20" ca="1">OFFSET(X_Table_Feedlot_Intake_Method2, 1,1, 1,3)</f>
        <v>10.4</v>
      </c>
      <c r="N20" s="50">
        <f ca="1"/>
        <v>10.8</v>
      </c>
      <c r="O20" s="50">
        <f ca="1"/>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cm="1">
        <f t="array" aca="1" ref="D25:F25" ca="1">OFFSET(X_Table_Feedlot_Intake_Method1, 2,1, 1,3)</f>
        <v>4.8</v>
      </c>
      <c r="E25" s="50">
        <f ca="1"/>
        <v>5</v>
      </c>
      <c r="F25" s="50">
        <f ca="1"/>
        <v>5.5</v>
      </c>
      <c r="G25" s="2" t="str">
        <f>$G$14</f>
        <v>per cent</v>
      </c>
      <c r="M25" s="50" cm="1">
        <f t="array" aca="1" ref="M25:O25" ca="1">OFFSET(X_Table_Feedlot_Intake_Method2, 2,1, 1,3)</f>
        <v>4.8</v>
      </c>
      <c r="N25" s="50">
        <f ca="1"/>
        <v>5</v>
      </c>
      <c r="O25" s="50">
        <f ca="1"/>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cm="1">
        <f t="array" aca="1" ref="D30:F30" ca="1">OFFSET(X_Table_Feedlot_Intake_Method1, 3,1, 1,3)</f>
        <v>22</v>
      </c>
      <c r="E30" s="50">
        <f ca="1"/>
        <v>22</v>
      </c>
      <c r="F30" s="50">
        <f ca="1"/>
        <v>24</v>
      </c>
      <c r="G30" s="2" t="str">
        <f>$G$15</f>
        <v>per cent</v>
      </c>
      <c r="M30" s="50" cm="1">
        <f t="array" aca="1" ref="M30:O30" ca="1">OFFSET(X_Table_Feedlot_Intake_Method2, 3,1, 1,3)</f>
        <v>22</v>
      </c>
      <c r="N30" s="50">
        <f ca="1"/>
        <v>22</v>
      </c>
      <c r="O30" s="50">
        <f ca="1"/>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aca="1" ref="D35" ca="1">EntericMethane_Feedlot_Equations.VEERG_3_1_1_1__2_DailyEntericMethaneProduction(D20,D25,D30)</f>
        <v>8.3664000000000002E-2</v>
      </c>
      <c r="E35" s="50" cm="1">
        <f t="array" aca="1" ref="E35" ca="1">EntericMethane_Feedlot_Equations.VEERG_3_1_1_1__2_DailyEntericMethaneProduction(E20,E25,E30)</f>
        <v>8.4908000000000011E-2</v>
      </c>
      <c r="F35" s="50" cm="1">
        <f t="array" aca="1" ref="F35" ca="1">EntericMethane_Feedlot_Equations.VEERG_3_1_1_1__2_DailyEntericMethaneProduction(F20,F25,F30)</f>
        <v>7.4142E-2</v>
      </c>
      <c r="G35" s="2" t="str">
        <f>$E$11</f>
        <v>kg CH4/head/day</v>
      </c>
      <c r="M35" s="50" cm="1">
        <f t="array" aca="1" ref="M35" ca="1">EntericMethane_Feedlot_Equations.VEERG_3_1_1_1__2_DailyEntericMethaneProduction(M20,M25,M30)</f>
        <v>8.3664000000000002E-2</v>
      </c>
      <c r="N35" s="50" cm="1">
        <f t="array" aca="1" ref="N35" ca="1">EntericMethane_Feedlot_Equations.VEERG_3_1_1_1__2_DailyEntericMethaneProduction(N20,N25,N30)</f>
        <v>8.4908000000000011E-2</v>
      </c>
      <c r="O35" s="50"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cm="1">
        <f t="array" aca="1" ref="D55:F55" ca="1">OFFSET(X_Table_Feedlot_HerdMovement, 2, 1, 1, 3)</f>
        <v>90</v>
      </c>
      <c r="E55" s="88">
        <f ca="1"/>
        <v>140</v>
      </c>
      <c r="F55" s="88">
        <f ca="1"/>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cm="1">
        <f t="array" aca="1" ref="D60:F60" ca="1">OFFSET(X_Table_Feedlot_HerdMovement, 1, 1, 1, 3)</f>
        <v>4300</v>
      </c>
      <c r="E60" s="88">
        <f ca="1"/>
        <v>100</v>
      </c>
      <c r="F60" s="88">
        <f ca="1"/>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aca="1" ref="D65" ca="1">EntericMethane_Feedlot_Equations.VEERG_3_1_1_1__1_TotalAnnualMethaneFromEntericFermentation(D55,D35,D60)</f>
        <v>32.377968000000003</v>
      </c>
      <c r="E65" s="50" cm="1">
        <f t="array" aca="1" ref="E65" ca="1">EntericMethane_Feedlot_Equations.VEERG_3_1_1_1__1_TotalAnnualMethaneFromEntericFermentation(E55,E35,E60)</f>
        <v>1.1887120000000002</v>
      </c>
      <c r="F65" s="50" cm="1">
        <f t="array" aca="1" ref="F65" ca="1">EntericMethane_Feedlot_Equations.VEERG_3_1_1_1__1_TotalAnnualMethaneFromEntericFermentation(F55,F35,F60)</f>
        <v>1.85355</v>
      </c>
      <c r="G65" s="2" t="str">
        <f>$E$46</f>
        <v>t CH4</v>
      </c>
      <c r="M65" s="50" cm="1">
        <f t="array" aca="1" ref="M65" ca="1">EntericMethane_Feedlot_Equations.VEERG_3_1_1_1__1_TotalAnnualMethaneFromEntericFermentation(D55,M35,D60)</f>
        <v>32.377968000000003</v>
      </c>
      <c r="N65" s="50" cm="1">
        <f t="array" aca="1" ref="N65" ca="1">EntericMethane_Feedlot_Equations.VEERG_3_1_1_1__1_TotalAnnualMethaneFromEntericFermentation(E55,N35,E60)</f>
        <v>1.1887120000000002</v>
      </c>
      <c r="O65" s="50"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 ca="1">SUM(D65:F65)</f>
        <v>35.420230000000004</v>
      </c>
      <c r="F67" s="91" t="str">
        <f>$E$46</f>
        <v>t CH4</v>
      </c>
      <c r="M67" s="89" t="s">
        <v>176</v>
      </c>
      <c r="N67" s="90">
        <f ca="1">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 ca="1">E67</f>
        <v>35.420230000000004</v>
      </c>
      <c r="H69" s="2" t="str">
        <f>$E$46</f>
        <v>t CH4</v>
      </c>
      <c r="M69" s="55" t="str" cm="1">
        <f t="array" ref="M69:N70">Common_Equations.Common_ConvertCH4ToCO2e_Arguments()</f>
        <v>ECH4</v>
      </c>
      <c r="N69" s="56" t="str">
        <v>Methane emissions (t CH4)</v>
      </c>
      <c r="O69" s="92"/>
      <c r="P69" s="50">
        <f ca="1">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aca="1" ref="E72" ca="1">Common_Equations.Common_ConvertCH4ToCO2e(G69,G70)</f>
        <v>991.7664400000001</v>
      </c>
      <c r="F72" s="93" t="str" cm="1">
        <f t="array" ref="F72">Common_Equations.Common_ConvertN2OToCO2e_Unit()</f>
        <v>t CO2e</v>
      </c>
      <c r="M72" s="45" t="s">
        <v>113</v>
      </c>
      <c r="N72" s="45" cm="1">
        <f t="array" aca="1" ref="N72" ca="1">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9BE69-1799-4F9A-B5A7-EC54AE987FCA}">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