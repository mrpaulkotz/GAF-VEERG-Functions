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16CF03A-1C61-46CE-AEE8-D9AD3FD4D964}" xr6:coauthVersionLast="47" xr6:coauthVersionMax="47" xr10:uidLastSave="{00000000-0000-0000-0000-000000000000}"/>
  <bookViews>
    <workbookView xWindow="660" yWindow="810" windowWidth="36255" windowHeight="19140"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7"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0" l="1"/>
  <c r="D8" i="70"/>
  <c r="E13" i="15"/>
  <c r="A22" i="74"/>
  <c r="A21" i="74"/>
  <c r="A20" i="74"/>
  <c r="A19" i="74"/>
  <c r="A18" i="74"/>
  <c r="A14" i="74"/>
  <c r="A10" i="74"/>
  <c r="A9" i="74"/>
  <c r="A5" i="74"/>
  <c r="A4" i="74"/>
  <c r="A3" i="74"/>
  <c r="A22" i="72"/>
  <c r="A21" i="72"/>
  <c r="A20" i="72"/>
  <c r="A19" i="72"/>
  <c r="A18" i="72"/>
  <c r="A14" i="72"/>
  <c r="A10" i="72"/>
  <c r="A9" i="72"/>
  <c r="A5" i="72"/>
  <c r="A4" i="72"/>
  <c r="A3" i="72"/>
  <c r="A22" i="43"/>
  <c r="A21" i="43"/>
  <c r="A20" i="43"/>
  <c r="A19" i="43"/>
  <c r="A18" i="43"/>
  <c r="A14" i="43"/>
  <c r="A10" i="43"/>
  <c r="A9" i="43"/>
  <c r="A5" i="43"/>
  <c r="A4" i="43"/>
  <c r="A3" i="43"/>
  <c r="A22" i="107"/>
  <c r="A21" i="107"/>
  <c r="A20" i="107"/>
  <c r="A19" i="107"/>
  <c r="A18" i="107"/>
  <c r="A14" i="107"/>
  <c r="A10" i="107"/>
  <c r="A9" i="107"/>
  <c r="A5" i="107"/>
  <c r="A4" i="107"/>
  <c r="A3" i="107"/>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A22" i="71"/>
  <c r="A21" i="71"/>
  <c r="A20" i="71"/>
  <c r="A19" i="71"/>
  <c r="A18" i="71"/>
  <c r="A14" i="71"/>
  <c r="A10" i="71"/>
  <c r="A9" i="71"/>
  <c r="A5" i="71"/>
  <c r="A4" i="71"/>
  <c r="A3" i="71"/>
  <c r="G29" i="79"/>
  <c r="G28" i="79"/>
  <c r="P70" i="69"/>
  <c r="G70"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c r="D227" i="107" a="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c r="D175" i="107" a="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c r="D140" i="107" a="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c r="D105" i="107" a="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c r="D59" i="107" a="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D60" i="69" a="1"/>
  <c r="D60" i="69" s="1"/>
  <c r="D55" i="69" a="1"/>
  <c r="D55" i="69" s="1"/>
  <c r="H50" i="107" l="1"/>
  <c r="H54" i="107"/>
  <c r="H49" i="107"/>
  <c r="H51" i="107"/>
  <c r="H52" i="107"/>
  <c r="H53" i="107"/>
  <c r="H48" i="107"/>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E41" i="69" l="1"/>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F21" i="70" a="1"/>
  <c r="F21" i="70" s="1"/>
  <c r="F15" i="70" a="1"/>
  <c r="F15" i="70" s="1"/>
  <c r="F20" i="70" a="1"/>
  <c r="F20" i="70" s="1"/>
  <c r="G20" i="70" a="1"/>
  <c r="G20" i="70" s="1"/>
  <c r="D69" i="69" a="1"/>
  <c r="D69" i="69" s="1"/>
  <c r="F72" i="69" a="1"/>
  <c r="F72" i="69" s="1"/>
  <c r="D30" i="69" l="1" a="1"/>
  <c r="D30" i="69" s="1"/>
  <c r="M30" i="69" a="1"/>
  <c r="M30" i="69" s="1"/>
  <c r="M25" i="69" a="1"/>
  <c r="M25" i="69" s="1"/>
  <c r="D20" i="69" a="1"/>
  <c r="D20" i="69" s="1"/>
  <c r="D25" i="69" a="1"/>
  <c r="D25" i="69" s="1"/>
  <c r="M20" i="69" a="1"/>
  <c r="M20" i="69" s="1"/>
  <c r="M35" i="69" l="1" a="1"/>
  <c r="M35" i="69" s="1"/>
  <c r="M65" i="69" s="1" a="1"/>
  <c r="M65" i="69" s="1"/>
  <c r="O35" i="69" a="1"/>
  <c r="O35" i="69" s="1"/>
  <c r="O65" i="69" s="1" a="1"/>
  <c r="O65" i="69" s="1"/>
  <c r="N35" i="69" a="1"/>
  <c r="N35" i="69" s="1"/>
  <c r="N65" i="69" s="1" a="1"/>
  <c r="N65" i="69" s="1"/>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N67" i="69"/>
  <c r="P69" i="69" s="1"/>
  <c r="N72" i="69" s="1" a="1"/>
  <c r="N72" i="69" s="1"/>
  <c r="I7" i="13" s="1"/>
  <c r="I8" i="13" s="1"/>
  <c r="E72" i="69" l="1" a="1"/>
  <c r="E72" i="69" s="1"/>
  <c r="H7" i="13" s="1"/>
  <c r="H8" i="13" s="1"/>
  <c r="E7" i="13"/>
  <c r="F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<sst xmlns="http://schemas.openxmlformats.org/spreadsheetml/2006/main" count="286" uniqueCount="181">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</sst>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2">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0DF746-1091-4B49-8367-0E131494536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0A422C8-5A53-41C0-9E90-814DD95CDF96}" name="State/Territory">
      <calculatedColumnFormula array="1">Common_InputFunctions.Utility_DisplayArrayInTable(Common_SourceData.Common_SourceData_AustralianStatesTerritories_Data(),Table_AustralianStates[[#Headers],[State/Territory]],0)</calculatedColumnFormula>
    </tableColumn>
    <tableColumn id="2" xr3:uid="{01C18A80-F5AF-4E30-97E5-8C731BC8B1DB}" name="Common Name">
      <calculatedColumnFormula array="1">Common_InputFunctions.Utility_DisplayArrayInTable(Common_SourceData.Common_SourceData_AustralianStatesTerritories_Data(),Table_AustralianStates[[#Headers],[State/Territory]],0)</calculatedColumnFormula>
    </tableColumn>
    <tableColumn id="3" xr3:uid="{9824EB3C-3059-4024-A6A6-F31515C4CC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A7632E-7B49-4CE4-8083-41C4298423F1}" name="Table_WASA4Areas" displayName="Table_WASA4Areas" ref="D20:D30" totalsRowShown="0">
  <autoFilter ref="D20:D30" xr:uid="{5FA81339-C6C8-4D36-BEEA-6C4AEDD9E676}">
    <filterColumn colId="0" hiddenButton="1"/>
  </autoFilter>
  <tableColumns count="1">
    <tableColumn id="1" xr3:uid="{035D2322-17F8-4DEB-903A-B31A1A884C9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BB9B5A-5C50-4503-A178-5D2FB02C585A}" name="Table_GWPData" displayName="Table_GWPData" ref="D36:E43" totalsRowShown="0">
  <autoFilter ref="D36:E43" xr:uid="{B8E87A66-3E41-4AD3-925D-01EE21B43D7A}">
    <filterColumn colId="0" hiddenButton="1"/>
    <filterColumn colId="1" hiddenButton="1"/>
  </autoFilter>
  <tableColumns count="2">
    <tableColumn id="1" xr3:uid="{674C93DA-C543-4013-8933-BF2533EC31D5}" name="Gas">
      <calculatedColumnFormula array="1">Common_InputFunctions.Utility_DisplayArrayInTable(Common_SourceData.Common_SourceData_GWP_Data(), Table_GWPData[[#Headers],[Gas]], 0)</calculatedColumnFormula>
    </tableColumn>
    <tableColumn id="2" xr3:uid="{63884D34-C41A-41E3-8958-D679063A2B7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BF2C0-8818-493B-A6E9-19ED9DEAC03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87F341-B413-4C34-B907-481E311E9542}" name="Gas">
      <calculatedColumnFormula array="1">Common_InputFunctions.Utility_DisplayArrayInTable(Common_SourceData.Common_SourceData_ConvertGasElementalToMolecular_Data(),Table_GasToMolecularConversionFactor[[#Headers],[Gas]], 0)</calculatedColumnFormula>
    </tableColumn>
    <tableColumn id="5" xr3:uid="{026728A7-43FD-423D-99FE-E0378BAAB74C}" name="Conversion factor">
      <calculatedColumnFormula array="1">Common_InputFunctions.Utility_DisplayArrayInTable(Common_SourceData.Common_SourceData_ConvertGasElementalToMolecular_Data(),Table_GasToMolecularConversionFactor[[#Headers],[Gas]], 0)</calculatedColumnFormula>
    </tableColumn>
    <tableColumn id="2" xr3:uid="{98872CE2-81D2-44A2-9E19-D072C2BBC87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FF3C4F-98BC-4655-96C8-739FE21B7F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4A6EF34-0103-4906-A028-3987DBD89C4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0F170A-A51C-442F-BA7D-3823102A202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839A1EF-4B15-4234-B343-1A1F493979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D0DF90-744F-40F3-8580-9EA58BA68AA6}"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51762F92-021A-47FE-9970-49A6EAE787E0}"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BB4F3789-5D46-456C-A52B-220A3B381575}"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91E49774-65D5-4958-BDCA-2B8FC9019534}"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241FA067-2AA3-4A5A-B367-097B727E4485}"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881A68ED-CEDC-49BD-94A6-596099115680}"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70A7B61F-EAED-44DF-BFA2-D774B5F3305C}"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C0653685-C35A-456E-B9D8-598BE728FF4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2C889719-50FA-4A39-9AEF-C11A12F6DF60}"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915D114-A168-40F6-822B-AFF782FBADF6}"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2764924-DF23-42A6-A4B5-8055A4D84219}"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F7926A3B-850E-4EE9-A5CD-E2ED42C12773}"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D6ECA7E-360E-4402-85AB-8A72354B2A0E}"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8D74C06B-B882-45C8-99DD-B7A2A2488C02}"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FB03C88B-3B9E-45C3-A0D2-CE021FE5F063}"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2CAB8B5-86F8-4ACE-A4EB-B856DAEFA83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D1A967-5587-4E04-8CD4-0CFD5458CD8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288AF53-4B13-4FE4-AE46-2A46570F98DB}"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BB5C444-CB6F-46ED-A105-044C2CEB241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F097C5B-3F34-4356-A14B-D6D17A22D7D6}" name="Temperature Zone">
      <calculatedColumnFormula array="1">Common_InputFunctions.Utility_DisplayArrayInTable(Common_SourceData.Common_SourceData_TemperatureZones_Data(),Table_SourceData_TemperatureZones[[#Headers],[Temperature Zone]],0)</calculatedColumnFormula>
    </tableColumn>
    <tableColumn id="2" xr3:uid="{1E4A5E8F-7A5E-486D-955B-07CAC097BDB2}" name="MAT">
      <calculatedColumnFormula array="1">Common_InputFunctions.Utility_DisplayArrayInTable(Common_SourceData.Common_SourceData_TemperatureZones_Data(),Table_SourceData_TemperatureZones[[#Headers],[Temperature Zone]],0)</calculatedColumnFormula>
    </tableColumn>
    <tableColumn id="3" xr3:uid="{1DBFEF9C-EE42-45D2-BF57-B808DFAD8544}" name="Min MAT">
      <calculatedColumnFormula array="1">Common_InputFunctions.Utility_DisplayArrayInTable(Common_SourceData.Common_SourceData_TemperatureZones_Data(),Table_SourceData_TemperatureZones[[#Headers],[Temperature Zone]],0)</calculatedColumnFormula>
    </tableColumn>
    <tableColumn id="4" xr3:uid="{65E56E11-843D-41B9-A470-35B73CBC1BA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316562-19BE-4E33-A414-5C86DE06DF1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5BB9981-F52F-4668-A357-9A2F801F1BAA}" name="Rainfall Zone">
      <calculatedColumnFormula array="1">Common_InputFunctions.Utility_DisplayArrayInTable(Common_SourceData.Common_SourceData_RainfallZones_Data(),Table_SourceData_RainfallZones[[#Headers],[Rainfall Zone]],0)</calculatedColumnFormula>
    </tableColumn>
    <tableColumn id="2" xr3:uid="{0877EA21-2B68-4ACC-818A-A112B8BB5DF4}" name="Annual rainfall">
      <calculatedColumnFormula array="1">Common_InputFunctions.Utility_DisplayArrayInTable(Common_SourceData.Common_SourceData_RainfallZones_Data(),Table_SourceData_RainfallZones[[#Headers],[Rainfall Zone]],0)</calculatedColumnFormula>
    </tableColumn>
    <tableColumn id="3" xr3:uid="{08CC5C20-1D45-48CC-9EB2-55EAD86FBE6C}" name="Min rainfall">
      <calculatedColumnFormula array="1">Common_InputFunctions.Utility_DisplayArrayInTable(Common_SourceData.Common_SourceData_RainfallZones_Data(),Table_SourceData_RainfallZones[[#Headers],[Rainfall Zone]],0)</calculatedColumnFormula>
    </tableColumn>
    <tableColumn id="4" xr3:uid="{69074396-694A-4E33-8A51-3653286D527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1C38F06-8644-4A46-B4A3-A0B52CABEFE2}"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6F536A-FCA1-4B44-9EA9-7294FA4DCC20}" name="Leaching Zone">
      <calculatedColumnFormula array="1">Common_InputFunctions.Utility_DisplayArrayInTable(Common_SourceData.Common_SourceData_LeachingZones_Data(), Table_SourceData_LeachingZones[[#Headers],[Leaching Zone]], 0)</calculatedColumnFormula>
    </tableColumn>
    <tableColumn id="2" xr3:uid="{7BCD05AE-D51D-40D1-9E49-81220DB15BB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3381EA1-5E35-4163-9634-9CF88F95A95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DE80CB5-5EC6-4557-8353-5CF6F8B382E7}" name="Data source">
      <calculatedColumnFormula array="1">Common_InputFunctions.Utility_DisplayArrayInTable(Common_SourceData.Common_SourceData_DataScores_Scope3_Data(), Table_SourceData_DataScores_Scope3[[#Headers],[Data source]], 0)</calculatedColumnFormula>
    </tableColumn>
    <tableColumn id="2" xr3:uid="{2F946DA3-9F28-4898-B9B2-BA5484A5C95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CDAC0A4-1A64-445C-9176-901E9DDE53A5}" name="Table_SourceData_FracWET" displayName="Table_SourceData_FracWET" ref="D134:E136" totalsRowShown="0">
  <autoFilter ref="D134:E136" xr:uid="{308E99BE-FE1F-47A4-B2CA-97217277C4E9}">
    <filterColumn colId="0" hiddenButton="1"/>
    <filterColumn colId="1" hiddenButton="1"/>
  </autoFilter>
  <tableColumns count="2">
    <tableColumn id="1" xr3:uid="{9CF66B83-D2FA-49C4-9E4B-54C843C834EE}" name="Is in leaching zone">
      <calculatedColumnFormula array="1">Common_InputFunctions.Utility_DisplayArrayInTable(Common_SourceData.Common_SourceData_FracWET_Data(),Table_SourceData_FracWET[[#Headers],[Is in leaching zone]],0)</calculatedColumnFormula>
    </tableColumn>
    <tableColumn id="2" xr3:uid="{8A20141D-2DA9-4678-A6AC-EDB1BB6508E4}"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0EE179C-2F94-41D2-9BC4-63683000E5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CAB5FBE-F9CD-416D-9A3D-46997F389769}" name="Production system j">
      <calculatedColumnFormula array="1">Common_InputFunctions.Utility_DisplayArrayInTable(Common_SourceData.Common_SourceData_EFN2O_Data(), Table_SourceData_Common_EFN2O[[#Headers],[Production system j]], 0)</calculatedColumnFormula>
    </tableColumn>
    <tableColumn id="2" xr3:uid="{086C94B8-7E74-491B-90E9-8D27493A087A}" name="EFN2O">
      <calculatedColumnFormula array="1">Common_InputFunctions.Utility_DisplayArrayInTable(Common_SourceData.Common_SourceData_EFN2O_Data(), Table_SourceData_Common_EFN2O[[#Headers],[Production system j]], 0)</calculatedColumnFormula>
    </tableColumn>
    <tableColumn id="3" xr3:uid="{C320C41B-0F1B-475C-B148-8CBCF9ED3ADB}" name="Production system only">
      <calculatedColumnFormula array="1">Common_InputFunctions.Utility_DisplayArrayInTable(Common_SourceData.Common_SourceData_EFN2O_Data(), Table_SourceData_Common_EFN2O[[#Headers],[Production system j]], 0)</calculatedColumnFormula>
    </tableColumn>
    <tableColumn id="4" xr3:uid="{71E3ABDC-C06B-40B7-858E-69D77D0A784E}" name="Irrigation method">
      <calculatedColumnFormula array="1">Common_InputFunctions.Utility_DisplayArrayInTable(Common_SourceData.Common_SourceData_EFN2O_Data(), Table_SourceData_Common_EFN2O[[#Headers],[Production system j]], 0)</calculatedColumnFormula>
    </tableColumn>
    <tableColumn id="5" xr3:uid="{844E9173-FBA9-464D-8646-260EDAC237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5520D2E-0A9C-4EA1-B7AE-36FEC993248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BE0C98E-72D7-4DB6-817E-6D48E4ECEE67}" name="Irrigation type i">
      <calculatedColumnFormula array="1">Common_InputFunctions.Utility_DisplayArrayInTable(Common_SourceData.Common_SourceData_FracWETIrrigation_Data(), Table_SourceData_FracWETIrrigation[[#Headers],[Irrigation type i]], 0)</calculatedColumnFormula>
    </tableColumn>
    <tableColumn id="2" xr3:uid="{865703EA-30C9-41B1-8EE4-44790AF4D3A8}"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51BD3E8-1667-4B62-A4D0-6494864CE7F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E6CA8B-5FFD-4A0D-BAD4-0F6E0A5C5B8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CABD41E-538A-44DA-B87C-CD7CE22880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9840E69-2E7D-48FA-A398-67BB1C47903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D561E3C-4A4E-48CF-A9B1-A79C380B6FEB}" name="Month">
      <calculatedColumnFormula array="1">Common_InputFunctions.Utility_DisplayArrayInTable(Common_SourceData.Common_SourceData_MonthsToSeasons_Data(), Table_SourceData_Common_MonthToSeason[[#Headers],[Month]], 0)</calculatedColumnFormula>
    </tableColumn>
    <tableColumn id="2" xr3:uid="{66B1BDBD-ABEC-4545-930A-37DA1BEB645B}"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9BE7E91-DD21-4E22-B414-88FD8AEEFBA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482B0AE-B0D5-4C67-A9F6-707B4CA2126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13444-ECFF-44CB-9E50-5F9269384C7D}"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001071D-2E16-4D3D-A3D0-2E725C6BAAD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C1136B2-0D7F-4DC1-A704-4B9B9788F917}"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BC6B816-7E55-407C-ADA9-EAE4535B7842}"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BBBD85B-F6F6-46B2-B24D-2002DA2A50BC}"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54C4A8-D624-48AE-BEED-5D7197A41002}"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A18D9A4-D09F-4EE2-834F-C4AF02BF4C8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26F798B-E711-4106-87DF-14FACEB85D9B}"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B7EE6E-C885-42A4-9399-56AB0403D839}"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3F45D80-B1F5-4175-8180-06A3AC5BE276}"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B9300A6-E099-4D1F-A8BD-7D245A229702}"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FEE8CC0-2EF0-4FF8-897C-B616A3C45287}"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2222282-B40F-41CA-89A4-7D22FDF8E96C}"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5D897E5-FD95-4218-9F3D-69525A2E3627}"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0DE5FD5-6F35-4C17-A0A3-0CF3356A1771}"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3FD9086-431B-4592-A5D7-8742920CE1A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B6957C6-8F5D-4F62-9C94-E294D2776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01D630-DBAB-4AA6-9814-F89A9B10029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9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 ca="1">VEERG_3_1_1_1__1_TotalAnnualMethaneFromEntericFermentation_Result</f>
        <v>35.420230000000004</v>
      </c>
      <c r="F7" s="94">
        <f ca="1">'3.1.1.1-2 Enteric Methane'!N67</f>
        <v>35.420230000000004</v>
      </c>
      <c r="G7" s="50" t="str">
        <f>'3.1.1.1-2 Enteric Methane'!F67</f>
        <v>t CH4</v>
      </c>
      <c r="H7" s="94">
        <f ca="1">'3.1.1.1-2 Enteric Methane'!E72</f>
        <v>991.7664400000001</v>
      </c>
      <c r="I7" s="94">
        <f ca="1">'3.1.1.1-2 Enteric Methane'!N72</f>
        <v>991.7664400000001</v>
      </c>
      <c r="J7" s="50" t="s">
        <v>133</v>
      </c>
      <c r="K7" s="23"/>
      <c r="L7" s="23"/>
    </row>
    <row r="8" spans="1:12" ht="20.100000000000001" customHeight="1" x14ac:dyDescent="0.3">
      <c r="A8" s="19" t="s">
        <v>0</v>
      </c>
      <c r="C8" s="23"/>
      <c r="D8" s="30" t="s">
        <v>121</v>
      </c>
      <c r="E8" s="24"/>
      <c r="F8" s="30"/>
      <c r="G8" s="30"/>
      <c r="H8" s="95">
        <f ca="1">SUM(H7:H7)</f>
        <v>991.7664400000001</v>
      </c>
      <c r="I8" s="95">
        <f ca="1">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2" sqref="A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DATE(YEAR(Input_Site_StartDate)+1,MONTH(Input_Site_StartDate),DAY(Input_Site_StartDate))-1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TEXT(Input_Site_StartDate, "dd mmm yy") &amp; " and " &amp; TEXT(Input_Site_EndDate,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TEXT(Input_Site_StartDate, "dd mmm yy") &amp; " and " &amp; TEXT(Input_Site_EndDate,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3"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cm="1">
        <f t="array" aca="1" ref="D20:F20" ca="1">OFFSET(X_Table_Feedlot_Intake_Method1, 1,1, 1,3)</f>
        <v>10.4</v>
      </c>
      <c r="E20" s="48">
        <f ca="1"/>
        <v>10.8</v>
      </c>
      <c r="F20" s="48">
        <f ca="1"/>
        <v>8.1999999999999993</v>
      </c>
      <c r="G20" s="2" t="str">
        <f>$G$13</f>
        <v>kg DM/head/day</v>
      </c>
      <c r="M20" s="48" cm="1">
        <f t="array" aca="1" ref="M20:O20" ca="1">OFFSET(X_Table_Feedlot_Intake_Method2, 1,1, 1,3)</f>
        <v>10.4</v>
      </c>
      <c r="N20" s="48">
        <f ca="1"/>
        <v>10.8</v>
      </c>
      <c r="O20" s="48">
        <f ca="1"/>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cm="1">
        <f t="array" aca="1" ref="D25:F25" ca="1">OFFSET(X_Table_Feedlot_Intake_Method1, 2,1, 1,3)</f>
        <v>4.8</v>
      </c>
      <c r="E25" s="48">
        <f ca="1"/>
        <v>5</v>
      </c>
      <c r="F25" s="48">
        <f ca="1"/>
        <v>5.5</v>
      </c>
      <c r="G25" s="2" t="str">
        <f>$G$14</f>
        <v>per cent</v>
      </c>
      <c r="M25" s="48" cm="1">
        <f t="array" aca="1" ref="M25:O25" ca="1">OFFSET(X_Table_Feedlot_Intake_Method2, 2,1, 1,3)</f>
        <v>4.8</v>
      </c>
      <c r="N25" s="48">
        <f ca="1"/>
        <v>5</v>
      </c>
      <c r="O25" s="48">
        <f ca="1"/>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cm="1">
        <f t="array" aca="1" ref="D30:F30" ca="1">OFFSET(X_Table_Feedlot_Intake_Method1, 3,1, 1,3)</f>
        <v>22</v>
      </c>
      <c r="E30" s="48">
        <f ca="1"/>
        <v>22</v>
      </c>
      <c r="F30" s="48">
        <f ca="1"/>
        <v>24</v>
      </c>
      <c r="G30" s="2" t="str">
        <f>$G$15</f>
        <v>per cent</v>
      </c>
      <c r="M30" s="48" cm="1">
        <f t="array" aca="1" ref="M30:O30" ca="1">OFFSET(X_Table_Feedlot_Intake_Method2, 3,1, 1,3)</f>
        <v>22</v>
      </c>
      <c r="N30" s="48">
        <f ca="1"/>
        <v>22</v>
      </c>
      <c r="O30" s="48">
        <f ca="1"/>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aca="1" ref="D35" ca="1">EntericMethane_Feedlot_Equations.VEERG_3_1_1_1__2_DailyEntericMethaneProduction(D20,D25,D30)</f>
        <v>8.3664000000000002E-2</v>
      </c>
      <c r="E35" s="48" cm="1">
        <f t="array" aca="1" ref="E35" ca="1">EntericMethane_Feedlot_Equations.VEERG_3_1_1_1__2_DailyEntericMethaneProduction(E20,E25,E30)</f>
        <v>8.4908000000000011E-2</v>
      </c>
      <c r="F35" s="48" cm="1">
        <f t="array" aca="1" ref="F35" ca="1">EntericMethane_Feedlot_Equations.VEERG_3_1_1_1__2_DailyEntericMethaneProduction(F20,F25,F30)</f>
        <v>7.4142E-2</v>
      </c>
      <c r="G35" s="2" t="str">
        <f>$E$11</f>
        <v>kg CH4/head/day</v>
      </c>
      <c r="M35" s="48" cm="1">
        <f t="array" aca="1" ref="M35" ca="1">EntericMethane_Feedlot_Equations.VEERG_3_1_1_1__2_DailyEntericMethaneProduction(M20,M25,M30)</f>
        <v>8.3664000000000002E-2</v>
      </c>
      <c r="N35" s="48" cm="1">
        <f t="array" aca="1" ref="N35" ca="1">EntericMethane_Feedlot_Equations.VEERG_3_1_1_1__2_DailyEntericMethaneProduction(N20,N25,N30)</f>
        <v>8.4908000000000011E-2</v>
      </c>
      <c r="O35" s="48"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cm="1">
        <f t="array" aca="1" ref="D55:F55" ca="1">OFFSET(X_Table_Feedlot_HerdMovement, 2, 1, 1, 3)</f>
        <v>90</v>
      </c>
      <c r="E55" s="84">
        <f ca="1"/>
        <v>140</v>
      </c>
      <c r="F55" s="84">
        <f ca="1"/>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cm="1">
        <f t="array" aca="1" ref="D60:F60" ca="1">OFFSET(X_Table_Feedlot_HerdMovement, 1, 1, 1, 3)</f>
        <v>4300</v>
      </c>
      <c r="E60" s="84">
        <f ca="1"/>
        <v>100</v>
      </c>
      <c r="F60" s="84">
        <f ca="1"/>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aca="1" ref="D65" ca="1">EntericMethane_Feedlot_Equations.VEERG_3_1_1_1__1_TotalAnnualMethaneFromEntericFermentation(D55,D35,D60)</f>
        <v>32.377968000000003</v>
      </c>
      <c r="E65" s="48" cm="1">
        <f t="array" aca="1" ref="E65" ca="1">EntericMethane_Feedlot_Equations.VEERG_3_1_1_1__1_TotalAnnualMethaneFromEntericFermentation(E55,E35,E60)</f>
        <v>1.1887120000000002</v>
      </c>
      <c r="F65" s="48" cm="1">
        <f t="array" aca="1" ref="F65" ca="1">EntericMethane_Feedlot_Equations.VEERG_3_1_1_1__1_TotalAnnualMethaneFromEntericFermentation(F55,F35,F60)</f>
        <v>1.85355</v>
      </c>
      <c r="G65" s="2" t="str">
        <f>$E$46</f>
        <v>t CH4</v>
      </c>
      <c r="M65" s="48" cm="1">
        <f t="array" aca="1" ref="M65" ca="1">EntericMethane_Feedlot_Equations.VEERG_3_1_1_1__1_TotalAnnualMethaneFromEntericFermentation(D55,M35,D60)</f>
        <v>32.377968000000003</v>
      </c>
      <c r="N65" s="48" cm="1">
        <f t="array" aca="1" ref="N65" ca="1">EntericMethane_Feedlot_Equations.VEERG_3_1_1_1__1_TotalAnnualMethaneFromEntericFermentation(E55,N35,E60)</f>
        <v>1.1887120000000002</v>
      </c>
      <c r="O65" s="48"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 ca="1">SUM(D65:F65)</f>
        <v>35.420230000000004</v>
      </c>
      <c r="F67" s="87" t="str">
        <f>$E$46</f>
        <v>t CH4</v>
      </c>
      <c r="M67" s="85" t="s">
        <v>169</v>
      </c>
      <c r="N67" s="86">
        <f ca="1">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 ca="1">VEERG_3_1_1_1__1_TotalAnnualMethaneFromEntericFermentation_Result</f>
        <v>35.420230000000004</v>
      </c>
      <c r="H69" s="2" t="str">
        <f>$E$46</f>
        <v>t CH4</v>
      </c>
      <c r="M69" s="53" t="str" cm="1">
        <f t="array" ref="M69:N70">Common_Equations.Common_ConvertCH4ToCO2e_Arguments()</f>
        <v>ECH4</v>
      </c>
      <c r="N69" s="54" t="str">
        <v>Methane emissions (t CH4)</v>
      </c>
      <c r="O69" s="88"/>
      <c r="P69" s="48">
        <f ca="1">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aca="1" ref="E72" ca="1">Common_Equations.Common_ConvertCH4ToCO2e(G69,G70)</f>
        <v>991.7664400000001</v>
      </c>
      <c r="F72" s="89" t="str" cm="1">
        <f t="array" ref="F72">Common_Equations.Common_ConvertN2OToCO2e_Unit()</f>
        <v>t CO2e</v>
      </c>
      <c r="M72" s="43" t="s">
        <v>107</v>
      </c>
      <c r="N72" s="43" cm="1">
        <f t="array" aca="1" ref="N72" ca="1">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2772-5964-47E7-9E47-ACBAB8ECD248}">
  <dimension ref="A1:BY259"/>
  <sheetViews>
    <sheetView showGridLines="0" tabSelected="1" topLeftCell="A3" zoomScaleNormal="100" workbookViewId="0">
      <selection activeCell="A21" sqref="A2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10</v>
      </c>
      <c r="E6" s="36" t="s">
        <v>11</v>
      </c>
      <c r="F6" s="36" t="s">
        <v>12</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53</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HYPERLINK("#'3.1.1.1-2 Enteric Methane'!A1", "3.1.1.1-2 Enteric Methane")</f>
        <v>3.1.1.1-2 Enteric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1" t="s">
        <v>1</v>
      </c>
    </row>
    <row r="18" spans="1:4" ht="20.100000000000001" customHeight="1" x14ac:dyDescent="0.25">
      <c r="A18" s="17" t="str">
        <f>HYPERLINK("#'Constants - Feedlot'!A1", "Constants - Feedlot")</f>
        <v>Constants - Feedlot</v>
      </c>
      <c r="D18" s="6" t="str" cm="1">
        <f t="array" ref="D18">Common_SourceData.Common_SourceData_WASA4Areas_Title()</f>
        <v>ABS Statistcal Areas Level 4 - Western Australia</v>
      </c>
    </row>
    <row r="19" spans="1:4" ht="20.100000000000001" customHeight="1" x14ac:dyDescent="0.25">
      <c r="A19" s="6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6" t="s">
        <v>13</v>
      </c>
    </row>
    <row r="21" spans="1:4" ht="20.100000000000001" customHeight="1" x14ac:dyDescent="0.25">
      <c r="A21" s="17" t="str">
        <f>HYPERLINK("#'Acknowledgements'!A1", "Acknowledgements")</f>
        <v>Acknowledgements</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HYPERLINK("#'Tab template'!A1", "Tab template")</f>
        <v>Tab template</v>
      </c>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6" t="s">
        <v>175</v>
      </c>
      <c r="E257" s="36" t="s">
        <v>176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0"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25</vt:i4>
      </vt:variant>
    </vt:vector>
  </HeadingPairs>
  <TitlesOfParts>
    <vt:vector size="36"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2026-08-03T07:06:57Z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