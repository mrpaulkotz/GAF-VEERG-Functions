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DC53626-10D8-4784-AEA8-6205513A4220}" xr6:coauthVersionLast="47" xr6:coauthVersionMax="47" xr10:uidLastSave="{00000000-0000-0000-0000-000000000000}"/>
  <bookViews>
    <workbookView xWindow="390" yWindow="390" windowWidth="28800" windowHeight="15345" firstSheet="7" activeTab="7" xr2:uid="{992023F3-CAB7-4E5B-A348-08D563A0EF40}"/>
  </bookViews>
  <sheets>
    <sheet name="Home" sheetId="71" r:id="rId1"/>
    <sheet name="Overview" sheetId="100" r:id="rId2"/>
    <sheet name="Results" sheetId="13" r:id="rId3"/>
    <sheet name="Input - Site" sheetId="15" r:id="rId4"/>
    <sheet name="Input - Feedlot" sheetId="70" r:id="rId5"/>
    <sheet name="3.1.1.1-2 Enteric Methane" sheetId="69" r:id="rId6"/>
    <sheet name="Constants - Feedlot" sheetId="79" r:id="rId7"/>
    <sheet name="Constants - Common" sheetId="106" r:id="rId8"/>
    <sheet name="Constants - Livestock" sheetId="43" r:id="rId9"/>
    <sheet name="Acknowledgements" sheetId="72" r:id="rId10"/>
    <sheet name="Tab template" sheetId="74" r:id="rId11"/>
  </sheets>
  <externalReferences>
    <externalReference r:id="rId12"/>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Feedlot_Equations.VEERG_3_1_1_1__1_TotalAnnualMethaneFromEntericFermentation">_xlfn.LAMBDA(_xlpm.D_j,_xlpm.M_j,_xlpm.N_j, (_xlpm.D_j * _xlpm.M_j * _xlpm.N_j) * 10 ^ -3)</definedName>
    <definedName name="EntericMethane_Feedlot_Equations.VEERG_3_1_1_1__1_TotalAnnualMethaneFromEntericFermentation_Arguments">_xlfn.LAMBDA(_xlfn.MAKEARRAY(3, 4, _xlfn.LAMBDA(_xlpm.r,_xlpm.c, INDEX({"D_j","duration of stay of each cattle lot","days","Input";"M_j","daily methane production","kg CH4/head/day","Calculated from 3.1.1.1, (2)";"N_j","numbers of feedlot cattle in each cattle lot","head","Input"}, _xlpm.r, _xlpm.c))))</definedName>
    <definedName name="EntericMethane_Feedlot_Equations.VEERG_3_1_1_1__1_TotalAnnualMethaneFromEntericFermentation_LatexEquation">_xlfn.LAMBDA("E_{enteric}=\sum\nolimits_j(D_j\times M_j\times N_j)\times 10^{-3}")</definedName>
    <definedName name="EntericMethane_Feedlot_Equations.VEERG_3_1_1_1__1_TotalAnnualMethaneFromEntericFermentation_NIRReference">_xlfn.LAMBDA("")</definedName>
    <definedName name="EntericMethane_Feedlot_Equations.VEERG_3_1_1_1__1_TotalAnnualMethaneFromEntericFermentation_Source">_xlfn.LAMBDA("VEERG 2026: 3.1.1.1, Equation (1)")</definedName>
    <definedName name="EntericMethane_Feedlot_Equations.VEERG_3_1_1_1__1_TotalAnnualMethaneFromEntericFermentation_Title">_xlfn.LAMBDA("Total annual methane production from enteric fermentation in feedlot beef cattle")</definedName>
    <definedName name="EntericMethane_Feedlot_Equations.VEERG_3_1_1_1__1_TotalAnnualMethaneFromEntericFermentation_Unit">_xlfn.LAMBDA("t CH4")</definedName>
    <definedName name="EntericMethane_Feedlot_Equations.VEERG_3_1_1_1__1_TotalAnnualMethaneFromEntericFermentation_Variable">_xlfn.LAMBDA("E_enteric")</definedName>
    <definedName name="EntericMethane_Feedlot_Equations.VEERG_3_1_1_1__2_DailyEntericMethaneProduction">_xlfn.LAMBDA(_xlpm.I_j,_xlpm.EE_j,_xlpm.NDF_j,
    (5.11 * _xlpm.I_j - 4 * _xlpm.EE_j + 2.26 * _xlpm.NDF_j) * 10 ^ -3
  )</definedName>
    <definedName name="EntericMethane_Feedlot_Equations.VEERG_3_1_1_1__2_DailyEntericMethaneProduction_Arguments">_xlfn.LAMBDA(_xlfn.MAKEARRAY(3, 4, _xlfn.LAMBDA(_xlpm.r,_xlpm.c, INDEX({"I_j","dry matter intake","kg DM/head/day","Input";"EE_j","ether extract as a percentage of I_j","per cent","Input";"NDF_j","neutral detergent fibre as a percentage of I_j","per cent","Input"}, _xlpm.r, _xlpm.c))))</definedName>
    <definedName name="EntericMethane_Feedlot_Equations.VEERG_3_1_1_1__2_DailyEntericMethaneProduction_LatexEquation">_xlfn.LAMBDA("M_j=(5.11\times I_j-4.00\times EE_j+2.26\times NDF_j)\times 10^{-3}")</definedName>
    <definedName name="EntericMethane_Feedlot_Equations.VEERG_3_1_1_1__2_DailyEntericMethaneProduction_NIRReference">_xlfn.LAMBDA("Almeida et al. (2025)")</definedName>
    <definedName name="EntericMethane_Feedlot_Equations.VEERG_3_1_1_1__2_DailyEntericMethaneProduction_Source">_xlfn.LAMBDA("VEERG 2026: 3.1.1.1, Equation (2)")</definedName>
    <definedName name="EntericMethane_Feedlot_Equations.VEERG_3_1_1_1__2_DailyEntericMethaneProduction_Title">_xlfn.LAMBDA("Daily production of enteric methane")</definedName>
    <definedName name="EntericMethane_Feedlot_Equations.VEERG_3_1_1_1__2_DailyEntericMethaneProduction_Unit">_xlfn.LAMBDA("kg CH4/head/day")</definedName>
    <definedName name="EntericMethane_Feedlot_Equations.VEERG_3_1_1_1__2_DailyEntericMethaneProduction_Variable">_xlfn.LAMBDA("M_j")</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_Site_EndDate">'Input - Site'!$E$13</definedName>
    <definedName name="Input_Site_FarmName">'Input - Site'!$E$7</definedName>
    <definedName name="Input_Site_ReportingEntityName">'Input - Site'!$E$8</definedName>
    <definedName name="Input_Site_StartDate">'Input - Site'!$E$12</definedName>
    <definedName name="M1_Table_E_CH4">'3.1.1.1-2 Enteric Methane'!$D$64:$F$65</definedName>
    <definedName name="M1_Table_EE_j">'3.1.1.1-2 Enteric Methane'!$D$24:$F$25</definedName>
    <definedName name="M1_Table_I_j">'3.1.1.1-2 Enteric Methane'!$D$19:$F$20</definedName>
    <definedName name="M1_Table_M_j">'3.1.1.1-2 Enteric Methane'!$D$34:$F$35</definedName>
    <definedName name="M1_Table_NDF_j">'3.1.1.1-2 Enteric Methane'!$D$29:$F$30</definedName>
    <definedName name="M2_Table_E_CH4">'3.1.1.1-2 Enteric Methane'!$M$64:$O$65</definedName>
    <definedName name="M2_Table_EE_j">'3.1.1.1-2 Enteric Methane'!$M$24:$O$25</definedName>
    <definedName name="M2_Table_I_j">'3.1.1.1-2 Enteric Methane'!$M$19:$O$20</definedName>
    <definedName name="M2_Table_M_j">'3.1.1.1-2 Enteric Methane'!$M$34:$O$35</definedName>
    <definedName name="M2_Table_NDF_j">'3.1.1.1-2 Enteric Methane'!$M$29:$O$30</definedName>
    <definedName name="Range_LivestockStartingValues">#REF!</definedName>
    <definedName name="SourceData_Feedlot.SourceData_Feedlot_AnimalCharacteristics_Data">_xlfn.LAMBDA(
    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
      )
    )
  )</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
    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
      )
    )
  )</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Step1">#REF!</definedName>
    <definedName name="Step2">#REF!</definedName>
    <definedName name="Step3">#REF!</definedName>
    <definedName name="Table_D_j">'3.1.1.1-2 Enteric Methane'!$D$54:$F$55</definedName>
    <definedName name="Table_N_j">'3.1.1.1-2 Enteric Methane'!$D$59:$F$60</definedName>
    <definedName name="VEERG_3_1_1_1__1_TotalAnnualMethaneFromEntericFermentation_Result">'3.1.1.1-2 Enteric Methane'!$E$67</definedName>
    <definedName name="X_Table_Feedlot_HerdMovement">'Input - Feedlot'!$D$7:$G$9</definedName>
    <definedName name="X_Table_Feedlot_Intake_Method1">'Input - Feedlot'!$D$13:$G$16</definedName>
    <definedName name="X_Table_Feedlot_Intake_Method2">'Input - Feedlot'!$D$18:$G$21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9" i="79" l="1"/>
  <c r="G28" i="79"/>
  <c r="P70" i="69"/>
  <c r="G70" i="69"/>
  <c r="E259" i="106"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c r="D229" i="106" a="1"/>
  <c r="D228" i="106" a="1"/>
  <c r="D228" i="106" s="1"/>
  <c r="D227" i="106"/>
  <c r="D227" i="106" a="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a="1"/>
  <c r="D211" i="106" s="1"/>
  <c r="E208" i="106" a="1"/>
  <c r="E208" i="106" s="1"/>
  <c r="D208" i="106" a="1"/>
  <c r="D208" i="106" s="1"/>
  <c r="E207" i="106" a="1"/>
  <c r="E207" i="106" s="1"/>
  <c r="D207" i="106" a="1"/>
  <c r="D207" i="106" s="1"/>
  <c r="D205" i="106" a="1"/>
  <c r="D205" i="106" s="1"/>
  <c r="D204" i="106" a="1"/>
  <c r="D204" i="106" s="1"/>
  <c r="D203" i="106" a="1"/>
  <c r="D203" i="106" s="1"/>
  <c r="D202" i="106" a="1"/>
  <c r="D202" i="106" s="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a="1"/>
  <c r="D180" i="106" s="1"/>
  <c r="D179" i="106" a="1"/>
  <c r="D179" i="106" s="1"/>
  <c r="D178" i="106" a="1"/>
  <c r="D178" i="106" s="1"/>
  <c r="E175" i="106" a="1"/>
  <c r="E175" i="106" s="1"/>
  <c r="D175" i="106" a="1"/>
  <c r="D175" i="106" s="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c r="D151" i="106" a="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c r="D124" i="106" a="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a="1"/>
  <c r="D82" i="106" s="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F7" i="106" a="1"/>
  <c r="F7" i="106" s="1"/>
  <c r="E7" i="106" a="1"/>
  <c r="E7" i="106" s="1"/>
  <c r="D7" i="106" a="1"/>
  <c r="D7" i="106" s="1"/>
  <c r="D5" i="106" a="1"/>
  <c r="D5" i="106" s="1"/>
  <c r="D60" i="69" a="1"/>
  <c r="D60" i="69" s="1"/>
  <c r="D55" i="69" a="1"/>
  <c r="D55" i="69" s="1"/>
  <c r="H54" i="106" l="1"/>
  <c r="H49" i="106"/>
  <c r="H52" i="106"/>
  <c r="H50" i="106"/>
  <c r="H53" i="106"/>
  <c r="H51" i="106"/>
  <c r="H48" i="106"/>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00"/>
  <c r="A17" i="100"/>
  <c r="A16" i="100"/>
  <c r="A15" i="100"/>
  <c r="A12" i="100"/>
  <c r="A9" i="100"/>
  <c r="A8" i="100"/>
  <c r="A5" i="100"/>
  <c r="A4" i="100"/>
  <c r="A3" i="100"/>
  <c r="A12" i="13"/>
  <c r="A18" i="13"/>
  <c r="A17" i="13"/>
  <c r="A16" i="13"/>
  <c r="A15" i="13"/>
  <c r="I49" i="69" a="1"/>
  <c r="I49" i="69" s="1"/>
  <c r="G48" i="69" a="1"/>
  <c r="G48" i="69" s="1"/>
  <c r="D48" i="69" a="1"/>
  <c r="D48" i="69" s="1"/>
  <c r="E46" i="69" a="1"/>
  <c r="E46" i="69" s="1"/>
  <c r="E45" i="69" a="1"/>
  <c r="E45" i="69" s="1"/>
  <c r="D40" i="69" a="1"/>
  <c r="D40" i="69" s="1"/>
  <c r="D39" i="69" a="1"/>
  <c r="D39" i="69" s="1"/>
  <c r="I15" i="69" a="1"/>
  <c r="I15" i="69" s="1"/>
  <c r="G13" i="69" a="1"/>
  <c r="G13" i="69" s="1"/>
  <c r="G20" i="69" s="1"/>
  <c r="D13" i="69" a="1"/>
  <c r="D13" i="69" s="1"/>
  <c r="E11" i="69" a="1"/>
  <c r="E11" i="69" s="1"/>
  <c r="P35" i="69" s="1"/>
  <c r="E10" i="69" a="1"/>
  <c r="E10" i="69" s="1"/>
  <c r="D6" i="69" a="1"/>
  <c r="D6" i="69" s="1"/>
  <c r="D5" i="69" a="1"/>
  <c r="D5" i="69" s="1"/>
  <c r="E7" i="69" a="1"/>
  <c r="E41" i="69" a="1"/>
  <c r="E41" i="69" l="1"/>
  <c r="P20" i="69"/>
  <c r="P30" i="69"/>
  <c r="P25" i="69"/>
  <c r="G30" i="69"/>
  <c r="G25" i="69"/>
  <c r="E7" i="69"/>
  <c r="A9" i="13"/>
  <c r="A8" i="13"/>
  <c r="A5" i="13"/>
  <c r="A4" i="13"/>
  <c r="A3" i="13"/>
  <c r="I50" i="69" l="1" a="1"/>
  <c r="I50" i="69" s="1"/>
  <c r="I48" i="69" a="1"/>
  <c r="I48" i="69" s="1"/>
  <c r="G55" i="69"/>
  <c r="G60" i="69" l="1"/>
  <c r="I14" i="69" a="1"/>
  <c r="I14" i="69" s="1"/>
  <c r="I13" i="69" a="1"/>
  <c r="I13" i="69" s="1"/>
  <c r="O72" i="69" l="1" a="1"/>
  <c r="O72" i="69" s="1"/>
  <c r="M69" i="69" a="1"/>
  <c r="M69" i="69" s="1"/>
  <c r="D117" i="79" l="1"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A39" i="74"/>
  <c r="A38" i="74"/>
  <c r="A37" i="74"/>
  <c r="A36" i="74"/>
  <c r="A33" i="74"/>
  <c r="A30" i="74"/>
  <c r="A29" i="74"/>
  <c r="A28" i="74"/>
  <c r="A27" i="74"/>
  <c r="A26" i="74"/>
  <c r="A25" i="74"/>
  <c r="A24" i="74"/>
  <c r="A19" i="74"/>
  <c r="A18" i="74"/>
  <c r="A15" i="74"/>
  <c r="A14" i="74"/>
  <c r="A13" i="74"/>
  <c r="A12" i="74"/>
  <c r="A11" i="74"/>
  <c r="A10" i="74"/>
  <c r="A9" i="74"/>
  <c r="A8" i="74"/>
  <c r="A7" i="74"/>
  <c r="A4" i="74"/>
  <c r="E19" i="70" l="1" a="1"/>
  <c r="E19" i="70" s="1"/>
  <c r="G14" i="70" a="1"/>
  <c r="G14" i="70" s="1"/>
  <c r="E15" i="70" a="1"/>
  <c r="E15" i="70" s="1"/>
  <c r="F14" i="70" a="1"/>
  <c r="F14" i="70" s="1"/>
  <c r="E14" i="70" a="1"/>
  <c r="E14" i="70" s="1"/>
  <c r="G21" i="70" a="1"/>
  <c r="G21" i="70" s="1"/>
  <c r="F19" i="70" a="1"/>
  <c r="F19" i="70" s="1"/>
  <c r="G19" i="70" a="1"/>
  <c r="G19" i="70" s="1"/>
  <c r="G15" i="70" a="1"/>
  <c r="G15" i="70" s="1"/>
  <c r="E16" i="70" a="1"/>
  <c r="E16" i="70" s="1"/>
  <c r="F16" i="70" a="1"/>
  <c r="F16" i="70" s="1"/>
  <c r="G16" i="70" a="1"/>
  <c r="G16" i="70" s="1"/>
  <c r="E20" i="70" a="1"/>
  <c r="E20" i="70" s="1"/>
  <c r="E21" i="70" a="1"/>
  <c r="E21" i="70" s="1"/>
  <c r="F21" i="70" a="1"/>
  <c r="F21" i="70" s="1"/>
  <c r="F15" i="70" a="1"/>
  <c r="F15" i="70" s="1"/>
  <c r="F20" i="70" a="1"/>
  <c r="F20" i="70" s="1"/>
  <c r="G20" i="70" a="1"/>
  <c r="G20" i="70" s="1"/>
  <c r="D69" i="69" a="1"/>
  <c r="D69" i="69" s="1"/>
  <c r="F72" i="69" a="1"/>
  <c r="F72" i="69" s="1"/>
  <c r="D30" i="69" l="1" a="1"/>
  <c r="D30" i="69" s="1"/>
  <c r="M30" i="69" a="1"/>
  <c r="M30" i="69" s="1"/>
  <c r="M25" i="69" a="1"/>
  <c r="M25" i="69" s="1"/>
  <c r="D20" i="69" a="1"/>
  <c r="D20" i="69" s="1"/>
  <c r="D25" i="69" a="1"/>
  <c r="D25" i="69" s="1"/>
  <c r="M20" i="69" a="1"/>
  <c r="M20" i="69" s="1"/>
  <c r="M35" i="69" l="1" a="1"/>
  <c r="M35" i="69" s="1"/>
  <c r="M65" i="69" s="1" a="1"/>
  <c r="M65" i="69" s="1"/>
  <c r="O35" i="69" a="1"/>
  <c r="O35" i="69" s="1"/>
  <c r="O65" i="69" s="1" a="1"/>
  <c r="O65" i="69" s="1"/>
  <c r="N35" i="69" a="1"/>
  <c r="N35" i="69" s="1"/>
  <c r="N65" i="69" s="1" a="1"/>
  <c r="N65" i="69" s="1"/>
  <c r="D8" i="70"/>
  <c r="D9" i="70"/>
  <c r="G35" i="69" l="1"/>
  <c r="P65" i="69"/>
  <c r="H69" i="69"/>
  <c r="Q69" i="69"/>
  <c r="G65" i="69"/>
  <c r="O67" i="69"/>
  <c r="F67" i="69"/>
  <c r="G7" i="13" s="1"/>
  <c r="F35" i="69" a="1"/>
  <c r="F35" i="69" s="1"/>
  <c r="F65" i="69" s="1" a="1"/>
  <c r="F65" i="69" s="1"/>
  <c r="E35" i="69" a="1"/>
  <c r="E35" i="69" s="1"/>
  <c r="E65" i="69" s="1" a="1"/>
  <c r="E65" i="69" s="1"/>
  <c r="D35" i="69" a="1"/>
  <c r="D35" i="69" s="1"/>
  <c r="D65" i="69" s="1" a="1"/>
  <c r="D65"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0" i="79"/>
  <c r="E67" i="69" l="1"/>
  <c r="N67" i="69"/>
  <c r="P69" i="69" s="1"/>
  <c r="N72" i="69" s="1" a="1"/>
  <c r="N72" i="69" s="1"/>
  <c r="I7" i="13" s="1"/>
  <c r="I8" i="13" s="1"/>
  <c r="G69" i="69" l="1"/>
  <c r="E72" i="69" s="1" a="1"/>
  <c r="E72" i="69" s="1"/>
  <c r="H7" i="13" s="1"/>
  <c r="H8" i="13" s="1"/>
  <c r="E7" i="13"/>
  <c r="F7" i="13"/>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<sst xmlns="http://schemas.openxmlformats.org/spreadsheetml/2006/main" count="287" uniqueCount="188">
  <si>
    <t>Home</t>
  </si>
  <si>
    <t>N2O MMS</t>
  </si>
  <si>
    <t>Sources &amp; acknowledgements</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</si>
  <si>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</si>
  <si>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</si>
  <si>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</si>
  <si>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</si>
  <si>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</si>
  <si>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</si>
  <si>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</si>
  <si>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</si>
  <si>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</si>
  <si>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</si>
  <si>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</si>
  <si>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</si>
  <si>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</si>
  <si>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</si>
  <si>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</si>
  <si>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</si>
  <si>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</si>
  <si>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</si>
  <si>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</si>
  <si>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</si>
  <si>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</si>
  <si>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</si>
  <si>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</si>
  <si>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</si>
  <si>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</si>
  <si>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</si>
  <si>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</si>
  <si>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</si>
  <si>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</si>
  <si>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</si>
  <si>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</si>
  <si>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</si>
  <si>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</si>
  <si>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</si>
  <si>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</si>
  <si>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</si>
  <si>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</si>
  <si>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</si>
  <si>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</si>
  <si>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</si>
  <si>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</si>
  <si>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</si>
  <si>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</si>
  <si>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</si>
  <si>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</si>
  <si>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</si>
  <si>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</si>
  <si>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</si>
  <si>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</si>
  <si>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</si>
  <si>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</si>
  <si>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</si>
  <si>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</si>
  <si>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</si>
  <si>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</si>
  <si>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</si>
  <si>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</si>
  <si>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</si>
  <si>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</si>
  <si>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</si>
  <si>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</si>
  <si>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</si>
  <si>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</si>
  <si>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</si>
  <si>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</si>
  <si>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</si>
  <si>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</si>
  <si>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</si>
  <si>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</si>
  <si>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</si>
  <si>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</si>
  <si>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</si>
  <si>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</si>
  <si>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</si>
  <si>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</si>
  <si>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NIR definition</t>
  </si>
  <si>
    <t>Intake</t>
  </si>
  <si>
    <t>MMS m</t>
  </si>
  <si>
    <t>kg dry matter / head  day</t>
  </si>
  <si>
    <t>Treatment stage T</t>
  </si>
  <si>
    <t>Feedlot manure management systems</t>
  </si>
  <si>
    <t>Herd movement</t>
  </si>
  <si>
    <t>Duration of stay</t>
  </si>
  <si>
    <t>head</t>
  </si>
  <si>
    <t>Table_D_j</t>
  </si>
  <si>
    <t>Table_N_j</t>
  </si>
  <si>
    <t>Number of head in each group</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</si>
  <si>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</si>
  <si>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</si>
  <si>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</si>
  <si>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</si>
  <si>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</si>
  <si>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</si>
  <si>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</si>
  <si>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</si>
  <si>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</si>
  <si>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</si>
  <si>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</si>
  <si>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</si>
  <si>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</si>
  <si>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</si>
  <si>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</si>
  <si>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</si>
  <si>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M1_Table_I_j</t>
  </si>
  <si>
    <t>M2_Table_I_j</t>
  </si>
  <si>
    <t>Method 1</t>
  </si>
  <si>
    <t>Method 2</t>
  </si>
  <si>
    <t>Dry matter intake (Method 1)</t>
  </si>
  <si>
    <t>Dry matter intake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</si>
  <si>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</si>
  <si>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</si>
  <si>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</si>
  <si>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</si>
  <si>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</si>
  <si>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</si>
  <si>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</si>
  <si>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Feedlot crop or pasture production systems</t>
  </si>
  <si>
    <t>Production system</t>
  </si>
  <si>
    <t>Irrigation methods</t>
  </si>
  <si>
    <t>Not irrigated</t>
  </si>
  <si>
    <t>Drip irrigation</t>
  </si>
  <si>
    <t>Sprinkler irrigation</t>
  </si>
  <si>
    <t>Surface irrigation</t>
  </si>
  <si>
    <t>Other irrigation</t>
  </si>
  <si>
    <t>Total</t>
  </si>
  <si>
    <t>GHG Unit</t>
  </si>
  <si>
    <t>CO2-e unit</t>
  </si>
  <si>
    <t>Method 1 default values (Do not edit)</t>
  </si>
  <si>
    <t>Method 2 custom values (Edit if known)</t>
  </si>
  <si>
    <t>Irrigation type i</t>
  </si>
  <si>
    <t>EFPRP</t>
  </si>
  <si>
    <t>Month</t>
  </si>
  <si>
    <t>Season</t>
  </si>
  <si>
    <t>Acknowledgements</t>
  </si>
  <si>
    <t>GHG emissions method 1</t>
  </si>
  <si>
    <t>GHG emissions method 2</t>
  </si>
  <si>
    <t>CO2-e emissions method 1</t>
  </si>
  <si>
    <t>t CO2e</t>
  </si>
  <si>
    <t>CO2-e emissions method 2</t>
  </si>
  <si>
    <t>Direct application</t>
  </si>
  <si>
    <t>days</t>
  </si>
  <si>
    <t>fraction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</si>
  <si>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</si>
  <si>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</si>
  <si>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</si>
  <si>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</si>
  <si>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</si>
  <si>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</si>
  <si>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</si>
  <si>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</si>
  <si>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</si>
  <si>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</si>
  <si>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</si>
  <si>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</si>
  <si>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</si>
  <si>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</si>
  <si>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</si>
  <si>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</si>
  <si>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Ether extract</t>
  </si>
  <si>
    <t>NDF</t>
  </si>
  <si>
    <t>M1_Table_EE_j</t>
  </si>
  <si>
    <t>Ether extract (Method 1)</t>
  </si>
  <si>
    <t>M1_Table_NDF_j</t>
  </si>
  <si>
    <t>Neutral detergent fibre (Method 1)</t>
  </si>
  <si>
    <t>M1_Table_M_j</t>
  </si>
  <si>
    <t>Daily production of enteric methane (Method 1)</t>
  </si>
  <si>
    <t>M2_Table_M_j</t>
  </si>
  <si>
    <t>Daily production of enteric methane (Method 2)</t>
  </si>
  <si>
    <t>M2_Table_EE_j</t>
  </si>
  <si>
    <t>Ether extract (Method 2)</t>
  </si>
  <si>
    <t>M2_Table_NDF_j</t>
  </si>
  <si>
    <t>Neutral detergent fibre (Method 2)</t>
  </si>
  <si>
    <r>
      <t>E</t>
    </r>
    <r>
      <rPr>
        <b/>
        <vertAlign val="subscript"/>
        <sz val="16"/>
        <color theme="1" tint="0.24994659260841701"/>
        <rFont val="Times New Roman"/>
        <family val="1"/>
      </rPr>
      <t>enteric</t>
    </r>
    <r>
      <rPr>
        <b/>
        <sz val="16"/>
        <color theme="1" tint="0.24994659260841701"/>
        <rFont val="Times New Roman"/>
        <family val="1"/>
      </rPr>
      <t xml:space="preserve"> (Method 1)</t>
    </r>
  </si>
  <si>
    <r>
      <t>E</t>
    </r>
    <r>
      <rPr>
        <b/>
        <vertAlign val="subscript"/>
        <sz val="16"/>
        <color theme="1" tint="0.24994659260841701"/>
        <rFont val="Times New Roman"/>
        <family val="1"/>
      </rPr>
      <t>enteric</t>
    </r>
    <r>
      <rPr>
        <b/>
        <sz val="16"/>
        <color theme="1" tint="0.24994659260841701"/>
        <rFont val="Times New Roman"/>
        <family val="1"/>
      </rPr>
      <t xml:space="preserve"> (Method 2)</t>
    </r>
  </si>
  <si>
    <t>3.1: Enteric Methane: Beef feedlot: Overview</t>
  </si>
  <si>
    <t>3.1 Enteric Methane: Beef Feedlot: Results</t>
  </si>
  <si>
    <t>💡 Below is a diagram that maps the equations used to calculate emissions and how they interact with each other.</t>
  </si>
  <si>
    <t>3.1.1.1-2 Enteric Methane Beef Feedlot</t>
  </si>
  <si>
    <t>Input - Feedlot</t>
  </si>
  <si>
    <t>Climate Zone</t>
  </si>
  <si>
    <t>EFNi &amp; EFN2Oi</t>
  </si>
  <si>
    <t>M2_Table_E_CH4</t>
  </si>
  <si>
    <t>Methane emissions for each group, MMS and treatment stage (Method 2)</t>
  </si>
  <si>
    <t>M1_Table_E_CH4</t>
  </si>
  <si>
    <t>Methane emissions for each group, MMS and treatment stage (Method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</si>
</sst>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6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2" fillId="4" borderId="0">
      <alignment horizontal="left" vertical="center"/>
    </xf>
    <xf numFmtId="0" fontId="37"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8" fillId="15" borderId="2">
      <alignment horizontal="center" vertical="center"/>
    </xf>
    <xf numFmtId="0" fontId="33" fillId="4" borderId="2">
      <alignment horizontal="left" vertical="center"/>
    </xf>
    <xf numFmtId="0" fontId="59" fillId="4" borderId="2">
      <alignment horizontal="left" vertical="center"/>
    </xf>
  </cellStyleXfs>
  <cellXfs count="115">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19" fillId="9" borderId="5" xfId="35">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22" fillId="5" borderId="0" xfId="37">
      <alignment horizontal="left" vertical="center" indent="1"/>
    </xf>
    <xf numFmtId="0" fontId="22" fillId="8" borderId="0" xfId="38">
      <alignment horizontal="left" vertical="center" indent="1"/>
    </xf>
    <xf numFmtId="0" fontId="43"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8"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5" fillId="0" borderId="0" xfId="0" applyFont="1"/>
    <xf numFmtId="0" fontId="38"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9" fillId="4" borderId="0" xfId="8" applyFont="1">
      <alignment horizontal="left" vertical="center"/>
    </xf>
    <xf numFmtId="0" fontId="6" fillId="4" borderId="0" xfId="55">
      <alignment horizontal="left" vertical="center"/>
    </xf>
    <xf numFmtId="0" fontId="40" fillId="4" borderId="0" xfId="56">
      <alignment horizontal="left" vertical="center"/>
    </xf>
    <xf numFmtId="0" fontId="10" fillId="0" borderId="0" xfId="57"/>
    <xf numFmtId="0" fontId="33" fillId="4" borderId="2" xfId="54" applyAlignment="1">
      <alignment horizontal="left" vertical="center"/>
    </xf>
    <xf numFmtId="0" fontId="33" fillId="4" borderId="7" xfId="54" applyBorder="1" applyAlignment="1">
      <alignment horizontal="left" vertical="center"/>
    </xf>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2" fillId="0" borderId="0" xfId="7" applyFont="1" applyFill="1" applyAlignment="1">
      <alignment horizontal="left" vertical="center" indent="1"/>
    </xf>
    <xf numFmtId="0" fontId="2" fillId="0" borderId="2" xfId="58">
      <alignment horizontal="center" vertical="center"/>
    </xf>
    <xf numFmtId="0" fontId="42" fillId="0" borderId="0" xfId="34" applyFont="1">
      <alignment horizontal="left" vertical="center" indent="1"/>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3" fillId="13" borderId="10" xfId="40" applyBorder="1">
      <alignment horizontal="left" vertical="center"/>
    </xf>
    <xf numFmtId="0" fontId="43" fillId="13" borderId="12" xfId="40" applyBorder="1">
      <alignment horizontal="left" vertical="center"/>
    </xf>
    <xf numFmtId="0" fontId="43" fillId="13" borderId="14" xfId="40" applyBorder="1">
      <alignment horizontal="left" vertical="center"/>
    </xf>
    <xf numFmtId="0" fontId="43" fillId="13" borderId="13" xfId="40" applyBorder="1">
      <alignment horizontal="left" vertical="center"/>
    </xf>
    <xf numFmtId="0" fontId="43" fillId="13" borderId="15" xfId="40" applyBorder="1">
      <alignment horizontal="left" vertical="center"/>
    </xf>
    <xf numFmtId="0" fontId="43" fillId="13" borderId="17" xfId="40" applyBorder="1">
      <alignment horizontal="left" vertical="center"/>
    </xf>
    <xf numFmtId="0" fontId="43" fillId="13" borderId="11" xfId="40" applyBorder="1">
      <alignment horizontal="left" vertical="center"/>
    </xf>
    <xf numFmtId="0" fontId="43" fillId="13" borderId="16" xfId="40" applyBorder="1">
      <alignment horizontal="left" vertical="center"/>
    </xf>
    <xf numFmtId="0" fontId="43" fillId="13" borderId="18" xfId="40" applyBorder="1">
      <alignment horizontal="left" vertical="center"/>
    </xf>
    <xf numFmtId="0" fontId="0" fillId="0" borderId="0" xfId="1" applyFont="1" applyFill="1">
      <alignment horizontal="left" vertical="center" indent="1"/>
      <protection locked="0"/>
    </xf>
    <xf numFmtId="0" fontId="47" fillId="4" borderId="0" xfId="60">
      <alignment horizontal="left" vertical="center"/>
    </xf>
    <xf numFmtId="0" fontId="46" fillId="4" borderId="0" xfId="59">
      <alignment horizontal="left" vertical="center"/>
    </xf>
    <xf numFmtId="3" fontId="2" fillId="0" borderId="2" xfId="18">
      <alignment horizontal="center" vertical="center"/>
    </xf>
    <xf numFmtId="3" fontId="33" fillId="4" borderId="2" xfId="54" applyNumberFormat="1">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5" applyFont="1" applyBorder="1">
      <alignment horizontal="left" vertical="center"/>
    </xf>
    <xf numFmtId="0" fontId="33" fillId="4" borderId="19" xfId="54" applyBorder="1">
      <alignment horizontal="center" vertical="center"/>
    </xf>
    <xf numFmtId="0" fontId="6" fillId="4" borderId="1" xfId="55" applyBorder="1">
      <alignment horizontal="left" vertical="center"/>
    </xf>
    <xf numFmtId="0" fontId="53" fillId="4" borderId="0" xfId="61">
      <alignment horizontal="left" vertical="center"/>
    </xf>
    <xf numFmtId="0" fontId="54" fillId="2" borderId="0" xfId="8" applyFont="1" applyFill="1">
      <alignment horizontal="left" vertical="center"/>
    </xf>
    <xf numFmtId="0" fontId="43"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5" fillId="11" borderId="0" xfId="62">
      <alignment horizontal="center" vertical="center"/>
    </xf>
    <xf numFmtId="0" fontId="22" fillId="11" borderId="0" xfId="63">
      <alignment horizontal="left" vertical="center" indent="1"/>
    </xf>
    <xf numFmtId="0" fontId="56" fillId="0" borderId="0" xfId="2" applyFont="1"/>
    <xf numFmtId="0" fontId="57" fillId="14" borderId="2" xfId="64">
      <alignment horizontal="center" vertical="center"/>
    </xf>
    <xf numFmtId="0" fontId="58" fillId="15" borderId="2" xfId="65">
      <alignment horizontal="center" vertical="center"/>
    </xf>
    <xf numFmtId="0" fontId="33" fillId="4" borderId="2" xfId="66">
      <alignment horizontal="left" vertical="center"/>
    </xf>
    <xf numFmtId="0" fontId="59" fillId="4" borderId="2" xfId="67">
      <alignment horizontal="left" vertical="center"/>
    </xf>
    <xf numFmtId="0" fontId="33" fillId="4" borderId="6" xfId="66" applyBorder="1">
      <alignment horizontal="left" vertical="center"/>
    </xf>
    <xf numFmtId="0" fontId="33" fillId="4" borderId="7" xfId="66" applyBorder="1">
      <alignment horizontal="left" vertical="center"/>
    </xf>
    <xf numFmtId="0" fontId="60" fillId="9" borderId="0" xfId="32" applyFont="1" applyFill="1"/>
    <xf numFmtId="0" fontId="38" fillId="9" borderId="0" xfId="8" applyFill="1">
      <alignment horizontal="left" vertical="center"/>
    </xf>
    <xf numFmtId="0" fontId="17" fillId="11" borderId="0" xfId="31" applyFill="1">
      <alignment vertical="center"/>
    </xf>
    <xf numFmtId="0" fontId="43" fillId="13" borderId="20" xfId="40" applyBorder="1">
      <alignment horizontal="left" vertical="center"/>
    </xf>
    <xf numFmtId="0" fontId="44" fillId="13" borderId="21" xfId="40" applyFont="1" applyBorder="1">
      <alignment horizontal="left" vertical="center"/>
    </xf>
    <xf numFmtId="0" fontId="43" fillId="13" borderId="21" xfId="40" applyBorder="1">
      <alignment horizontal="left" vertical="center"/>
    </xf>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76">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5"/>
      <tableStyleElement type="headerRow" dxfId="74"/>
      <tableStyleElement type="totalRow" dxfId="73"/>
      <tableStyleElement type="firstColumn" dxfId="72"/>
      <tableStyleElement type="firstRowStripe" dxfId="71"/>
      <tableStyleElement type="secondRowStripe" dxfId="70"/>
    </tableStyle>
    <tableStyle name="Equation table" pivot="0" count="6" xr9:uid="{B247698E-E41D-4CCD-AA0A-C14817E9DE65}">
      <tableStyleElement type="wholeTable" dxfId="69"/>
      <tableStyleElement type="headerRow" dxfId="68"/>
      <tableStyleElement type="totalRow" dxfId="67"/>
      <tableStyleElement type="firstColumn" dxfId="66"/>
      <tableStyleElement type="firstRowStripe" dxfId="65"/>
      <tableStyleElement type="secondRowStripe" dxfId="64"/>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2/10/relationships/richValueRel" Target="richData/richValueRel.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ustomXml" Target="../customXml/item2.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1.1.1-2 Enteric Methane'!D39"/><Relationship Id="rId1" Type="http://schemas.openxmlformats.org/officeDocument/2006/relationships/hyperlink" Target="#'3.1.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3.1.1.1-2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1.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Daily production of enteric methane</a:t>
          </a:fld>
          <a:endParaRPr lang="en-AU" sz="1000">
            <a:solidFill>
              <a:srgbClr val="0C769E"/>
            </a:solidFill>
          </a:endParaRPr>
        </a:p>
      </xdr:txBody>
    </xdr:sp>
    <xdr:clientData/>
  </xdr:twoCellAnchor>
  <xdr:twoCellAnchor>
    <xdr:from>
      <xdr:col>3</xdr:col>
      <xdr:colOff>576200</xdr:colOff>
      <xdr:row>15</xdr:row>
      <xdr:rowOff>54910</xdr:rowOff>
    </xdr:from>
    <xdr:to>
      <xdr:col>6</xdr:col>
      <xdr:colOff>256679</xdr:colOff>
      <xdr:row>18</xdr:row>
      <xdr:rowOff>27010</xdr:rowOff>
    </xdr:to>
    <xdr:sp macro="" textlink="'3.1.1.1-2 Enteric Methane'!D39">
      <xdr:nvSpPr>
        <xdr:cNvPr id="20" name="TextBox 19">
          <a:hlinkClick xmlns:r="http://schemas.openxmlformats.org/officeDocument/2006/relationships" r:id="rId2"/>
          <a:extLst>
            <a:ext uri="{FF2B5EF4-FFF2-40B4-BE49-F238E27FC236}">
              <a16:creationId xmlns:a16="http://schemas.microsoft.com/office/drawing/2014/main" id="{050A7C22-4BD7-4D52-9D6E-89987EDCC59C}"/>
            </a:ext>
          </a:extLst>
        </xdr:cNvPr>
        <xdr:cNvSpPr txBox="1"/>
      </xdr:nvSpPr>
      <xdr:spPr>
        <a:xfrm>
          <a:off x="3252725" y="3903010"/>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production from enteric fermentation in feedlot beef cattle</a:t>
          </a:fld>
          <a:endParaRPr lang="en-AU" sz="1000" b="1">
            <a:solidFill>
              <a:srgbClr val="0C769E"/>
            </a:solidFill>
          </a:endParaRPr>
        </a:p>
      </xdr:txBody>
    </xdr:sp>
    <xdr:clientData/>
  </xdr:twoCellAnchor>
  <xdr:twoCellAnchor>
    <xdr:from>
      <xdr:col>5</xdr:col>
      <xdr:colOff>105291</xdr:colOff>
      <xdr:row>12</xdr:row>
      <xdr:rowOff>84710</xdr:rowOff>
    </xdr:from>
    <xdr:to>
      <xdr:col>5</xdr:col>
      <xdr:colOff>117991</xdr:colOff>
      <xdr:row>15</xdr:row>
      <xdr:rowOff>61259</xdr:rowOff>
    </xdr:to>
    <xdr:cxnSp macro="">
      <xdr:nvCxnSpPr>
        <xdr:cNvPr id="7" name="Connector: Curved 6">
          <a:extLst>
            <a:ext uri="{FF2B5EF4-FFF2-40B4-BE49-F238E27FC236}">
              <a16:creationId xmlns:a16="http://schemas.microsoft.com/office/drawing/2014/main" id="{EEA36610-345A-E469-2064-F09BCE8567FD}"/>
            </a:ext>
          </a:extLst>
        </xdr:cNvPr>
        <xdr:cNvCxnSpPr>
          <a:stCxn id="16" idx="2"/>
          <a:endCxn id="20" idx="0"/>
        </xdr:cNvCxnSpPr>
      </xdr:nvCxnSpPr>
      <xdr:spPr>
        <a:xfrm rot="5400000">
          <a:off x="3647616" y="3543260"/>
          <a:ext cx="719499"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3209853"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5.11×</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−4.00×</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+2.26×</m:t>
                        </m:r>
                        <m:r>
                          <a:rPr lang="en-AU" sz="1100" i="1">
                            <a:latin typeface="Cambria Math" panose="02040503050406030204" pitchFamily="18" charset="0"/>
                          </a:rPr>
                          <m:t>𝑁𝐷</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𝑀_𝑗=(5.11×𝐼_𝑗−4.00×𝐸𝐸_𝑗+2.26×𝑁𝐷𝐹_𝑗 )×10^(−3)</a:t>
              </a:r>
              <a:endParaRPr lang="en-AU" sz="1100"/>
            </a:p>
          </xdr:txBody>
        </xdr:sp>
      </mc:Fallback>
    </mc:AlternateContent>
    <xdr:clientData/>
  </xdr:oneCellAnchor>
  <xdr:oneCellAnchor>
    <xdr:from>
      <xdr:col>3</xdr:col>
      <xdr:colOff>14287</xdr:colOff>
      <xdr:row>41</xdr:row>
      <xdr:rowOff>133350</xdr:rowOff>
    </xdr:from>
    <xdr:ext cx="225613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𝐸_𝑒𝑛𝑡𝑒𝑟𝑖𝑐=∑10_𝑗▒(𝐷_𝑗×𝑀_𝑗×𝑁_𝑗 ) ×10^(−3)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3"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2"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1"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0"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59"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8"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7"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6"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5"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4"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3"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7"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1"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0"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7"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6"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2B3839D-A9C8-4F51-B871-ACB6683910A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4EC2807-9141-4A93-917E-F4880C3A38E7}" name="State/Territory">
      <calculatedColumnFormula array="1">Common_InputFunctions.Utility_DisplayArrayInTable(Common_SourceData.Common_SourceData_AustralianStatesTerritories_Data(),Table_AustralianStates[[#Headers],[State/Territory]],0)</calculatedColumnFormula>
    </tableColumn>
    <tableColumn id="2" xr3:uid="{33CBF63E-CDD2-4617-9F08-A360EEE147C2}" name="Common Name">
      <calculatedColumnFormula array="1">Common_InputFunctions.Utility_DisplayArrayInTable(Common_SourceData.Common_SourceData_AustralianStatesTerritories_Data(),Table_AustralianStates[[#Headers],[State/Territory]],0)</calculatedColumnFormula>
    </tableColumn>
    <tableColumn id="3" xr3:uid="{39FC9ABF-2CB4-4BB0-8152-35E1E7725A08}"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B429970-0C2D-484C-9C84-D85A55015961}" name="Table_WASA4Areas" displayName="Table_WASA4Areas" ref="D20:D30" totalsRowShown="0">
  <autoFilter ref="D20:D30" xr:uid="{5FA81339-C6C8-4D36-BEEA-6C4AEDD9E676}">
    <filterColumn colId="0" hiddenButton="1"/>
  </autoFilter>
  <tableColumns count="1">
    <tableColumn id="1" xr3:uid="{752A4051-06AF-449C-A3D0-270482B1B46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D0D3537-E1F7-4610-8774-B5332BA35A0B}" name="Table_GWPData" displayName="Table_GWPData" ref="D36:E43" totalsRowShown="0">
  <autoFilter ref="D36:E43" xr:uid="{B8E87A66-3E41-4AD3-925D-01EE21B43D7A}">
    <filterColumn colId="0" hiddenButton="1"/>
    <filterColumn colId="1" hiddenButton="1"/>
  </autoFilter>
  <tableColumns count="2">
    <tableColumn id="1" xr3:uid="{4372AA12-9407-4FCD-8038-2FBEF1F55756}" name="Gas">
      <calculatedColumnFormula array="1">Common_InputFunctions.Utility_DisplayArrayInTable(Common_SourceData.Common_SourceData_GWP_Data(), Table_GWPData[[#Headers],[Gas]], 0)</calculatedColumnFormula>
    </tableColumn>
    <tableColumn id="2" xr3:uid="{9638B1C7-3A5E-4019-8DF6-9838345A227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245C4E6-3112-4737-ABE8-A78BF737D60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43B6C2C-443E-46D3-B734-507A2748624B}" name="Gas">
      <calculatedColumnFormula array="1">Common_InputFunctions.Utility_DisplayArrayInTable(Common_SourceData.Common_SourceData_ConvertGasElementalToMolecular_Data(),Table_GasToMolecularConversionFactor[[#Headers],[Gas]], 0)</calculatedColumnFormula>
    </tableColumn>
    <tableColumn id="5" xr3:uid="{A30B0940-AE04-4E83-BA7C-9E56A1FDC834}" name="Conversion factor">
      <calculatedColumnFormula array="1">Common_InputFunctions.Utility_DisplayArrayInTable(Common_SourceData.Common_SourceData_ConvertGasElementalToMolecular_Data(),Table_GasToMolecularConversionFactor[[#Headers],[Gas]], 0)</calculatedColumnFormula>
    </tableColumn>
    <tableColumn id="2" xr3:uid="{1601C048-E2D7-4F0E-91E1-6C1414C2DE1D}"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BA7F5EB-8BC4-4B47-AAA7-066AAE7F6CE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19224CB-B81D-4941-AF31-4F9BE6F8234D}"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95439B5-2A01-4199-BECC-04D44412E3C5}"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6C5A5AF-E57E-4DF5-8201-99C24A5BD92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833F9C1-340E-4DF0-BE3E-E53C020BF8DB}"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A8801B76-4A9C-4842-BE8F-281695CA801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74EE1631-8314-428E-96A5-1B89DA27CDBC}"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6D4BD473-3E1D-4A1F-B41C-DB839E64E036}"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3DD9828C-F197-439B-A044-DDB8760BA330}"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DA26B06B-0C51-4847-982F-B71800313197}"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DD6A3F9C-7B04-4357-89F8-5967AB7DC490}"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79FE321B-EEDB-4666-9BF5-DDAF69A3B8E0}"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16971A1B-C1C8-4F90-A5E4-15CC1094B47F}"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55FE927B-5B47-41A2-A062-DCFDA67C38FA}"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2F1FD575-16D4-4D89-913E-EB36BCB4B38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137FF522-59D5-4468-B021-F0B3861DB7BF}"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8EF3AFD8-D24A-44B0-A673-51BB1C761B1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E24C7BC9-6E64-4F83-A4D4-CDB056A5B1CA}"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BDB9B218-5066-49B4-85B2-E18C86AE381E}"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4BEEFCD6-CAED-4D26-9DF1-1D02F09F8B9B}"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68AB7FB-1F46-49D8-BBC8-F907A8EC8A0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161EEDC-F356-4DBF-90F2-1B2CE4856D26}"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DDE59C2-98B3-455C-814D-CD2EB0718CC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8672E4B-F427-4A7F-A760-DE8F5711B2B7}" name="Temperature Zone">
      <calculatedColumnFormula array="1">Common_InputFunctions.Utility_DisplayArrayInTable(Common_SourceData.Common_SourceData_TemperatureZones_Data(),Table_SourceData_TemperatureZones[[#Headers],[Temperature Zone]],0)</calculatedColumnFormula>
    </tableColumn>
    <tableColumn id="2" xr3:uid="{7C3D8D6A-523B-40FF-9EE8-C3ADECA27C7F}" name="MAT">
      <calculatedColumnFormula array="1">Common_InputFunctions.Utility_DisplayArrayInTable(Common_SourceData.Common_SourceData_TemperatureZones_Data(),Table_SourceData_TemperatureZones[[#Headers],[Temperature Zone]],0)</calculatedColumnFormula>
    </tableColumn>
    <tableColumn id="3" xr3:uid="{C03DF857-44AF-44D2-8F15-9CE040453CD4}" name="Min MAT">
      <calculatedColumnFormula array="1">Common_InputFunctions.Utility_DisplayArrayInTable(Common_SourceData.Common_SourceData_TemperatureZones_Data(),Table_SourceData_TemperatureZones[[#Headers],[Temperature Zone]],0)</calculatedColumnFormula>
    </tableColumn>
    <tableColumn id="4" xr3:uid="{C20D8683-5AD8-40B0-8959-0BD3B8453E09}"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9B961DA-A7FE-4C7A-B5E1-0A2E41F29AB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56A23F7-D7F5-4483-B3EF-93CD51AE9F2F}" name="Rainfall Zone">
      <calculatedColumnFormula array="1">Common_InputFunctions.Utility_DisplayArrayInTable(Common_SourceData.Common_SourceData_RainfallZones_Data(),Table_SourceData_RainfallZones[[#Headers],[Rainfall Zone]],0)</calculatedColumnFormula>
    </tableColumn>
    <tableColumn id="2" xr3:uid="{B47FC0C4-0AAB-4CAC-8F54-EB170B2B255F}" name="Annual rainfall">
      <calculatedColumnFormula array="1">Common_InputFunctions.Utility_DisplayArrayInTable(Common_SourceData.Common_SourceData_RainfallZones_Data(),Table_SourceData_RainfallZones[[#Headers],[Rainfall Zone]],0)</calculatedColumnFormula>
    </tableColumn>
    <tableColumn id="3" xr3:uid="{BCE92D7F-EF4A-461A-BF84-316A33DD8658}" name="Min rainfall">
      <calculatedColumnFormula array="1">Common_InputFunctions.Utility_DisplayArrayInTable(Common_SourceData.Common_SourceData_RainfallZones_Data(),Table_SourceData_RainfallZones[[#Headers],[Rainfall Zone]],0)</calculatedColumnFormula>
    </tableColumn>
    <tableColumn id="4" xr3:uid="{6C8CF1A4-7D73-4DD1-9E52-3AB81AC8605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74CE13F-CDE6-4F8C-BC9A-42AA88414D82}"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A5E9191-1B85-446F-B2BB-A5A5D222FC42}" name="Leaching Zone">
      <calculatedColumnFormula array="1">Common_InputFunctions.Utility_DisplayArrayInTable(Common_SourceData.Common_SourceData_LeachingZones_Data(), Table_SourceData_LeachingZones[[#Headers],[Leaching Zone]], 0)</calculatedColumnFormula>
    </tableColumn>
    <tableColumn id="2" xr3:uid="{E01698FE-11B4-422D-A020-CD5B66E697A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DCE2331-FF91-4EBB-A455-479FFC6FA33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D77C2BDA-595E-478D-8141-8B5EFB1B1CBF}" name="Data source">
      <calculatedColumnFormula array="1">Common_InputFunctions.Utility_DisplayArrayInTable(Common_SourceData.Common_SourceData_DataScores_Scope3_Data(), Table_SourceData_DataScores_Scope3[[#Headers],[Data source]], 0)</calculatedColumnFormula>
    </tableColumn>
    <tableColumn id="2" xr3:uid="{FC9E54B6-77A4-464D-BED4-4C833186AA0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188AFBE-5AE3-4032-8734-C56FD67A430C}" name="Table_SourceData_FracWET" displayName="Table_SourceData_FracWET" ref="D134:E136" totalsRowShown="0">
  <autoFilter ref="D134:E136" xr:uid="{308E99BE-FE1F-47A4-B2CA-97217277C4E9}">
    <filterColumn colId="0" hiddenButton="1"/>
    <filterColumn colId="1" hiddenButton="1"/>
  </autoFilter>
  <tableColumns count="2">
    <tableColumn id="1" xr3:uid="{7919C3E3-C961-47DE-8BF7-DEFABBAC3207}" name="Is in leaching zone">
      <calculatedColumnFormula array="1">Common_InputFunctions.Utility_DisplayArrayInTable(Common_SourceData.Common_SourceData_FracWET_Data(),Table_SourceData_FracWET[[#Headers],[Is in leaching zone]],0)</calculatedColumnFormula>
    </tableColumn>
    <tableColumn id="2" xr3:uid="{B170C2B1-A203-4409-99E6-DFE955ED23DD}"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6170DE0A-7153-4C07-96A3-C847796EACA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4B75767-F5E5-4AC0-ABC1-DE028A8971EA}" name="Production system j">
      <calculatedColumnFormula array="1">Common_InputFunctions.Utility_DisplayArrayInTable(Common_SourceData.Common_SourceData_EFN2O_Data(), Table_SourceData_Common_EFN2O[[#Headers],[Production system j]], 0)</calculatedColumnFormula>
    </tableColumn>
    <tableColumn id="2" xr3:uid="{46BCF18B-D5F5-48AB-B622-7E16D6265DF6}" name="EFN2O">
      <calculatedColumnFormula array="1">Common_InputFunctions.Utility_DisplayArrayInTable(Common_SourceData.Common_SourceData_EFN2O_Data(), Table_SourceData_Common_EFN2O[[#Headers],[Production system j]], 0)</calculatedColumnFormula>
    </tableColumn>
    <tableColumn id="3" xr3:uid="{D53B38EF-8A30-4378-9256-C28D72DC3041}" name="Production system only">
      <calculatedColumnFormula array="1">Common_InputFunctions.Utility_DisplayArrayInTable(Common_SourceData.Common_SourceData_EFN2O_Data(), Table_SourceData_Common_EFN2O[[#Headers],[Production system j]], 0)</calculatedColumnFormula>
    </tableColumn>
    <tableColumn id="4" xr3:uid="{F3315F67-FF89-40C3-875B-8BCA7D18C78C}" name="Irrigation method">
      <calculatedColumnFormula array="1">Common_InputFunctions.Utility_DisplayArrayInTable(Common_SourceData.Common_SourceData_EFN2O_Data(), Table_SourceData_Common_EFN2O[[#Headers],[Production system j]], 0)</calculatedColumnFormula>
    </tableColumn>
    <tableColumn id="5" xr3:uid="{611A1432-93F4-4BC6-96C7-30F289CB958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68516E9-CBE9-4F1A-A10D-D5266E3A635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44D9DC31-1F20-4231-802A-327321B92733}" name="Irrigation type i">
      <calculatedColumnFormula array="1">Common_InputFunctions.Utility_DisplayArrayInTable(Common_SourceData.Common_SourceData_FracWETIrrigation_Data(), Table_SourceData_FracWETIrrigation[[#Headers],[Irrigation type i]], 0)</calculatedColumnFormula>
    </tableColumn>
    <tableColumn id="2" xr3:uid="{78FBAE51-2AC9-4726-BCE8-8AEB473CDA32}"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A07639FD-1BEF-4F45-9354-98B3046A1F75}"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58B8C65-A0CA-4D49-A0BA-E1EC6599608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415B8E5-F53A-45CF-ADE6-BB51329F55D7}"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8BA28FA-9F83-4107-AD91-24832787676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92225A0A-3F7D-408E-BDFF-C99B61D079BB}" name="Month">
      <calculatedColumnFormula array="1">Common_InputFunctions.Utility_DisplayArrayInTable(Common_SourceData.Common_SourceData_MonthsToSeasons_Data(), Table_SourceData_Common_MonthToSeason[[#Headers],[Month]], 0)</calculatedColumnFormula>
    </tableColumn>
    <tableColumn id="2" xr3:uid="{0D355BF2-9706-4D51-A8C2-47986F66CBB6}"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50F53CFB-0A90-4AE1-9FA2-CEE5EE26C54E}"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BC08E33-DFD2-4C11-8D6C-567692B047B8}"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136355B-A5DB-444A-B49A-FCECDC155C52}"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D417BBA-04EF-4FEB-9F3C-EF5675C1D99C}"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53BB6AC-78C7-4EC6-AF4B-7CAE691FA1AC}"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820B7D3-D47C-4785-82A9-DDB7FF4F25E3}"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21755221-82CD-4A3F-8D87-FED0DA9B23A5}"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9B850097-257A-4973-B84A-8A762ED34F52}"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ABA1637-7370-4A2F-A2F9-33449FE60091}"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7ADA753-3843-4F2C-B3A4-3AA78DDC98F1}"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C18A7AC-CF2B-4D81-A2AF-55AF2DFD4A1C}"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80B766D-1E08-4B43-B7E4-2C3A18A6F4B2}"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FADDD900-48E3-4F32-B95C-2CC0490B578E}"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E029C2D-3D00-4CFF-BDF2-6D3EDB9F7C9D}"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39F4D44-E7B3-425D-80F5-1C76EC4025F5}"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1CDE562-987D-4157-8BE9-6C97BD908910}"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A854970-A8E8-40AA-BD5B-43401905065D}"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5092A95D-3A80-4D90-A4D7-0DBE8948D40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F3A82A0-DFDF-4ECF-B191-D9C2C4D5DEC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815DA7-5450-48EC-B3E9-318DB59D4DF9}"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3.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9.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63" t="e" vm="1">
        <v>#VALUE!</v>
      </c>
      <c r="C1" s="109" t="s">
        <v>177</v>
      </c>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row>
    <row r="2" spans="1:64" ht="20.100000000000001" customHeight="1" x14ac:dyDescent="0.25">
      <c r="A2" s="9"/>
      <c r="C2" s="110"/>
      <c r="D2" s="110"/>
      <c r="E2" s="110"/>
      <c r="F2" s="110"/>
      <c r="G2" s="110"/>
      <c r="H2" s="110"/>
      <c r="I2" s="110"/>
      <c r="J2" s="110"/>
      <c r="K2" s="110"/>
      <c r="L2" s="110"/>
      <c r="M2" s="110"/>
      <c r="N2" s="110"/>
      <c r="O2" s="110"/>
      <c r="P2" s="110"/>
      <c r="Q2" s="110"/>
      <c r="R2" s="110"/>
      <c r="S2" s="110"/>
      <c r="T2" s="110"/>
      <c r="U2" s="110"/>
      <c r="V2" s="110"/>
      <c r="W2" s="110"/>
      <c r="X2" s="110"/>
      <c r="Y2" s="110"/>
      <c r="Z2" s="110"/>
      <c r="AA2" s="110"/>
      <c r="AB2" s="110"/>
      <c r="AC2" s="110"/>
      <c r="AD2" s="110"/>
      <c r="AE2" s="110"/>
      <c r="AF2" s="110"/>
      <c r="AG2" s="110"/>
    </row>
    <row r="3" spans="1:64" ht="20.100000000000001" customHeight="1" x14ac:dyDescent="0.25">
      <c r="A3" s="17" t="str">
        <f>HYPERLINK("#'Home'!A1", "Home")</f>
        <v>Home</v>
      </c>
      <c r="C3" s="111"/>
      <c r="D3" s="111"/>
      <c r="E3" s="111"/>
      <c r="F3" s="111"/>
      <c r="G3" s="111"/>
      <c r="H3" s="111"/>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row>
    <row r="4" spans="1:64" ht="20.100000000000001" customHeight="1" x14ac:dyDescent="0.25">
      <c r="A4" s="10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12" t="s">
        <v>179</v>
      </c>
      <c r="E5" s="112"/>
      <c r="F5" s="112"/>
      <c r="G5" s="112"/>
      <c r="H5" s="112"/>
      <c r="I5" s="96"/>
      <c r="J5" s="79"/>
      <c r="K5" s="79"/>
      <c r="L5" s="79"/>
      <c r="M5" s="79"/>
      <c r="N5" s="79"/>
      <c r="O5" s="75"/>
      <c r="P5" s="1"/>
      <c r="Q5" s="1"/>
      <c r="R5" s="1"/>
      <c r="S5" s="1"/>
      <c r="T5" s="1"/>
      <c r="U5" s="1"/>
      <c r="V5" s="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13" t="s">
        <v>159</v>
      </c>
      <c r="E6" s="114"/>
      <c r="F6" s="114"/>
      <c r="G6" s="114"/>
      <c r="H6" s="114"/>
      <c r="I6" s="81"/>
      <c r="J6" s="78"/>
      <c r="K6" s="78"/>
      <c r="L6" s="78"/>
      <c r="M6" s="78"/>
      <c r="N6" s="78"/>
      <c r="O6" s="76"/>
      <c r="P6" s="1"/>
      <c r="Q6" s="1"/>
      <c r="R6" s="1"/>
      <c r="S6" s="1"/>
      <c r="T6" s="1"/>
      <c r="U6" s="1"/>
      <c r="V6" s="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58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HYPERLINK("#'3.1.1.1-2 Enteric Methane'!A1", "3.1.1.1-2 Enteric Methane")</f>
        <v>3.1.1.1-2 Enteric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8" t="s">
        <v>4</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HYPERLINK("#'Constants - Feedlot'!A1", "Constants - Feedlot")</f>
        <v>Constants - Feedlot</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I7" sqref="I7"/>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3" t="e" vm="1">
        <v>#VALUE!</v>
      </c>
      <c r="C1" s="102" t="s">
        <v>178</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01" t="str">
        <f>HYPERLINK("#'Results'!A1", "Results")</f>
        <v>Results</v>
      </c>
      <c r="C5" s="24"/>
      <c r="D5" s="28"/>
      <c r="E5" s="29"/>
      <c r="F5" s="29"/>
      <c r="G5" s="29"/>
      <c r="H5" s="26"/>
      <c r="I5" s="24"/>
      <c r="J5" s="24"/>
      <c r="K5" s="24"/>
      <c r="L5" s="24"/>
    </row>
    <row r="6" spans="1:12" ht="20.100000000000001" customHeight="1" x14ac:dyDescent="0.25">
      <c r="A6" s="16"/>
      <c r="C6" s="24"/>
      <c r="D6" s="100" t="s">
        <v>114</v>
      </c>
      <c r="E6" s="100" t="s">
        <v>137</v>
      </c>
      <c r="F6" s="100" t="s">
        <v>138</v>
      </c>
      <c r="G6" s="100" t="s">
        <v>128</v>
      </c>
      <c r="H6" s="100" t="s">
        <v>139</v>
      </c>
      <c r="I6" s="100" t="s">
        <v>141</v>
      </c>
      <c r="J6" s="100" t="s">
        <v>129</v>
      </c>
      <c r="K6" s="24"/>
      <c r="L6" s="24"/>
    </row>
    <row r="7" spans="1:12" ht="20.100000000000001" customHeight="1" x14ac:dyDescent="0.25">
      <c r="A7" s="20" t="s">
        <v>3</v>
      </c>
      <c r="C7" s="24"/>
      <c r="D7" s="1" t="s">
        <v>160</v>
      </c>
      <c r="E7" s="98">
        <f ca="1">VEERG_3_1_1_1__1_TotalAnnualMethaneFromEntericFermentation_Result</f>
        <v>35.420230000000004</v>
      </c>
      <c r="F7" s="98">
        <f ca="1">'3.1.1.1-2 Enteric Methane'!N67</f>
        <v>35.420230000000004</v>
      </c>
      <c r="G7" s="52" t="str">
        <f>'3.1.1.1-2 Enteric Methane'!F67</f>
        <v>t CH4</v>
      </c>
      <c r="H7" s="98">
        <f ca="1">'3.1.1.1-2 Enteric Methane'!E72</f>
        <v>991.7664400000001</v>
      </c>
      <c r="I7" s="98">
        <f ca="1">'3.1.1.1-2 Enteric Methane'!N72</f>
        <v>991.7664400000001</v>
      </c>
      <c r="J7" s="52" t="s">
        <v>140</v>
      </c>
      <c r="K7" s="24"/>
      <c r="L7" s="24"/>
    </row>
    <row r="8" spans="1:12" ht="20.100000000000001" customHeight="1" x14ac:dyDescent="0.3">
      <c r="A8" s="17" t="str">
        <f>HYPERLINK("#'Input - Site'!A1", "Site")</f>
        <v>Site</v>
      </c>
      <c r="C8" s="24"/>
      <c r="D8" s="31" t="s">
        <v>127</v>
      </c>
      <c r="E8" s="25"/>
      <c r="F8" s="31"/>
      <c r="G8" s="31"/>
      <c r="H8" s="99">
        <f ca="1">SUM(H7:H7)</f>
        <v>991.7664400000001</v>
      </c>
      <c r="I8" s="99">
        <f ca="1">SUM(I7:I7)</f>
        <v>991.7664400000001</v>
      </c>
      <c r="J8" s="93" t="s">
        <v>140</v>
      </c>
      <c r="K8" s="24"/>
      <c r="L8" s="24"/>
    </row>
    <row r="9" spans="1:12" ht="20.100000000000001" customHeight="1" x14ac:dyDescent="0.25">
      <c r="A9" s="17" t="str">
        <f>HYPERLINK("#'Input - Feedlot'!A1", "Feedlot")</f>
        <v>Feedlot</v>
      </c>
      <c r="C9" s="24"/>
      <c r="D9" s="1"/>
      <c r="E9" s="1"/>
      <c r="F9" s="1"/>
      <c r="G9" s="26"/>
      <c r="H9" s="24"/>
      <c r="I9" s="1"/>
      <c r="J9" s="1"/>
      <c r="K9" s="24"/>
      <c r="L9" s="24"/>
    </row>
    <row r="10" spans="1:12" ht="20.100000000000001" customHeight="1" x14ac:dyDescent="0.25">
      <c r="A10" s="17"/>
      <c r="C10" s="24"/>
      <c r="D10" s="1"/>
      <c r="E10" s="1"/>
      <c r="F10" s="1"/>
      <c r="G10" s="1"/>
      <c r="H10" s="1"/>
      <c r="I10" s="1"/>
      <c r="J10" s="1"/>
      <c r="K10" s="24"/>
      <c r="L10" s="24"/>
    </row>
    <row r="11" spans="1:12" ht="20.100000000000001" customHeight="1" x14ac:dyDescent="0.25">
      <c r="A11" s="19" t="s">
        <v>58</v>
      </c>
      <c r="C11" s="24"/>
      <c r="D11" s="1"/>
      <c r="E11" s="1"/>
      <c r="F11" s="1"/>
      <c r="G11" s="1"/>
      <c r="H11" s="1"/>
      <c r="I11" s="1"/>
      <c r="J11" s="1"/>
      <c r="K11" s="24"/>
      <c r="L11" s="24"/>
    </row>
    <row r="12" spans="1:12" ht="20.100000000000001" customHeight="1" x14ac:dyDescent="0.25">
      <c r="A12" s="17" t="str">
        <f>HYPERLINK("#'3.1.1.1-2 Enteric Methane'!A1", "3.1.1.1-2 Enteric Methane")</f>
        <v>3.1.1.1-2 Enteric Methane</v>
      </c>
      <c r="C12" s="24"/>
      <c r="D12" s="1"/>
      <c r="E12" s="1"/>
      <c r="F12" s="1"/>
      <c r="G12" s="1"/>
      <c r="H12" s="1"/>
      <c r="I12" s="1"/>
      <c r="J12" s="1"/>
      <c r="K12" s="24"/>
      <c r="L12" s="24"/>
    </row>
    <row r="13" spans="1:12" ht="20.100000000000001" customHeight="1" x14ac:dyDescent="0.25">
      <c r="C13" s="24"/>
      <c r="D13" s="1"/>
      <c r="E13" s="1"/>
      <c r="F13" s="1"/>
      <c r="G13" s="1"/>
      <c r="H13" s="1"/>
      <c r="I13" s="1"/>
      <c r="J13" s="1"/>
      <c r="K13" s="24"/>
      <c r="L13" s="24"/>
    </row>
    <row r="14" spans="1:12" ht="20.100000000000001" customHeight="1" x14ac:dyDescent="0.25">
      <c r="A14" s="18" t="s">
        <v>4</v>
      </c>
      <c r="C14" s="24"/>
      <c r="D14" s="1"/>
      <c r="E14" s="1"/>
      <c r="F14" s="1"/>
      <c r="G14" s="1"/>
      <c r="H14" s="1"/>
      <c r="I14" s="1"/>
      <c r="J14" s="1"/>
      <c r="K14" s="24"/>
      <c r="L14" s="24"/>
    </row>
    <row r="15" spans="1:12" ht="20.100000000000001" customHeight="1" x14ac:dyDescent="0.25">
      <c r="A15" s="17" t="str">
        <f>HYPERLINK("#'Constants - Feedlot'!A1", "Constants - Feedlot")</f>
        <v>Constants - Feedlot</v>
      </c>
      <c r="C15" s="24"/>
      <c r="D15" s="1"/>
      <c r="E15" s="1"/>
      <c r="F15" s="1"/>
      <c r="G15" s="1"/>
      <c r="H15" s="1"/>
      <c r="I15" s="1"/>
      <c r="J15" s="1"/>
      <c r="K15" s="24"/>
      <c r="L15" s="24"/>
    </row>
    <row r="16" spans="1:12" ht="20.100000000000001" customHeight="1" x14ac:dyDescent="0.25">
      <c r="A16" s="17" t="str">
        <f>HYPERLINK("#'Constants - Livestock'!A1", "Constants - Livestock")</f>
        <v>Constants - Livestock</v>
      </c>
      <c r="C16" s="24"/>
      <c r="D16" s="1"/>
      <c r="E16" s="1"/>
      <c r="F16" s="1"/>
      <c r="G16" s="1"/>
      <c r="H16" s="1"/>
      <c r="I16" s="1"/>
      <c r="J16" s="1"/>
      <c r="K16" s="24"/>
      <c r="L16" s="24"/>
    </row>
    <row r="17" spans="1:12" ht="20.100000000000001" customHeight="1" x14ac:dyDescent="0.25">
      <c r="A17" s="17" t="str">
        <f>HYPERLINK("#'Constants - Common'!A1", "Constants - Common")</f>
        <v>Constants - Common</v>
      </c>
      <c r="C17" s="24"/>
      <c r="D17" s="1"/>
      <c r="E17" s="1"/>
      <c r="F17" s="1"/>
      <c r="G17" s="1"/>
      <c r="H17" s="1"/>
      <c r="I17" s="1"/>
      <c r="J17" s="1"/>
      <c r="K17" s="24"/>
      <c r="L17" s="24"/>
    </row>
    <row r="18" spans="1:12" ht="20.100000000000001" customHeight="1" x14ac:dyDescent="0.25">
      <c r="A18" s="17" t="str">
        <f>HYPERLINK("#'Acknowledgements'!A1", "Acknowledgements")</f>
        <v>Acknowledgements</v>
      </c>
      <c r="C18" s="24"/>
      <c r="D18" s="1"/>
      <c r="E18" s="1"/>
      <c r="F18" s="1"/>
      <c r="G18" s="1"/>
      <c r="H18" s="1"/>
      <c r="I18" s="1"/>
      <c r="J18" s="1"/>
      <c r="K18" s="24"/>
      <c r="L18" s="24"/>
    </row>
    <row r="19" spans="1:12" ht="20.100000000000001" customHeight="1" x14ac:dyDescent="0.25">
      <c r="C19" s="24"/>
      <c r="D19" s="1"/>
      <c r="E19" s="1"/>
      <c r="F19" s="1"/>
      <c r="G19" s="1"/>
      <c r="H19" s="1"/>
      <c r="I19" s="1"/>
      <c r="J19" s="1"/>
      <c r="K19" s="24"/>
      <c r="L19" s="24"/>
    </row>
    <row r="20" spans="1:12" ht="20.100000000000001" customHeight="1" x14ac:dyDescent="0.25">
      <c r="C20" s="24"/>
      <c r="D20" s="1"/>
      <c r="E20" s="1"/>
      <c r="F20" s="1"/>
      <c r="G20" s="1"/>
      <c r="H20" s="1"/>
      <c r="I20" s="1"/>
      <c r="J20" s="1"/>
      <c r="K20" s="24"/>
      <c r="L20" s="24"/>
    </row>
    <row r="21" spans="1:12" ht="20.100000000000001" customHeight="1" x14ac:dyDescent="0.25">
      <c r="A21" s="17"/>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97"/>
      <c r="J38" s="97"/>
      <c r="K38" s="97"/>
      <c r="L38" s="24"/>
    </row>
    <row r="39" spans="3:12" ht="20.100000000000001" customHeight="1" x14ac:dyDescent="0.25">
      <c r="C39" s="24"/>
      <c r="D39" s="1"/>
      <c r="E39" s="1"/>
      <c r="F39" s="1"/>
      <c r="G39" s="1"/>
      <c r="H39" s="1"/>
      <c r="I39" s="97"/>
      <c r="J39" s="97"/>
      <c r="K39" s="97"/>
      <c r="L39" s="24"/>
    </row>
    <row r="40" spans="3:12" ht="20.100000000000001" customHeight="1" x14ac:dyDescent="0.25">
      <c r="C40" s="24"/>
      <c r="D40" s="1"/>
      <c r="E40" s="1"/>
      <c r="F40" s="1"/>
      <c r="G40" s="1"/>
      <c r="H40" s="1"/>
      <c r="I40" s="97"/>
      <c r="J40" s="97"/>
      <c r="K40" s="97"/>
      <c r="L40" s="24"/>
    </row>
    <row r="41" spans="3:12" ht="20.100000000000001" customHeight="1" x14ac:dyDescent="0.25">
      <c r="C41" s="24"/>
      <c r="D41" s="1"/>
      <c r="E41" s="1"/>
      <c r="F41" s="1"/>
      <c r="G41" s="1"/>
      <c r="H41" s="1"/>
      <c r="I41" s="97"/>
      <c r="J41" s="97"/>
      <c r="K41" s="97"/>
      <c r="L41" s="24"/>
    </row>
    <row r="42" spans="3:12" ht="20.100000000000001" customHeight="1" x14ac:dyDescent="0.25">
      <c r="C42" s="24"/>
      <c r="D42" s="1"/>
      <c r="E42" s="1"/>
      <c r="F42" s="1"/>
      <c r="G42" s="1"/>
      <c r="H42" s="1"/>
      <c r="I42" s="97"/>
      <c r="J42" s="97"/>
      <c r="K42" s="97"/>
      <c r="L42" s="24"/>
    </row>
    <row r="43" spans="3:12" ht="20.100000000000001" customHeight="1" x14ac:dyDescent="0.25">
      <c r="C43" s="24"/>
      <c r="D43" s="1"/>
      <c r="E43" s="1"/>
      <c r="F43" s="1"/>
      <c r="G43" s="1"/>
      <c r="H43" s="1"/>
      <c r="I43" s="97"/>
      <c r="J43" s="97"/>
      <c r="K43" s="97"/>
      <c r="L43" s="24"/>
    </row>
    <row r="44" spans="3:12" ht="20.100000000000001" customHeight="1" x14ac:dyDescent="0.25">
      <c r="C44" s="24"/>
      <c r="D44" s="1"/>
      <c r="E44" s="1"/>
      <c r="F44" s="1"/>
      <c r="G44" s="1"/>
      <c r="H44" s="1"/>
      <c r="I44" s="97"/>
      <c r="J44" s="97"/>
      <c r="K44" s="97"/>
      <c r="L44" s="24"/>
    </row>
    <row r="45" spans="3:12" ht="20.100000000000001" customHeight="1" x14ac:dyDescent="0.25">
      <c r="C45" s="24"/>
      <c r="D45" s="1"/>
      <c r="E45" s="1"/>
      <c r="F45" s="1"/>
      <c r="G45" s="1"/>
      <c r="H45" s="1"/>
      <c r="I45" s="97"/>
      <c r="J45" s="97"/>
      <c r="K45" s="97"/>
      <c r="L45" s="24"/>
    </row>
    <row r="46" spans="3:12" ht="20.100000000000001" customHeight="1" x14ac:dyDescent="0.25">
      <c r="C46" s="24"/>
      <c r="D46" s="1"/>
      <c r="E46" s="1"/>
      <c r="F46" s="1"/>
      <c r="G46" s="1"/>
      <c r="H46" s="1"/>
      <c r="I46" s="97"/>
      <c r="J46" s="97"/>
      <c r="K46" s="97"/>
      <c r="L46" s="24"/>
    </row>
    <row r="47" spans="3:12" ht="20.100000000000001" customHeight="1" x14ac:dyDescent="0.25">
      <c r="C47" s="24"/>
      <c r="D47" s="1"/>
      <c r="E47" s="1"/>
      <c r="F47" s="1"/>
      <c r="G47" s="1"/>
      <c r="H47" s="1"/>
      <c r="I47" s="97"/>
      <c r="J47" s="97"/>
      <c r="K47" s="97"/>
      <c r="L47" s="24"/>
    </row>
    <row r="48" spans="3:12" ht="20.100000000000001" customHeight="1" x14ac:dyDescent="0.25">
      <c r="C48" s="24"/>
      <c r="D48" s="1"/>
      <c r="E48" s="1"/>
      <c r="F48" s="1"/>
      <c r="G48" s="1"/>
      <c r="H48" s="1"/>
      <c r="I48" s="97"/>
      <c r="J48" s="97"/>
      <c r="K48" s="97"/>
      <c r="L48" s="24"/>
    </row>
    <row r="49" spans="3:12" ht="20.100000000000001" customHeight="1" x14ac:dyDescent="0.25">
      <c r="C49" s="24"/>
      <c r="D49" s="1"/>
      <c r="E49" s="1"/>
      <c r="F49" s="1"/>
      <c r="G49" s="1"/>
      <c r="H49" s="97"/>
      <c r="I49" s="97"/>
      <c r="J49" s="97"/>
      <c r="K49" s="97"/>
      <c r="L49" s="24"/>
    </row>
    <row r="50" spans="3:12" ht="20.100000000000001" customHeight="1" x14ac:dyDescent="0.25">
      <c r="C50" s="24"/>
      <c r="D50" s="1"/>
      <c r="E50" s="1"/>
      <c r="F50" s="1"/>
      <c r="G50" s="1"/>
      <c r="H50" s="97"/>
      <c r="I50" s="97"/>
      <c r="J50" s="97"/>
      <c r="K50" s="97"/>
      <c r="L50" s="24"/>
    </row>
    <row r="51" spans="3:12" ht="20.100000000000001" customHeight="1" x14ac:dyDescent="0.25">
      <c r="C51" s="24"/>
      <c r="D51" s="1"/>
      <c r="E51" s="1"/>
      <c r="F51" s="1"/>
      <c r="G51" s="1"/>
      <c r="H51" s="97"/>
      <c r="I51" s="97"/>
      <c r="J51" s="97"/>
      <c r="K51" s="97"/>
      <c r="L51" s="24"/>
    </row>
    <row r="52" spans="3:12" ht="20.100000000000001" customHeight="1" x14ac:dyDescent="0.25">
      <c r="C52" s="24"/>
      <c r="D52" s="1"/>
      <c r="E52" s="1"/>
      <c r="F52" s="1"/>
      <c r="G52" s="1"/>
      <c r="H52" s="97"/>
      <c r="I52" s="97"/>
      <c r="J52" s="97"/>
      <c r="K52" s="97"/>
      <c r="L52" s="24"/>
    </row>
    <row r="53" spans="3:12" ht="20.100000000000001" customHeight="1" x14ac:dyDescent="0.25">
      <c r="C53" s="24"/>
      <c r="D53" s="1"/>
      <c r="E53" s="1"/>
      <c r="F53" s="1"/>
      <c r="G53" s="1"/>
      <c r="H53" s="97"/>
      <c r="I53" s="97"/>
      <c r="J53" s="97"/>
      <c r="K53" s="97"/>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2" sqref="E1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73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9</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21" t="str">
        <f>HYPERLINK("#'Input - Site'!A1", "Site")</f>
        <v>Site</v>
      </c>
      <c r="D8" s="10" t="s">
        <v>54</v>
      </c>
      <c r="E8" s="33" t="s">
        <v>55</v>
      </c>
    </row>
    <row r="9" spans="1:24" ht="20.100000000000001" customHeight="1" x14ac:dyDescent="0.25">
      <c r="A9" s="17" t="str">
        <f>HYPERLINK("#'Input - Feedlot'!A1", "Feedlot")</f>
        <v>Feedlot</v>
      </c>
      <c r="N9" s="42"/>
    </row>
    <row r="10" spans="1:24" ht="20.100000000000001" customHeight="1" x14ac:dyDescent="0.25">
      <c r="A10" s="17"/>
      <c r="D10" s="82" t="s">
        <v>72</v>
      </c>
      <c r="E10" s="80"/>
      <c r="F10" s="83"/>
      <c r="G10" s="77"/>
      <c r="N10" s="42"/>
    </row>
    <row r="11" spans="1:24" ht="20.100000000000001" customHeight="1" x14ac:dyDescent="0.25">
      <c r="A11" s="19" t="s">
        <v>58</v>
      </c>
      <c r="N11" s="43"/>
    </row>
    <row r="12" spans="1:24" ht="20.100000000000001" customHeight="1" x14ac:dyDescent="0.25">
      <c r="A12" s="17" t="str">
        <f>HYPERLINK("#'3.1.1.1-2 Enteric Methane'!A1", "3.1.1.1-2 Enteric Methane")</f>
        <v>3.1.1.1-2 Enteric Methane</v>
      </c>
      <c r="D12" s="10" t="s">
        <v>76</v>
      </c>
      <c r="E12" s="59">
        <v>45292</v>
      </c>
      <c r="F12" s="2" t="s">
        <v>53</v>
      </c>
    </row>
    <row r="13" spans="1:24" ht="20.100000000000001" customHeight="1" x14ac:dyDescent="0.25">
      <c r="A13"/>
      <c r="D13" s="10" t="s">
        <v>77</v>
      </c>
      <c r="E13" s="66">
        <f>DATE(YEAR(E12)+1,MONTH(E12),DAY(E12))-1</f>
        <v>45657</v>
      </c>
      <c r="F13" s="2" t="s">
        <v>10</v>
      </c>
      <c r="N13" s="38"/>
      <c r="O13" s="38"/>
    </row>
    <row r="14" spans="1:24" ht="20.100000000000001" customHeight="1" x14ac:dyDescent="0.25">
      <c r="A14" s="18" t="s">
        <v>4</v>
      </c>
      <c r="N14" s="38"/>
      <c r="O14" s="38"/>
    </row>
    <row r="15" spans="1:24" ht="20.100000000000001" customHeight="1" x14ac:dyDescent="0.25">
      <c r="A15" s="17" t="str">
        <f>HYPERLINK("#'Constants - Feedlot'!A1", "Constants - Feedlot")</f>
        <v>Constants - Feedlot</v>
      </c>
      <c r="D15" s="34"/>
      <c r="E15" s="34"/>
      <c r="F15" s="34"/>
      <c r="G15" s="34"/>
      <c r="H15" s="34"/>
      <c r="I15" s="34"/>
      <c r="J15" s="34"/>
      <c r="K15" s="34"/>
      <c r="N15" s="38"/>
      <c r="O15" s="38"/>
    </row>
    <row r="16" spans="1:24" ht="20.100000000000001" customHeight="1" x14ac:dyDescent="0.25">
      <c r="A16" s="17" t="str">
        <f>HYPERLINK("#'Constants - Livestock'!A1", "Constants - Livestock")</f>
        <v>Constants - Livestock</v>
      </c>
      <c r="D16" s="34"/>
      <c r="E16" s="34"/>
      <c r="F16" s="34"/>
      <c r="G16" s="34"/>
      <c r="H16" s="34"/>
      <c r="I16" s="34"/>
      <c r="J16" s="34"/>
      <c r="K16" s="34"/>
      <c r="N16" s="38"/>
      <c r="O16" s="38"/>
    </row>
    <row r="17" spans="1:25" ht="20.100000000000001" customHeight="1" x14ac:dyDescent="0.25">
      <c r="A17" s="17" t="str">
        <f>HYPERLINK("#'Constants - Common'!A1", "Constants - Common")</f>
        <v>Constants - Common</v>
      </c>
      <c r="D17" s="34"/>
      <c r="E17" s="34"/>
      <c r="F17" s="34"/>
      <c r="G17" s="34"/>
      <c r="H17" s="34"/>
      <c r="I17" s="34"/>
      <c r="J17" s="34"/>
      <c r="K17" s="34"/>
    </row>
    <row r="18" spans="1:25" ht="20.100000000000001" customHeight="1" x14ac:dyDescent="0.25">
      <c r="A18" s="17" t="str">
        <f>HYPERLINK("#'Acknowledgements'!A1", "Acknowledgements")</f>
        <v>Acknowledgements</v>
      </c>
      <c r="D18" s="34"/>
      <c r="E18" s="34"/>
      <c r="F18" s="34"/>
      <c r="G18" s="34"/>
      <c r="H18" s="34"/>
      <c r="I18" s="34"/>
      <c r="J18" s="34"/>
      <c r="K18" s="34"/>
    </row>
    <row r="19" spans="1:25" ht="20.100000000000001" customHeight="1" x14ac:dyDescent="0.25">
      <c r="A19"/>
      <c r="D19" s="34"/>
      <c r="E19" s="34"/>
      <c r="F19" s="34"/>
      <c r="G19" s="34"/>
      <c r="H19" s="34"/>
      <c r="I19" s="34"/>
      <c r="J19" s="34"/>
      <c r="K19" s="34"/>
      <c r="N19" s="40"/>
    </row>
    <row r="20" spans="1:25" ht="20.100000000000001" customHeight="1" x14ac:dyDescent="0.25">
      <c r="A20"/>
      <c r="D20" s="34"/>
      <c r="E20" s="34"/>
      <c r="F20" s="34"/>
      <c r="G20" s="34"/>
      <c r="H20" s="34"/>
      <c r="I20" s="34"/>
      <c r="J20" s="34"/>
      <c r="K20" s="34"/>
      <c r="N20" s="41"/>
    </row>
    <row r="21" spans="1:25" ht="20.100000000000001" customHeight="1" x14ac:dyDescent="0.25">
      <c r="A21" s="17"/>
      <c r="D21" s="34"/>
      <c r="E21" s="34"/>
      <c r="F21" s="34"/>
      <c r="G21" s="34"/>
      <c r="H21" s="34"/>
      <c r="I21" s="34"/>
      <c r="J21" s="34"/>
      <c r="K21" s="34"/>
    </row>
    <row r="22" spans="1:25" ht="20.100000000000001" customHeight="1" x14ac:dyDescent="0.25">
      <c r="A22"/>
      <c r="D22" s="34"/>
      <c r="E22" s="34"/>
      <c r="F22" s="34"/>
      <c r="G22" s="34"/>
      <c r="H22" s="34"/>
      <c r="I22" s="34"/>
      <c r="J22" s="34"/>
      <c r="K22" s="34"/>
    </row>
    <row r="23" spans="1:25" ht="20.100000000000001" customHeight="1" x14ac:dyDescent="0.25">
      <c r="A23"/>
      <c r="D23" s="34"/>
      <c r="E23" s="34"/>
      <c r="F23" s="34"/>
      <c r="G23" s="34"/>
      <c r="H23" s="34"/>
      <c r="I23" s="34"/>
      <c r="J23" s="34"/>
      <c r="K23" s="34"/>
    </row>
    <row r="24" spans="1:25" ht="20.100000000000001" customHeight="1" x14ac:dyDescent="0.25">
      <c r="A24"/>
      <c r="D24" s="34"/>
      <c r="E24" s="34"/>
      <c r="F24" s="34"/>
      <c r="G24" s="34"/>
      <c r="H24" s="34"/>
      <c r="I24" s="34"/>
      <c r="J24" s="34"/>
      <c r="K24" s="34"/>
    </row>
    <row r="25" spans="1:25" ht="20.100000000000001" customHeight="1" x14ac:dyDescent="0.25">
      <c r="A25"/>
      <c r="D25" s="34"/>
      <c r="E25" s="34"/>
      <c r="F25" s="34"/>
      <c r="G25" s="34"/>
      <c r="H25" s="34"/>
      <c r="I25" s="34"/>
      <c r="J25" s="34"/>
      <c r="K25" s="34"/>
      <c r="N25" s="41"/>
    </row>
    <row r="26" spans="1:25" ht="20.100000000000001" customHeight="1" x14ac:dyDescent="0.25">
      <c r="A26"/>
      <c r="D26" s="34"/>
      <c r="E26" s="34"/>
      <c r="F26" s="34"/>
      <c r="G26" s="34"/>
      <c r="H26" s="34"/>
      <c r="I26" s="34"/>
      <c r="J26" s="34"/>
      <c r="K26" s="34"/>
    </row>
    <row r="27" spans="1:25" ht="20.100000000000001" customHeight="1" x14ac:dyDescent="0.25">
      <c r="A27"/>
      <c r="D27" s="34"/>
      <c r="E27" s="34"/>
      <c r="F27" s="34"/>
      <c r="G27" s="34"/>
      <c r="H27" s="34"/>
      <c r="I27" s="34"/>
      <c r="J27" s="34"/>
      <c r="K27" s="34"/>
    </row>
    <row r="28" spans="1:25" ht="20.100000000000001" customHeight="1" x14ac:dyDescent="0.25">
      <c r="A28"/>
      <c r="D28" s="34"/>
      <c r="E28" s="34"/>
      <c r="F28" s="34"/>
      <c r="G28" s="34"/>
      <c r="H28" s="34"/>
      <c r="I28" s="34"/>
      <c r="J28" s="34"/>
      <c r="K28" s="34"/>
    </row>
    <row r="29" spans="1:25" ht="20.100000000000001" customHeight="1" x14ac:dyDescent="0.25">
      <c r="A29"/>
      <c r="D29" s="34"/>
      <c r="E29" s="34"/>
      <c r="F29" s="34"/>
      <c r="G29" s="34"/>
      <c r="H29" s="34"/>
      <c r="I29" s="34"/>
      <c r="J29" s="34"/>
      <c r="K29" s="34"/>
    </row>
    <row r="30" spans="1:25" ht="20.100000000000001" customHeight="1" x14ac:dyDescent="0.25">
      <c r="A30"/>
      <c r="D30" s="34"/>
      <c r="E30" s="34"/>
      <c r="F30" s="34"/>
      <c r="G30" s="34"/>
      <c r="H30" s="34"/>
      <c r="I30" s="34"/>
      <c r="J30" s="34"/>
      <c r="K30" s="34"/>
      <c r="L30" s="47"/>
      <c r="M30" s="47"/>
      <c r="N30" s="47"/>
      <c r="O30" s="47"/>
      <c r="P30" s="47"/>
      <c r="Q30" s="47"/>
      <c r="R30" s="47"/>
      <c r="S30" s="47"/>
      <c r="T30" s="47"/>
      <c r="U30" s="47"/>
      <c r="V30" s="47"/>
      <c r="W30" s="47"/>
      <c r="X30" s="47"/>
      <c r="Y30" s="47"/>
    </row>
    <row r="31" spans="1:25" ht="20.100000000000001" customHeight="1" x14ac:dyDescent="0.25">
      <c r="A31"/>
      <c r="D31" s="34"/>
      <c r="E31" s="34"/>
      <c r="F31" s="34"/>
      <c r="G31" s="34"/>
      <c r="H31" s="34"/>
      <c r="I31" s="34"/>
      <c r="J31" s="34"/>
      <c r="K31" s="34"/>
      <c r="L31" s="46"/>
      <c r="M31" s="46"/>
      <c r="N31" s="46"/>
      <c r="O31" s="46"/>
      <c r="P31" s="46"/>
      <c r="Q31" s="46"/>
      <c r="R31" s="46"/>
      <c r="S31" s="46"/>
      <c r="T31" s="46"/>
      <c r="U31" s="46"/>
      <c r="V31" s="46"/>
      <c r="W31" s="46"/>
      <c r="X31" s="46"/>
      <c r="Y31" s="46"/>
    </row>
    <row r="32" spans="1:25" ht="20.100000000000001" customHeight="1" x14ac:dyDescent="0.25">
      <c r="A32"/>
      <c r="D32" s="34"/>
      <c r="E32" s="34"/>
      <c r="F32" s="34"/>
      <c r="G32" s="34"/>
      <c r="H32" s="34"/>
      <c r="I32" s="34"/>
      <c r="J32" s="34"/>
      <c r="K32" s="34"/>
      <c r="L32" s="46"/>
      <c r="M32" s="46"/>
      <c r="N32" s="46"/>
      <c r="O32" s="46"/>
      <c r="P32" s="46"/>
      <c r="Q32" s="46"/>
      <c r="R32" s="46"/>
      <c r="S32" s="46"/>
      <c r="T32" s="46"/>
      <c r="U32" s="46"/>
      <c r="V32" s="46"/>
      <c r="W32" s="46"/>
      <c r="X32" s="46"/>
      <c r="Y32" s="46"/>
    </row>
    <row r="33" spans="1:25" ht="20.100000000000001" customHeight="1" x14ac:dyDescent="0.25">
      <c r="A33"/>
      <c r="D33" s="34"/>
      <c r="E33" s="34"/>
      <c r="F33" s="34"/>
      <c r="G33" s="34"/>
      <c r="H33" s="34"/>
      <c r="I33" s="34"/>
      <c r="J33" s="34"/>
      <c r="K33" s="34"/>
      <c r="L33" s="46"/>
      <c r="M33" s="46"/>
      <c r="N33" s="46"/>
      <c r="O33" s="46"/>
      <c r="P33" s="46"/>
      <c r="Q33" s="46"/>
      <c r="R33" s="46"/>
      <c r="S33" s="46"/>
      <c r="T33" s="46"/>
      <c r="U33" s="46"/>
      <c r="V33" s="46"/>
      <c r="W33" s="46"/>
      <c r="X33" s="46"/>
      <c r="Y33" s="46"/>
    </row>
    <row r="34" spans="1:25" ht="20.100000000000001" customHeight="1" x14ac:dyDescent="0.25">
      <c r="A34"/>
      <c r="D34" s="34"/>
      <c r="E34" s="34"/>
      <c r="F34" s="34"/>
      <c r="G34" s="34"/>
      <c r="H34" s="34"/>
      <c r="I34" s="34"/>
      <c r="J34" s="34"/>
      <c r="K34" s="34"/>
      <c r="L34" s="46"/>
      <c r="M34" s="46"/>
      <c r="N34" s="46"/>
      <c r="O34" s="46"/>
      <c r="P34" s="46"/>
      <c r="Q34" s="46"/>
      <c r="R34" s="46"/>
      <c r="S34" s="46"/>
      <c r="T34" s="46"/>
      <c r="U34" s="46"/>
      <c r="V34" s="46"/>
      <c r="W34" s="46"/>
      <c r="X34" s="46"/>
      <c r="Y34" s="46"/>
    </row>
    <row r="35" spans="1:25" ht="20.100000000000001" customHeight="1" x14ac:dyDescent="0.25">
      <c r="A35"/>
      <c r="D35" s="34"/>
      <c r="E35" s="34"/>
      <c r="F35" s="34"/>
      <c r="G35" s="34"/>
      <c r="H35" s="34"/>
      <c r="I35" s="34"/>
      <c r="J35" s="34"/>
      <c r="K35" s="34"/>
      <c r="L35" s="46"/>
      <c r="M35" s="46"/>
      <c r="N35" s="46"/>
      <c r="O35" s="46"/>
      <c r="P35" s="46"/>
      <c r="Q35" s="46"/>
      <c r="R35" s="46"/>
      <c r="S35" s="46"/>
      <c r="T35" s="46"/>
      <c r="U35" s="46"/>
      <c r="V35" s="46"/>
      <c r="W35" s="46"/>
      <c r="X35" s="46"/>
      <c r="Y35" s="46"/>
    </row>
    <row r="36" spans="1:25" ht="20.100000000000001" customHeight="1" x14ac:dyDescent="0.25">
      <c r="A36"/>
      <c r="D36" s="34"/>
      <c r="E36" s="34"/>
      <c r="F36" s="34"/>
      <c r="G36" s="34"/>
      <c r="H36" s="34"/>
      <c r="I36" s="34"/>
      <c r="J36" s="34"/>
      <c r="K36" s="34"/>
      <c r="L36" s="46"/>
      <c r="M36" s="46"/>
      <c r="N36" s="46"/>
      <c r="O36" s="46"/>
      <c r="P36" s="46"/>
      <c r="Q36" s="46"/>
      <c r="R36" s="46"/>
      <c r="S36" s="46"/>
      <c r="T36" s="46"/>
      <c r="U36" s="46"/>
      <c r="V36" s="46"/>
      <c r="W36" s="46"/>
      <c r="X36" s="46"/>
      <c r="Y36" s="46"/>
    </row>
    <row r="37" spans="1:25" ht="20.100000000000001" customHeight="1" x14ac:dyDescent="0.25">
      <c r="A37"/>
      <c r="D37" s="34"/>
      <c r="E37" s="34"/>
      <c r="F37" s="34"/>
      <c r="G37" s="34"/>
      <c r="H37" s="34"/>
      <c r="I37" s="34"/>
      <c r="J37" s="34"/>
      <c r="K37" s="34"/>
      <c r="L37" s="46"/>
      <c r="M37" s="46"/>
      <c r="N37" s="46"/>
      <c r="O37" s="46"/>
      <c r="P37" s="46"/>
      <c r="Q37" s="46"/>
      <c r="R37" s="46"/>
      <c r="S37" s="46"/>
      <c r="T37" s="46"/>
      <c r="U37" s="46"/>
      <c r="V37" s="46"/>
      <c r="W37" s="46"/>
      <c r="X37" s="46"/>
      <c r="Y37" s="46"/>
    </row>
    <row r="38" spans="1:25" ht="20.100000000000001" customHeight="1" x14ac:dyDescent="0.25">
      <c r="A38"/>
      <c r="D38" s="34"/>
      <c r="E38" s="34"/>
      <c r="F38" s="34"/>
      <c r="G38" s="34"/>
      <c r="H38" s="34"/>
      <c r="I38" s="34"/>
      <c r="J38" s="34"/>
      <c r="K38" s="34"/>
      <c r="L38" s="46"/>
      <c r="M38" s="46"/>
      <c r="N38" s="46"/>
      <c r="O38" s="46"/>
      <c r="P38" s="46"/>
      <c r="Q38" s="46"/>
      <c r="R38" s="46"/>
      <c r="S38" s="46"/>
      <c r="T38" s="46"/>
      <c r="U38" s="46"/>
      <c r="V38" s="46"/>
      <c r="W38" s="46"/>
      <c r="X38" s="46"/>
      <c r="Y38" s="46"/>
    </row>
    <row r="39" spans="1:25" ht="20.100000000000001" customHeight="1" x14ac:dyDescent="0.25">
      <c r="A39"/>
      <c r="D39" s="34"/>
      <c r="E39" s="34"/>
      <c r="F39" s="34"/>
      <c r="G39" s="34"/>
      <c r="H39" s="34"/>
      <c r="I39" s="34"/>
      <c r="J39" s="34"/>
      <c r="K39" s="34"/>
      <c r="L39" s="46"/>
      <c r="M39" s="46"/>
      <c r="N39" s="46"/>
      <c r="O39" s="46"/>
      <c r="P39" s="46"/>
      <c r="Q39" s="46"/>
      <c r="R39" s="46"/>
      <c r="S39" s="46"/>
      <c r="T39" s="46"/>
      <c r="U39" s="46"/>
      <c r="V39" s="46"/>
      <c r="W39" s="46"/>
      <c r="X39" s="46"/>
      <c r="Y39" s="46"/>
    </row>
    <row r="40" spans="1:25" ht="20.100000000000001" customHeight="1" x14ac:dyDescent="0.25">
      <c r="A40"/>
      <c r="D40" s="34"/>
      <c r="E40" s="34"/>
      <c r="F40" s="34"/>
      <c r="G40" s="34"/>
      <c r="H40" s="34"/>
      <c r="I40" s="34"/>
      <c r="J40" s="34"/>
      <c r="K40" s="34"/>
      <c r="L40" s="48"/>
      <c r="M40" s="48"/>
      <c r="N40" s="48"/>
      <c r="O40" s="48"/>
      <c r="P40" s="48"/>
      <c r="Q40" s="48"/>
      <c r="R40" s="48"/>
      <c r="S40" s="48"/>
      <c r="T40" s="48"/>
      <c r="U40" s="48"/>
      <c r="V40" s="48"/>
      <c r="W40" s="48"/>
      <c r="X40" s="48"/>
      <c r="Y40" s="48"/>
    </row>
    <row r="41" spans="1:25" ht="20.100000000000001" customHeight="1" x14ac:dyDescent="0.25">
      <c r="A41"/>
      <c r="D41" s="34"/>
      <c r="E41" s="34"/>
      <c r="F41" s="34"/>
      <c r="G41" s="34"/>
      <c r="H41" s="34"/>
      <c r="I41" s="34"/>
      <c r="J41" s="34"/>
      <c r="K41" s="34"/>
    </row>
    <row r="42" spans="1:25" ht="20.100000000000001" customHeight="1" x14ac:dyDescent="0.25">
      <c r="A42"/>
      <c r="D42" s="34"/>
      <c r="E42" s="34"/>
      <c r="F42" s="34"/>
      <c r="G42" s="34"/>
      <c r="H42" s="34"/>
      <c r="I42" s="34"/>
      <c r="J42" s="34"/>
      <c r="K42" s="34"/>
    </row>
    <row r="43" spans="1:25" ht="20.100000000000001" customHeight="1" x14ac:dyDescent="0.25">
      <c r="A43"/>
      <c r="D43" s="34"/>
      <c r="E43" s="34"/>
      <c r="F43" s="34"/>
      <c r="G43" s="34"/>
      <c r="H43" s="34"/>
      <c r="I43" s="34"/>
      <c r="J43" s="34"/>
      <c r="K43" s="34"/>
    </row>
    <row r="44" spans="1:25" ht="20.100000000000001" customHeight="1" x14ac:dyDescent="0.25">
      <c r="D44" s="34"/>
      <c r="E44" s="34"/>
      <c r="F44" s="34"/>
      <c r="G44" s="34"/>
      <c r="H44" s="34"/>
      <c r="I44" s="34"/>
      <c r="J44" s="34"/>
      <c r="K44" s="34"/>
    </row>
    <row r="45" spans="1:25" ht="20.100000000000001" customHeight="1" x14ac:dyDescent="0.25">
      <c r="D45" s="34"/>
      <c r="E45" s="34"/>
      <c r="F45" s="34"/>
      <c r="G45" s="34"/>
      <c r="H45" s="34"/>
      <c r="I45" s="34"/>
      <c r="J45" s="34"/>
      <c r="K45" s="34"/>
    </row>
    <row r="46" spans="1:25" ht="20.100000000000001" customHeight="1" x14ac:dyDescent="0.25">
      <c r="D46" s="34"/>
      <c r="E46" s="34"/>
      <c r="F46" s="34"/>
      <c r="G46" s="34"/>
      <c r="H46" s="34"/>
      <c r="I46" s="34"/>
      <c r="J46" s="34"/>
      <c r="K46" s="34"/>
    </row>
    <row r="47" spans="1:25" ht="20.100000000000001" customHeight="1" x14ac:dyDescent="0.25">
      <c r="D47" s="34"/>
      <c r="E47" s="34"/>
      <c r="F47" s="34"/>
      <c r="G47" s="34"/>
      <c r="H47" s="34"/>
      <c r="I47" s="34"/>
      <c r="J47" s="34"/>
      <c r="K47" s="34"/>
    </row>
    <row r="48" spans="1:25" ht="20.100000000000001" customHeight="1" x14ac:dyDescent="0.25">
      <c r="D48" s="34"/>
      <c r="E48" s="34"/>
      <c r="F48" s="34"/>
      <c r="G48" s="34"/>
      <c r="H48" s="34"/>
      <c r="I48" s="34"/>
      <c r="J48" s="34"/>
      <c r="K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67"/>
      <c r="E51" s="68"/>
      <c r="F51" s="68"/>
      <c r="G51" s="68"/>
      <c r="H51" s="69"/>
    </row>
    <row r="52" spans="4:8" ht="20.100000000000001" customHeight="1" x14ac:dyDescent="0.25"/>
    <row r="53" spans="4:8" ht="20.100000000000001" customHeight="1" x14ac:dyDescent="0.25"/>
    <row r="54" spans="4:8" ht="20.100000000000001" customHeight="1" x14ac:dyDescent="0.25">
      <c r="G54" s="70"/>
    </row>
    <row r="55" spans="4:8" ht="20.100000000000001" customHeight="1" x14ac:dyDescent="0.25">
      <c r="D55" s="6"/>
    </row>
    <row r="56" spans="4:8" ht="20.100000000000001" customHeight="1" x14ac:dyDescent="0.25"/>
    <row r="57" spans="4:8" ht="20.100000000000001" customHeight="1" x14ac:dyDescent="0.25">
      <c r="D57" s="23"/>
      <c r="F57" s="71"/>
    </row>
    <row r="58" spans="4:8" ht="20.100000000000001" customHeight="1" x14ac:dyDescent="0.25">
      <c r="D58" s="1"/>
      <c r="E58" s="72"/>
    </row>
    <row r="59" spans="4:8" ht="20.100000000000001" customHeight="1" x14ac:dyDescent="0.25">
      <c r="D59" s="1"/>
      <c r="E59" s="72"/>
    </row>
    <row r="60" spans="4:8" ht="20.100000000000001" customHeight="1" x14ac:dyDescent="0.25">
      <c r="D60" s="1"/>
      <c r="E60" s="73"/>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72"/>
    </row>
    <row r="65" spans="4:9" ht="20.100000000000001" customHeight="1" x14ac:dyDescent="0.25">
      <c r="D65" s="1"/>
      <c r="E65" s="72"/>
    </row>
    <row r="66" spans="4:9" ht="20.100000000000001" customHeight="1" x14ac:dyDescent="0.25">
      <c r="D66" s="1"/>
      <c r="E66" s="73"/>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4"/>
    </row>
    <row r="79" spans="4:9" ht="20.100000000000001" customHeight="1" x14ac:dyDescent="0.25">
      <c r="D79" s="74"/>
    </row>
    <row r="80" spans="4:9" ht="20.100000000000001" customHeight="1" x14ac:dyDescent="0.25">
      <c r="D80" s="74"/>
    </row>
    <row r="81" spans="4:4" ht="20.100000000000001" customHeight="1" x14ac:dyDescent="0.25">
      <c r="D81" s="74"/>
    </row>
    <row r="82" spans="4:4" ht="20.100000000000001" customHeight="1" x14ac:dyDescent="0.25">
      <c r="D82" s="74"/>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E9" sqref="E9"/>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4" customWidth="1"/>
    <col min="15" max="20" width="30.7109375" style="54" customWidth="1"/>
    <col min="21" max="21" width="4.7109375" style="54" customWidth="1"/>
  </cols>
  <sheetData>
    <row r="1" spans="1:21" s="63" customFormat="1" ht="30" customHeight="1" x14ac:dyDescent="0.35">
      <c r="A1" s="63" t="e" vm="1">
        <v>#VALUE!</v>
      </c>
      <c r="C1" s="63" t="s">
        <v>181</v>
      </c>
      <c r="N1" s="54"/>
      <c r="O1" s="54"/>
      <c r="P1" s="54"/>
      <c r="Q1" s="54"/>
      <c r="R1" s="54"/>
      <c r="S1" s="54"/>
      <c r="T1" s="54"/>
      <c r="U1" s="54"/>
    </row>
    <row r="2" spans="1:21" s="9" customFormat="1" ht="20.100000000000001" customHeight="1" x14ac:dyDescent="0.25">
      <c r="N2" s="54"/>
      <c r="O2" s="54"/>
      <c r="P2" s="54"/>
      <c r="Q2" s="54"/>
      <c r="R2" s="54"/>
      <c r="S2" s="54"/>
      <c r="T2" s="54"/>
      <c r="U2" s="54"/>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84</v>
      </c>
    </row>
    <row r="6" spans="1:21" ht="20.100000000000001" customHeight="1" x14ac:dyDescent="0.25">
      <c r="A6" s="16"/>
    </row>
    <row r="7" spans="1:21" ht="20.100000000000001" customHeight="1" x14ac:dyDescent="0.25">
      <c r="A7" s="20" t="s">
        <v>3</v>
      </c>
      <c r="D7" s="58"/>
      <c r="E7" s="39" t="s">
        <v>96</v>
      </c>
      <c r="F7" s="39" t="s">
        <v>97</v>
      </c>
      <c r="G7" s="39" t="s">
        <v>98</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87">
        <v>4300</v>
      </c>
      <c r="F8" s="87">
        <v>100</v>
      </c>
      <c r="G8" s="87">
        <v>100</v>
      </c>
      <c r="H8" s="2" t="s">
        <v>86</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87">
        <v>90</v>
      </c>
      <c r="F9" s="87">
        <v>140</v>
      </c>
      <c r="G9" s="87">
        <v>250</v>
      </c>
      <c r="H9" s="2" t="s">
        <v>143</v>
      </c>
      <c r="I9" s="2"/>
      <c r="J9" s="2"/>
      <c r="K9" s="2"/>
    </row>
    <row r="10" spans="1:21" ht="20.100000000000001" customHeight="1" x14ac:dyDescent="0.25">
      <c r="A10" s="17"/>
    </row>
    <row r="11" spans="1:21" ht="20.100000000000001" customHeight="1" x14ac:dyDescent="0.25">
      <c r="A11" s="19" t="s">
        <v>58</v>
      </c>
      <c r="D11" s="6" t="s">
        <v>79</v>
      </c>
    </row>
    <row r="12" spans="1:21" ht="20.100000000000001" customHeight="1" x14ac:dyDescent="0.25">
      <c r="A12" s="17" t="str">
        <f>HYPERLINK("#'3.1.1.1-2 Enteric Methane'!A1", "3.1.1.1-2 Enteric Methane")</f>
        <v>3.1.1.1-2 Enteric Methane</v>
      </c>
    </row>
    <row r="13" spans="1:21" ht="20.100000000000001" customHeight="1" x14ac:dyDescent="0.25">
      <c r="D13" s="58" t="s">
        <v>130</v>
      </c>
      <c r="E13" s="39" t="s">
        <v>96</v>
      </c>
      <c r="F13" s="39" t="s">
        <v>97</v>
      </c>
      <c r="G13" s="39" t="s">
        <v>98</v>
      </c>
    </row>
    <row r="14" spans="1:21" ht="20.100000000000001" customHeight="1" x14ac:dyDescent="0.25">
      <c r="A14" s="18" t="s">
        <v>4</v>
      </c>
      <c r="D14" s="1" t="s">
        <v>102</v>
      </c>
      <c r="E14" s="50" cm="1">
        <f t="array" ref="E14">_xlfn.XLOOKUP(1, (Table_SourceData_Feedlot_AnimalCharacteristics[Feedlot type] = E$13) * (Table_SourceData_Feedlot_AnimalCharacteristics[Characteristic] = $D$14), Table_SourceData_Feedlot_AnimalCharacteristics[2020-2023], "Not Found")</f>
        <v>10.4</v>
      </c>
      <c r="F14" s="50" cm="1">
        <f t="array" ref="F14">_xlfn.XLOOKUP(1, (Table_SourceData_Feedlot_AnimalCharacteristics[Feedlot type] = F$13) * (Table_SourceData_Feedlot_AnimalCharacteristics[Characteristic] = $D$14), Table_SourceData_Feedlot_AnimalCharacteristics[2020-2023], "Not Found")</f>
        <v>10.8</v>
      </c>
      <c r="G14" s="50" cm="1">
        <f t="array" ref="G14">_xlfn.XLOOKUP(1, (Table_SourceData_Feedlot_AnimalCharacteristics[Feedlot type] = G$13) * (Table_SourceData_Feedlot_AnimalCharacteristics[Characteristic] = $D$14), Table_SourceData_Feedlot_AnimalCharacteristics[2020-2023], "Not Found")</f>
        <v>8.1999999999999993</v>
      </c>
      <c r="H14" s="2" t="s">
        <v>81</v>
      </c>
      <c r="I14" s="2"/>
      <c r="J14" s="2"/>
      <c r="K14" s="2"/>
    </row>
    <row r="15" spans="1:21" ht="20.100000000000001" customHeight="1" x14ac:dyDescent="0.25">
      <c r="A15" s="17" t="str">
        <f>HYPERLINK("#'Constants - Feedlot'!A1", "Constants - Feedlot")</f>
        <v>Constants - Feedlot</v>
      </c>
      <c r="D15" s="1" t="s">
        <v>161</v>
      </c>
      <c r="E15" s="50" cm="1">
        <f t="array" ref="E15">_xlfn.XLOOKUP(1, (Table_SourceData_Feedlot_DietProperties[Feedlot type] = E$13) * (Table_SourceData_Feedlot_DietProperties[Nutrient analysis] = $D$15), Table_SourceData_Feedlot_DietProperties[2020-2023 Converted to fraction], "Not Found")</f>
        <v>4.8</v>
      </c>
      <c r="F15" s="50" cm="1">
        <f t="array" ref="F15">_xlfn.XLOOKUP(1, (Table_SourceData_Feedlot_DietProperties[Feedlot type] = F$13) * (Table_SourceData_Feedlot_DietProperties[Nutrient analysis] = $D$15), Table_SourceData_Feedlot_DietProperties[2020-2023 Converted to fraction], "Not Found")</f>
        <v>5</v>
      </c>
      <c r="G15" s="50" cm="1">
        <f t="array" ref="G15">_xlfn.XLOOKUP(1, (Table_SourceData_Feedlot_DietProperties[Feedlot type] = G$13) * (Table_SourceData_Feedlot_DietProperties[Nutrient analysis] = $D$15), Table_SourceData_Feedlot_DietProperties[2020-2023 Converted to fraction], "Not Found")</f>
        <v>5.5</v>
      </c>
      <c r="H15" s="2" t="s">
        <v>144</v>
      </c>
      <c r="I15" s="2"/>
      <c r="J15" s="2"/>
      <c r="K15" s="2"/>
    </row>
    <row r="16" spans="1:21" ht="20.100000000000001" customHeight="1" x14ac:dyDescent="0.25">
      <c r="A16" s="17" t="str">
        <f>HYPERLINK("#'Constants - Livestock'!A1", "Constants - Livestock")</f>
        <v>Constants - Livestock</v>
      </c>
      <c r="D16" s="1" t="s">
        <v>162</v>
      </c>
      <c r="E16" s="50" cm="1">
        <f t="array" ref="E16">_xlfn.XLOOKUP(1, (Table_SourceData_Feedlot_DietProperties[Feedlot type] = E$13) * (Table_SourceData_Feedlot_DietProperties[Nutrient analysis] = $D$16), Table_SourceData_Feedlot_DietProperties[2020-2023 Converted to fraction], "Not Found")</f>
        <v>22</v>
      </c>
      <c r="F16" s="50" cm="1">
        <f t="array" ref="F16">_xlfn.XLOOKUP(1, (Table_SourceData_Feedlot_DietProperties[Feedlot type] = F$13) * (Table_SourceData_Feedlot_DietProperties[Nutrient analysis] = $D$16), Table_SourceData_Feedlot_DietProperties[2020-2023 Converted to fraction], "Not Found")</f>
        <v>22</v>
      </c>
      <c r="G16" s="50" cm="1">
        <f t="array" ref="G16">_xlfn.XLOOKUP(1, (Table_SourceData_Feedlot_DietProperties[Feedlot type] = G$13) * (Table_SourceData_Feedlot_DietProperties[Nutrient analysis] = $D$16), Table_SourceData_Feedlot_DietProperties[2020-2023 Converted to fraction], "Not Found")</f>
        <v>24</v>
      </c>
      <c r="H16" s="2" t="s">
        <v>144</v>
      </c>
      <c r="I16" s="2"/>
      <c r="J16" s="2"/>
      <c r="K16" s="2"/>
    </row>
    <row r="17" spans="1:11" ht="20.100000000000001" customHeight="1" x14ac:dyDescent="0.25">
      <c r="A17" s="17" t="str">
        <f>HYPERLINK("#'Constants - Common'!A1", "Constants - Common")</f>
        <v>Constants - Common</v>
      </c>
      <c r="J17" s="2"/>
      <c r="K17" s="2"/>
    </row>
    <row r="18" spans="1:11" ht="20.100000000000001" customHeight="1" x14ac:dyDescent="0.25">
      <c r="A18" s="17" t="str">
        <f>HYPERLINK("#'Acknowledgements'!A1", "Acknowledgements")</f>
        <v>Acknowledgements</v>
      </c>
      <c r="D18" s="58" t="s">
        <v>131</v>
      </c>
      <c r="E18" s="39" t="s">
        <v>96</v>
      </c>
      <c r="F18" s="39" t="s">
        <v>97</v>
      </c>
      <c r="G18" s="39" t="s">
        <v>98</v>
      </c>
    </row>
    <row r="19" spans="1:11" ht="20.100000000000001" customHeight="1" x14ac:dyDescent="0.25">
      <c r="D19" s="1" t="s">
        <v>102</v>
      </c>
      <c r="E19" s="61" cm="1">
        <f t="array" ref="E19">_xlfn.XLOOKUP(1, (Table_SourceData_Feedlot_AnimalCharacteristics[Feedlot type] = E$18) * (Table_SourceData_Feedlot_AnimalCharacteristics[Characteristic] = $D$19), Table_SourceData_Feedlot_AnimalCharacteristics[2020-2023], "Not Found")</f>
        <v>10.4</v>
      </c>
      <c r="F19" s="61" cm="1">
        <f t="array" ref="F19">_xlfn.XLOOKUP(1, (Table_SourceData_Feedlot_AnimalCharacteristics[Feedlot type] = F$18) * (Table_SourceData_Feedlot_AnimalCharacteristics[Characteristic] = $D$19), Table_SourceData_Feedlot_AnimalCharacteristics[2020-2023], "Not Found")</f>
        <v>10.8</v>
      </c>
      <c r="G19" s="61" cm="1">
        <f t="array" ref="G19">_xlfn.XLOOKUP(1, (Table_SourceData_Feedlot_AnimalCharacteristics[Feedlot type] = G$18) * (Table_SourceData_Feedlot_AnimalCharacteristics[Characteristic] = $D$19), Table_SourceData_Feedlot_AnimalCharacteristics[2020-2023], "Not Found")</f>
        <v>8.1999999999999993</v>
      </c>
      <c r="H19" s="2" t="s">
        <v>81</v>
      </c>
      <c r="I19" s="2"/>
    </row>
    <row r="20" spans="1:11" ht="20.100000000000001" customHeight="1" x14ac:dyDescent="0.25">
      <c r="D20" s="1" t="s">
        <v>161</v>
      </c>
      <c r="E20" s="61" cm="1">
        <f t="array" ref="E20">_xlfn.XLOOKUP(1, (Table_SourceData_Feedlot_DietProperties[Feedlot type] = E$18) * (Table_SourceData_Feedlot_DietProperties[Nutrient analysis] = $D$20), Table_SourceData_Feedlot_DietProperties[2020-2023 Converted to fraction], "Not Found")</f>
        <v>4.8</v>
      </c>
      <c r="F20" s="61" cm="1">
        <f t="array" ref="F20">_xlfn.XLOOKUP(1, (Table_SourceData_Feedlot_DietProperties[Feedlot type] = F$18) * (Table_SourceData_Feedlot_DietProperties[Nutrient analysis] = $D$20), Table_SourceData_Feedlot_DietProperties[2020-2023 Converted to fraction], "Not Found")</f>
        <v>5</v>
      </c>
      <c r="G20" s="61" cm="1">
        <f t="array" ref="G20">_xlfn.XLOOKUP(1, (Table_SourceData_Feedlot_DietProperties[Feedlot type] = G$18) * (Table_SourceData_Feedlot_DietProperties[Nutrient analysis] = $D$20), Table_SourceData_Feedlot_DietProperties[2020-2023 Converted to fraction], "Not Found")</f>
        <v>5.5</v>
      </c>
      <c r="H20" s="2" t="s">
        <v>144</v>
      </c>
      <c r="I20" s="2"/>
      <c r="J20" s="2"/>
      <c r="K20" s="2"/>
    </row>
    <row r="21" spans="1:11" ht="20.100000000000001" customHeight="1" x14ac:dyDescent="0.25">
      <c r="A21" s="17"/>
      <c r="D21" s="1" t="s">
        <v>162</v>
      </c>
      <c r="E21" s="61" cm="1">
        <f t="array" ref="E21">_xlfn.XLOOKUP(1, (Table_SourceData_Feedlot_DietProperties[Feedlot type] = E$18) * (Table_SourceData_Feedlot_DietProperties[Nutrient analysis] = $D$21), Table_SourceData_Feedlot_DietProperties[2020-2023 Converted to fraction], "Not Found")</f>
        <v>22</v>
      </c>
      <c r="F21" s="61" cm="1">
        <f t="array" ref="F21">_xlfn.XLOOKUP(1, (Table_SourceData_Feedlot_DietProperties[Feedlot type] = F$18) * (Table_SourceData_Feedlot_DietProperties[Nutrient analysis] = $D$21), Table_SourceData_Feedlot_DietProperties[2020-2023 Converted to fraction], "Not Found")</f>
        <v>22</v>
      </c>
      <c r="G21" s="61" cm="1">
        <f t="array" ref="G21">_xlfn.XLOOKUP(1, (Table_SourceData_Feedlot_DietProperties[Feedlot type] = G$18) * (Table_SourceData_Feedlot_DietProperties[Nutrient analysis] = $D$21), Table_SourceData_Feedlot_DietProperties[2020-2023 Converted to fraction], "Not Found")</f>
        <v>24</v>
      </c>
      <c r="H21" s="2" t="s">
        <v>144</v>
      </c>
      <c r="I21" s="2"/>
      <c r="J21" s="2"/>
      <c r="K21" s="2"/>
    </row>
    <row r="22" spans="1:11" ht="20.100000000000001" customHeight="1" x14ac:dyDescent="0.25">
      <c r="J22" s="2"/>
      <c r="K22" s="2"/>
    </row>
    <row r="23" spans="1:11" ht="20.100000000000001" customHeight="1" x14ac:dyDescent="0.25">
      <c r="J23" s="2"/>
      <c r="K23" s="2"/>
    </row>
    <row r="24" spans="1:11" ht="20.100000000000001" customHeight="1" x14ac:dyDescent="0.25"/>
    <row r="25" spans="1:11" ht="20.100000000000001" customHeight="1" x14ac:dyDescent="0.25">
      <c r="A25" s="17"/>
      <c r="D25" s="6"/>
    </row>
    <row r="26" spans="1:11" ht="20.100000000000001" customHeight="1" x14ac:dyDescent="0.25">
      <c r="A26" s="17"/>
    </row>
    <row r="27" spans="1:11" ht="20.100000000000001" customHeight="1" x14ac:dyDescent="0.25">
      <c r="A27" s="17"/>
    </row>
    <row r="28" spans="1:11" ht="20.100000000000001" customHeight="1" x14ac:dyDescent="0.25">
      <c r="A28" s="17"/>
    </row>
    <row r="29" spans="1:11" ht="20.100000000000001" customHeight="1" x14ac:dyDescent="0.25">
      <c r="A29" s="17"/>
    </row>
    <row r="30" spans="1:11" ht="20.100000000000001" customHeight="1" x14ac:dyDescent="0.25">
      <c r="A30" s="17"/>
    </row>
    <row r="31" spans="1:11" ht="20.100000000000001" customHeight="1" x14ac:dyDescent="0.25">
      <c r="A31" s="62"/>
    </row>
    <row r="32" spans="1:11" ht="20.100000000000001" customHeight="1" x14ac:dyDescent="0.25">
      <c r="A32" s="62"/>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row r="39" spans="1:11" ht="20.100000000000001" customHeight="1" x14ac:dyDescent="0.25">
      <c r="A39" s="17"/>
    </row>
    <row r="40" spans="1:11" ht="20.100000000000001" customHeight="1" x14ac:dyDescent="0.25"/>
    <row r="41" spans="1:11" ht="20.100000000000001" customHeight="1" x14ac:dyDescent="0.25">
      <c r="A41" s="44"/>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94"/>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53" zoomScaleNormal="100" workbookViewId="0">
      <selection activeCell="D60" sqref="D60"/>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180</v>
      </c>
      <c r="K1"/>
    </row>
    <row r="2" spans="1:19" s="9" customFormat="1" ht="20.100000000000001" customHeight="1" x14ac:dyDescent="0.25">
      <c r="K2"/>
    </row>
    <row r="3" spans="1:19" ht="20.100000000000001" customHeight="1" x14ac:dyDescent="0.25">
      <c r="A3" s="17" t="str">
        <f>HYPERLINK("#'Home'!A1", "Home")</f>
        <v>Home</v>
      </c>
      <c r="C3" s="4"/>
      <c r="D3" s="4" t="s">
        <v>108</v>
      </c>
      <c r="E3" s="4"/>
      <c r="F3" s="4"/>
      <c r="G3" s="4"/>
      <c r="H3" s="4"/>
      <c r="I3" s="4"/>
      <c r="J3" s="4"/>
      <c r="L3" s="4"/>
      <c r="M3" s="4" t="s">
        <v>109</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EntericMethane_Feedlot_Equations.VEERG_3_1_1_1__2_DailyEntericMethaneProduction_Title()</f>
        <v>Daily production of enteric methane</v>
      </c>
    </row>
    <row r="6" spans="1:19" ht="20.100000000000001" customHeight="1" x14ac:dyDescent="0.25">
      <c r="A6" s="16"/>
      <c r="D6" s="5" t="str" cm="1">
        <f t="array" ref="D6">EntericMethane_Feedlot_Equations.VEERG_3_1_1_1__2_DailyEntericMethaneProduction_Source()</f>
        <v>VEERG 2026: 3.1.1.1, Equation (2)</v>
      </c>
    </row>
    <row r="7" spans="1:19" ht="20.100000000000001" customHeight="1" x14ac:dyDescent="0.25">
      <c r="A7" s="20" t="s">
        <v>3</v>
      </c>
      <c r="D7" s="13" t="s">
        <v>17</v>
      </c>
      <c r="E7" s="13" t="str" cm="1">
        <f t="array" aca="1" ref="E7" ca="1">Common_InputFunctions.Utility_DisplayFunctionName(D35)</f>
        <v>=EntericMethane_Feedlot_Equations.VEERG_3_1_1_1__2_DailyEntericMethaneProduction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1" t="s">
        <v>20</v>
      </c>
      <c r="E10" s="1" t="str" cm="1">
        <f t="array" ref="E10">EntericMethane_Feedlot_Equations.VEERG_3_1_1_1__2_DailyEntericMethaneProduction_Variable()</f>
        <v>M_j</v>
      </c>
    </row>
    <row r="11" spans="1:19" ht="20.100000000000001" customHeight="1" x14ac:dyDescent="0.25">
      <c r="A11" s="19" t="s">
        <v>58</v>
      </c>
      <c r="D11" s="51" t="s">
        <v>11</v>
      </c>
      <c r="E11" s="52" t="str" cm="1">
        <f t="array" ref="E11">EntericMethane_Feedlot_Equations.VEERG_3_1_1_1__2_DailyEntericMethaneProduction_Unit()</f>
        <v>kg CH4/head/day</v>
      </c>
    </row>
    <row r="12" spans="1:19" ht="20.100000000000001" customHeight="1" x14ac:dyDescent="0.25">
      <c r="A12" s="22" t="str">
        <f>HYPERLINK("#'3.1.1.1-2 Enteric Methane'!A1", "3.1.1.1-2 Enteric Methane")</f>
        <v>3.1.1.1-2 Enteric Methane</v>
      </c>
    </row>
    <row r="13" spans="1:19" ht="20.100000000000001" customHeight="1" x14ac:dyDescent="0.25">
      <c r="D13" s="105" t="str" cm="1">
        <f t="array" ref="D13:E15">_xlfn.CHOOSECOLS(EntericMethane_Feedlot_Equations.VEERG_3_1_1_1__2_DailyEntericMethaneProduction_Arguments(),1,2)</f>
        <v>I_j</v>
      </c>
      <c r="E13" s="108" t="str">
        <v>dry matter intake</v>
      </c>
      <c r="F13" s="107"/>
      <c r="G13" s="105" t="str" cm="1">
        <f t="array" ref="G13:H15">_xlfn.CHOOSECOLS(EntericMethane_Feedlot_Equations.VEERG_3_1_1_1__2_DailyEntericMethaneProduction_Arguments(),3,4)</f>
        <v>kg DM/head/day</v>
      </c>
      <c r="H13" s="103" t="str">
        <v>Input</v>
      </c>
      <c r="I13" s="106" t="str" cm="1">
        <f t="array" aca="1" ref="I13" ca="1">HYPERLINK(Common_InputFunctions.Utility_SourceHyperlink($D$17),$D$17)</f>
        <v>M1_Table_I_j</v>
      </c>
    </row>
    <row r="14" spans="1:19" ht="20.100000000000001" customHeight="1" x14ac:dyDescent="0.25">
      <c r="A14" s="18" t="s">
        <v>4</v>
      </c>
      <c r="D14" s="105" t="str">
        <v>EE_j</v>
      </c>
      <c r="E14" s="108" t="str">
        <v>ether extract as a percentage of I_j</v>
      </c>
      <c r="F14" s="107"/>
      <c r="G14" s="105" t="str">
        <v>per cent</v>
      </c>
      <c r="H14" s="103" t="str">
        <v>Input</v>
      </c>
      <c r="I14" s="106" t="str" cm="1">
        <f t="array" aca="1" ref="I14" ca="1">HYPERLINK(Common_InputFunctions.Utility_SourceHyperlink($D$22),$D$22)</f>
        <v>M1_Table_EE_j</v>
      </c>
    </row>
    <row r="15" spans="1:19" ht="20.100000000000001" customHeight="1" x14ac:dyDescent="0.25">
      <c r="A15" s="17" t="str">
        <f>HYPERLINK("#'Constants - Feedlot'!A1", "Constants - Feedlot")</f>
        <v>Constants - Feedlot</v>
      </c>
      <c r="D15" s="105" t="str">
        <v>NDF_j</v>
      </c>
      <c r="E15" s="108" t="str">
        <v>neutral detergent fibre as a percentage of I_j</v>
      </c>
      <c r="F15" s="107"/>
      <c r="G15" s="105" t="str">
        <v>per cent</v>
      </c>
      <c r="H15" s="103" t="str">
        <v>Input</v>
      </c>
      <c r="I15" s="106" t="str" cm="1">
        <f t="array" aca="1" ref="I15" ca="1">HYPERLINK(Common_InputFunctions.Utility_SourceHyperlink($D$27),$D$27)</f>
        <v>M1_Table_NDF_j</v>
      </c>
    </row>
    <row r="16" spans="1:19" ht="20.100000000000001" customHeight="1" x14ac:dyDescent="0.25">
      <c r="A16" s="17" t="str">
        <f>HYPERLINK("#'Constants - Livestock'!A1", "Constants - Livestock")</f>
        <v>Constants - Livestock</v>
      </c>
    </row>
    <row r="17" spans="1:16" ht="20.100000000000001" customHeight="1" x14ac:dyDescent="0.25">
      <c r="A17" s="17" t="str">
        <f>HYPERLINK("#'Constants - Common'!A1", "Constants - Common")</f>
        <v>Constants - Common</v>
      </c>
      <c r="D17" s="86" t="s">
        <v>106</v>
      </c>
      <c r="M17" s="86" t="s">
        <v>107</v>
      </c>
    </row>
    <row r="18" spans="1:16" ht="20.100000000000001" customHeight="1" x14ac:dyDescent="0.25">
      <c r="A18" s="17" t="str">
        <f>HYPERLINK("#'Acknowledgements'!A1", "Acknowledgements")</f>
        <v>Acknowledgements</v>
      </c>
      <c r="D18" s="85" t="s">
        <v>110</v>
      </c>
      <c r="M18" s="85" t="s">
        <v>111</v>
      </c>
    </row>
    <row r="19" spans="1:16" ht="20.100000000000001" customHeight="1" x14ac:dyDescent="0.25">
      <c r="D19" s="39" t="s">
        <v>96</v>
      </c>
      <c r="E19" s="39" t="s">
        <v>97</v>
      </c>
      <c r="F19" s="39" t="s">
        <v>98</v>
      </c>
      <c r="M19" s="39" t="s">
        <v>96</v>
      </c>
      <c r="N19" s="39" t="s">
        <v>97</v>
      </c>
      <c r="O19" s="39" t="s">
        <v>98</v>
      </c>
    </row>
    <row r="20" spans="1:16" ht="20.100000000000001" customHeight="1" x14ac:dyDescent="0.25">
      <c r="D20" s="50" cm="1">
        <f t="array" aca="1" ref="D20:F20" ca="1">OFFSET(X_Table_Feedlot_Intake_Method1, 1,1, 1,3)</f>
        <v>10.4</v>
      </c>
      <c r="E20" s="50">
        <f ca="1"/>
        <v>10.8</v>
      </c>
      <c r="F20" s="50">
        <f ca="1"/>
        <v>8.1999999999999993</v>
      </c>
      <c r="G20" s="2" t="str">
        <f>$G$13</f>
        <v>kg DM/head/day</v>
      </c>
      <c r="M20" s="50" cm="1">
        <f t="array" aca="1" ref="M20:O20" ca="1">OFFSET(X_Table_Feedlot_Intake_Method2, 1,1, 1,3)</f>
        <v>10.4</v>
      </c>
      <c r="N20" s="50">
        <f ca="1"/>
        <v>10.8</v>
      </c>
      <c r="O20" s="50">
        <f ca="1"/>
        <v>8.1999999999999993</v>
      </c>
      <c r="P20" s="2" t="str">
        <f>$G$13</f>
        <v>kg DM/head/day</v>
      </c>
    </row>
    <row r="21" spans="1:16" ht="20.100000000000001" customHeight="1" x14ac:dyDescent="0.25">
      <c r="A21" s="17"/>
    </row>
    <row r="22" spans="1:16" ht="20.100000000000001" customHeight="1" x14ac:dyDescent="0.25">
      <c r="D22" s="86" t="s">
        <v>163</v>
      </c>
      <c r="M22" s="86" t="s">
        <v>171</v>
      </c>
    </row>
    <row r="23" spans="1:16" ht="20.100000000000001" customHeight="1" x14ac:dyDescent="0.25">
      <c r="D23" s="85" t="s">
        <v>164</v>
      </c>
      <c r="M23" s="85" t="s">
        <v>172</v>
      </c>
    </row>
    <row r="24" spans="1:16" ht="20.100000000000001" customHeight="1" x14ac:dyDescent="0.25">
      <c r="D24" s="39" t="s">
        <v>96</v>
      </c>
      <c r="E24" s="39" t="s">
        <v>97</v>
      </c>
      <c r="F24" s="39" t="s">
        <v>98</v>
      </c>
      <c r="M24" s="39" t="s">
        <v>96</v>
      </c>
      <c r="N24" s="39" t="s">
        <v>97</v>
      </c>
      <c r="O24" s="39" t="s">
        <v>98</v>
      </c>
    </row>
    <row r="25" spans="1:16" ht="20.100000000000001" customHeight="1" x14ac:dyDescent="0.25">
      <c r="A25" s="17"/>
      <c r="D25" s="50" cm="1">
        <f t="array" aca="1" ref="D25:F25" ca="1">OFFSET(X_Table_Feedlot_Intake_Method1, 2,1, 1,3)</f>
        <v>4.8</v>
      </c>
      <c r="E25" s="50">
        <f ca="1"/>
        <v>5</v>
      </c>
      <c r="F25" s="50">
        <f ca="1"/>
        <v>5.5</v>
      </c>
      <c r="G25" s="2" t="str">
        <f>$G$14</f>
        <v>per cent</v>
      </c>
      <c r="M25" s="50" cm="1">
        <f t="array" aca="1" ref="M25:O25" ca="1">OFFSET(X_Table_Feedlot_Intake_Method2, 2,1, 1,3)</f>
        <v>4.8</v>
      </c>
      <c r="N25" s="50">
        <f ca="1"/>
        <v>5</v>
      </c>
      <c r="O25" s="50">
        <f ca="1"/>
        <v>5.5</v>
      </c>
      <c r="P25" s="2" t="str">
        <f>$G$14</f>
        <v>per cent</v>
      </c>
    </row>
    <row r="26" spans="1:16" ht="20.100000000000001" customHeight="1" x14ac:dyDescent="0.25"/>
    <row r="27" spans="1:16" ht="20.100000000000001" customHeight="1" x14ac:dyDescent="0.25">
      <c r="D27" s="86" t="s">
        <v>165</v>
      </c>
      <c r="M27" s="86" t="s">
        <v>173</v>
      </c>
    </row>
    <row r="28" spans="1:16" ht="20.100000000000001" customHeight="1" x14ac:dyDescent="0.25">
      <c r="D28" s="85" t="s">
        <v>166</v>
      </c>
      <c r="M28" s="85" t="s">
        <v>174</v>
      </c>
    </row>
    <row r="29" spans="1:16" ht="20.100000000000001" customHeight="1" x14ac:dyDescent="0.25">
      <c r="D29" s="39" t="s">
        <v>96</v>
      </c>
      <c r="E29" s="39" t="s">
        <v>97</v>
      </c>
      <c r="F29" s="39" t="s">
        <v>98</v>
      </c>
      <c r="M29" s="39" t="s">
        <v>96</v>
      </c>
      <c r="N29" s="39" t="s">
        <v>97</v>
      </c>
      <c r="O29" s="39" t="s">
        <v>98</v>
      </c>
    </row>
    <row r="30" spans="1:16" ht="20.100000000000001" customHeight="1" x14ac:dyDescent="0.25">
      <c r="D30" s="50" cm="1">
        <f t="array" aca="1" ref="D30:F30" ca="1">OFFSET(X_Table_Feedlot_Intake_Method1, 3,1, 1,3)</f>
        <v>22</v>
      </c>
      <c r="E30" s="50">
        <f ca="1"/>
        <v>22</v>
      </c>
      <c r="F30" s="50">
        <f ca="1"/>
        <v>24</v>
      </c>
      <c r="G30" s="2" t="str">
        <f>$G$15</f>
        <v>per cent</v>
      </c>
      <c r="M30" s="50" cm="1">
        <f t="array" aca="1" ref="M30:O30" ca="1">OFFSET(X_Table_Feedlot_Intake_Method2, 3,1, 1,3)</f>
        <v>22</v>
      </c>
      <c r="N30" s="50">
        <f ca="1"/>
        <v>22</v>
      </c>
      <c r="O30" s="50">
        <f ca="1"/>
        <v>24</v>
      </c>
      <c r="P30" s="2" t="str">
        <f>$G$15</f>
        <v>per cent</v>
      </c>
    </row>
    <row r="31" spans="1:16" ht="20.100000000000001" customHeight="1" x14ac:dyDescent="0.25"/>
    <row r="32" spans="1:16" ht="20.100000000000001" customHeight="1" x14ac:dyDescent="0.25">
      <c r="D32" s="86" t="s">
        <v>167</v>
      </c>
      <c r="M32" s="86" t="s">
        <v>169</v>
      </c>
    </row>
    <row r="33" spans="3:18" ht="20.100000000000001" customHeight="1" x14ac:dyDescent="0.25">
      <c r="D33" s="85" t="s">
        <v>168</v>
      </c>
      <c r="M33" s="85" t="s">
        <v>170</v>
      </c>
    </row>
    <row r="34" spans="3:18" ht="20.100000000000001" customHeight="1" x14ac:dyDescent="0.25">
      <c r="D34" s="49" t="s">
        <v>96</v>
      </c>
      <c r="E34" s="49" t="s">
        <v>97</v>
      </c>
      <c r="F34" s="49" t="s">
        <v>98</v>
      </c>
      <c r="M34" s="49" t="s">
        <v>96</v>
      </c>
      <c r="N34" s="49" t="s">
        <v>97</v>
      </c>
      <c r="O34" s="49" t="s">
        <v>98</v>
      </c>
    </row>
    <row r="35" spans="3:18" ht="20.100000000000001" customHeight="1" x14ac:dyDescent="0.25">
      <c r="D35" s="50" cm="1">
        <f t="array" aca="1" ref="D35" ca="1">EntericMethane_Feedlot_Equations.VEERG_3_1_1_1__2_DailyEntericMethaneProduction(D20,D25,D30)</f>
        <v>8.3664000000000002E-2</v>
      </c>
      <c r="E35" s="50" cm="1">
        <f t="array" aca="1" ref="E35" ca="1">EntericMethane_Feedlot_Equations.VEERG_3_1_1_1__2_DailyEntericMethaneProduction(E20,E25,E30)</f>
        <v>8.4908000000000011E-2</v>
      </c>
      <c r="F35" s="50" cm="1">
        <f t="array" aca="1" ref="F35" ca="1">EntericMethane_Feedlot_Equations.VEERG_3_1_1_1__2_DailyEntericMethaneProduction(F20,F25,F30)</f>
        <v>7.4142E-2</v>
      </c>
      <c r="G35" s="2" t="str">
        <f>$E$11</f>
        <v>kg CH4/head/day</v>
      </c>
      <c r="M35" s="50" cm="1">
        <f t="array" aca="1" ref="M35" ca="1">EntericMethane_Feedlot_Equations.VEERG_3_1_1_1__2_DailyEntericMethaneProduction(M20,M25,M30)</f>
        <v>8.3664000000000002E-2</v>
      </c>
      <c r="N35" s="50" cm="1">
        <f t="array" aca="1" ref="N35" ca="1">EntericMethane_Feedlot_Equations.VEERG_3_1_1_1__2_DailyEntericMethaneProduction(N20,N25,N30)</f>
        <v>8.4908000000000011E-2</v>
      </c>
      <c r="O35" s="50" cm="1">
        <f t="array" aca="1" ref="O35" ca="1">EntericMethane_Feedlot_Equations.VEERG_3_1_1_1__2_DailyEntericMethaneProduction(O20,O25,O30)</f>
        <v>7.4142E-2</v>
      </c>
      <c r="P35" s="2" t="str">
        <f>$E$11</f>
        <v>kg CH4/head/day</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c r="L38" s="45"/>
      <c r="M38" s="45"/>
      <c r="N38" s="45"/>
      <c r="O38" s="45"/>
      <c r="P38" s="45"/>
      <c r="Q38" s="45"/>
      <c r="R38" s="45"/>
    </row>
    <row r="39" spans="3:18" ht="20.100000000000001" customHeight="1" x14ac:dyDescent="0.25">
      <c r="D39" s="6" t="str" cm="1">
        <f t="array" ref="D39">EntericMethane_Feedlot_Equations.VEERG_3_1_1_1__1_TotalAnnualMethaneFromEntericFermentation_Title()</f>
        <v>Total annual methane production from enteric fermentation in feedlot beef cattle</v>
      </c>
    </row>
    <row r="40" spans="3:18" ht="20.100000000000001" customHeight="1" x14ac:dyDescent="0.25">
      <c r="D40" s="5" t="str" cm="1">
        <f t="array" ref="D40">EntericMethane_Feedlot_Equations.VEERG_3_1_1_1__1_TotalAnnualMethaneFromEntericFermentation_Source()</f>
        <v>VEERG 2026: 3.1.1.1, Equation (1)</v>
      </c>
    </row>
    <row r="41" spans="3:18" ht="20.100000000000001" customHeight="1" x14ac:dyDescent="0.25">
      <c r="D41" s="13" t="s">
        <v>17</v>
      </c>
      <c r="E41" s="13" t="str" cm="1">
        <f t="array" aca="1" ref="E41" ca="1">Common_InputFunctions.Utility_DisplayFunctionName(D65)</f>
        <v>=EntericMethane_Feedlot_Equations.VEERG_3_1_1_1__1_TotalAnnualMethaneFromEntericFermentation</v>
      </c>
    </row>
    <row r="42" spans="3:18" ht="20.100000000000001" customHeight="1" x14ac:dyDescent="0.25"/>
    <row r="43" spans="3:18" ht="20.100000000000001" customHeight="1" x14ac:dyDescent="0.25">
      <c r="D43" s="6"/>
    </row>
    <row r="44" spans="3:18" ht="20.100000000000001" customHeight="1" x14ac:dyDescent="0.25"/>
    <row r="45" spans="3:18" ht="20.100000000000001" customHeight="1" x14ac:dyDescent="0.25">
      <c r="D45" s="51" t="s">
        <v>20</v>
      </c>
      <c r="E45" s="1" t="str" cm="1">
        <f t="array" ref="E45">EntericMethane_Feedlot_Equations.VEERG_3_1_1_1__1_TotalAnnualMethaneFromEntericFermentation_Variable()</f>
        <v>E_enteric</v>
      </c>
    </row>
    <row r="46" spans="3:18" ht="20.100000000000001" customHeight="1" x14ac:dyDescent="0.25">
      <c r="D46" s="51" t="s">
        <v>11</v>
      </c>
      <c r="E46" s="52" t="str" cm="1">
        <f t="array" ref="E46">EntericMethane_Feedlot_Equations.VEERG_3_1_1_1__1_TotalAnnualMethaneFromEntericFermentation_Unit()</f>
        <v>t CH4</v>
      </c>
    </row>
    <row r="47" spans="3:18" ht="20.100000000000001" customHeight="1" x14ac:dyDescent="0.25"/>
    <row r="48" spans="3:18" ht="20.100000000000001" customHeight="1" x14ac:dyDescent="0.25">
      <c r="D48" s="105" t="str" cm="1">
        <f t="array" ref="D48:E50">_xlfn.CHOOSECOLS(EntericMethane_Feedlot_Equations.VEERG_3_1_1_1__1_TotalAnnualMethaneFromEntericFermentation_Arguments(),1,2)</f>
        <v>D_j</v>
      </c>
      <c r="E48" s="108" t="str">
        <v>duration of stay of each cattle lot</v>
      </c>
      <c r="F48" s="107"/>
      <c r="G48" s="105" t="str" cm="1">
        <f t="array" ref="G48:H50">_xlfn.CHOOSECOLS(EntericMethane_Feedlot_Equations.VEERG_3_1_1_1__1_TotalAnnualMethaneFromEntericFermentation_Arguments(),3,4)</f>
        <v>days</v>
      </c>
      <c r="H48" s="103" t="str">
        <v>Input</v>
      </c>
      <c r="I48" s="106" t="str" cm="1">
        <f t="array" aca="1" ref="I48" ca="1">HYPERLINK(Common_InputFunctions.Utility_SourceHyperlink($D$52),$D$52)</f>
        <v>Table_D_j</v>
      </c>
    </row>
    <row r="49" spans="4:15" ht="20.100000000000001" customHeight="1" x14ac:dyDescent="0.25">
      <c r="D49" s="105" t="str">
        <v>M_j</v>
      </c>
      <c r="E49" s="108" t="str">
        <v>daily methane production</v>
      </c>
      <c r="F49" s="107"/>
      <c r="G49" s="105" t="str">
        <v>kg CH4/head/day</v>
      </c>
      <c r="H49" s="104" t="str">
        <v>Calculated from 3.1.1.1, (2)</v>
      </c>
      <c r="I49" s="106" t="str" cm="1">
        <f t="array" aca="1" ref="I49" ca="1">HYPERLINK(Common_InputFunctions.Utility_SourceHyperlink($D$32),$D$32)</f>
        <v>M1_Table_M_j</v>
      </c>
    </row>
    <row r="50" spans="4:15" ht="20.100000000000001" customHeight="1" x14ac:dyDescent="0.25">
      <c r="D50" s="105" t="str">
        <v>N_j</v>
      </c>
      <c r="E50" s="108" t="str">
        <v>numbers of feedlot cattle in each cattle lot</v>
      </c>
      <c r="F50" s="107"/>
      <c r="G50" s="105" t="str">
        <v>head</v>
      </c>
      <c r="H50" s="103" t="str">
        <v>Input</v>
      </c>
      <c r="I50" s="106" t="str" cm="1">
        <f t="array" aca="1" ref="I50" ca="1">HYPERLINK(Common_InputFunctions.Utility_SourceHyperlink($D$57),$D$57)</f>
        <v>Table_N_j</v>
      </c>
    </row>
    <row r="51" spans="4:15" ht="20.100000000000001" customHeight="1" x14ac:dyDescent="0.25"/>
    <row r="52" spans="4:15" ht="20.100000000000001" customHeight="1" x14ac:dyDescent="0.25">
      <c r="D52" s="86" t="s">
        <v>87</v>
      </c>
    </row>
    <row r="53" spans="4:15" ht="20.100000000000001" customHeight="1" x14ac:dyDescent="0.25">
      <c r="D53" s="85" t="s">
        <v>85</v>
      </c>
    </row>
    <row r="54" spans="4:15" ht="20.100000000000001" customHeight="1" x14ac:dyDescent="0.25">
      <c r="D54" s="39" t="s">
        <v>96</v>
      </c>
      <c r="E54" s="39" t="s">
        <v>97</v>
      </c>
      <c r="F54" s="39" t="s">
        <v>98</v>
      </c>
    </row>
    <row r="55" spans="4:15" ht="20.100000000000001" customHeight="1" x14ac:dyDescent="0.25">
      <c r="D55" s="88" cm="1">
        <f t="array" aca="1" ref="D55:F55" ca="1">OFFSET(X_Table_Feedlot_HerdMovement, 2, 1, 1, 3)</f>
        <v>90</v>
      </c>
      <c r="E55" s="88">
        <f ca="1"/>
        <v>140</v>
      </c>
      <c r="F55" s="88">
        <f ca="1"/>
        <v>250</v>
      </c>
      <c r="G55" s="2" t="str">
        <f>G48</f>
        <v>days</v>
      </c>
    </row>
    <row r="56" spans="4:15" ht="20.100000000000001" customHeight="1" x14ac:dyDescent="0.25"/>
    <row r="57" spans="4:15" ht="20.100000000000001" customHeight="1" x14ac:dyDescent="0.25">
      <c r="D57" s="86" t="s">
        <v>88</v>
      </c>
    </row>
    <row r="58" spans="4:15" ht="20.100000000000001" customHeight="1" x14ac:dyDescent="0.25">
      <c r="D58" s="85" t="s">
        <v>89</v>
      </c>
    </row>
    <row r="59" spans="4:15" ht="20.100000000000001" customHeight="1" x14ac:dyDescent="0.25">
      <c r="D59" s="39" t="s">
        <v>96</v>
      </c>
      <c r="E59" s="39" t="s">
        <v>97</v>
      </c>
      <c r="F59" s="39" t="s">
        <v>98</v>
      </c>
    </row>
    <row r="60" spans="4:15" ht="20.100000000000001" customHeight="1" x14ac:dyDescent="0.25">
      <c r="D60" s="88" cm="1">
        <f t="array" aca="1" ref="D60:F60" ca="1">OFFSET(X_Table_Feedlot_HerdMovement, 1, 1, 1, 3)</f>
        <v>4300</v>
      </c>
      <c r="E60" s="88">
        <f ca="1"/>
        <v>100</v>
      </c>
      <c r="F60" s="88">
        <f ca="1"/>
        <v>100</v>
      </c>
      <c r="G60" s="2" t="str">
        <f>G50</f>
        <v>head</v>
      </c>
    </row>
    <row r="61" spans="4:15" ht="20.100000000000001" customHeight="1" x14ac:dyDescent="0.25"/>
    <row r="62" spans="4:15" ht="20.100000000000001" customHeight="1" x14ac:dyDescent="0.25">
      <c r="D62" s="86" t="s">
        <v>186</v>
      </c>
      <c r="M62" s="86" t="s">
        <v>184</v>
      </c>
    </row>
    <row r="63" spans="4:15" ht="20.100000000000001" customHeight="1" x14ac:dyDescent="0.25">
      <c r="D63" s="85" t="s">
        <v>187</v>
      </c>
      <c r="M63" s="85" t="s">
        <v>185</v>
      </c>
    </row>
    <row r="64" spans="4:15" ht="20.100000000000001" customHeight="1" x14ac:dyDescent="0.25">
      <c r="D64" s="49" t="s">
        <v>96</v>
      </c>
      <c r="E64" s="49" t="s">
        <v>97</v>
      </c>
      <c r="F64" s="49" t="s">
        <v>98</v>
      </c>
      <c r="M64" s="49" t="s">
        <v>96</v>
      </c>
      <c r="N64" s="49" t="s">
        <v>97</v>
      </c>
      <c r="O64" s="49" t="s">
        <v>98</v>
      </c>
    </row>
    <row r="65" spans="4:17" ht="20.100000000000001" customHeight="1" x14ac:dyDescent="0.25">
      <c r="D65" s="50" cm="1">
        <f t="array" aca="1" ref="D65" ca="1">EntericMethane_Feedlot_Equations.VEERG_3_1_1_1__1_TotalAnnualMethaneFromEntericFermentation(D55,D35,D60)</f>
        <v>32.377968000000003</v>
      </c>
      <c r="E65" s="50" cm="1">
        <f t="array" aca="1" ref="E65" ca="1">EntericMethane_Feedlot_Equations.VEERG_3_1_1_1__1_TotalAnnualMethaneFromEntericFermentation(E55,E35,E60)</f>
        <v>1.1887120000000002</v>
      </c>
      <c r="F65" s="50" cm="1">
        <f t="array" aca="1" ref="F65" ca="1">EntericMethane_Feedlot_Equations.VEERG_3_1_1_1__1_TotalAnnualMethaneFromEntericFermentation(F55,F35,F60)</f>
        <v>1.85355</v>
      </c>
      <c r="G65" s="2" t="str">
        <f>$E$46</f>
        <v>t CH4</v>
      </c>
      <c r="M65" s="50" cm="1">
        <f t="array" aca="1" ref="M65" ca="1">EntericMethane_Feedlot_Equations.VEERG_3_1_1_1__1_TotalAnnualMethaneFromEntericFermentation(D55,M35,D60)</f>
        <v>32.377968000000003</v>
      </c>
      <c r="N65" s="50" cm="1">
        <f t="array" aca="1" ref="N65" ca="1">EntericMethane_Feedlot_Equations.VEERG_3_1_1_1__1_TotalAnnualMethaneFromEntericFermentation(E55,N35,E60)</f>
        <v>1.1887120000000002</v>
      </c>
      <c r="O65" s="50" cm="1">
        <f t="array" aca="1" ref="O65" ca="1">EntericMethane_Feedlot_Equations.VEERG_3_1_1_1__1_TotalAnnualMethaneFromEntericFermentation(F55,O35,F60)</f>
        <v>1.85355</v>
      </c>
      <c r="P65" s="2" t="str">
        <f>$E$46</f>
        <v>t CH4</v>
      </c>
    </row>
    <row r="66" spans="4:17" ht="20.100000000000001" customHeight="1" x14ac:dyDescent="0.25"/>
    <row r="67" spans="4:17" ht="20.100000000000001" customHeight="1" x14ac:dyDescent="0.25">
      <c r="D67" s="89" t="s">
        <v>175</v>
      </c>
      <c r="E67" s="90">
        <f ca="1">SUM(D65:F65)</f>
        <v>35.420230000000004</v>
      </c>
      <c r="F67" s="91" t="str">
        <f>$E$46</f>
        <v>t CH4</v>
      </c>
      <c r="M67" s="89" t="s">
        <v>176</v>
      </c>
      <c r="N67" s="90">
        <f ca="1">SUM(M65:O65)</f>
        <v>35.420230000000004</v>
      </c>
      <c r="O67" s="91" t="str">
        <f>$E$46</f>
        <v>t CH4</v>
      </c>
    </row>
    <row r="68" spans="4:17" ht="20.100000000000001" customHeight="1" x14ac:dyDescent="0.25"/>
    <row r="69" spans="4:17" ht="20.100000000000001" customHeight="1" x14ac:dyDescent="0.25">
      <c r="D69" s="55" t="str" cm="1">
        <f t="array" ref="D69:E70">Common_Equations.Common_ConvertCH4ToCO2e_Arguments()</f>
        <v>ECH4</v>
      </c>
      <c r="E69" s="56" t="str">
        <v>Methane emissions (t CH4)</v>
      </c>
      <c r="F69" s="92"/>
      <c r="G69" s="50">
        <f ca="1">E67</f>
        <v>35.420230000000004</v>
      </c>
      <c r="H69" s="2" t="str">
        <f>$E$46</f>
        <v>t CH4</v>
      </c>
      <c r="M69" s="55" t="str" cm="1">
        <f t="array" ref="M69:N70">Common_Equations.Common_ConvertCH4ToCO2e_Arguments()</f>
        <v>ECH4</v>
      </c>
      <c r="N69" s="56" t="str">
        <v>Methane emissions (t CH4)</v>
      </c>
      <c r="O69" s="92"/>
      <c r="P69" s="50">
        <f ca="1">N67</f>
        <v>35.420230000000004</v>
      </c>
      <c r="Q69" s="2" t="str">
        <f>$E$46</f>
        <v>t CH4</v>
      </c>
    </row>
    <row r="70" spans="4:17" ht="20.100000000000001" customHeight="1" x14ac:dyDescent="0.25">
      <c r="D70" s="55" t="str">
        <v>GWPCH4</v>
      </c>
      <c r="E70" s="56" t="str">
        <v>Global warming potential for methane (t CO2-e / t CH4)</v>
      </c>
      <c r="F70" s="92"/>
      <c r="G70" s="50">
        <f>Common_InputFunctions.Utility_LookupValueInTableNumber("CH4",Table_GWPData[Gas],Table_GWPData[CO2-e factor])</f>
        <v>28</v>
      </c>
      <c r="M70" s="55" t="str">
        <v>GWPCH4</v>
      </c>
      <c r="N70" s="56" t="str">
        <v>Global warming potential for methane (t CO2-e / t CH4)</v>
      </c>
      <c r="O70" s="92"/>
      <c r="P70" s="50">
        <f>Common_InputFunctions.Utility_LookupValueInTableNumber("CH4",Table_GWPData[Gas],Table_GWPData[CO2-e factor])</f>
        <v>28</v>
      </c>
    </row>
    <row r="71" spans="4:17" ht="20.100000000000001" customHeight="1" x14ac:dyDescent="0.25"/>
    <row r="72" spans="4:17" ht="20.100000000000001" customHeight="1" x14ac:dyDescent="0.25">
      <c r="D72" s="45" t="s">
        <v>112</v>
      </c>
      <c r="E72" s="45" cm="1">
        <f t="array" aca="1" ref="E72" ca="1">Common_Equations.Common_ConvertCH4ToCO2e(G69,G70)</f>
        <v>991.7664400000001</v>
      </c>
      <c r="F72" s="93" t="str" cm="1">
        <f t="array" ref="F72">Common_Equations.Common_ConvertN2OToCO2e_Unit()</f>
        <v>t CO2e</v>
      </c>
      <c r="M72" s="45" t="s">
        <v>113</v>
      </c>
      <c r="N72" s="45" cm="1">
        <f t="array" aca="1" ref="N72" ca="1">Common_Equations.Common_ConvertCH4ToCO2e(P69,P70)</f>
        <v>991.7664400000001</v>
      </c>
      <c r="O72" s="93" t="str" cm="1">
        <f t="array" ref="O72">Common_Equations.Common_ConvertN2OToCO2e_Unit()</f>
        <v>t CO2e</v>
      </c>
    </row>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133:G133 E138:G138 N138:P138 D55:F55 D60:F6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1" workbookViewId="0">
      <selection activeCell="I112" sqref="I1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95</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1" t="str" cm="1">
        <f t="array" ref="D7">SourceData_Feedlot.SourceData_Feedlot_VSL_Variable()</f>
        <v>VSL</v>
      </c>
      <c r="E7" s="1" cm="1">
        <f t="array" ref="E7">SourceData_Feedlot.SourceData_Feedlot_VSL_Data()</f>
        <v>0.5</v>
      </c>
      <c r="F7" s="52"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58</v>
      </c>
      <c r="D11" s="5" t="str" cm="1">
        <f t="array" ref="D11">SourceData_Feedlot.SourceData_Feedlot_MMSm1T3_Source()</f>
        <v>VEERG 2026: 4.1.2.3 CONSTANTS</v>
      </c>
      <c r="M11" s="1"/>
    </row>
    <row r="12" spans="1:21" ht="20.100000000000001" customHeight="1" x14ac:dyDescent="0.25">
      <c r="A12" s="17" t="str">
        <f>HYPERLINK("#'3.1.1.1-2 Enteric Methane'!A1", "3.1.1.1-2 Enteric Methane")</f>
        <v>3.1.1.1-2 Enteric Methane</v>
      </c>
      <c r="D12" s="51" t="str" cm="1">
        <f t="array" ref="D12">SourceData_Feedlot.SourceData_Feedlot_MMSm1T3_Variable()</f>
        <v>MMSm1T3</v>
      </c>
      <c r="E12" s="1" cm="1">
        <f t="array" ref="E12">SourceData_Feedlot.SourceData_Feedlot_MMSm1T3_Data()</f>
        <v>0.02</v>
      </c>
      <c r="F12" s="52" t="str" cm="1">
        <f t="array" ref="F12">SourceData_Feedlot.SourceData_Feedlot_MMSm1T3_Unit()</f>
        <v>Fraction</v>
      </c>
      <c r="M12" s="1"/>
    </row>
    <row r="13" spans="1:21" ht="20.100000000000001" customHeight="1" x14ac:dyDescent="0.25">
      <c r="M13" s="1"/>
    </row>
    <row r="14" spans="1:21" ht="20.100000000000001" customHeight="1" x14ac:dyDescent="0.25">
      <c r="A14" s="18" t="s">
        <v>4</v>
      </c>
      <c r="M14" s="1"/>
    </row>
    <row r="15" spans="1:21" ht="20.100000000000001" customHeight="1" x14ac:dyDescent="0.25">
      <c r="A15" s="64" t="str">
        <f>HYPERLINK("#'Constants - Feedlot'!A1", "Constants - Feedlot")</f>
        <v>Constants - Feedlot</v>
      </c>
      <c r="D15" s="6" t="str" cm="1">
        <f t="array" ref="D15">SourceData_Feedlot.SourceData_Feedlot_AshContent_Title()</f>
        <v>Ash content of manure.</v>
      </c>
      <c r="M15" s="1"/>
    </row>
    <row r="16" spans="1:21" ht="20.100000000000001" customHeight="1" x14ac:dyDescent="0.25">
      <c r="A16" s="17" t="str">
        <f>HYPERLINK("#'Constants - Livestock'!A1", "Constants - Livestock")</f>
        <v>Constants - Livestock</v>
      </c>
      <c r="D16" s="5" t="str" cm="1">
        <f t="array" ref="D16">SourceData_Feedlot.SourceData_Feedlot_AshContent_Source()</f>
        <v>VEERG 2026: 4.1.2.3 CONSTANTS</v>
      </c>
      <c r="M16" s="1"/>
    </row>
    <row r="17" spans="1:13" ht="20.100000000000001" customHeight="1" x14ac:dyDescent="0.25">
      <c r="A17" s="17" t="str">
        <f>HYPERLINK("#'Constants - Common'!A1", "Constants - Common")</f>
        <v>Constants - Common</v>
      </c>
      <c r="D17" s="51" t="str" cm="1">
        <f t="array" ref="D17">SourceData_Feedlot.SourceData_Feedlot_AshContent_Variable()</f>
        <v>A</v>
      </c>
      <c r="E17" s="1" cm="1">
        <f t="array" ref="E17">SourceData_Feedlot.SourceData_Feedlot_AshContent_Data()</f>
        <v>0.16</v>
      </c>
      <c r="F17" s="52" t="str" cm="1">
        <f t="array" ref="F17">SourceData_Feedlot.SourceData_Feedlot_AshContent_Unit()</f>
        <v>Fraction</v>
      </c>
      <c r="M17" s="1"/>
    </row>
    <row r="18" spans="1:13" ht="20.100000000000001" customHeight="1" x14ac:dyDescent="0.25">
      <c r="A18" s="17" t="str">
        <f>HYPERLINK("#'Acknowledgements'!A1", "Acknowledgements")</f>
        <v>Acknowledgements</v>
      </c>
      <c r="M18" s="1"/>
    </row>
    <row r="19" spans="1:13" ht="20.100000000000001" customHeight="1" x14ac:dyDescent="0.25">
      <c r="M19" s="1"/>
    </row>
    <row r="20" spans="1:13" ht="20.100000000000001" customHeight="1" x14ac:dyDescent="0.25">
      <c r="D20" s="6" t="str" cm="1">
        <f t="array" ref="D20">SourceData_Feedlot.SourceData_Feedlot_MethaneEmissionsPotential_Title()</f>
        <v>Methane emissions potential.</v>
      </c>
      <c r="M20" s="1"/>
    </row>
    <row r="21" spans="1:13" ht="20.100000000000001" customHeight="1" x14ac:dyDescent="0.25">
      <c r="A21" s="17"/>
      <c r="D21" s="5" t="str" cm="1">
        <f t="array" ref="D21">SourceData_Feedlot.SourceData_Feedlot_MethaneEmissionsPotential_Source()</f>
        <v>VEERG 2026: 4.1.2.3 CONSTANTS</v>
      </c>
      <c r="M21" s="1"/>
    </row>
    <row r="22" spans="1:13" ht="20.100000000000001" customHeight="1" x14ac:dyDescent="0.25">
      <c r="D22" s="51" t="str" cm="1">
        <f t="array" ref="D22">SourceData_Feedlot.SourceData_Feedlot_MethaneEmissionsPotential_Variable()</f>
        <v>B0</v>
      </c>
      <c r="E22" s="1" cm="1">
        <f t="array" ref="E22">SourceData_Feedlot.SourceData_Feedlot_MethaneEmissionsPotential_Data()</f>
        <v>0.19</v>
      </c>
      <c r="F22" s="52"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M24" s="1"/>
    </row>
    <row r="25" spans="1:13" ht="20.100000000000001" customHeight="1" x14ac:dyDescent="0.25">
      <c r="A25" s="17"/>
      <c r="D25" s="6" t="s">
        <v>83</v>
      </c>
      <c r="G25" s="6" t="s">
        <v>119</v>
      </c>
      <c r="J25" s="6" t="s">
        <v>121</v>
      </c>
      <c r="M25" s="1"/>
    </row>
    <row r="26" spans="1:13" ht="20.100000000000001" customHeight="1" x14ac:dyDescent="0.25">
      <c r="M26" s="1"/>
    </row>
    <row r="27" spans="1:13" ht="20.100000000000001" customHeight="1" x14ac:dyDescent="0.25">
      <c r="D27" s="84" t="s">
        <v>50</v>
      </c>
      <c r="E27" s="37" t="s">
        <v>63</v>
      </c>
      <c r="G27" s="37" t="s">
        <v>120</v>
      </c>
      <c r="J27" s="37" t="s">
        <v>118</v>
      </c>
      <c r="M27" s="1"/>
    </row>
    <row r="28" spans="1:13" ht="20.100000000000001" customHeight="1" x14ac:dyDescent="0.25">
      <c r="D28" s="37" t="str">
        <f>'Constants - Livestock'!$E$16</f>
        <v>Drylot (feed pad)</v>
      </c>
      <c r="E28" s="37" t="str">
        <f>'Constants - Livestock'!$F$16</f>
        <v>Drylot (feed pad) (m=5)</v>
      </c>
      <c r="G28" s="37" t="str">
        <f>'Constants - Common'!$F$188</f>
        <v>Crop</v>
      </c>
      <c r="J28" s="37" t="s">
        <v>122</v>
      </c>
      <c r="M28" s="1"/>
    </row>
    <row r="29" spans="1:13" ht="20.100000000000001" customHeight="1" x14ac:dyDescent="0.25">
      <c r="D29" s="37" t="str">
        <f>'Constants - Livestock'!$E$15</f>
        <v>Solid storage</v>
      </c>
      <c r="E29" s="37" t="str">
        <f>'Constants - Livestock'!$F$15</f>
        <v>Solid storage (m=4)</v>
      </c>
      <c r="G29" s="1" t="str">
        <f>'Constants - Common'!$F$187</f>
        <v>Pasture</v>
      </c>
      <c r="J29" s="37" t="s">
        <v>123</v>
      </c>
      <c r="M29" s="1"/>
    </row>
    <row r="30" spans="1:13" ht="20.100000000000001" customHeight="1" x14ac:dyDescent="0.25">
      <c r="D30" s="37" t="str">
        <f>'Constants - Livestock'!$E$17</f>
        <v>Composting (passive windrow)</v>
      </c>
      <c r="E30" s="37" t="str">
        <f>'Constants - Livestock'!$F$17</f>
        <v>Composting (passive windrow) (m=6)</v>
      </c>
      <c r="J30" s="1" t="s">
        <v>124</v>
      </c>
      <c r="M30" s="1"/>
    </row>
    <row r="31" spans="1:13" ht="20.100000000000001" customHeight="1" x14ac:dyDescent="0.25">
      <c r="D31" s="37" t="str">
        <f>'Constants - Livestock'!$E$26</f>
        <v>Direct application</v>
      </c>
      <c r="E31" s="37" t="str">
        <f>'Constants - Livestock'!$F$26</f>
        <v>Direct application (m=13)</v>
      </c>
      <c r="J31" s="1" t="s">
        <v>125</v>
      </c>
      <c r="M31" s="1"/>
    </row>
    <row r="32" spans="1:13" ht="20.100000000000001" customHeight="1" x14ac:dyDescent="0.25">
      <c r="D32" s="1" t="str">
        <f>'Constants - Livestock'!$E$10</f>
        <v>Anaerobic lagoon</v>
      </c>
      <c r="E32" s="1" t="str">
        <f>'Constants - Livestock'!$F$10</f>
        <v>Anaerobic lagoon (m=1)</v>
      </c>
      <c r="J32" s="1" t="s">
        <v>126</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7" t="s">
        <v>90</v>
      </c>
      <c r="E38" s="37" t="s">
        <v>103</v>
      </c>
      <c r="M38" s="1"/>
    </row>
    <row r="39" spans="4:13" ht="20.100000000000001" customHeight="1" x14ac:dyDescent="0.25">
      <c r="D39" s="37" t="str" cm="1">
        <f t="array" ref="D39">Common_InputFunctions.Utility_DisplayArrayInTable(SourceData_Feedlot.SourceData_Feedlot_DurationOfStay_Data(), Table_SourceData_Feedlot_LengthOfStay[[#Headers],[Feedlot type]], 0)</f>
        <v>Domestic</v>
      </c>
      <c r="E39" s="37"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7"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7"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3" t="str" cm="1">
        <f t="array" ref="D46:D48">SourceData_Feedlot.SourceData_Feedlot_AnimalCharacteristics_Variation()</f>
        <v>VARIATION ON SOURCE:</v>
      </c>
      <c r="M46" s="24"/>
    </row>
    <row r="47" spans="4:13" ht="20.100000000000001" customHeight="1" x14ac:dyDescent="0.25">
      <c r="D47" s="53" t="str">
        <v>Moved feedlot types to a separate column to aid lookup.</v>
      </c>
      <c r="M47" s="24"/>
    </row>
    <row r="48" spans="4:13" ht="20.100000000000001" customHeight="1" x14ac:dyDescent="0.25">
      <c r="D48" s="53" t="str">
        <v>Named 'characteristic' column - original has header 'Unit' which covers two columns)</v>
      </c>
      <c r="M48" s="24"/>
    </row>
    <row r="49" spans="4:13" ht="20.100000000000001" customHeight="1" x14ac:dyDescent="0.25">
      <c r="D49" s="37" t="s">
        <v>90</v>
      </c>
      <c r="E49" s="37" t="s">
        <v>100</v>
      </c>
      <c r="F49" s="37" t="s">
        <v>11</v>
      </c>
      <c r="G49" s="37" t="s">
        <v>101</v>
      </c>
      <c r="H49" s="37" t="s">
        <v>92</v>
      </c>
      <c r="I49" s="37" t="s">
        <v>93</v>
      </c>
      <c r="J49" s="37" t="s">
        <v>94</v>
      </c>
      <c r="M49" s="24"/>
    </row>
    <row r="50" spans="4:13" ht="20.100000000000001" customHeight="1" x14ac:dyDescent="0.25">
      <c r="D50" s="37" t="str" cm="1">
        <f t="array" ref="D50">Common_InputFunctions.Utility_DisplayArrayInTable(SourceData_Feedlot.SourceData_Feedlot_AnimalCharacteristics_Data(), Table_SourceData_Feedlot_AnimalCharacteristics[[#Headers],[Feedlot type]], 0)</f>
        <v>Domestic</v>
      </c>
      <c r="E50" s="37" t="str" cm="1">
        <f t="array" ref="E50">Common_InputFunctions.Utility_DisplayArrayInTable(SourceData_Feedlot.SourceData_Feedlot_AnimalCharacteristics_Data(), Table_SourceData_Feedlot_AnimalCharacteristics[[#Headers],[Feedlot type]], 0)</f>
        <v>Days on feed</v>
      </c>
      <c r="F50" s="37" t="str" cm="1">
        <f t="array" ref="F50">Common_InputFunctions.Utility_DisplayArrayInTable(SourceData_Feedlot.SourceData_Feedlot_AnimalCharacteristics_Data(), Table_SourceData_Feedlot_AnimalCharacteristics[[#Headers],[Feedlot type]], 0)</f>
        <v>days</v>
      </c>
      <c r="G50" s="37" cm="1">
        <f t="array" ref="G50">Common_InputFunctions.Utility_DisplayArrayInTable(SourceData_Feedlot.SourceData_Feedlot_AnimalCharacteristics_Data(), Table_SourceData_Feedlot_AnimalCharacteristics[[#Headers],[Feedlot type]], 0)</f>
        <v>70</v>
      </c>
      <c r="H50" s="37" cm="1">
        <f t="array" ref="H50">Common_InputFunctions.Utility_DisplayArrayInTable(SourceData_Feedlot.SourceData_Feedlot_AnimalCharacteristics_Data(), Table_SourceData_Feedlot_AnimalCharacteristics[[#Headers],[Feedlot type]], 0)</f>
        <v>70</v>
      </c>
      <c r="I50" s="37" cm="1">
        <f t="array" ref="I50">Common_InputFunctions.Utility_DisplayArrayInTable(SourceData_Feedlot.SourceData_Feedlot_AnimalCharacteristics_Data(), Table_SourceData_Feedlot_AnimalCharacteristics[[#Headers],[Feedlot type]], 0)</f>
        <v>70</v>
      </c>
      <c r="J50" s="37"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7" t="str" cm="1">
        <f t="array" ref="E51">Common_InputFunctions.Utility_DisplayArrayInTable(SourceData_Feedlot.SourceData_Feedlot_AnimalCharacteristics_Data(), Table_SourceData_Feedlot_AnimalCharacteristics[[#Headers],[Feedlot type]], 0)</f>
        <v>Feed intake</v>
      </c>
      <c r="F51" s="37" t="str" cm="1">
        <f t="array" ref="F51">Common_InputFunctions.Utility_DisplayArrayInTable(SourceData_Feedlot.SourceData_Feedlot_AnimalCharacteristics_Data(), Table_SourceData_Feedlot_AnimalCharacteristics[[#Headers],[Feedlot type]], 0)</f>
        <v>kg DM/day</v>
      </c>
      <c r="G51" s="37" cm="1">
        <f t="array" ref="G51">Common_InputFunctions.Utility_DisplayArrayInTable(SourceData_Feedlot.SourceData_Feedlot_AnimalCharacteristics_Data(), Table_SourceData_Feedlot_AnimalCharacteristics[[#Headers],[Feedlot type]], 0)</f>
        <v>10</v>
      </c>
      <c r="H51" s="37" cm="1">
        <f t="array" ref="H51">Common_InputFunctions.Utility_DisplayArrayInTable(SourceData_Feedlot.SourceData_Feedlot_AnimalCharacteristics_Data(), Table_SourceData_Feedlot_AnimalCharacteristics[[#Headers],[Feedlot type]], 0)</f>
        <v>10</v>
      </c>
      <c r="I51" s="37" cm="1">
        <f t="array" ref="I51">Common_InputFunctions.Utility_DisplayArrayInTable(SourceData_Feedlot.SourceData_Feedlot_AnimalCharacteristics_Data(), Table_SourceData_Feedlot_AnimalCharacteristics[[#Headers],[Feedlot type]], 0)</f>
        <v>10.4</v>
      </c>
      <c r="J51" s="37"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7" t="str" cm="1">
        <f t="array" ref="E52">Common_InputFunctions.Utility_DisplayArrayInTable(SourceData_Feedlot.SourceData_Feedlot_AnimalCharacteristics_Data(), Table_SourceData_Feedlot_AnimalCharacteristics[[#Headers],[Feedlot type]], 0)</f>
        <v>N retention</v>
      </c>
      <c r="F52" s="37" t="str" cm="1">
        <f t="array" ref="F52">Common_InputFunctions.Utility_DisplayArrayInTable(SourceData_Feedlot.SourceData_Feedlot_AnimalCharacteristics_Data(), Table_SourceData_Feedlot_AnimalCharacteristics[[#Headers],[Feedlot type]], 0)</f>
        <v>per cent of intake</v>
      </c>
      <c r="G52" s="37" cm="1">
        <f t="array" ref="G52">Common_InputFunctions.Utility_DisplayArrayInTable(SourceData_Feedlot.SourceData_Feedlot_AnimalCharacteristics_Data(), Table_SourceData_Feedlot_AnimalCharacteristics[[#Headers],[Feedlot type]], 0)</f>
        <v>21.1</v>
      </c>
      <c r="H52" s="37" cm="1">
        <f t="array" ref="H52">Common_InputFunctions.Utility_DisplayArrayInTable(SourceData_Feedlot.SourceData_Feedlot_AnimalCharacteristics_Data(), Table_SourceData_Feedlot_AnimalCharacteristics[[#Headers],[Feedlot type]], 0)</f>
        <v>20.399999999999999</v>
      </c>
      <c r="I52" s="37" cm="1">
        <f t="array" ref="I52">Common_InputFunctions.Utility_DisplayArrayInTable(SourceData_Feedlot.SourceData_Feedlot_AnimalCharacteristics_Data(), Table_SourceData_Feedlot_AnimalCharacteristics[[#Headers],[Feedlot type]], 0)</f>
        <v>20.399999999999999</v>
      </c>
      <c r="J52" s="37"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7" t="str" cm="1">
        <f t="array" ref="E53">Common_InputFunctions.Utility_DisplayArrayInTable(SourceData_Feedlot.SourceData_Feedlot_AnimalCharacteristics_Data(), Table_SourceData_Feedlot_AnimalCharacteristics[[#Headers],[Feedlot type]], 0)</f>
        <v>Days on feed</v>
      </c>
      <c r="F53" s="37" t="str" cm="1">
        <f t="array" ref="F53">Common_InputFunctions.Utility_DisplayArrayInTable(SourceData_Feedlot.SourceData_Feedlot_AnimalCharacteristics_Data(), Table_SourceData_Feedlot_AnimalCharacteristics[[#Headers],[Feedlot type]], 0)</f>
        <v>days</v>
      </c>
      <c r="G53" s="37" cm="1">
        <f t="array" ref="G53">Common_InputFunctions.Utility_DisplayArrayInTable(SourceData_Feedlot.SourceData_Feedlot_AnimalCharacteristics_Data(), Table_SourceData_Feedlot_AnimalCharacteristics[[#Headers],[Feedlot type]], 0)</f>
        <v>115</v>
      </c>
      <c r="H53" s="37" cm="1">
        <f t="array" ref="H53">Common_InputFunctions.Utility_DisplayArrayInTable(SourceData_Feedlot.SourceData_Feedlot_AnimalCharacteristics_Data(), Table_SourceData_Feedlot_AnimalCharacteristics[[#Headers],[Feedlot type]], 0)</f>
        <v>115</v>
      </c>
      <c r="I53" s="37" cm="1">
        <f t="array" ref="I53">Common_InputFunctions.Utility_DisplayArrayInTable(SourceData_Feedlot.SourceData_Feedlot_AnimalCharacteristics_Data(), Table_SourceData_Feedlot_AnimalCharacteristics[[#Headers],[Feedlot type]], 0)</f>
        <v>120</v>
      </c>
      <c r="J53" s="37"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7" t="str" cm="1">
        <f t="array" ref="E54">Common_InputFunctions.Utility_DisplayArrayInTable(SourceData_Feedlot.SourceData_Feedlot_AnimalCharacteristics_Data(), Table_SourceData_Feedlot_AnimalCharacteristics[[#Headers],[Feedlot type]], 0)</f>
        <v>Feed intake</v>
      </c>
      <c r="F54" s="37" t="str" cm="1">
        <f t="array" ref="F54">Common_InputFunctions.Utility_DisplayArrayInTable(SourceData_Feedlot.SourceData_Feedlot_AnimalCharacteristics_Data(), Table_SourceData_Feedlot_AnimalCharacteristics[[#Headers],[Feedlot type]], 0)</f>
        <v>kg DM/day</v>
      </c>
      <c r="G54" s="37" cm="1">
        <f t="array" ref="G54">Common_InputFunctions.Utility_DisplayArrayInTable(SourceData_Feedlot.SourceData_Feedlot_AnimalCharacteristics_Data(), Table_SourceData_Feedlot_AnimalCharacteristics[[#Headers],[Feedlot type]], 0)</f>
        <v>11.2</v>
      </c>
      <c r="H54" s="37" cm="1">
        <f t="array" ref="H54">Common_InputFunctions.Utility_DisplayArrayInTable(SourceData_Feedlot.SourceData_Feedlot_AnimalCharacteristics_Data(), Table_SourceData_Feedlot_AnimalCharacteristics[[#Headers],[Feedlot type]], 0)</f>
        <v>10.8</v>
      </c>
      <c r="I54" s="37" cm="1">
        <f t="array" ref="I54">Common_InputFunctions.Utility_DisplayArrayInTable(SourceData_Feedlot.SourceData_Feedlot_AnimalCharacteristics_Data(), Table_SourceData_Feedlot_AnimalCharacteristics[[#Headers],[Feedlot type]], 0)</f>
        <v>10.8</v>
      </c>
      <c r="J54" s="37"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7" t="str" cm="1">
        <f t="array" ref="E55">Common_InputFunctions.Utility_DisplayArrayInTable(SourceData_Feedlot.SourceData_Feedlot_AnimalCharacteristics_Data(), Table_SourceData_Feedlot_AnimalCharacteristics[[#Headers],[Feedlot type]], 0)</f>
        <v>N retention</v>
      </c>
      <c r="F55" s="37" t="str" cm="1">
        <f t="array" ref="F55">Common_InputFunctions.Utility_DisplayArrayInTable(SourceData_Feedlot.SourceData_Feedlot_AnimalCharacteristics_Data(), Table_SourceData_Feedlot_AnimalCharacteristics[[#Headers],[Feedlot type]], 0)</f>
        <v>per cent of intake</v>
      </c>
      <c r="G55" s="37" cm="1">
        <f t="array" ref="G55">Common_InputFunctions.Utility_DisplayArrayInTable(SourceData_Feedlot.SourceData_Feedlot_AnimalCharacteristics_Data(), Table_SourceData_Feedlot_AnimalCharacteristics[[#Headers],[Feedlot type]], 0)</f>
        <v>12.5</v>
      </c>
      <c r="H55" s="37" cm="1">
        <f t="array" ref="H55">Common_InputFunctions.Utility_DisplayArrayInTable(SourceData_Feedlot.SourceData_Feedlot_AnimalCharacteristics_Data(), Table_SourceData_Feedlot_AnimalCharacteristics[[#Headers],[Feedlot type]], 0)</f>
        <v>12.7</v>
      </c>
      <c r="I55" s="37" cm="1">
        <f t="array" ref="I55">Common_InputFunctions.Utility_DisplayArrayInTable(SourceData_Feedlot.SourceData_Feedlot_AnimalCharacteristics_Data(), Table_SourceData_Feedlot_AnimalCharacteristics[[#Headers],[Feedlot type]], 0)</f>
        <v>12.7</v>
      </c>
      <c r="J55" s="37"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7" t="str" cm="1">
        <f t="array" ref="E56">Common_InputFunctions.Utility_DisplayArrayInTable(SourceData_Feedlot.SourceData_Feedlot_AnimalCharacteristics_Data(), Table_SourceData_Feedlot_AnimalCharacteristics[[#Headers],[Feedlot type]], 0)</f>
        <v>Days on feed</v>
      </c>
      <c r="F56" s="37" t="str" cm="1">
        <f t="array" ref="F56">Common_InputFunctions.Utility_DisplayArrayInTable(SourceData_Feedlot.SourceData_Feedlot_AnimalCharacteristics_Data(), Table_SourceData_Feedlot_AnimalCharacteristics[[#Headers],[Feedlot type]], 0)</f>
        <v>days</v>
      </c>
      <c r="G56" s="37" cm="1">
        <f t="array" ref="G56">Common_InputFunctions.Utility_DisplayArrayInTable(SourceData_Feedlot.SourceData_Feedlot_AnimalCharacteristics_Data(), Table_SourceData_Feedlot_AnimalCharacteristics[[#Headers],[Feedlot type]], 0)</f>
        <v>250</v>
      </c>
      <c r="H56" s="37" cm="1">
        <f t="array" ref="H56">Common_InputFunctions.Utility_DisplayArrayInTable(SourceData_Feedlot.SourceData_Feedlot_AnimalCharacteristics_Data(), Table_SourceData_Feedlot_AnimalCharacteristics[[#Headers],[Feedlot type]], 0)</f>
        <v>250</v>
      </c>
      <c r="I56" s="37" cm="1">
        <f t="array" ref="I56">Common_InputFunctions.Utility_DisplayArrayInTable(SourceData_Feedlot.SourceData_Feedlot_AnimalCharacteristics_Data(), Table_SourceData_Feedlot_AnimalCharacteristics[[#Headers],[Feedlot type]], 0)</f>
        <v>250</v>
      </c>
      <c r="J56" s="37"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7" t="str" cm="1">
        <f t="array" ref="E57">Common_InputFunctions.Utility_DisplayArrayInTable(SourceData_Feedlot.SourceData_Feedlot_AnimalCharacteristics_Data(), Table_SourceData_Feedlot_AnimalCharacteristics[[#Headers],[Feedlot type]], 0)</f>
        <v>Feed intake</v>
      </c>
      <c r="F57" s="37" t="str" cm="1">
        <f t="array" ref="F57">Common_InputFunctions.Utility_DisplayArrayInTable(SourceData_Feedlot.SourceData_Feedlot_AnimalCharacteristics_Data(), Table_SourceData_Feedlot_AnimalCharacteristics[[#Headers],[Feedlot type]], 0)</f>
        <v>kg DM/day</v>
      </c>
      <c r="G57" s="37" cm="1">
        <f t="array" ref="G57">Common_InputFunctions.Utility_DisplayArrayInTable(SourceData_Feedlot.SourceData_Feedlot_AnimalCharacteristics_Data(), Table_SourceData_Feedlot_AnimalCharacteristics[[#Headers],[Feedlot type]], 0)</f>
        <v>9</v>
      </c>
      <c r="H57" s="37" cm="1">
        <f t="array" ref="H57">Common_InputFunctions.Utility_DisplayArrayInTable(SourceData_Feedlot.SourceData_Feedlot_AnimalCharacteristics_Data(), Table_SourceData_Feedlot_AnimalCharacteristics[[#Headers],[Feedlot type]], 0)</f>
        <v>8.5</v>
      </c>
      <c r="I57" s="37" cm="1">
        <f t="array" ref="I57">Common_InputFunctions.Utility_DisplayArrayInTable(SourceData_Feedlot.SourceData_Feedlot_AnimalCharacteristics_Data(), Table_SourceData_Feedlot_AnimalCharacteristics[[#Headers],[Feedlot type]], 0)</f>
        <v>8.1999999999999993</v>
      </c>
      <c r="J57" s="37"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7" t="str" cm="1">
        <f t="array" ref="E58">Common_InputFunctions.Utility_DisplayArrayInTable(SourceData_Feedlot.SourceData_Feedlot_AnimalCharacteristics_Data(), Table_SourceData_Feedlot_AnimalCharacteristics[[#Headers],[Feedlot type]], 0)</f>
        <v>N retention</v>
      </c>
      <c r="F58" s="37" t="str" cm="1">
        <f t="array" ref="F58">Common_InputFunctions.Utility_DisplayArrayInTable(SourceData_Feedlot.SourceData_Feedlot_AnimalCharacteristics_Data(), Table_SourceData_Feedlot_AnimalCharacteristics[[#Headers],[Feedlot type]], 0)</f>
        <v>per cent of intake</v>
      </c>
      <c r="G58" s="37" cm="1">
        <f t="array" ref="G58">Common_InputFunctions.Utility_DisplayArrayInTable(SourceData_Feedlot.SourceData_Feedlot_AnimalCharacteristics_Data(), Table_SourceData_Feedlot_AnimalCharacteristics[[#Headers],[Feedlot type]], 0)</f>
        <v>6.6</v>
      </c>
      <c r="H58" s="37" cm="1">
        <f t="array" ref="H58">Common_InputFunctions.Utility_DisplayArrayInTable(SourceData_Feedlot.SourceData_Feedlot_AnimalCharacteristics_Data(), Table_SourceData_Feedlot_AnimalCharacteristics[[#Headers],[Feedlot type]], 0)</f>
        <v>7</v>
      </c>
      <c r="I58" s="37" cm="1">
        <f t="array" ref="I58">Common_InputFunctions.Utility_DisplayArrayInTable(SourceData_Feedlot.SourceData_Feedlot_AnimalCharacteristics_Data(), Table_SourceData_Feedlot_AnimalCharacteristics[[#Headers],[Feedlot type]], 0)</f>
        <v>7</v>
      </c>
      <c r="J58" s="37"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3" t="str" cm="1">
        <f t="array" ref="D63:D65">SourceData_Feedlot.SourceData_Feedlot_DietProperties_Variation()</f>
        <v>VARIATION ON SOURCE:</v>
      </c>
      <c r="M63" s="24"/>
    </row>
    <row r="64" spans="4:13" ht="20.100000000000001" customHeight="1" x14ac:dyDescent="0.25">
      <c r="D64" s="53" t="str">
        <v>Added 'Converted to fraction column and converted NDF and Ether extract values to fractions.</v>
      </c>
      <c r="M64" s="24"/>
    </row>
    <row r="65" spans="4:13" ht="20.100000000000001" customHeight="1" x14ac:dyDescent="0.25">
      <c r="D65" s="53" t="str">
        <v>Moved feedlot types to a separate column to aid lookup.</v>
      </c>
      <c r="M65" s="24"/>
    </row>
    <row r="66" spans="4:13" ht="20.100000000000001" customHeight="1" x14ac:dyDescent="0.25">
      <c r="D66" s="37" t="s">
        <v>90</v>
      </c>
      <c r="E66" s="37" t="s">
        <v>91</v>
      </c>
      <c r="F66" s="37" t="s">
        <v>11</v>
      </c>
      <c r="G66" s="37" t="s">
        <v>92</v>
      </c>
      <c r="H66" s="37" t="s">
        <v>93</v>
      </c>
      <c r="I66" s="37" t="s">
        <v>94</v>
      </c>
      <c r="J66" s="37" t="s">
        <v>99</v>
      </c>
      <c r="M66" s="24"/>
    </row>
    <row r="67" spans="4:13" ht="20.100000000000001" customHeight="1" x14ac:dyDescent="0.25">
      <c r="D67" s="37" t="str" cm="1">
        <f t="array" ref="D67">Common_InputFunctions.Utility_DisplayArrayInTable(SourceData_Feedlot.SourceData_Feedlot_DietProperties_Data(), Table_SourceData_Feedlot_DietProperties[[#Headers],[Feedlot type]], 0)</f>
        <v>Domestic</v>
      </c>
      <c r="E67" s="37" t="str" cm="1">
        <f t="array" ref="E67">Common_InputFunctions.Utility_DisplayArrayInTable(SourceData_Feedlot.SourceData_Feedlot_DietProperties_Data(), Table_SourceData_Feedlot_DietProperties[[#Headers],[Feedlot type]], 0)</f>
        <v>Dry matter digestibility</v>
      </c>
      <c r="F67" s="37" t="str" cm="1">
        <f t="array" ref="F67">Common_InputFunctions.Utility_DisplayArrayInTable(SourceData_Feedlot.SourceData_Feedlot_DietProperties_Data(), Table_SourceData_Feedlot_DietProperties[[#Headers],[Feedlot type]], 0)</f>
        <v>fraction</v>
      </c>
      <c r="G67" s="37" cm="1">
        <f t="array" ref="G67">Common_InputFunctions.Utility_DisplayArrayInTable(SourceData_Feedlot.SourceData_Feedlot_DietProperties_Data(), Table_SourceData_Feedlot_DietProperties[[#Headers],[Feedlot type]], 0)</f>
        <v>0.81</v>
      </c>
      <c r="H67" s="37" cm="1">
        <f t="array" ref="H67">Common_InputFunctions.Utility_DisplayArrayInTable(SourceData_Feedlot.SourceData_Feedlot_DietProperties_Data(), Table_SourceData_Feedlot_DietProperties[[#Headers],[Feedlot type]], 0)</f>
        <v>0.81</v>
      </c>
      <c r="I67" s="37" cm="1">
        <f t="array" ref="I67">Common_InputFunctions.Utility_DisplayArrayInTable(SourceData_Feedlot.SourceData_Feedlot_DietProperties_Data(), Table_SourceData_Feedlot_DietProperties[[#Headers],[Feedlot type]], 0)</f>
        <v>0.81</v>
      </c>
      <c r="J67" s="37"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7" t="str" cm="1">
        <f t="array" ref="E68">Common_InputFunctions.Utility_DisplayArrayInTable(SourceData_Feedlot.SourceData_Feedlot_DietProperties_Data(), Table_SourceData_Feedlot_DietProperties[[#Headers],[Feedlot type]], 0)</f>
        <v>Crude protein</v>
      </c>
      <c r="F68" s="37" t="str" cm="1">
        <f t="array" ref="F68">Common_InputFunctions.Utility_DisplayArrayInTable(SourceData_Feedlot.SourceData_Feedlot_DietProperties_Data(), Table_SourceData_Feedlot_DietProperties[[#Headers],[Feedlot type]], 0)</f>
        <v>fraction</v>
      </c>
      <c r="G68" s="37" cm="1">
        <f t="array" ref="G68">Common_InputFunctions.Utility_DisplayArrayInTable(SourceData_Feedlot.SourceData_Feedlot_DietProperties_Data(), Table_SourceData_Feedlot_DietProperties[[#Headers],[Feedlot type]], 0)</f>
        <v>0.14000000000000001</v>
      </c>
      <c r="H68" s="37" cm="1">
        <f t="array" ref="H68">Common_InputFunctions.Utility_DisplayArrayInTable(SourceData_Feedlot.SourceData_Feedlot_DietProperties_Data(), Table_SourceData_Feedlot_DietProperties[[#Headers],[Feedlot type]], 0)</f>
        <v>0.14000000000000001</v>
      </c>
      <c r="I68" s="37" cm="1">
        <f t="array" ref="I68">Common_InputFunctions.Utility_DisplayArrayInTable(SourceData_Feedlot.SourceData_Feedlot_DietProperties_Data(), Table_SourceData_Feedlot_DietProperties[[#Headers],[Feedlot type]], 0)</f>
        <v>0.14000000000000001</v>
      </c>
      <c r="J68" s="37"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7" t="str" cm="1">
        <f t="array" ref="E69">Common_InputFunctions.Utility_DisplayArrayInTable(SourceData_Feedlot.SourceData_Feedlot_DietProperties_Data(), Table_SourceData_Feedlot_DietProperties[[#Headers],[Feedlot type]], 0)</f>
        <v>NDF</v>
      </c>
      <c r="F69" s="37" t="str" cm="1">
        <f t="array" ref="F69">Common_InputFunctions.Utility_DisplayArrayInTable(SourceData_Feedlot.SourceData_Feedlot_DietProperties_Data(), Table_SourceData_Feedlot_DietProperties[[#Headers],[Feedlot type]], 0)</f>
        <v>per cent</v>
      </c>
      <c r="G69" s="37" cm="1">
        <f t="array" ref="G69">Common_InputFunctions.Utility_DisplayArrayInTable(SourceData_Feedlot.SourceData_Feedlot_DietProperties_Data(), Table_SourceData_Feedlot_DietProperties[[#Headers],[Feedlot type]], 0)</f>
        <v>23</v>
      </c>
      <c r="H69" s="37" cm="1">
        <f t="array" ref="H69">Common_InputFunctions.Utility_DisplayArrayInTable(SourceData_Feedlot.SourceData_Feedlot_DietProperties_Data(), Table_SourceData_Feedlot_DietProperties[[#Headers],[Feedlot type]], 0)</f>
        <v>22</v>
      </c>
      <c r="I69" s="37" cm="1">
        <f t="array" ref="I69">Common_InputFunctions.Utility_DisplayArrayInTable(SourceData_Feedlot.SourceData_Feedlot_DietProperties_Data(), Table_SourceData_Feedlot_DietProperties[[#Headers],[Feedlot type]], 0)</f>
        <v>22</v>
      </c>
      <c r="J69" s="37"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7" t="str" cm="1">
        <f t="array" ref="E70">Common_InputFunctions.Utility_DisplayArrayInTable(SourceData_Feedlot.SourceData_Feedlot_DietProperties_Data(), Table_SourceData_Feedlot_DietProperties[[#Headers],[Feedlot type]], 0)</f>
        <v>Ether Extract</v>
      </c>
      <c r="F70" s="37" t="str" cm="1">
        <f t="array" ref="F70">Common_InputFunctions.Utility_DisplayArrayInTable(SourceData_Feedlot.SourceData_Feedlot_DietProperties_Data(), Table_SourceData_Feedlot_DietProperties[[#Headers],[Feedlot type]], 0)</f>
        <v>per cent</v>
      </c>
      <c r="G70" s="37" cm="1">
        <f t="array" ref="G70">Common_InputFunctions.Utility_DisplayArrayInTable(SourceData_Feedlot.SourceData_Feedlot_DietProperties_Data(), Table_SourceData_Feedlot_DietProperties[[#Headers],[Feedlot type]], 0)</f>
        <v>4.5</v>
      </c>
      <c r="H70" s="37" cm="1">
        <f t="array" ref="H70">Common_InputFunctions.Utility_DisplayArrayInTable(SourceData_Feedlot.SourceData_Feedlot_DietProperties_Data(), Table_SourceData_Feedlot_DietProperties[[#Headers],[Feedlot type]], 0)</f>
        <v>4.5</v>
      </c>
      <c r="I70" s="37" cm="1">
        <f t="array" ref="I70">Common_InputFunctions.Utility_DisplayArrayInTable(SourceData_Feedlot.SourceData_Feedlot_DietProperties_Data(), Table_SourceData_Feedlot_DietProperties[[#Headers],[Feedlot type]], 0)</f>
        <v>4.8</v>
      </c>
      <c r="J70" s="37"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7" t="str" cm="1">
        <f t="array" ref="E71">Common_InputFunctions.Utility_DisplayArrayInTable(SourceData_Feedlot.SourceData_Feedlot_DietProperties_Data(), Table_SourceData_Feedlot_DietProperties[[#Headers],[Feedlot type]], 0)</f>
        <v>Dry matter digestibility</v>
      </c>
      <c r="F71" s="37" t="str" cm="1">
        <f t="array" ref="F71">Common_InputFunctions.Utility_DisplayArrayInTable(SourceData_Feedlot.SourceData_Feedlot_DietProperties_Data(), Table_SourceData_Feedlot_DietProperties[[#Headers],[Feedlot type]], 0)</f>
        <v>fraction</v>
      </c>
      <c r="G71" s="37" cm="1">
        <f t="array" ref="G71">Common_InputFunctions.Utility_DisplayArrayInTable(SourceData_Feedlot.SourceData_Feedlot_DietProperties_Data(), Table_SourceData_Feedlot_DietProperties[[#Headers],[Feedlot type]], 0)</f>
        <v>0.81</v>
      </c>
      <c r="H71" s="37" cm="1">
        <f t="array" ref="H71">Common_InputFunctions.Utility_DisplayArrayInTable(SourceData_Feedlot.SourceData_Feedlot_DietProperties_Data(), Table_SourceData_Feedlot_DietProperties[[#Headers],[Feedlot type]], 0)</f>
        <v>0.81</v>
      </c>
      <c r="I71" s="37" cm="1">
        <f t="array" ref="I71">Common_InputFunctions.Utility_DisplayArrayInTable(SourceData_Feedlot.SourceData_Feedlot_DietProperties_Data(), Table_SourceData_Feedlot_DietProperties[[#Headers],[Feedlot type]], 0)</f>
        <v>0.81</v>
      </c>
      <c r="J71" s="37"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7" t="str" cm="1">
        <f t="array" ref="E72">Common_InputFunctions.Utility_DisplayArrayInTable(SourceData_Feedlot.SourceData_Feedlot_DietProperties_Data(), Table_SourceData_Feedlot_DietProperties[[#Headers],[Feedlot type]], 0)</f>
        <v>Crude protein</v>
      </c>
      <c r="F72" s="37" t="str" cm="1">
        <f t="array" ref="F72">Common_InputFunctions.Utility_DisplayArrayInTable(SourceData_Feedlot.SourceData_Feedlot_DietProperties_Data(), Table_SourceData_Feedlot_DietProperties[[#Headers],[Feedlot type]], 0)</f>
        <v>fraction</v>
      </c>
      <c r="G72" s="37" cm="1">
        <f t="array" ref="G72">Common_InputFunctions.Utility_DisplayArrayInTable(SourceData_Feedlot.SourceData_Feedlot_DietProperties_Data(), Table_SourceData_Feedlot_DietProperties[[#Headers],[Feedlot type]], 0)</f>
        <v>0.13</v>
      </c>
      <c r="H72" s="37" cm="1">
        <f t="array" ref="H72">Common_InputFunctions.Utility_DisplayArrayInTable(SourceData_Feedlot.SourceData_Feedlot_DietProperties_Data(), Table_SourceData_Feedlot_DietProperties[[#Headers],[Feedlot type]], 0)</f>
        <v>0.125</v>
      </c>
      <c r="I72" s="37" cm="1">
        <f t="array" ref="I72">Common_InputFunctions.Utility_DisplayArrayInTable(SourceData_Feedlot.SourceData_Feedlot_DietProperties_Data(), Table_SourceData_Feedlot_DietProperties[[#Headers],[Feedlot type]], 0)</f>
        <v>0.12</v>
      </c>
      <c r="J72" s="37"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7" t="str" cm="1">
        <f t="array" ref="E73">Common_InputFunctions.Utility_DisplayArrayInTable(SourceData_Feedlot.SourceData_Feedlot_DietProperties_Data(), Table_SourceData_Feedlot_DietProperties[[#Headers],[Feedlot type]], 0)</f>
        <v>NDF</v>
      </c>
      <c r="F73" s="37" t="str" cm="1">
        <f t="array" ref="F73">Common_InputFunctions.Utility_DisplayArrayInTable(SourceData_Feedlot.SourceData_Feedlot_DietProperties_Data(), Table_SourceData_Feedlot_DietProperties[[#Headers],[Feedlot type]], 0)</f>
        <v>per cent</v>
      </c>
      <c r="G73" s="37" cm="1">
        <f t="array" ref="G73">Common_InputFunctions.Utility_DisplayArrayInTable(SourceData_Feedlot.SourceData_Feedlot_DietProperties_Data(), Table_SourceData_Feedlot_DietProperties[[#Headers],[Feedlot type]], 0)</f>
        <v>24</v>
      </c>
      <c r="H73" s="37" cm="1">
        <f t="array" ref="H73">Common_InputFunctions.Utility_DisplayArrayInTable(SourceData_Feedlot.SourceData_Feedlot_DietProperties_Data(), Table_SourceData_Feedlot_DietProperties[[#Headers],[Feedlot type]], 0)</f>
        <v>22</v>
      </c>
      <c r="I73" s="37" cm="1">
        <f t="array" ref="I73">Common_InputFunctions.Utility_DisplayArrayInTable(SourceData_Feedlot.SourceData_Feedlot_DietProperties_Data(), Table_SourceData_Feedlot_DietProperties[[#Headers],[Feedlot type]], 0)</f>
        <v>22</v>
      </c>
      <c r="J73" s="37"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7" t="str" cm="1">
        <f t="array" ref="E74">Common_InputFunctions.Utility_DisplayArrayInTable(SourceData_Feedlot.SourceData_Feedlot_DietProperties_Data(), Table_SourceData_Feedlot_DietProperties[[#Headers],[Feedlot type]], 0)</f>
        <v>Ether Extract</v>
      </c>
      <c r="F74" s="37" t="str" cm="1">
        <f t="array" ref="F74">Common_InputFunctions.Utility_DisplayArrayInTable(SourceData_Feedlot.SourceData_Feedlot_DietProperties_Data(), Table_SourceData_Feedlot_DietProperties[[#Headers],[Feedlot type]], 0)</f>
        <v>per cent</v>
      </c>
      <c r="G74" s="37" cm="1">
        <f t="array" ref="G74">Common_InputFunctions.Utility_DisplayArrayInTable(SourceData_Feedlot.SourceData_Feedlot_DietProperties_Data(), Table_SourceData_Feedlot_DietProperties[[#Headers],[Feedlot type]], 0)</f>
        <v>5</v>
      </c>
      <c r="H74" s="37" cm="1">
        <f t="array" ref="H74">Common_InputFunctions.Utility_DisplayArrayInTable(SourceData_Feedlot.SourceData_Feedlot_DietProperties_Data(), Table_SourceData_Feedlot_DietProperties[[#Headers],[Feedlot type]], 0)</f>
        <v>5</v>
      </c>
      <c r="I74" s="37" cm="1">
        <f t="array" ref="I74">Common_InputFunctions.Utility_DisplayArrayInTable(SourceData_Feedlot.SourceData_Feedlot_DietProperties_Data(), Table_SourceData_Feedlot_DietProperties[[#Headers],[Feedlot type]], 0)</f>
        <v>5</v>
      </c>
      <c r="J74" s="37"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7" t="str" cm="1">
        <f t="array" ref="E75">Common_InputFunctions.Utility_DisplayArrayInTable(SourceData_Feedlot.SourceData_Feedlot_DietProperties_Data(), Table_SourceData_Feedlot_DietProperties[[#Headers],[Feedlot type]], 0)</f>
        <v>Dry matter digestibility</v>
      </c>
      <c r="F75" s="37" t="str" cm="1">
        <f t="array" ref="F75">Common_InputFunctions.Utility_DisplayArrayInTable(SourceData_Feedlot.SourceData_Feedlot_DietProperties_Data(), Table_SourceData_Feedlot_DietProperties[[#Headers],[Feedlot type]], 0)</f>
        <v>fraction</v>
      </c>
      <c r="G75" s="37" cm="1">
        <f t="array" ref="G75">Common_InputFunctions.Utility_DisplayArrayInTable(SourceData_Feedlot.SourceData_Feedlot_DietProperties_Data(), Table_SourceData_Feedlot_DietProperties[[#Headers],[Feedlot type]], 0)</f>
        <v>0.81</v>
      </c>
      <c r="H75" s="37" cm="1">
        <f t="array" ref="H75">Common_InputFunctions.Utility_DisplayArrayInTable(SourceData_Feedlot.SourceData_Feedlot_DietProperties_Data(), Table_SourceData_Feedlot_DietProperties[[#Headers],[Feedlot type]], 0)</f>
        <v>0.81</v>
      </c>
      <c r="I75" s="37" cm="1">
        <f t="array" ref="I75">Common_InputFunctions.Utility_DisplayArrayInTable(SourceData_Feedlot.SourceData_Feedlot_DietProperties_Data(), Table_SourceData_Feedlot_DietProperties[[#Headers],[Feedlot type]], 0)</f>
        <v>0.81</v>
      </c>
      <c r="J75" s="37"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7" t="str" cm="1">
        <f t="array" ref="E76">Common_InputFunctions.Utility_DisplayArrayInTable(SourceData_Feedlot.SourceData_Feedlot_DietProperties_Data(), Table_SourceData_Feedlot_DietProperties[[#Headers],[Feedlot type]], 0)</f>
        <v>Crude protein</v>
      </c>
      <c r="F76" s="37" t="str" cm="1">
        <f t="array" ref="F76">Common_InputFunctions.Utility_DisplayArrayInTable(SourceData_Feedlot.SourceData_Feedlot_DietProperties_Data(), Table_SourceData_Feedlot_DietProperties[[#Headers],[Feedlot type]], 0)</f>
        <v>fraction</v>
      </c>
      <c r="G76" s="37" cm="1">
        <f t="array" ref="G76">Common_InputFunctions.Utility_DisplayArrayInTable(SourceData_Feedlot.SourceData_Feedlot_DietProperties_Data(), Table_SourceData_Feedlot_DietProperties[[#Headers],[Feedlot type]], 0)</f>
        <v>0.13</v>
      </c>
      <c r="H76" s="37" cm="1">
        <f t="array" ref="H76">Common_InputFunctions.Utility_DisplayArrayInTable(SourceData_Feedlot.SourceData_Feedlot_DietProperties_Data(), Table_SourceData_Feedlot_DietProperties[[#Headers],[Feedlot type]], 0)</f>
        <v>0.125</v>
      </c>
      <c r="I76" s="37" cm="1">
        <f t="array" ref="I76">Common_InputFunctions.Utility_DisplayArrayInTable(SourceData_Feedlot.SourceData_Feedlot_DietProperties_Data(), Table_SourceData_Feedlot_DietProperties[[#Headers],[Feedlot type]], 0)</f>
        <v>0.12</v>
      </c>
      <c r="J76" s="37"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7" t="str" cm="1">
        <f t="array" ref="E77">Common_InputFunctions.Utility_DisplayArrayInTable(SourceData_Feedlot.SourceData_Feedlot_DietProperties_Data(), Table_SourceData_Feedlot_DietProperties[[#Headers],[Feedlot type]], 0)</f>
        <v>NDF</v>
      </c>
      <c r="F77" s="37" t="str" cm="1">
        <f t="array" ref="F77">Common_InputFunctions.Utility_DisplayArrayInTable(SourceData_Feedlot.SourceData_Feedlot_DietProperties_Data(), Table_SourceData_Feedlot_DietProperties[[#Headers],[Feedlot type]], 0)</f>
        <v>per cent</v>
      </c>
      <c r="G77" s="37" cm="1">
        <f t="array" ref="G77">Common_InputFunctions.Utility_DisplayArrayInTable(SourceData_Feedlot.SourceData_Feedlot_DietProperties_Data(), Table_SourceData_Feedlot_DietProperties[[#Headers],[Feedlot type]], 0)</f>
        <v>24</v>
      </c>
      <c r="H77" s="37" cm="1">
        <f t="array" ref="H77">Common_InputFunctions.Utility_DisplayArrayInTable(SourceData_Feedlot.SourceData_Feedlot_DietProperties_Data(), Table_SourceData_Feedlot_DietProperties[[#Headers],[Feedlot type]], 0)</f>
        <v>24</v>
      </c>
      <c r="I77" s="37" cm="1">
        <f t="array" ref="I77">Common_InputFunctions.Utility_DisplayArrayInTable(SourceData_Feedlot.SourceData_Feedlot_DietProperties_Data(), Table_SourceData_Feedlot_DietProperties[[#Headers],[Feedlot type]], 0)</f>
        <v>24</v>
      </c>
      <c r="J77" s="37"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7" t="str" cm="1">
        <f t="array" ref="E78">Common_InputFunctions.Utility_DisplayArrayInTable(SourceData_Feedlot.SourceData_Feedlot_DietProperties_Data(), Table_SourceData_Feedlot_DietProperties[[#Headers],[Feedlot type]], 0)</f>
        <v>Ether Extract</v>
      </c>
      <c r="F78" s="37" t="str" cm="1">
        <f t="array" ref="F78">Common_InputFunctions.Utility_DisplayArrayInTable(SourceData_Feedlot.SourceData_Feedlot_DietProperties_Data(), Table_SourceData_Feedlot_DietProperties[[#Headers],[Feedlot type]], 0)</f>
        <v>per cent</v>
      </c>
      <c r="G78" s="37" cm="1">
        <f t="array" ref="G78">Common_InputFunctions.Utility_DisplayArrayInTable(SourceData_Feedlot.SourceData_Feedlot_DietProperties_Data(), Table_SourceData_Feedlot_DietProperties[[#Headers],[Feedlot type]], 0)</f>
        <v>5</v>
      </c>
      <c r="H78" s="37" cm="1">
        <f t="array" ref="H78">Common_InputFunctions.Utility_DisplayArrayInTable(SourceData_Feedlot.SourceData_Feedlot_DietProperties_Data(), Table_SourceData_Feedlot_DietProperties[[#Headers],[Feedlot type]], 0)</f>
        <v>5</v>
      </c>
      <c r="I78" s="37" cm="1">
        <f t="array" ref="I78">Common_InputFunctions.Utility_DisplayArrayInTable(SourceData_Feedlot.SourceData_Feedlot_DietProperties_Data(), Table_SourceData_Feedlot_DietProperties[[#Headers],[Feedlot type]], 0)</f>
        <v>5.5</v>
      </c>
      <c r="J78" s="37"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3" t="str" cm="1">
        <f t="array" ref="D83:D86">SourceData_Feedlot.SourceData_Feedlot_MCF_Variation()</f>
        <v>VARIATION ON SOURCE:</v>
      </c>
      <c r="M83" s="1"/>
    </row>
    <row r="84" spans="4:14" ht="20.100000000000001" customHeight="1" x14ac:dyDescent="0.25">
      <c r="D84" s="53" t="str">
        <v>Duplicated NSW values for ACT</v>
      </c>
      <c r="M84" s="1"/>
    </row>
    <row r="85" spans="4:14" ht="20.100000000000001" customHeight="1" x14ac:dyDescent="0.25">
      <c r="D85" s="53" t="str">
        <v>Added NT column that duplicates QLD values as per advice from source data provider.</v>
      </c>
      <c r="M85" s="1"/>
    </row>
    <row r="86" spans="4:14" ht="20.100000000000001" customHeight="1" x14ac:dyDescent="0.25">
      <c r="D86" s="53" t="str">
        <v>Added TAS column that duplicates VIC values as per advice from source data provider.</v>
      </c>
      <c r="M86" s="1"/>
    </row>
    <row r="87" spans="4:14" ht="20.100000000000001" customHeight="1" x14ac:dyDescent="0.25">
      <c r="M87" s="1"/>
    </row>
    <row r="88" spans="4:14" ht="20.100000000000001" customHeight="1" x14ac:dyDescent="0.25">
      <c r="D88" s="37" t="s">
        <v>82</v>
      </c>
      <c r="E88" s="37" t="s">
        <v>80</v>
      </c>
      <c r="F88" s="37" t="s">
        <v>65</v>
      </c>
      <c r="G88" s="37" t="s">
        <v>64</v>
      </c>
      <c r="H88" s="37" t="s">
        <v>67</v>
      </c>
      <c r="I88" s="37" t="s">
        <v>66</v>
      </c>
      <c r="J88" s="37" t="s">
        <v>68</v>
      </c>
      <c r="K88" s="37" t="s">
        <v>70</v>
      </c>
      <c r="L88" s="37" t="s">
        <v>71</v>
      </c>
      <c r="M88" s="37" t="s">
        <v>69</v>
      </c>
      <c r="N88" s="37" t="s">
        <v>78</v>
      </c>
    </row>
    <row r="89" spans="4:14" ht="20.100000000000001" customHeight="1" x14ac:dyDescent="0.25">
      <c r="D89" s="37" t="str" cm="1">
        <f t="array" ref="D89">Common_InputFunctions.Utility_DisplayArrayInTable(SourceData_Feedlot.SourceData_Feedlot_MCF_Data(), Table_SourceData_Feedlot_MCF[[#Headers],[Treatment stage T]], 0)</f>
        <v>Primary</v>
      </c>
      <c r="E89" s="37" t="str" cm="1">
        <f t="array" ref="E89">Common_InputFunctions.Utility_DisplayArrayInTable(SourceData_Feedlot.SourceData_Feedlot_MCF_Data(), Table_SourceData_Feedlot_MCF[[#Headers],[Treatment stage T]], 0)</f>
        <v>Dry lot (Feedpad)</v>
      </c>
      <c r="F89" s="37" cm="1">
        <f t="array" ref="F89">Common_InputFunctions.Utility_DisplayArrayInTable(SourceData_Feedlot.SourceData_Feedlot_MCF_Data(), Table_SourceData_Feedlot_MCF[[#Headers],[Treatment stage T]], 0)</f>
        <v>0.01</v>
      </c>
      <c r="G89" s="37" cm="1">
        <f t="array" ref="G89">Common_InputFunctions.Utility_DisplayArrayInTable(SourceData_Feedlot.SourceData_Feedlot_MCF_Data(), Table_SourceData_Feedlot_MCF[[#Headers],[Treatment stage T]], 0)</f>
        <v>0.01</v>
      </c>
      <c r="H89" s="37" cm="1">
        <f t="array" ref="H89">Common_InputFunctions.Utility_DisplayArrayInTable(SourceData_Feedlot.SourceData_Feedlot_MCF_Data(), Table_SourceData_Feedlot_MCF[[#Headers],[Treatment stage T]], 0)</f>
        <v>0.03</v>
      </c>
      <c r="I89" s="37" cm="1">
        <f t="array" ref="I89">Common_InputFunctions.Utility_DisplayArrayInTable(SourceData_Feedlot.SourceData_Feedlot_MCF_Data(), Table_SourceData_Feedlot_MCF[[#Headers],[Treatment stage T]], 0)</f>
        <v>0.03</v>
      </c>
      <c r="J89" s="37" cm="1">
        <f t="array" ref="J89">Common_InputFunctions.Utility_DisplayArrayInTable(SourceData_Feedlot.SourceData_Feedlot_MCF_Data(), Table_SourceData_Feedlot_MCF[[#Headers],[Treatment stage T]], 0)</f>
        <v>0.01</v>
      </c>
      <c r="K89" s="37" cm="1">
        <f t="array" ref="K89">Common_InputFunctions.Utility_DisplayArrayInTable(SourceData_Feedlot.SourceData_Feedlot_MCF_Data(), Table_SourceData_Feedlot_MCF[[#Headers],[Treatment stage T]], 0)</f>
        <v>0.01</v>
      </c>
      <c r="L89" s="37" cm="1">
        <f t="array" ref="L89">Common_InputFunctions.Utility_DisplayArrayInTable(SourceData_Feedlot.SourceData_Feedlot_MCF_Data(), Table_SourceData_Feedlot_MCF[[#Headers],[Treatment stage T]], 0)</f>
        <v>0.01</v>
      </c>
      <c r="M89" s="37" cm="1">
        <f t="array" ref="M89">Common_InputFunctions.Utility_DisplayArrayInTable(SourceData_Feedlot.SourceData_Feedlot_MCF_Data(), Table_SourceData_Feedlot_MCF[[#Headers],[Treatment stage T]], 0)</f>
        <v>0.01</v>
      </c>
      <c r="N89" s="37"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7" t="str" cm="1">
        <f t="array" ref="E90">Common_InputFunctions.Utility_DisplayArrayInTable(SourceData_Feedlot.SourceData_Feedlot_MCF_Data(), Table_SourceData_Feedlot_MCF[[#Headers],[Treatment stage T]], 0)</f>
        <v>Solid Storage (Stockpile)</v>
      </c>
      <c r="F90" s="37" cm="1">
        <f t="array" ref="F90">Common_InputFunctions.Utility_DisplayArrayInTable(SourceData_Feedlot.SourceData_Feedlot_MCF_Data(), Table_SourceData_Feedlot_MCF[[#Headers],[Treatment stage T]], 0)</f>
        <v>0.02</v>
      </c>
      <c r="G90" s="37" cm="1">
        <f t="array" ref="G90">Common_InputFunctions.Utility_DisplayArrayInTable(SourceData_Feedlot.SourceData_Feedlot_MCF_Data(), Table_SourceData_Feedlot_MCF[[#Headers],[Treatment stage T]], 0)</f>
        <v>0.02</v>
      </c>
      <c r="H90" s="37" cm="1">
        <f t="array" ref="H90">Common_InputFunctions.Utility_DisplayArrayInTable(SourceData_Feedlot.SourceData_Feedlot_MCF_Data(), Table_SourceData_Feedlot_MCF[[#Headers],[Treatment stage T]], 0)</f>
        <v>0.02</v>
      </c>
      <c r="I90" s="37" cm="1">
        <f t="array" ref="I90">Common_InputFunctions.Utility_DisplayArrayInTable(SourceData_Feedlot.SourceData_Feedlot_MCF_Data(), Table_SourceData_Feedlot_MCF[[#Headers],[Treatment stage T]], 0)</f>
        <v>0.02</v>
      </c>
      <c r="J90" s="37" cm="1">
        <f t="array" ref="J90">Common_InputFunctions.Utility_DisplayArrayInTable(SourceData_Feedlot.SourceData_Feedlot_MCF_Data(), Table_SourceData_Feedlot_MCF[[#Headers],[Treatment stage T]], 0)</f>
        <v>0.02</v>
      </c>
      <c r="K90" s="37" cm="1">
        <f t="array" ref="K90">Common_InputFunctions.Utility_DisplayArrayInTable(SourceData_Feedlot.SourceData_Feedlot_MCF_Data(), Table_SourceData_Feedlot_MCF[[#Headers],[Treatment stage T]], 0)</f>
        <v>0.02</v>
      </c>
      <c r="L90" s="37" cm="1">
        <f t="array" ref="L90">Common_InputFunctions.Utility_DisplayArrayInTable(SourceData_Feedlot.SourceData_Feedlot_MCF_Data(), Table_SourceData_Feedlot_MCF[[#Headers],[Treatment stage T]], 0)</f>
        <v>0.02</v>
      </c>
      <c r="M90" s="37" cm="1">
        <f t="array" ref="M90">Common_InputFunctions.Utility_DisplayArrayInTable(SourceData_Feedlot.SourceData_Feedlot_MCF_Data(), Table_SourceData_Feedlot_MCF[[#Headers],[Treatment stage T]], 0)</f>
        <v>0.02</v>
      </c>
      <c r="N90" s="37"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7" t="str" cm="1">
        <f t="array" ref="E91">Common_InputFunctions.Utility_DisplayArrayInTable(SourceData_Feedlot.SourceData_Feedlot_MCF_Data(), Table_SourceData_Feedlot_MCF[[#Headers],[Treatment stage T]], 0)</f>
        <v>Composting (Passive Windrow)</v>
      </c>
      <c r="F91" s="37" cm="1">
        <f t="array" ref="F91">Common_InputFunctions.Utility_DisplayArrayInTable(SourceData_Feedlot.SourceData_Feedlot_MCF_Data(), Table_SourceData_Feedlot_MCF[[#Headers],[Treatment stage T]], 0)</f>
        <v>0.01</v>
      </c>
      <c r="G91" s="37" cm="1">
        <f t="array" ref="G91">Common_InputFunctions.Utility_DisplayArrayInTable(SourceData_Feedlot.SourceData_Feedlot_MCF_Data(), Table_SourceData_Feedlot_MCF[[#Headers],[Treatment stage T]], 0)</f>
        <v>0.01</v>
      </c>
      <c r="H91" s="37" cm="1">
        <f t="array" ref="H91">Common_InputFunctions.Utility_DisplayArrayInTable(SourceData_Feedlot.SourceData_Feedlot_MCF_Data(), Table_SourceData_Feedlot_MCF[[#Headers],[Treatment stage T]], 0)</f>
        <v>0.01</v>
      </c>
      <c r="I91" s="37" cm="1">
        <f t="array" ref="I91">Common_InputFunctions.Utility_DisplayArrayInTable(SourceData_Feedlot.SourceData_Feedlot_MCF_Data(), Table_SourceData_Feedlot_MCF[[#Headers],[Treatment stage T]], 0)</f>
        <v>0.01</v>
      </c>
      <c r="J91" s="37" cm="1">
        <f t="array" ref="J91">Common_InputFunctions.Utility_DisplayArrayInTable(SourceData_Feedlot.SourceData_Feedlot_MCF_Data(), Table_SourceData_Feedlot_MCF[[#Headers],[Treatment stage T]], 0)</f>
        <v>0.01</v>
      </c>
      <c r="K91" s="37" cm="1">
        <f t="array" ref="K91">Common_InputFunctions.Utility_DisplayArrayInTable(SourceData_Feedlot.SourceData_Feedlot_MCF_Data(), Table_SourceData_Feedlot_MCF[[#Headers],[Treatment stage T]], 0)</f>
        <v>0.01</v>
      </c>
      <c r="L91" s="37" cm="1">
        <f t="array" ref="L91">Common_InputFunctions.Utility_DisplayArrayInTable(SourceData_Feedlot.SourceData_Feedlot_MCF_Data(), Table_SourceData_Feedlot_MCF[[#Headers],[Treatment stage T]], 0)</f>
        <v>0.01</v>
      </c>
      <c r="M91" s="37" cm="1">
        <f t="array" ref="M91">Common_InputFunctions.Utility_DisplayArrayInTable(SourceData_Feedlot.SourceData_Feedlot_MCF_Data(), Table_SourceData_Feedlot_MCF[[#Headers],[Treatment stage T]], 0)</f>
        <v>0.01</v>
      </c>
      <c r="N91" s="37"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7" t="str" cm="1">
        <f t="array" ref="E92">Common_InputFunctions.Utility_DisplayArrayInTable(SourceData_Feedlot.SourceData_Feedlot_MCF_Data(), Table_SourceData_Feedlot_MCF[[#Headers],[Treatment stage T]], 0)</f>
        <v>Direct Application to soil</v>
      </c>
      <c r="F92" s="37" cm="1">
        <f t="array" ref="F92">Common_InputFunctions.Utility_DisplayArrayInTable(SourceData_Feedlot.SourceData_Feedlot_MCF_Data(), Table_SourceData_Feedlot_MCF[[#Headers],[Treatment stage T]], 0)</f>
        <v>0</v>
      </c>
      <c r="G92" s="37" cm="1">
        <f t="array" ref="G92">Common_InputFunctions.Utility_DisplayArrayInTable(SourceData_Feedlot.SourceData_Feedlot_MCF_Data(), Table_SourceData_Feedlot_MCF[[#Headers],[Treatment stage T]], 0)</f>
        <v>0</v>
      </c>
      <c r="H92" s="37" cm="1">
        <f t="array" ref="H92">Common_InputFunctions.Utility_DisplayArrayInTable(SourceData_Feedlot.SourceData_Feedlot_MCF_Data(), Table_SourceData_Feedlot_MCF[[#Headers],[Treatment stage T]], 0)</f>
        <v>0</v>
      </c>
      <c r="I92" s="37" cm="1">
        <f t="array" ref="I92">Common_InputFunctions.Utility_DisplayArrayInTable(SourceData_Feedlot.SourceData_Feedlot_MCF_Data(), Table_SourceData_Feedlot_MCF[[#Headers],[Treatment stage T]], 0)</f>
        <v>0</v>
      </c>
      <c r="J92" s="37" cm="1">
        <f t="array" ref="J92">Common_InputFunctions.Utility_DisplayArrayInTable(SourceData_Feedlot.SourceData_Feedlot_MCF_Data(), Table_SourceData_Feedlot_MCF[[#Headers],[Treatment stage T]], 0)</f>
        <v>0</v>
      </c>
      <c r="K92" s="37" cm="1">
        <f t="array" ref="K92">Common_InputFunctions.Utility_DisplayArrayInTable(SourceData_Feedlot.SourceData_Feedlot_MCF_Data(), Table_SourceData_Feedlot_MCF[[#Headers],[Treatment stage T]], 0)</f>
        <v>0</v>
      </c>
      <c r="L92" s="37" cm="1">
        <f t="array" ref="L92">Common_InputFunctions.Utility_DisplayArrayInTable(SourceData_Feedlot.SourceData_Feedlot_MCF_Data(), Table_SourceData_Feedlot_MCF[[#Headers],[Treatment stage T]], 0)</f>
        <v>0</v>
      </c>
      <c r="M92" s="37" cm="1">
        <f t="array" ref="M92">Common_InputFunctions.Utility_DisplayArrayInTable(SourceData_Feedlot.SourceData_Feedlot_MCF_Data(), Table_SourceData_Feedlot_MCF[[#Headers],[Treatment stage T]], 0)</f>
        <v>0</v>
      </c>
      <c r="N92" s="37"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7" t="str" cm="1">
        <f t="array" ref="E93">Common_InputFunctions.Utility_DisplayArrayInTable(SourceData_Feedlot.SourceData_Feedlot_MCF_Data(), Table_SourceData_Feedlot_MCF[[#Headers],[Treatment stage T]], 0)</f>
        <v>Uncovered anaerobic lagoon (Effluent pond)</v>
      </c>
      <c r="F93" s="37" cm="1">
        <f t="array" ref="F93">Common_InputFunctions.Utility_DisplayArrayInTable(SourceData_Feedlot.SourceData_Feedlot_MCF_Data(), Table_SourceData_Feedlot_MCF[[#Headers],[Treatment stage T]], 0)</f>
        <v>0.75</v>
      </c>
      <c r="G93" s="37" cm="1">
        <f t="array" ref="G93">Common_InputFunctions.Utility_DisplayArrayInTable(SourceData_Feedlot.SourceData_Feedlot_MCF_Data(), Table_SourceData_Feedlot_MCF[[#Headers],[Treatment stage T]], 0)</f>
        <v>0.75</v>
      </c>
      <c r="H93" s="37" cm="1">
        <f t="array" ref="H93">Common_InputFunctions.Utility_DisplayArrayInTable(SourceData_Feedlot.SourceData_Feedlot_MCF_Data(), Table_SourceData_Feedlot_MCF[[#Headers],[Treatment stage T]], 0)</f>
        <v>0.77</v>
      </c>
      <c r="I93" s="37" cm="1">
        <f t="array" ref="I93">Common_InputFunctions.Utility_DisplayArrayInTable(SourceData_Feedlot.SourceData_Feedlot_MCF_Data(), Table_SourceData_Feedlot_MCF[[#Headers],[Treatment stage T]], 0)</f>
        <v>0.77</v>
      </c>
      <c r="J93" s="37" cm="1">
        <f t="array" ref="J93">Common_InputFunctions.Utility_DisplayArrayInTable(SourceData_Feedlot.SourceData_Feedlot_MCF_Data(), Table_SourceData_Feedlot_MCF[[#Headers],[Treatment stage T]], 0)</f>
        <v>0.75</v>
      </c>
      <c r="K93" s="37" cm="1">
        <f t="array" ref="K93">Common_InputFunctions.Utility_DisplayArrayInTable(SourceData_Feedlot.SourceData_Feedlot_MCF_Data(), Table_SourceData_Feedlot_MCF[[#Headers],[Treatment stage T]], 0)</f>
        <v>0.75</v>
      </c>
      <c r="L93" s="37" cm="1">
        <f t="array" ref="L93">Common_InputFunctions.Utility_DisplayArrayInTable(SourceData_Feedlot.SourceData_Feedlot_MCF_Data(), Table_SourceData_Feedlot_MCF[[#Headers],[Treatment stage T]], 0)</f>
        <v>0.77</v>
      </c>
      <c r="M93" s="37" cm="1">
        <f t="array" ref="M93">Common_InputFunctions.Utility_DisplayArrayInTable(SourceData_Feedlot.SourceData_Feedlot_MCF_Data(), Table_SourceData_Feedlot_MCF[[#Headers],[Treatment stage T]], 0)</f>
        <v>0.75</v>
      </c>
      <c r="N93" s="37" t="str" cm="1">
        <f t="array" ref="N93">Common_InputFunctions.Utility_DisplayArrayInTable(SourceData_Feedlot.SourceData_Feedlot_MCF_Data(), Table_SourceData_Feedlot_MCF[[#Headers],[Treatment stage T]], 0)</f>
        <v>Anaerobic lagoon</v>
      </c>
    </row>
    <row r="94" spans="4:14" ht="20.100000000000001" customHeight="1" x14ac:dyDescent="0.25">
      <c r="M94" s="24"/>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3" t="str" cm="1">
        <f t="array" ref="D98:D99">SourceData_Feedlot.SourceData_Feedlot_NitrousOxideEFs_Variation()</f>
        <v>VARIATION ON SOURCE:</v>
      </c>
      <c r="M98" s="24"/>
    </row>
    <row r="99" spans="4:14" ht="20.100000000000001" customHeight="1" x14ac:dyDescent="0.25">
      <c r="D99" s="53" t="str">
        <v>Added 'NIR definition' column with MMS names that match NIR definitions.</v>
      </c>
      <c r="M99" s="24"/>
    </row>
    <row r="100" spans="4:14" ht="20.100000000000001" customHeight="1" x14ac:dyDescent="0.25">
      <c r="D100" s="37" t="s">
        <v>82</v>
      </c>
      <c r="E100" s="37" t="s">
        <v>80</v>
      </c>
      <c r="F100" s="37" t="s">
        <v>104</v>
      </c>
      <c r="G100" s="37" t="s">
        <v>78</v>
      </c>
      <c r="M100" s="1"/>
      <c r="N100" s="24"/>
    </row>
    <row r="101" spans="4:14" ht="20.100000000000001" customHeight="1" x14ac:dyDescent="0.25">
      <c r="D101" s="37" t="str" cm="1">
        <f t="array" ref="D101">Common_InputFunctions.Utility_DisplayArrayInTable(SourceData_Feedlot.SourceData_Feedlot_NitrousOxideEFs_Data(), Table_SourceData_Feedlot_NO2EFs[[#Headers],[Treatment stage T]], 0)</f>
        <v>Primary</v>
      </c>
      <c r="E101" s="37" t="str" cm="1">
        <f t="array" ref="E101">Common_InputFunctions.Utility_DisplayArrayInTable(SourceData_Feedlot.SourceData_Feedlot_NitrousOxideEFs_Data(), Table_SourceData_Feedlot_NO2EFs[[#Headers],[Treatment stage T]], 0)</f>
        <v>Dry lot (Feedpad)</v>
      </c>
      <c r="F101" s="37" cm="1">
        <f t="array" ref="F101">Common_InputFunctions.Utility_DisplayArrayInTable(SourceData_Feedlot.SourceData_Feedlot_NitrousOxideEFs_Data(), Table_SourceData_Feedlot_NO2EFs[[#Headers],[Treatment stage T]], 0)</f>
        <v>5.4000000000000003E-3</v>
      </c>
      <c r="G101" s="37"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7" t="str" cm="1">
        <f t="array" ref="E102">Common_InputFunctions.Utility_DisplayArrayInTable(SourceData_Feedlot.SourceData_Feedlot_NitrousOxideEFs_Data(), Table_SourceData_Feedlot_NO2EFs[[#Headers],[Treatment stage T]], 0)</f>
        <v>Solid Storage (Stockpile)</v>
      </c>
      <c r="F102" s="37" cm="1">
        <f t="array" ref="F102">Common_InputFunctions.Utility_DisplayArrayInTable(SourceData_Feedlot.SourceData_Feedlot_NitrousOxideEFs_Data(), Table_SourceData_Feedlot_NO2EFs[[#Headers],[Treatment stage T]], 0)</f>
        <v>5.0000000000000001E-3</v>
      </c>
      <c r="G102" s="37"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7" t="str" cm="1">
        <f t="array" ref="E103">Common_InputFunctions.Utility_DisplayArrayInTable(SourceData_Feedlot.SourceData_Feedlot_NitrousOxideEFs_Data(), Table_SourceData_Feedlot_NO2EFs[[#Headers],[Treatment stage T]], 0)</f>
        <v>Composting (Passive Windrow)</v>
      </c>
      <c r="F103" s="37" cm="1">
        <f t="array" ref="F103">Common_InputFunctions.Utility_DisplayArrayInTable(SourceData_Feedlot.SourceData_Feedlot_NitrousOxideEFs_Data(), Table_SourceData_Feedlot_NO2EFs[[#Headers],[Treatment stage T]], 0)</f>
        <v>0.01</v>
      </c>
      <c r="G103" s="37"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7" t="str" cm="1">
        <f t="array" ref="E104">Common_InputFunctions.Utility_DisplayArrayInTable(SourceData_Feedlot.SourceData_Feedlot_NitrousOxideEFs_Data(), Table_SourceData_Feedlot_NO2EFs[[#Headers],[Treatment stage T]], 0)</f>
        <v>Direct Application to soil</v>
      </c>
      <c r="F104" s="37" cm="1">
        <f t="array" ref="F104">Common_InputFunctions.Utility_DisplayArrayInTable(SourceData_Feedlot.SourceData_Feedlot_NitrousOxideEFs_Data(), Table_SourceData_Feedlot_NO2EFs[[#Headers],[Treatment stage T]], 0)</f>
        <v>0</v>
      </c>
      <c r="G104" s="37"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7" t="str" cm="1">
        <f t="array" ref="E105">Common_InputFunctions.Utility_DisplayArrayInTable(SourceData_Feedlot.SourceData_Feedlot_NitrousOxideEFs_Data(), Table_SourceData_Feedlot_NO2EFs[[#Headers],[Treatment stage T]], 0)</f>
        <v>Uncovered anaerobic lagoon (Effluent Pond)</v>
      </c>
      <c r="F105" s="37" cm="1">
        <f t="array" ref="F105">Common_InputFunctions.Utility_DisplayArrayInTable(SourceData_Feedlot.SourceData_Feedlot_NitrousOxideEFs_Data(), Table_SourceData_Feedlot_NO2EFs[[#Headers],[Treatment stage T]], 0)</f>
        <v>0</v>
      </c>
      <c r="G105" s="37"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3" t="str" cm="1">
        <f t="array" ref="D110:D111">SourceData_Feedlot.SourceData_Feedlot_FracNVolatilised_Variation()</f>
        <v>VARIATION ON SOURCE:</v>
      </c>
      <c r="M110" s="24"/>
    </row>
    <row r="111" spans="4:14" ht="20.100000000000001" customHeight="1" x14ac:dyDescent="0.25">
      <c r="D111" s="53" t="str">
        <v>Added 'NIR definition' column with MMS names that match NIR definitions.</v>
      </c>
      <c r="M111" s="24"/>
    </row>
    <row r="112" spans="4:14" ht="20.100000000000001" customHeight="1" x14ac:dyDescent="0.25">
      <c r="D112" s="95" t="s">
        <v>82</v>
      </c>
      <c r="E112" s="95" t="s">
        <v>80</v>
      </c>
      <c r="F112" s="95" t="s">
        <v>105</v>
      </c>
      <c r="G112" s="95" t="s">
        <v>78</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16DBCB-14E1-4A86-BB32-3A61C9ACDF07}">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13</v>
      </c>
      <c r="E6" s="37" t="s">
        <v>14</v>
      </c>
      <c r="F6" s="37" t="s">
        <v>15</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16</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18</v>
      </c>
      <c r="E36" s="37" t="s">
        <v>19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18</v>
      </c>
      <c r="E47" s="37" t="s">
        <v>21</v>
      </c>
      <c r="F47" s="37" t="s">
        <v>22</v>
      </c>
      <c r="G47" s="37" t="s">
        <v>23</v>
      </c>
      <c r="H47" s="37" t="s">
        <v>24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38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26</v>
      </c>
      <c r="F89" s="37" t="s">
        <v>27</v>
      </c>
      <c r="G89" s="37" t="s">
        <v>28</v>
      </c>
      <c r="H89" s="37" t="s">
        <v>29</v>
      </c>
      <c r="I89" s="37" t="s">
        <v>30</v>
      </c>
      <c r="J89" s="37" t="s">
        <v>31</v>
      </c>
      <c r="K89" s="37" t="s">
        <v>32</v>
      </c>
      <c r="L89" s="37" t="s">
        <v>33</v>
      </c>
      <c r="M89" s="37" t="s">
        <v>34</v>
      </c>
      <c r="N89" s="37" t="s">
        <v>35</v>
      </c>
      <c r="O89" s="37" t="s">
        <v>39</v>
      </c>
      <c r="P89" s="37" t="s">
        <v>36</v>
      </c>
      <c r="Q89" s="37" t="s">
        <v>40</v>
      </c>
      <c r="R89" s="37" t="s">
        <v>37</v>
      </c>
      <c r="S89" s="37" t="s">
        <v>41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43</v>
      </c>
      <c r="E109" s="37" t="s">
        <v>26</v>
      </c>
      <c r="F109" s="37" t="s">
        <v>44</v>
      </c>
      <c r="G109" s="37" t="s">
        <v>45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46</v>
      </c>
      <c r="E119" s="37" t="s">
        <v>47</v>
      </c>
      <c r="F119" s="37" t="s">
        <v>33</v>
      </c>
      <c r="G119" s="37" t="s">
        <v>34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48</v>
      </c>
      <c r="E127" s="37" t="s">
        <v>49</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132</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51</v>
      </c>
      <c r="E153" s="37" t="s">
        <v>52</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115</v>
      </c>
      <c r="E186" s="37" t="s">
        <v>116</v>
      </c>
      <c r="F186" s="37" t="s">
        <v>117</v>
      </c>
      <c r="G186" s="37" t="s">
        <v>118</v>
      </c>
      <c r="H186" s="37" t="s">
        <v>25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133</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134</v>
      </c>
      <c r="E212" s="37" t="s">
        <v>135</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42</v>
      </c>
      <c r="E231" s="37" t="s">
        <v>145</v>
      </c>
      <c r="F231" s="36" t="s">
        <v>146</v>
      </c>
      <c r="G231" s="37" t="s">
        <v>147</v>
      </c>
      <c r="H231" s="37" t="s">
        <v>148</v>
      </c>
      <c r="I231" s="37" t="s">
        <v>149</v>
      </c>
      <c r="J231" s="37" t="s">
        <v>150</v>
      </c>
      <c r="K231" s="37" t="s">
        <v>151</v>
      </c>
      <c r="L231" s="37" t="s">
        <v>152</v>
      </c>
      <c r="M231" s="37" t="s">
        <v>153</v>
      </c>
      <c r="N231" s="37" t="s">
        <v>154</v>
      </c>
      <c r="O231" s="37" t="s">
        <v>155</v>
      </c>
      <c r="P231" s="37" t="s">
        <v>156</v>
      </c>
      <c r="Q231" s="37" t="s">
        <v>142</v>
      </c>
      <c r="R231" s="37" t="s">
        <v>157</v>
      </c>
      <c r="S231" s="37" t="s">
        <v>158</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182</v>
      </c>
      <c r="E257" s="37" t="s">
        <v>183</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0" t="e" vm="1">
        <v>#VALUE!</v>
      </c>
      <c r="C1" s="8" t="s">
        <v>61</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6" t="s">
        <v>62</v>
      </c>
      <c r="E9" s="37" t="s">
        <v>12</v>
      </c>
      <c r="F9" s="37" t="s">
        <v>63</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58</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HYPERLINK("#'3.1.1.1-2 Enteric Methane'!A1", "3.1.1.1-2 Enteric Methane")</f>
        <v>3.1.1.1-2 Enteric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8" t="s">
        <v>4</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HYPERLINK("#'Constants - Feedlot'!A1", "Constants - Feedlot")</f>
        <v>Constants - Feedlot</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64" t="str">
        <f>HYPERLINK("#'Constants - Livestock'!A1", "Constants - Livestock")</f>
        <v>Constants - Livestock</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Common'!A1", "Constants - Common")</f>
        <v>Constants - Common</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HYPERLINK("#'Acknowledgements'!A1", "Acknowledgements")</f>
        <v>Acknowledgements</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136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2" t="s">
        <v>60</v>
      </c>
    </row>
    <row r="17" spans="1:1" ht="20.100000000000001" customHeight="1" x14ac:dyDescent="0.25">
      <c r="A17" s="62" t="s">
        <v>56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58</v>
      </c>
    </row>
    <row r="22" spans="1:1" ht="20.100000000000001" customHeight="1" x14ac:dyDescent="0.25">
      <c r="A22" s="62" t="s">
        <v>1</v>
      </c>
    </row>
    <row r="23" spans="1:1" ht="20.100000000000001" customHeight="1" x14ac:dyDescent="0.25">
      <c r="A23" s="62" t="s">
        <v>57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2" t="s">
        <v>60</v>
      </c>
    </row>
    <row r="32" spans="1:1" ht="20.100000000000001" customHeight="1" x14ac:dyDescent="0.25">
      <c r="A32" s="62" t="s">
        <v>56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2"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FMAbwB1AHIAYwBlAEQAYQB0AGEAXwBGAGUAZQBkAGwAbwB0ACIALAAiAHQAZQB4AHQAIgA6ACIALwAqACAAXABuAC0ALQAtAC0ALQAtAC0ALQAtAC0ALQAtAC0ALQAtAC0ALQAtAC0ALQAtAC0ALQAtAC0ALQAtAC0ALQAtAC0ALQAtAC0ALQAtAC0ALQBcAG4AUwBvAHUAcgBjAGUARABhAHQAYQBfAEYAZQBlAGQAbABvAHQ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EYAZQBlAGQAbABvAHQAXwBWAFMATABfAFQAaQB0AGwAZQBcAG4AIAAgAD0ATABBAE0AQgBEAEEAKABcACIARgBlAGUAZABsAG8AdAAgAC0AIABGAHIAYQBjAHQAaQBvAG4AIABvAGYAIAB2AG8AbABhAHQAaQBsAGUAIABzAG8AbABpAGQAcwAgAGwAbwBzAHQAIABkAHUAcgBpAG4AZwAgAHMAdABvAHIAYQBnAGUAIABpAG4AIAB0AGgAZQAgAHAAcgBpAG0AYQByAHkAIABzAHkAcwB0AGUAbQBcACIAKQA7AFwAbgBcAG4AUwBvAHUAcgBjAGUARABhAHQAYQBfAEYAZQBlAGQAbABvAHQAXwBWAFMATABfAFYAYQByAGkAYQBiAGwAZQBcAG4AIAAgAD0ATABBAE0AQgBEAEEAKABcACIAVgBTAEwAXAAiACkAOwBcAG4AXABuAFMAbwB1AHIAYwBlAEQAYQB0AGEAXwBGAGUAZQBkAGwAbwB0AF8AVgBTAEwAXwBVAG4AaQB0AFwAbgAgACAAPQBMAEEATQBCAEQAQQAoAFwAIgBGAHIAYQBjAHQAaQBvAG4AXAAiACkAOwBcAG4AXABuAFMAbwB1AHIAYwBlAEQAYQB0AGEAXwBGAGUAZQBkAGwAbwB0AF8AVgBTAEwAXwBTAG8AdQByAGMAZQBcAG4AIAAgAD0ATABBAE0AQgBEAEEAKABcACIAVgBFAEUAUgBHACAAMgAwADIANgA6ACAANAAuADEALgAyAC4AMwAgAEMATwBOAFMAVABBAE4AVABTAFwAIgApADsAXABuAFwAbgBTAG8AdQByAGMAZQBEAGEAdABhAF8ARgBlAGUAZABsAG8AdABfAFYAUwBMAF8AVgBhAHIAaQBhAHQAaQBvAG4AXABuACAAIAA9AEwAQQBNAEIARABBACgAXAAiAFwAIgApADsAXABuAFwAbgBTAG8AdQByAGMAZQBEAGEAdABhAF8ARgBlAGUAZABsAG8AdABfAFYAUwBMAF8ARABhAHQAYQBcAG4AIAAgAD0ATABBAE0AQgBEAEEAKAAwAC4ANQApADsAXABuAFwAbgAvACoAIABcAG4ALQAtAC0ALQAtAC0ALQAtAC0ALQAtAC0ALQAtAC0ALQAtAC0ALQAtAC0ALQAtAC0ALQAtAC0ALQAtAC0ALQAtAC0ALQAtAC0ALQAtAFwAbgBTAG8AdQByAGMAZQBEAGEAdABhAF8ARgBlAGUAZABsAG8AdABfAE0ATQBTAG0AMQBUADMAXABu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G4ALQAtAC0ALQAtAC0ALQAtAC0ALQAtAC0ALQAtAC0ALQAtAC0ALQAtAC0ALQAtAC0ALQAtAC0ALQAtAC0ALQAtAC0ALQAtAC0ALQAtAFwAbgAqAC8AXABuAFwAbgBTAG8AdQByAGMAZQBEAGEAdABhAF8ARgBlAGUAZABsAG8AdABfAE0ATQBTAG0AMQBUADMAXwBUAGkAdABsAGUAXABuACAAIAA9AEwAQQBNAEIARABBACgAXAAi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CIAKQA7AFwAbgBcAG4AUwBvAHUAcgBjAGUARABhAHQAYQBfAEYAZQBlAGQAbABvAHQAXwBNAE0AUwBtADEAVAAzAF8AVgBhAHIAaQBhAGIAbABlAFwAbgAgACAAPQBMAEEATQBCAEQAQQAoAFwAIgBNAE0AUwBtADEAVAAzAFwAIgApADsAXABuAFwAbgBTAG8AdQByAGMAZQBEAGEAdABhAF8ARgBlAGUAZABsAG8AdABfAE0ATQBTAG0AMQBUADMAXwBVAG4AaQB0AFwAbgAgACAAPQBMAEEATQBCAEQAQQAoAFwAIgBGAHIAYQBjAHQAaQBvAG4AXAAiACkAOwBcAG4AXABuAFMAbwB1AHIAYwBlAEQAYQB0AGEAXwBGAGUAZQBkAGwAbwB0AF8ATQBNAFMAbQAxAFQAMwBfAFMAbwB1AHIAYwBlAFwAbgAgACAAPQBMAEEATQBCAEQAQQAoAFwAIgBWAEUARQBSAEcAIAAyADAAMgA2ADoAIAA0AC4AMQAuADIALgAzACAAQwBPAE4AUwBUAEEATgBUAFMAXAAiACkAOwBcAG4AXABuAFMAbwB1AHIAYwBlAEQAYQB0AGEAXwBGAGUAZQBkAGwAbwB0AF8ATQBNAFMAbQAxAFQAMwBfAFYAYQByAGkAYQB0AGkAbwBuAFwAbgAgACAAPQBMAEEATQBCAEQAQQAoAFwAIgBcACIAKQA7AFwAbgBcAG4AUwBvAHUAcgBjAGUARABhAHQAYQBfAEYAZQBlAGQAbABvAHQAXwBNAE0AUwBtADEAVAAzAF8ARABhAHQAYQBcAG4AIAAgAD0ATABBAE0AQgBEAEEAKAAwAC4AMAAyACkAOwBcAG4AXABuAC8AKgAgAFwAbgAtAC0ALQAtAC0ALQAtAC0ALQAtAC0ALQAtAC0ALQAtAC0ALQAtAC0ALQAtAC0ALQAtAC0ALQAtAC0ALQAtAC0ALQAtAC0ALQAtAC0AXABuAFMAbwB1AHIAYwBlAEQAYQB0AGEAXwBGAGUAZQBkAGwAbwB0AF8AQQBzAGgAQwBvAG4AdABlAG4AdABcAG4AQQBzAGgAIABjAG8AbgB0AGUAbgB0ACAAbwBmACAAbQBhAG4AdQByAGUALgBcAG4ALQAtAC0ALQAtAC0ALQAtAC0ALQAtAC0ALQAtAC0ALQAtAC0ALQAtAC0ALQAtAC0ALQAtAC0ALQAtAC0ALQAtAC0ALQAtAC0ALQAtAFwAbgAqAC8AXABuAFwAbgBTAG8AdQByAGMAZQBEAGEAdABhAF8ARgBlAGUAZABsAG8AdABfAEEAcwBoAEMAbwBuAHQAZQBuAHQAXwBUAGkAdABsAGUAXABuACAAIAA9AEwAQQBNAEIARABBACgAXAAiAEEAcwBoACAAYwBvAG4AdABlAG4AdAAgAG8AZgAgAG0AYQBuAHUAcgBlAC4AXAAiACkAOwBcAG4AXABuAFMAbwB1AHIAYwBlAEQAYQB0AGEAXwBGAGUAZQBkAGwAbwB0AF8AQQBzAGgAQwBvAG4AdABlAG4AdABfAFYAYQByAGkAYQBiAGwAZQBcAG4AIAAgAD0ATABBAE0AQgBEAEEAKABcACIAQQBcACIAKQA7AFwAbgBcAG4AUwBvAHUAcgBjAGUARABhAHQAYQBfAEYAZQBlAGQAbABvAHQAXwBBAHMAaABDAG8AbgB0AGUAbgB0AF8AVQBuAGkAdABcAG4AIAAgAD0ATABBAE0AQgBEAEEAKABcACIARgByAGEAYwB0AGkAbwBuAFwAIgApADsAXABuAFwAbgBTAG8AdQByAGMAZQBEAGEAdABhAF8ARgBlAGUAZABsAG8AdABfAEEAcwBoAEMAbwBuAHQAZQBuAHQAXwBTAG8AdQByAGMAZQBcAG4AIAAgAD0ATABBAE0AQgBEAEEAKABcACIAVgBFAEUAUgBHACAAMgAwADIANgA6ACAANAAuADEALgAyAC4AMwAgAEMATwBOAFMAVABBAE4AVABTAFwAIgApADsAXABuAFwAbgBTAG8AdQByAGMAZQBEAGEAdABhAF8ARgBlAGUAZABsAG8AdABfAEEAcwBoAEMAbwBuAHQAZQBuAHQAXwBWAGEAcgBpAGEAdABpAG8AbgBcAG4AIAAgAD0ATABBAE0AQgBEAEEAKABcACIAXAAiACkAOwBcAG4AXABuAFMAbwB1AHIAYwBlAEQAYQB0AGEAXwBGAGUAZQBkAGwAbwB0AF8AQQBzAGgAQwBvAG4AdABlAG4AdABfAEQAYQB0AGEAXABuACAAIAA9AEwAQQBNAEIARABBACgAMAAuADEANgApADsAXABuAFwAbgAvACoAIABcAG4ALQAtAC0ALQAtAC0ALQAtAC0ALQAtAC0ALQAtAC0ALQAtAC0ALQAtAC0ALQAtAC0ALQAtAC0ALQAtAC0ALQAtAC0ALQAtAC0ALQAtAFwAbgBTAG8AdQByAGMAZQBEAGEAdABhAF8ARgBlAGUAZABsAG8AdA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EYAZQBlAGQAbABvAHQAXwBNAGUAdABoAGEAbgBlAEUAbQBpAHMAcwBpAG8AbgBzAFAAbwB0AGUAbgB0AGkAYQBsAF8AVABpAHQAbABlAFwAbgAgACAAPQBMAEEATQBCAEQAQQAoAFwAIgBNAGUAdABoAGEAbgBlACAAZQBtAGkAcwBzAGkAbwBuAHMAIABwAG8AdABlAG4AdABpAGEAbAAuAFwAIgApADsAXABuAFwAbgBTAG8AdQByAGMAZQBEAGEAdABhAF8ARgBlAGUAZABsAG8AdABfAE0AZQB0AGgAYQBuAGUARQBtAGkAcwBzAGkAbwBuAHMAUABvAHQAZQBuAHQAaQBhAGwAXwBWAGEAcgBpAGEAYgBsAGUAXABuACAAIAA9AEwAQQBNAEIARABBACgAXAAiAEIAMABcACIAKQA7AFwAbgBcAG4AUwBvAHUAcgBjAGUARABhAHQAYQBfAEYAZQBlAGQAbABvAHQAXwBNAGUAdABoAGEAbgBlAEUAbQBpAHMAcwBpAG8AbgBzAFAAbwB0AGUAbgB0AGkAYQBsAF8AVQBuAGkAdABcAG4AIAAgAD0ATABBAE0AQgBEAEEAKABcACIAbQAzACAAQwBIADQAIAAvACAAawBnACAAVgBTAFwAIgApADsAXABuAFwAbgBTAG8AdQByAGMAZQBEAGEAdABhAF8ARgBlAGUAZABsAG8AdABfAE0AZQB0AGgAYQBuAGUARQBtAGkAcwBzAGkAbwBuAHMAUABvAHQAZQBuAHQAaQBhAGwAXwBTAG8AdQByAGMAZQBcAG4AIAAgAD0ATABBAE0AQgBEAEEAKABcACIAVgBFAEUAUgBHACAAMgAwADIANgA6ACAANAAuADEALgAyAC4AMwAgAEMATwBOAFMAVABBAE4AVABTAFwAIgApADsAXABuAFwAbgBTAG8AdQByAGMAZQBEAGEAdABhAF8ARgBlAGUAZABsAG8AdABfAE0AZQB0AGgAYQBuAGUARQBtAGkAcwBzAGkAbwBuAHMAUABvAHQAZQBuAHQAaQBhAGwAXwBWAGEAcgBpAGEAdABpAG8AbgBcAG4AIAAgAD0ATABBAE0AQgBEAEEAKABcACIAXAAiACkAOwBcAG4AXABuAFMAbwB1AHIAYwBlAEQAYQB0AGEAXwBGAGUAZQBkAGwAbwB0AF8ATQBlAHQAaABhAG4AZQBFAG0AaQBzAHMAaQBvAG4AcwBQAG8AdABlAG4AdABpAGEAbABfAEQAYQB0AGEAXABuACAAIAA9AEwAQQBNAEIARABBACgAMAAuADEAOQApADsAXABuAFwAbgBcAG4AUwBvAHUAcgBjAGUARABhAHQAYQBfAEYAZQBlAGQAbABvAHQAXwBTAHQAYQBnAGUAMQBNAE0AUwBPAHAAdABpAG8AbgBzAFwAbgAgACAAPQBMAEEATQBCAEQAQQAoAFwAbgAgACAAIAAgAE0AQQBLAEUAQQBSAFIAQQBZACgAMQAsACAAMQAsAFwAbgAgACAAIAAgACAAIABMAEEATQBCAEQAQQAoAHIALABjACwAXABuACAAIAAgACAAIAAgACAAIABJAE4ARABFAFgAKAB7AFwAbgAgACAAIAAgACAAIAAgACAAIAAgAFwAIgBEAHIAeQBsAG8AdAAgACgAZgBlAGUAZAAgAHAAYQBkACkAXAAiAFwAbgAgACAAIAAgACAAIAAgACAAfQAsACAAcgAsACAAYwApAFwAbgAgACAAIAAgACAAIAApAFwAbgAgACAAIAAgACkAXABuACAAIAApADsAXABuAFwAbgBTAG8AdQByAGMAZQBEAGEAdABhAF8ARgBlAGUAZABsAG8AdABfAFMAdABhAGcAZQAyAE0ATQBTAE8AcAB0AGkAbwBuAHMAXABuACAAIAA9AEwAQQBNAEIARABBACgAXABuACAAIAAgACAATQBBAEsARQBBAFIAUgBBAFkAKAA0ACwAIAAxACwAXABuACAAIAAgACAAIAAgAEwAQQBNAEIARABBACgAcgAsAGMALABcAG4AIAAgACAAIAAgACAAIAAgAEkATgBEAEUAWAAoAHsAXABuACAAIAAgACAAIAAgACAAIAAgACAAXAAiAFMAbwBsAGkAZAAgAHMAdABvAHIAYQBnAGUAXAAiADsAXABuACAAIAAgACAAIAAgACAAIAAgACAAXAAiAEMAbwBtAHAAbwBzAHQAaQBuAGcAIAAoAHAAYQBzAHMAaQB2AGUAIAB3AGkAbgBkAHIAbwB3ACkAXAAiADsAXABuACAAIAAgACAAIAAgACAAIAAgACAAXAAiAEQAaQByAGUAYwB0ACAAYQBwAHAAbABpAGMAYQB0AGkAbwBuAFwAIgA7AFwAbgAgACAAIAAgACAAIAAgACAAIAAgAFwAIgBOAG8AIABNAE0AUwBcACIAXABuACAAIAAgACAAIAAgACAAIAB9ACwAIAByACwAIABjACkAXABuACAAIAAgACAAIAAgACkAXABuACAAIAAgACAAKQBcAG4AIAAgACkAOwBcAG4AXABuAFMAbwB1AHIAYwBlAEQAYQB0AGEAXwBGAGUAZQBkAGwAbwB0AF8AUwB0AGEAZwBlADMATQBNAFMATwBwAHQAaQBvAG4AcwBcAG4AIAAgAD0ATABBAE0AQgBEAEEAKABcAG4AIAAgACAAIABNAEEASwBFAEEAUgBSAEEAWQAoADEALAAgADEALABcAG4AIAAgACAAIAAgACAATABBAE0AQgBEAEEAKAByACwAYwAsAFwAbgAgACAAIAAgACAAIAAgACAASQBOAEQARQBYACgAewBcAG4AIAAgACAAIAAgACAAIAAgACAAIABcACIAQQBuAGEAZQByAG8AYgBpAGMAIABsAGEAZwBvAG8AbgBcACIAXABuACAAIAAgACAAIAAgACAAIAB9ACwAIAByACwAIABjACkAXABuACAAIAAgACAAIAAgACkAXABuACAAIAAgACAAKQBcAG4AIAAgACkAOwBcAG4AXABuAFMAbwB1AHIAYwBlAEQAYQB0AGEAXwBGAGUAZQBkAGwAbwB0AF8ATABpAHYAZQBzAHQAbwBjAGsAQwBsAGEAcwBzAGUAcwBcAG4AIAAgAD0ATABBAE0AQgBEAEEAKABcAG4AIAAgACAAIABNAEEASwBFAEEAUgBSAEEAWQAoADMALAAgADEALABcAG4AIAAgACAAIAAgACAATABBAE0AQgBEAEEAKAByACwAYwAsAFwAbgAgACAAIAAgACAAIAAgACAASQBOAEQARQBYACgAewBcAG4AIAAgACAAIAAgACAAIAAgACAAIABcACIARABvAG0AZQBzAHQAaQBjAFwAIgA7ACAAXABuACAAIAAgACAAIAAgACAAIAAgACAAXAAiAEUAeABwAG8AcgB0ACAAbQBpAGQAIABmAGUAZABcACIAOwAgAFwAbgAgACAAIAAgACAAIAAgACAAIAAgAFwAIgBFAHgAcABvAHIAdAAgAGwAbwBuAGcAIABmAGUAZABcACI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QAdQByAGEAdABpAG8AbgBPAGYAUwB0AGEAeQBcAG4AVABhAGIAbABlACAAQQAuADEALgAxAC4AMQA6ACAAQgBlAGUAZgAgAGYAZQBlAGQAbABvAHQAIABjAGEAdAB0AGwAZQAgAC0AIABEAHUAcgBhAHQAaQBvAG4AIABvAGYAIABzAHQAYQB5ACAAKABkAGEAeQBzACkAXABuAC0ALQAtAC0ALQAtAC0ALQAtAC0ALQAtAC0ALQAtAC0ALQAtAC0ALQAtAC0ALQAtAC0ALQAtAC0ALQAtAC0ALQAtAC0ALQAtAC0ALQBcAG4AKgAvAFwAbgBcAG4AUwBvAHUAcgBjAGUARABhAHQAYQBfAEYAZQBlAGQAbABvAHQAXwBEAHUAcgBhAHQAaQBvAG4ATwBmAFMAdABhAHkAXwBUAGkAdABsAGUAXABuACAAIAA9AEwAQQBNAEIARABBACgAXAAiAEIAZQBlAGYAIABmAGUAZQBkAGwAbwB0ACAAYwBhAHQAdABsAGUAIAAtACAARAB1AHIAYQB0AGkAbwBuACAAbwBmACAAcwB0AGEAeQAgACgAZABhAHkAcwApAFwAIgApADsAXABuAFwAbgBTAG8AdQByAGMAZQBEAGEAdABhAF8ARgBlAGUAZABsAG8AdABfAEQAdQByAGEAdABpAG8AbgBPAGYAUwB0AGEAeQBfAFUAbgBpAHQAXABuACAAIAA9AEwAQQBNAEIARABBACgAXAAiAFwAIgApADsAXABuAFwAbgBTAG8AdQByAGMAZQBEAGEAdABhAF8ARgBlAGUAZABsAG8AdABfAEQAdQByAGEAdABpAG8AbgBPAGYAUwB0AGEAeQBfAFMAbwB1AHIAYwBlAFwAbgAgACAAPQBMAEEATQBCAEQAQQAoAFwAIgBWAEUARQBSAEcAIAAyADAAMgA2ADoAIABUAGEAYgBsAGUAIABBAC4AMQAuADEALgAxADoAIABCAGUAZQBmACAAZgBlAGUAZABsAG8AdAAgAGMAYQB0AHQAbABlACAALQAgAEQAdQByAGEAdABpAG8AbgAgAG8AZgAgAHMAdABhAHkAIAAoAGQAYQB5AHMAKQBcACIAKQA7AFwAbgBcAG4AUwBvAHUAcgBjAGUARABhAHQAYQBfAEYAZQBlAGQAbABvAHQAXwBEAHUAcgBhAHQAaQBvAG4ATwBmAFMAdABhAHkAXwBWAGEAcgBpAGEAdABpAG8AbgBcAG4AIAAgAD0ATABBAE0AQgBEAEEAKABcACIAXAAiACkAOwBcAG4AXABuAFMAbwB1AHIAYwBlAEQAYQB0AGEAXwBGAGUAZQBkAGwAbwB0AF8ARAB1AHIAYQB0AGkAbwBuAE8AZgBTAHQAYQB5AF8ARABhAHQAYQBcAG4AIAAgAD0ATABBAE0AQgBEAEEAKABcAG4AIAAgACAAIABNAEEASwBFAEEAUgBSAEEAWQAoADQALAAgADIALAAgAFwAbgAgACAAIAAgACAAIABMAEEATQBCAEQAQQAoAHIALABjACwAIABcAG4AIAAgACAAIAAgACAAIAAgAEkATgBEAEUAWAAoAHsAXABuACAAIAAgACAAIAAgACAAIAAgACAAXAAiAEYAZQBlAGQAbABvAHQAIAB0AHkAcABlAFwAIgAsACAAXAAiAEwAZQBuAGcAdABoACAAbwBmACAAUwB0AGEAeQBcACIAOwBcAG4AIAAgACAAIAAgACAAIAAgACAAIABcACIARABvAG0AZQBzAHQAaQBjAFwAIgAsACAAXAAiADEALQA4ADAAIABkAGEAeQBzAFwAIgA7AFwAbgAgACAAIAAgACAAIAAgACAAIAAgAFwAIgBNAGkAZAAtAGYAZQBkAFwAIgAsACAAXAAiADgAMQAtADIAMAAwACAAZABhAHkAcwBcACIAOwBcAG4AIAAgACAAIAAgACAAIAAgACAAIABcACIATABvAG4AZwAtAGYAZQBkAFwAIgAsACAAXAAiADIAMAAxACsAIABkAGEAeQBz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EAbgBpAG0AYQBsAEMAaABhAHIAYQBjAHQAZQByAGkAcwB0AGkAYwBzAFwAbgBUAGEAYgBsAGUAIABBAC4AMQAuADEALgAyADoAIABCAGUAZQBmACAAZgBlAGUAZABsAG8AdAAgAGMAYQB0AHQAbABlACAALQAgAEEAbgBpAG0AYQBsACAAYwBoAGEAcgBhAGMAdABlAHIAaQBzAHQAaQBjAHMAXABuAC0ALQAtAC0ALQAtAC0ALQAtAC0ALQAtAC0ALQAtAC0ALQAtAC0ALQAtAC0ALQAtAC0ALQAtAC0ALQAtAC0ALQAtAC0ALQAtAC0ALQBcAG4AKgAvAFwAbgBcAG4AUwBvAHUAcgBjAGUARABhAHQAYQBfAEYAZQBlAGQAbABvAHQAXwBBAG4AaQBtAGEAbABDAGgAYQByAGEAYwB0AGUAcgBpAHMAdABpAGMAcwBfAFQAaQB0AGwAZQBcAG4AIAAgAD0ATABBAE0AQgBEAEEAKABcACIAQgBlAGUAZgAgAGYAZQBlAGQAbABvAHQAIABjAGEAdAB0AGwAZQAgAC0AIABBAG4AaQBtAGEAbAAgAGMAaABhAHIAYQBjAHQAZQByAGkAcwB0AGkAYwBzAFwAIgApADsAXABuAFwAbgBTAG8AdQByAGMAZQBEAGEAdABhAF8ARgBlAGUAZABsAG8AdABfAEEAbgBpAG0AYQBsAEMAaABhAHIAYQBjAHQAZQByAGkAcwB0AGkAYwBzAF8AVQBuAGkAdABcAG4AIAAgAD0ATABBAE0AQgBEAEEAKABcACIAXAAiACkAOwBcAG4AXABuAFMAbwB1AHIAYwBlAEQAYQB0AGEAXwBGAGUAZQBkAGwAbwB0AF8AQQBuAGkAbQBhAGwAQwBoAGEAcgBhAGMAdABlAHIAaQBzAHQAaQBjAHMAXwBTAG8AdQByAGMAZQBcAG4AIAAgAD0ATABBAE0AQgBEAEEAKABcACIAVgBFAEUAUgBHACAAMgAwADIANgA6ACAAVABhAGIAbABlACAAQQAuADEALgAxAC4AMgA6ACAAQgBlAGUAZgAgAGYAZQBlAGQAbABvAHQAIABjAGEAdAB0AGwAZQAgAC0AIABBAG4AaQBtAGEAbAAgAGMAaABhAHIAYQBjAHQAZQByAGkAcwB0AGkAYwBzAFwAIgApADsAXABuAFwAbgBTAG8AdQByAGMAZQBEAGEAdABhAF8ARgBlAGUAZABsAG8AdABfAEEAbgBpAG0AYQBsAEMAaABhAHIAYQBjAHQAZQByAGkAcwB0AGkAYw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0AbwB2AGUAZAAgAGYAZQBlAGQAbABvAHQAIAB0AHkAcABlAHMAIAB0AG8AIABhACAAcwBlAHAAYQByAGEAdABlACAAYwBvAGwAdQBtAG4AIAB0AG8AIABhAGkAZAAgAGwAbwBvAGsAdQBwAC4AXAAiADsAXABuACAAIAAgACAAIAAgACAAIAAgACAAXAAiAE4AYQBtAGUAZAAgAFwAdQAwADAAMgA3AGMAaABhAHIAYQBjAHQAZQByAGkAcwB0AGkAYwBcAHUAMAAwADIANwAgAGMAbwBsAHUAbQBuACAALQAgAG8AcgBpAGcAaQBuAGEAbAAgAGgAYQBzACAAaABlAGEAZABlAHIAIABcAHUAMAAwADIANwBVAG4AaQB0AFwAdQAwADAAMgA3ACAAdwBoAGkAYwBoACAAYwBvAHYAZQByAHMAIAB0AHcAbwAgAGMAbwBsAHUAbQBuAHMAKQBcACIAXABuACAAIAAgACAAIAAgACAAIAB9ACwAIAByACwAIABjACkAXABuACAAIAAgACAAIAAgACkAXABuACAAIAAgACAAKQBcAG4AIAAgACkAOwBcAG4AXABuAFMAbwB1AHIAYwBlAEQAYQB0AGEAXwBGAGUAZQBkAGwAbwB0AF8AQQBuAGkAbQBhAGwAQwBoAGEAcgBhAGMAdABlAHIAaQBzAHQAaQBjAHMAXwBEAGEAdABhAFwAbgAgACAAPQBMAEEATQBCAEQAQQAoAFwAbgAgACAAIAAgAE0AQQBLAEUAQQBSAFIAQQBZACgAMQAwACwAIAA3ACwAIABcAG4AIAAgACAAIAAgACAATABBAE0AQgBEAEEAKAByACwAYwAsACAAXABuACAAIAAgACAAIAAgACAAIABJAE4ARABFAFgAKAB7AFwAbgAgACAAIAAgACAAIAAgACAAIAAgAFwAIgBGAGUAZQBkAGwAbwB0ACAAdAB5AHAAZQBcACIALAAgAFwAIgBDAGgAYQByAGEAYwB0AGUAcgBpAHMAdABpAGMAXAAiACwAIABcACIAVQBuAGkAdABcACIALAAgAFwAIgAyADAAMAA1AC0AMgAwADAAOQBcACIALAAgAFwAIgAyADAAMQAwAC0AMgAwADEANABcACIALAAgAFwAIgAyADAAMQA1AC0AMgAwADEAOQBcACIALAAgAFwAIgAyADAAMgAwAC0AMgAwADIAMwBcACIAOwBcAG4AIAAgACAAIAAgACAAIAAgACAAIABcACIARABvAG0AZQBzAHQAaQBjAFwAIgAsACAAXAAiAEQAYQB5AHMAIABvAG4AIABmAGUAZQBkAFwAIgAsACAAXAAiAGQAYQB5AHMAXAAiACwAIAA3ADAALAAgADcAMAAsACAANwAwACwAIAA3ADUAOwBcAG4AIAAgACAAIAAgACAAIAAgACAAIABcACIARABvAG0AZQBzAHQAaQBjAFwAIgAsACAAXAAiAEYAZQBlAGQAIABpAG4AdABhAGsAZQBcACIALAAgAFwAIgBrAGcAIABEAE0ALwBkAGEAeQBcACIALAAgADEAMAAuADAALAAgADEAMAAuADAALAAgADEAMAAuADQALAAgADEAMAAuADQAOwBcAG4AIAAgACAAIAAgACAAIAAgACAAIABcACIARABvAG0AZQBzAHQAaQBjAFwAIgAsACAAXAAiAE4AIAByAGUAdABlAG4AdABpAG8AbgBcACIALAAgAFwAIgBwAGUAcgAgAGMAZQBuAHQAIABvAGYAIABpAG4AdABhAGsAZQBcACIALAAgADIAMQAuADEALAAgADIAMAAuADQALAAgADIAMAAuADQALAAgADIAMAAuADQAOwBcAG4AIAAgACAAIAAgACAAIAAgACAAIABcACIATQBpAGQALQBmAGUAZABcACIALAAgAFwAIgBEAGEAeQBzACAAbwBuACAAZgBlAGUAZABcACIALAAgAFwAIgBkAGEAeQBzAFwAIgAsACAAMQAxADUALAAgADEAMQA1ACwAIAAxADIAMAAsACAAMQA1ADAAOwBcAG4AIAAgACAAIAAgACAAIAAgACAAIABcACIATQBpAGQALQBmAGUAZABcACIALAAgAFwAIgBGAGUAZQBkACAAaQBuAHQAYQBrAGUAXAAiACwAIABcACIAawBnACAARABNAC8AZABhAHkAXAAiACwAIAAxADEALgAyACwAIAAxADAALgA4ACwAIAAxADAALgA4ACwAIAAxADAALgA4ADsAXABuACAAIAAgACAAIAAgACAAIAAgACAAXAAiAE0AaQBkAC0AZgBlAGQAXAAiACwAIABcACIATgAgAHIAZQB0AGUAbgB0AGkAbwBuAFwAIgAsACAAXAAiAHAAZQByACAAYwBlAG4AdAAgAG8AZgAgAGkAbgB0AGEAawBlAFwAIgAsACAAMQAyAC4ANQAsACAAMQAyAC4ANwAsACAAMQAyAC4ANwAsACAAMQAyAC4ANwA7AFwAbgAgACAAIAAgACAAIAAgACAAIAAgAFwAIgBMAG8AbgBnAC0AZgBlAGQAXAAiACwAIABcACIARABhAHkAcwAgAG8AbgAgAGYAZQBlAGQAXAAiACwAIABcACIAZABhAHkAcwBcACIALAAgADIANQAwACwAIAAyADUAMAAsACAAMgA1ADAALAAgADIANQAwADsAXABuACAAIAAgACAAIAAgACAAIAAgACAAXAAiAEwAbwBuAGcALQBmAGUAZABcACIALAAgAFwAIgBGAGUAZQBkACAAaQBuAHQAYQBrAGUAXAAiACwAIABcACIAawBnACAARABNAC8AZABhAHkAXAAiACwAIAA5AC4AMAAsACAAOAAuADUALAAgADgALgAyACwAIAA4AC4AMgA7AFwAbgAgACAAIAAgACAAIAAgACAAIAAgAFwAIgBMAG8AbgBnAC0AZgBlAGQAXAAiACwAIABcACIATgAgAHIAZQB0AGUAbgB0AGkAbwBuAFwAIgAsACAAXAAiAHAAZQByACAAYwBlAG4AdAAgAG8AZgAgAGkAbgB0AGEAawBlAFwAIgAsACAANgAuADYALAAgADcALgAwACwAIAA3AC4AMAAsACAANwAuADAAXABuACAAIAAgACAAIAAgACAAIAB9ACwAIAByACwAIABjACkAXABuACAAIAAgACAAIAAgACkAXABuACAAIAAgACAAKQBcAG4AIAAgACkAOwBcAG4AXABuAFwAbgBcAG4AXABuAFwAbgBcAG4AXABuAC8AKgAgAFwAbgAtAC0ALQAtAC0ALQAtAC0ALQAtAC0ALQAtAC0ALQAtAC0ALQAtAC0ALQAtAC0ALQAtAC0ALQAtAC0ALQAtAC0ALQAtAC0ALQAtAC0AXABuAFMAbwB1AHIAYwBlAEQAYQB0AGEAXwBGAGUAZQBkAGwAbwB0AF8ARABpAGUAdABQAHIAbwBwAGUAcgB0AGkAZQBzAFwAbgBUAGEAYgBsAGUAIABBAC4AMQAuADEALgAzADoAIABCAGUAZQBmACAAZgBlAGUAZABsAG8AdAAgAGMAYQB0AHQAbABlACAALQAgAEQAaQBlAHQAIABwAHIAbwBwAGUAcgB0AGkAZQBzAFwAbgAtAC0ALQAtAC0ALQAtAC0ALQAtAC0ALQAtAC0ALQAtAC0ALQAtAC0ALQAtAC0ALQAtAC0ALQAtAC0ALQAtAC0ALQAtAC0ALQAtAC0AXABuACoALwBcAG4AXABuAFMAbwB1AHIAYwBlAEQAYQB0AGEAXwBGAGUAZQBkAGwAbwB0AF8ARABpAGUAdABQAHIAbwBwAGUAcgB0AGkAZQBzAF8AVABpAHQAbABlAFwAbgAgACAAPQBMAEEATQBCAEQAQQAoAFwAIgBCAGUAZQBmACAAZgBlAGUAZABsAG8AdAAgAGMAYQB0AHQAbABlACAALQAgAEQAaQBlAHQAIABwAHIAbwBwAGUAcgB0AGkAZQBzAFwAIgApADsAXABuAFwAbgBTAG8AdQByAGMAZQBEAGEAdABhAF8ARgBlAGUAZABsAG8AdABfAEQAaQBlAHQAUAByAG8AcABlAHIAdABpAGUAcwBfAFUAbgBpAHQAXABuACAAIAA9AEwAQQBNAEIARABBACgAXAAiAFwAIgApADsAXABuAFwAbgBTAG8AdQByAGMAZQBEAGEAdABhAF8ARgBlAGUAZABsAG8AdABfAEQAaQBlAHQAUAByAG8AcABlAHIAdABpAGUAcwBfAFMAbwB1AHIAYwBlAFwAbgAgACAAPQBMAEEATQBCAEQAQQAoAFwAIgBWAEUARQBSAEcAIAAyADAAMgA2ADoAIABUAGEAYgBsAGUAIABBAC4AMQAuADEALgAzADoAIABCAGUAZQBmACAAZgBlAGUAZABsAG8AdAAgAGMAYQB0AHQAbABlACAALQAgAEQAaQBlAHQAIABwAHIAbwBwAGUAcgB0AGkAZQBzAFwAIgApADsAXABuAFwAbgBTAG8AdQByAGMAZQBEAGEAdABhAF8ARgBlAGUAZABsAG8AdABfAEQAaQBlAHQAUAByAG8AcABlAHIAdABpAGU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DAG8AbgB2AGUAcgB0AGUAZAAgAHQAbwAgAGYAcgBhAGMAdABpAG8AbgAgAGMAbwBsAHUAbQBuACAAYQBuAGQAIABjAG8AbgB2AGUAcgB0AGUAZAAgAE4ARABGACAAYQBuAGQAIABFAHQAaABlAHIAIABlAHgAdAByAGEAYwB0ACAAdgBhAGwAdQBlAHMAIAB0AG8AIABmAHIAYQBjAHQAaQBvAG4AcwAuAFwAIgA7AFwAbgAgACAAIAAgACAAIAAgACAAIAAgAFwAIgBNAG8AdgBlAGQAIABmAGUAZQBkAGwAbwB0ACAAdAB5AHAAZQBzACAAdABvACAAYQAgAHMAZQBwAGEAcgBhAHQAZQAgAGMAbwBsAHUAbQBuACAAdABvACAAYQBpAGQAIABsAG8AbwBrAHUAcAAuAFwAIgBcAG4AIAAgACAAIAAgACAAIAAgAH0ALAAgAHIALAAgAGMAKQBcAG4AIAAgACAAIAAgACAAKQBcAG4AIAAgACAAIAApAFwAbgAgACAAKQA7AFwAbgBcAG4AUwBvAHUAcgBjAGUARABhAHQAYQBfAEYAZQBlAGQAbABvAHQAXwBEAGkAZQB0AFAAcgBvAHAAZQByAHQAaQBlAHMAXwBEAGEAdABhAFwAbgAgACAAPQBMAEEATQBCAEQAQQAoAFwAbgAgACAAIAAgAE0AQQBLAEUAQQBSAFIAQQBZACgAMQAzACwAIAA4ACwAIABcAG4AIAAgACAAIAAgACAATABBAE0AQgBEAEEAKAByACwAYwAsACAAXABuACAAIAAgACAAIAAgACAAIABJAE4ARABFAFgAKAB7AFwAbgAgACAAIAAgACAAIAAgACAAIAAgAFwAIgBGAGUAZQBkAGwAbwB0ACAAdAB5AHAAZQBcACIALAAgAFwAIgBOAHUAdAByAGkAZQBuAHQAIABhAG4AYQBsAHkAcwBpAHMAXAAiACwAIABcACIAVQBuAGkAdABcACIALAAgAFwAIgAyADAAMAA1AC0AMgAwADAAOQBcACIALAAgAFwAIgAyADAAMQAwAC0AMgAwADEANABcACIALAAgAFwAIgAyADAAMQA1AC0AMgAwADEAOQBcACIALAAgAFwAIgAyADAAMgAwAC0AMgAwADIAMwBcACIALAAgAFwAIgBDAG8AbgB2AGUAcgB0AGUAZAAgAHQAbwAgAGYAcgBhAGMAdABpAG8AbgBcACIAOwBcAG4AIAAgACAAIAAgACAAIAAgACAAIABcACIARABvAG0AZQBzAHQAaQBjAFwAIgAsACAAXAAiAEQAcgB5ACAAbQBhAHQAdABlAHIAIABkAGkAZwBlAHMAdABpAGIAaQBsAGkAdAB5AFwAIgAsACAAXAAiAGYAcgBhAGMAdABpAG8AbgBcACIALAAgADAALgA4ADEALAAgADAALgA4ADEALAAgADAALgA4ADEALAAgADAALgA4ADEALAAgADAALgA4ADEAOwBcAG4AIAAgACAAIAAgACAAIAAgACAAIABcACIARABvAG0AZQBzAHQAaQBjAFwAIgAsACAAXAAiAEMAcgB1AGQAZQAgAHAAcgBvAHQAZQBpAG4AXAAiACwAIABcACIAZgByAGEAYwB0AGkAbwBuAFwAIgAsACAAMAAuADEANAAsACAAMAAuADEANAAsACAAMAAuADEANAAsACAAMAAuADEANAAsACAAMAAuADEANAA7AFwAbgAgACAAIAAgACAAIAAgACAAIAAgAFwAIgBEAG8AbQBlAHMAdABpAGMAXAAiACwAIABcACIATgBEAEYAXAAiACwAIABcACIAcABlAHIAIABjAGUAbgB0AFwAIgAsACAAMgAzAC4AMAAsACAAMgAyAC4AMAAsACAAMgAyAC4AMAAsACAAMgAyAC4AMAAsACAAMAAuADIAMgA7AFwAbgAgACAAIAAgACAAIAAgACAAIAAgAFwAIgBEAG8AbQBlAHMAdABpAGMAXAAiACwAIABcACIARQB0AGgAZQByACAARQB4AHQAcgBhAGMAdABcACIALAAgAFwAIgBwAGUAcgAgAGMAZQBuAHQAXAAiACwAIAA0AC4ANQAsACAANAAuADUALAAgADQALgA4ACwAIAA0AC4AOAAsACAAMAAuADAANAA4ADsAXABuACAAIAAgACAAIAAgACAAIAAgACAAXAAiAE0AaQBkAC0AZgBlAGQAXAAiACwAIABcACIARAByAHkAIABtAGEAdAB0AGUAcgAgAGQAaQBnAGUAcwB0AGkAYgBpAGwAaQB0AHkAXAAiACwAIABcACIAZgByAGEAYwB0AGkAbwBuAFwAIgAsACAAMAAuADgAMQAsACAAMAAuADgAMQAsACAAMAAuADgAMQAsACAAMAAuADgAMQAsACAAMAAuADgAMQA7AFwAbgAgACAAIAAgACAAIAAgACAAIAAgAFwAIgBNAGkAZAAtAGYAZQBkAFwAIgAsACAAXAAiAEMAcgB1AGQAZQAgAHAAcgBvAHQAZQBpAG4AXAAiACwAIABcACIAZgByAGEAYwB0AGkAbwBuAFwAIgAsACAAMAAuADEAMwAsACAAMAAuADEAMgA1ACwAIAAwAC4AMQAyACwAIAAwAC4AMQAyACwAIAAwAC4AMQAyADsAXABuACAAIAAgACAAIAAgACAAIAAgACAAXAAiAE0AaQBkAC0AZgBlAGQAXAAiACwAIABcACIATgBEAEYAXAAiACwAIABcACIAcABlAHIAIABjAGUAbgB0AFwAIgAsACAAMgA0AC4AMAAsACAAMgAyAC4AMAAsACAAMgAyAC4AMAAsACAAMgAyAC4AMAAsACAAMAAuADIAMgA7AFwAbgAgACAAIAAgACAAIAAgACAAIAAgAFwAIgBNAGkAZAAtAGYAZQBkAFwAIgAsACAAXAAiAEUAdABoAGUAcgAgAEUAeAB0AHIAYQBjAHQAXAAiACwAIABcACIAcABlAHIAIABjAGUAbgB0AFwAIgAsACAANQAuADAALAAgADUALgAwACwAIAA1AC4AMAAsACAANQAuADAALAAgADAALgAwADUAOwBcAG4AIAAgACAAIAAgACAAIAAgACAAIABcACIATABvAG4AZwAtAEYAZQBkAFwAIgAsACAAXAAiAEQAcgB5ACAAbQBhAHQAdABlAHIAIABkAGkAZwBlAHMAdABpAGIAaQBsAGkAdAB5AFwAIgAsACAAXAAiAGYAcgBhAGMAdABpAG8AbgBcACIALAAgADAALgA4ADEALAAgADAALgA4ADEALAAgADAALgA4ADEALAAgADAALgA4ADEALAAgADAALgA4ADEAOwBcAG4AIAAgACAAIAAgACAAIAAgACAAIABcACIATABvAG4AZwAtAEYAZQBkAFwAIgAsACAAXAAiAEMAcgB1AGQAZQAgAHAAcgBvAHQAZQBpAG4AXAAiACwAIABcACIAZgByAGEAYwB0AGkAbwBuAFwAIgAsACAAMAAuADEAMwAsACAAMAAuADEAMgA1ACwAIAAwAC4AMQAyACwAIAAwAC4AMQAyACwAIAAwAC4AMQAyADsAXABuACAAIAAgACAAIAAgACAAIAAgACAAXAAiAEwAbwBuAGcALQBGAGUAZABcACIALAAgAFwAIgBOAEQARgBcACIALAAgAFwAIgBwAGUAcgAgAGMAZQBuAHQAXAAiACwAIAAyADQALgAwACwAIAAyADQALgAwACwAIAAyADQALgAwACwAIAAyADQALgAwACwAIAAwAC4AMgA0ADsAXABuACAAIAAgACAAIAAgACAAIAAgACAAXAAiAEwAbwBuAGcALQBGAGUAZABcACIALAAgAFwAIgBFAHQAaABlAHIAIABFAHgAdAByAGEAYwB0AFwAIgAsACAAXAAiAHAAZQByACAAYwBlAG4AdABcACIALAAgADUALgAwACwAIAA1AC4AMAAsACAANQAuADUALAAgADUALgA1ACwAIAAwAC4AMAA1ADU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0AQwBGAFwAbgBUAGEAYgBsAGUAIABBAC4AMQAuADEALgA0ADoAIABCAGUAZQBmACAAZgBlAGUAZABsAG8AdAAgAGMAYQB0AHQAbABlACAALQAgAE0AQwBGAHMAIAAoAGYAcgBhAGMAdABpAG8AbgApACAAKABNAEMARgBpAG0AVAApAFwAbgAtAC0ALQAtAC0ALQAtAC0ALQAtAC0ALQAtAC0ALQAtAC0ALQAtAC0ALQAtAC0ALQAtAC0ALQAtAC0ALQAtAC0ALQAtAC0ALQAtAC0AXABuACoALwBcAG4AXABuAFMAbwB1AHIAYwBlAEQAYQB0AGEAXwBGAGUAZQBkAGwAbwB0AF8ATQBDAEYAXwBUAGkAdABsAGUAXABuACAAIAA9AEwAQQBNAEIARABBACgAXAAiAEYAZQBlAGQAbABvAHQAIAAtACAATQBDAEYAcwBcACIAKQA7AFwAbgBcAG4AUwBvAHUAcgBjAGUARABhAHQAYQBfAEYAZQBlAGQAbABvAHQAXwBNAEMARgBfAFUAbgBpAHQAXABuACAAIAA9AEwAQQBNAEIARABBACgAXAAiAFwAIgApADsAXABuAFwAbgBTAG8AdQByAGMAZQBEAGEAdABhAF8ARgBlAGUAZABsAG8AdABfAE0AQwBGAF8AUwBvAHUAcgBjAGUAXABuACAAIAA9AEwAQQBNAEIARABBACgAXAAiAFYARQBFAFIARwAgADIAMAAyADYAOgAgAFQAYQBiAGwAZQAgAEEALgAxAC4AMQAuADQAOgAgAEIAZQBlAGYAIABmAGUAZQBkAGwAbwB0ACAAYwBhAHQAdABsAGUAIAAtACAATQBDAEYAcwAgACgAZgByAGEAYwB0AGkAbwBuACkAIAAoAE0AQwBGAGkAbQBUACk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jAG8AbAB1AG0AbgAgAHQAaABhAHQAIABkAHUAcABsAGkAYwBhAHQAZQBzACAAUQBMAEQAIAB2AGEAbAB1AGUAcwAgAGEAcwAgAHAAZQByACAAYQBkAHYAaQBjAGUAIABmAHIAbwBtACAAcwBvAHUAcgBjAGUAIABkAGEAdABhACAAcAByAG8AdgBpAGQAZQByAC4AXAAiADsAXABuACAAIAAgACAAIAAgACAAIAAgACAAXAAiAEEAZABkAGUAZAAgAFQAQQBTACAAYwBvAGwAdQBtAG4AIAB0AGgAYQB0ACAAZAB1AHAAbABpAGMAYQB0AGUAcwAgAFYASQBDACAAdgBhAGwAdQBlAHMAIABhAHMAIABwAGUAcgAgAGEAZAB2AGkAYwBlACAAZgByAG8AbQAgAHMAbwB1AHIAYwBlACAAZABhAHQAYQAgAHAAcgBvAHYAaQBkAGUAcgAu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NAEMARgBfAEQAYQB0AGEAXABuACAAIAA9AEwAQQBNAEIARABBACgAXABuACAAIAAgACAATQBBAEsARQBBAFIAUgBBAFkAKAA2ACwAIAAxADEALAAgAFwAbgAgACAAIAAgACAAIABMAEEATQBCAEQAQQAoAHIALABjACwAIABcAG4AIAAgACAAIAAgACAAIAAgAEkATgBEAEUAWAAoAHsAXABuACAAIAAgACAAIAAgACAAIAAgACAAXAAiAFQAcgBlAGEAdABtAGUAbgB0ACAAcwB0AGEAZwBlACAAVABcACIALAAgAFwAIgBNAE0AUwAgAG0AXAAiACwAIABcACIATgBTAFcAXAAiACwAIABcACIAQQBDAFQAXAAiACwAIABcACIAUQBMAEQAXAAiACwAIABcACIATgBUAFwAIgAsACAAXAAiAFMAQQBcACIALAAgAFwAIgBWAEkAQwBcACIALAAgAFwAIgBXAEEAXAAiACwAIABcACIAVABBAFMAXAAiACwAIABcACIATgBJAFIAIABkAGUAZgBpAG4AaQB0AGkAbwBuAFwAIgA7AFwAbgAgACAAIAAgACAAIAAgACAAIAAgAFwAIgBQAHIAaQBtAGEAcgB5AFwAIgAsACAAXAAiAEQAcgB5ACAAbABvAHQAIAAoAEYAZQBlAGQAcABhAGQAKQBcACIALAAgADAALgAwADEALAAgADAALgAwADEALAAgADAALgAwADMALAAgADAALgAwADMALAAgADAALgAwADEALAAgADAALgAwADEALAAgADAALgAwADEALAAgADAALgAwADEALAAgAFwAIgBEAHIAeQBsAG8AdAAgACgAZgBlAGUAZAAgAHAAYQBkACkAXAAiADsAIABcAG4AIAAgACAAIAAgACAAIAAgACAAIABcACIAUwBlAGMAbwBuAGQAYQByAHkAXAAiACwAIABcACIAUwBvAGwAaQBkACAAUwB0AG8AcgBhAGcAZQAgACgAUwB0AG8AYwBrAHAAaQBsAGUAKQBcACIALAAgADAALgAwADIALAAgADAALgAwADIALAAgADAALgAwADIALAAgADAALgAwADIALAAgADAALgAwADIALAAgADAALgAwADIALAAgADAALgAwADIALAAgADAALgAwADIALAAgAFwAIgBTAG8AbABpAGQAIABzAHQAbwByAGEAZwBlAFwAIgA7ACAAXABuACAAIAAgACAAIAAgACAAIAAgACAAXAAiAFMAZQBjAG8AbgBkAGEAcgB5AFwAIgAsACAAXAAiAEMAbwBtAHAAbwBzAHQAaQBuAGcAIAAoAFAAYQBzAHMAaQB2AGUAIABXAGkAbgBkAHIAbwB3ACkAXAAiACwAIAAwAC4AMAAxACwAIAAwAC4AMAAxACwAIAAwAC4AMAAxACwAIAAwAC4AMAAxACwAIAAwAC4AMAAxACwAIAAwAC4AMAAxACwAIAAwAC4AMAAxACwAIAAwAC4AMAAxACwAIABcACIAQwBvAG0AcABvAHMAdABpAG4AZwAgACgAcABhAHMAcwBpAHYAZQAgAHcAaQBuAGQAcgBvAHcAKQBcACIAOwAgAFwAbgAgACAAIAAgACAAIAAgACAAIAAgAFwAIgBTAGUAYwBvAG4AZABhAHIAeQBcACIALAAgAFwAIgBEAGkAcgBlAGMAdAAgAEEAcABwAGwAaQBjAGEAdABpAG8AbgAgAHQAbwAgAHMAbwBpAGwAXAAiACwAIAAwACwAIAAwACwAIAAwACwAIAAwACwAIAAwACwAIAAwACwAIAAwACwAIAAwACwAIABcACIARABpAHIAZQBjAHQAIABhAHAAcABsAGkAYwBhAHQAaQBvAG4AXAAiADsAIABcAG4AIAAgACAAIAAgACAAIAAgACAAIABcACIAVABlAHIAdABpAGEAcgB5AFwAIgAsACAAXAAiAFUAbgBjAG8AdgBlAHIAZQBkACAAYQBuAGEAZQByAG8AYgBpAGMAIABsAGEAZwBvAG8AbgAgACgARQBmAGYAbAB1AGUAbgB0ACAAcABvAG4AZAApAFwAIgAsACAAMAAuADcANQAsACAAMAAuADcANQAsACAAMAAuADcANwAsACAAMAAuADcANwAsACAAMAAuADcANQAsACAAMAAuADcANQAsACAAMAAuADcANwAsACAAMAAuADcANQ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UAbgB0AGUAcgBpAGMATQBlAHQAaABhAG4AZQBfAEYAZQBlAGQAbABvAHQAXwBFAHEAdQBhAHQAaQBvAG4AcwAiACwAIgB0AGUAeAB0ACIAOgAiAC8AKgBcAG4APQA9AD0APQA9AD0APQA9AD0APQA9AD0APQA9AD0APQA9AD0APQA9AD0APQA9AD0APQA9AD0APQA9AD0APQA9AD0APQA9AD0APQA9AD0APQA9AD0APQA9AD0APQA9AD0APQA9AD0APQA9AD0APQA9AD0APQA9AD0APQA9AD0APQA9AD0APQA9AD0APQA9AD0APQA9AD0APQBcAG4AMwAuADEAOgAgAEUAbgB0AGUAcgBpAGMAIABNAGUAdABoAGEAbgBlACAALQAgAEYAZQBlAGQAbABvAHQAIABCAGUAZQBmAFwAbgA9AD0APQA9AD0APQA9AD0APQA9AD0APQA9AD0APQA9AD0APQA9AD0APQA9AD0APQA9AD0APQA9AD0APQA9AD0APQA9AD0APQA9AD0APQA9AD0APQA9AD0APQA9AD0APQA9AD0APQA9AD0APQA9AD0APQA9AD0APQA9AD0APQA9AD0APQA9AD0APQA9AD0APQA9AD0APQA9AFwAbgAzAC4AMQAuADEALgAxACAATQBlAHQAaABvAGQAIAAxACAALQAgAEUAbgB0AGUAcgBpAGM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x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gBlAGUAZABsAG8AdAAgAGIAZQBlAGYAIABjAGEAdAB0AGwAZQBcAG4ARQBfAGUAbgB0AGUAcgBpAGMAXABuAHQAIABDAEgANABcAG4ARQBfAHsAZQBuAHQAZQByAGkAYwB9AD0AXABcAHMAdQBtAFwAXABuAG8AbABpAG0AaQB0AHMAXwBqACgARABfAGoAXABcAHQAaQBtAGUAcwAgAE0AXwBqAFwAXAB0AGkAbQBlAHMAIABOAF8AagApAFwAXAB0AGkAbQBlAHMAIAAxADAAXgB7AC0AMwB9AFwAbgBEAF8AagAgAD0AIABkAHUAcgBhAHQAaQBvAG4AIABvAGYAIABzAHQAYQB5ACAAbwBmACAAZQBhAGMAaAAgAGMAYQB0AHQAbABlACAAbABvAHQAIAAoAGQAYQB5AHMAKQBcAG4ATQBfAGoAIAA9ACAAZABhAGkAbAB5ACAAbQBlAHQAaABhAG4AZQAgAHAAcgBvAGQAdQBjAHQAaQBvAG4AIAAoAGsAZwAgAEMASAA0AC8AaABlAGEAZAAvAGQAYQB5ACkAXABuAE4AXwBqACAAPQAgAG4AdQBtAGIAZQByAHMAIABvAGYAIABmAGUAZQBkAGwAbwB0ACAAYwBhAHQAdABsAGUAIABpAG4AIABlAGEAYwBoACAAYwBhAHQAdABsAGUAIABsAG8AdAAgACgAaABlAGEAZAApAFwAbgAtAC0ALQAtAC0ALQAtAC0ALQAtAC0ALQAtAC0ALQAtAC0ALQAtAC0ALQAtAC0ALQAtAC0ALQAtAC0ALQAtAC0ALQAtAC0ALQAtAC0AXABuACoALwBcAG4AXABuAFYARQBFAFIARwBfADMAXwAxAF8AMQBfADEAXwBfADEAXwBUAG8AdABhAGwAQQBuAG4AdQBhAGwATQBlAHQAaABhAG4AZQBGAHIAbwBtAEUAbgB0AGUAcgBpAGMARgBlAHIAbQBlAG4AdABhAHQAaQBvAG4AXABuACAAIAA9AEwAQQBNAEIARABBACgAXABuACAAIAAgACAARABfAGoALAAgAE0AXwBqACwAIABOAF8AagAsAFwAbgAgACAAIAAgACgARABfAGoAIAAqACAATQBfAGoAIAAqACAATgBfAGoAKQAgACoAIAAxADAAIABeACAALQAzAFwAbgAgACAAKQA7AFwAbgBcAG4AVgBFAEUAUgBHAF8AMwBfADE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mAGUAZQBkAGwAbwB0ACAAYgBlAGUAZgAgAGMAYQB0AHQAbABlAFwAIgApADsAXABuAFwAbgBWAEUARQBSAEcAXwAzAF8AMQBfADEAXwAxAF8AXwAxAF8AVABvAHQAYQBsAEEAbgBuAHUAYQBsAE0AZQB0AGgAYQBuAGUARgByAG8AbQBFAG4AdABlAHIAaQBjAEYAZQByAG0AZQBuAHQAYQB0AGkAbwBuAF8AVgBhAHIAaQBhAGIAbABlAFwAbgAgACAAPQBMAEEATQBCAEQAQQAoAFwAIgBFAF8AZQBuAHQAZQByAGkAYwBcACIAKQA7AFwAbgBcAG4AVgBFAEUAUgBHAF8AMwBfADEAXwAxAF8AMQBfAF8AMQBfAFQAbwB0AGEAbABBAG4AbgB1AGEAbABNAGUAdABoAGEAbgBlAEYAcgBvAG0ARQBuAHQAZQByAGkAYwBGAGUAcgBtAGUAbgB0AGEAdABpAG8AbgBfAFUAbgBpAHQAXABuACAAIAA9AEwAQQBNAEIARABBACgAXAAiAHQAIABDAEgANABcACIAKQA7AFwAbgBcAG4AVgBFAEUAUgBHAF8AMwBfADEAXwAxAF8AMQBfAF8AMQBfAFQAbwB0AGEAbABBAG4AbgB1AGEAbABNAGUAdABoAGEAbgBlAEYAcgBvAG0ARQBuAHQAZQByAGkAYwBGAGUAcgBtAGUAbgB0AGEAdABpAG8AbgBfAFMAbwB1AHIAYwBlAFwAbgAgACAAPQBMAEEATQBCAEQAQQAoAFwAIgBWAEUARQBSAEcAIAAyADAAMgA2ADoAIAAzAC4AMQAuADEALgAxACwAIABFAHEAdQBhAHQAaQBvAG4AIAAoADEAKQBcACIAKQA7AFwAbgBcAG4AVgBFAEUAUgBHAF8AMwBfADEAXwAxAF8AMQBfAF8AMQBfAFQAbwB0AGEAbABBAG4AbgB1AGEAbABNAGUAdABoAGEAbgBlAEYAcgBvAG0ARQBuAHQAZQByAGkAYwBGAGUAcgBtAGUAbgB0AGEAdABpAG8AbgBfAE4ASQBSAFIAZQBmAGUAcgBlAG4AYwBlAFwAbgAgACAAPQBMAEEATQBCAEQAQQAoAFwAIgBcACIAKQA7AFwAbgBcAG4AVgBFAEUAUgBHAF8AMwBfADE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EQAXwBqAFwAXAB0AGkAbQBlAHMAIABNAF8AagBcAFwAdABpAG0AZQBzACAATgBfAGoAKQBcAFwAdABpAG0AZQBzACAAMQAwAF4AewAtADMAfQBcACIAKQA7AFwAbgBcAG4AVgBFAEUAUgBHAF8AMwBfADE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EAF8AagBcACIALAAgAFwAIgBkAHUAcgBhAHQAaQBvAG4AIABvAGYAIABzAHQAYQB5ACAAbwBmACAAZQBhAGMAaAAgAGMAYQB0AHQAbABlACAAbABvAHQAXAAiACwAIABcACIAZABhAHkAcwBcACIALAAgAFwAIgBJAG4AcAB1AHQAXAAiADsAXABuACAAIAAgACAAIAAgACAAIAAgACAAXAAiAE0AXwBqAFwAIgAsACAAXAAiAGQAYQBpAGwAeQAgAG0AZQB0AGgAYQBuAGUAIABwAHIAbwBkAHUAYwB0AGkAbwBuAFwAIgAsACAAXAAiAGsAZwAgAEMASAA0AC8AaABlAGEAZAAvAGQAYQB5AFwAIgAsACAAXAAiAEMAYQBsAGMAdQBsAGEAdABlAGQAIABmAHIAbwBtACAAMwAuADEALgAxAC4AMQAsACAAKAAyACkAXAAiADsAXABuACAAIAAgACAAIAAgACAAIAAgACAAXAAiAE4AXwBqAFwAIgAsACAAXAAiAG4AdQBtAGIAZQByAHMAIABvAGYAIABmAGUAZQBkAGwAbwB0ACAAYwBhAHQAdABsAGUAIABpAG4AIABlAGEAYwBoACAAYwBhAHQAdABsAGUAIABsAG8AdA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QBfADEAXwAxAF8AXwAyAF8ARABhAGkAbAB5AEUAbgB0AGUAcgBpAGMATQBlAHQAaABhAG4AZQBQAHIAbwBkAHUAYwB0AGkAbwBuAFwAbgBEAGEAaQBsAHkAIABwAHIAbwBkAHUAYwB0AGkAbwBuACAAbwBmACAAZQBuAHQAZQByAGkAYwAgAG0AZQB0AGgAYQBuAGUAXABuAE0AXwBqAFwAbgBrAGcAIABDAEgANAAvAGgAZQBhAGQALwBkAGEAeQBcAG4ATQBfAGoAPQAoADUALgAxADEAXABcAHQAaQBtAGUAcwAgAEkAXwBqAC0ANAAuADAAMABcAFwAdABpAG0AZQBzACAARQBFAF8AagArADIALgAyADYAXABcAHQAaQBtAGUAcwAgAE4ARABGAF8AagApAFwAXAB0AGkAbQBlAHMAIAAxADAAXgB7AC0AMwB9AFwAbgBJAF8AagAgAD0AIABkAHIAeQAgAG0AYQB0AHQAZQByACAAaQBuAHQAYQBrAGUAIAAoAGsAZwAgAEQATQAvAGgAZQBhAGQALwBkAGEAeQApAFwAbgBFAEUAXwBqACAAPQAgAGUAdABoAGUAcgAgAGUAeAB0AHIAYQBjAHQAIABhAHMAIABhACAAcABlAHIAYwBlAG4AdABhAGcAZQAgAG8AZgAgAEkAXwBqACAAKABwAGUAcgAgAGMAZQBuAHQAKQBcAG4ATgBEAEYAXwBqACAAPQAgAG4AZQB1AHQAcgBhAGwAIABkAGUAdABlAHIAZwBlAG4AdAAgAGYAaQBiAHIAZQAgAGEAcwAgAGEAIABwAGUAcgBjAGUAbgB0AGEAZwBlACAAbwBmACAASQBfAGoAIAAoAHAAZQByACAAYwBlAG4AdAApAFwAbgAtAC0ALQAtAC0ALQAtAC0ALQAtAC0ALQAtAC0ALQAtAC0ALQAtAC0ALQAtAC0ALQAtAC0ALQAtAC0ALQAtAC0ALQAtAC0ALQAtAC0AXABuACoALwBcAG4AXABuAFYARQBFAFIARwBfADMAXwAxAF8AMQBfADEAXwBfADIAXwBEAGEAaQBsAHkARQBuAHQAZQByAGkAYwBNAGUAdABoAGEAbgBlAFAAcgBvAGQAdQBjAHQAaQBvAG4AXABuACAAIAA9AEwAQQBNAEIARABBACgAXABuACAAIAAgACAASQBfAGoALAAgAEUARQBfAGoALAAgAE4ARABGAF8AagAsAFwAbgAgACAAIAAgACgANQAuADEAMQAgACoAIABJAF8AagAgAC0AIAA0AC4AMAAwACAAKgAgAEUARQBfAGoAIAArACAAMgAuADIANgAgACoAIABOAEQARgBfAGoAKQAgACoAIAAxADAAIABeACAALQAzAFwAbgAgACAAKQA7AFwAbgBcAG4AVgBFAEUAUgBHAF8AMwBfADE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QBfADEAXwAxAF8AXwAyAF8ARABhAGkAbAB5AEUAbgB0AGUAcgBpAGMATQBlAHQAaABhAG4AZQBQAHIAbwBkAHUAYwB0AGkAbwBuAF8AVgBhAHIAaQBhAGIAbABlAFwAbgAgACAAPQBMAEEATQBCAEQAQQAoAFwAIgBNAF8AagBcACIAKQA7AFwAbgBcAG4AVgBFAEUAUgBHAF8AMwBfADEAXwAxAF8AMQBfAF8AMgBfAEQAYQBpAGwAeQBFAG4AdABlAHIAaQBjAE0AZQB0AGgAYQBuAGUAUAByAG8AZAB1AGMAdABpAG8AbgBfAFUAbgBpAHQAXABuACAAIAA9AEwAQQBNAEIARABBACgAXAAiAGsAZwAgAEMASAA0AC8AaABlAGEAZAAvAGQAYQB5AFwAIgApADsAXABuAFwAbgBWAEUARQBSAEcAXwAzAF8AMQBfADEAXwAxAF8AXwAyAF8ARABhAGkAbAB5AEUAbgB0AGUAcgBpAGMATQBlAHQAaABhAG4AZQBQAHIAbwBkAHUAYwB0AGkAbwBuAF8AUwBvAHUAcgBjAGUAXABuACAAIAA9AEwAQQBNAEIARABBACgAXAAiAFYARQBFAFIARwAgADIAMAAyADYAOgAgADMALgAxAC4AMQAuADEALAAgAEUAcQB1AGEAdABpAG8AbgAgACgAMgApAFwAIgApADsAXABuAFwAbgBWAEUARQBSAEcAXwAzAF8AMQBfADEAXwAxAF8AXwAyAF8ARABhAGkAbAB5AEUAbgB0AGUAcgBpAGMATQBlAHQAaABhAG4AZQBQAHIAbwBkAHUAYwB0AGkAbwBuAF8ATgBJAFIAUgBlAGYAZQByAGUAbgBjAGUAXABuACAAIAA9AEwAQQBNAEIARABBACgAXAAiAEEAbABtAGUAaQBkAGEAIABlAHQAIABhAGwALgAgACgAMgAwADIANQApAFwAIgApADsAXABuAFwAbgBWAEUARQBSAEcAXwAzAF8AMQBfADEAXwAxAF8AXwAyAF8ARABhAGkAbAB5AEUAbgB0AGUAcgBpAGMATQBlAHQAaABhAG4AZQBQAHIAbwBkAHUAYwB0AGkAbwBuAF8ATABhAHQAZQB4AEUAcQB1AGEAdABpAG8AbgBcAG4AIAAgAD0ATABBAE0AQgBEAEEAKABcACIATQBfAGoAPQAoADUALgAxADEAXABcAHQAaQBtAGUAcwAgAEkAXwBqAC0ANAAuADAAMABcAFwAdABpAG0AZQBzACAARQBFAF8AagArADIALgAyADYAXABcAHQAaQBtAGUAcwAgAE4ARABGAF8AagApAFwAXAB0AGkAbQBlAHMAIAAxADAAXgB7AC0AMwB9AFwAIgApADsAXABuAFwAbgBWAEUARQBSAEcAXwAzAF8AMQBfADEAXwAxAF8AXwAyAF8ARABhAGkAbAB5AEUAbgB0AGUAcgBpAGMATQBlAHQAaABhAG4AZQ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pAG4AdABhAGsAZQBcACIALAAgAFwAIgBrAGcAIABEAE0ALwBoAGUAYQBkAC8AZABhAHkAXAAiACwAIABcACIASQBuAHAAdQB0AFwAIgA7AFwAbgAgACAAIAAgACAAIAAgACAAIAAgAFwAIgBFAEUAXwBqAFwAIgAsACAAXAAiAGUAdABoAGUAcgAgAGUAeAB0AHIAYQBjAHQAIABhAHMAIABhACAAcABlAHIAYwBlAG4AdABhAGcAZQAgAG8AZgAgAEkAXwBqAFwAIgAsACAAXAAiAHAAZQByACAAYwBlAG4AdABcACIALAAgAFwAIgBJAG4AcAB1AHQAXAAiADsAXABuACAAIAAgACAAIAAgACAAIAAgACAAXAAiAE4ARABGAF8AagBcACIALAAgAFwAIgBuAGUAdQB0AHIAYQBsACAAZABlAHQAZQByAGcAZQBuAHQAIABmAGkAYgByAGUAIABhAHMAIABhACAAcABlAHIAYwBlAG4AdABhAGcAZQAgAG8AZgAgAEkAXwBqAFwAIgAsACAAXAAiAHAAZQByACAAYwBlAG4AdA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FMAbwB1AHIAYwBlAEQAYQB0AGEAXwBGAGUAZQBkAGwAbwB0AC4AUwBvAHUAcgBjAGUARABhAHQAYQBfAEYAZQBlAGQAbABvAHQAXwBWAFMATABfAFQAaQB0AGwAZQAiACwAIgBTAG8AdQByAGMAZQBEAGEAdABhAF8ARgBlAGUAZABsAG8AdAAuAFMAbwB1AHIAYwBlAEQAYQB0AGEAXwBGAGUAZQBkAGwAbwB0AF8AVgBTAEwAXwBWAGEAcgBpAGEAYgBsAGUAIgAsACIAUwBvAHUAcgBjAGUARABhAHQAYQBfAEYAZQBlAGQAbABvAHQALgBTAG8AdQByAGMAZQBEAGEAdABhAF8ARgBlAGUAZABsAG8AdABfAFYAUwBMAF8AVQBuAGkAdAAiACwAIgBTAG8AdQByAGMAZQBEAGEAdABhAF8ARgBlAGUAZABsAG8AdAAuAFMAbwB1AHIAYwBlAEQAYQB0AGEAXwBGAGUAZQBkAGwAbwB0AF8AVgBTAEwAXwBTAG8AdQByAGMAZQAiACwAIgBTAG8AdQByAGMAZQBEAGEAdABhAF8ARgBlAGUAZABsAG8AdAAuAFMAbwB1AHIAYwBlAEQAYQB0AGEAXwBGAGUAZQBkAGwAbwB0AF8AVgBTAEwAXwBWAGEAcgBpAGEAdABpAG8AbgAiACwAIgBTAG8AdQByAGMAZQBEAGEAdABhAF8ARgBlAGUAZABsAG8AdAAuAFMAbwB1AHIAYwBlAEQAYQB0AGEAXwBGAGUAZQBkAGwAbwB0AF8AVgBTAEwAXwBEAGEAdABhACIALAAiAFMAbwB1AHIAYwBlAEQAYQB0AGEAXwBGAGUAZQBkAGwAbwB0AC4AUwBvAHUAcgBjAGUARABhAHQAYQBfAEYAZQBlAGQAbABvAHQAXwBNAE0AUwBtADEAVAAzAF8AVABpAHQAbABlACIALAAiAFMAbwB1AHIAYwBlAEQAYQB0AGEAXwBGAGUAZQBkAGwAbwB0AC4AUwBvAHUAcgBjAGUARABhAHQAYQBfAEYAZQBlAGQAbABvAHQAXwBNAE0AUwBtADEAVAAzAF8AVgBhAHIAaQBhAGIAbABlACIALAAiAFMAbwB1AHIAYwBlAEQAYQB0AGEAXwBGAGUAZQBkAGwAbwB0AC4AUwBvAHUAcgBjAGUARABhAHQAYQBfAEYAZQBlAGQAbABvAHQAXwBNAE0AUwBtADEAVAAzAF8AVQBuAGkAdAAiACwAIgBTAG8AdQByAGMAZQBEAGEAdABhAF8ARgBlAGUAZABsAG8AdAAuAFMAbwB1AHIAYwBlAEQAYQB0AGEAXwBGAGUAZQBkAGwAbwB0AF8ATQBNAFMAbQAxAFQAMwBfAFMAbwB1AHIAYwBlACIALAAiAFMAbwB1AHIAYwBlAEQAYQB0AGEAXwBGAGUAZQBkAGwAbwB0AC4AUwBvAHUAcgBjAGUARABhAHQAYQBfAEYAZQBlAGQAbABvAHQAXwBNAE0AUwBtADEAVAAzAF8AVgBhAHIAaQBhAHQAaQBvAG4AIgAsACIAUwBvAHUAcgBjAGUARABhAHQAYQBfAEYAZQBlAGQAbABvAHQALgBTAG8AdQByAGMAZQBEAGEAdABhAF8ARgBlAGUAZABsAG8AdABfAE0ATQBTAG0AMQBUADMAXwBEAGEAdABhACIALAAiAFMAbwB1AHIAYwBlAEQAYQB0AGEAXwBGAGUAZQBkAGwAbwB0AC4AUwBvAHUAcgBjAGUARABhAHQAYQBfAEYAZQBlAGQAbABvAHQAXwBBAHMAaABDAG8AbgB0AGUAbgB0AF8AVABpAHQAbABlACIALAAiAFMAbwB1AHIAYwBlAEQAYQB0AGEAXwBGAGUAZQBkAGwAbwB0AC4AUwBvAHUAcgBjAGUARABhAHQAYQBfAEYAZQBlAGQAbABvAHQAXwBBAHMAaABDAG8AbgB0AGUAbgB0AF8AVgBhAHIAaQBhAGIAbABlACIALAAiAFMAbwB1AHIAYwBlAEQAYQB0AGEAXwBGAGUAZQBkAGwAbwB0AC4AUwBvAHUAcgBjAGUARABhAHQAYQBfAEYAZQBlAGQAbABvAHQAXwBBAHMAaABDAG8AbgB0AGUAbgB0AF8AVQBuAGkAdAAiACwAIgBTAG8AdQByAGMAZQBEAGEAdABhAF8ARgBlAGUAZABsAG8AdAAuAFMAbwB1AHIAYwBlAEQAYQB0AGEAXwBGAGUAZQBkAGwAbwB0AF8AQQBzAGgAQwBvAG4AdABlAG4AdABfAFMAbwB1AHIAYwBlACIALAAiAFMAbwB1AHIAYwBlAEQAYQB0AGEAXwBGAGUAZQBkAGwAbwB0AC4AUwBvAHUAcgBjAGUARABhAHQAYQBfAEYAZQBlAGQAbABvAHQAXwBBAHMAaABDAG8AbgB0AGUAbgB0AF8AVgBhAHIAaQBhAHQAaQBvAG4AIgAsACIAUwBvAHUAcgBjAGUARABhAHQAYQBfAEYAZQBlAGQAbABvAHQALgBTAG8AdQByAGMAZQBEAGEAdABhAF8ARgBlAGUAZABsAG8AdABfAEEAcwBoAEMAbwBuAHQAZQBuAHQAXwBEAGEAdABhACIALAAiAFMAbwB1AHIAYwBlAEQAYQB0AGEAXwBGAGUAZQBkAGwAbwB0AC4AUwBvAHUAcgBjAGUARABhAHQAYQBfAEYAZQBlAGQAbABvAHQAXwBNAGUAdABoAGEAbgBlAEUAbQBpAHMAcwBpAG8AbgBzAFAAbwB0AGUAbgB0AGkAYQBsAF8AVABpAHQAbABlACIALAAiAFMAbwB1AHIAYwBlAEQAYQB0AGEAXwBGAGUAZQBkAGwAbwB0AC4AUwBvAHUAcgBjAGUARABhAHQAYQBfAEYAZQBlAGQAbABvAHQAXwBNAGUAdABoAGEAbgBlAEUAbQBpAHMAcwBpAG8AbgBzAFAAbwB0AGUAbgB0AGkAYQBsAF8AVgBhAHIAaQBhAGIAbABlACIALAAiAFMAbwB1AHIAYwBlAEQAYQB0AGEAXwBGAGUAZQBkAGwAbwB0AC4AUwBvAHUAcgBjAGUARABhAHQAYQBfAEYAZQBlAGQAbABvAHQAXwBNAGUAdABoAGEAbgBlAEUAbQBpAHMAcwBpAG8AbgBzAFAAbwB0AGUAbgB0AGkAYQBsAF8AVQBuAGkAdAAiACwAIgBTAG8AdQByAGMAZQBEAGEAdABhAF8ARgBlAGUAZABsAG8AdAAuAFMAbwB1AHIAYwBlAEQAYQB0AGEAXwBGAGUAZQBkAGwAbwB0AF8ATQBlAHQAaABhAG4AZQBFAG0AaQBzAHMAaQBvAG4AcwBQAG8AdABlAG4AdABpAGEAbABfAFMAbwB1AHIAYwBlACIALAAiAFMAbwB1AHIAYwBlAEQAYQB0AGEAXwBGAGUAZQBkAGwAbwB0AC4AUwBvAHUAcgBjAGUARABhAHQAYQBfAEYAZQBlAGQAbABvAHQAXwBNAGUAdABoAGEAbgBlAEUAbQBpAHMAcwBpAG8AbgBzAFAAbwB0AGUAbgB0AGkAYQBsAF8AVgBhAHIAaQBhAHQAaQBvAG4AIgAsACIAUwBvAHUAcgBjAGUARABhAHQAYQBfAEYAZQBlAGQAbABvAHQALgBTAG8AdQByAGMAZQBEAGEAdABhAF8ARgBlAGUAZABsAG8AdABfAE0AZQB0AGgAYQBuAGUARQBtAGkAcwBzAGkAbwBuAHMAUABvAHQAZQBuAHQAaQBhAGwAXwBEAGEAdABhACIALAAiAFMAbwB1AHIAYwBlAEQAYQB0AGEAXwBGAGUAZQBkAGwAbwB0AC4AUwBvAHUAcgBjAGUARABhAHQAYQBfAEYAZQBlAGQAbABvAHQAXwBTAHQAYQBnAGUAMQBNAE0AUwBPAHAAdABpAG8AbgBzACIALAAiAFMAbwB1AHIAYwBlAEQAYQB0AGEAXwBGAGUAZQBkAGwAbwB0AC4AUwBvAHUAcgBjAGUARABhAHQAYQBfAEYAZQBlAGQAbABvAHQAXwBTAHQAYQBnAGUAMgBNAE0AUwBPAHAAdABpAG8AbgBzACIALAAiAFMAbwB1AHIAYwBlAEQAYQB0AGEAXwBGAGUAZQBkAGwAbwB0AC4AUwBvAHUAcgBjAGUARABhAHQAYQBfAEYAZQBlAGQAbABvAHQAXwBTAHQAYQBnAGUAMwBNAE0AUwBPAHAAdABpAG8AbgBzACIALAAiAFMAbwB1AHIAYwBlAEQAYQB0AGEAXwBGAGUAZQBkAGwAbwB0AC4AUwBvAHUAcgBjAGUARABhAHQAYQBfAEYAZQBlAGQAbABvAHQAXwBMAGkAdgBlAHMAdABvAGMAawBDAGwAYQBzAHMAZQBzACIALAAiAFMAbwB1AHIAYwBlAEQAYQB0AGEAXwBGAGUAZQBkAGwAbwB0AC4AUwBvAHUAcgBjAGUARABhAHQAYQBfAEYAZQBlAGQAbABvAHQAXwBEAHUAcgBhAHQAaQBvAG4ATwBmAFMAdABhAHkAXwBUAGkAdABsAGUAIgAsACIAUwBvAHUAcgBjAGUARABhAHQAYQBfAEYAZQBlAGQAbABvAHQALgBTAG8AdQByAGMAZQBEAGEAdABhAF8ARgBlAGUAZABsAG8AdABfAEQAdQByAGEAdABpAG8AbgBPAGYAUwB0AGEAeQBfAFUAbgBpAHQAIgAsACIAUwBvAHUAcgBjAGUARABhAHQAYQBfAEYAZQBlAGQAbABvAHQALgBTAG8AdQByAGMAZQBEAGEAdABhAF8ARgBlAGUAZABsAG8AdABfAEQAdQByAGEAdABpAG8AbgBPAGYAUwB0AGEAeQBfAFMAbwB1AHIAYwBlACIALAAiAFMAbwB1AHIAYwBlAEQAYQB0AGEAXwBGAGUAZQBkAGwAbwB0AC4AUwBvAHUAcgBjAGUARABhAHQAYQBfAEYAZQBlAGQAbABvAHQAXwBEAHUAcgBhAHQAaQBvAG4ATwBmAFMAdABhAHkAXwBWAGEAcgBpAGEAdABpAG8AbgAiACwAIgBTAG8AdQByAGMAZQBEAGEAdABhAF8ARgBlAGUAZABsAG8AdAAuAFMAbwB1AHIAYwBlAEQAYQB0AGEAXwBGAGUAZQBkAGwAbwB0AF8ARAB1AHIAYQB0AGkAbwBuAE8AZgBTAHQAYQB5AF8ARABhAHQAYQAiACwAIgBTAG8AdQByAGMAZQBEAGEAdABhAF8ARgBlAGUAZABsAG8AdAAuAFMAbwB1AHIAYwBlAEQAYQB0AGEAXwBGAGUAZQBkAGwAbwB0AF8AQQBuAGkAbQBhAGwAQwBoAGEAcgBhAGMAdABlAHIAaQBzAHQAaQBjAHMAXwBUAGkAdABsAGUAIgAsACIAUwBvAHUAcgBjAGUARABhAHQAYQBfAEYAZQBlAGQAbABvAHQALgBTAG8AdQByAGMAZQBEAGEAdABhAF8ARgBlAGUAZABsAG8AdABfAEEAbgBpAG0AYQBsAEMAaABhAHIAYQBjAHQAZQByAGkAcwB0AGkAYwBzAF8AVQBuAGkAdAAiACwAIgBTAG8AdQByAGMAZQBEAGEAdABhAF8ARgBlAGUAZABsAG8AdAAuAFMAbwB1AHIAYwBlAEQAYQB0AGEAXwBGAGUAZQBkAGwAbwB0AF8AQQBuAGkAbQBhAGwAQwBoAGEAcgBhAGMAdABlAHIAaQBzAHQAaQBjAHMAXwBTAG8AdQByAGMAZQAiACwAIgBTAG8AdQByAGMAZQBEAGEAdABhAF8ARgBlAGUAZABsAG8AdAAuAFMAbwB1AHIAYwBlAEQAYQB0AGEAXwBGAGUAZQBkAGwAbwB0AF8AQQBuAGkAbQBhAGwAQwBoAGEAcgBhAGMAdABlAHIAaQBzAHQAaQBjAHMAXwBWAGEAcgBpAGEAdABpAG8AbgAiACwAIgBTAG8AdQByAGMAZQBEAGEAdABhAF8ARgBlAGUAZABsAG8AdAAuAFMAbwB1AHIAYwBlAEQAYQB0AGEAXwBGAGUAZQBkAGwAbwB0AF8AQQBuAGkAbQBhAGwAQwBoAGEAcgBhAGMAdABlAHIAaQBzAHQAaQBjAHMAXwBEAGEAdABhACIALAAiAFMAbwB1AHIAYwBlAEQAYQB0AGEAXwBGAGUAZQBkAGwAbwB0AC4AUwBvAHUAcgBjAGUARABhAHQAYQBfAEYAZQBlAGQAbABvAHQAXwBEAGkAZQB0AFAAcgBvAHAAZQByAHQAaQBlAHMAXwBUAGkAdABsAGUAIgAsACIAUwBvAHUAcgBjAGUARABhAHQAYQBfAEYAZQBlAGQAbABvAHQALgBTAG8AdQByAGMAZQBEAGEAdABhAF8ARgBlAGUAZABsAG8AdABfAEQAaQBlAHQAUAByAG8AcABlAHIAdABpAGUAcwBfAFUAbgBpAHQAIgAsACIAUwBvAHUAcgBjAGUARABhAHQAYQBfAEYAZQBlAGQAbABvAHQALgBTAG8AdQByAGMAZQBEAGEAdABhAF8ARgBlAGUAZABsAG8AdABfAEQAaQBlAHQAUAByAG8AcABlAHIAdABpAGUAcwBfAFMAbwB1AHIAYwBlACIALAAiAFMAbwB1AHIAYwBlAEQAYQB0AGEAXwBGAGUAZQBkAGwAbwB0AC4AUwBvAHUAcgBjAGUARABhAHQAYQBfAEYAZQBlAGQAbABvAHQAXwBEAGkAZQB0AFAAcgBvAHAAZQByAHQAaQBlAHMAXwBWAGEAcgBpAGEAdABpAG8AbgAiACwAIgBTAG8AdQByAGMAZQBEAGEAdABhAF8ARgBlAGUAZABsAG8AdAAuAFMAbwB1AHIAYwBlAEQAYQB0AGEAXwBGAGUAZQBkAGwAbwB0AF8ARABpAGUAdABQAHIAbwBwAGUAcgB0AGkAZQBzAF8ARABhAHQAYQAiACwAIgBTAG8AdQByAGMAZQBEAGEAdABhAF8ARgBlAGUAZABsAG8AdAAuAFMAbwB1AHIAYwBlAEQAYQB0AGEAXwBGAGUAZQBkAGwAbwB0AF8ATQBDAEYAXwBUAGkAdABsAGUAIgAsACIAUwBvAHUAcgBjAGUARABhAHQAYQBfAEYAZQBlAGQAbABvAHQALgBTAG8AdQByAGMAZQBEAGEAdABhAF8ARgBlAGUAZABsAG8AdABfAE0AQwBGAF8AVQBuAGkAdAAiACwAIgBTAG8AdQByAGMAZQBEAGEAdABhAF8ARgBlAGUAZABsAG8AdAAuAFMAbwB1AHIAYwBlAEQAYQB0AGEAXwBGAGUAZQBkAGwAbwB0AF8ATQBDAEYAXwBTAG8AdQByAGMAZQAiACwAIgBTAG8AdQByAGMAZQBEAGEAdABhAF8ARgBlAGUAZABsAG8AdAAuAFMAbwB1AHIAYwBlAEQAYQB0AGEAXwBGAGUAZQBkAGwAbwB0AF8ATQBDAEYAXwBWAGEAcgBpAGEAdABpAG8AbgAiACwAIgBTAG8AdQByAGMAZQBEAGEAdABhAF8ARgBlAGUAZABsAG8AdAAuAFMAbwB1AHIAYwBlAEQAYQB0AGEAXwBGAGUAZQBkAGwAbwB0AF8ATQBDAEYAXwBEAGEAdABhACIALAAiAFMAbwB1AHIAYwBlAEQAYQB0AGEAXwBGAGUAZQBkAGwAbwB0AC4AUwBvAHUAcgBjAGUARABhAHQAYQBfAEYAZQBlAGQAbABvAHQAXwBOAGkAdAByAG8AdQBzAE8AeABpAGQAZQBFAEYAcwBfAFQAaQB0AGwAZQAiACwAIgBTAG8AdQByAGMAZQBEAGEAdABhAF8ARgBlAGUAZABsAG8AdAAuAFMAbwB1AHIAYwBlAEQAYQB0AGEAXwBGAGUAZQBkAGwAbwB0AF8ATgBpAHQAcgBvAHUAcwBPAHgAaQBkAGUARQBGAHMAXwBVAG4AaQB0ACIALAAiAFMAbwB1AHIAYwBlAEQAYQB0AGEAXwBGAGUAZQBkAGwAbwB0AC4AUwBvAHUAcgBjAGUARABhAHQAYQBfAEYAZQBlAGQAbABvAHQAXwBOAGkAdAByAG8AdQBzAE8AeABpAGQAZQBFAEYAcwBfAFMAbwB1AHIAYwBlACIALAAiAFMAbwB1AHIAYwBlAEQAYQB0AGEAXwBGAGUAZQBkAGwAbwB0AC4AUwBvAHUAcgBjAGUARABhAHQAYQBfAEYAZQBlAGQAbABvAHQAXwBOAGkAdAByAG8AdQBzAE8AeABpAGQAZQBFAEYAcwBfAFYAYQByAGkAYQB0AGkAbwBuACIALAAiAFMAbwB1AHIAYwBlAEQAYQB0AGEAXwBGAGUAZQBkAGwAbwB0AC4AUwBvAHUAcgBjAGUARABhAHQAYQBfAEYAZQBlAGQAbABvAHQAXwBOAGkAdAByAG8AdQBzAE8AeABpAGQAZQBFAEYAcwBfAEQAYQB0AGEAIgAsACIAUwBvAHUAcgBjAGUARABhAHQAYQBfAEYAZQBlAGQAbABvAHQALgBTAG8AdQByAGMAZQBEAGEAdABhAF8ARgBlAGUAZABsAG8AdABfAEYAcgBhAGMATgBWAG8AbABhAHQAaQBsAGkAcwBlAGQAXwBUAGkAdABsAGUAIgAsACIAUwBvAHUAcgBjAGUARABhAHQAYQBfAEYAZQBlAGQAbABvAHQALgBTAG8AdQByAGMAZQBEAGEAdABhAF8ARgBlAGUAZABsAG8AdABfAEYAcgBhAGMATgBWAG8AbABhAHQAaQBsAGkAcwBlAGQAXwBVAG4AaQB0ACIALAAiAFMAbwB1AHIAYwBlAEQAYQB0AGEAXwBGAGUAZQBkAGwAbwB0AC4AUwBvAHUAcgBjAGUARABhAHQAYQBfAEYAZQBlAGQAbABvAHQAXwBGAHIAYQBjAE4AVgBvAGwAYQB0AGkAbABpAHMAZQBkAF8AUwBvAHUAcgBjAGUAIgAsACIAUwBvAHUAcgBjAGUARABhAHQAYQBfAEYAZQBlAGQAbABvAHQALgBTAG8AdQByAGMAZQBEAGEAdABhAF8ARgBlAGUAZABsAG8AdABfAEYAcgBhAGMATgBWAG8AbABhAHQAaQBsAGkAcwBlAGQAXwBWAGEAcgBpAGEAdABpAG8AbgAiACwAIgBTAG8AdQByAGMAZQBEAGEAdABhAF8ARgBlAGUAZABsAG8AdAAuAFMAbwB1AHIAYwBlAEQAYQB0AGEAXwBGAGUAZQBkAGwAbwB0AF8ARgByAGEAYwBOAFYAbwBsAGEAdABpAGwAaQBzAGUAZABfAEQAYQB0AGEAIgAsACIARQBuAHQAZQByAGkAYwBNAGUAdABoAGEAbgBlAF8ARgBlAGUAZABsAG8AdABfAEUAcQB1AGEAdABpAG8AbgBzAC4AVgBFAEUAUgBHAF8AMwBfADEAXwAxAF8AMQBfAF8AMQBfAFQAbwB0AGEAbABBAG4AbgB1AGEAbABNAGUAdABoAGEAbgBlAEYAcgBvAG0ARQBuAHQAZQByAGkAYwBGAGUAcgBtAGUAbgB0AGEAdABpAG8AbgAiACwAIgBFAG4AdABlAHIAaQBjAE0AZQB0AGgAYQBuAGUAXwBGAGUAZQBkAGwAbwB0AF8ARQBxAHUAYQB0AGkAbwBuAHMALgBWAEUARQBSAEcAXwAzAF8AMQBfADEAXwAxAF8AXwAxAF8AVABvAHQAYQBsAEEAbgBuAHUAYQBsAE0AZQB0AGgAYQBuAGUARgByAG8AbQBFAG4AdABlAHIAaQBjAEYAZQByAG0AZQBuAHQAYQB0AGkAbwBuAF8AVABpAHQAbABlACIALAAiAEUAbgB0AGUAcgBpAGMATQBlAHQAaABhAG4AZQBfAEYAZQBlAGQAbABvAHQAXwBFAHEAdQBhAHQAaQBvAG4AcwAuAFYARQBFAFIARwBfADMAXwAxAF8AMQBfADEAXwBfADEAXwBUAG8AdABhAGwAQQBuAG4AdQBhAGwATQBlAHQAaABhAG4AZQBGAHIAbwBtAEUAbgB0AGUAcgBpAGMARgBlAHIAbQBlAG4AdABhAHQAaQBvAG4AXwBWAGEAcgBpAGEAYgBsAGUAIgAsACIARQBuAHQAZQByAGkAYwBNAGUAdABoAGEAbgBlAF8ARgBlAGUAZABsAG8AdABfAEUAcQB1AGEAdABpAG8AbgBzAC4AVgBFAEUAUgBHAF8AMwBfADEAXwAxAF8AMQBfAF8AMQBfAFQAbwB0AGEAbABBAG4AbgB1AGEAbABNAGUAdABoAGEAbgBlAEYAcgBvAG0ARQBuAHQAZQByAGkAYwBGAGUAcgBtAGUAbgB0AGEAdABpAG8AbgBfAFUAbgBpAHQAIgAsACIARQBuAHQAZQByAGkAYwBNAGUAdABoAGEAbgBlAF8ARgBlAGUAZABsAG8AdABfAEUAcQB1AGEAdABpAG8AbgBzAC4AVgBFAEUAUgBHAF8AMwBfADEAXwAxAF8AMQBfAF8AMQBfAFQAbwB0AGEAbABBAG4AbgB1AGEAbABNAGUAdABoAGEAbgBlAEYAcgBvAG0ARQBuAHQAZQByAGkAYwBGAGUAcgBtAGUAbgB0AGEAdABpAG8AbgBfAFMAbwB1AHIAYwBlACIALAAiAEUAbgB0AGUAcgBpAGMATQBlAHQAaABhAG4AZQBfAEYAZQBlAGQAbABvAHQAXwBFAHEAdQBhAHQAaQBvAG4AcwAuAFYARQBFAFIARwBfADMAXwAxAF8AMQBfADEAXwBfADEAXwBUAG8AdABhAGwAQQBuAG4AdQBhAGwATQBlAHQAaABhAG4AZQBGAHIAbwBtAEUAbgB0AGUAcgBpAGMARgBlAHIAbQBlAG4AdABhAHQAaQBvAG4AXwBOAEkAUgBSAGUAZgBlAHIAZQBuAGMAZQAiACwAIgBFAG4AdABlAHIAaQBjAE0AZQB0AGgAYQBuAGUAXwBGAGUAZQBkAGwAbwB0AF8ARQBxAHUAYQB0AGkAbwBuAHMALgBWAEUARQBSAEcAXwAzAF8AMQBfADEAXwAxAF8AXwAxAF8AVABvAHQAYQBsAEEAbgBuAHUAYQBsAE0AZQB0AGgAYQBuAGUARgByAG8AbQBFAG4AdABlAHIAaQBjAEYAZQByAG0AZQBuAHQAYQB0AGkAbwBuAF8ATABhAHQAZQB4AEUAcQB1AGEAdABpAG8AbgAiACwAIgBFAG4AdABlAHIAaQBjAE0AZQB0AGgAYQBuAGUAXwBGAGUAZQBkAGwAbwB0AF8ARQBxAHUAYQB0AGkAbwBuAHMALgBWAEUARQBSAEcAXwAzAF8AMQBfADEAXwAxAF8AXwAxAF8AVABvAHQAYQBsAEEAbgBuAHUAYQBsAE0AZQB0AGgAYQBuAGUARgByAG8AbQBFAG4AdABlAHIAaQBjAEYAZQByAG0AZQBuAHQAYQB0AGkAbwBuAF8AQQByAGcAdQBtAGUAbgB0AHMAIgAsACIARQBuAHQAZQByAGkAYwBNAGUAdABoAGEAbgBlAF8ARgBlAGUAZABsAG8AdABfAEUAcQB1AGEAdABpAG8AbgBzAC4AVgBFAEUAUgBHAF8AMwBfADEAXwAxAF8AMQBfAF8AMgBfAEQAYQBpAGwAeQBFAG4AdABlAHIAaQBjAE0AZQB0AGgAYQBuAGUAUAByAG8AZAB1AGMAdABpAG8AbgAiACwAIgBFAG4AdABlAHIAaQBjAE0AZQB0AGgAYQBuAGUAXwBGAGUAZQBkAGwAbwB0AF8ARQBxAHUAYQB0AGkAbwBuAHMALgBWAEUARQBSAEcAXwAzAF8AMQBfADEAXwAxAF8AXwAyAF8ARABhAGkAbAB5AEUAbgB0AGUAcgBpAGMATQBlAHQAaABhAG4AZQBQAHIAbwBkAHUAYwB0AGkAbwBuAF8AVABpAHQAbABlACIALAAiAEUAbgB0AGUAcgBpAGMATQBlAHQAaABhAG4AZQBfAEYAZQBlAGQAbABvAHQAXwBFAHEAdQBhAHQAaQBvAG4AcwAuAFYARQBFAFIARwBfADMAXwAxAF8AMQBfADEAXwBfADIAXwBEAGEAaQBsAHkARQBuAHQAZQByAGkAYwBNAGUAdABoAGEAbgBlAFAAcgBvAGQAdQBjAHQAaQBvAG4AXwBWAGEAcgBpAGEAYgBsAGUAIgAsACIARQBuAHQAZQByAGkAYwBNAGUAdABoAGEAbgBlAF8ARgBlAGUAZABsAG8AdABfAEUAcQB1AGEAdABpAG8AbgBzAC4AVgBFAEUAUgBHAF8AMwBfADEAXwAxAF8AMQBfAF8AMgBfAEQAYQBpAGwAeQBFAG4AdABlAHIAaQBjAE0AZQB0AGgAYQBuAGUAUAByAG8AZAB1AGMAdABpAG8AbgBfAFUAbgBpAHQAIgAsACIARQBuAHQAZQByAGkAYwBNAGUAdABoAGEAbgBlAF8ARgBlAGUAZABsAG8AdABfAEUAcQB1AGEAdABpAG8AbgBzAC4AVgBFAEUAUgBHAF8AMwBfADEAXwAxAF8AMQBfAF8AMgBfAEQAYQBpAGwAeQBFAG4AdABlAHIAaQBjAE0AZQB0AGgAYQBuAGUAUAByAG8AZAB1AGMAdABpAG8AbgBfAFMAbwB1AHIAYwBlACIALAAiAEUAbgB0AGUAcgBpAGMATQBlAHQAaABhAG4AZQBfAEYAZQBlAGQAbABvAHQAXwBFAHEAdQBhAHQAaQBvAG4AcwAuAFYARQBFAFIARwBfADMAXwAxAF8AMQBfADEAXwBfADIAXwBEAGEAaQBsAHkARQBuAHQAZQByAGkAYwBNAGUAdABoAGEAbgBlAFAAcgBvAGQAdQBjAHQAaQBvAG4AXwBOAEkAUgBSAGUAZgBlAHIAZQBuAGMAZQAiACwAIgBFAG4AdABlAHIAaQBjAE0AZQB0AGgAYQBuAGUAXwBGAGUAZQBkAGwAbwB0AF8ARQBxAHUAYQB0AGkAbwBuAHMALgBWAEUARQBSAEcAXwAzAF8AMQBfADEAXwAxAF8AXwAyAF8ARABhAGkAbAB5AEUAbgB0AGUAcgBpAGMATQBlAHQAaABhAG4AZQBQAHIAbwBkAHUAYwB0AGkAbwBuAF8ATABhAHQAZQB4AEUAcQB1AGEAdABpAG8AbgAiACwAIgBFAG4AdABlAHIAaQBjAE0AZQB0AGgAYQBuAGUAXwBGAGUAZQBkAGwAbwB0AF8ARQBxAHUAYQB0AGkAbwBuAHMALgBWAEUARQBSAEcAXwAzAF8AMQBfADEAXwAxAF8AXwAyAF8ARABhAGkAbAB5AEUAbgB0AGUAcgBpAGMATQBlAHQAaABhAG4AZQBQAHIAbwBkAHUAYwB0AGkAbwBu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25</vt:i4>
      </vt:variant>
    </vt:vector>
  </HeadingPairs>
  <TitlesOfParts>
    <vt:vector size="36" baseType="lpstr">
      <vt:lpstr>Home</vt:lpstr>
      <vt:lpstr>Overview</vt:lpstr>
      <vt:lpstr>Results</vt:lpstr>
      <vt:lpstr>Input - Site</vt:lpstr>
      <vt:lpstr>Input - Feedlot</vt:lpstr>
      <vt:lpstr>3.1.1.1-2 Enteric Methane</vt:lpstr>
      <vt:lpstr>Constants - Feedlot</vt:lpstr>
      <vt:lpstr>Constants - Common</vt:lpstr>
      <vt:lpstr>Constants - Livestock</vt:lpstr>
      <vt:lpstr>Acknowledgements</vt:lpstr>
      <vt:lpstr>Tab template</vt:lpstr>
      <vt:lpstr>Common_SourceData_DensityOfMethane_Data</vt:lpstr>
      <vt:lpstr>Input_Site_EndDate</vt:lpstr>
      <vt:lpstr>Input_Site_FarmName</vt:lpstr>
      <vt:lpstr>Input_Site_ReportingEntityName</vt:lpstr>
      <vt:lpstr>Input_Site_StartDate</vt:lpstr>
      <vt:lpstr>M1_Table_E_CH4</vt:lpstr>
      <vt:lpstr>M1_Table_EE_j</vt:lpstr>
      <vt:lpstr>M1_Table_I_j</vt:lpstr>
      <vt:lpstr>M1_Table_M_j</vt:lpstr>
      <vt:lpstr>M1_Table_NDF_j</vt:lpstr>
      <vt:lpstr>M2_Table_E_CH4</vt:lpstr>
      <vt:lpstr>M2_Table_EE_j</vt:lpstr>
      <vt:lpstr>M2_Table_I_j</vt:lpstr>
      <vt:lpstr>M2_Table_M_j</vt:lpstr>
      <vt:lpstr>M2_Table_NDF_j</vt:lpstr>
      <vt:lpstr>SourceData_Feedlot_AshContent_Data</vt:lpstr>
      <vt:lpstr>SourceData_Feedlot_MethaneEmissionsPotential_Data</vt:lpstr>
      <vt:lpstr>SourceData_Feedlot_MMSm1T3_Data</vt:lpstr>
      <vt:lpstr>SourceData_Feedlot_VSL_Data</vt:lpstr>
      <vt:lpstr>Table_D_j</vt:lpstr>
      <vt:lpstr>Table_N_j</vt:lpstr>
      <vt:lpstr>VEERG_3_1_1_1__1_TotalAnnualMethaneFromEntericFermentation_Result</vt:lpstr>
      <vt:lpstr>X_Table_Feedlot_HerdMovement</vt:lpstr>
      <vt:lpstr>X_Table_Feedlot_Intake_Method1</vt:lpstr>
      <vt:lpstr>X_Table_Feedlot_Intake_Method2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2026-07-23T08:53:43Z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