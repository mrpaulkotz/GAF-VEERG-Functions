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2D605146-D02A-4D87-9072-BC536C62C466}" xr6:coauthVersionLast="47" xr6:coauthVersionMax="47" xr10:uidLastSave="{00000000-0000-0000-0000-000000000000}"/>
  <bookViews>
    <workbookView xWindow="1020" yWindow="0" windowWidth="34605" windowHeight="18645" activeTab="4" xr2:uid="{992023F3-CAB7-4E5B-A348-08D563A0EF40}"/>
  </bookViews>
  <sheets>
    <sheet name="Home" sheetId="71" r:id="rId1"/>
    <sheet name="Overview" sheetId="118" r:id="rId2"/>
    <sheet name="Results" sheetId="13" r:id="rId3"/>
    <sheet name="Input - CO2 Use" sheetId="70" r:id="rId4"/>
    <sheet name="12.1.1-2 Supplementary CO2" sheetId="69" r:id="rId5"/>
    <sheet name="Constants - Common" sheetId="122" r:id="rId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SupplementaryCO2_Equations.VEERG_12_1_1_1__1_EmissionsFromSupplementaryCO2">_xlfn.LAMBDA(_xlpm.Q, _xlpm.Q * 10 ^ -3)</definedName>
    <definedName name="SupplementaryCO2_Equations.VEERG_12_1_1_1__1_EmissionsFromSupplementaryCO2_Arguments">_xlfn.LAMBDA(_xlfn.MAKEARRAY(1, 4, _xlfn.LAMBDA(_xlpm.r,_xlpm.c, INDEX({"Q","quantity of supplementary CO2 used within the operations","kg CO2","Input"}, _xlpm.r, _xlpm.c))))</definedName>
    <definedName name="SupplementaryCO2_Equations.VEERG_12_1_1_1__1_EmissionsFromSupplementaryCO2_LatexEquation">_xlfn.LAMBDA("E=Q\times 10^{-3}")</definedName>
    <definedName name="SupplementaryCO2_Equations.VEERG_12_1_1_1__1_EmissionsFromSupplementaryCO2_NIRReference">_xlfn.LAMBDA("")</definedName>
    <definedName name="SupplementaryCO2_Equations.VEERG_12_1_1_1__1_EmissionsFromSupplementaryCO2_Source">_xlfn.LAMBDA("VEERG 2026: 12.1.1.1, Equation (1)")</definedName>
    <definedName name="SupplementaryCO2_Equations.VEERG_12_1_1_1__1_EmissionsFromSupplementaryCO2_Title">_xlfn.LAMBDA("Emissions from the use of supplementary CO2")</definedName>
    <definedName name="SupplementaryCO2_Equations.VEERG_12_1_1_1__1_EmissionsFromSupplementaryCO2_Unit">_xlfn.LAMBDA("t CO2e")</definedName>
    <definedName name="SupplementaryCO2_Equations.VEERG_12_1_1_1__1_EmissionsFromSupplementaryCO2_Variable">_xlfn.LAMBDA("E")</definedName>
    <definedName name="VEERG_12_1_1_1__1_EmissionsFromSupplementaryCO2_Result_Method1">'12.1.1-2 Supplementary CO2'!$E$15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3" l="1"/>
  <c r="E10" i="13"/>
  <c r="E259" i="122" a="1"/>
  <c r="E259" i="122" s="1"/>
  <c r="D259" i="122" a="1"/>
  <c r="D259" i="122" s="1"/>
  <c r="E258" i="122" a="1"/>
  <c r="E258" i="122" s="1"/>
  <c r="D258" i="122" a="1"/>
  <c r="D258" i="122" s="1"/>
  <c r="D256" i="122" a="1"/>
  <c r="D256" i="122" s="1"/>
  <c r="D255" i="122"/>
  <c r="D255" i="122" a="1"/>
  <c r="D254" i="122" a="1"/>
  <c r="D254" i="122" s="1"/>
  <c r="D253" i="122" a="1"/>
  <c r="D253" i="122" s="1"/>
  <c r="S250" i="122" a="1"/>
  <c r="S250" i="122" s="1"/>
  <c r="R250" i="122" a="1"/>
  <c r="R250" i="122" s="1"/>
  <c r="Q250" i="122" a="1"/>
  <c r="Q250" i="122" s="1"/>
  <c r="P250" i="122" a="1"/>
  <c r="P250" i="122" s="1"/>
  <c r="O250" i="122" a="1"/>
  <c r="O250" i="122" s="1"/>
  <c r="N250" i="122" a="1"/>
  <c r="N250" i="122" s="1"/>
  <c r="M250" i="122" a="1"/>
  <c r="M250" i="122" s="1"/>
  <c r="L250" i="122" a="1"/>
  <c r="L250" i="122" s="1"/>
  <c r="K250" i="122" a="1"/>
  <c r="K250" i="122" s="1"/>
  <c r="J250" i="122" a="1"/>
  <c r="J250" i="122" s="1"/>
  <c r="I250" i="122" a="1"/>
  <c r="I250" i="122" s="1"/>
  <c r="H250" i="122" a="1"/>
  <c r="H250" i="122" s="1"/>
  <c r="G250" i="122" a="1"/>
  <c r="G250" i="122" s="1"/>
  <c r="F250" i="122" a="1"/>
  <c r="F250" i="122" s="1"/>
  <c r="E250" i="122" a="1"/>
  <c r="E250" i="122" s="1"/>
  <c r="D250" i="122" a="1"/>
  <c r="D250" i="122" s="1"/>
  <c r="S249" i="122" a="1"/>
  <c r="S249" i="122" s="1"/>
  <c r="R249" i="122" a="1"/>
  <c r="R249" i="122" s="1"/>
  <c r="Q249" i="122" a="1"/>
  <c r="Q249" i="122" s="1"/>
  <c r="P249" i="122" a="1"/>
  <c r="P249" i="122" s="1"/>
  <c r="O249" i="122" a="1"/>
  <c r="O249" i="122" s="1"/>
  <c r="N249" i="122" a="1"/>
  <c r="N249" i="122" s="1"/>
  <c r="M249" i="122" a="1"/>
  <c r="M249" i="122" s="1"/>
  <c r="L249" i="122" a="1"/>
  <c r="L249" i="122" s="1"/>
  <c r="K249" i="122" a="1"/>
  <c r="K249" i="122" s="1"/>
  <c r="J249" i="122" a="1"/>
  <c r="J249" i="122" s="1"/>
  <c r="I249" i="122" a="1"/>
  <c r="I249" i="122" s="1"/>
  <c r="H249" i="122" a="1"/>
  <c r="H249" i="122" s="1"/>
  <c r="G249" i="122" a="1"/>
  <c r="G249" i="122" s="1"/>
  <c r="F249" i="122" a="1"/>
  <c r="F249" i="122" s="1"/>
  <c r="E249" i="122" a="1"/>
  <c r="E249" i="122" s="1"/>
  <c r="D249" i="122" a="1"/>
  <c r="D249" i="122" s="1"/>
  <c r="S248" i="122" a="1"/>
  <c r="S248" i="122" s="1"/>
  <c r="R248" i="122" a="1"/>
  <c r="R248" i="122" s="1"/>
  <c r="Q248" i="122" a="1"/>
  <c r="Q248" i="122" s="1"/>
  <c r="P248" i="122" a="1"/>
  <c r="P248" i="122" s="1"/>
  <c r="O248" i="122" a="1"/>
  <c r="O248" i="122" s="1"/>
  <c r="N248" i="122" a="1"/>
  <c r="N248" i="122" s="1"/>
  <c r="M248" i="122" a="1"/>
  <c r="M248" i="122" s="1"/>
  <c r="L248" i="122" a="1"/>
  <c r="L248" i="122" s="1"/>
  <c r="K248" i="122" a="1"/>
  <c r="K248" i="122" s="1"/>
  <c r="J248" i="122" a="1"/>
  <c r="J248" i="122" s="1"/>
  <c r="I248" i="122" a="1"/>
  <c r="I248" i="122" s="1"/>
  <c r="H248" i="122" a="1"/>
  <c r="H248" i="122" s="1"/>
  <c r="G248" i="122" a="1"/>
  <c r="G248" i="122" s="1"/>
  <c r="F248" i="122" a="1"/>
  <c r="F248" i="122" s="1"/>
  <c r="E248" i="122" a="1"/>
  <c r="E248" i="122" s="1"/>
  <c r="D248" i="122" a="1"/>
  <c r="D248" i="122" s="1"/>
  <c r="S247" i="122" a="1"/>
  <c r="S247" i="122" s="1"/>
  <c r="R247" i="122" a="1"/>
  <c r="R247" i="122" s="1"/>
  <c r="Q247" i="122" a="1"/>
  <c r="Q247" i="122" s="1"/>
  <c r="P247" i="122" a="1"/>
  <c r="P247" i="122" s="1"/>
  <c r="O247" i="122" a="1"/>
  <c r="O247" i="122" s="1"/>
  <c r="N247" i="122" a="1"/>
  <c r="N247" i="122" s="1"/>
  <c r="M247" i="122" a="1"/>
  <c r="M247" i="122" s="1"/>
  <c r="L247" i="122" a="1"/>
  <c r="L247" i="122" s="1"/>
  <c r="K247" i="122" a="1"/>
  <c r="K247" i="122" s="1"/>
  <c r="J247" i="122" a="1"/>
  <c r="J247" i="122" s="1"/>
  <c r="I247" i="122" a="1"/>
  <c r="I247" i="122" s="1"/>
  <c r="H247" i="122" a="1"/>
  <c r="H247" i="122" s="1"/>
  <c r="G247" i="122" a="1"/>
  <c r="G247" i="122" s="1"/>
  <c r="F247" i="122" a="1"/>
  <c r="F247" i="122" s="1"/>
  <c r="E247" i="122" a="1"/>
  <c r="E247" i="122" s="1"/>
  <c r="D247" i="122" a="1"/>
  <c r="D247" i="122" s="1"/>
  <c r="S246" i="122" a="1"/>
  <c r="S246" i="122" s="1"/>
  <c r="R246" i="122" a="1"/>
  <c r="R246" i="122" s="1"/>
  <c r="Q246" i="122" a="1"/>
  <c r="Q246" i="122" s="1"/>
  <c r="P246" i="122" a="1"/>
  <c r="P246" i="122" s="1"/>
  <c r="O246" i="122" a="1"/>
  <c r="O246" i="122" s="1"/>
  <c r="N246" i="122" a="1"/>
  <c r="N246" i="122" s="1"/>
  <c r="M246" i="122" a="1"/>
  <c r="M246" i="122" s="1"/>
  <c r="L246" i="122" a="1"/>
  <c r="L246" i="122" s="1"/>
  <c r="K246" i="122" a="1"/>
  <c r="K246" i="122" s="1"/>
  <c r="J246" i="122" a="1"/>
  <c r="J246" i="122" s="1"/>
  <c r="I246" i="122" a="1"/>
  <c r="I246" i="122" s="1"/>
  <c r="H246" i="122" a="1"/>
  <c r="H246" i="122" s="1"/>
  <c r="G246" i="122" a="1"/>
  <c r="G246" i="122" s="1"/>
  <c r="F246" i="122" a="1"/>
  <c r="F246" i="122" s="1"/>
  <c r="E246" i="122" a="1"/>
  <c r="E246" i="122" s="1"/>
  <c r="D246" i="122" a="1"/>
  <c r="D246" i="122" s="1"/>
  <c r="S245" i="122" a="1"/>
  <c r="S245" i="122" s="1"/>
  <c r="R245" i="122" a="1"/>
  <c r="R245" i="122" s="1"/>
  <c r="Q245" i="122" a="1"/>
  <c r="Q245" i="122" s="1"/>
  <c r="P245" i="122" a="1"/>
  <c r="P245" i="122" s="1"/>
  <c r="O245" i="122" a="1"/>
  <c r="O245" i="122" s="1"/>
  <c r="N245" i="122" a="1"/>
  <c r="N245" i="122" s="1"/>
  <c r="M245" i="122" a="1"/>
  <c r="M245" i="122" s="1"/>
  <c r="L245" i="122" a="1"/>
  <c r="L245" i="122" s="1"/>
  <c r="K245" i="122" a="1"/>
  <c r="K245" i="122" s="1"/>
  <c r="J245" i="122" a="1"/>
  <c r="J245" i="122" s="1"/>
  <c r="I245" i="122" a="1"/>
  <c r="I245" i="122" s="1"/>
  <c r="H245" i="122" a="1"/>
  <c r="H245" i="122" s="1"/>
  <c r="G245" i="122" a="1"/>
  <c r="G245" i="122" s="1"/>
  <c r="F245" i="122" a="1"/>
  <c r="F245" i="122" s="1"/>
  <c r="E245" i="122" a="1"/>
  <c r="E245" i="122" s="1"/>
  <c r="D245" i="122" a="1"/>
  <c r="D245" i="122" s="1"/>
  <c r="S244" i="122" a="1"/>
  <c r="S244" i="122" s="1"/>
  <c r="R244" i="122" a="1"/>
  <c r="R244" i="122" s="1"/>
  <c r="Q244" i="122" a="1"/>
  <c r="Q244" i="122" s="1"/>
  <c r="P244" i="122" a="1"/>
  <c r="P244" i="122" s="1"/>
  <c r="O244" i="122" a="1"/>
  <c r="O244" i="122" s="1"/>
  <c r="N244" i="122" a="1"/>
  <c r="N244" i="122" s="1"/>
  <c r="M244" i="122" a="1"/>
  <c r="M244" i="122" s="1"/>
  <c r="L244" i="122" a="1"/>
  <c r="L244" i="122" s="1"/>
  <c r="K244" i="122" a="1"/>
  <c r="K244" i="122" s="1"/>
  <c r="J244" i="122" a="1"/>
  <c r="J244" i="122" s="1"/>
  <c r="I244" i="122" a="1"/>
  <c r="I244" i="122" s="1"/>
  <c r="H244" i="122" a="1"/>
  <c r="H244" i="122" s="1"/>
  <c r="G244" i="122" a="1"/>
  <c r="G244" i="122" s="1"/>
  <c r="F244" i="122" a="1"/>
  <c r="F244" i="122" s="1"/>
  <c r="E244" i="122" a="1"/>
  <c r="E244" i="122" s="1"/>
  <c r="D244" i="122" a="1"/>
  <c r="D244" i="122" s="1"/>
  <c r="S243" i="122" a="1"/>
  <c r="S243" i="122" s="1"/>
  <c r="R243" i="122" a="1"/>
  <c r="R243" i="122" s="1"/>
  <c r="Q243" i="122" a="1"/>
  <c r="Q243" i="122" s="1"/>
  <c r="P243" i="122" a="1"/>
  <c r="P243" i="122" s="1"/>
  <c r="O243" i="122" a="1"/>
  <c r="O243" i="122" s="1"/>
  <c r="N243" i="122" a="1"/>
  <c r="N243" i="122" s="1"/>
  <c r="M243" i="122" a="1"/>
  <c r="M243" i="122" s="1"/>
  <c r="L243" i="122" a="1"/>
  <c r="L243" i="122" s="1"/>
  <c r="K243" i="122" a="1"/>
  <c r="K243" i="122" s="1"/>
  <c r="J243" i="122" a="1"/>
  <c r="J243" i="122" s="1"/>
  <c r="I243" i="122" a="1"/>
  <c r="I243" i="122" s="1"/>
  <c r="H243" i="122" a="1"/>
  <c r="H243" i="122" s="1"/>
  <c r="G243" i="122" a="1"/>
  <c r="G243" i="122" s="1"/>
  <c r="F243" i="122" a="1"/>
  <c r="F243" i="122" s="1"/>
  <c r="E243" i="122" a="1"/>
  <c r="E243" i="122" s="1"/>
  <c r="D243" i="122" a="1"/>
  <c r="D243" i="122" s="1"/>
  <c r="S242" i="122" a="1"/>
  <c r="S242" i="122" s="1"/>
  <c r="R242" i="122" a="1"/>
  <c r="R242" i="122" s="1"/>
  <c r="Q242" i="122" a="1"/>
  <c r="Q242" i="122" s="1"/>
  <c r="P242" i="122" a="1"/>
  <c r="P242" i="122" s="1"/>
  <c r="O242" i="122" a="1"/>
  <c r="O242" i="122" s="1"/>
  <c r="N242" i="122" a="1"/>
  <c r="N242" i="122" s="1"/>
  <c r="M242" i="122" a="1"/>
  <c r="M242" i="122" s="1"/>
  <c r="L242" i="122" a="1"/>
  <c r="L242" i="122" s="1"/>
  <c r="K242" i="122" a="1"/>
  <c r="K242" i="122" s="1"/>
  <c r="J242" i="122" a="1"/>
  <c r="J242" i="122" s="1"/>
  <c r="I242" i="122" a="1"/>
  <c r="I242" i="122" s="1"/>
  <c r="H242" i="122" a="1"/>
  <c r="H242" i="122" s="1"/>
  <c r="G242" i="122" a="1"/>
  <c r="G242" i="122" s="1"/>
  <c r="F242" i="122" a="1"/>
  <c r="F242" i="122" s="1"/>
  <c r="E242" i="122" a="1"/>
  <c r="E242" i="122" s="1"/>
  <c r="D242" i="122" a="1"/>
  <c r="D242" i="122" s="1"/>
  <c r="S241" i="122" a="1"/>
  <c r="S241" i="122" s="1"/>
  <c r="R241" i="122" a="1"/>
  <c r="R241" i="122" s="1"/>
  <c r="Q241" i="122" a="1"/>
  <c r="Q241" i="122" s="1"/>
  <c r="P241" i="122" a="1"/>
  <c r="P241" i="122" s="1"/>
  <c r="O241" i="122" a="1"/>
  <c r="O241" i="122" s="1"/>
  <c r="N241" i="122" a="1"/>
  <c r="N241" i="122" s="1"/>
  <c r="M241" i="122" a="1"/>
  <c r="M241" i="122" s="1"/>
  <c r="L241" i="122" a="1"/>
  <c r="L241" i="122" s="1"/>
  <c r="K241" i="122" a="1"/>
  <c r="K241" i="122" s="1"/>
  <c r="J241" i="122" a="1"/>
  <c r="J241" i="122" s="1"/>
  <c r="I241" i="122" a="1"/>
  <c r="I241" i="122" s="1"/>
  <c r="H241" i="122" a="1"/>
  <c r="H241" i="122" s="1"/>
  <c r="G241" i="122" a="1"/>
  <c r="G241" i="122" s="1"/>
  <c r="F241" i="122" a="1"/>
  <c r="F241" i="122" s="1"/>
  <c r="E241" i="122" a="1"/>
  <c r="E241" i="122" s="1"/>
  <c r="D241" i="122" a="1"/>
  <c r="D241" i="122" s="1"/>
  <c r="S240" i="122" a="1"/>
  <c r="S240" i="122" s="1"/>
  <c r="R240" i="122" a="1"/>
  <c r="R240" i="122" s="1"/>
  <c r="Q240" i="122" a="1"/>
  <c r="Q240" i="122" s="1"/>
  <c r="P240" i="122" a="1"/>
  <c r="P240" i="122" s="1"/>
  <c r="O240" i="122" a="1"/>
  <c r="O240" i="122" s="1"/>
  <c r="N240" i="122" a="1"/>
  <c r="N240" i="122" s="1"/>
  <c r="M240" i="122" a="1"/>
  <c r="M240" i="122" s="1"/>
  <c r="L240" i="122" a="1"/>
  <c r="L240" i="122" s="1"/>
  <c r="K240" i="122" a="1"/>
  <c r="K240" i="122" s="1"/>
  <c r="J240" i="122" a="1"/>
  <c r="J240" i="122" s="1"/>
  <c r="I240" i="122" a="1"/>
  <c r="I240" i="122" s="1"/>
  <c r="H240" i="122" a="1"/>
  <c r="H240" i="122" s="1"/>
  <c r="G240" i="122" a="1"/>
  <c r="G240" i="122" s="1"/>
  <c r="F240" i="122" a="1"/>
  <c r="F240" i="122" s="1"/>
  <c r="E240" i="122" a="1"/>
  <c r="E240" i="122" s="1"/>
  <c r="D240" i="122" a="1"/>
  <c r="D240" i="122" s="1"/>
  <c r="S239" i="122" a="1"/>
  <c r="S239" i="122" s="1"/>
  <c r="R239" i="122" a="1"/>
  <c r="R239" i="122" s="1"/>
  <c r="Q239" i="122" a="1"/>
  <c r="Q239" i="122" s="1"/>
  <c r="P239" i="122" a="1"/>
  <c r="P239" i="122" s="1"/>
  <c r="O239" i="122" a="1"/>
  <c r="O239" i="122" s="1"/>
  <c r="N239" i="122" a="1"/>
  <c r="N239" i="122" s="1"/>
  <c r="M239" i="122" a="1"/>
  <c r="M239" i="122" s="1"/>
  <c r="L239" i="122" a="1"/>
  <c r="L239" i="122" s="1"/>
  <c r="K239" i="122" a="1"/>
  <c r="K239" i="122" s="1"/>
  <c r="J239" i="122" a="1"/>
  <c r="J239" i="122" s="1"/>
  <c r="I239" i="122" a="1"/>
  <c r="I239" i="122" s="1"/>
  <c r="H239" i="122" a="1"/>
  <c r="H239" i="122" s="1"/>
  <c r="G239" i="122" a="1"/>
  <c r="G239" i="122" s="1"/>
  <c r="F239" i="122" a="1"/>
  <c r="F239" i="122" s="1"/>
  <c r="E239" i="122" a="1"/>
  <c r="E239" i="122" s="1"/>
  <c r="D239" i="122" a="1"/>
  <c r="D239" i="122" s="1"/>
  <c r="S238" i="122" a="1"/>
  <c r="S238" i="122" s="1"/>
  <c r="R238" i="122" a="1"/>
  <c r="R238" i="122" s="1"/>
  <c r="Q238" i="122" a="1"/>
  <c r="Q238" i="122" s="1"/>
  <c r="P238" i="122" a="1"/>
  <c r="P238" i="122" s="1"/>
  <c r="O238" i="122" a="1"/>
  <c r="O238" i="122" s="1"/>
  <c r="N238" i="122" a="1"/>
  <c r="N238" i="122" s="1"/>
  <c r="M238" i="122" a="1"/>
  <c r="M238" i="122" s="1"/>
  <c r="L238" i="122" a="1"/>
  <c r="L238" i="122" s="1"/>
  <c r="K238" i="122" a="1"/>
  <c r="K238" i="122" s="1"/>
  <c r="J238" i="122" a="1"/>
  <c r="J238" i="122" s="1"/>
  <c r="I238" i="122" a="1"/>
  <c r="I238" i="122" s="1"/>
  <c r="H238" i="122" a="1"/>
  <c r="H238" i="122" s="1"/>
  <c r="G238" i="122" a="1"/>
  <c r="G238" i="122" s="1"/>
  <c r="F238" i="122" a="1"/>
  <c r="F238" i="122" s="1"/>
  <c r="E238" i="122" a="1"/>
  <c r="E238" i="122" s="1"/>
  <c r="D238" i="122" a="1"/>
  <c r="D238" i="122" s="1"/>
  <c r="S237" i="122" a="1"/>
  <c r="S237" i="122" s="1"/>
  <c r="R237" i="122" a="1"/>
  <c r="R237" i="122" s="1"/>
  <c r="Q237" i="122" a="1"/>
  <c r="Q237" i="122" s="1"/>
  <c r="P237" i="122" a="1"/>
  <c r="P237" i="122" s="1"/>
  <c r="O237" i="122" a="1"/>
  <c r="O237" i="122" s="1"/>
  <c r="N237" i="122" a="1"/>
  <c r="N237" i="122" s="1"/>
  <c r="M237" i="122" a="1"/>
  <c r="M237" i="122" s="1"/>
  <c r="L237" i="122" a="1"/>
  <c r="L237" i="122" s="1"/>
  <c r="K237" i="122" a="1"/>
  <c r="K237" i="122" s="1"/>
  <c r="J237" i="122" a="1"/>
  <c r="J237" i="122" s="1"/>
  <c r="I237" i="122" a="1"/>
  <c r="I237" i="122" s="1"/>
  <c r="H237" i="122" a="1"/>
  <c r="H237" i="122" s="1"/>
  <c r="G237" i="122" a="1"/>
  <c r="G237" i="122" s="1"/>
  <c r="F237" i="122" a="1"/>
  <c r="F237" i="122" s="1"/>
  <c r="E237" i="122" a="1"/>
  <c r="E237" i="122" s="1"/>
  <c r="D237" i="122" a="1"/>
  <c r="D237" i="122" s="1"/>
  <c r="S236" i="122" a="1"/>
  <c r="S236" i="122" s="1"/>
  <c r="R236" i="122" a="1"/>
  <c r="R236" i="122" s="1"/>
  <c r="Q236" i="122" a="1"/>
  <c r="Q236" i="122" s="1"/>
  <c r="P236" i="122" a="1"/>
  <c r="P236" i="122" s="1"/>
  <c r="O236" i="122" a="1"/>
  <c r="O236" i="122" s="1"/>
  <c r="N236" i="122" a="1"/>
  <c r="N236" i="122" s="1"/>
  <c r="M236" i="122" a="1"/>
  <c r="M236" i="122" s="1"/>
  <c r="L236" i="122" a="1"/>
  <c r="L236" i="122" s="1"/>
  <c r="K236" i="122" a="1"/>
  <c r="K236" i="122" s="1"/>
  <c r="J236" i="122" a="1"/>
  <c r="J236" i="122" s="1"/>
  <c r="I236" i="122" a="1"/>
  <c r="I236" i="122" s="1"/>
  <c r="H236" i="122" a="1"/>
  <c r="H236" i="122" s="1"/>
  <c r="G236" i="122" a="1"/>
  <c r="G236" i="122" s="1"/>
  <c r="F236" i="122" a="1"/>
  <c r="F236" i="122" s="1"/>
  <c r="E236" i="122" a="1"/>
  <c r="E236" i="122" s="1"/>
  <c r="D236" i="122" a="1"/>
  <c r="D236" i="122" s="1"/>
  <c r="S235" i="122" a="1"/>
  <c r="S235" i="122" s="1"/>
  <c r="R235" i="122" a="1"/>
  <c r="R235" i="122" s="1"/>
  <c r="Q235" i="122" a="1"/>
  <c r="Q235" i="122" s="1"/>
  <c r="P235" i="122" a="1"/>
  <c r="P235" i="122" s="1"/>
  <c r="O235" i="122" a="1"/>
  <c r="O235" i="122" s="1"/>
  <c r="N235" i="122" a="1"/>
  <c r="N235" i="122" s="1"/>
  <c r="M235" i="122" a="1"/>
  <c r="M235" i="122" s="1"/>
  <c r="L235" i="122" a="1"/>
  <c r="L235" i="122" s="1"/>
  <c r="K235" i="122" a="1"/>
  <c r="K235" i="122" s="1"/>
  <c r="J235" i="122" a="1"/>
  <c r="J235" i="122" s="1"/>
  <c r="I235" i="122" a="1"/>
  <c r="I235" i="122" s="1"/>
  <c r="H235" i="122" a="1"/>
  <c r="H235" i="122" s="1"/>
  <c r="G235" i="122" a="1"/>
  <c r="G235" i="122" s="1"/>
  <c r="F235" i="122" a="1"/>
  <c r="F235" i="122" s="1"/>
  <c r="E235" i="122" a="1"/>
  <c r="E235" i="122" s="1"/>
  <c r="D235" i="122" a="1"/>
  <c r="D235" i="122" s="1"/>
  <c r="S234" i="122" a="1"/>
  <c r="S234" i="122" s="1"/>
  <c r="R234" i="122" a="1"/>
  <c r="R234" i="122" s="1"/>
  <c r="Q234" i="122" a="1"/>
  <c r="Q234" i="122" s="1"/>
  <c r="P234" i="122" a="1"/>
  <c r="P234" i="122" s="1"/>
  <c r="O234" i="122" a="1"/>
  <c r="O234" i="122" s="1"/>
  <c r="N234" i="122" a="1"/>
  <c r="N234" i="122" s="1"/>
  <c r="M234" i="122" a="1"/>
  <c r="M234" i="122" s="1"/>
  <c r="L234" i="122" a="1"/>
  <c r="L234" i="122" s="1"/>
  <c r="K234" i="122" a="1"/>
  <c r="K234" i="122" s="1"/>
  <c r="J234" i="122" a="1"/>
  <c r="J234" i="122" s="1"/>
  <c r="I234" i="122" a="1"/>
  <c r="I234" i="122" s="1"/>
  <c r="H234" i="122" a="1"/>
  <c r="H234" i="122" s="1"/>
  <c r="G234" i="122" a="1"/>
  <c r="G234" i="122" s="1"/>
  <c r="F234" i="122" a="1"/>
  <c r="F234" i="122" s="1"/>
  <c r="E234" i="122" a="1"/>
  <c r="E234" i="122" s="1"/>
  <c r="D234" i="122" a="1"/>
  <c r="D234" i="122" s="1"/>
  <c r="S233" i="122" a="1"/>
  <c r="S233" i="122" s="1"/>
  <c r="R233" i="122" a="1"/>
  <c r="R233" i="122" s="1"/>
  <c r="Q233" i="122" a="1"/>
  <c r="Q233" i="122" s="1"/>
  <c r="P233" i="122" a="1"/>
  <c r="P233" i="122" s="1"/>
  <c r="O233" i="122" a="1"/>
  <c r="O233" i="122" s="1"/>
  <c r="N233" i="122" a="1"/>
  <c r="N233" i="122" s="1"/>
  <c r="M233" i="122" a="1"/>
  <c r="M233" i="122" s="1"/>
  <c r="L233" i="122" a="1"/>
  <c r="L233" i="122" s="1"/>
  <c r="K233" i="122" a="1"/>
  <c r="K233" i="122" s="1"/>
  <c r="J233" i="122" a="1"/>
  <c r="J233" i="122" s="1"/>
  <c r="I233" i="122" a="1"/>
  <c r="I233" i="122" s="1"/>
  <c r="H233" i="122" a="1"/>
  <c r="H233" i="122" s="1"/>
  <c r="G233" i="122" a="1"/>
  <c r="G233" i="122" s="1"/>
  <c r="F233" i="122" a="1"/>
  <c r="F233" i="122" s="1"/>
  <c r="E233" i="122" a="1"/>
  <c r="E233" i="122" s="1"/>
  <c r="D233" i="122" a="1"/>
  <c r="D233" i="122" s="1"/>
  <c r="S232" i="122" a="1"/>
  <c r="S232" i="122" s="1"/>
  <c r="R232" i="122" a="1"/>
  <c r="R232" i="122" s="1"/>
  <c r="Q232" i="122" a="1"/>
  <c r="Q232" i="122" s="1"/>
  <c r="P232" i="122" a="1"/>
  <c r="P232" i="122" s="1"/>
  <c r="O232" i="122" a="1"/>
  <c r="O232" i="122" s="1"/>
  <c r="N232" i="122" a="1"/>
  <c r="N232" i="122" s="1"/>
  <c r="M232" i="122" a="1"/>
  <c r="M232" i="122" s="1"/>
  <c r="L232" i="122" a="1"/>
  <c r="L232" i="122" s="1"/>
  <c r="K232" i="122" a="1"/>
  <c r="K232" i="122" s="1"/>
  <c r="J232" i="122" a="1"/>
  <c r="J232" i="122" s="1"/>
  <c r="I232" i="122" a="1"/>
  <c r="I232" i="122" s="1"/>
  <c r="H232" i="122" a="1"/>
  <c r="H232" i="122" s="1"/>
  <c r="G232" i="122" a="1"/>
  <c r="G232" i="122" s="1"/>
  <c r="F232" i="122" a="1"/>
  <c r="F232" i="122" s="1"/>
  <c r="E232" i="122" a="1"/>
  <c r="E232" i="122" s="1"/>
  <c r="D232" i="122" a="1"/>
  <c r="D232" i="122" s="1"/>
  <c r="D229" i="122" a="1"/>
  <c r="D229" i="122" s="1"/>
  <c r="D228" i="122" a="1"/>
  <c r="D228" i="122" s="1"/>
  <c r="D227" i="122" a="1"/>
  <c r="D227" i="122" s="1"/>
  <c r="E224" i="122" a="1"/>
  <c r="E224" i="122" s="1"/>
  <c r="D224" i="122" a="1"/>
  <c r="D224" i="122" s="1"/>
  <c r="E223" i="122" a="1"/>
  <c r="E223" i="122" s="1"/>
  <c r="D223" i="122" a="1"/>
  <c r="D223" i="122" s="1"/>
  <c r="E222" i="122" a="1"/>
  <c r="E222" i="122" s="1"/>
  <c r="D222" i="122" a="1"/>
  <c r="D222" i="122" s="1"/>
  <c r="E221" i="122" a="1"/>
  <c r="E221" i="122" s="1"/>
  <c r="D221" i="122" a="1"/>
  <c r="D221" i="122" s="1"/>
  <c r="E220" i="122" a="1"/>
  <c r="E220" i="122" s="1"/>
  <c r="D220" i="122" a="1"/>
  <c r="D220" i="122" s="1"/>
  <c r="E219" i="122" a="1"/>
  <c r="E219" i="122" s="1"/>
  <c r="D219" i="122" a="1"/>
  <c r="D219" i="122" s="1"/>
  <c r="E218" i="122" a="1"/>
  <c r="E218" i="122" s="1"/>
  <c r="D218" i="122" a="1"/>
  <c r="D218" i="122" s="1"/>
  <c r="E217" i="122" a="1"/>
  <c r="E217" i="122" s="1"/>
  <c r="D217" i="122" a="1"/>
  <c r="D217" i="122" s="1"/>
  <c r="E216" i="122" a="1"/>
  <c r="E216" i="122" s="1"/>
  <c r="D216" i="122" a="1"/>
  <c r="D216" i="122" s="1"/>
  <c r="E215" i="122" a="1"/>
  <c r="E215" i="122" s="1"/>
  <c r="D215" i="122" a="1"/>
  <c r="D215" i="122" s="1"/>
  <c r="E214" i="122" a="1"/>
  <c r="E214" i="122" s="1"/>
  <c r="D214" i="122" a="1"/>
  <c r="D214" i="122" s="1"/>
  <c r="E213" i="122" a="1"/>
  <c r="E213" i="122" s="1"/>
  <c r="D213" i="122" a="1"/>
  <c r="D213" i="122" s="1"/>
  <c r="D211" i="122"/>
  <c r="D211" i="122" a="1"/>
  <c r="E208" i="122" a="1"/>
  <c r="E208" i="122" s="1"/>
  <c r="D208" i="122" a="1"/>
  <c r="D208" i="122" s="1"/>
  <c r="E207" i="122" a="1"/>
  <c r="E207" i="122" s="1"/>
  <c r="D207" i="122" a="1"/>
  <c r="D207" i="122" s="1"/>
  <c r="D205" i="122" a="1"/>
  <c r="D205" i="122" s="1"/>
  <c r="D204" i="122" a="1"/>
  <c r="D204" i="122" s="1"/>
  <c r="D203" i="122" a="1"/>
  <c r="D203" i="122" s="1"/>
  <c r="D202" i="122" a="1"/>
  <c r="D202" i="122" s="1"/>
  <c r="H199" i="122" a="1"/>
  <c r="H199" i="122" s="1"/>
  <c r="G199" i="122" a="1"/>
  <c r="G199" i="122" s="1"/>
  <c r="F199" i="122" a="1"/>
  <c r="F199" i="122" s="1"/>
  <c r="E199" i="122" a="1"/>
  <c r="E199" i="122" s="1"/>
  <c r="D199" i="122" a="1"/>
  <c r="D199" i="122" s="1"/>
  <c r="H198" i="122" a="1"/>
  <c r="H198" i="122" s="1"/>
  <c r="G198" i="122" a="1"/>
  <c r="G198" i="122" s="1"/>
  <c r="F198" i="122" a="1"/>
  <c r="F198" i="122" s="1"/>
  <c r="E198" i="122" a="1"/>
  <c r="E198" i="122" s="1"/>
  <c r="D198" i="122" a="1"/>
  <c r="D198" i="122" s="1"/>
  <c r="H197" i="122" a="1"/>
  <c r="H197" i="122" s="1"/>
  <c r="G197" i="122" a="1"/>
  <c r="G197" i="122" s="1"/>
  <c r="F197" i="122" a="1"/>
  <c r="F197" i="122" s="1"/>
  <c r="E197" i="122" a="1"/>
  <c r="E197" i="122" s="1"/>
  <c r="D197" i="122" a="1"/>
  <c r="D197" i="122" s="1"/>
  <c r="H196" i="122" a="1"/>
  <c r="H196" i="122" s="1"/>
  <c r="G196" i="122" a="1"/>
  <c r="G196" i="122" s="1"/>
  <c r="F196" i="122" a="1"/>
  <c r="F196" i="122" s="1"/>
  <c r="E196" i="122" a="1"/>
  <c r="E196" i="122" s="1"/>
  <c r="D196" i="122" a="1"/>
  <c r="D196" i="122" s="1"/>
  <c r="H195" i="122" a="1"/>
  <c r="H195" i="122" s="1"/>
  <c r="G195" i="122" a="1"/>
  <c r="G195" i="122" s="1"/>
  <c r="F195" i="122" a="1"/>
  <c r="F195" i="122" s="1"/>
  <c r="E195" i="122" a="1"/>
  <c r="E195" i="122" s="1"/>
  <c r="D195" i="122" a="1"/>
  <c r="D195" i="122" s="1"/>
  <c r="H194" i="122" a="1"/>
  <c r="H194" i="122" s="1"/>
  <c r="G194" i="122" a="1"/>
  <c r="G194" i="122" s="1"/>
  <c r="F194" i="122" a="1"/>
  <c r="F194" i="122" s="1"/>
  <c r="E194" i="122" a="1"/>
  <c r="E194" i="122" s="1"/>
  <c r="D194" i="122" a="1"/>
  <c r="D194" i="122" s="1"/>
  <c r="H193" i="122" a="1"/>
  <c r="H193" i="122" s="1"/>
  <c r="G193" i="122" a="1"/>
  <c r="G193" i="122" s="1"/>
  <c r="F193" i="122" a="1"/>
  <c r="F193" i="122" s="1"/>
  <c r="E193" i="122" a="1"/>
  <c r="E193" i="122" s="1"/>
  <c r="D193" i="122" a="1"/>
  <c r="D193" i="122" s="1"/>
  <c r="H192" i="122" a="1"/>
  <c r="H192" i="122" s="1"/>
  <c r="G192" i="122" a="1"/>
  <c r="G192" i="122" s="1"/>
  <c r="F192" i="122" a="1"/>
  <c r="F192" i="122" s="1"/>
  <c r="E192" i="122" a="1"/>
  <c r="E192" i="122" s="1"/>
  <c r="D192" i="122" a="1"/>
  <c r="D192" i="122" s="1"/>
  <c r="H191" i="122" a="1"/>
  <c r="H191" i="122" s="1"/>
  <c r="G191" i="122" a="1"/>
  <c r="G191" i="122" s="1"/>
  <c r="F191" i="122" a="1"/>
  <c r="F191" i="122" s="1"/>
  <c r="E191" i="122" a="1"/>
  <c r="E191" i="122" s="1"/>
  <c r="D191" i="122" a="1"/>
  <c r="D191" i="122" s="1"/>
  <c r="H190" i="122" a="1"/>
  <c r="H190" i="122" s="1"/>
  <c r="G190" i="122" a="1"/>
  <c r="G190" i="122" s="1"/>
  <c r="F190" i="122" a="1"/>
  <c r="F190" i="122" s="1"/>
  <c r="E190" i="122" a="1"/>
  <c r="E190" i="122" s="1"/>
  <c r="D190" i="122" a="1"/>
  <c r="D190" i="122" s="1"/>
  <c r="H189" i="122" a="1"/>
  <c r="H189" i="122" s="1"/>
  <c r="G189" i="122" a="1"/>
  <c r="G189" i="122" s="1"/>
  <c r="F189" i="122" a="1"/>
  <c r="F189" i="122" s="1"/>
  <c r="E189" i="122" a="1"/>
  <c r="E189" i="122" s="1"/>
  <c r="D189" i="122" a="1"/>
  <c r="D189" i="122" s="1"/>
  <c r="H188" i="122" a="1"/>
  <c r="H188" i="122" s="1"/>
  <c r="G188" i="122" a="1"/>
  <c r="G188" i="122" s="1"/>
  <c r="F188" i="122" a="1"/>
  <c r="F188" i="122" s="1"/>
  <c r="E188" i="122" a="1"/>
  <c r="E188" i="122" s="1"/>
  <c r="D188" i="122" a="1"/>
  <c r="D188" i="122" s="1"/>
  <c r="H187" i="122" a="1"/>
  <c r="H187" i="122" s="1"/>
  <c r="G187" i="122" a="1"/>
  <c r="G187" i="122" s="1"/>
  <c r="F187" i="122" a="1"/>
  <c r="F187" i="122" s="1"/>
  <c r="E187" i="122" a="1"/>
  <c r="E187" i="122" s="1"/>
  <c r="D187" i="122" a="1"/>
  <c r="D187" i="122" s="1"/>
  <c r="D181" i="122" a="1"/>
  <c r="D181" i="122" s="1"/>
  <c r="D180" i="122" a="1"/>
  <c r="D180" i="122" s="1"/>
  <c r="D179" i="122" a="1"/>
  <c r="D179" i="122" s="1"/>
  <c r="D178" i="122" a="1"/>
  <c r="D178" i="122" s="1"/>
  <c r="E175" i="122" a="1"/>
  <c r="E175" i="122" s="1"/>
  <c r="D175" i="122" a="1"/>
  <c r="D175" i="122" s="1"/>
  <c r="D174" i="122" a="1"/>
  <c r="D174" i="122" s="1"/>
  <c r="D173" i="122" a="1"/>
  <c r="D173" i="122" s="1"/>
  <c r="D170" i="122" a="1"/>
  <c r="D170" i="122" s="1"/>
  <c r="D169" i="122" a="1"/>
  <c r="D169" i="122" s="1"/>
  <c r="D168" i="122" a="1"/>
  <c r="D168" i="122" s="1"/>
  <c r="D167" i="122"/>
  <c r="D167" i="122" a="1"/>
  <c r="D164" i="122" a="1"/>
  <c r="D164" i="122" s="1"/>
  <c r="D163" i="122" a="1"/>
  <c r="D163" i="122" s="1"/>
  <c r="D162" i="122" a="1"/>
  <c r="D162" i="122" s="1"/>
  <c r="D161" i="122" a="1"/>
  <c r="D161" i="122" s="1"/>
  <c r="E158" i="122" a="1"/>
  <c r="E158" i="122" s="1"/>
  <c r="D158" i="122" a="1"/>
  <c r="D158" i="122" s="1"/>
  <c r="E157" i="122" a="1"/>
  <c r="E157" i="122" s="1"/>
  <c r="D157" i="122" a="1"/>
  <c r="D157" i="122" s="1"/>
  <c r="E156" i="122" a="1"/>
  <c r="E156" i="122" s="1"/>
  <c r="D156" i="122" a="1"/>
  <c r="D156" i="122" s="1"/>
  <c r="E155" i="122" a="1"/>
  <c r="E155" i="122" s="1"/>
  <c r="D155" i="122" a="1"/>
  <c r="D155" i="122" s="1"/>
  <c r="E154" i="122" a="1"/>
  <c r="E154" i="122" s="1"/>
  <c r="D154" i="122" a="1"/>
  <c r="D154" i="122" s="1"/>
  <c r="D151" i="122" a="1"/>
  <c r="D151" i="122" s="1"/>
  <c r="D150" i="122" a="1"/>
  <c r="D150" i="122" s="1"/>
  <c r="E147" i="122" a="1"/>
  <c r="E147" i="122" s="1"/>
  <c r="D147" i="122" a="1"/>
  <c r="D147" i="122" s="1"/>
  <c r="E146" i="122" a="1"/>
  <c r="E146" i="122" s="1"/>
  <c r="D146" i="122" a="1"/>
  <c r="D146" i="122" s="1"/>
  <c r="E145" i="122" a="1"/>
  <c r="E145" i="122" s="1"/>
  <c r="D145" i="122" a="1"/>
  <c r="D145" i="122" s="1"/>
  <c r="E144" i="122" a="1"/>
  <c r="E144" i="122" s="1"/>
  <c r="D144" i="122" a="1"/>
  <c r="D144" i="122" s="1"/>
  <c r="E143" i="122" a="1"/>
  <c r="E143" i="122" s="1"/>
  <c r="D143" i="122" a="1"/>
  <c r="D143" i="122" s="1"/>
  <c r="D141" i="122" a="1"/>
  <c r="D141" i="122" s="1"/>
  <c r="D140" i="122"/>
  <c r="D140" i="122" a="1"/>
  <c r="D139" i="122" a="1"/>
  <c r="D139" i="122" s="1"/>
  <c r="E136" i="122" a="1"/>
  <c r="E136" i="122" s="1"/>
  <c r="D136" i="122" a="1"/>
  <c r="D136" i="122" s="1"/>
  <c r="E135" i="122" a="1"/>
  <c r="E135" i="122" s="1"/>
  <c r="D135" i="122" a="1"/>
  <c r="D135" i="122" s="1"/>
  <c r="D133" i="122" a="1"/>
  <c r="D133" i="122" s="1"/>
  <c r="D132" i="122" a="1"/>
  <c r="D132" i="122" s="1"/>
  <c r="E129" i="122" a="1"/>
  <c r="E129" i="122" s="1"/>
  <c r="D129" i="122" a="1"/>
  <c r="D129" i="122" s="1"/>
  <c r="E128" i="122" a="1"/>
  <c r="E128" i="122" s="1"/>
  <c r="D128" i="122" a="1"/>
  <c r="D128" i="122" s="1"/>
  <c r="D125" i="122" a="1"/>
  <c r="D125" i="122" s="1"/>
  <c r="D124" i="122" a="1"/>
  <c r="D124" i="122" s="1"/>
  <c r="G121" i="122" a="1"/>
  <c r="G121" i="122" s="1"/>
  <c r="F121" i="122" a="1"/>
  <c r="F121" i="122" s="1"/>
  <c r="E121" i="122" a="1"/>
  <c r="E121" i="122" s="1"/>
  <c r="D121" i="122" a="1"/>
  <c r="D121" i="122" s="1"/>
  <c r="G120" i="122" a="1"/>
  <c r="G120" i="122" s="1"/>
  <c r="F120" i="122" a="1"/>
  <c r="F120" i="122" s="1"/>
  <c r="E120" i="122" a="1"/>
  <c r="E120" i="122" s="1"/>
  <c r="D120" i="122" a="1"/>
  <c r="D120" i="122" s="1"/>
  <c r="D117" i="122" a="1"/>
  <c r="D117" i="122" s="1"/>
  <c r="D116" i="122" a="1"/>
  <c r="D116" i="122" s="1"/>
  <c r="D115" i="122" a="1"/>
  <c r="D115" i="122" s="1"/>
  <c r="G112" i="122" a="1"/>
  <c r="G112" i="122" s="1"/>
  <c r="F112" i="122" a="1"/>
  <c r="F112" i="122" s="1"/>
  <c r="E112" i="122" a="1"/>
  <c r="E112" i="122" s="1"/>
  <c r="D112" i="122" a="1"/>
  <c r="D112" i="122" s="1"/>
  <c r="G111" i="122" a="1"/>
  <c r="G111" i="122" s="1"/>
  <c r="F111" i="122" a="1"/>
  <c r="F111" i="122" s="1"/>
  <c r="E111" i="122" a="1"/>
  <c r="E111" i="122" s="1"/>
  <c r="D111" i="122" a="1"/>
  <c r="D111" i="122" s="1"/>
  <c r="G110" i="122" a="1"/>
  <c r="G110" i="122" s="1"/>
  <c r="F110" i="122" a="1"/>
  <c r="F110" i="122" s="1"/>
  <c r="E110" i="122" a="1"/>
  <c r="E110" i="122" s="1"/>
  <c r="D110" i="122" a="1"/>
  <c r="D110" i="122" s="1"/>
  <c r="D107" i="122" a="1"/>
  <c r="D107" i="122" s="1"/>
  <c r="D106" i="122" a="1"/>
  <c r="D106" i="122" s="1"/>
  <c r="D105" i="122" a="1"/>
  <c r="D105" i="122" s="1"/>
  <c r="D99" i="122" a="1"/>
  <c r="D99" i="122" s="1"/>
  <c r="S97" i="122" a="1"/>
  <c r="S97" i="122" s="1"/>
  <c r="R97" i="122" a="1"/>
  <c r="R97" i="122" s="1"/>
  <c r="Q97" i="122" a="1"/>
  <c r="Q97" i="122" s="1"/>
  <c r="P97" i="122" a="1"/>
  <c r="P97" i="122" s="1"/>
  <c r="O97" i="122" a="1"/>
  <c r="O97" i="122" s="1"/>
  <c r="N97" i="122" a="1"/>
  <c r="N97" i="122" s="1"/>
  <c r="M97" i="122" a="1"/>
  <c r="M97" i="122" s="1"/>
  <c r="L97" i="122" a="1"/>
  <c r="L97" i="122" s="1"/>
  <c r="K97" i="122" a="1"/>
  <c r="K97" i="122" s="1"/>
  <c r="J97" i="122" a="1"/>
  <c r="J97" i="122" s="1"/>
  <c r="I97" i="122" a="1"/>
  <c r="I97" i="122" s="1"/>
  <c r="H97" i="122" a="1"/>
  <c r="H97" i="122" s="1"/>
  <c r="G97" i="122" a="1"/>
  <c r="G97" i="122" s="1"/>
  <c r="F97" i="122" a="1"/>
  <c r="F97" i="122" s="1"/>
  <c r="E97" i="122" a="1"/>
  <c r="E97" i="122" s="1"/>
  <c r="D97" i="122" a="1"/>
  <c r="D97" i="122" s="1"/>
  <c r="S96" i="122" a="1"/>
  <c r="S96" i="122" s="1"/>
  <c r="R96" i="122" a="1"/>
  <c r="R96" i="122" s="1"/>
  <c r="Q96" i="122" a="1"/>
  <c r="Q96" i="122" s="1"/>
  <c r="P96" i="122" a="1"/>
  <c r="P96" i="122" s="1"/>
  <c r="O96" i="122" a="1"/>
  <c r="O96" i="122" s="1"/>
  <c r="N96" i="122" a="1"/>
  <c r="N96" i="122" s="1"/>
  <c r="M96" i="122" a="1"/>
  <c r="M96" i="122" s="1"/>
  <c r="L96" i="122" a="1"/>
  <c r="L96" i="122" s="1"/>
  <c r="K96" i="122" a="1"/>
  <c r="K96" i="122" s="1"/>
  <c r="J96" i="122" a="1"/>
  <c r="J96" i="122" s="1"/>
  <c r="I96" i="122" a="1"/>
  <c r="I96" i="122" s="1"/>
  <c r="H96" i="122" a="1"/>
  <c r="H96" i="122" s="1"/>
  <c r="G96" i="122" a="1"/>
  <c r="G96" i="122" s="1"/>
  <c r="F96" i="122" a="1"/>
  <c r="F96" i="122" s="1"/>
  <c r="E96" i="122" a="1"/>
  <c r="E96" i="122" s="1"/>
  <c r="D96" i="122" a="1"/>
  <c r="D96" i="122" s="1"/>
  <c r="S95" i="122" a="1"/>
  <c r="S95" i="122" s="1"/>
  <c r="R95" i="122" a="1"/>
  <c r="R95" i="122" s="1"/>
  <c r="Q95" i="122" a="1"/>
  <c r="Q95" i="122" s="1"/>
  <c r="P95" i="122" a="1"/>
  <c r="P95" i="122" s="1"/>
  <c r="O95" i="122" a="1"/>
  <c r="O95" i="122" s="1"/>
  <c r="N95" i="122" a="1"/>
  <c r="N95" i="122" s="1"/>
  <c r="M95" i="122" a="1"/>
  <c r="M95" i="122" s="1"/>
  <c r="L95" i="122" a="1"/>
  <c r="L95" i="122" s="1"/>
  <c r="K95" i="122" a="1"/>
  <c r="K95" i="122" s="1"/>
  <c r="J95" i="122" a="1"/>
  <c r="J95" i="122" s="1"/>
  <c r="I95" i="122" a="1"/>
  <c r="I95" i="122" s="1"/>
  <c r="H95" i="122" a="1"/>
  <c r="H95" i="122" s="1"/>
  <c r="G95" i="122" a="1"/>
  <c r="G95" i="122" s="1"/>
  <c r="F95" i="122" a="1"/>
  <c r="F95" i="122" s="1"/>
  <c r="E95" i="122" a="1"/>
  <c r="E95" i="122" s="1"/>
  <c r="D95" i="122" a="1"/>
  <c r="D95" i="122" s="1"/>
  <c r="S94" i="122" a="1"/>
  <c r="S94" i="122" s="1"/>
  <c r="R94" i="122" a="1"/>
  <c r="R94" i="122" s="1"/>
  <c r="Q94" i="122" a="1"/>
  <c r="Q94" i="122" s="1"/>
  <c r="P94" i="122" a="1"/>
  <c r="P94" i="122" s="1"/>
  <c r="O94" i="122" a="1"/>
  <c r="O94" i="122" s="1"/>
  <c r="N94" i="122" a="1"/>
  <c r="N94" i="122" s="1"/>
  <c r="M94" i="122" a="1"/>
  <c r="M94" i="122" s="1"/>
  <c r="L94" i="122" a="1"/>
  <c r="L94" i="122" s="1"/>
  <c r="K94" i="122" a="1"/>
  <c r="K94" i="122" s="1"/>
  <c r="J94" i="122" a="1"/>
  <c r="J94" i="122" s="1"/>
  <c r="I94" i="122" a="1"/>
  <c r="I94" i="122" s="1"/>
  <c r="H94" i="122" a="1"/>
  <c r="H94" i="122" s="1"/>
  <c r="G94" i="122" a="1"/>
  <c r="G94" i="122" s="1"/>
  <c r="F94" i="122" a="1"/>
  <c r="F94" i="122" s="1"/>
  <c r="E94" i="122" a="1"/>
  <c r="E94" i="122" s="1"/>
  <c r="D94" i="122" a="1"/>
  <c r="D94" i="122" s="1"/>
  <c r="S93" i="122" a="1"/>
  <c r="S93" i="122" s="1"/>
  <c r="R93" i="122" a="1"/>
  <c r="R93" i="122" s="1"/>
  <c r="Q93" i="122" a="1"/>
  <c r="Q93" i="122" s="1"/>
  <c r="P93" i="122" a="1"/>
  <c r="P93" i="122" s="1"/>
  <c r="O93" i="122" a="1"/>
  <c r="O93" i="122" s="1"/>
  <c r="N93" i="122" a="1"/>
  <c r="N93" i="122" s="1"/>
  <c r="M93" i="122" a="1"/>
  <c r="M93" i="122" s="1"/>
  <c r="L93" i="122" a="1"/>
  <c r="L93" i="122" s="1"/>
  <c r="K93" i="122" a="1"/>
  <c r="K93" i="122" s="1"/>
  <c r="J93" i="122" a="1"/>
  <c r="J93" i="122" s="1"/>
  <c r="I93" i="122" a="1"/>
  <c r="I93" i="122" s="1"/>
  <c r="H93" i="122" a="1"/>
  <c r="H93" i="122" s="1"/>
  <c r="G93" i="122" a="1"/>
  <c r="G93" i="122" s="1"/>
  <c r="F93" i="122" a="1"/>
  <c r="F93" i="122" s="1"/>
  <c r="E93" i="122" a="1"/>
  <c r="E93" i="122" s="1"/>
  <c r="D93" i="122" a="1"/>
  <c r="D93" i="122" s="1"/>
  <c r="S92" i="122" a="1"/>
  <c r="S92" i="122" s="1"/>
  <c r="R92" i="122" a="1"/>
  <c r="R92" i="122" s="1"/>
  <c r="Q92" i="122" a="1"/>
  <c r="Q92" i="122" s="1"/>
  <c r="P92" i="122" a="1"/>
  <c r="P92" i="122" s="1"/>
  <c r="O92" i="122" a="1"/>
  <c r="O92" i="122" s="1"/>
  <c r="N92" i="122" a="1"/>
  <c r="N92" i="122" s="1"/>
  <c r="M92" i="122" a="1"/>
  <c r="M92" i="122" s="1"/>
  <c r="L92" i="122" a="1"/>
  <c r="L92" i="122" s="1"/>
  <c r="K92" i="122" a="1"/>
  <c r="K92" i="122" s="1"/>
  <c r="J92" i="122" a="1"/>
  <c r="J92" i="122" s="1"/>
  <c r="I92" i="122" a="1"/>
  <c r="I92" i="122" s="1"/>
  <c r="H92" i="122" a="1"/>
  <c r="H92" i="122" s="1"/>
  <c r="G92" i="122" a="1"/>
  <c r="G92" i="122" s="1"/>
  <c r="F92" i="122" a="1"/>
  <c r="F92" i="122" s="1"/>
  <c r="E92" i="122" a="1"/>
  <c r="E92" i="122" s="1"/>
  <c r="D92" i="122" a="1"/>
  <c r="D92" i="122" s="1"/>
  <c r="S91" i="122" a="1"/>
  <c r="S91" i="122" s="1"/>
  <c r="R91" i="122" a="1"/>
  <c r="R91" i="122" s="1"/>
  <c r="Q91" i="122" a="1"/>
  <c r="Q91" i="122" s="1"/>
  <c r="P91" i="122" a="1"/>
  <c r="P91" i="122" s="1"/>
  <c r="O91" i="122" a="1"/>
  <c r="O91" i="122" s="1"/>
  <c r="N91" i="122" a="1"/>
  <c r="N91" i="122" s="1"/>
  <c r="M91" i="122" a="1"/>
  <c r="M91" i="122" s="1"/>
  <c r="L91" i="122" a="1"/>
  <c r="L91" i="122" s="1"/>
  <c r="K91" i="122" a="1"/>
  <c r="K91" i="122" s="1"/>
  <c r="J91" i="122" a="1"/>
  <c r="J91" i="122" s="1"/>
  <c r="I91" i="122" a="1"/>
  <c r="I91" i="122" s="1"/>
  <c r="H91" i="122" a="1"/>
  <c r="H91" i="122" s="1"/>
  <c r="G91" i="122" a="1"/>
  <c r="G91" i="122" s="1"/>
  <c r="F91" i="122" a="1"/>
  <c r="F91" i="122" s="1"/>
  <c r="E91" i="122" a="1"/>
  <c r="E91" i="122" s="1"/>
  <c r="D91" i="122" a="1"/>
  <c r="D91" i="122" s="1"/>
  <c r="S90" i="122" a="1"/>
  <c r="S90" i="122" s="1"/>
  <c r="R90" i="122" a="1"/>
  <c r="R90" i="122" s="1"/>
  <c r="Q90" i="122" a="1"/>
  <c r="Q90" i="122" s="1"/>
  <c r="P90" i="122" a="1"/>
  <c r="P90" i="122" s="1"/>
  <c r="O90" i="122" a="1"/>
  <c r="O90" i="122" s="1"/>
  <c r="N90" i="122" a="1"/>
  <c r="N90" i="122" s="1"/>
  <c r="M90" i="122" a="1"/>
  <c r="M90" i="122" s="1"/>
  <c r="L90" i="122" a="1"/>
  <c r="L90" i="122" s="1"/>
  <c r="K90" i="122" a="1"/>
  <c r="K90" i="122" s="1"/>
  <c r="J90" i="122" a="1"/>
  <c r="J90" i="122" s="1"/>
  <c r="I90" i="122" a="1"/>
  <c r="I90" i="122" s="1"/>
  <c r="H90" i="122" a="1"/>
  <c r="H90" i="122" s="1"/>
  <c r="G90" i="122" a="1"/>
  <c r="G90" i="122" s="1"/>
  <c r="F90" i="122" a="1"/>
  <c r="F90" i="122" s="1"/>
  <c r="E90" i="122" a="1"/>
  <c r="E90" i="122" s="1"/>
  <c r="D90" i="122" a="1"/>
  <c r="D90" i="122" s="1"/>
  <c r="D83" i="122" a="1"/>
  <c r="D83" i="122" s="1"/>
  <c r="D82" i="122"/>
  <c r="D82" i="122" a="1"/>
  <c r="D81" i="122"/>
  <c r="D81" i="122" a="1"/>
  <c r="E77" i="122" a="1"/>
  <c r="E77" i="122" s="1"/>
  <c r="D77" i="122" a="1"/>
  <c r="D77" i="122" s="1"/>
  <c r="E76" i="122" a="1"/>
  <c r="E76" i="122" s="1"/>
  <c r="D76" i="122" a="1"/>
  <c r="D76" i="122" s="1"/>
  <c r="E75" i="122" a="1"/>
  <c r="E75" i="122" s="1"/>
  <c r="D75" i="122" a="1"/>
  <c r="D75" i="122" s="1"/>
  <c r="E74" i="122" a="1"/>
  <c r="E74" i="122" s="1"/>
  <c r="D74" i="122" a="1"/>
  <c r="D74" i="122" s="1"/>
  <c r="E73" i="122" a="1"/>
  <c r="E73" i="122" s="1"/>
  <c r="D73" i="122" a="1"/>
  <c r="D73" i="122" s="1"/>
  <c r="E72" i="122" a="1"/>
  <c r="E72" i="122" s="1"/>
  <c r="D72" i="122" a="1"/>
  <c r="D72" i="122" s="1"/>
  <c r="E71" i="122" a="1"/>
  <c r="E71" i="122" s="1"/>
  <c r="D71" i="122" a="1"/>
  <c r="D71" i="122" s="1"/>
  <c r="E70" i="122" a="1"/>
  <c r="E70" i="122" s="1"/>
  <c r="D70" i="122" a="1"/>
  <c r="D70" i="122" s="1"/>
  <c r="E69" i="122" a="1"/>
  <c r="E69" i="122" s="1"/>
  <c r="D69" i="122" a="1"/>
  <c r="D69" i="122" s="1"/>
  <c r="E68" i="122" a="1"/>
  <c r="E68" i="122" s="1"/>
  <c r="D68" i="122" a="1"/>
  <c r="D68" i="122" s="1"/>
  <c r="E67" i="122" a="1"/>
  <c r="E67" i="122" s="1"/>
  <c r="D67" i="122" a="1"/>
  <c r="D67" i="122" s="1"/>
  <c r="E66" i="122" a="1"/>
  <c r="E66" i="122" s="1"/>
  <c r="D66" i="122" a="1"/>
  <c r="D66" i="122" s="1"/>
  <c r="E65" i="122" a="1"/>
  <c r="E65" i="122" s="1"/>
  <c r="D65" i="122" a="1"/>
  <c r="D65" i="122" s="1"/>
  <c r="E64" i="122" a="1"/>
  <c r="E64" i="122" s="1"/>
  <c r="D64" i="122" a="1"/>
  <c r="D64" i="122" s="1"/>
  <c r="D59" i="122" a="1"/>
  <c r="D59" i="122" s="1"/>
  <c r="D58" i="122" a="1"/>
  <c r="D58" i="122" s="1"/>
  <c r="D57" i="122" a="1"/>
  <c r="D57" i="122" s="1"/>
  <c r="G54" i="122" a="1"/>
  <c r="G54" i="122" s="1"/>
  <c r="F54" i="122" a="1"/>
  <c r="F54" i="122" s="1"/>
  <c r="E54" i="122" a="1"/>
  <c r="E54" i="122" s="1"/>
  <c r="D54" i="122" a="1"/>
  <c r="D54" i="122" s="1"/>
  <c r="G53" i="122" a="1"/>
  <c r="G53" i="122" s="1"/>
  <c r="F53" i="122" a="1"/>
  <c r="F53" i="122" s="1"/>
  <c r="E53" i="122" a="1"/>
  <c r="E53" i="122" s="1"/>
  <c r="D53" i="122" a="1"/>
  <c r="D53" i="122" s="1"/>
  <c r="G52" i="122" a="1"/>
  <c r="G52" i="122" s="1"/>
  <c r="F52" i="122" a="1"/>
  <c r="F52" i="122" s="1"/>
  <c r="E52" i="122" a="1"/>
  <c r="E52" i="122" s="1"/>
  <c r="D52" i="122" a="1"/>
  <c r="D52" i="122" s="1"/>
  <c r="G51" i="122" a="1"/>
  <c r="G51" i="122" s="1"/>
  <c r="F51" i="122" a="1"/>
  <c r="F51" i="122" s="1"/>
  <c r="E51" i="122" a="1"/>
  <c r="E51" i="122" s="1"/>
  <c r="D51" i="122" a="1"/>
  <c r="D51" i="122" s="1"/>
  <c r="G50" i="122" a="1"/>
  <c r="G50" i="122" s="1"/>
  <c r="F50" i="122" a="1"/>
  <c r="F50" i="122" s="1"/>
  <c r="E50" i="122" a="1"/>
  <c r="E50" i="122" s="1"/>
  <c r="D50" i="122" a="1"/>
  <c r="D50" i="122" s="1"/>
  <c r="G49" i="122" a="1"/>
  <c r="G49" i="122" s="1"/>
  <c r="F49" i="122" a="1"/>
  <c r="F49" i="122" s="1"/>
  <c r="E49" i="122" a="1"/>
  <c r="E49" i="122" s="1"/>
  <c r="D49" i="122" a="1"/>
  <c r="D49" i="122" s="1"/>
  <c r="G48" i="122" a="1"/>
  <c r="G48" i="122" s="1"/>
  <c r="F48" i="122" a="1"/>
  <c r="F48" i="122" s="1"/>
  <c r="E48" i="122" a="1"/>
  <c r="E48" i="122" s="1"/>
  <c r="D48" i="122" a="1"/>
  <c r="D48" i="122" s="1"/>
  <c r="D46" i="122" a="1"/>
  <c r="D46" i="122" s="1"/>
  <c r="D45" i="122" a="1"/>
  <c r="D45" i="122" s="1"/>
  <c r="E43" i="122" a="1"/>
  <c r="E43" i="122" s="1"/>
  <c r="D43" i="122" a="1"/>
  <c r="D43" i="122" s="1"/>
  <c r="E42" i="122" a="1"/>
  <c r="E42" i="122" s="1"/>
  <c r="D42" i="122" a="1"/>
  <c r="D42" i="122" s="1"/>
  <c r="E41" i="122" a="1"/>
  <c r="E41" i="122" s="1"/>
  <c r="D41" i="122" a="1"/>
  <c r="D41" i="122" s="1"/>
  <c r="E40" i="122" a="1"/>
  <c r="E40" i="122" s="1"/>
  <c r="D40" i="122" a="1"/>
  <c r="D40" i="122" s="1"/>
  <c r="E39" i="122" a="1"/>
  <c r="E39" i="122" s="1"/>
  <c r="D39" i="122" a="1"/>
  <c r="D39" i="122" s="1"/>
  <c r="E38" i="122" a="1"/>
  <c r="E38" i="122" s="1"/>
  <c r="D38" i="122" a="1"/>
  <c r="D38" i="122" s="1"/>
  <c r="E37" i="122" a="1"/>
  <c r="E37" i="122" s="1"/>
  <c r="D37" i="122" a="1"/>
  <c r="D37" i="122" s="1"/>
  <c r="D35" i="122" a="1"/>
  <c r="D35" i="122" s="1"/>
  <c r="D34" i="122" a="1"/>
  <c r="D34" i="122" s="1"/>
  <c r="D30" i="122" a="1"/>
  <c r="D30" i="122" s="1"/>
  <c r="D29" i="122" a="1"/>
  <c r="D29" i="122" s="1"/>
  <c r="D28" i="122" a="1"/>
  <c r="D28" i="122" s="1"/>
  <c r="D27" i="122" a="1"/>
  <c r="D27" i="122" s="1"/>
  <c r="D26" i="122" a="1"/>
  <c r="D26" i="122" s="1"/>
  <c r="D25" i="122" a="1"/>
  <c r="D25" i="122" s="1"/>
  <c r="D24" i="122" a="1"/>
  <c r="D24" i="122" s="1"/>
  <c r="D23" i="122" a="1"/>
  <c r="D23" i="122" s="1"/>
  <c r="D22" i="122" a="1"/>
  <c r="D22" i="122" s="1"/>
  <c r="D21" i="122" a="1"/>
  <c r="D21" i="122" s="1"/>
  <c r="D19" i="122" a="1"/>
  <c r="D19" i="122" s="1"/>
  <c r="D18" i="122" a="1"/>
  <c r="D18" i="122" s="1"/>
  <c r="F14" i="122" a="1"/>
  <c r="F14" i="122" s="1"/>
  <c r="E14" i="122" a="1"/>
  <c r="E14" i="122" s="1"/>
  <c r="D14" i="122" a="1"/>
  <c r="D14" i="122" s="1"/>
  <c r="F13" i="122" a="1"/>
  <c r="F13" i="122" s="1"/>
  <c r="E13" i="122" a="1"/>
  <c r="E13" i="122" s="1"/>
  <c r="D13" i="122" a="1"/>
  <c r="D13" i="122" s="1"/>
  <c r="F12" i="122" a="1"/>
  <c r="F12" i="122" s="1"/>
  <c r="E12" i="122" a="1"/>
  <c r="E12" i="122" s="1"/>
  <c r="D12" i="122" a="1"/>
  <c r="D12" i="122" s="1"/>
  <c r="F11" i="122" a="1"/>
  <c r="F11" i="122" s="1"/>
  <c r="E11" i="122" a="1"/>
  <c r="E11" i="122" s="1"/>
  <c r="D11" i="122" a="1"/>
  <c r="D11" i="122" s="1"/>
  <c r="F10" i="122" a="1"/>
  <c r="F10" i="122" s="1"/>
  <c r="E10" i="122" a="1"/>
  <c r="E10" i="122" s="1"/>
  <c r="D10" i="122" a="1"/>
  <c r="D10" i="122" s="1"/>
  <c r="F9" i="122" a="1"/>
  <c r="F9" i="122" s="1"/>
  <c r="E9" i="122" a="1"/>
  <c r="E9" i="122" s="1"/>
  <c r="D9" i="122" a="1"/>
  <c r="D9" i="122" s="1"/>
  <c r="F8" i="122" a="1"/>
  <c r="F8" i="122" s="1"/>
  <c r="E8" i="122" a="1"/>
  <c r="E8" i="122" s="1"/>
  <c r="D8" i="122" a="1"/>
  <c r="D8" i="122" s="1"/>
  <c r="F7" i="122" a="1"/>
  <c r="F7" i="122" s="1"/>
  <c r="E7" i="122" a="1"/>
  <c r="E7" i="122" s="1"/>
  <c r="D7" i="122" a="1"/>
  <c r="D7" i="122" s="1"/>
  <c r="D5" i="122" a="1"/>
  <c r="D5" i="122" s="1"/>
  <c r="A14" i="69"/>
  <c r="A11" i="69"/>
  <c r="A8" i="69"/>
  <c r="A5" i="69"/>
  <c r="A4" i="69"/>
  <c r="A3" i="69"/>
  <c r="A14" i="70"/>
  <c r="A11" i="70"/>
  <c r="A8" i="70"/>
  <c r="A5" i="70"/>
  <c r="A4" i="70"/>
  <c r="A3" i="70"/>
  <c r="A14" i="13"/>
  <c r="A11" i="13"/>
  <c r="A8" i="13"/>
  <c r="A5" i="13"/>
  <c r="A4" i="13"/>
  <c r="A3" i="13"/>
  <c r="A8" i="118"/>
  <c r="A11" i="118"/>
  <c r="E15" i="69" a="1"/>
  <c r="E15" i="69" s="1"/>
  <c r="E9" i="13" s="1"/>
  <c r="I13" i="69"/>
  <c r="G13" i="69" a="1"/>
  <c r="G13" i="69" s="1"/>
  <c r="D13" i="69" a="1"/>
  <c r="D13" i="69" s="1"/>
  <c r="E11" i="69" a="1"/>
  <c r="E11" i="69" s="1"/>
  <c r="F15" i="69" s="1"/>
  <c r="E10" i="69" a="1"/>
  <c r="E10" i="69" s="1"/>
  <c r="D6" i="69" a="1"/>
  <c r="D6" i="69" s="1"/>
  <c r="D5" i="69" a="1"/>
  <c r="D5" i="69" s="1"/>
  <c r="E7" i="69" a="1"/>
  <c r="H50" i="122" l="1"/>
  <c r="H52" i="122"/>
  <c r="H53" i="122"/>
  <c r="H49" i="122"/>
  <c r="H48" i="122"/>
  <c r="H51" i="122"/>
  <c r="H54" i="122"/>
  <c r="E7" i="69"/>
  <c r="F9" i="13" l="1"/>
  <c r="A14" i="118" l="1"/>
  <c r="A5" i="118"/>
  <c r="A4" i="118"/>
  <c r="A3" i="11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<sst xmlns="http://schemas.openxmlformats.org/spreadsheetml/2006/main" count="116" uniqueCount="98">
  <si>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</si>
  <si>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</si>
  <si>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</si>
  <si>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</si>
  <si>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</si>
  <si>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</si>
  <si>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</si>
  <si>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</si>
  <si>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</si>
  <si>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</si>
  <si>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</si>
  <si>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</si>
  <si>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</si>
  <si>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</si>
  <si>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</si>
  <si>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</si>
  <si>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</si>
  <si>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</si>
  <si>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</si>
  <si>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</si>
  <si>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</si>
  <si>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</si>
  <si>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</si>
  <si>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</si>
  <si>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</si>
  <si>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</si>
  <si>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</si>
  <si>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</si>
  <si>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</si>
  <si>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</si>
  <si>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</si>
  <si>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</si>
  <si>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</si>
  <si>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</si>
  <si>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</si>
  <si>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</si>
  <si>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</si>
  <si>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</si>
  <si>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</si>
  <si>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</si>
  <si>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</si>
  <si>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</si>
  <si>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</si>
  <si>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</si>
  <si>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</si>
  <si>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</si>
  <si>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</si>
  <si>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</si>
  <si>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</si>
  <si>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</si>
  <si>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</si>
  <si>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</si>
  <si>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</si>
  <si>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</si>
  <si>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</si>
  <si>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</si>
  <si>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</si>
  <si>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</si>
  <si>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</si>
  <si>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</si>
  <si>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</si>
  <si>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</si>
  <si>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</si>
  <si>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</si>
  <si>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</si>
  <si>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</si>
  <si>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</si>
  <si>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</si>
  <si>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</si>
  <si>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</si>
  <si>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</si>
  <si>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</si>
  <si>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</si>
  <si>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</si>
  <si>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</si>
  <si>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</si>
  <si>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</si>
  <si>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</si>
  <si>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</si>
  <si>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</si>
  <si>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</si>
  <si>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</si>
  <si>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</si>
  <si>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</si>
  <si>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</si>
  <si>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</si>
  <si>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</si>
  <si>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Input - Supplementary CO2</t>
  </si>
  <si>
    <t>12.1.1-2 Supplementary CO2</t>
  </si>
  <si>
    <t>Amount used (kg)</t>
  </si>
  <si>
    <t>Usage description</t>
  </si>
  <si>
    <t>Carbonating</t>
  </si>
  <si>
    <t>Dry ice usage</t>
  </si>
  <si>
    <t>Supplementary CO2 used in operations orprocessing</t>
  </si>
  <si>
    <t>E</t>
  </si>
  <si>
    <t>t CO2</t>
  </si>
  <si>
    <t>12: Supplementary CO2 Use: Results</t>
  </si>
  <si>
    <t>12: Supplementary CO2 Use: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</si>
</sst>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i/>
      <sz val="16"/>
      <color theme="1" tint="0.34998626667073579"/>
      <name val="Times New Roman"/>
      <family val="1"/>
    </font>
    <font>
      <b/>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0">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0" fillId="0" borderId="0" xfId="7" applyFont="1" applyFill="1" applyAlignment="1">
      <alignment horizontal="center" vertical="center"/>
    </xf>
    <xf numFmtId="0" fontId="36" fillId="13" borderId="15" xfId="39" applyBorder="1">
      <alignment horizontal="left" vertical="center"/>
    </xf>
    <xf numFmtId="0" fontId="36" fillId="13" borderId="14" xfId="39" applyBorder="1">
      <alignment horizontal="left" vertical="center"/>
    </xf>
    <xf numFmtId="0" fontId="36" fillId="13" borderId="16" xfId="39" applyBorder="1">
      <alignment horizontal="left" vertical="center"/>
    </xf>
    <xf numFmtId="0" fontId="2" fillId="0" borderId="2" xfId="14">
      <alignment horizontal="center" vertical="center"/>
    </xf>
    <xf numFmtId="0" fontId="50" fillId="4" borderId="1" xfId="8" applyFont="1" applyBorder="1">
      <alignment horizontal="left" vertical="center"/>
    </xf>
    <xf numFmtId="0" fontId="48" fillId="4" borderId="1" xfId="8" applyFont="1" applyBorder="1">
      <alignment horizontal="left" vertical="center"/>
    </xf>
    <xf numFmtId="0" fontId="49" fillId="4" borderId="1" xfId="53" applyFont="1" applyBorder="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Equation table" pivot="0" count="6" xr9:uid="{B247698E-E41D-4CCD-AA0A-C14817E9DE65}">
      <tableStyleElement type="wholeTable" dxfId="55"/>
      <tableStyleElement type="headerRow" dxfId="54"/>
      <tableStyleElement type="totalRow" dxfId="53"/>
      <tableStyleElement type="firstColumn" dxfId="52"/>
      <tableStyleElement type="firstRowStripe" dxfId="51"/>
      <tableStyleElement type="secondRowStripe" dxfId="50"/>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hyperlink" Target="#'12.1.1-2 Supplementary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12.1.1-2 Supplementary CO2'!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56D3250-5DC9-4557-91D1-8936CA4BCBE6}" type="TxLink">
            <a:rPr lang="en-US" sz="1400" b="0" i="0" u="none" strike="noStrike">
              <a:solidFill>
                <a:srgbClr val="0C769E"/>
              </a:solidFill>
              <a:latin typeface="Times New Roman"/>
              <a:cs typeface="Times New Roman"/>
            </a:rPr>
            <a:pPr algn="ctr"/>
            <a:t>12.1.1-2 Supplementary CO2</a:t>
          </a:fld>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12.1.1-2 Supplementary CO2'!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BD2FB-7C1B-45AA-B92C-732AA970345B}" type="TxLink">
            <a:rPr lang="en-US" sz="1000" b="1" i="0" u="none" strike="noStrike">
              <a:solidFill>
                <a:srgbClr val="0C769E"/>
              </a:solidFill>
              <a:latin typeface="Times New Roman"/>
              <a:cs typeface="Times New Roman"/>
            </a:rPr>
            <a:pPr algn="ctr"/>
            <a:t>Emissions from the use of supplementary CO2</a:t>
          </a:fld>
          <a:endParaRPr lang="en-AU" sz="1000" b="1">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32961</xdr:colOff>
      <xdr:row>7</xdr:row>
      <xdr:rowOff>136127</xdr:rowOff>
    </xdr:from>
    <xdr:ext cx="872162" cy="16882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𝐸</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𝑄</m:t>
                    </m:r>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𝐸=𝑄×10^(−3)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SupplementaryCO2" displayName="Table_Input_SupplementaryCO2" ref="D9:E11" totalsRowDxfId="13" headerRowCellStyle="Input table column header">
  <autoFilter ref="D9:E11" xr:uid="{6E44059A-C219-4316-A7A0-AD77B0121F06}">
    <filterColumn colId="0" hiddenButton="1"/>
    <filterColumn colId="1" hiddenButton="1"/>
  </autoFilter>
  <tableColumns count="2">
    <tableColumn id="2" xr3:uid="{9540E705-999C-466B-A6B4-24C60E9153AE}" name="Usage description" totalsRowFunction="average" totalsRowDxfId="12" dataCellStyle="Input text" totalsRowCellStyle="Input select"/>
    <tableColumn id="4" xr3:uid="{9DFFE0DC-C289-47FB-8F0C-2D2F480EEE4C}" name="Amount used (kg)" totalsRowDxfId="11" totalsRowCellStyle="Content bol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EFA86D-B928-4343-A1C3-8AACEDBA85D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DC65857-1762-4DED-831A-06826FC8E599}" name="State/Territory">
      <calculatedColumnFormula array="1">Common_InputFunctions.Utility_DisplayArrayInTable(Common_SourceData.Common_SourceData_AustralianStatesTerritories_Data(),Table_AustralianStates[[#Headers],[State/Territory]],0)</calculatedColumnFormula>
    </tableColumn>
    <tableColumn id="2" xr3:uid="{FE185B29-9557-4581-BF86-603C43AB533D}" name="Common Name">
      <calculatedColumnFormula array="1">Common_InputFunctions.Utility_DisplayArrayInTable(Common_SourceData.Common_SourceData_AustralianStatesTerritories_Data(),Table_AustralianStates[[#Headers],[State/Territory]],0)</calculatedColumnFormula>
    </tableColumn>
    <tableColumn id="3" xr3:uid="{2A95011F-50D1-4289-9E7F-3DF967FE98B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19D36B-5E63-4974-A793-136379A355A9}" name="Table_WASA4Areas" displayName="Table_WASA4Areas" ref="D20:D30" totalsRowShown="0">
  <autoFilter ref="D20:D30" xr:uid="{5FA81339-C6C8-4D36-BEEA-6C4AEDD9E676}">
    <filterColumn colId="0" hiddenButton="1"/>
  </autoFilter>
  <tableColumns count="1">
    <tableColumn id="1" xr3:uid="{9C5723D8-D0B4-4125-9BBC-4DDD424173F8}"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E9EAB-5015-4060-9BC2-2CD8F0DDFF50}" name="Table_GWPData" displayName="Table_GWPData" ref="D36:E43" totalsRowShown="0">
  <autoFilter ref="D36:E43" xr:uid="{B8E87A66-3E41-4AD3-925D-01EE21B43D7A}">
    <filterColumn colId="0" hiddenButton="1"/>
    <filterColumn colId="1" hiddenButton="1"/>
  </autoFilter>
  <tableColumns count="2">
    <tableColumn id="1" xr3:uid="{4001CBA9-F4A3-4C7D-A275-B1BA3E362739}" name="Gas">
      <calculatedColumnFormula array="1">Common_InputFunctions.Utility_DisplayArrayInTable(Common_SourceData.Common_SourceData_GWP_Data(), Table_GWPData[[#Headers],[Gas]], 0)</calculatedColumnFormula>
    </tableColumn>
    <tableColumn id="2" xr3:uid="{3AD90266-42FF-4CC8-A75A-9C805610DB6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444C88D-010B-4CAA-8EC7-6D34E52C3F4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A8C0CFA-3DE9-498C-966D-6B244E120A7E}" name="Gas">
      <calculatedColumnFormula array="1">Common_InputFunctions.Utility_DisplayArrayInTable(Common_SourceData.Common_SourceData_ConvertGasElementalToMolecular_Data(),Table_GasToMolecularConversionFactor[[#Headers],[Gas]], 0)</calculatedColumnFormula>
    </tableColumn>
    <tableColumn id="5" xr3:uid="{92DAC899-6F8B-4D13-8C45-81CFF6F286F1}" name="Conversion factor">
      <calculatedColumnFormula array="1">Common_InputFunctions.Utility_DisplayArrayInTable(Common_SourceData.Common_SourceData_ConvertGasElementalToMolecular_Data(),Table_GasToMolecularConversionFactor[[#Headers],[Gas]], 0)</calculatedColumnFormula>
    </tableColumn>
    <tableColumn id="2" xr3:uid="{28F8688B-CF96-482A-8C40-08352695568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770A909-8C13-47E9-AD96-8C67877643D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670556D-4DF6-4786-BA8A-09C654C17D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81EDDAF-7F9B-48B0-A342-31E9122F53D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D40750F-7330-456A-BB21-E3EFB286833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2E66C4A-4479-4A17-B98A-2F53B0DF4466}" name="MA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3" xr3:uid="{B9FC8F4B-35F5-4F7B-8E1C-CE583C7FC041}" name="MA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4" xr3:uid="{380F7CFF-6056-41A6-BF80-BBCCEE00662F}" name="Frost days per year"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5" xr3:uid="{02CC8E12-B022-4DEC-B7E6-726532DF5644}" name="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6" xr3:uid="{115D7C7A-B275-48F4-8B1D-23731CD5E9FD}" name="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7" xr3:uid="{4116C12D-F410-4E10-93F9-6434C598BA9E}" name="Min temp"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8" xr3:uid="{540A3023-64D8-4CEB-8D95-A6D179AA549E}" name="Max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9" xr3:uid="{D64547E2-0462-4E06-854A-CCF17A6318D7}" name="Min rainfall"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0" xr3:uid="{655EDD60-857F-42AC-A2BF-DEC3DFB090B0}" name="Max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1" xr3:uid="{7278EB04-7DA4-4E3B-919C-4FEB67D4C659}" name="Min frost days"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5" xr3:uid="{BE43C499-B1F6-40CB-823D-961D21AEEAA3}" name="Max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2" xr3:uid="{D03997E9-53F2-4697-B878-CFFFC9520B10}" name="Min 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6" xr3:uid="{C44A8FA0-40DC-4D7B-94F7-F219584A1AD7}" name="Max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3" xr3:uid="{A2246660-C845-4D9C-9366-7ECECC01DF7C}" name="Min 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7" xr3:uid="{AB61D1E6-3618-40D8-826C-ABEBBE7DF2B0}" name="Max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7EBC0E9-F0EE-409B-B02B-65F95E0DBD1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0DD4BB3-ABE2-4C86-A881-C32DBDC5DA0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6850548-4D06-4192-95CD-9B52C1BD5D14}" name="Wet or Dry Zone" totalsRowDxfId="3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DCD1AF7-0F5B-4776-A34C-5F60347B0D6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A691C71-D51E-4A4F-8321-B70D5A2166C7}" name="Temperature Zone">
      <calculatedColumnFormula array="1">Common_InputFunctions.Utility_DisplayArrayInTable(Common_SourceData.Common_SourceData_TemperatureZones_Data(),Table_SourceData_TemperatureZones[[#Headers],[Temperature Zone]],0)</calculatedColumnFormula>
    </tableColumn>
    <tableColumn id="2" xr3:uid="{5E81B5F6-3184-4C46-B272-8A55D7855886}" name="MAT">
      <calculatedColumnFormula array="1">Common_InputFunctions.Utility_DisplayArrayInTable(Common_SourceData.Common_SourceData_TemperatureZones_Data(),Table_SourceData_TemperatureZones[[#Headers],[Temperature Zone]],0)</calculatedColumnFormula>
    </tableColumn>
    <tableColumn id="3" xr3:uid="{B59D4E84-94D9-4E61-A29D-6B62F741B5BA}" name="Min MAT">
      <calculatedColumnFormula array="1">Common_InputFunctions.Utility_DisplayArrayInTable(Common_SourceData.Common_SourceData_TemperatureZones_Data(),Table_SourceData_TemperatureZones[[#Headers],[Temperature Zone]],0)</calculatedColumnFormula>
    </tableColumn>
    <tableColumn id="4" xr3:uid="{BBD14DC8-B942-4A1D-9E63-811222BB9D53}"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977CA12-7C95-4E57-894A-0768785E4B7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140A975-6A60-4280-BCE4-6B97A4BAA3EC}" name="Rainfall Zone">
      <calculatedColumnFormula array="1">Common_InputFunctions.Utility_DisplayArrayInTable(Common_SourceData.Common_SourceData_RainfallZones_Data(),Table_SourceData_RainfallZones[[#Headers],[Rainfall Zone]],0)</calculatedColumnFormula>
    </tableColumn>
    <tableColumn id="2" xr3:uid="{ABCF8B7A-FBDB-4E6C-BEA6-908DC8354C80}" name="Annual rainfall">
      <calculatedColumnFormula array="1">Common_InputFunctions.Utility_DisplayArrayInTable(Common_SourceData.Common_SourceData_RainfallZones_Data(),Table_SourceData_RainfallZones[[#Headers],[Rainfall Zone]],0)</calculatedColumnFormula>
    </tableColumn>
    <tableColumn id="3" xr3:uid="{64A764CC-9EBF-4E70-88E8-EA1D64C310D4}" name="Min rainfall">
      <calculatedColumnFormula array="1">Common_InputFunctions.Utility_DisplayArrayInTable(Common_SourceData.Common_SourceData_RainfallZones_Data(),Table_SourceData_RainfallZones[[#Headers],[Rainfall Zone]],0)</calculatedColumnFormula>
    </tableColumn>
    <tableColumn id="4" xr3:uid="{94CC1A4B-3582-43CC-86D9-A0C469CEAF1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C28F2C4-8AF6-4785-8C6B-CEC2944CC2F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294900B6-3C87-45A7-8EDB-09A3701C2F93}" name="Leaching Zone">
      <calculatedColumnFormula array="1">Common_InputFunctions.Utility_DisplayArrayInTable(Common_SourceData.Common_SourceData_LeachingZones_Data(), Table_SourceData_LeachingZones[[#Headers],[Leaching Zone]], 0)</calculatedColumnFormula>
    </tableColumn>
    <tableColumn id="2" xr3:uid="{A05DBB6D-CE50-4268-9475-32BE9CA6919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3B68031-FE71-4BE0-8C8E-1D599536502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FC876BB-4FDA-45B1-B871-317669F4973F}" name="Data source">
      <calculatedColumnFormula array="1">Common_InputFunctions.Utility_DisplayArrayInTable(Common_SourceData.Common_SourceData_DataScores_Scope3_Data(), Table_SourceData_DataScores_Scope3[[#Headers],[Data source]], 0)</calculatedColumnFormula>
    </tableColumn>
    <tableColumn id="2" xr3:uid="{E64587BC-B612-4C18-AC5F-429A1FF4262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4A617B9-FF3E-410C-96A5-4B66BB130A02}" name="Table_SourceData_FracWET" displayName="Table_SourceData_FracWET" ref="D134:E136" totalsRowShown="0">
  <autoFilter ref="D134:E136" xr:uid="{308E99BE-FE1F-47A4-B2CA-97217277C4E9}">
    <filterColumn colId="0" hiddenButton="1"/>
    <filterColumn colId="1" hiddenButton="1"/>
  </autoFilter>
  <tableColumns count="2">
    <tableColumn id="1" xr3:uid="{94E6DCBF-2F6C-4DEA-850E-1257E85423A4}" name="Is in leaching zone">
      <calculatedColumnFormula array="1">Common_InputFunctions.Utility_DisplayArrayInTable(Common_SourceData.Common_SourceData_FracWET_Data(),Table_SourceData_FracWET[[#Headers],[Is in leaching zone]],0)</calculatedColumnFormula>
    </tableColumn>
    <tableColumn id="2" xr3:uid="{C9F029D9-51B8-4816-85D5-3441B1755CA7}" name="FracWET" dataDxfId="3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48ECC07-43ED-47BD-8BF7-B67C65717D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B4FDCC6-81B1-46EB-A1CB-1E21FDEA30A7}" name="Production system j">
      <calculatedColumnFormula array="1">Common_InputFunctions.Utility_DisplayArrayInTable(Common_SourceData.Common_SourceData_EFN2O_Data(), Table_SourceData_Common_EFN2O[[#Headers],[Production system j]], 0)</calculatedColumnFormula>
    </tableColumn>
    <tableColumn id="2" xr3:uid="{CC0A441B-D022-4CA6-8354-A69834BFBFD8}" name="EFN2O">
      <calculatedColumnFormula array="1">Common_InputFunctions.Utility_DisplayArrayInTable(Common_SourceData.Common_SourceData_EFN2O_Data(), Table_SourceData_Common_EFN2O[[#Headers],[Production system j]], 0)</calculatedColumnFormula>
    </tableColumn>
    <tableColumn id="3" xr3:uid="{40564AE7-BB66-48AF-B3BC-88D951DDE7ED}" name="Production system only">
      <calculatedColumnFormula array="1">Common_InputFunctions.Utility_DisplayArrayInTable(Common_SourceData.Common_SourceData_EFN2O_Data(), Table_SourceData_Common_EFN2O[[#Headers],[Production system j]], 0)</calculatedColumnFormula>
    </tableColumn>
    <tableColumn id="4" xr3:uid="{3A8B2D33-5F9F-460C-93FA-C0088B196858}" name="Irrigation method">
      <calculatedColumnFormula array="1">Common_InputFunctions.Utility_DisplayArrayInTable(Common_SourceData.Common_SourceData_EFN2O_Data(), Table_SourceData_Common_EFN2O[[#Headers],[Production system j]], 0)</calculatedColumnFormula>
    </tableColumn>
    <tableColumn id="5" xr3:uid="{43884D9C-CB71-47BA-ADBF-C46278659C6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D75122A-64DD-44AC-906A-4556B88FCA9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14E6C27-AEC4-4F58-94DF-EB6BF6F8DEE2}" name="Irrigation type i">
      <calculatedColumnFormula array="1">Common_InputFunctions.Utility_DisplayArrayInTable(Common_SourceData.Common_SourceData_FracWETIrrigation_Data(), Table_SourceData_FracWETIrrigation[[#Headers],[Irrigation type i]], 0)</calculatedColumnFormula>
    </tableColumn>
    <tableColumn id="2" xr3:uid="{B95AAA77-7FB1-4F2D-8530-6B063DBAAC65}" name="FracWET" dataDxfId="3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8CC38B-BA4A-461A-8A4A-F73E8E89079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2812ECF-2BDF-479B-BDD0-ABDD9D181FA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6379345-454B-47D5-B6BF-10AC3FD1C963}" name="EFPRP" dataDxfId="3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013A3BB-DB3F-4651-BAF5-B2BC62FF864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9B089BF-12E1-4543-87BC-10C6A0C6FFD9}" name="Month">
      <calculatedColumnFormula array="1">Common_InputFunctions.Utility_DisplayArrayInTable(Common_SourceData.Common_SourceData_MonthsToSeasons_Data(), Table_SourceData_Common_MonthToSeason[[#Headers],[Month]], 0)</calculatedColumnFormula>
    </tableColumn>
    <tableColumn id="2" xr3:uid="{1F8FDC7C-6656-4185-B6E7-8E523E08EB97}" name="Season" dataDxfId="3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B579B7F-3F35-4411-A973-C63A8EB5078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ADC392C-5850-4DF1-B61E-AD89C6F0C73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B6F7FCE-22AE-4D28-A913-77E6DA4EEDBA}" name="MAT (ºC)"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3CC30B5-CFBC-4FBD-A997-7404CA96F1DC}" name="Anaerobic lagoon"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377B2BA-D9A3-4F3B-9CDA-463B9C7C6D0B}" name="Digester / covered lagoons"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F8FE17C-A26D-4015-8DE7-8A0284CCF305}" name="Liquid system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35544B6-26CF-4063-8B41-14ACFA814834}" name="Daily spread"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D337F61-FBEF-437D-B2EA-429DF88BF98B}" name="Composting (passive windrow)"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A316A78-DAB2-4C8A-BD7A-5BAB30008B7C}" name="Solid storage"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D235F5C-8782-4085-ACE9-5581BEFF0447}" name="Pit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2BDA5BE-621D-463B-8C21-FE2122E0D19D}" name="Deep litter"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89BA2F9-19A1-47F2-B204-07445F32B7EA}" name="Poultry manure with bedding"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843EC54-CAD6-4A10-8170-CA7C4C5ED5F5}" name="Poultry manure without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DE32C71-B502-409B-928F-750CCA16648F}" name="Direct process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27CA3685-3894-4D69-B24B-CA075337B41C}" name="Direct application"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9559C44-EEE8-4D8F-A9A8-FCC203F32BB3}" name="Pasture range and paddock"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6B87B0B-81DA-4A7A-9AF4-43E1B0D7455E}" name="MAT ra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E617B26-18D0-4AFA-82FE-00AED0900410}"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B5A1BF0-2654-4654-A005-25B68250353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C92C861-4FEA-4BB5-A89C-E12CFC7C9D9E}" name="EFNi &amp; EFN2Oi" dataDxfId="1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printerSettings" Target="../printerSettings/printerSettings3.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2" t="e" vm="1">
        <v>#VALUE!</v>
      </c>
      <c r="C1" s="56" t="s">
        <v>97</v>
      </c>
      <c r="D1" s="57"/>
      <c r="E1" s="57"/>
      <c r="F1" s="57"/>
      <c r="G1" s="57"/>
      <c r="H1" s="57"/>
      <c r="I1" s="57"/>
      <c r="J1" s="57"/>
      <c r="K1" s="57"/>
      <c r="L1" s="57"/>
      <c r="M1" s="57"/>
      <c r="N1" s="57"/>
      <c r="O1" s="57"/>
      <c r="P1" s="57"/>
    </row>
    <row r="2" spans="1:17" ht="20.100000000000001" customHeight="1" x14ac:dyDescent="0.25">
      <c r="A2" s="8"/>
      <c r="C2" s="57"/>
      <c r="D2" s="57"/>
      <c r="E2" s="57"/>
      <c r="F2" s="57"/>
      <c r="G2" s="57"/>
      <c r="H2" s="57"/>
      <c r="I2" s="57"/>
      <c r="J2" s="57"/>
      <c r="K2" s="57"/>
      <c r="L2" s="57"/>
      <c r="M2" s="57"/>
      <c r="N2" s="57"/>
      <c r="O2" s="57"/>
      <c r="P2" s="57"/>
      <c r="Q2" s="58"/>
    </row>
    <row r="3" spans="1:17" ht="20.100000000000001" customHeight="1" x14ac:dyDescent="0.25">
      <c r="A3" s="13" t="str">
        <f>HYPERLINK("#'Home'!A1", "Home")</f>
        <v>Home</v>
      </c>
      <c r="C3" s="59"/>
      <c r="D3" s="59"/>
      <c r="E3" s="59"/>
      <c r="F3" s="59"/>
      <c r="G3" s="59"/>
      <c r="H3" s="59"/>
      <c r="I3" s="59"/>
      <c r="J3" s="59"/>
      <c r="K3" s="59"/>
      <c r="L3" s="59"/>
      <c r="M3" s="59"/>
      <c r="N3" s="59"/>
      <c r="O3" s="59"/>
      <c r="P3" s="59"/>
    </row>
    <row r="4" spans="1:17" ht="20.100000000000001" customHeight="1" x14ac:dyDescent="0.25">
      <c r="A4" s="44" t="str">
        <f>HYPERLINK("#'Overview'!A1", "Overview")</f>
        <v>Overview</v>
      </c>
    </row>
    <row r="5" spans="1:17" ht="20.100000000000001" customHeight="1" x14ac:dyDescent="0.25">
      <c r="A5" s="13" t="str">
        <f>HYPERLINK("#'Results'!A1", "Results")</f>
        <v>Results</v>
      </c>
      <c r="D5" s="42" t="s">
        <v>83</v>
      </c>
      <c r="E5" s="36"/>
      <c r="F5" s="36"/>
      <c r="G5" s="36"/>
      <c r="H5" s="36"/>
      <c r="I5" s="36"/>
      <c r="J5" s="36"/>
      <c r="K5" s="36"/>
      <c r="L5" s="36"/>
      <c r="M5" s="36"/>
      <c r="N5" s="36"/>
      <c r="O5" s="33"/>
    </row>
    <row r="6" spans="1:17" ht="20.100000000000001" customHeight="1" x14ac:dyDescent="0.25">
      <c r="A6" s="12"/>
      <c r="D6" s="60" t="s">
        <v>84</v>
      </c>
      <c r="E6" s="35"/>
      <c r="F6" s="35"/>
      <c r="G6" s="35"/>
      <c r="H6" s="35"/>
      <c r="I6" s="35"/>
      <c r="J6" s="35"/>
      <c r="K6" s="35"/>
      <c r="L6" s="35"/>
      <c r="M6" s="35"/>
      <c r="N6" s="35"/>
      <c r="O6" s="34"/>
    </row>
    <row r="7" spans="1:17" ht="20.100000000000001" customHeight="1" x14ac:dyDescent="0.25">
      <c r="A7" s="16" t="s">
        <v>1</v>
      </c>
    </row>
    <row r="8" spans="1:17" ht="20.100000000000001" customHeight="1" x14ac:dyDescent="0.25">
      <c r="A8" s="13" t="str">
        <f>HYPERLINK("#'Input - CO2 Use'!A1", "CO2 Use")</f>
        <v>CO2 Use</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HYPERLINK("#'12.1.1-2 Supplementary CO2'!A1", "12.1.1-2 Supplementary CO2")</f>
        <v>12.1.1-2 Supplementary CO2</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Common'!A1", "Constants - Common")</f>
        <v>Constants - Common</v>
      </c>
      <c r="O14" s="1" t="s">
        <v>86</v>
      </c>
    </row>
    <row r="15" spans="1:17" ht="20.100000000000001" customHeight="1" x14ac:dyDescent="0.25"/>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c r="A22" s="13"/>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F10" sqref="F10"/>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2" t="e" vm="1">
        <v>#VALUE!</v>
      </c>
      <c r="C1" s="56" t="s">
        <v>96</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4" t="str">
        <f>HYPERLINK("#'Results'!A1", "Results")</f>
        <v>Results</v>
      </c>
      <c r="C5" s="18"/>
      <c r="D5" s="21"/>
      <c r="E5" s="22"/>
      <c r="F5" s="22"/>
      <c r="G5" s="22"/>
      <c r="H5" s="18"/>
    </row>
    <row r="6" spans="1:8" ht="20.100000000000001" customHeight="1" x14ac:dyDescent="0.25">
      <c r="A6" s="12"/>
      <c r="C6" s="18"/>
      <c r="D6" s="17" t="s">
        <v>80</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CO2 Use'!A1", "CO2 Use")</f>
        <v>CO2 Use</v>
      </c>
      <c r="C8" s="18"/>
      <c r="D8" s="40" t="s">
        <v>50</v>
      </c>
      <c r="E8" s="40" t="s">
        <v>60</v>
      </c>
      <c r="F8" s="40" t="s">
        <v>61</v>
      </c>
      <c r="G8" s="40" t="s">
        <v>56</v>
      </c>
      <c r="H8" s="18"/>
    </row>
    <row r="9" spans="1:8" ht="20.100000000000001" customHeight="1" x14ac:dyDescent="0.25">
      <c r="A9" s="13"/>
      <c r="C9" s="18"/>
      <c r="D9" s="1" t="s">
        <v>88</v>
      </c>
      <c r="E9" s="55">
        <f>'12.1.1-2 Supplementary CO2'!E15</f>
        <v>0.2</v>
      </c>
      <c r="F9" s="55">
        <f>E9</f>
        <v>0.2</v>
      </c>
      <c r="G9" s="29" t="s">
        <v>95</v>
      </c>
      <c r="H9" s="18"/>
    </row>
    <row r="10" spans="1:8" ht="20.100000000000001" customHeight="1" x14ac:dyDescent="0.3">
      <c r="A10" s="15" t="s">
        <v>45</v>
      </c>
      <c r="C10" s="18"/>
      <c r="D10" s="24" t="s">
        <v>55</v>
      </c>
      <c r="E10" s="39">
        <f>SUM(E9:E9)</f>
        <v>0.2</v>
      </c>
      <c r="F10" s="39">
        <f>SUM(F9:F9)</f>
        <v>0.2</v>
      </c>
      <c r="G10" s="37" t="s">
        <v>95</v>
      </c>
      <c r="H10" s="18"/>
    </row>
    <row r="11" spans="1:8" ht="20.100000000000001" customHeight="1" x14ac:dyDescent="0.25">
      <c r="A11" s="13" t="str">
        <f>HYPERLINK("#'12.1.1-2 Supplementary CO2'!A1", "12.1.1-2 Supplementary CO2")</f>
        <v>12.1.1-2 Supplementary CO2</v>
      </c>
      <c r="C11" s="18"/>
      <c r="D11" s="1"/>
      <c r="E11" s="1"/>
      <c r="F11" s="1"/>
      <c r="G11" s="1"/>
      <c r="H11" s="18"/>
    </row>
    <row r="12" spans="1:8" ht="20.100000000000001" customHeight="1" x14ac:dyDescent="0.25">
      <c r="A12" s="13"/>
      <c r="C12" s="18"/>
      <c r="D12" s="1"/>
      <c r="E12" s="1"/>
      <c r="F12" s="1"/>
      <c r="G12" s="1"/>
      <c r="H12" s="18"/>
    </row>
    <row r="13" spans="1:8" ht="20.100000000000001" customHeight="1" x14ac:dyDescent="0.25">
      <c r="A13" s="14" t="s">
        <v>2</v>
      </c>
      <c r="C13" s="18"/>
      <c r="D13" s="1"/>
      <c r="E13" s="41"/>
      <c r="F13" s="29"/>
      <c r="G13" s="1"/>
      <c r="H13" s="18"/>
    </row>
    <row r="14" spans="1:8" ht="20.100000000000001" customHeight="1" x14ac:dyDescent="0.25">
      <c r="A14" s="13" t="str">
        <f>HYPERLINK("#'Constants - Common'!A1", "Constants - Common")</f>
        <v>Constants - Common</v>
      </c>
      <c r="C14" s="18"/>
      <c r="D14" s="1"/>
      <c r="E14" s="41"/>
      <c r="F14" s="29"/>
      <c r="G14" s="1"/>
      <c r="H14" s="18"/>
    </row>
    <row r="15" spans="1:8" ht="20.100000000000001" customHeight="1" x14ac:dyDescent="0.25">
      <c r="C15" s="18"/>
      <c r="D15" s="1"/>
      <c r="E15" s="1"/>
      <c r="F15" s="1"/>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41"/>
      <c r="F21" s="29"/>
      <c r="G21" s="1"/>
      <c r="H21" s="18"/>
    </row>
    <row r="22" spans="1:8" ht="20.100000000000001" customHeight="1" x14ac:dyDescent="0.25">
      <c r="C22" s="18"/>
      <c r="D22" s="1"/>
      <c r="E22" s="41"/>
      <c r="F22" s="29"/>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5"/>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G351"/>
  <sheetViews>
    <sheetView showGridLines="0" zoomScaleNormal="100" workbookViewId="0">
      <selection activeCell="D11" sqref="D11"/>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6" width="24.85546875" style="1" customWidth="1"/>
    <col min="7" max="7" width="4.7109375" style="1" customWidth="1"/>
    <col min="8" max="8" width="4.7109375" customWidth="1"/>
  </cols>
  <sheetData>
    <row r="1" spans="1:7" s="32" customFormat="1" ht="30" customHeight="1" x14ac:dyDescent="0.35">
      <c r="A1" s="32" t="e" vm="1">
        <v>#VALUE!</v>
      </c>
      <c r="C1" s="32" t="s">
        <v>87</v>
      </c>
    </row>
    <row r="2" spans="1:7" s="8" customFormat="1" ht="20.100000000000001" customHeight="1" x14ac:dyDescent="0.25"/>
    <row r="3" spans="1:7" ht="20.100000000000001" customHeight="1" x14ac:dyDescent="0.25">
      <c r="A3" s="13" t="str">
        <f>HYPERLINK("#'Home'!A1", "Home")</f>
        <v>Home</v>
      </c>
      <c r="C3" s="11"/>
      <c r="D3" s="11"/>
      <c r="E3" s="11"/>
      <c r="F3" s="11"/>
      <c r="G3" s="11"/>
    </row>
    <row r="4" spans="1:7" ht="20.100000000000001" customHeight="1" x14ac:dyDescent="0.25">
      <c r="A4" s="13" t="str">
        <f>HYPERLINK("#'Overview'!A1", "Overview")</f>
        <v>Overview</v>
      </c>
    </row>
    <row r="5" spans="1:7" ht="20.100000000000001" customHeight="1" x14ac:dyDescent="0.25">
      <c r="A5" s="13" t="str">
        <f>HYPERLINK("#'Results'!A1", "Results")</f>
        <v>Results</v>
      </c>
      <c r="D5" s="5" t="s">
        <v>93</v>
      </c>
      <c r="E5" s="2"/>
      <c r="F5" s="2"/>
    </row>
    <row r="6" spans="1:7" ht="20.100000000000001" customHeight="1" x14ac:dyDescent="0.25">
      <c r="A6" s="12"/>
      <c r="D6" s="18"/>
      <c r="E6" s="18"/>
      <c r="F6" s="18"/>
    </row>
    <row r="7" spans="1:7" ht="20.100000000000001" customHeight="1" x14ac:dyDescent="0.25">
      <c r="A7" s="16" t="s">
        <v>1</v>
      </c>
      <c r="D7" s="64" t="s">
        <v>85</v>
      </c>
      <c r="E7" s="65"/>
      <c r="F7" s="63"/>
    </row>
    <row r="8" spans="1:7" ht="20.100000000000001" customHeight="1" x14ac:dyDescent="0.25">
      <c r="A8" s="43" t="str">
        <f>HYPERLINK("#'Input - CO2 Use'!A1", "CO2 Use")</f>
        <v>CO2 Use</v>
      </c>
      <c r="D8" s="18"/>
      <c r="E8" s="18"/>
      <c r="F8" s="18"/>
    </row>
    <row r="9" spans="1:7" ht="20.100000000000001" customHeight="1" x14ac:dyDescent="0.25">
      <c r="A9" s="13"/>
      <c r="D9" s="46" t="s">
        <v>90</v>
      </c>
      <c r="E9" s="46" t="s">
        <v>89</v>
      </c>
      <c r="F9" s="18"/>
    </row>
    <row r="10" spans="1:7" ht="20.100000000000001" customHeight="1" x14ac:dyDescent="0.25">
      <c r="A10" s="15" t="s">
        <v>45</v>
      </c>
      <c r="D10" s="66" t="s">
        <v>91</v>
      </c>
      <c r="E10" s="62">
        <v>100</v>
      </c>
    </row>
    <row r="11" spans="1:7" ht="20.100000000000001" customHeight="1" x14ac:dyDescent="0.25">
      <c r="A11" s="13" t="str">
        <f>HYPERLINK("#'12.1.1-2 Supplementary CO2'!A1", "12.1.1-2 Supplementary CO2")</f>
        <v>12.1.1-2 Supplementary CO2</v>
      </c>
      <c r="D11" s="66" t="s">
        <v>92</v>
      </c>
      <c r="E11" s="62">
        <v>100</v>
      </c>
    </row>
    <row r="12" spans="1:7" ht="20.100000000000001" customHeight="1" x14ac:dyDescent="0.25">
      <c r="A12" s="13"/>
    </row>
    <row r="13" spans="1:7" ht="20.100000000000001" customHeight="1" x14ac:dyDescent="0.25">
      <c r="A13" s="14" t="s">
        <v>2</v>
      </c>
    </row>
    <row r="14" spans="1:7" ht="20.100000000000001" customHeight="1" x14ac:dyDescent="0.25">
      <c r="A14" s="13" t="str">
        <f>HYPERLINK("#'Constants - Common'!A1", "Constants - Common")</f>
        <v>Constants - Common</v>
      </c>
    </row>
    <row r="15" spans="1:7" ht="20.100000000000001" customHeight="1" x14ac:dyDescent="0.25"/>
    <row r="16" spans="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3"/>
    </row>
    <row r="30" spans="1:1" ht="20.100000000000001" customHeight="1" x14ac:dyDescent="0.25">
      <c r="A30" s="13"/>
    </row>
    <row r="31" spans="1:1" ht="20.100000000000001" customHeight="1" x14ac:dyDescent="0.25">
      <c r="A31" s="31"/>
    </row>
    <row r="32" spans="1:1" ht="20.100000000000001" customHeight="1" x14ac:dyDescent="0.25">
      <c r="A32" s="31"/>
    </row>
    <row r="33" spans="1:7" ht="20.100000000000001" customHeight="1" x14ac:dyDescent="0.25">
      <c r="A33" s="13"/>
    </row>
    <row r="34" spans="1:7" ht="20.100000000000001" customHeight="1" x14ac:dyDescent="0.25"/>
    <row r="35" spans="1:7" ht="20.100000000000001" customHeight="1" x14ac:dyDescent="0.25"/>
    <row r="36" spans="1:7" ht="20.100000000000001" customHeight="1" x14ac:dyDescent="0.25"/>
    <row r="37" spans="1:7" ht="20.100000000000001" customHeight="1" x14ac:dyDescent="0.25"/>
    <row r="38" spans="1:7" ht="20.100000000000001" customHeight="1" x14ac:dyDescent="0.25">
      <c r="C38" s="48"/>
      <c r="G38" s="48"/>
    </row>
    <row r="39" spans="1:7" ht="20.100000000000001" customHeight="1" x14ac:dyDescent="0.25">
      <c r="A39" s="13"/>
      <c r="C39" s="48"/>
      <c r="G39" s="48"/>
    </row>
    <row r="40" spans="1:7" s="49" customFormat="1" ht="20.100000000000001" customHeight="1" x14ac:dyDescent="0.25">
      <c r="C40" s="1"/>
      <c r="D40" s="1"/>
      <c r="E40" s="1"/>
      <c r="F40" s="1"/>
      <c r="G40" s="1"/>
    </row>
    <row r="41" spans="1:7" s="49" customFormat="1" ht="20.100000000000001" customHeight="1" x14ac:dyDescent="0.25">
      <c r="A41" s="50"/>
      <c r="C41" s="1"/>
      <c r="D41" s="1"/>
      <c r="E41" s="1"/>
      <c r="F41" s="1"/>
      <c r="G41" s="1"/>
    </row>
    <row r="42" spans="1:7" ht="20.100000000000001" customHeight="1" x14ac:dyDescent="0.25"/>
    <row r="43" spans="1:7" ht="20.100000000000001" customHeight="1" x14ac:dyDescent="0.25"/>
    <row r="44" spans="1:7" ht="20.100000000000001" customHeight="1" x14ac:dyDescent="0.25">
      <c r="A44" s="54"/>
    </row>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1" spans="4:4" x14ac:dyDescent="0.25">
      <c r="D351" s="38"/>
    </row>
  </sheetData>
  <phoneticPr fontId="21" type="noConversion"/>
  <conditionalFormatting sqref="F47 E200 F210">
    <cfRule type="cellIs" dxfId="10" priority="62" operator="lessThan">
      <formula>0</formula>
    </cfRule>
  </conditionalFormatting>
  <conditionalFormatting sqref="F126:F127">
    <cfRule type="cellIs" dxfId="9" priority="21" operator="lessThan">
      <formula>0</formula>
    </cfRule>
  </conditionalFormatting>
  <conditionalFormatting sqref="F138:F139">
    <cfRule type="cellIs" dxfId="8" priority="20" operator="lessThan">
      <formula>0</formula>
    </cfRule>
  </conditionalFormatting>
  <conditionalFormatting sqref="F150:F151">
    <cfRule type="cellIs" dxfId="7" priority="19" operator="lessThan">
      <formula>0</formula>
    </cfRule>
  </conditionalFormatting>
  <conditionalFormatting sqref="F162:F163">
    <cfRule type="cellIs" dxfId="6" priority="18" operator="lessThan">
      <formula>0</formula>
    </cfRule>
  </conditionalFormatting>
  <conditionalFormatting sqref="F250:F251">
    <cfRule type="cellIs" dxfId="5" priority="93" operator="lessThan">
      <formula>0</formula>
    </cfRule>
  </conditionalFormatting>
  <conditionalFormatting sqref="F255:F256">
    <cfRule type="cellIs" dxfId="4" priority="92" operator="lessThan">
      <formula>0</formula>
    </cfRule>
  </conditionalFormatting>
  <conditionalFormatting sqref="F260:F261">
    <cfRule type="cellIs" dxfId="3" priority="91" operator="lessThan">
      <formula>0</formula>
    </cfRule>
  </conditionalFormatting>
  <conditionalFormatting sqref="F284:F285">
    <cfRule type="cellIs" dxfId="2" priority="85" operator="lessThan">
      <formula>0</formula>
    </cfRule>
  </conditionalFormatting>
  <conditionalFormatting sqref="F289:F290">
    <cfRule type="cellIs" dxfId="1" priority="84" operator="lessThan">
      <formula>0</formula>
    </cfRule>
  </conditionalFormatting>
  <conditionalFormatting sqref="F294:F295">
    <cfRule type="cellIs" dxfId="0" priority="83" operator="lessThan">
      <formula>0</formula>
    </cfRule>
  </conditionalFormatting>
  <dataValidations count="6">
    <dataValidation type="list" allowBlank="1" showInputMessage="1" showErrorMessage="1" sqref="D267" xr:uid="{4E913AB3-F90B-4C35-BCE1-5DBB8FC05107}">
      <formula1>INDIRECT("Table_SourceData_PoultryMMSStage1[MMS]")</formula1>
    </dataValidation>
    <dataValidation type="list" allowBlank="1" showInputMessage="1" showErrorMessage="1" sqref="E215" xr:uid="{9FB53635-991F-44AA-A123-E8ABEF9EE0A6}">
      <formula1>INDIRECT("Table_SourceData_Dairy_ProductionSystemTemplates[Area]")</formula1>
    </dataValidation>
    <dataValidation type="list" allowBlank="1" showInputMessage="1" showErrorMessage="1" sqref="E239 E244 E249 E283 E278 E273 E151 E139 E115 E127" xr:uid="{00A4EA4C-90D3-4150-979D-4D71C7F37A31}">
      <formula1>"Yes, No"</formula1>
    </dataValidation>
    <dataValidation type="list" allowBlank="1" showInputMessage="1" showErrorMessage="1" sqref="E55" xr:uid="{DBA884B0-B52E-420E-8FD2-21B082EB75E2}">
      <formula1>INDIRECT("Table_SourceData_Swine_IrrigationMethods[Irrigation method]")</formula1>
    </dataValidation>
    <dataValidation type="list" allowBlank="1" showInputMessage="1" showErrorMessage="1" sqref="E54" xr:uid="{B95E29DC-96D0-4475-A29E-3F3A3B60CEA1}">
      <formula1>INDIRECT("Table_SourceData_Swine_CropProdSystems[Production system]")</formula1>
    </dataValidation>
    <dataValidation type="list" allowBlank="1" showInputMessage="1" showErrorMessage="1" sqref="D34:D35" xr:uid="{23F8C720-A764-46DD-9B01-B7EA3D86E5AB}">
      <formula1>INDIRECT("Table_SourceData_OrganicFertiliserTypes[Organic fertiliser type]")</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tabSelected="1" zoomScaleNormal="100" workbookViewId="0">
      <selection activeCell="E15" sqref="E15"/>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7" customFormat="1" ht="30" customHeight="1" x14ac:dyDescent="0.35">
      <c r="A1" s="32" t="e" vm="1">
        <v>#VALUE!</v>
      </c>
      <c r="C1" s="7" t="s">
        <v>88</v>
      </c>
    </row>
    <row r="2" spans="1:16" s="8" customFormat="1" ht="20.100000000000001" customHeight="1" x14ac:dyDescent="0.25"/>
    <row r="3" spans="1:16" ht="20.100000000000001" customHeight="1" x14ac:dyDescent="0.25">
      <c r="A3" s="13" t="str">
        <f>HYPERLINK("#'Home'!A1", "Home")</f>
        <v>Home</v>
      </c>
      <c r="C3" s="3"/>
      <c r="D3" s="3" t="s">
        <v>49</v>
      </c>
      <c r="E3" s="3"/>
      <c r="F3" s="3"/>
      <c r="G3" s="3"/>
      <c r="H3" s="3"/>
      <c r="I3" s="3"/>
      <c r="J3" s="3"/>
      <c r="K3" s="3"/>
      <c r="L3" s="3"/>
      <c r="M3" s="3"/>
      <c r="N3" s="3"/>
      <c r="O3" s="3"/>
      <c r="P3" s="3"/>
    </row>
    <row r="4" spans="1:16" ht="20.100000000000001" customHeight="1" x14ac:dyDescent="0.25">
      <c r="A4" s="13" t="str">
        <f>HYPERLINK("#'Overview'!A1", "Overview")</f>
        <v>Overview</v>
      </c>
    </row>
    <row r="5" spans="1:16" ht="20.100000000000001" customHeight="1" x14ac:dyDescent="0.25">
      <c r="A5" s="13" t="str">
        <f>HYPERLINK("#'Results'!A1", "Results")</f>
        <v>Results</v>
      </c>
      <c r="D5" s="5" t="str" cm="1">
        <f t="array" ref="D5">SupplementaryCO2_Equations.VEERG_12_1_1_1__1_EmissionsFromSupplementaryCO2_Title()</f>
        <v>Emissions from the use of supplementary CO2</v>
      </c>
      <c r="O5" s="45"/>
    </row>
    <row r="6" spans="1:16" ht="20.100000000000001" customHeight="1" x14ac:dyDescent="0.25">
      <c r="A6" s="12"/>
      <c r="D6" s="4" t="str" cm="1">
        <f t="array" ref="D6">SupplementaryCO2_Equations.VEERG_12_1_1_1__1_EmissionsFromSupplementaryCO2_Source()</f>
        <v>VEERG 2026: 12.1.1.1, Equation (1)</v>
      </c>
      <c r="O6" s="45"/>
    </row>
    <row r="7" spans="1:16" ht="20.100000000000001" customHeight="1" x14ac:dyDescent="0.25">
      <c r="A7" s="16" t="s">
        <v>1</v>
      </c>
      <c r="D7" s="10" t="s">
        <v>10</v>
      </c>
      <c r="E7" s="10" t="str" cm="1">
        <f t="array" aca="1" ref="E7" ca="1">Common_InputFunctions.Utility_DisplayFunctionName(E15)</f>
        <v>=SupplementaryCO2_Equations.VEERG_12_1_1_1__1_EmissionsFromSupplementaryCO2</v>
      </c>
      <c r="O7" s="45"/>
    </row>
    <row r="8" spans="1:16" ht="20.100000000000001" customHeight="1" x14ac:dyDescent="0.25">
      <c r="A8" s="13" t="str">
        <f>HYPERLINK("#'Input - CO2 Use'!A1", "CO2 Use")</f>
        <v>CO2 Use</v>
      </c>
      <c r="O8" s="45"/>
    </row>
    <row r="9" spans="1:16" ht="20.100000000000001" customHeight="1" x14ac:dyDescent="0.25">
      <c r="A9" s="13"/>
      <c r="G9" s="4"/>
      <c r="O9" s="45"/>
    </row>
    <row r="10" spans="1:16" ht="20.100000000000001" customHeight="1" x14ac:dyDescent="0.25">
      <c r="A10" s="15" t="s">
        <v>45</v>
      </c>
      <c r="D10" s="28" t="s">
        <v>13</v>
      </c>
      <c r="E10" s="1" t="str" cm="1">
        <f t="array" ref="E10">SupplementaryCO2_Equations.VEERG_12_1_1_1__1_EmissionsFromSupplementaryCO2_Variable()</f>
        <v>E</v>
      </c>
      <c r="O10" s="45"/>
    </row>
    <row r="11" spans="1:16" ht="20.100000000000001" customHeight="1" x14ac:dyDescent="0.25">
      <c r="A11" s="61" t="str">
        <f>HYPERLINK("#'12.1.1-2 Supplementary CO2'!A1", "12.1.1-2 Supplementary CO2")</f>
        <v>12.1.1-2 Supplementary CO2</v>
      </c>
      <c r="D11" s="28" t="s">
        <v>5</v>
      </c>
      <c r="E11" s="29" t="str" cm="1">
        <f t="array" ref="E11">SupplementaryCO2_Equations.VEERG_12_1_1_1__1_EmissionsFromSupplementaryCO2_Unit()</f>
        <v>t CO2e</v>
      </c>
      <c r="O11" s="45"/>
    </row>
    <row r="12" spans="1:16" ht="20.100000000000001" customHeight="1" x14ac:dyDescent="0.25">
      <c r="A12" s="13"/>
    </row>
    <row r="13" spans="1:16" ht="20.100000000000001" customHeight="1" x14ac:dyDescent="0.25">
      <c r="A13" s="14" t="s">
        <v>2</v>
      </c>
      <c r="D13" s="51" t="str" cm="1">
        <f t="array" ref="D13:E13">_xlfn.CHOOSECOLS(SupplementaryCO2_Equations.VEERG_12_1_1_1__1_EmissionsFromSupplementaryCO2_Arguments(), 1,2)</f>
        <v>Q</v>
      </c>
      <c r="E13" s="53" t="str">
        <v>quantity of supplementary CO2 used within the operations</v>
      </c>
      <c r="F13" s="52"/>
      <c r="G13" s="51" t="str" cm="1">
        <f t="array" ref="G13:H13">_xlfn.CHOOSECOLS(SupplementaryCO2_Equations.VEERG_12_1_1_1__1_EmissionsFromSupplementaryCO2_Arguments(), 3,4)</f>
        <v>kg CO2</v>
      </c>
      <c r="H13" s="47" t="str">
        <v>Input</v>
      </c>
      <c r="I13" s="51">
        <f>SUM(Table_Input_SupplementaryCO2[Amount used (kg)])</f>
        <v>200</v>
      </c>
    </row>
    <row r="14" spans="1:16" ht="20.100000000000001" customHeight="1" x14ac:dyDescent="0.25">
      <c r="A14" s="13" t="str">
        <f>HYPERLINK("#'Constants - Common'!A1", "Constants - Common")</f>
        <v>Constants - Common</v>
      </c>
      <c r="O14" s="45"/>
    </row>
    <row r="15" spans="1:16" ht="20.100000000000001" customHeight="1" x14ac:dyDescent="0.25">
      <c r="D15" s="67" t="s">
        <v>94</v>
      </c>
      <c r="E15" s="68" cm="1">
        <f t="array" ref="E15">SupplementaryCO2_Equations.VEERG_12_1_1_1__1_EmissionsFromSupplementaryCO2(I13)</f>
        <v>0.2</v>
      </c>
      <c r="F15" s="69" t="str">
        <f>E11</f>
        <v>t CO2e</v>
      </c>
      <c r="O15" s="45"/>
    </row>
    <row r="16" spans="1:16" ht="20.100000000000001" customHeight="1" x14ac:dyDescent="0.25">
      <c r="O16" s="45"/>
    </row>
    <row r="17" spans="1:15" ht="20.100000000000001" customHeight="1" x14ac:dyDescent="0.25">
      <c r="L17" s="45"/>
      <c r="M17" s="45"/>
      <c r="N17" s="45"/>
      <c r="O17" s="45"/>
    </row>
    <row r="18" spans="1:15" ht="20.100000000000001" customHeight="1" x14ac:dyDescent="0.25">
      <c r="L18" s="45"/>
      <c r="M18" s="45"/>
      <c r="N18" s="45"/>
      <c r="O18" s="45"/>
    </row>
    <row r="19" spans="1:15" ht="20.100000000000001" customHeight="1" x14ac:dyDescent="0.25">
      <c r="L19" s="45"/>
      <c r="M19" s="45"/>
      <c r="N19" s="45"/>
      <c r="O19" s="45"/>
    </row>
    <row r="20" spans="1:15" ht="20.100000000000001" customHeight="1" x14ac:dyDescent="0.25">
      <c r="A20" s="13"/>
      <c r="L20" s="45"/>
      <c r="M20" s="45"/>
      <c r="N20" s="45"/>
      <c r="O20" s="45"/>
    </row>
    <row r="21" spans="1:15" ht="20.100000000000001" customHeight="1" x14ac:dyDescent="0.25">
      <c r="A21" s="13"/>
      <c r="O21" s="45"/>
    </row>
    <row r="22" spans="1:15" ht="20.100000000000001" customHeight="1" x14ac:dyDescent="0.25"/>
    <row r="23" spans="1:15" ht="20.100000000000001" customHeight="1" x14ac:dyDescent="0.25">
      <c r="A23" s="13"/>
    </row>
    <row r="24" spans="1:15" ht="20.100000000000001" customHeight="1" x14ac:dyDescent="0.25"/>
    <row r="25" spans="1:15" ht="20.100000000000001" customHeight="1" x14ac:dyDescent="0.25"/>
    <row r="26" spans="1:15" ht="20.100000000000001" customHeight="1" x14ac:dyDescent="0.25"/>
    <row r="27" spans="1:15" ht="20.100000000000001" customHeight="1" x14ac:dyDescent="0.25"/>
    <row r="28" spans="1:15" ht="20.100000000000001" customHeight="1" x14ac:dyDescent="0.25"/>
    <row r="29" spans="1:15" ht="20.100000000000001" customHeight="1" x14ac:dyDescent="0.25"/>
    <row r="30" spans="1:15" ht="20.100000000000001" customHeight="1" x14ac:dyDescent="0.25"/>
    <row r="31" spans="1:15" ht="20.100000000000001" customHeight="1" x14ac:dyDescent="0.25"/>
    <row r="32" spans="1:15" ht="20.100000000000001" customHeight="1" x14ac:dyDescent="0.25"/>
    <row r="33" spans="1:1" ht="20.100000000000001" customHeight="1" x14ac:dyDescent="0.25"/>
    <row r="34" spans="1:1" ht="20.100000000000001" customHeight="1" x14ac:dyDescent="0.25"/>
    <row r="35" spans="1:1" ht="20.100000000000001" customHeight="1" x14ac:dyDescent="0.25"/>
    <row r="36" spans="1:1" ht="20.100000000000001" customHeight="1" x14ac:dyDescent="0.25"/>
    <row r="37" spans="1:1" ht="20.100000000000001" customHeight="1" x14ac:dyDescent="0.25">
      <c r="A37" s="54"/>
    </row>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c r="A69" s="54"/>
    </row>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spans="1:1" ht="20.100000000000001" customHeight="1" x14ac:dyDescent="0.25"/>
    <row r="82" spans="1:1" ht="20.100000000000001" customHeight="1" x14ac:dyDescent="0.25"/>
    <row r="83" spans="1:1" ht="20.100000000000001" customHeight="1" x14ac:dyDescent="0.25">
      <c r="A83" s="54"/>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DDFF2-3D95-47BA-886B-648B3235344C}">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0" t="str" cm="1">
        <f t="array" ref="D59:D61">"⚠️" &amp; Common_SourceData.Common_SourceData_WetAndDryZones_Variation()</f>
        <v>⚠️VARIATION OF SOURCE DATA:</v>
      </c>
    </row>
    <row r="60" spans="4:8" ht="20.100000000000001" customHeight="1" x14ac:dyDescent="0.25">
      <c r="D60" s="30" t="str">
        <v>⚠️Added warm / cool temperate moist / dry - low frost and high temp classes to accommodate climate scenarios excluded by VEERG criteria.</v>
      </c>
    </row>
    <row r="61" spans="4:8" ht="20.100000000000001" customHeight="1" x14ac:dyDescent="0.25">
      <c r="D61" s="30"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0" t="str" cm="1">
        <f t="array" ref="D83:D87">"⚠️" &amp; Common_SourceData.Common_SourceData_ClimateZones_Variation()</f>
        <v>⚠️VARIATION OF SOURCE DATA:</v>
      </c>
    </row>
    <row r="84" spans="4:20" ht="20.100000000000001" customHeight="1" x14ac:dyDescent="0.25">
      <c r="D84" s="30" t="str">
        <v>⚠️Added warm / cool temperate moist / dry - low frost and high temp classes to accommodate climate scenarios excluded by VEERG criteria.</v>
      </c>
    </row>
    <row r="85" spans="4:20" ht="20.100000000000001" customHeight="1" x14ac:dyDescent="0.25">
      <c r="D85" s="30" t="str">
        <v>⚠️Fixed typo in MAT value for warm temperate dry - changed 10 to 11.</v>
      </c>
    </row>
    <row r="86" spans="4:20" ht="20.100000000000001" customHeight="1" x14ac:dyDescent="0.25">
      <c r="D86" s="30" t="str">
        <v>⚠️Added min and max columns for MAT, MAP, frost days per year, elevation, MAP:PET to calculate zones from real climate data.</v>
      </c>
    </row>
    <row r="87" spans="4:20" ht="20.100000000000001" customHeight="1" x14ac:dyDescent="0.25">
      <c r="D87" s="30"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row r="99" spans="4:20" ht="20.100000000000001" customHeight="1" x14ac:dyDescent="0.25">
      <c r="D99" s="29" t="str" cm="1">
        <f t="array" ref="D99:D102">Common_SourceData.Common_SourceData_ClimateZones_Appendices()</f>
        <v>Note:</v>
      </c>
    </row>
    <row r="100" spans="4:20" ht="20.100000000000001" customHeight="1" x14ac:dyDescent="0.25">
      <c r="D100" s="29" t="str">
        <v>MAT = mean annual temperature</v>
      </c>
    </row>
    <row r="101" spans="4:20" ht="20.100000000000001" customHeight="1" x14ac:dyDescent="0.25">
      <c r="D101" s="29" t="str">
        <v>MAP = mean annual precipitation</v>
      </c>
    </row>
    <row r="102" spans="4:20" ht="20.100000000000001" customHeight="1" x14ac:dyDescent="0.25">
      <c r="D102" s="29" t="str">
        <v>PET = potential evapotranspiration</v>
      </c>
    </row>
    <row r="103" spans="4:20" ht="20.100000000000001" customHeight="1" x14ac:dyDescent="0.25">
      <c r="D103" s="29"/>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0"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7" t="s">
        <v>39</v>
      </c>
      <c r="E119" s="27" t="s">
        <v>40</v>
      </c>
      <c r="F119" s="27" t="s">
        <v>26</v>
      </c>
      <c r="G119" s="27" t="s">
        <v>27</v>
      </c>
      <c r="BN119" s="6"/>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0"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7" t="s">
        <v>58</v>
      </c>
      <c r="E142" s="27" t="s">
        <v>48</v>
      </c>
      <c r="BN142" s="6"/>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7" t="s">
        <v>43</v>
      </c>
      <c r="E153" s="27" t="s">
        <v>44</v>
      </c>
      <c r="BC153" s="2"/>
      <c r="BD153" s="2"/>
      <c r="BE153" s="2"/>
      <c r="BF153" s="2"/>
      <c r="BG153" s="2"/>
      <c r="BH153" s="2"/>
      <c r="BI153" s="2"/>
      <c r="BJ153" s="2"/>
      <c r="BK153" s="2"/>
      <c r="BL153" s="2"/>
      <c r="BM153" s="2"/>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29"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29" t="str" cm="1">
        <f t="array" ref="D180">Common_SourceData.Common_SourceData_EFN2O_Unit()</f>
        <v>(kg N2O-N / kg N</v>
      </c>
    </row>
    <row r="181" spans="4:68" ht="20.100000000000001" customHeight="1" x14ac:dyDescent="0.25">
      <c r="D181" s="30" t="str" cm="1">
        <f t="array" ref="D181:D185">Common_SourceData.Common_SourceData_EFN2O_Variation()</f>
        <v>VARIATION OF SOURCE DATA:</v>
      </c>
    </row>
    <row r="182" spans="4:68" ht="20.100000000000001" customHeight="1" x14ac:dyDescent="0.25">
      <c r="D182" s="30" t="str">
        <v>Removed duplicate 'Aquaculture' row.</v>
      </c>
    </row>
    <row r="183" spans="4:68" ht="20.100000000000001" customHeight="1" x14ac:dyDescent="0.25">
      <c r="D183" s="30" t="str">
        <v>Removed asterisks to aid lookup.</v>
      </c>
    </row>
    <row r="184" spans="4:68" ht="20.100000000000001" customHeight="1" x14ac:dyDescent="0.25">
      <c r="D184" s="30" t="str">
        <v>Added 'production system only', 'rainfall zone' and 'irrigation method' columns to aid lookup.</v>
      </c>
    </row>
    <row r="185" spans="4:68" ht="20.100000000000001" customHeight="1" x14ac:dyDescent="0.25">
      <c r="D185" s="30"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0" t="str" cm="1">
        <f t="array" ref="D204">Common_SourceData.Common_SourceData_EFPastureRangeAndPaddock_Variation()</f>
        <v>VARIATION FROM SOURCE DATA: Changed 'Dry climate zones' to singular 'Dry climate zone' to aid lookup.</v>
      </c>
    </row>
    <row r="205" spans="4:8" x14ac:dyDescent="0.25">
      <c r="D205" s="29"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57</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29"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UwB1AHAAcABsAGUAbQBlAG4AdABhAHIAeQBDAE8AMgBfAEUAcQB1AGEAdABpAG8AbgBzACIALAAiAHQAZQB4AHQAIgA6ACIALwAqAFwAbgA9AD0APQA9AD0APQA9AD0APQA9AD0APQA9AD0APQA9AD0APQA9AD0APQA9AD0APQA9AD0APQA9AD0APQA9AD0APQA9AD0APQA9AD0APQA9AD0APQA9AD0APQA9AD0APQA9AD0APQA9AD0APQA9AD0APQA9AD0APQA9AD0APQA9AD0APQA9AD0APQA9AD0APQA9AD0APQA9AFwAbgAxADIALgAxADoAIABTAHUAcABwAGwAZQBtAGUAbgB0AGEAcgB5ACAAQwBPADIAXABuAD0APQA9AD0APQA9AD0APQA9AD0APQA9AD0APQA9AD0APQA9AD0APQA9AD0APQA9AD0APQA9AD0APQA9AD0APQA9AD0APQA9AD0APQA9AD0APQA9AD0APQA9AD0APQA9AD0APQA9AD0APQA9AD0APQA9AD0APQA9AD0APQA9AD0APQA9AD0APQA9AD0APQA9AD0APQA9AD0AXABuADEAMgAuADEALgAxAC4AMQAgAE0AZQB0AGgAbwBkACAAMQAgAC0AIABTAHUAcABwAGwAZQBtAGUAbgB0AGEAcgB5ACAAQwBPADI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IAXwAxAF8AMQBfADEAXwBfADEAXwBFAG0AaQBzAHMAaQBvAG4AcwBGAHIAbwBtAFMAdQBwAHAAbABlAG0AZQBuAHQAYQByAHkAQwBPADIAXABuAEUAbQBpAHMAcwBpAG8AbgBzACAAZgByAG8AbQAgAHQAaABlACAAdQBzAGUAIABvAGYAIABzAHUAcABwAGwAZQBtAGUAbgB0AGEAcgB5ACAAQwBPADIAXABuAEUAXABuAHQAIABDAE8AMgBlAFwAbgBFAD0AUQBcAFwAdABpAG0AZQBzACAAMQAwAF4AewAtADMAfQBcAG4AUQAgAD0AIABxAHUAYQBuAHQAaQB0AHkAIABvAGYAIABzAHUAcABwAGwAZQBtAGUAbgB0AGEAcgB5ACAAQwBPADIAIAB1AHMAZQBkACAAdwBpAHQAaABpAG4AIAB0AGgAZQAgAG8AcABlAHIAYQB0AGkAbwBuAHMAIAAoAGsAZwAgAEMATwAyACkAXABuAC0ALQAtAC0ALQAtAC0ALQAtAC0ALQAtAC0ALQAtAC0ALQAtAC0ALQAtAC0ALQAtAC0ALQAtAC0ALQAtAC0ALQAtAC0ALQAtAC0ALQBcAG4AKgAvAFwAbgBcAG4AVgBFAEUAUgBHAF8AMQAyAF8AMQBfADEAXwAxAF8AXwAxAF8ARQBtAGkAcwBzAGkAbwBuAHMARgByAG8AbQBTAHUAcABwAGwAZQBtAGUAbgB0AGEAcgB5AEMATwAyAFwAbgAgACAAPQBMAEEATQBCAEQAQQAoAFwAbgAgACAAIAAgAFEALABcAG4AIAAgACAAIABRACAAKgAgADEAMAAgAF4AIAAtADMAXABuACAAIAApADsAXABuAFwAbgBWAEUARQBSAEcAXwAxADIAXwAxAF8AMQBfADEAXwBfADEAXwBFAG0AaQBzAHMAaQBvAG4AcwBGAHIAbwBtAFMAdQBwAHAAbABlAG0AZQBuAHQAYQByAHkAQwBPADIAXwBUAGkAdABsAGUAXABuACAAIAA9AEwAQQBNAEIARABBACgAXAAiAEUAbQBpAHMAcwBpAG8AbgBzACAAZgByAG8AbQAgAHQAaABlACAAdQBzAGUAIABvAGYAIABzAHUAcABwAGwAZQBtAGUAbgB0AGEAcgB5ACAAQwBPADIAXAAiACkAOwBcAG4AXABuAFYARQBFAFIARwBfADEAMgBfADEAXwAxAF8AMQBfAF8AMQBfAEUAbQBpAHMAcwBpAG8AbgBzAEYAcgBvAG0AUwB1AHAAcABsAGUAbQBlAG4AdABhAHIAeQBDAE8AMgBfAFYAYQByAGkAYQBiAGwAZQBcAG4AIAAgAD0ATABBAE0AQgBEAEEAKABcACIARQBcACIAKQA7AFwAbgBcAG4AVgBFAEUAUgBHAF8AMQAyAF8AMQBfADEAXwAxAF8AXwAxAF8ARQBtAGkAcwBzAGkAbwBuAHMARgByAG8AbQBTAHUAcABwAGwAZQBtAGUAbgB0AGEAcgB5AEMATwAyAF8AVQBuAGkAdABcAG4AIAAgAD0ATABBAE0AQgBEAEEAKABcACIAdAAgAEMATwAyAGUAXAAiACkAOwBcAG4AXABuAFYARQBFAFIARwBfADEAMgBfADEAXwAxAF8AMQBfAF8AMQBfAEUAbQBpAHMAcwBpAG8AbgBzAEYAcgBvAG0AUwB1AHAAcABsAGUAbQBlAG4AdABhAHIAeQBDAE8AMgBfAFMAbwB1AHIAYwBlAFwAbgAgACAAPQBMAEEATQBCAEQAQQAoAFwAIgBWAEUARQBSAEcAIAAyADAAMgA2ADoAIAAxADIALgAxAC4AMQAuADEALAAgAEUAcQB1AGEAdABpAG8AbgAgACgAMQApAFwAIgApADsAXABuAFwAbgBWAEUARQBSAEcAXwAxADIAXwAxAF8AMQBfADEAXwBfADEAXwBFAG0AaQBzAHMAaQBvAG4AcwBGAHIAbwBtAFMAdQBwAHAAbABlAG0AZQBuAHQAYQByAHkAQwBPADIAXwBOAEkAUgBSAGUAZgBlAHIAZQBuAGMAZQBcAG4AIAAgAD0ATABBAE0AQgBEAEEAKABcACIAXAAiACkAOwBcAG4AXABuAFYARQBFAFIARwBfADEAMgBfADEAXwAxAF8AMQBfAF8AMQBfAEUAbQBpAHMAcwBpAG8AbgBzAEYAcgBvAG0AUwB1AHAAcABsAGUAbQBlAG4AdABhAHIAeQBDAE8AMgBfAEwAYQB0AGUAeABFAHEAdQBhAHQAaQBvAG4AXABuACAAIAA9AEwAQQBNAEIARABBACgAXAAiAEUAPQBRAFwAXAB0AGkAbQBlAHMAIAAxADAAXgB7AC0AMwB9AFwAIgApADsAXABuAFwAbgBWAEUARQBSAEcAXwAxADIAXwAxAF8AMQBfADEAXwBfADEAXwBFAG0AaQBzAHMAaQBvAG4AcwBGAHIAbwBtAFMAdQBwAHAAbABlAG0AZQBuAHQAYQByAHkAQwBPADIAXwBBAHIAZwB1AG0AZQBuAHQAcwBcAG4AIAAgAD0ATABBAE0AQgBEAEEAKABcAG4AIAAgACAAIABNAEEASwBFAEEAUgBSAEEAWQAoADEALAAgADQALABcAG4AIAAgACAAIAAgACAATABBAE0AQgBEAEEAKAByACwAYwAsAFwAbgAgACAAIAAgACAAIAAgACAASQBOAEQARQBYACgAewBcAG4AIAAgACAAIAAgACAAIAAgACAAIABcACIAUQBcACIALAAgAFwAIgBxAHUAYQBuAHQAaQB0AHkAIABvAGYAIABzAHUAcABwAGwAZQBtAGUAbgB0AGEAcgB5ACAAQwBPADIAIAB1AHMAZQBkACAAdwBpAHQAaABpAG4AIAB0AGgAZQAgAG8AcABlAHIAYQB0AGkAbwBuAHMAXAAiACwAIABcACIAawBnACAAQwBPADIAXAAiACwAIABcACIASQBuAHAAdQB0AFwAIgBcAG4AIAAgACAAIAAgACAAIAAgAH0ALAAgAHIALAAgAGMAKQBcAG4AIAAgACAAIAAgACAAKQBcAG4AIAAgACAAIAApAFwAbgAgACAAKQA7AFwAbg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TAHUAcABwAGwAZQBtAGUAbgB0AGEAcgB5AEMATwAyAF8ARQBxAHUAYQB0AGkAbwBuAHMALgBWAEUARQBSAEcAXwAxADIAXwAxAF8AMQBfADEAXwBfADEAXwBFAG0AaQBzAHMAaQBvAG4AcwBGAHIAbwBtAFMAdQBwAHAAbABlAG0AZQBuAHQAYQByAHkAQwBPADIAIgAsACIAUwB1AHAAcABsAGUAbQBlAG4AdABhAHIAeQBDAE8AMgBfAEUAcQB1AGEAdABpAG8AbgBzAC4AVgBFAEUAUgBHAF8AMQAyAF8AMQBfADEAXwAxAF8AXwAxAF8ARQBtAGkAcwBzAGkAbwBuAHMARgByAG8AbQBTAHUAcABwAGwAZQBtAGUAbgB0AGEAcgB5AEMATwAyAF8AVABpAHQAbABlACIALAAiAFMAdQBwAHAAbABlAG0AZQBuAHQAYQByAHkAQwBPADIAXwBFAHEAdQBhAHQAaQBvAG4AcwAuAFYARQBFAFIARwBfADEAMgBfADEAXwAxAF8AMQBfAF8AMQBfAEUAbQBpAHMAcwBpAG8AbgBzAEYAcgBvAG0AUwB1AHAAcABsAGUAbQBlAG4AdABhAHIAeQBDAE8AMgBfAFYAYQByAGkAYQBiAGwAZQAiACwAIgBTAHUAcABwAGwAZQBtAGUAbgB0AGEAcgB5AEMATwAyAF8ARQBxAHUAYQB0AGkAbwBuAHMALgBWAEUARQBSAEcAXwAxADIAXwAxAF8AMQBfADEAXwBfADEAXwBFAG0AaQBzAHMAaQBvAG4AcwBGAHIAbwBtAFMAdQBwAHAAbABlAG0AZQBuAHQAYQByAHkAQwBPADIAXwBVAG4AaQB0ACIALAAiAFMAdQBwAHAAbABlAG0AZQBuAHQAYQByAHkAQwBPADIAXwBFAHEAdQBhAHQAaQBvAG4AcwAuAFYARQBFAFIARwBfADEAMgBfADEAXwAxAF8AMQBfAF8AMQBfAEUAbQBpAHMAcwBpAG8AbgBzAEYAcgBvAG0AUwB1AHAAcABsAGUAbQBlAG4AdABhAHIAeQBDAE8AMgBfAFMAbwB1AHIAYwBlACIALAAiAFMAdQBwAHAAbABlAG0AZQBuAHQAYQByAHkAQwBPADIAXwBFAHEAdQBhAHQAaQBvAG4AcwAuAFYARQBFAFIARwBfADEAMgBfADEAXwAxAF8AMQBfAF8AMQBfAEUAbQBpAHMAcwBpAG8AbgBzAEYAcgBvAG0AUwB1AHAAcABsAGUAbQBlAG4AdABhAHIAeQBDAE8AMgBfAE4ASQBSAFIAZQBmAGUAcgBlAG4AYwBlACIALAAiAFMAdQBwAHAAbABlAG0AZQBuAHQAYQByAHkAQwBPADIAXwBFAHEAdQBhAHQAaQBvAG4AcwAuAFYARQBFAFIARwBfADEAMgBfADEAXwAxAF8AMQBfAF8AMQBfAEUAbQBpAHMAcwBpAG8AbgBzAEYAcgBvAG0AUwB1AHAAcABsAGUAbQBlAG4AdABhAHIAeQBDAE8AMgBfAEwAYQB0AGUAeABFAHEAdQBhAHQAaQBvAG4AIgAsACIAUwB1AHAAcABsAGUAbQBlAG4AdABhAHIAeQBDAE8AMgBfAEUAcQB1AGEAdABpAG8AbgBzAC4AVgBFAEUAUgBHAF8AMQAyAF8AMQBfADEAXwAxAF8AXwAxAF8ARQBtAGkAcwBzAGkAbwBuAHMARgByAG8AbQBTAHUAcABwAGwAZQBtAGUAbgB0AGEAcgB5AEMATwA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Home</vt:lpstr>
      <vt:lpstr>Overview</vt:lpstr>
      <vt:lpstr>Results</vt:lpstr>
      <vt:lpstr>Input - CO2 Use</vt:lpstr>
      <vt:lpstr>12.1.1-2 Supplementary CO2</vt:lpstr>
      <vt:lpstr>Constants - Common</vt:lpstr>
      <vt:lpstr>VEERG_12_1_1_1__1_EmissionsFromSupplementaryCO2_Result_Method1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2026-06-22T04:57:42Z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