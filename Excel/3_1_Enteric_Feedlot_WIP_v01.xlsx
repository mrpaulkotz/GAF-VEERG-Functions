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DF7826A3-323F-45EE-868D-271BC53A753D}" xr6:coauthVersionLast="47" xr6:coauthVersionMax="47" xr10:uidLastSave="{00000000-0000-0000-0000-000000000000}"/>
  <bookViews>
    <workbookView xWindow="390" yWindow="390" windowWidth="37350" windowHeight="19740" firstSheet="1" activeTab="1" xr2:uid="{992023F3-CAB7-4E5B-A348-08D563A0EF40}"/>
  </bookViews>
  <sheets>
    <sheet name="Home" sheetId="71" r:id="rId1"/>
    <sheet name="Overview" sheetId="100" r:id="rId2"/>
    <sheet name="Results" sheetId="13" r:id="rId3"/>
    <sheet name="Input - Site" sheetId="15" r:id="rId4"/>
    <sheet name="Input - Feedlot" sheetId="70" r:id="rId5"/>
    <sheet name="3.1.1.1-2 Enteric Methane" sheetId="69" r:id="rId6"/>
    <sheet name="Constants - Feedlot" sheetId="79" r:id="rId7"/>
    <sheet name="Constants - Common" sheetId="98" r:id="rId8"/>
    <sheet name="Constants - Livestock" sheetId="43" r:id="rId9"/>
    <sheet name="Acknowledgements" sheetId="72" r:id="rId10"/>
    <sheet name="Tab template" sheetId="74" r:id="rId11"/>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Feedlot_Equations.VEERG_3_1_1_1__1_TotalAnnualMethaneFromEntericFermentation">_xlfn.LAMBDA(_xlpm.D_j,_xlpm.M_j,_xlpm.N_j, (_xlpm.D_j * _xlpm.M_j * _xlpm.N_j) * 10 ^ -3)</definedName>
    <definedName name="EntericMethane_Feedlot_Equations.VEERG_3_1_1_1__1_TotalAnnualMethaneFromEntericFermentation_Arguments">_xlfn.LAMBDA(_xlfn.MAKEARRAY(3, 4, _xlfn.LAMBDA(_xlpm.r,_xlpm.c, INDEX({"D_j","duration of stay of each cattle lot","days","Input";"M_j","daily methane production","kg CH4/head/day","Calculated from 3.1.1.1, (2)";"N_j","numbers of feedlot cattle in each cattle lot","head","Input"}, _xlpm.r, _xlpm.c))))</definedName>
    <definedName name="EntericMethane_Feedlot_Equations.VEERG_3_1_1_1__1_TotalAnnualMethaneFromEntericFermentation_LatexEquation">_xlfn.LAMBDA("E_{enteric}=\sum\nolimits_j(D_j\times M_j\times N_j)\times 10^{-3}")</definedName>
    <definedName name="EntericMethane_Feedlot_Equations.VEERG_3_1_1_1__1_TotalAnnualMethaneFromEntericFermentation_NIRReference">_xlfn.LAMBDA("")</definedName>
    <definedName name="EntericMethane_Feedlot_Equations.VEERG_3_1_1_1__1_TotalAnnualMethaneFromEntericFermentation_Source">_xlfn.LAMBDA("VEERG 2026: 3.1.1.1, Equation (1)")</definedName>
    <definedName name="EntericMethane_Feedlot_Equations.VEERG_3_1_1_1__1_TotalAnnualMethaneFromEntericFermentation_Title">_xlfn.LAMBDA("Total annual methane production from enteric fermentation in feedlot beef cattle")</definedName>
    <definedName name="EntericMethane_Feedlot_Equations.VEERG_3_1_1_1__1_TotalAnnualMethaneFromEntericFermentation_Unit">_xlfn.LAMBDA("t CH4")</definedName>
    <definedName name="EntericMethane_Feedlot_Equations.VEERG_3_1_1_1__1_TotalAnnualMethaneFromEntericFermentation_Variable">_xlfn.LAMBDA("E_enteric")</definedName>
    <definedName name="EntericMethane_Feedlot_Equations.VEERG_3_1_1_1__2_DailyEntericMethaneProduction">_xlfn.LAMBDA(_xlpm.I_j,_xlpm.EE_j,_xlpm.NDF_j, (5.11 * _xlpm.I_j - 4 * _xlpm.EE_j + 2.26 * _xlpm.NDF_j) * 10 ^ -3)</definedName>
    <definedName name="EntericMethane_Feedlot_Equations.VEERG_3_1_1_1__2_DailyEntericMethaneProduction_Arguments">_xlfn.LAMBDA(_xlfn.MAKEARRAY(3, 4, _xlfn.LAMBDA(_xlpm.r,_xlpm.c, INDEX({"I_j","dry matter intake","kg DM/head/day","Input";"EE_j","ether extract as a percentage of I_j","per cent","Input";"NDF_j","neutral detergent fibre as a percentage of I_j","per cent","Input"}, _xlpm.r, _xlpm.c))))</definedName>
    <definedName name="EntericMethane_Feedlot_Equations.VEERG_3_1_1_1__2_DailyEntericMethaneProduction_LatexEquation">_xlfn.LAMBDA("M_j=(5.11\times I_j-4.00\times EE_j+2.26\times NDF_j)\times 10^{-3}")</definedName>
    <definedName name="EntericMethane_Feedlot_Equations.VEERG_3_1_1_1__2_DailyEntericMethaneProduction_NIRReference">_xlfn.LAMBDA("Almeida et al. (2025)")</definedName>
    <definedName name="EntericMethane_Feedlot_Equations.VEERG_3_1_1_1__2_DailyEntericMethaneProduction_Source">_xlfn.LAMBDA("VEERG 2026: 3.1.1.1, Equation (2)")</definedName>
    <definedName name="EntericMethane_Feedlot_Equations.VEERG_3_1_1_1__2_DailyEntericMethaneProduction_Title">_xlfn.LAMBDA("Daily production of enteric methane")</definedName>
    <definedName name="EntericMethane_Feedlot_Equations.VEERG_3_1_1_1__2_DailyEntericMethaneProduction_Unit">_xlfn.LAMBDA("kg CH4/head/day")</definedName>
    <definedName name="EntericMethane_Feedlot_Equations.VEERG_3_1_1_1__2_DailyEntericMethaneProduction_Variable">_xlfn.LAMBDA("M_j")</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MS_Feedlot_AtmosphericDeposition_Equations.VEERG_4_1_1_5__1_TotalAnnualAtmosphericDepositionEmissions">_xlfn.LAMBDA(_xlpm.MMS_ATMOS,_xlpm.EF_N2O,_xlpm.C_N2O, (_xlpm.MMS_ATMOS * _xlpm.EF_N2O * _xlpm.C_N2O) * 10 ^ -3)</definedName>
    <definedName name="MMS_Feedlot_AtmosphericDeposition_Equations.VEERG_4_1_1_5__1_TotalAnnualAtmosphericDepositionEmissions_Arguments">_xlfn.LAMBDA(_xlfn.MAKEARRAY(6, 4, _xlfn.LAMBDA(_xlpm.r,_xlpm.c, INDEX({"MMS_ATMOS","mass of N volatilised from MMS","kg N","Calculated from 4.1.1.5 (2)";"EF_N2O","nitrous oxide emission factor for atmospheric deposition","kg N2O-N/kg N","Constant";"C_N2O","factor to convert elemental mass of nitrous oxide to molecular mass","","Constant";"j","production system","","Input";"i","irrigation method","","Input";"r","rainfall zone","","Input"}, _xlpm.r, _xlpm.c))))</definedName>
    <definedName name="MMS_Feedlot_AtmosphericDeposition_Equations.VEERG_4_1_1_5__1_TotalAnnualAtmosphericDepositionEmissions_LatexEquation">_xlfn.LAMBDA("E_{N2O,ad}=(MMS_{ATMOS}\times EF_{N2O}\times C_{N2O})\times10^{-3}")</definedName>
    <definedName name="MMS_Feedlot_AtmosphericDeposition_Equations.VEERG_4_1_1_5__1_TotalAnnualAtmosphericDepositionEmissions_NIRReference">_xlfn.LAMBDA("")</definedName>
    <definedName name="MMS_Feedlot_AtmosphericDeposition_Equations.VEERG_4_1_1_5__1_TotalAnnualAtmosphericDepositionEmissions_Source">_xlfn.LAMBDA("VEERG 2026: 4.1.1.5, Equation (1)")</definedName>
    <definedName name="MMS_Feedlot_AtmosphericDeposition_Equations.VEERG_4_1_1_5__1_TotalAnnualAtmosphericDepositionEmissions_Title">_xlfn.LAMBDA("Total annual atmospheric deposition emissions from manure management")</definedName>
    <definedName name="MMS_Feedlot_AtmosphericDeposition_Equations.VEERG_4_1_1_5__1_TotalAnnualAtmosphericDepositionEmissions_Unit">_xlfn.LAMBDA("t N2O")</definedName>
    <definedName name="MMS_Feedlot_AtmosphericDeposition_Equations.VEERG_4_1_1_5__1_TotalAnnualAtmosphericDepositionEmissions_Variable">_xlfn.LAMBDA("E_N2Oad")</definedName>
    <definedName name="MMS_Feedlot_AtmosphericDeposition_Equations.VEERG_4_1_1_5__2_VolatilisedNitrogenFromManureManagement">_xlfn.LAMBDA(_xlpm.MN_jmT,_xlpm.FracGASM_mT, _xlpm.MN_jmT * _xlpm.FracGASM_mT)</definedName>
    <definedName name="MMS_Feedlot_AtmosphericDeposition_Equations.VEERG_4_1_1_5__2_VolatilisedNitrogenFromManureManagement_Arguments">_xlfn.LAMBDA(_xlfn.MAKEARRAY(2, 4, _xlfn.LAMBDA(_xlpm.r,_xlpm.c, INDEX({"MN_jmT","nitrogen in each treatment stage MMS (excluding MN_ijm13T2)","kg N","Calculated from 4.1.1.3 (2)(6)(8)";"FracGASM_mT","fraction of N volatilised in each MMS","(kg NH3-N + NOx-N)/kg N","Constant"}, _xlpm.r, _xlpm.c))))</definedName>
    <definedName name="MMS_Feedlot_AtmosphericDeposition_Equations.VEERG_4_1_1_5__2_VolatilisedNitrogenFromManureManagement_LatexEquation">_xlfn.LAMBDA("MMS_{ATMOS}=\sum_{j}\sum_{m}\sum_{T}(MN_{jmT}\times FracGASM_{mT})")</definedName>
    <definedName name="MMS_Feedlot_AtmosphericDeposition_Equations.VEERG_4_1_1_5__2_VolatilisedNitrogenFromManureManagement_NIRReference">_xlfn.LAMBDA("")</definedName>
    <definedName name="MMS_Feedlot_AtmosphericDeposition_Equations.VEERG_4_1_1_5__2_VolatilisedNitrogenFromManureManagement_Source">_xlfn.LAMBDA("VEERG 2026: 4.1.1.5, Equation (2)")</definedName>
    <definedName name="MMS_Feedlot_AtmosphericDeposition_Equations.VEERG_4_1_1_5__2_VolatilisedNitrogenFromManureManagement_Title">_xlfn.LAMBDA("Volatilised nitrogen from manure management")</definedName>
    <definedName name="MMS_Feedlot_AtmosphericDeposition_Equations.VEERG_4_1_1_5__2_VolatilisedNitrogenFromManureManagement_Unit">_xlfn.LAMBDA("kg N")</definedName>
    <definedName name="MMS_Feedlot_AtmosphericDeposition_Equations.VEERG_4_1_1_5__2_VolatilisedNitrogenFromManureManagement_Variable">_xlfn.LAMBDA("MMS_ATMOS")</definedName>
    <definedName name="MMS_Feedlot_ManureAppliedToSoils_Equations.VEERG_4_1_1_9__1_MassOfNitrogenAppliedToSoilsScope1">_xlfn.LAMBDA(_xlpm.MN_jmT23,_xlpm.EF_mT23,_xlpm.FracGASM_mT23,_xlpm.PF, (_xlpm.MN_jmT23 * (1 - _xlpm.EF_mT23 - _xlpm.FracGASM_mT23)) * _xlpm.PF)</definedName>
    <definedName name="MMS_Feedlot_ManureAppliedToSoils_Equations.VEERG_4_1_1_9__1_MassOfNitrogenAppliedToSoilsScope1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1_MassOfNitrogenAppliedToSoilsScope1_LatexEquation">_xlfn.LAMBDA("MNSoil_{scope1}=\sum_{j}\sum_{m}\sum_{T}(MN_{jmT=2,3}\times(1-EF_{mT=2,3}-FracGASM_{mT=2,3}))\times PF")</definedName>
    <definedName name="MMS_Feedlot_ManureAppliedToSoils_Equations.VEERG_4_1_1_9__1_MassOfNitrogenAppliedToSoilsScope1_NIRReference">_xlfn.LAMBDA("")</definedName>
    <definedName name="MMS_Feedlot_ManureAppliedToSoils_Equations.VEERG_4_1_1_9__1_MassOfNitrogenAppliedToSoilsScope1_Source">_xlfn.LAMBDA("VEERG 2026: 4.1.1.9, Equation (1)")</definedName>
    <definedName name="MMS_Feedlot_ManureAppliedToSoils_Equations.VEERG_4_1_1_9__1_MassOfNitrogenAppliedToSoilsScope1_Title">_xlfn.LAMBDA("Mass of nitrogen applied to soils for scope 1 emissions")</definedName>
    <definedName name="MMS_Feedlot_ManureAppliedToSoils_Equations.VEERG_4_1_1_9__1_MassOfNitrogenAppliedToSoilsScope1_Unit">_xlfn.LAMBDA("kg N")</definedName>
    <definedName name="MMS_Feedlot_ManureAppliedToSoils_Equations.VEERG_4_1_1_9__1_MassOfNitrogenAppliedToSoilsScope1_Variable">_xlfn.LAMBDA("MNSoil_scope1")</definedName>
    <definedName name="MMS_Feedlot_ManureAppliedToSoils_Equations.VEERG_4_1_1_9__2_MassOfNitrogenAppliedToSoilsScope3">_xlfn.LAMBDA(_xlpm.MN_jmT23,_xlpm.EF_mT23,_xlpm.FracGASM_mT23,_xlpm.PF, (_xlpm.MN_jmT23 * (1 - _xlpm.EF_mT23 - _xlpm.FracGASM_mT23)) * (1 - _xlpm.PF))</definedName>
    <definedName name="MMS_Feedlot_ManureAppliedToSoils_Equations.VEERG_4_1_1_9__2_MassOfNitrogenAppliedToSoilsScope3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2_MassOfNitrogenAppliedToSoilsScope3_LatexEquation">_xlfn.LAMBDA("MNSoil_{scope3}=\sum_{j}\sum_{m}\sum_{T}(MN_{jmT=2,3}\times(1-EF_{mT=2,3}-FracGASM_{mT=2,3}))\times(1-PF)")</definedName>
    <definedName name="MMS_Feedlot_ManureAppliedToSoils_Equations.VEERG_4_1_1_9__2_MassOfNitrogenAppliedToSoilsScope3_NIRReference">_xlfn.LAMBDA("")</definedName>
    <definedName name="MMS_Feedlot_ManureAppliedToSoils_Equations.VEERG_4_1_1_9__2_MassOfNitrogenAppliedToSoilsScope3_Source">_xlfn.LAMBDA("VEERG 2026: 4.1.1.9, Equation (2)")</definedName>
    <definedName name="MMS_Feedlot_ManureAppliedToSoils_Equations.VEERG_4_1_1_9__2_MassOfNitrogenAppliedToSoilsScope3_Title">_xlfn.LAMBDA("Mass of nitrogen applied to soils for scope 3 emissions")</definedName>
    <definedName name="MMS_Feedlot_ManureAppliedToSoils_Equations.VEERG_4_1_1_9__2_MassOfNitrogenAppliedToSoilsScope3_Unit">_xlfn.LAMBDA("kg N")</definedName>
    <definedName name="MMS_Feedlot_ManureAppliedToSoils_Equations.VEERG_4_1_1_9__2_MassOfNitrogenAppliedToSoilsScope3_Variable">_xlfn.LAMBDA("MNSoil_scope3")</definedName>
    <definedName name="MMS_Feedlot_Methane_Equations.VEERG_4_1_1_1__1_TotalAnnualMethaneEmissions">_xlfn.LAMBDA(_xlpm.D_j,_xlpm.M_jmT,_xlpm.N_j, (_xlpm.D_j * _xlpm.M_jmT * _xlpm.N_j) * 10 ^ -3)</definedName>
    <definedName name="MMS_Feedlot_Methane_Equations.VEERG_4_1_1_1__1_TotalAnnualMethaneEmissions_Arguments">_xlfn.LAMBDA(_xlfn.MAKEARRAY(3, 4, _xlfn.LAMBDA(_xlpm.r,_xlpm.c, INDEX({"D_j","length of stay of each cattle group","days","Input";"M_jmT","methane production from manure per cattle group, MMS, and treatment stage","kg CH4/head/day","Calculated from 4.1.1.1 (2)(3)(4)";"N_j","numbers of beef cattle in each group","head","Input"}, _xlpm.r, _xlpm.c))))</definedName>
    <definedName name="MMS_Feedlot_Methane_Equations.VEERG_4_1_1_1__1_TotalAnnualMethaneEmissions_LatexEquation">_xlfn.LAMBDA("{E}_{CH4}=\sum_{j}\sum_{m}\sum_{T}(D_{j}\times M_{jmT}\times N_{j})\times10^{-3}")</definedName>
    <definedName name="MMS_Feedlot_Methane_Equations.VEERG_4_1_1_1__1_TotalAnnualMethaneEmissions_NIRReference">_xlfn.LAMBDA("")</definedName>
    <definedName name="MMS_Feedlot_Methane_Equations.VEERG_4_1_1_1__1_TotalAnnualMethaneEmissions_Source">_xlfn.LAMBDA("VEERG 2026: 4.1.1.1, Equation (1)")</definedName>
    <definedName name="MMS_Feedlot_Methane_Equations.VEERG_4_1_1_1__1_TotalAnnualMethaneEmissions_Title">_xlfn.LAMBDA("Total annual methane emissions from manure management")</definedName>
    <definedName name="MMS_Feedlot_Methane_Equations.VEERG_4_1_1_1__1_TotalAnnualMethaneEmissions_Unit">_xlfn.LAMBDA("t CH4")</definedName>
    <definedName name="MMS_Feedlot_Methane_Equations.VEERG_4_1_1_1__1_TotalAnnualMethaneEmissions_Variable">_xlfn.LAMBDA("E_CH4")</definedName>
    <definedName name="MMS_Feedlot_Methane_Equations.VEERG_4_1_1_1__2_Stage1MethaneProductionDrylot">_xlfn.LAMBDA(_xlpm.VS_j,_xlpm.BO,_xlpm.MMS_m5T1,_xlpm.MCF_im5,_xlpm.rho, _xlfn.LET(_xlpm.MCF_im5, IF(ISNUMBER(_xlpm.MCF_im5), _xlpm.MCF_im5, 0), _xlpm.VS_j * _xlpm.BO * _xlpm.MMS_m5T1 * _xlpm.MCF_im5 * _xlpm.rho))</definedName>
    <definedName name="MMS_Feedlot_Methane_Equations.VEERG_4_1_1_1__2_Stage1MethaneProductionDrylot_Arguments">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Arguments_Method2">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LatexEquation">_xlfn.LAMBDA("M_{jm=5,T=1}=VS_{j}\times BO\times MMS_{m=5,T=1}\times MCF_{im=5}\times \rho")</definedName>
    <definedName name="MMS_Feedlot_Methane_Equations.VEERG_4_1_1_1__2_Stage1MethaneProductionDrylot_NIRReference">_xlfn.LAMBDA("")</definedName>
    <definedName name="MMS_Feedlot_Methane_Equations.VEERG_4_1_1_1__2_Stage1MethaneProductionDrylot_Source">_xlfn.LAMBDA("VEERG 2026: 4.1.1.1, Equation (2)")</definedName>
    <definedName name="MMS_Feedlot_Methane_Equations.VEERG_4_1_1_1__2_Stage1MethaneProductionDrylot_Title">_xlfn.LAMBDA("Production of methane in treatment stage 1 MMS")</definedName>
    <definedName name="MMS_Feedlot_Methane_Equations.VEERG_4_1_1_1__2_Stage1MethaneProductionDrylot_Unit">_xlfn.LAMBDA("kg CH4/head/day")</definedName>
    <definedName name="MMS_Feedlot_Methane_Equations.VEERG_4_1_1_1__2_Stage1MethaneProductionDrylot_Variable">_xlfn.LAMBDA("M_jm5T1")</definedName>
    <definedName name="MMS_Feedlot_Methane_Equations.VEERG_4_1_1_1__3_Stage2MethaneProduction">_xlfn.LAMBDA(_xlpm.VSL,_xlpm.VS_j,_xlpm.BO,_xlpm.MMS_mT2,_xlpm.MCF_im,_xlpm.rho, (1 - _xlpm.VSL) * _xlpm.VS_j * _xlpm.BO * _xlpm.MMS_mT2 * _xlpm.MCF_im * _xlpm.rho)</definedName>
    <definedName name="MMS_Feedlot_Methane_Equations.VEERG_4_1_1_1__3_Stage2MethaneProduction_Arguments">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state and MMS","fraction","Constant";"rho","density of methane","kg/m3","Constant";"i","state","","Input"}, _xlpm.r, _xlpm.c))))</definedName>
    <definedName name="MMS_Feedlot_Methane_Equations.VEERG_4_1_1_1__3_Stage2MethaneProduction_Arguments_Method2">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mean annual temperature and MMS","fraction","Constant";"rho","density of methane","kg/m3","Constant";"i","Mean annual temperature","","Input"}, _xlpm.r, _xlpm.c))))</definedName>
    <definedName name="MMS_Feedlot_Methane_Equations.VEERG_4_1_1_1__3_Stage2MethaneProduction_LatexEquation">_xlfn.LAMBDA("M_{jmT=2}=(1-VSL)\times VS_{j}\times BO\times MMS_{mT=2}\times MCF_{im}\times \rho")</definedName>
    <definedName name="MMS_Feedlot_Methane_Equations.VEERG_4_1_1_1__3_Stage2MethaneProduction_NIRReference">_xlfn.LAMBDA("")</definedName>
    <definedName name="MMS_Feedlot_Methane_Equations.VEERG_4_1_1_1__3_Stage2MethaneProduction_Source">_xlfn.LAMBDA("VEERG 2026: 4.1.1.1, Equation (3)")</definedName>
    <definedName name="MMS_Feedlot_Methane_Equations.VEERG_4_1_1_1__3_Stage2MethaneProduction_Title">_xlfn.LAMBDA("Production of methane in treatment stage 2 MMS")</definedName>
    <definedName name="MMS_Feedlot_Methane_Equations.VEERG_4_1_1_1__3_Stage2MethaneProduction_Unit">_xlfn.LAMBDA("kg CH4/head/day")</definedName>
    <definedName name="MMS_Feedlot_Methane_Equations.VEERG_4_1_1_1__3_Stage2MethaneProduction_Variable">_xlfn.LAMBDA("M_jmT2")</definedName>
    <definedName name="MMS_Feedlot_Methane_Equations.VEERG_4_1_1_1__4_Stage3MethaneProductionAnaerobicLagoon">_xlfn.LAMBDA(_xlpm.VS_j,_xlpm.BO,_xlpm.MMS_m1T3,_xlpm.MCF_im1,_xlpm.rho, _xlpm.VS_j * _xlpm.BO * _xlpm.MMS_m1T3 * _xlpm.MCF_im1 * _xlpm.rho)</definedName>
    <definedName name="MMS_Feedlot_Methane_Equations.VEERG_4_1_1_1__4_Stage3MethaneProductionAnaerobicLagoon_Arguments">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state and anaerobic lagoon system","fraction","Constant";"rho","density of methane","kg/m3","Constant";"i","state","","Input"}, _xlpm.r, _xlpm.c))))</definedName>
    <definedName name="MMS_Feedlot_Methane_Equations.VEERG_4_1_1_1__4_Stage3MethaneProductionAnaerobicLagoon_Arguments_Method2">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mean annual temperature and anaerobic lagoon system","fraction","Constant";"rho","density of methane","kg/m3","Constant";"i","Mean annual temperature","","Input"}, _xlpm.r, _xlpm.c))))</definedName>
    <definedName name="MMS_Feedlot_Methane_Equations.VEERG_4_1_1_1__4_Stage3MethaneProductionAnaerobicLagoon_LatexEquation">_xlfn.LAMBDA("M_{jm=1,T=3}=VS_{j}\times BO\times MMS_{m=1,T=3}\times MCF_{im=1}\times \rho")</definedName>
    <definedName name="MMS_Feedlot_Methane_Equations.VEERG_4_1_1_1__4_Stage3MethaneProductionAnaerobicLagoon_NIRReference">_xlfn.LAMBDA("")</definedName>
    <definedName name="MMS_Feedlot_Methane_Equations.VEERG_4_1_1_1__4_Stage3MethaneProductionAnaerobicLagoon_Source">_xlfn.LAMBDA("VEERG 2026: 4.1.1.1, Equation (4)")</definedName>
    <definedName name="MMS_Feedlot_Methane_Equations.VEERG_4_1_1_1__4_Stage3MethaneProductionAnaerobicLagoon_Title">_xlfn.LAMBDA("Production of methane in treatment stage 3 MMS")</definedName>
    <definedName name="MMS_Feedlot_Methane_Equations.VEERG_4_1_1_1__4_Stage3MethaneProductionAnaerobicLagoon_Unit">_xlfn.LAMBDA("kg CH4/head/day")</definedName>
    <definedName name="MMS_Feedlot_Methane_Equations.VEERG_4_1_1_1__4_Stage3MethaneProductionAnaerobicLagoon_Variable">_xlfn.LAMBDA("M_jm1T3")</definedName>
    <definedName name="MMS_Feedlot_Methane_Equations.VEERG_4_1_1_1__5_VolatileSolidProduction">_xlfn.LAMBDA(_xlpm.I_j,_xlpm.DMD_j,_xlpm.A, _xlpm.I_j * (1 - _xlpm.DMD_j) * (1 - _xlpm.A))</definedName>
    <definedName name="MMS_Feedlot_Methane_Equations.VEERG_4_1_1_1__5_VolatileSolidProduction_Arguments">_xlfn.LAMBDA(_xlfn.MAKEARRAY(3, 4, _xlfn.LAMBDA(_xlpm.r,_xlpm.c, INDEX({"I_j","dry matter intake for each group j","kg DM/head/day","Input";"DMD_j","dry matter digestibility for each group j","fraction","Input";"A","ash content of manure","fraction","Constant"}, _xlpm.r, _xlpm.c))))</definedName>
    <definedName name="MMS_Feedlot_Methane_Equations.VEERG_4_1_1_1__5_VolatileSolidProduction_LatexEquation">_xlfn.LAMBDA("VS_{j}=I_{j}\times(1-DMD_{j})\times(1-A)")</definedName>
    <definedName name="MMS_Feedlot_Methane_Equations.VEERG_4_1_1_1__5_VolatileSolidProduction_NIRReference">_xlfn.LAMBDA("")</definedName>
    <definedName name="MMS_Feedlot_Methane_Equations.VEERG_4_1_1_1__5_VolatileSolidProduction_Source">_xlfn.LAMBDA("VEERG 2026: 4.1.1.1, Equation (5)")</definedName>
    <definedName name="MMS_Feedlot_Methane_Equations.VEERG_4_1_1_1__5_VolatileSolidProduction_Title">_xlfn.LAMBDA("Volatile solid production")</definedName>
    <definedName name="MMS_Feedlot_Methane_Equations.VEERG_4_1_1_1__5_VolatileSolidProduction_Unit">_xlfn.LAMBDA("kg/head/day")</definedName>
    <definedName name="MMS_Feedlot_Methane_Equations.VEERG_4_1_1_1__5_VolatileSolidProduction_Variable">_xlfn.LAMBDA("VS_j")</definedName>
    <definedName name="MMS_Feedlot_N2ODirect_Equations.VEERG_4_1_1_3__1_TotalAnnualDirectNitrousOxideEmissions">_xlfn.LAMBDA(_xlpm.MN_jmT,_xlpm.EF_jm,_xlpm.C_N2O, SUMPRODUCT(_xlpm.MN_jmT, _xlpm.EF_jm, _xlpm.C_N2O) * 10 ^ -3)</definedName>
    <definedName name="MMS_Feedlot_N2ODirect_Equations.VEERG_4_1_1_3__1_TotalAnnualDirectNitrousOxideEmissions_Arguments">_xlfn.LAMBDA(_xlfn.MAKEARRAY(3, 4, _xlfn.LAMBDA(_xlpm.r,_xlpm.c, INDEX({"MN_jmT","nitrogen per cattle group, MMS and treatment stage","kg N","Calculated from 4.1.1.3 (2)(6)(8)";"EF_jm","nitrous oxide emission factor for MMS","kg N2O-N/kg N","Constant";"C_N2O","factor to convert elemental mass of nitrous oxide to molecular mass","ratio","Constant"}, _xlpm.r, _xlpm.c))))</definedName>
    <definedName name="MMS_Feedlot_N2ODirect_Equations.VEERG_4_1_1_3__1_TotalAnnualDirectNitrousOxideEmissions_LatexEquation">_xlfn.LAMBDA("E_{N2O,dir}=\sum_{j}\sum_{m}\sum_{T}(MN_{jmT}\times EF_{jm}\times C_{N2O})\times10^{-3}")</definedName>
    <definedName name="MMS_Feedlot_N2ODirect_Equations.VEERG_4_1_1_3__1_TotalAnnualDirectNitrousOxideEmissions_NIRReference">_xlfn.LAMBDA("")</definedName>
    <definedName name="MMS_Feedlot_N2ODirect_Equations.VEERG_4_1_1_3__1_TotalAnnualDirectNitrousOxideEmissions_Source">_xlfn.LAMBDA("VEERG 2026: 4.1.1.3, Equation (1)")</definedName>
    <definedName name="MMS_Feedlot_N2ODirect_Equations.VEERG_4_1_1_3__1_TotalAnnualDirectNitrousOxideEmissions_Title">_xlfn.LAMBDA("Total annual direct nitrous oxide emissions from manure management systems")</definedName>
    <definedName name="MMS_Feedlot_N2ODirect_Equations.VEERG_4_1_1_3__1_TotalAnnualDirectNitrousOxideEmissions_Unit">_xlfn.LAMBDA("t N2O")</definedName>
    <definedName name="MMS_Feedlot_N2ODirect_Equations.VEERG_4_1_1_3__1_TotalAnnualDirectNitrousOxideEmissions_Variable">_xlfn.LAMBDA("E_N2Odir")</definedName>
    <definedName name="MMS_Feedlot_N2ODirect_Equations.VEERG_4_1_1_3__2_Stage1NitrogenInMMSDrylot">_xlfn.LAMBDA(_xlpm.AE_j,_xlpm.MMS_jm5T1, _xlpm.AE_j * _xlpm.MMS_jm5T1)</definedName>
    <definedName name="MMS_Feedlot_N2ODirect_Equations.VEERG_4_1_1_3__2_Stage1NitrogenInMMSDrylot_Arguments">_xlfn.LAMBDA(_xlfn.MAKEARRAY(2, 4, _xlfn.LAMBDA(_xlpm.r,_xlpm.c, INDEX({"AE_j","total nitrogen excreted by each cattle group","kg N","Calculated from 4.1.1.3 (3)";"MMS_jm5T1","fraction of manure in primary system drylot MMS","fraction","Input"}, _xlpm.r, _xlpm.c))))</definedName>
    <definedName name="MMS_Feedlot_N2ODirect_Equations.VEERG_4_1_1_3__2_Stage1NitrogenInMMSDrylot_LatexEquation">_xlfn.LAMBDA("MN_{jm=5,T=1}=AE_{j}\times MMS_{jm=5,T=1}")</definedName>
    <definedName name="MMS_Feedlot_N2ODirect_Equations.VEERG_4_1_1_3__2_Stage1NitrogenInMMSDrylot_NIRReference">_xlfn.LAMBDA("")</definedName>
    <definedName name="MMS_Feedlot_N2ODirect_Equations.VEERG_4_1_1_3__2_Stage1NitrogenInMMSDrylot_Source">_xlfn.LAMBDA("VEERG 2026: 4.1.1.3, Equation (2)")</definedName>
    <definedName name="MMS_Feedlot_N2ODirect_Equations.VEERG_4_1_1_3__2_Stage1NitrogenInMMSDrylot_Title">_xlfn.LAMBDA("Nitrogen in treatment stage 1 MMS")</definedName>
    <definedName name="MMS_Feedlot_N2ODirect_Equations.VEERG_4_1_1_3__2_Stage1NitrogenInMMSDrylot_Unit">_xlfn.LAMBDA("kg N")</definedName>
    <definedName name="MMS_Feedlot_N2ODirect_Equations.VEERG_4_1_1_3__2_Stage1NitrogenInMMSDrylot_Variable">_xlfn.LAMBDA("MN_jm5T1")</definedName>
    <definedName name="MMS_Feedlot_N2ODirect_Equations.VEERG_4_1_1_3__3_AnnualNitrogenExcretion">_xlfn.LAMBDA(_xlpm.N_j,_xlpm.NE_j,_xlpm.D_j, _xlpm.N_j * _xlpm.NE_j * _xlpm.D_j)</definedName>
    <definedName name="MMS_Feedlot_N2ODirect_Equations.VEERG_4_1_1_3__3_AnnualNitrogenExcretion_Arguments">_xlfn.LAMBDA(_xlfn.MAKEARRAY(3, 4, _xlfn.LAMBDA(_xlpm.r,_xlpm.c, INDEX({"N_j","number of cattle in each group","head","Input";"NE_j","nitrogen excretion","kg N/head/day","Calculated from 4.1.1.3 (4)";"D_j","duration of stay of cattle group","days","Input"}, _xlpm.r, _xlpm.c))))</definedName>
    <definedName name="MMS_Feedlot_N2ODirect_Equations.VEERG_4_1_1_3__3_AnnualNitrogenExcretion_LatexEquation">_xlfn.LAMBDA("AE_{j}=N_{j}\times NE_{j}\times D_{j}")</definedName>
    <definedName name="MMS_Feedlot_N2ODirect_Equations.VEERG_4_1_1_3__3_AnnualNitrogenExcretion_NIRReference">_xlfn.LAMBDA("")</definedName>
    <definedName name="MMS_Feedlot_N2ODirect_Equations.VEERG_4_1_1_3__3_AnnualNitrogenExcretion_Source">_xlfn.LAMBDA("VEERG 2026: 4.1.1.3, Equation (3)")</definedName>
    <definedName name="MMS_Feedlot_N2ODirect_Equations.VEERG_4_1_1_3__3_AnnualNitrogenExcretion_Title">_xlfn.LAMBDA("Annual nitrogen excretion from each feedlot cattle group")</definedName>
    <definedName name="MMS_Feedlot_N2ODirect_Equations.VEERG_4_1_1_3__3_AnnualNitrogenExcretion_Unit">_xlfn.LAMBDA("kg N")</definedName>
    <definedName name="MMS_Feedlot_N2ODirect_Equations.VEERG_4_1_1_3__3_AnnualNitrogenExcretion_Variable">_xlfn.LAMBDA("AE_j")</definedName>
    <definedName name="MMS_Feedlot_N2ODirect_Equations.VEERG_4_1_1_3__4_NitrogenExcretionPerHead">_xlfn.LAMBDA(_xlpm.NI_j,_xlpm.NR_j, _xlpm.NI_j * (1 - _xlpm.NR_j))</definedName>
    <definedName name="MMS_Feedlot_N2ODirect_Equations.VEERG_4_1_1_3__4_NitrogenExcretionPerHead_Arguments">_xlfn.LAMBDA(_xlfn.MAKEARRAY(2, 4, _xlfn.LAMBDA(_xlpm.r,_xlpm.c, INDEX({"NI_j","nitrogen intake","kg N/head/day","Calculated from 4.1.1.3 (5)";"NR_j","nitrogen retention expressed as a fraction of intake","fraction","Input"}, _xlpm.r, _xlpm.c))))</definedName>
    <definedName name="MMS_Feedlot_N2ODirect_Equations.VEERG_4_1_1_3__4_NitrogenExcretionPerHead_LatexEquation">_xlfn.LAMBDA("NE_{j}=NI_{j}\times(1-NR_{j})")</definedName>
    <definedName name="MMS_Feedlot_N2ODirect_Equations.VEERG_4_1_1_3__4_NitrogenExcretionPerHead_NIRReference">_xlfn.LAMBDA("")</definedName>
    <definedName name="MMS_Feedlot_N2ODirect_Equations.VEERG_4_1_1_3__4_NitrogenExcretionPerHead_Source">_xlfn.LAMBDA("VEERG 2026: 4.1.1.3, Equation (4)")</definedName>
    <definedName name="MMS_Feedlot_N2ODirect_Equations.VEERG_4_1_1_3__4_NitrogenExcretionPerHead_Title">_xlfn.LAMBDA("Nitrogen excretion per head per day")</definedName>
    <definedName name="MMS_Feedlot_N2ODirect_Equations.VEERG_4_1_1_3__4_NitrogenExcretionPerHead_Unit">_xlfn.LAMBDA("kg N/head/day")</definedName>
    <definedName name="MMS_Feedlot_N2ODirect_Equations.VEERG_4_1_1_3__4_NitrogenExcretionPerHead_Variable">_xlfn.LAMBDA("NE_j")</definedName>
    <definedName name="MMS_Feedlot_N2ODirect_Equations.VEERG_4_1_1_3__5_NitrogenIntake">_xlfn.LAMBDA(_xlpm.I_j,_xlpm.CP_j, _xlpm.I_j * _xlpm.CP_j / 6.25)</definedName>
    <definedName name="MMS_Feedlot_N2ODirect_Equations.VEERG_4_1_1_3__5_NitrogenIntake_Arguments">_xlfn.LAMBDA(_xlfn.MAKEARRAY(3, 4, _xlfn.LAMBDA(_xlpm.r,_xlpm.c, INDEX({"I_j","dry matter intake","kg DM/head/day","Input";"CP_j","crude protein content of feed","fraction","Input";"6.25","factor for converting crude protein into nitrogen","ratio","Constant"}, _xlpm.r, _xlpm.c))))</definedName>
    <definedName name="MMS_Feedlot_N2ODirect_Equations.VEERG_4_1_1_3__5_NitrogenIntake_LatexEquation">_xlfn.LAMBDA("NI_{j}=I_{j}\times CP_{j}\div 6.25")</definedName>
    <definedName name="MMS_Feedlot_N2ODirect_Equations.VEERG_4_1_1_3__5_NitrogenIntake_NIRReference">_xlfn.LAMBDA("")</definedName>
    <definedName name="MMS_Feedlot_N2ODirect_Equations.VEERG_4_1_1_3__5_NitrogenIntake_Source">_xlfn.LAMBDA("VEERG 2026: 4.1.1.3, Equation (5)")</definedName>
    <definedName name="MMS_Feedlot_N2ODirect_Equations.VEERG_4_1_1_3__5_NitrogenIntake_Title">_xlfn.LAMBDA("Nitrogen intake of feedlot cattle")</definedName>
    <definedName name="MMS_Feedlot_N2ODirect_Equations.VEERG_4_1_1_3__5_NitrogenIntake_Unit">_xlfn.LAMBDA("kg N/head/day")</definedName>
    <definedName name="MMS_Feedlot_N2ODirect_Equations.VEERG_4_1_1_3__5_NitrogenIntake_Variable">_xlfn.LAMBDA("NI_j")</definedName>
    <definedName name="MMS_Feedlot_N2ODirect_Equations.VEERG_4_1_1_3__6_Stage2NitrogenInMMS">_xlfn.LAMBDA(_xlpm.NT_jmT2,_xlpm.MMS_jmT2, _xlpm.NT_jmT2 * _xlpm.MMS_jmT2)</definedName>
    <definedName name="MMS_Feedlot_N2ODirect_Equations.VEERG_4_1_1_3__6_Stage2NitrogenInMMS_Arguments">_xlfn.LAMBDA(_xlfn.MAKEARRAY(2, 4, _xlfn.LAMBDA(_xlpm.r,_xlpm.c, INDEX({"NT_jmT2","nitrogen transferred to secondary treatment MMS","kg N","Calculated from 4.1.1.3 (7)";"MMS_jmT2","fraction of manure in each secondary system","fraction","Input"}, _xlpm.r, _xlpm.c))))</definedName>
    <definedName name="MMS_Feedlot_N2ODirect_Equations.VEERG_4_1_1_3__6_Stage2NitrogenInMMS_LatexEquation">_xlfn.LAMBDA("MN_{jm,T=2}=NT_{jm,T=2}\times MMS_{jm,T=2}")</definedName>
    <definedName name="MMS_Feedlot_N2ODirect_Equations.VEERG_4_1_1_3__6_Stage2NitrogenInMMS_NIRReference">_xlfn.LAMBDA("")</definedName>
    <definedName name="MMS_Feedlot_N2ODirect_Equations.VEERG_4_1_1_3__6_Stage2NitrogenInMMS_Source">_xlfn.LAMBDA("VEERG 2026: 4.1.1.3, Equation (6)")</definedName>
    <definedName name="MMS_Feedlot_N2ODirect_Equations.VEERG_4_1_1_3__6_Stage2NitrogenInMMS_Title">_xlfn.LAMBDA("Nitrogen in treatment stage 2 MMS")</definedName>
    <definedName name="MMS_Feedlot_N2ODirect_Equations.VEERG_4_1_1_3__6_Stage2NitrogenInMMS_Unit">_xlfn.LAMBDA("kg N")</definedName>
    <definedName name="MMS_Feedlot_N2ODirect_Equations.VEERG_4_1_1_3__6_Stage2NitrogenInMMS_Variable">_xlfn.LAMBDA("MN_jmT2")</definedName>
    <definedName name="MMS_Feedlot_N2ODirect_Equations.VEERG_4_1_1_3__7_NitrogenTransferredToStage2">_xlfn.LAMBDA(_xlpm.MN_jm5T1,_xlpm.FracGASM_m5,_xlpm.EF_m5,_xlpm.MN_jmT3, (_xlpm.MN_jm5T1 * (1 - _xlpm.FracGASM_m5 - _xlpm.EF_m5)) - _xlpm.MN_jmT3)</definedName>
    <definedName name="MMS_Feedlot_N2ODirect_Equations.VEERG_4_1_1_3__7_NitrogenTransferredToStage2_Arguments">_xlfn.LAMBDA(_xlfn.MAKEARRAY(4, 4, _xlfn.LAMBDA(_xlpm.r,_xlpm.c, INDEX({"MN_jm5T1","nitrogen in MMS treatment stage 1","kg N","Calculated from 4.1.1.3 (2)";"FracGASM_m5","fraction of N volatilised from drylot MMS","fraction","Constant";"EF_m5","nitrous oxide emission factor for drylot MMS","kg N2O-N/kg N deposited","Constant";"MN_jmT3","nitrogen in MMS treatment stage 3","kg N","Calculated from 4.1.1.3 (8)"}, _xlpm.r, _xlpm.c))))</definedName>
    <definedName name="MMS_Feedlot_N2ODirect_Equations.VEERG_4_1_1_3__7_NitrogenTransferredToStage2_LatexEquation">_xlfn.LAMBDA("NT_{jm,T=2}=(MN_{jm=5,T=1}\times(1-FracGASM_{m=5}-EF_{m=5}))-MN_{jm,T=3}")</definedName>
    <definedName name="MMS_Feedlot_N2ODirect_Equations.VEERG_4_1_1_3__7_NitrogenTransferredToStage2_NIRReference">_xlfn.LAMBDA("")</definedName>
    <definedName name="MMS_Feedlot_N2ODirect_Equations.VEERG_4_1_1_3__7_NitrogenTransferredToStage2_Source">_xlfn.LAMBDA("VEERG 2026: 4.1.1.3, Equation (7)")</definedName>
    <definedName name="MMS_Feedlot_N2ODirect_Equations.VEERG_4_1_1_3__7_NitrogenTransferredToStage2_Title">_xlfn.LAMBDA("Nitrogen transferred to treatment stage 2 MMS")</definedName>
    <definedName name="MMS_Feedlot_N2ODirect_Equations.VEERG_4_1_1_3__7_NitrogenTransferredToStage2_Unit">_xlfn.LAMBDA("kg N")</definedName>
    <definedName name="MMS_Feedlot_N2ODirect_Equations.VEERG_4_1_1_3__7_NitrogenTransferredToStage2_Variable">_xlfn.LAMBDA("NT_jmT2")</definedName>
    <definedName name="MMS_Feedlot_N2ODirect_Equations.VEERG_4_1_1_3__8_Stage3NitrogenInMMSAnaerobicLagoon">_xlfn.LAMBDA(_xlpm.AE_j,_xlpm.MMS_jm1T3, _xlpm.AE_j * _xlpm.MMS_jm1T3)</definedName>
    <definedName name="MMS_Feedlot_N2ODirect_Equations.VEERG_4_1_1_3__8_Stage3NitrogenInMMSAnaerobicLagoon_Arguments">_xlfn.LAMBDA(_xlfn.MAKEARRAY(2, 4, _xlfn.LAMBDA(_xlpm.r,_xlpm.c, INDEX({"AE_j","total nitrogen excreted by each cattle group","kg N","Calculated from 4.1.1.3 (3)";"MMS_jm1T3","fraction of manure to tertiary anaerobic lagoon system","fraction","Input"}, _xlpm.r, _xlpm.c))))</definedName>
    <definedName name="MMS_Feedlot_N2ODirect_Equations.VEERG_4_1_1_3__8_Stage3NitrogenInMMSAnaerobicLagoon_LatexEquation">_xlfn.LAMBDA("MN_{jm=1,T=3}=AE_{j}\times MMS_{jm=1,T=3}")</definedName>
    <definedName name="MMS_Feedlot_N2ODirect_Equations.VEERG_4_1_1_3__8_Stage3NitrogenInMMSAnaerobicLagoon_NIRReference">_xlfn.LAMBDA("")</definedName>
    <definedName name="MMS_Feedlot_N2ODirect_Equations.VEERG_4_1_1_3__8_Stage3NitrogenInMMSAnaerobicLagoon_Source">_xlfn.LAMBDA("VEERG 2026: 4.1.1.3, Equation (8)")</definedName>
    <definedName name="MMS_Feedlot_N2ODirect_Equations.VEERG_4_1_1_3__8_Stage3NitrogenInMMSAnaerobicLagoon_Title">_xlfn.LAMBDA("Nitrogen in treatment stage 3 MMS")</definedName>
    <definedName name="MMS_Feedlot_N2ODirect_Equations.VEERG_4_1_1_3__8_Stage3NitrogenInMMSAnaerobicLagoon_Unit">_xlfn.LAMBDA("kg N")</definedName>
    <definedName name="MMS_Feedlot_N2ODirect_Equations.VEERG_4_1_1_3__8_Stage3NitrogenInMMSAnaerobicLagoon_Variable">_xlfn.LAMBDA("MN_jm1T3")</definedName>
    <definedName name="Range_LivestockStartingValues">#REF!</definedName>
    <definedName name="SourceData_Feedlot.SourceData_Feedlot_AnimalCharacteristics_Data">_xlfn.LAMBDA(_xlfn.MAKEARRAY(10,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 i="43" l="1"/>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8" i="100"/>
  <c r="A17" i="100"/>
  <c r="A16" i="100"/>
  <c r="A15" i="100"/>
  <c r="A12" i="100"/>
  <c r="A9" i="100"/>
  <c r="A8" i="100"/>
  <c r="A5" i="100"/>
  <c r="A4" i="100"/>
  <c r="A3" i="100"/>
  <c r="A12" i="13"/>
  <c r="A18" i="13"/>
  <c r="A17" i="13"/>
  <c r="A16" i="13"/>
  <c r="A15" i="13"/>
  <c r="O65" i="69" a="1"/>
  <c r="O65" i="69" s="1"/>
  <c r="N65" i="69" a="1"/>
  <c r="N65" i="69" s="1"/>
  <c r="M65" i="69" a="1"/>
  <c r="M65" i="69" s="1"/>
  <c r="F65" i="69" a="1"/>
  <c r="F65" i="69" s="1"/>
  <c r="E65" i="69" a="1"/>
  <c r="E65" i="69" s="1"/>
  <c r="D65" i="69" a="1"/>
  <c r="D65" i="69" s="1"/>
  <c r="I49" i="69" a="1"/>
  <c r="I49" i="69" s="1"/>
  <c r="G48" i="69" a="1"/>
  <c r="G48" i="69" s="1"/>
  <c r="D48" i="69" a="1"/>
  <c r="D48" i="69" s="1"/>
  <c r="E46" i="69" a="1"/>
  <c r="E46" i="69" s="1"/>
  <c r="E45" i="69" a="1"/>
  <c r="E45" i="69" s="1"/>
  <c r="D40" i="69" a="1"/>
  <c r="D40" i="69" s="1"/>
  <c r="D39" i="69" a="1"/>
  <c r="D39" i="69" s="1"/>
  <c r="I15" i="69" a="1"/>
  <c r="I15" i="69" s="1"/>
  <c r="O30" i="69"/>
  <c r="N30" i="69"/>
  <c r="M30" i="69"/>
  <c r="F30" i="69"/>
  <c r="E30" i="69"/>
  <c r="D30" i="69"/>
  <c r="G13" i="69" a="1"/>
  <c r="G13" i="69" s="1"/>
  <c r="G20" i="69" s="1"/>
  <c r="D13" i="69" a="1"/>
  <c r="D13" i="69" s="1"/>
  <c r="E11" i="69" a="1"/>
  <c r="E11" i="69" s="1"/>
  <c r="P35" i="69" s="1"/>
  <c r="E10" i="69" a="1"/>
  <c r="E10" i="69" s="1"/>
  <c r="D6" i="69" a="1"/>
  <c r="D6" i="69" s="1"/>
  <c r="D5" i="69" a="1"/>
  <c r="D5" i="69" s="1"/>
  <c r="E41" i="69" a="1"/>
  <c r="E7" i="69" a="1"/>
  <c r="E41" i="69" l="1"/>
  <c r="P20" i="69"/>
  <c r="P30" i="69"/>
  <c r="P25" i="69"/>
  <c r="G30" i="69"/>
  <c r="G25" i="69"/>
  <c r="E7" i="69"/>
  <c r="A9" i="13"/>
  <c r="A8" i="13"/>
  <c r="A5" i="13"/>
  <c r="A4" i="13"/>
  <c r="A3" i="13"/>
  <c r="I50" i="69" l="1" a="1"/>
  <c r="I50" i="69" s="1"/>
  <c r="I48" i="69" a="1"/>
  <c r="I48" i="69" s="1"/>
  <c r="G55" i="69"/>
  <c r="G60" i="69" l="1"/>
  <c r="I14" i="69" a="1"/>
  <c r="I14" i="69" s="1"/>
  <c r="I13" i="69" a="1"/>
  <c r="I13" i="69" s="1"/>
  <c r="S250" i="98" l="1" a="1"/>
  <c r="S250" i="98" s="1"/>
  <c r="R250" i="98" a="1"/>
  <c r="R250" i="98" s="1"/>
  <c r="Q250" i="98" a="1"/>
  <c r="Q250" i="98" s="1"/>
  <c r="P250" i="98" a="1"/>
  <c r="P250" i="98" s="1"/>
  <c r="O250" i="98" a="1"/>
  <c r="O250" i="98" s="1"/>
  <c r="N250" i="98" a="1"/>
  <c r="N250" i="98" s="1"/>
  <c r="M250" i="98" a="1"/>
  <c r="M250" i="98" s="1"/>
  <c r="L250" i="98" a="1"/>
  <c r="L250" i="98" s="1"/>
  <c r="K250" i="98" a="1"/>
  <c r="K250" i="98" s="1"/>
  <c r="J250" i="98" a="1"/>
  <c r="J250" i="98" s="1"/>
  <c r="I250" i="98" a="1"/>
  <c r="I250" i="98" s="1"/>
  <c r="H250" i="98" a="1"/>
  <c r="H250" i="98" s="1"/>
  <c r="G250" i="98" a="1"/>
  <c r="G250" i="98" s="1"/>
  <c r="F250" i="98" a="1"/>
  <c r="F250" i="98" s="1"/>
  <c r="E250" i="98" a="1"/>
  <c r="E250" i="98" s="1"/>
  <c r="D250" i="98" a="1"/>
  <c r="D250" i="98" s="1"/>
  <c r="S249" i="98" a="1"/>
  <c r="S249" i="98" s="1"/>
  <c r="R249" i="98" a="1"/>
  <c r="R249" i="98" s="1"/>
  <c r="Q249" i="98" a="1"/>
  <c r="Q249" i="98" s="1"/>
  <c r="P249" i="98" a="1"/>
  <c r="P249" i="98" s="1"/>
  <c r="O249" i="98" a="1"/>
  <c r="O249" i="98" s="1"/>
  <c r="N249" i="98" a="1"/>
  <c r="N249" i="98" s="1"/>
  <c r="M249" i="98" a="1"/>
  <c r="M249" i="98" s="1"/>
  <c r="L249" i="98" a="1"/>
  <c r="L249" i="98" s="1"/>
  <c r="K249" i="98" a="1"/>
  <c r="K249" i="98" s="1"/>
  <c r="J249" i="98" a="1"/>
  <c r="J249" i="98" s="1"/>
  <c r="I249" i="98" a="1"/>
  <c r="I249" i="98" s="1"/>
  <c r="H249" i="98" a="1"/>
  <c r="H249" i="98" s="1"/>
  <c r="G249" i="98" a="1"/>
  <c r="G249" i="98" s="1"/>
  <c r="F249" i="98" a="1"/>
  <c r="F249" i="98" s="1"/>
  <c r="E249" i="98" a="1"/>
  <c r="E249" i="98" s="1"/>
  <c r="D249" i="98" a="1"/>
  <c r="D249" i="98" s="1"/>
  <c r="S248" i="98" a="1"/>
  <c r="S248" i="98" s="1"/>
  <c r="R248" i="98" a="1"/>
  <c r="R248" i="98" s="1"/>
  <c r="Q248" i="98" a="1"/>
  <c r="Q248" i="98" s="1"/>
  <c r="P248" i="98" a="1"/>
  <c r="P248" i="98" s="1"/>
  <c r="O248" i="98" a="1"/>
  <c r="O248" i="98" s="1"/>
  <c r="N248" i="98" a="1"/>
  <c r="N248" i="98" s="1"/>
  <c r="M248" i="98" a="1"/>
  <c r="M248" i="98" s="1"/>
  <c r="L248" i="98" a="1"/>
  <c r="L248" i="98" s="1"/>
  <c r="K248" i="98" a="1"/>
  <c r="K248" i="98" s="1"/>
  <c r="J248" i="98" a="1"/>
  <c r="J248" i="98" s="1"/>
  <c r="I248" i="98" a="1"/>
  <c r="I248" i="98" s="1"/>
  <c r="H248" i="98" a="1"/>
  <c r="H248" i="98" s="1"/>
  <c r="G248" i="98" a="1"/>
  <c r="G248" i="98" s="1"/>
  <c r="F248" i="98" a="1"/>
  <c r="F248" i="98" s="1"/>
  <c r="E248" i="98" a="1"/>
  <c r="E248" i="98" s="1"/>
  <c r="D248" i="98" a="1"/>
  <c r="D248" i="98" s="1"/>
  <c r="S247" i="98" a="1"/>
  <c r="S247" i="98" s="1"/>
  <c r="R247" i="98" a="1"/>
  <c r="R247" i="98" s="1"/>
  <c r="Q247" i="98" a="1"/>
  <c r="Q247" i="98" s="1"/>
  <c r="P247" i="98" a="1"/>
  <c r="P247" i="98" s="1"/>
  <c r="O247" i="98" a="1"/>
  <c r="O247" i="98" s="1"/>
  <c r="N247" i="98" a="1"/>
  <c r="N247" i="98" s="1"/>
  <c r="M247" i="98" a="1"/>
  <c r="M247" i="98" s="1"/>
  <c r="L247" i="98" a="1"/>
  <c r="L247" i="98" s="1"/>
  <c r="K247" i="98" a="1"/>
  <c r="K247" i="98" s="1"/>
  <c r="J247" i="98" a="1"/>
  <c r="J247" i="98" s="1"/>
  <c r="I247" i="98" a="1"/>
  <c r="I247" i="98" s="1"/>
  <c r="H247" i="98" a="1"/>
  <c r="H247" i="98" s="1"/>
  <c r="G247" i="98" a="1"/>
  <c r="G247" i="98" s="1"/>
  <c r="F247" i="98" a="1"/>
  <c r="F247" i="98" s="1"/>
  <c r="E247" i="98" a="1"/>
  <c r="E247" i="98" s="1"/>
  <c r="D247" i="98" a="1"/>
  <c r="D247" i="98" s="1"/>
  <c r="S246" i="98" a="1"/>
  <c r="S246" i="98" s="1"/>
  <c r="R246" i="98" a="1"/>
  <c r="R246" i="98" s="1"/>
  <c r="Q246" i="98" a="1"/>
  <c r="Q246" i="98" s="1"/>
  <c r="P246" i="98" a="1"/>
  <c r="P246" i="98" s="1"/>
  <c r="O246" i="98" a="1"/>
  <c r="O246" i="98" s="1"/>
  <c r="N246" i="98" a="1"/>
  <c r="N246" i="98" s="1"/>
  <c r="M246" i="98" a="1"/>
  <c r="M246" i="98" s="1"/>
  <c r="L246" i="98" a="1"/>
  <c r="L246" i="98" s="1"/>
  <c r="K246" i="98" a="1"/>
  <c r="K246" i="98" s="1"/>
  <c r="J246" i="98" a="1"/>
  <c r="J246" i="98" s="1"/>
  <c r="I246" i="98" a="1"/>
  <c r="I246" i="98" s="1"/>
  <c r="H246" i="98" a="1"/>
  <c r="H246" i="98" s="1"/>
  <c r="G246" i="98" a="1"/>
  <c r="G246" i="98" s="1"/>
  <c r="F246" i="98" a="1"/>
  <c r="F246" i="98" s="1"/>
  <c r="E246" i="98" a="1"/>
  <c r="E246" i="98" s="1"/>
  <c r="D246" i="98" a="1"/>
  <c r="D246" i="98" s="1"/>
  <c r="S245" i="98" a="1"/>
  <c r="S245" i="98" s="1"/>
  <c r="R245" i="98" a="1"/>
  <c r="R245" i="98" s="1"/>
  <c r="Q245" i="98" a="1"/>
  <c r="Q245" i="98" s="1"/>
  <c r="P245" i="98" a="1"/>
  <c r="P245" i="98" s="1"/>
  <c r="O245" i="98" a="1"/>
  <c r="O245" i="98" s="1"/>
  <c r="N245" i="98" a="1"/>
  <c r="N245" i="98" s="1"/>
  <c r="M245" i="98" a="1"/>
  <c r="M245" i="98" s="1"/>
  <c r="L245" i="98" a="1"/>
  <c r="L245" i="98" s="1"/>
  <c r="K245" i="98" a="1"/>
  <c r="K245" i="98" s="1"/>
  <c r="J245" i="98" a="1"/>
  <c r="J245" i="98" s="1"/>
  <c r="I245" i="98" a="1"/>
  <c r="I245" i="98" s="1"/>
  <c r="H245" i="98" a="1"/>
  <c r="H245" i="98" s="1"/>
  <c r="G245" i="98" a="1"/>
  <c r="G245" i="98" s="1"/>
  <c r="F245" i="98" a="1"/>
  <c r="F245" i="98" s="1"/>
  <c r="E245" i="98" a="1"/>
  <c r="E245" i="98" s="1"/>
  <c r="D245" i="98" a="1"/>
  <c r="D245" i="98" s="1"/>
  <c r="S244" i="98" a="1"/>
  <c r="S244" i="98" s="1"/>
  <c r="R244" i="98" a="1"/>
  <c r="R244" i="98" s="1"/>
  <c r="Q244" i="98" a="1"/>
  <c r="Q244" i="98" s="1"/>
  <c r="P244" i="98" a="1"/>
  <c r="P244" i="98" s="1"/>
  <c r="O244" i="98" a="1"/>
  <c r="O244" i="98" s="1"/>
  <c r="N244" i="98" a="1"/>
  <c r="N244" i="98" s="1"/>
  <c r="M244" i="98" a="1"/>
  <c r="M244" i="98" s="1"/>
  <c r="L244" i="98" a="1"/>
  <c r="L244" i="98" s="1"/>
  <c r="K244" i="98" a="1"/>
  <c r="K244" i="98" s="1"/>
  <c r="J244" i="98" a="1"/>
  <c r="J244" i="98" s="1"/>
  <c r="I244" i="98" a="1"/>
  <c r="I244" i="98" s="1"/>
  <c r="H244" i="98" a="1"/>
  <c r="H244" i="98" s="1"/>
  <c r="G244" i="98" a="1"/>
  <c r="G244" i="98" s="1"/>
  <c r="F244" i="98" a="1"/>
  <c r="F244" i="98" s="1"/>
  <c r="E244" i="98" a="1"/>
  <c r="E244" i="98" s="1"/>
  <c r="D244" i="98" a="1"/>
  <c r="D244" i="98" s="1"/>
  <c r="S243" i="98" a="1"/>
  <c r="S243" i="98" s="1"/>
  <c r="R243" i="98" a="1"/>
  <c r="R243" i="98" s="1"/>
  <c r="Q243" i="98" a="1"/>
  <c r="Q243" i="98" s="1"/>
  <c r="P243" i="98" a="1"/>
  <c r="P243" i="98" s="1"/>
  <c r="O243" i="98" a="1"/>
  <c r="O243" i="98" s="1"/>
  <c r="N243" i="98" a="1"/>
  <c r="N243" i="98" s="1"/>
  <c r="M243" i="98" a="1"/>
  <c r="M243" i="98" s="1"/>
  <c r="L243" i="98" a="1"/>
  <c r="L243" i="98" s="1"/>
  <c r="K243" i="98" a="1"/>
  <c r="K243" i="98" s="1"/>
  <c r="J243" i="98" a="1"/>
  <c r="J243" i="98" s="1"/>
  <c r="I243" i="98" a="1"/>
  <c r="I243" i="98" s="1"/>
  <c r="H243" i="98" a="1"/>
  <c r="H243" i="98" s="1"/>
  <c r="G243" i="98" a="1"/>
  <c r="G243" i="98" s="1"/>
  <c r="F243" i="98" a="1"/>
  <c r="F243" i="98" s="1"/>
  <c r="E243" i="98" a="1"/>
  <c r="E243" i="98" s="1"/>
  <c r="D243" i="98" a="1"/>
  <c r="D243" i="98" s="1"/>
  <c r="S242" i="98" a="1"/>
  <c r="S242" i="98" s="1"/>
  <c r="R242" i="98" a="1"/>
  <c r="R242" i="98" s="1"/>
  <c r="Q242" i="98" a="1"/>
  <c r="Q242" i="98" s="1"/>
  <c r="P242" i="98" a="1"/>
  <c r="P242" i="98" s="1"/>
  <c r="O242" i="98" a="1"/>
  <c r="O242" i="98" s="1"/>
  <c r="N242" i="98" a="1"/>
  <c r="N242" i="98" s="1"/>
  <c r="M242" i="98" a="1"/>
  <c r="M242" i="98" s="1"/>
  <c r="L242" i="98" a="1"/>
  <c r="L242" i="98" s="1"/>
  <c r="K242" i="98" a="1"/>
  <c r="K242" i="98" s="1"/>
  <c r="J242" i="98" a="1"/>
  <c r="J242" i="98" s="1"/>
  <c r="I242" i="98" a="1"/>
  <c r="I242" i="98" s="1"/>
  <c r="H242" i="98" a="1"/>
  <c r="H242" i="98" s="1"/>
  <c r="G242" i="98" a="1"/>
  <c r="G242" i="98" s="1"/>
  <c r="F242" i="98" a="1"/>
  <c r="F242" i="98" s="1"/>
  <c r="E242" i="98" a="1"/>
  <c r="E242" i="98" s="1"/>
  <c r="D242" i="98" a="1"/>
  <c r="D242" i="98" s="1"/>
  <c r="S241" i="98" a="1"/>
  <c r="S241" i="98" s="1"/>
  <c r="R241" i="98" a="1"/>
  <c r="R241" i="98" s="1"/>
  <c r="Q241" i="98" a="1"/>
  <c r="Q241" i="98" s="1"/>
  <c r="P241" i="98" a="1"/>
  <c r="P241" i="98" s="1"/>
  <c r="O241" i="98" a="1"/>
  <c r="O241" i="98" s="1"/>
  <c r="N241" i="98" a="1"/>
  <c r="N241" i="98" s="1"/>
  <c r="M241" i="98" a="1"/>
  <c r="M241" i="98" s="1"/>
  <c r="L241" i="98" a="1"/>
  <c r="L241" i="98" s="1"/>
  <c r="K241" i="98" a="1"/>
  <c r="K241" i="98" s="1"/>
  <c r="J241" i="98" a="1"/>
  <c r="J241" i="98" s="1"/>
  <c r="I241" i="98" a="1"/>
  <c r="I241" i="98" s="1"/>
  <c r="H241" i="98" a="1"/>
  <c r="H241" i="98" s="1"/>
  <c r="G241" i="98" a="1"/>
  <c r="G241" i="98" s="1"/>
  <c r="F241" i="98" a="1"/>
  <c r="F241" i="98" s="1"/>
  <c r="E241" i="98" a="1"/>
  <c r="E241" i="98" s="1"/>
  <c r="D241" i="98" a="1"/>
  <c r="D241" i="98" s="1"/>
  <c r="S240" i="98" a="1"/>
  <c r="S240" i="98" s="1"/>
  <c r="R240" i="98" a="1"/>
  <c r="R240" i="98" s="1"/>
  <c r="Q240" i="98" a="1"/>
  <c r="Q240" i="98" s="1"/>
  <c r="P240" i="98" a="1"/>
  <c r="P240" i="98" s="1"/>
  <c r="O240" i="98" a="1"/>
  <c r="O240" i="98" s="1"/>
  <c r="N240" i="98" a="1"/>
  <c r="N240" i="98" s="1"/>
  <c r="M240" i="98" a="1"/>
  <c r="M240" i="98" s="1"/>
  <c r="L240" i="98" a="1"/>
  <c r="L240" i="98" s="1"/>
  <c r="K240" i="98" a="1"/>
  <c r="K240" i="98" s="1"/>
  <c r="J240" i="98" a="1"/>
  <c r="J240" i="98" s="1"/>
  <c r="I240" i="98" a="1"/>
  <c r="I240" i="98" s="1"/>
  <c r="H240" i="98" a="1"/>
  <c r="H240" i="98" s="1"/>
  <c r="G240" i="98" a="1"/>
  <c r="G240" i="98" s="1"/>
  <c r="F240" i="98" a="1"/>
  <c r="F240" i="98" s="1"/>
  <c r="E240" i="98" a="1"/>
  <c r="E240" i="98" s="1"/>
  <c r="D240" i="98" a="1"/>
  <c r="D240" i="98" s="1"/>
  <c r="S239" i="98" a="1"/>
  <c r="S239" i="98" s="1"/>
  <c r="R239" i="98" a="1"/>
  <c r="R239" i="98" s="1"/>
  <c r="Q239" i="98" a="1"/>
  <c r="Q239" i="98" s="1"/>
  <c r="P239" i="98" a="1"/>
  <c r="P239" i="98" s="1"/>
  <c r="O239" i="98" a="1"/>
  <c r="O239" i="98" s="1"/>
  <c r="N239" i="98" a="1"/>
  <c r="N239" i="98" s="1"/>
  <c r="M239" i="98" a="1"/>
  <c r="M239" i="98" s="1"/>
  <c r="L239" i="98" a="1"/>
  <c r="L239" i="98" s="1"/>
  <c r="K239" i="98" a="1"/>
  <c r="K239" i="98" s="1"/>
  <c r="J239" i="98" a="1"/>
  <c r="J239" i="98" s="1"/>
  <c r="I239" i="98" a="1"/>
  <c r="I239" i="98" s="1"/>
  <c r="H239" i="98" a="1"/>
  <c r="H239" i="98" s="1"/>
  <c r="G239" i="98" a="1"/>
  <c r="G239" i="98" s="1"/>
  <c r="F239" i="98" a="1"/>
  <c r="F239" i="98" s="1"/>
  <c r="E239" i="98" a="1"/>
  <c r="E239" i="98" s="1"/>
  <c r="D239" i="98" a="1"/>
  <c r="D239" i="98" s="1"/>
  <c r="S238" i="98" a="1"/>
  <c r="S238" i="98" s="1"/>
  <c r="R238" i="98" a="1"/>
  <c r="R238" i="98" s="1"/>
  <c r="Q238" i="98" a="1"/>
  <c r="Q238" i="98" s="1"/>
  <c r="P238" i="98" a="1"/>
  <c r="P238" i="98" s="1"/>
  <c r="O238" i="98" a="1"/>
  <c r="O238" i="98" s="1"/>
  <c r="N238" i="98" a="1"/>
  <c r="N238" i="98" s="1"/>
  <c r="M238" i="98" a="1"/>
  <c r="M238" i="98" s="1"/>
  <c r="L238" i="98" a="1"/>
  <c r="L238" i="98" s="1"/>
  <c r="K238" i="98" a="1"/>
  <c r="K238" i="98" s="1"/>
  <c r="J238" i="98" a="1"/>
  <c r="J238" i="98" s="1"/>
  <c r="I238" i="98" a="1"/>
  <c r="I238" i="98" s="1"/>
  <c r="H238" i="98" a="1"/>
  <c r="H238" i="98" s="1"/>
  <c r="G238" i="98" a="1"/>
  <c r="G238" i="98" s="1"/>
  <c r="F238" i="98" a="1"/>
  <c r="F238" i="98" s="1"/>
  <c r="E238" i="98" a="1"/>
  <c r="E238" i="98" s="1"/>
  <c r="D238" i="98" a="1"/>
  <c r="D238" i="98" s="1"/>
  <c r="S237" i="98" a="1"/>
  <c r="S237" i="98" s="1"/>
  <c r="R237" i="98" a="1"/>
  <c r="R237" i="98" s="1"/>
  <c r="Q237" i="98" a="1"/>
  <c r="Q237" i="98" s="1"/>
  <c r="P237" i="98" a="1"/>
  <c r="P237" i="98" s="1"/>
  <c r="O237" i="98" a="1"/>
  <c r="O237" i="98" s="1"/>
  <c r="N237" i="98" a="1"/>
  <c r="N237" i="98" s="1"/>
  <c r="M237" i="98" a="1"/>
  <c r="M237" i="98" s="1"/>
  <c r="L237" i="98" a="1"/>
  <c r="L237" i="98" s="1"/>
  <c r="K237" i="98" a="1"/>
  <c r="K237" i="98" s="1"/>
  <c r="J237" i="98" a="1"/>
  <c r="J237" i="98" s="1"/>
  <c r="I237" i="98" a="1"/>
  <c r="I237" i="98" s="1"/>
  <c r="H237" i="98" a="1"/>
  <c r="H237" i="98" s="1"/>
  <c r="G237" i="98" a="1"/>
  <c r="G237" i="98" s="1"/>
  <c r="F237" i="98" a="1"/>
  <c r="F237" i="98" s="1"/>
  <c r="E237" i="98" a="1"/>
  <c r="E237" i="98" s="1"/>
  <c r="D237" i="98" a="1"/>
  <c r="D237" i="98" s="1"/>
  <c r="S236" i="98" a="1"/>
  <c r="S236" i="98" s="1"/>
  <c r="R236" i="98" a="1"/>
  <c r="R236" i="98" s="1"/>
  <c r="Q236" i="98" a="1"/>
  <c r="Q236" i="98" s="1"/>
  <c r="P236" i="98" a="1"/>
  <c r="P236" i="98" s="1"/>
  <c r="O236" i="98" a="1"/>
  <c r="O236" i="98" s="1"/>
  <c r="N236" i="98" a="1"/>
  <c r="N236" i="98" s="1"/>
  <c r="M236" i="98" a="1"/>
  <c r="M236" i="98" s="1"/>
  <c r="L236" i="98" a="1"/>
  <c r="L236" i="98" s="1"/>
  <c r="K236" i="98" a="1"/>
  <c r="K236" i="98" s="1"/>
  <c r="J236" i="98" a="1"/>
  <c r="J236" i="98" s="1"/>
  <c r="I236" i="98" a="1"/>
  <c r="I236" i="98" s="1"/>
  <c r="H236" i="98" a="1"/>
  <c r="H236" i="98" s="1"/>
  <c r="G236" i="98" a="1"/>
  <c r="G236" i="98" s="1"/>
  <c r="F236" i="98" a="1"/>
  <c r="F236" i="98" s="1"/>
  <c r="E236" i="98" a="1"/>
  <c r="E236" i="98" s="1"/>
  <c r="D236" i="98" a="1"/>
  <c r="D236" i="98" s="1"/>
  <c r="S235" i="98" a="1"/>
  <c r="S235" i="98" s="1"/>
  <c r="R235" i="98" a="1"/>
  <c r="R235" i="98" s="1"/>
  <c r="Q235" i="98" a="1"/>
  <c r="Q235" i="98" s="1"/>
  <c r="P235" i="98" a="1"/>
  <c r="P235" i="98" s="1"/>
  <c r="O235" i="98" a="1"/>
  <c r="O235" i="98" s="1"/>
  <c r="N235" i="98" a="1"/>
  <c r="N235" i="98" s="1"/>
  <c r="M235" i="98" a="1"/>
  <c r="M235" i="98" s="1"/>
  <c r="L235" i="98" a="1"/>
  <c r="L235" i="98" s="1"/>
  <c r="K235" i="98" a="1"/>
  <c r="K235" i="98" s="1"/>
  <c r="J235" i="98" a="1"/>
  <c r="J235" i="98" s="1"/>
  <c r="I235" i="98" a="1"/>
  <c r="I235" i="98" s="1"/>
  <c r="H235" i="98" a="1"/>
  <c r="H235" i="98" s="1"/>
  <c r="G235" i="98" a="1"/>
  <c r="G235" i="98" s="1"/>
  <c r="F235" i="98" a="1"/>
  <c r="F235" i="98" s="1"/>
  <c r="E235" i="98" a="1"/>
  <c r="E235" i="98" s="1"/>
  <c r="D235" i="98" a="1"/>
  <c r="D235" i="98" s="1"/>
  <c r="S234" i="98" a="1"/>
  <c r="S234" i="98" s="1"/>
  <c r="R234" i="98" a="1"/>
  <c r="R234" i="98" s="1"/>
  <c r="Q234" i="98" a="1"/>
  <c r="Q234" i="98" s="1"/>
  <c r="P234" i="98" a="1"/>
  <c r="P234" i="98" s="1"/>
  <c r="O234" i="98" a="1"/>
  <c r="O234" i="98" s="1"/>
  <c r="N234" i="98" a="1"/>
  <c r="N234" i="98" s="1"/>
  <c r="M234" i="98" a="1"/>
  <c r="M234" i="98" s="1"/>
  <c r="L234" i="98" a="1"/>
  <c r="L234" i="98" s="1"/>
  <c r="K234" i="98" a="1"/>
  <c r="K234" i="98" s="1"/>
  <c r="J234" i="98" a="1"/>
  <c r="J234" i="98" s="1"/>
  <c r="I234" i="98" a="1"/>
  <c r="I234" i="98" s="1"/>
  <c r="H234" i="98" a="1"/>
  <c r="H234" i="98" s="1"/>
  <c r="G234" i="98" a="1"/>
  <c r="G234" i="98" s="1"/>
  <c r="F234" i="98" a="1"/>
  <c r="F234" i="98" s="1"/>
  <c r="E234" i="98" a="1"/>
  <c r="E234" i="98" s="1"/>
  <c r="D234" i="98" a="1"/>
  <c r="D234" i="98" s="1"/>
  <c r="S233" i="98" a="1"/>
  <c r="S233" i="98" s="1"/>
  <c r="R233" i="98" a="1"/>
  <c r="R233" i="98" s="1"/>
  <c r="Q233" i="98" a="1"/>
  <c r="Q233" i="98" s="1"/>
  <c r="P233" i="98" a="1"/>
  <c r="P233" i="98" s="1"/>
  <c r="O233" i="98" a="1"/>
  <c r="O233" i="98" s="1"/>
  <c r="N233" i="98" a="1"/>
  <c r="N233" i="98" s="1"/>
  <c r="M233" i="98" a="1"/>
  <c r="M233" i="98" s="1"/>
  <c r="L233" i="98" a="1"/>
  <c r="L233" i="98" s="1"/>
  <c r="K233" i="98" a="1"/>
  <c r="K233" i="98" s="1"/>
  <c r="J233" i="98" a="1"/>
  <c r="J233" i="98" s="1"/>
  <c r="I233" i="98" a="1"/>
  <c r="I233" i="98" s="1"/>
  <c r="H233" i="98" a="1"/>
  <c r="H233" i="98" s="1"/>
  <c r="G233" i="98" a="1"/>
  <c r="G233" i="98" s="1"/>
  <c r="F233" i="98" a="1"/>
  <c r="F233" i="98" s="1"/>
  <c r="E233" i="98" a="1"/>
  <c r="E233" i="98" s="1"/>
  <c r="D233" i="98" a="1"/>
  <c r="D233" i="98" s="1"/>
  <c r="S232" i="98" a="1"/>
  <c r="S232" i="98" s="1"/>
  <c r="R232" i="98" a="1"/>
  <c r="R232" i="98" s="1"/>
  <c r="Q232" i="98" a="1"/>
  <c r="Q232" i="98" s="1"/>
  <c r="P232" i="98" a="1"/>
  <c r="P232" i="98" s="1"/>
  <c r="O232" i="98" a="1"/>
  <c r="O232" i="98" s="1"/>
  <c r="N232" i="98" a="1"/>
  <c r="N232" i="98" s="1"/>
  <c r="M232" i="98" a="1"/>
  <c r="M232" i="98" s="1"/>
  <c r="L232" i="98" a="1"/>
  <c r="L232" i="98" s="1"/>
  <c r="K232" i="98" a="1"/>
  <c r="K232" i="98" s="1"/>
  <c r="J232" i="98" a="1"/>
  <c r="J232" i="98" s="1"/>
  <c r="I232" i="98" a="1"/>
  <c r="I232" i="98" s="1"/>
  <c r="H232" i="98" a="1"/>
  <c r="H232" i="98" s="1"/>
  <c r="G232" i="98" a="1"/>
  <c r="G232" i="98" s="1"/>
  <c r="F232" i="98" a="1"/>
  <c r="F232" i="98" s="1"/>
  <c r="E232" i="98" a="1"/>
  <c r="E232" i="98" s="1"/>
  <c r="D232" i="98" a="1"/>
  <c r="D232" i="98" s="1"/>
  <c r="D229" i="98" a="1"/>
  <c r="D229" i="98" s="1"/>
  <c r="D228" i="98" a="1"/>
  <c r="D228" i="98" s="1"/>
  <c r="D227" i="98" a="1"/>
  <c r="D227" i="98" s="1"/>
  <c r="E224" i="98" a="1"/>
  <c r="E224" i="98" s="1"/>
  <c r="D224" i="98" a="1"/>
  <c r="D224" i="98" s="1"/>
  <c r="E223" i="98" a="1"/>
  <c r="E223" i="98" s="1"/>
  <c r="D223" i="98" a="1"/>
  <c r="D223" i="98" s="1"/>
  <c r="E222" i="98" a="1"/>
  <c r="E222" i="98" s="1"/>
  <c r="D222" i="98" a="1"/>
  <c r="D222" i="98" s="1"/>
  <c r="E221" i="98" a="1"/>
  <c r="E221" i="98" s="1"/>
  <c r="D221" i="98" a="1"/>
  <c r="D221" i="98" s="1"/>
  <c r="E220" i="98" a="1"/>
  <c r="E220" i="98" s="1"/>
  <c r="D220" i="98" a="1"/>
  <c r="D220" i="98" s="1"/>
  <c r="E219" i="98" a="1"/>
  <c r="E219" i="98" s="1"/>
  <c r="D219" i="98" a="1"/>
  <c r="D219" i="98" s="1"/>
  <c r="E218" i="98" a="1"/>
  <c r="E218" i="98" s="1"/>
  <c r="D218" i="98" a="1"/>
  <c r="D218" i="98" s="1"/>
  <c r="E217" i="98" a="1"/>
  <c r="E217" i="98" s="1"/>
  <c r="D217" i="98" a="1"/>
  <c r="D217" i="98" s="1"/>
  <c r="E216" i="98" a="1"/>
  <c r="E216" i="98" s="1"/>
  <c r="D216" i="98" a="1"/>
  <c r="D216" i="98" s="1"/>
  <c r="E215" i="98" a="1"/>
  <c r="E215" i="98" s="1"/>
  <c r="D215" i="98" a="1"/>
  <c r="D215" i="98" s="1"/>
  <c r="E214" i="98" a="1"/>
  <c r="E214" i="98" s="1"/>
  <c r="D214" i="98" a="1"/>
  <c r="D214" i="98" s="1"/>
  <c r="E213" i="98" a="1"/>
  <c r="E213" i="98" s="1"/>
  <c r="D213" i="98" a="1"/>
  <c r="D213" i="98" s="1"/>
  <c r="D211" i="98" a="1"/>
  <c r="D211" i="98" s="1"/>
  <c r="E208" i="98" a="1"/>
  <c r="E208" i="98" s="1"/>
  <c r="D208" i="98" a="1"/>
  <c r="D208" i="98" s="1"/>
  <c r="E207" i="98" a="1"/>
  <c r="E207" i="98" s="1"/>
  <c r="D207" i="98" a="1"/>
  <c r="D207" i="98" s="1"/>
  <c r="D205" i="98" a="1"/>
  <c r="D205" i="98" s="1"/>
  <c r="D204" i="98" a="1"/>
  <c r="D204" i="98" s="1"/>
  <c r="D203" i="98"/>
  <c r="D203" i="98" a="1"/>
  <c r="D202" i="98" a="1"/>
  <c r="D202" i="98" s="1"/>
  <c r="H199" i="98" a="1"/>
  <c r="H199" i="98" s="1"/>
  <c r="G199" i="98" a="1"/>
  <c r="G199" i="98" s="1"/>
  <c r="F199" i="98" a="1"/>
  <c r="F199" i="98" s="1"/>
  <c r="E199" i="98" a="1"/>
  <c r="E199" i="98" s="1"/>
  <c r="D199" i="98" a="1"/>
  <c r="D199" i="98" s="1"/>
  <c r="H198" i="98" a="1"/>
  <c r="H198" i="98" s="1"/>
  <c r="G198" i="98" a="1"/>
  <c r="G198" i="98" s="1"/>
  <c r="F198" i="98" a="1"/>
  <c r="F198" i="98" s="1"/>
  <c r="E198" i="98" a="1"/>
  <c r="E198" i="98" s="1"/>
  <c r="D198" i="98" a="1"/>
  <c r="D198" i="98" s="1"/>
  <c r="H197" i="98" a="1"/>
  <c r="H197" i="98" s="1"/>
  <c r="G197" i="98" a="1"/>
  <c r="G197" i="98" s="1"/>
  <c r="F197" i="98" a="1"/>
  <c r="F197" i="98" s="1"/>
  <c r="E197" i="98" a="1"/>
  <c r="E197" i="98" s="1"/>
  <c r="D197" i="98" a="1"/>
  <c r="D197" i="98" s="1"/>
  <c r="H196" i="98" a="1"/>
  <c r="H196" i="98" s="1"/>
  <c r="G196" i="98" a="1"/>
  <c r="G196" i="98" s="1"/>
  <c r="F196" i="98" a="1"/>
  <c r="F196" i="98" s="1"/>
  <c r="E196" i="98" a="1"/>
  <c r="E196" i="98" s="1"/>
  <c r="D196" i="98" a="1"/>
  <c r="D196" i="98" s="1"/>
  <c r="H195" i="98" a="1"/>
  <c r="H195" i="98" s="1"/>
  <c r="G195" i="98" a="1"/>
  <c r="G195" i="98" s="1"/>
  <c r="F195" i="98" a="1"/>
  <c r="F195" i="98" s="1"/>
  <c r="E195" i="98" a="1"/>
  <c r="E195" i="98" s="1"/>
  <c r="D195" i="98" a="1"/>
  <c r="D195" i="98" s="1"/>
  <c r="H194" i="98" a="1"/>
  <c r="H194" i="98" s="1"/>
  <c r="G194" i="98" a="1"/>
  <c r="G194" i="98" s="1"/>
  <c r="F194" i="98" a="1"/>
  <c r="F194" i="98" s="1"/>
  <c r="E194" i="98" a="1"/>
  <c r="E194" i="98" s="1"/>
  <c r="D194" i="98" a="1"/>
  <c r="D194" i="98" s="1"/>
  <c r="H193" i="98" a="1"/>
  <c r="H193" i="98" s="1"/>
  <c r="G193" i="98" a="1"/>
  <c r="G193" i="98" s="1"/>
  <c r="F193" i="98" a="1"/>
  <c r="F193" i="98" s="1"/>
  <c r="E193" i="98" a="1"/>
  <c r="E193" i="98" s="1"/>
  <c r="D193" i="98" a="1"/>
  <c r="D193" i="98" s="1"/>
  <c r="H192" i="98" a="1"/>
  <c r="H192" i="98" s="1"/>
  <c r="G192" i="98" a="1"/>
  <c r="G192" i="98" s="1"/>
  <c r="F192" i="98" a="1"/>
  <c r="F192" i="98" s="1"/>
  <c r="E192" i="98" a="1"/>
  <c r="E192" i="98" s="1"/>
  <c r="D192" i="98" a="1"/>
  <c r="D192" i="98" s="1"/>
  <c r="H191" i="98" a="1"/>
  <c r="H191" i="98" s="1"/>
  <c r="G191" i="98" a="1"/>
  <c r="G191" i="98" s="1"/>
  <c r="F191" i="98" a="1"/>
  <c r="F191" i="98" s="1"/>
  <c r="E191" i="98" a="1"/>
  <c r="E191" i="98" s="1"/>
  <c r="D191" i="98" a="1"/>
  <c r="D191" i="98" s="1"/>
  <c r="H190" i="98" a="1"/>
  <c r="H190" i="98" s="1"/>
  <c r="G190" i="98" a="1"/>
  <c r="G190" i="98" s="1"/>
  <c r="F190" i="98" a="1"/>
  <c r="F190" i="98" s="1"/>
  <c r="E190" i="98" a="1"/>
  <c r="E190" i="98" s="1"/>
  <c r="D190" i="98" a="1"/>
  <c r="D190" i="98" s="1"/>
  <c r="H189" i="98" a="1"/>
  <c r="H189" i="98" s="1"/>
  <c r="G189" i="98" a="1"/>
  <c r="G189" i="98" s="1"/>
  <c r="F189" i="98" a="1"/>
  <c r="F189" i="98" s="1"/>
  <c r="E189" i="98" a="1"/>
  <c r="E189" i="98" s="1"/>
  <c r="D189" i="98" a="1"/>
  <c r="D189" i="98" s="1"/>
  <c r="H188" i="98" a="1"/>
  <c r="H188" i="98" s="1"/>
  <c r="G188" i="98" a="1"/>
  <c r="G188" i="98" s="1"/>
  <c r="F188" i="98" a="1"/>
  <c r="F188" i="98" s="1"/>
  <c r="G28" i="79" s="1"/>
  <c r="E188" i="98" a="1"/>
  <c r="E188" i="98" s="1"/>
  <c r="D188" i="98" a="1"/>
  <c r="D188" i="98" s="1"/>
  <c r="H187" i="98" a="1"/>
  <c r="H187" i="98" s="1"/>
  <c r="G187" i="98" a="1"/>
  <c r="G187" i="98" s="1"/>
  <c r="F187" i="98" a="1"/>
  <c r="F187" i="98" s="1"/>
  <c r="G29" i="79" s="1"/>
  <c r="E187" i="98" a="1"/>
  <c r="E187" i="98" s="1"/>
  <c r="D187" i="98" a="1"/>
  <c r="D187" i="98" s="1"/>
  <c r="D181" i="98" a="1"/>
  <c r="D181" i="98" s="1"/>
  <c r="D180" i="98" a="1"/>
  <c r="D180" i="98" s="1"/>
  <c r="D179" i="98" a="1"/>
  <c r="D179" i="98" s="1"/>
  <c r="D178" i="98"/>
  <c r="D178" i="98" a="1"/>
  <c r="E175" i="98" a="1"/>
  <c r="E175" i="98" s="1"/>
  <c r="D175" i="98" a="1"/>
  <c r="D175" i="98" s="1"/>
  <c r="D174" i="98" a="1"/>
  <c r="D174" i="98" s="1"/>
  <c r="D173" i="98" a="1"/>
  <c r="D173" i="98" s="1"/>
  <c r="D170" i="98" a="1"/>
  <c r="D170" i="98" s="1"/>
  <c r="D169" i="98" a="1"/>
  <c r="D169" i="98" s="1"/>
  <c r="D168" i="98" a="1"/>
  <c r="D168" i="98" s="1"/>
  <c r="D167" i="98" a="1"/>
  <c r="D167" i="98" s="1"/>
  <c r="D164" i="98" a="1"/>
  <c r="D164" i="98" s="1"/>
  <c r="D163" i="98" a="1"/>
  <c r="D163" i="98" s="1"/>
  <c r="D162" i="98" a="1"/>
  <c r="D162" i="98" s="1"/>
  <c r="D161" i="98" a="1"/>
  <c r="D161" i="98" s="1"/>
  <c r="E158" i="98" a="1"/>
  <c r="E158" i="98" s="1"/>
  <c r="D158" i="98" a="1"/>
  <c r="D158" i="98" s="1"/>
  <c r="E157" i="98" a="1"/>
  <c r="E157" i="98" s="1"/>
  <c r="D157" i="98" a="1"/>
  <c r="D157" i="98" s="1"/>
  <c r="E156" i="98" a="1"/>
  <c r="E156" i="98" s="1"/>
  <c r="D156" i="98" a="1"/>
  <c r="D156" i="98" s="1"/>
  <c r="E155" i="98" a="1"/>
  <c r="E155" i="98" s="1"/>
  <c r="D155" i="98" a="1"/>
  <c r="D155" i="98" s="1"/>
  <c r="E154" i="98" a="1"/>
  <c r="E154" i="98" s="1"/>
  <c r="D154" i="98" a="1"/>
  <c r="D154" i="98" s="1"/>
  <c r="D151" i="98" a="1"/>
  <c r="D151" i="98" s="1"/>
  <c r="D150" i="98" a="1"/>
  <c r="D150" i="98" s="1"/>
  <c r="E147" i="98" a="1"/>
  <c r="E147" i="98" s="1"/>
  <c r="D147" i="98" a="1"/>
  <c r="D147" i="98" s="1"/>
  <c r="E146" i="98" a="1"/>
  <c r="E146" i="98" s="1"/>
  <c r="D146" i="98" a="1"/>
  <c r="D146" i="98" s="1"/>
  <c r="E145" i="98" a="1"/>
  <c r="E145" i="98" s="1"/>
  <c r="D145" i="98" a="1"/>
  <c r="D145" i="98" s="1"/>
  <c r="E144" i="98" a="1"/>
  <c r="E144" i="98" s="1"/>
  <c r="D144" i="98" a="1"/>
  <c r="D144" i="98" s="1"/>
  <c r="E143" i="98" a="1"/>
  <c r="E143" i="98" s="1"/>
  <c r="D143" i="98" a="1"/>
  <c r="D143" i="98" s="1"/>
  <c r="D141" i="98" a="1"/>
  <c r="D141" i="98" s="1"/>
  <c r="D140" i="98" a="1"/>
  <c r="D140" i="98" s="1"/>
  <c r="D139" i="98" a="1"/>
  <c r="D139" i="98" s="1"/>
  <c r="E136" i="98" a="1"/>
  <c r="E136" i="98" s="1"/>
  <c r="D136" i="98" a="1"/>
  <c r="D136" i="98" s="1"/>
  <c r="E135" i="98" a="1"/>
  <c r="E135" i="98" s="1"/>
  <c r="D135" i="98" a="1"/>
  <c r="D135" i="98" s="1"/>
  <c r="D133" i="98" a="1"/>
  <c r="D133" i="98" s="1"/>
  <c r="D132" i="98" a="1"/>
  <c r="D132" i="98" s="1"/>
  <c r="E129" i="98" a="1"/>
  <c r="E129" i="98" s="1"/>
  <c r="D129" i="98" a="1"/>
  <c r="D129" i="98" s="1"/>
  <c r="E128" i="98" a="1"/>
  <c r="E128" i="98" s="1"/>
  <c r="D128" i="98" a="1"/>
  <c r="D128" i="98" s="1"/>
  <c r="D125" i="98" a="1"/>
  <c r="D125" i="98" s="1"/>
  <c r="D124" i="98" a="1"/>
  <c r="D124" i="98" s="1"/>
  <c r="G121" i="98" a="1"/>
  <c r="G121" i="98" s="1"/>
  <c r="F121" i="98" a="1"/>
  <c r="F121" i="98" s="1"/>
  <c r="E121" i="98" a="1"/>
  <c r="E121" i="98" s="1"/>
  <c r="D121" i="98" a="1"/>
  <c r="D121" i="98" s="1"/>
  <c r="G120" i="98" a="1"/>
  <c r="G120" i="98" s="1"/>
  <c r="F120" i="98" a="1"/>
  <c r="F120" i="98" s="1"/>
  <c r="E120" i="98" a="1"/>
  <c r="E120" i="98" s="1"/>
  <c r="D120" i="98" a="1"/>
  <c r="D120" i="98" s="1"/>
  <c r="D117" i="98"/>
  <c r="D117" i="98" a="1"/>
  <c r="D116" i="98" a="1"/>
  <c r="D116" i="98" s="1"/>
  <c r="D115" i="98" a="1"/>
  <c r="D115" i="98" s="1"/>
  <c r="G112" i="98" a="1"/>
  <c r="G112" i="98" s="1"/>
  <c r="F112" i="98" a="1"/>
  <c r="F112" i="98" s="1"/>
  <c r="E112" i="98" a="1"/>
  <c r="E112" i="98" s="1"/>
  <c r="D112" i="98" a="1"/>
  <c r="D112" i="98" s="1"/>
  <c r="G111" i="98" a="1"/>
  <c r="G111" i="98" s="1"/>
  <c r="F111" i="98" a="1"/>
  <c r="F111" i="98" s="1"/>
  <c r="E111" i="98" a="1"/>
  <c r="E111" i="98" s="1"/>
  <c r="D111" i="98" a="1"/>
  <c r="D111" i="98" s="1"/>
  <c r="G110" i="98" a="1"/>
  <c r="G110" i="98" s="1"/>
  <c r="F110" i="98" a="1"/>
  <c r="F110" i="98" s="1"/>
  <c r="E110" i="98" a="1"/>
  <c r="E110" i="98" s="1"/>
  <c r="D110" i="98" a="1"/>
  <c r="D110" i="98" s="1"/>
  <c r="D107" i="98" a="1"/>
  <c r="D107" i="98" s="1"/>
  <c r="D106" i="98" a="1"/>
  <c r="D106" i="98" s="1"/>
  <c r="D105" i="98" a="1"/>
  <c r="D105" i="98" s="1"/>
  <c r="D98" i="98" a="1"/>
  <c r="D98" i="98" s="1"/>
  <c r="S97" i="98" a="1"/>
  <c r="S97" i="98" s="1"/>
  <c r="R97" i="98" a="1"/>
  <c r="R97" i="98" s="1"/>
  <c r="Q97" i="98" a="1"/>
  <c r="Q97" i="98" s="1"/>
  <c r="P97" i="98" a="1"/>
  <c r="P97" i="98" s="1"/>
  <c r="O97" i="98" a="1"/>
  <c r="O97" i="98" s="1"/>
  <c r="N97" i="98" a="1"/>
  <c r="N97" i="98" s="1"/>
  <c r="M97" i="98" a="1"/>
  <c r="M97" i="98" s="1"/>
  <c r="L97" i="98" a="1"/>
  <c r="L97" i="98" s="1"/>
  <c r="K97" i="98" a="1"/>
  <c r="K97" i="98" s="1"/>
  <c r="J97" i="98" a="1"/>
  <c r="J97" i="98" s="1"/>
  <c r="I97" i="98" a="1"/>
  <c r="I97" i="98" s="1"/>
  <c r="H97" i="98" a="1"/>
  <c r="H97" i="98" s="1"/>
  <c r="G97" i="98" a="1"/>
  <c r="G97" i="98" s="1"/>
  <c r="F97" i="98" a="1"/>
  <c r="F97" i="98" s="1"/>
  <c r="E97" i="98" a="1"/>
  <c r="E97" i="98" s="1"/>
  <c r="D97" i="98" a="1"/>
  <c r="D97" i="98" s="1"/>
  <c r="S96" i="98" a="1"/>
  <c r="S96" i="98" s="1"/>
  <c r="R96" i="98" a="1"/>
  <c r="R96" i="98" s="1"/>
  <c r="Q96" i="98" a="1"/>
  <c r="Q96" i="98" s="1"/>
  <c r="P96" i="98" a="1"/>
  <c r="P96" i="98" s="1"/>
  <c r="O96" i="98" a="1"/>
  <c r="O96" i="98" s="1"/>
  <c r="N96" i="98" a="1"/>
  <c r="N96" i="98" s="1"/>
  <c r="M96" i="98" a="1"/>
  <c r="M96" i="98" s="1"/>
  <c r="L96" i="98" a="1"/>
  <c r="L96" i="98" s="1"/>
  <c r="K96" i="98" a="1"/>
  <c r="K96" i="98" s="1"/>
  <c r="J96" i="98" a="1"/>
  <c r="J96" i="98" s="1"/>
  <c r="I96" i="98" a="1"/>
  <c r="I96" i="98" s="1"/>
  <c r="H96" i="98" a="1"/>
  <c r="H96" i="98" s="1"/>
  <c r="G96" i="98" a="1"/>
  <c r="G96" i="98" s="1"/>
  <c r="F96" i="98" a="1"/>
  <c r="F96" i="98" s="1"/>
  <c r="E96" i="98" a="1"/>
  <c r="E96" i="98" s="1"/>
  <c r="D96" i="98" a="1"/>
  <c r="D96" i="98" s="1"/>
  <c r="S95" i="98" a="1"/>
  <c r="S95" i="98" s="1"/>
  <c r="R95" i="98" a="1"/>
  <c r="R95" i="98" s="1"/>
  <c r="Q95" i="98" a="1"/>
  <c r="Q95" i="98" s="1"/>
  <c r="P95" i="98" a="1"/>
  <c r="P95" i="98" s="1"/>
  <c r="O95" i="98" a="1"/>
  <c r="O95" i="98" s="1"/>
  <c r="N95" i="98" a="1"/>
  <c r="N95" i="98" s="1"/>
  <c r="M95" i="98" a="1"/>
  <c r="M95" i="98" s="1"/>
  <c r="L95" i="98" a="1"/>
  <c r="L95" i="98" s="1"/>
  <c r="K95" i="98" a="1"/>
  <c r="K95" i="98" s="1"/>
  <c r="J95" i="98" a="1"/>
  <c r="J95" i="98" s="1"/>
  <c r="I95" i="98" a="1"/>
  <c r="I95" i="98" s="1"/>
  <c r="H95" i="98" a="1"/>
  <c r="H95" i="98" s="1"/>
  <c r="G95" i="98" a="1"/>
  <c r="G95" i="98" s="1"/>
  <c r="F95" i="98" a="1"/>
  <c r="F95" i="98" s="1"/>
  <c r="E95" i="98" a="1"/>
  <c r="E95" i="98" s="1"/>
  <c r="D95" i="98" a="1"/>
  <c r="D95" i="98" s="1"/>
  <c r="S94" i="98" a="1"/>
  <c r="S94" i="98" s="1"/>
  <c r="R94" i="98" a="1"/>
  <c r="R94" i="98" s="1"/>
  <c r="Q94" i="98" a="1"/>
  <c r="Q94" i="98" s="1"/>
  <c r="P94" i="98" a="1"/>
  <c r="P94" i="98" s="1"/>
  <c r="O94" i="98" a="1"/>
  <c r="O94" i="98" s="1"/>
  <c r="N94" i="98" a="1"/>
  <c r="N94" i="98" s="1"/>
  <c r="M94" i="98" a="1"/>
  <c r="M94" i="98" s="1"/>
  <c r="L94" i="98" a="1"/>
  <c r="L94" i="98" s="1"/>
  <c r="K94" i="98" a="1"/>
  <c r="K94" i="98" s="1"/>
  <c r="J94" i="98" a="1"/>
  <c r="J94" i="98" s="1"/>
  <c r="I94" i="98" a="1"/>
  <c r="I94" i="98" s="1"/>
  <c r="H94" i="98" a="1"/>
  <c r="H94" i="98" s="1"/>
  <c r="G94" i="98" a="1"/>
  <c r="G94" i="98" s="1"/>
  <c r="F94" i="98" a="1"/>
  <c r="F94" i="98" s="1"/>
  <c r="E94" i="98" a="1"/>
  <c r="E94" i="98" s="1"/>
  <c r="D94" i="98" a="1"/>
  <c r="D94" i="98" s="1"/>
  <c r="S93" i="98" a="1"/>
  <c r="S93" i="98" s="1"/>
  <c r="R93" i="98" a="1"/>
  <c r="R93" i="98" s="1"/>
  <c r="Q93" i="98" a="1"/>
  <c r="Q93" i="98" s="1"/>
  <c r="P93" i="98" a="1"/>
  <c r="P93" i="98" s="1"/>
  <c r="O93" i="98" a="1"/>
  <c r="O93" i="98" s="1"/>
  <c r="N93" i="98" a="1"/>
  <c r="N93" i="98" s="1"/>
  <c r="M93" i="98" a="1"/>
  <c r="M93" i="98" s="1"/>
  <c r="L93" i="98" a="1"/>
  <c r="L93" i="98" s="1"/>
  <c r="K93" i="98" a="1"/>
  <c r="K93" i="98" s="1"/>
  <c r="J93" i="98" a="1"/>
  <c r="J93" i="98" s="1"/>
  <c r="I93" i="98" a="1"/>
  <c r="I93" i="98" s="1"/>
  <c r="H93" i="98" a="1"/>
  <c r="H93" i="98" s="1"/>
  <c r="G93" i="98" a="1"/>
  <c r="G93" i="98" s="1"/>
  <c r="F93" i="98" a="1"/>
  <c r="F93" i="98" s="1"/>
  <c r="E93" i="98" a="1"/>
  <c r="E93" i="98" s="1"/>
  <c r="D93" i="98" a="1"/>
  <c r="D93" i="98" s="1"/>
  <c r="S92" i="98" a="1"/>
  <c r="S92" i="98" s="1"/>
  <c r="R92" i="98" a="1"/>
  <c r="R92" i="98" s="1"/>
  <c r="Q92" i="98" a="1"/>
  <c r="Q92" i="98" s="1"/>
  <c r="P92" i="98" a="1"/>
  <c r="P92" i="98" s="1"/>
  <c r="O92" i="98" a="1"/>
  <c r="O92" i="98" s="1"/>
  <c r="N92" i="98" a="1"/>
  <c r="N92" i="98" s="1"/>
  <c r="M92" i="98" a="1"/>
  <c r="M92" i="98" s="1"/>
  <c r="L92" i="98" a="1"/>
  <c r="L92" i="98" s="1"/>
  <c r="K92" i="98" a="1"/>
  <c r="K92" i="98" s="1"/>
  <c r="J92" i="98" a="1"/>
  <c r="J92" i="98" s="1"/>
  <c r="I92" i="98" a="1"/>
  <c r="I92" i="98" s="1"/>
  <c r="H92" i="98" a="1"/>
  <c r="H92" i="98" s="1"/>
  <c r="G92" i="98" a="1"/>
  <c r="G92" i="98" s="1"/>
  <c r="F92" i="98" a="1"/>
  <c r="F92" i="98" s="1"/>
  <c r="E92" i="98" a="1"/>
  <c r="E92" i="98" s="1"/>
  <c r="D92" i="98" a="1"/>
  <c r="D92" i="98" s="1"/>
  <c r="S91" i="98" a="1"/>
  <c r="S91" i="98" s="1"/>
  <c r="R91" i="98" a="1"/>
  <c r="R91" i="98" s="1"/>
  <c r="Q91" i="98" a="1"/>
  <c r="Q91" i="98" s="1"/>
  <c r="P91" i="98" a="1"/>
  <c r="P91" i="98" s="1"/>
  <c r="O91" i="98" a="1"/>
  <c r="O91" i="98" s="1"/>
  <c r="N91" i="98" a="1"/>
  <c r="N91" i="98" s="1"/>
  <c r="M91" i="98" a="1"/>
  <c r="M91" i="98" s="1"/>
  <c r="L91" i="98" a="1"/>
  <c r="L91" i="98" s="1"/>
  <c r="K91" i="98" a="1"/>
  <c r="K91" i="98" s="1"/>
  <c r="J91" i="98" a="1"/>
  <c r="J91" i="98" s="1"/>
  <c r="I91" i="98" a="1"/>
  <c r="I91" i="98" s="1"/>
  <c r="H91" i="98" a="1"/>
  <c r="H91" i="98" s="1"/>
  <c r="G91" i="98" a="1"/>
  <c r="G91" i="98" s="1"/>
  <c r="F91" i="98" a="1"/>
  <c r="F91" i="98" s="1"/>
  <c r="E91" i="98" a="1"/>
  <c r="E91" i="98" s="1"/>
  <c r="D91" i="98" a="1"/>
  <c r="D91" i="98" s="1"/>
  <c r="S90" i="98" a="1"/>
  <c r="S90" i="98" s="1"/>
  <c r="R90" i="98" a="1"/>
  <c r="R90" i="98" s="1"/>
  <c r="Q90" i="98" a="1"/>
  <c r="Q90" i="98" s="1"/>
  <c r="P90" i="98" a="1"/>
  <c r="P90" i="98" s="1"/>
  <c r="O90" i="98" a="1"/>
  <c r="O90" i="98" s="1"/>
  <c r="N90" i="98" a="1"/>
  <c r="N90" i="98" s="1"/>
  <c r="M90" i="98" a="1"/>
  <c r="M90" i="98" s="1"/>
  <c r="L90" i="98" a="1"/>
  <c r="L90" i="98" s="1"/>
  <c r="K90" i="98" a="1"/>
  <c r="K90" i="98" s="1"/>
  <c r="J90" i="98" a="1"/>
  <c r="J90" i="98" s="1"/>
  <c r="I90" i="98" a="1"/>
  <c r="I90" i="98" s="1"/>
  <c r="H90" i="98" a="1"/>
  <c r="H90" i="98" s="1"/>
  <c r="G90" i="98" a="1"/>
  <c r="G90" i="98" s="1"/>
  <c r="F90" i="98" a="1"/>
  <c r="F90" i="98" s="1"/>
  <c r="E90" i="98" a="1"/>
  <c r="E90" i="98" s="1"/>
  <c r="D90" i="98" a="1"/>
  <c r="D90" i="98" s="1"/>
  <c r="D83" i="98" a="1"/>
  <c r="D83" i="98" s="1"/>
  <c r="D82" i="98" a="1"/>
  <c r="D82" i="98" s="1"/>
  <c r="D81" i="98" a="1"/>
  <c r="D81" i="98" s="1"/>
  <c r="E77" i="98" a="1"/>
  <c r="E77" i="98" s="1"/>
  <c r="D77" i="98" a="1"/>
  <c r="D77" i="98" s="1"/>
  <c r="E76" i="98" a="1"/>
  <c r="E76" i="98" s="1"/>
  <c r="D76" i="98" a="1"/>
  <c r="D76" i="98" s="1"/>
  <c r="E75" i="98" a="1"/>
  <c r="E75" i="98" s="1"/>
  <c r="D75" i="98" a="1"/>
  <c r="D75" i="98" s="1"/>
  <c r="E74" i="98" a="1"/>
  <c r="E74" i="98" s="1"/>
  <c r="D74" i="98" a="1"/>
  <c r="D74" i="98" s="1"/>
  <c r="E73" i="98" a="1"/>
  <c r="E73" i="98" s="1"/>
  <c r="D73" i="98" a="1"/>
  <c r="D73" i="98" s="1"/>
  <c r="E72" i="98" a="1"/>
  <c r="E72" i="98" s="1"/>
  <c r="D72" i="98" a="1"/>
  <c r="D72" i="98" s="1"/>
  <c r="E71" i="98" a="1"/>
  <c r="E71" i="98" s="1"/>
  <c r="D71" i="98" a="1"/>
  <c r="D71" i="98" s="1"/>
  <c r="E70" i="98" a="1"/>
  <c r="E70" i="98" s="1"/>
  <c r="D70" i="98" a="1"/>
  <c r="D70" i="98" s="1"/>
  <c r="E69" i="98" a="1"/>
  <c r="E69" i="98" s="1"/>
  <c r="D69" i="98" a="1"/>
  <c r="D69" i="98" s="1"/>
  <c r="E68" i="98" a="1"/>
  <c r="E68" i="98" s="1"/>
  <c r="D68" i="98" a="1"/>
  <c r="D68" i="98" s="1"/>
  <c r="E67" i="98" a="1"/>
  <c r="E67" i="98" s="1"/>
  <c r="D67" i="98" a="1"/>
  <c r="D67" i="98" s="1"/>
  <c r="E66" i="98" a="1"/>
  <c r="E66" i="98" s="1"/>
  <c r="D66" i="98" a="1"/>
  <c r="D66" i="98" s="1"/>
  <c r="E65" i="98" a="1"/>
  <c r="E65" i="98" s="1"/>
  <c r="D65" i="98" a="1"/>
  <c r="D65" i="98" s="1"/>
  <c r="E64" i="98" a="1"/>
  <c r="E64" i="98" s="1"/>
  <c r="D64" i="98" a="1"/>
  <c r="D64" i="98" s="1"/>
  <c r="D59" i="98" a="1"/>
  <c r="D59" i="98" s="1"/>
  <c r="D58" i="98"/>
  <c r="D58" i="98" a="1"/>
  <c r="D57" i="98" a="1"/>
  <c r="D57" i="98" s="1"/>
  <c r="G54" i="98" a="1"/>
  <c r="G54" i="98" s="1"/>
  <c r="F54" i="98" a="1"/>
  <c r="F54" i="98" s="1"/>
  <c r="E54" i="98" a="1"/>
  <c r="E54" i="98" s="1"/>
  <c r="D54" i="98" a="1"/>
  <c r="D54" i="98" s="1"/>
  <c r="G53" i="98" a="1"/>
  <c r="G53" i="98" s="1"/>
  <c r="F53" i="98" a="1"/>
  <c r="F53" i="98" s="1"/>
  <c r="E53" i="98" a="1"/>
  <c r="E53" i="98" s="1"/>
  <c r="D53" i="98" a="1"/>
  <c r="D53" i="98" s="1"/>
  <c r="G52" i="98" a="1"/>
  <c r="G52" i="98" s="1"/>
  <c r="F52" i="98" a="1"/>
  <c r="F52" i="98" s="1"/>
  <c r="E52" i="98" a="1"/>
  <c r="E52" i="98" s="1"/>
  <c r="D52" i="98" a="1"/>
  <c r="D52" i="98" s="1"/>
  <c r="G51" i="98" a="1"/>
  <c r="G51" i="98" s="1"/>
  <c r="F51" i="98" a="1"/>
  <c r="F51" i="98" s="1"/>
  <c r="E51" i="98" a="1"/>
  <c r="E51" i="98" s="1"/>
  <c r="D51" i="98" a="1"/>
  <c r="D51" i="98" s="1"/>
  <c r="G50" i="98" a="1"/>
  <c r="G50" i="98" s="1"/>
  <c r="F50" i="98" a="1"/>
  <c r="F50" i="98" s="1"/>
  <c r="E50" i="98" a="1"/>
  <c r="E50" i="98" s="1"/>
  <c r="D50" i="98" a="1"/>
  <c r="D50" i="98" s="1"/>
  <c r="G49" i="98" a="1"/>
  <c r="G49" i="98" s="1"/>
  <c r="F49" i="98" a="1"/>
  <c r="F49" i="98" s="1"/>
  <c r="E49" i="98" a="1"/>
  <c r="E49" i="98" s="1"/>
  <c r="D49" i="98" a="1"/>
  <c r="D49" i="98" s="1"/>
  <c r="G48" i="98" a="1"/>
  <c r="G48" i="98" s="1"/>
  <c r="F48" i="98" a="1"/>
  <c r="F48" i="98" s="1"/>
  <c r="E48" i="98" a="1"/>
  <c r="E48" i="98" s="1"/>
  <c r="D48" i="98" a="1"/>
  <c r="D48" i="98" s="1"/>
  <c r="D46" i="98" a="1"/>
  <c r="D46" i="98" s="1"/>
  <c r="D45" i="98" a="1"/>
  <c r="D45" i="98" s="1"/>
  <c r="E43" i="98" a="1"/>
  <c r="E43" i="98" s="1"/>
  <c r="D43" i="98" a="1"/>
  <c r="D43" i="98" s="1"/>
  <c r="E42" i="98" a="1"/>
  <c r="E42" i="98" s="1"/>
  <c r="D42" i="98" a="1"/>
  <c r="D42" i="98" s="1"/>
  <c r="E41" i="98" a="1"/>
  <c r="E41" i="98" s="1"/>
  <c r="D41" i="98" a="1"/>
  <c r="D41" i="98" s="1"/>
  <c r="E40" i="98" a="1"/>
  <c r="E40" i="98" s="1"/>
  <c r="D40" i="98" a="1"/>
  <c r="D40" i="98" s="1"/>
  <c r="E39" i="98" a="1"/>
  <c r="E39" i="98" s="1"/>
  <c r="D39" i="98" a="1"/>
  <c r="D39" i="98" s="1"/>
  <c r="E38" i="98" a="1"/>
  <c r="E38" i="98" s="1"/>
  <c r="D38" i="98" a="1"/>
  <c r="D38" i="98" s="1"/>
  <c r="E37" i="98" a="1"/>
  <c r="E37" i="98" s="1"/>
  <c r="D37" i="98" a="1"/>
  <c r="D37" i="98" s="1"/>
  <c r="D35" i="98" a="1"/>
  <c r="D35" i="98" s="1"/>
  <c r="D34" i="98" a="1"/>
  <c r="D34" i="98" s="1"/>
  <c r="D30" i="98" a="1"/>
  <c r="D30" i="98" s="1"/>
  <c r="D29" i="98" a="1"/>
  <c r="D29" i="98" s="1"/>
  <c r="D28" i="98" a="1"/>
  <c r="D28" i="98" s="1"/>
  <c r="D27" i="98" a="1"/>
  <c r="D27" i="98" s="1"/>
  <c r="D26" i="98" a="1"/>
  <c r="D26" i="98" s="1"/>
  <c r="D25" i="98" a="1"/>
  <c r="D25" i="98" s="1"/>
  <c r="D24" i="98" a="1"/>
  <c r="D24" i="98" s="1"/>
  <c r="D23" i="98" a="1"/>
  <c r="D23" i="98" s="1"/>
  <c r="D22" i="98" a="1"/>
  <c r="D22" i="98" s="1"/>
  <c r="D21" i="98" a="1"/>
  <c r="D21" i="98" s="1"/>
  <c r="D19" i="98" a="1"/>
  <c r="D19" i="98" s="1"/>
  <c r="D18" i="98" a="1"/>
  <c r="D18" i="98" s="1"/>
  <c r="F14" i="98" a="1"/>
  <c r="F14" i="98" s="1"/>
  <c r="E14" i="98" a="1"/>
  <c r="E14" i="98" s="1"/>
  <c r="D14" i="98" a="1"/>
  <c r="D14" i="98" s="1"/>
  <c r="F13" i="98" a="1"/>
  <c r="F13" i="98" s="1"/>
  <c r="E13" i="98" a="1"/>
  <c r="E13" i="98" s="1"/>
  <c r="D13" i="98" a="1"/>
  <c r="D13" i="98" s="1"/>
  <c r="F12" i="98" a="1"/>
  <c r="F12" i="98" s="1"/>
  <c r="E12" i="98" a="1"/>
  <c r="E12" i="98" s="1"/>
  <c r="D12" i="98" a="1"/>
  <c r="D12" i="98" s="1"/>
  <c r="F11" i="98" a="1"/>
  <c r="F11" i="98" s="1"/>
  <c r="E11" i="98" a="1"/>
  <c r="E11" i="98" s="1"/>
  <c r="D11" i="98" a="1"/>
  <c r="D11" i="98" s="1"/>
  <c r="F10" i="98" a="1"/>
  <c r="F10" i="98" s="1"/>
  <c r="E10" i="98" a="1"/>
  <c r="E10" i="98" s="1"/>
  <c r="D10" i="98" a="1"/>
  <c r="D10" i="98" s="1"/>
  <c r="F9" i="98" a="1"/>
  <c r="F9" i="98" s="1"/>
  <c r="E9" i="98" a="1"/>
  <c r="E9" i="98" s="1"/>
  <c r="D9" i="98" a="1"/>
  <c r="D9" i="98" s="1"/>
  <c r="F8" i="98" a="1"/>
  <c r="F8" i="98" s="1"/>
  <c r="E8" i="98" a="1"/>
  <c r="E8" i="98" s="1"/>
  <c r="D8" i="98" a="1"/>
  <c r="D8" i="98" s="1"/>
  <c r="F7" i="98" a="1"/>
  <c r="F7" i="98" s="1"/>
  <c r="E7" i="98" a="1"/>
  <c r="E7" i="98" s="1"/>
  <c r="D7" i="98" a="1"/>
  <c r="D7" i="98" s="1"/>
  <c r="D5" i="98" a="1"/>
  <c r="D5" i="98" s="1"/>
  <c r="G70" i="69" l="1"/>
  <c r="P70" i="69"/>
  <c r="H51" i="98"/>
  <c r="H48" i="98"/>
  <c r="H54" i="98"/>
  <c r="H52" i="98"/>
  <c r="H53" i="98"/>
  <c r="H50" i="98"/>
  <c r="H49" i="98"/>
  <c r="O72" i="69" l="1" a="1"/>
  <c r="O72" i="69" s="1"/>
  <c r="M69" i="69" a="1"/>
  <c r="M69" i="69" s="1"/>
  <c r="D117" i="79" l="1"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D7" i="79" a="1"/>
  <c r="D7" i="79" s="1"/>
  <c r="D6" i="79" a="1"/>
  <c r="D6" i="79" s="1"/>
  <c r="D5" i="79" a="1"/>
  <c r="D5" i="79" s="1"/>
  <c r="A39" i="74"/>
  <c r="A38" i="74"/>
  <c r="A37" i="74"/>
  <c r="A36" i="74"/>
  <c r="A33" i="74"/>
  <c r="A30" i="74"/>
  <c r="A29" i="74"/>
  <c r="A28" i="74"/>
  <c r="A27" i="74"/>
  <c r="A26" i="74"/>
  <c r="A25" i="74"/>
  <c r="A24" i="74"/>
  <c r="A19" i="74"/>
  <c r="A18" i="74"/>
  <c r="A15" i="74"/>
  <c r="A14" i="74"/>
  <c r="A13" i="74"/>
  <c r="A12" i="74"/>
  <c r="A11" i="74"/>
  <c r="A10" i="74"/>
  <c r="A9" i="74"/>
  <c r="A8" i="74"/>
  <c r="A7" i="74"/>
  <c r="A4" i="74"/>
  <c r="E19" i="70" l="1" a="1"/>
  <c r="E19" i="70" s="1"/>
  <c r="G14" i="70" a="1"/>
  <c r="G14" i="70" s="1"/>
  <c r="E15" i="70" a="1"/>
  <c r="E15" i="70" s="1"/>
  <c r="F14" i="70" a="1"/>
  <c r="F14" i="70" s="1"/>
  <c r="E14" i="70" a="1"/>
  <c r="E14" i="70" s="1"/>
  <c r="G21" i="70" a="1"/>
  <c r="G21" i="70" s="1"/>
  <c r="F19" i="70" a="1"/>
  <c r="F19" i="70" s="1"/>
  <c r="G19" i="70" a="1"/>
  <c r="G19" i="70" s="1"/>
  <c r="G15" i="70" a="1"/>
  <c r="G15" i="70" s="1"/>
  <c r="E16" i="70" a="1"/>
  <c r="E16" i="70" s="1"/>
  <c r="F16" i="70" a="1"/>
  <c r="F16" i="70" s="1"/>
  <c r="G16" i="70" a="1"/>
  <c r="G16" i="70" s="1"/>
  <c r="E20" i="70" a="1"/>
  <c r="E20" i="70" s="1"/>
  <c r="M25" i="69" s="1"/>
  <c r="E21" i="70" a="1"/>
  <c r="E21" i="70" s="1"/>
  <c r="F21" i="70" a="1"/>
  <c r="F21" i="70" s="1"/>
  <c r="F15" i="70" a="1"/>
  <c r="F15" i="70" s="1"/>
  <c r="F20" i="70" a="1"/>
  <c r="F20" i="70" s="1"/>
  <c r="N25" i="69" s="1"/>
  <c r="G20" i="70" a="1"/>
  <c r="G20" i="70" s="1"/>
  <c r="O25" i="69" s="1"/>
  <c r="D69" i="69" a="1"/>
  <c r="D69" i="69" s="1"/>
  <c r="F72" i="69" a="1"/>
  <c r="F72" i="69" s="1"/>
  <c r="M20" i="69" l="1"/>
  <c r="M35" i="69" s="1" a="1"/>
  <c r="M35" i="69" s="1"/>
  <c r="N20" i="69"/>
  <c r="N35" i="69" s="1" a="1"/>
  <c r="N35" i="69" s="1"/>
  <c r="O20" i="69"/>
  <c r="O35" i="69" s="1" a="1"/>
  <c r="O35" i="69" s="1"/>
  <c r="F60" i="69" l="1"/>
  <c r="E60" i="69"/>
  <c r="D60" i="69"/>
  <c r="F55" i="69"/>
  <c r="E55" i="69"/>
  <c r="D55" i="69"/>
  <c r="D8" i="70"/>
  <c r="D9" i="70"/>
  <c r="G35" i="69" l="1"/>
  <c r="P65" i="69"/>
  <c r="H69" i="69"/>
  <c r="Q69" i="69"/>
  <c r="G65" i="69"/>
  <c r="O67" i="69"/>
  <c r="F67" i="69"/>
  <c r="G7" i="13" s="1"/>
  <c r="F25" i="69"/>
  <c r="E25" i="69"/>
  <c r="D25" i="69"/>
  <c r="F20" i="69"/>
  <c r="F35" i="69" s="1" a="1"/>
  <c r="F35" i="69" s="1"/>
  <c r="E20" i="69"/>
  <c r="E35" i="69" s="1" a="1"/>
  <c r="E35" i="69" s="1"/>
  <c r="D20" i="69"/>
  <c r="D35" i="69" s="1" a="1"/>
  <c r="D35"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0" i="79"/>
  <c r="E67" i="69" l="1"/>
  <c r="G69" i="69" s="1"/>
  <c r="E72" i="69" s="1" a="1"/>
  <c r="E72" i="69" s="1"/>
  <c r="H7" i="13" s="1"/>
  <c r="H8" i="13" s="1"/>
  <c r="N67" i="69"/>
  <c r="P69" i="69" s="1"/>
  <c r="N72" i="69" s="1" a="1"/>
  <c r="N72" i="69" s="1"/>
  <c r="I7" i="13" s="1"/>
  <c r="I8" i="13" s="1"/>
  <c r="E7" i="13" l="1"/>
  <c r="F7" i="13"/>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<sst xmlns="http://schemas.openxmlformats.org/spreadsheetml/2006/main" count="287" uniqueCount="186">
  <si>
    <t>Home</t>
  </si>
  <si>
    <t>N2O MMS</t>
  </si>
  <si>
    <t>Sources &amp; acknowledgements</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</si>
  <si>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</si>
  <si>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</si>
  <si>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</si>
  <si>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</si>
  <si>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</si>
  <si>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</si>
  <si>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</si>
  <si>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</si>
  <si>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</si>
  <si>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</si>
  <si>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</si>
  <si>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</si>
  <si>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</si>
  <si>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</si>
  <si>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</si>
  <si>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</si>
  <si>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</si>
  <si>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</si>
  <si>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</si>
  <si>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</si>
  <si>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</si>
  <si>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</si>
  <si>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</si>
  <si>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</si>
  <si>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</si>
  <si>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</si>
  <si>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</si>
  <si>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</si>
  <si>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</si>
  <si>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</si>
  <si>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</si>
  <si>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</si>
  <si>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</si>
  <si>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</si>
  <si>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</si>
  <si>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</si>
  <si>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</si>
  <si>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</si>
  <si>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</si>
  <si>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</si>
  <si>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</si>
  <si>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</si>
  <si>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</si>
  <si>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</si>
  <si>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</si>
  <si>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</si>
  <si>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</si>
  <si>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</si>
  <si>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</si>
  <si>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</si>
  <si>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</si>
  <si>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</si>
  <si>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</si>
  <si>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</si>
  <si>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</si>
  <si>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</si>
  <si>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</si>
  <si>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</si>
  <si>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</si>
  <si>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</si>
  <si>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</si>
  <si>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</si>
  <si>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</si>
  <si>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</si>
  <si>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</si>
  <si>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</si>
  <si>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</si>
  <si>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</si>
  <si>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</si>
  <si>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</si>
  <si>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</si>
  <si>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</si>
  <si>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</si>
  <si>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</si>
  <si>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</si>
  <si>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NIR definition</t>
  </si>
  <si>
    <t>Intake</t>
  </si>
  <si>
    <t>MMS m</t>
  </si>
  <si>
    <t>Input - MMS - Feedlot</t>
  </si>
  <si>
    <t>kg dry matter / head  day</t>
  </si>
  <si>
    <t>Treatment stage T</t>
  </si>
  <si>
    <t>Feedlot manure management systems</t>
  </si>
  <si>
    <t>Herd movement</t>
  </si>
  <si>
    <t>Duration of stay</t>
  </si>
  <si>
    <t>head</t>
  </si>
  <si>
    <t>Table_D_j</t>
  </si>
  <si>
    <t>Table_N_j</t>
  </si>
  <si>
    <t>Number of head in each group</t>
  </si>
  <si>
    <t>Table_E_CH4</t>
  </si>
  <si>
    <t>Methane emissions for each group, MMS and treatment stage</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</si>
  <si>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</si>
  <si>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</si>
  <si>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</si>
  <si>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</si>
  <si>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</si>
  <si>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</si>
  <si>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</si>
  <si>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</si>
  <si>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</si>
  <si>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</si>
  <si>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</si>
  <si>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</si>
  <si>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</si>
  <si>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</si>
  <si>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</si>
  <si>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</si>
  <si>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M1_Table_I_j</t>
  </si>
  <si>
    <t>M2_Table_I_j</t>
  </si>
  <si>
    <t>Method 1</t>
  </si>
  <si>
    <t>Method 2</t>
  </si>
  <si>
    <t>Dry matter intake (Method 1)</t>
  </si>
  <si>
    <t>Dry matter intake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</si>
  <si>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</si>
  <si>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</si>
  <si>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</si>
  <si>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4.1.1.1-2 Manure Methane</t>
  </si>
  <si>
    <t>Production system j</t>
  </si>
  <si>
    <t>EFN2O</t>
  </si>
  <si>
    <t>Production system only</t>
  </si>
  <si>
    <t>Irrigation method</t>
  </si>
  <si>
    <t>Feedlot crop or pasture production systems</t>
  </si>
  <si>
    <t>Production system</t>
  </si>
  <si>
    <t>Irrigation methods</t>
  </si>
  <si>
    <t>Not irrigated</t>
  </si>
  <si>
    <t>Drip irrigation</t>
  </si>
  <si>
    <t>Sprinkler irrigation</t>
  </si>
  <si>
    <t>Surface irrigation</t>
  </si>
  <si>
    <t>Other irrigation</t>
  </si>
  <si>
    <t>Total</t>
  </si>
  <si>
    <t>GHG Unit</t>
  </si>
  <si>
    <t>CO2-e unit</t>
  </si>
  <si>
    <t>Method 1 default values (Do not edit)</t>
  </si>
  <si>
    <t>Method 2 custom values (Edit if known)</t>
  </si>
  <si>
    <t>Irrigation type i</t>
  </si>
  <si>
    <t>EFPRP</t>
  </si>
  <si>
    <t>apply queensland</t>
  </si>
  <si>
    <t>use vic</t>
  </si>
  <si>
    <t>Month</t>
  </si>
  <si>
    <t>Season</t>
  </si>
  <si>
    <t>Acknowledgements</t>
  </si>
  <si>
    <t>GHG emissions method 1</t>
  </si>
  <si>
    <t>GHG emissions method 2</t>
  </si>
  <si>
    <t>CO2-e emissions method 1</t>
  </si>
  <si>
    <t>t CO2e</t>
  </si>
  <si>
    <t>CO2-e emissions method 2</t>
  </si>
  <si>
    <t>Direct application</t>
  </si>
  <si>
    <t>days</t>
  </si>
  <si>
    <t>fraction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</si>
  <si>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</si>
  <si>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</si>
  <si>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</si>
  <si>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</si>
  <si>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</si>
  <si>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</si>
  <si>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</si>
  <si>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</si>
  <si>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</si>
  <si>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</si>
  <si>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</si>
  <si>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</si>
  <si>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</si>
  <si>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</si>
  <si>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</si>
  <si>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</si>
  <si>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Ether extract</t>
  </si>
  <si>
    <t>NDF</t>
  </si>
  <si>
    <t>M1_Table_EE_j</t>
  </si>
  <si>
    <t>Ether extract (Method 1)</t>
  </si>
  <si>
    <t>M1_Table_NDF_j</t>
  </si>
  <si>
    <t>Neutral detergent fibre (Method 1)</t>
  </si>
  <si>
    <t>M1_Table_M_j</t>
  </si>
  <si>
    <t>Daily production of enteric methane (Method 1)</t>
  </si>
  <si>
    <t>M2_Table_M_j</t>
  </si>
  <si>
    <t>Daily production of enteric methane (Method 2)</t>
  </si>
  <si>
    <t>M2_Table_EE_j</t>
  </si>
  <si>
    <t>Ether extract (Method 2)</t>
  </si>
  <si>
    <t>M2_Table_NDF_j</t>
  </si>
  <si>
    <t>Neutral detergent fibre (Method 2)</t>
  </si>
  <si>
    <r>
      <t>E</t>
    </r>
    <r>
      <rPr>
        <b/>
        <vertAlign val="subscript"/>
        <sz val="16"/>
        <color theme="1" tint="0.24994659260841701"/>
        <rFont val="Times New Roman"/>
        <family val="1"/>
      </rPr>
      <t>enteric</t>
    </r>
    <r>
      <rPr>
        <b/>
        <sz val="16"/>
        <color theme="1" tint="0.24994659260841701"/>
        <rFont val="Times New Roman"/>
        <family val="1"/>
      </rPr>
      <t xml:space="preserve"> (Method 1)</t>
    </r>
  </si>
  <si>
    <r>
      <t>E</t>
    </r>
    <r>
      <rPr>
        <b/>
        <vertAlign val="subscript"/>
        <sz val="16"/>
        <color theme="1" tint="0.24994659260841701"/>
        <rFont val="Times New Roman"/>
        <family val="1"/>
      </rPr>
      <t>enteric</t>
    </r>
    <r>
      <rPr>
        <b/>
        <sz val="16"/>
        <color theme="1" tint="0.24994659260841701"/>
        <rFont val="Times New Roman"/>
        <family val="1"/>
      </rPr>
      <t xml:space="preserve"> (Method 2)</t>
    </r>
  </si>
  <si>
    <t>3.1: Enteric Methane: Beef feedlot: Overview</t>
  </si>
  <si>
    <t>3.1 Enteric Methane: Beef Feedlot: Results</t>
  </si>
  <si>
    <t>💡 Below is a diagram that maps the equations used to calculate emissions and how they interact with each other.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</si>
</sst>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6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1"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52" fillId="4" borderId="0">
      <alignment horizontal="left" vertical="center"/>
    </xf>
    <xf numFmtId="0" fontId="37"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40"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5" borderId="2">
      <alignment horizontal="center" vertical="center"/>
    </xf>
    <xf numFmtId="0" fontId="58" fillId="16" borderId="2">
      <alignment horizontal="center" vertical="center"/>
    </xf>
    <xf numFmtId="0" fontId="33" fillId="4" borderId="2">
      <alignment horizontal="left" vertical="center"/>
    </xf>
    <xf numFmtId="0" fontId="59" fillId="4" borderId="2">
      <alignment horizontal="left" vertical="center"/>
    </xf>
  </cellStyleXfs>
  <cellXfs count="116">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1"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19" fillId="9" borderId="5" xfId="35">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22" fillId="5" borderId="0" xfId="37">
      <alignment horizontal="left" vertical="center" indent="1"/>
    </xf>
    <xf numFmtId="0" fontId="22" fillId="8" borderId="0" xfId="38">
      <alignment horizontal="left" vertical="center" indent="1"/>
    </xf>
    <xf numFmtId="0" fontId="43"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8"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6" fillId="0" borderId="0" xfId="5" applyFill="1">
      <alignment horizontal="left" vertical="center"/>
    </xf>
    <xf numFmtId="0" fontId="41"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5" fillId="0" borderId="0" xfId="0" applyFont="1"/>
    <xf numFmtId="0" fontId="38"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9" fillId="4" borderId="0" xfId="8" applyFont="1">
      <alignment horizontal="left" vertical="center"/>
    </xf>
    <xf numFmtId="0" fontId="6" fillId="4" borderId="0" xfId="55">
      <alignment horizontal="left" vertical="center"/>
    </xf>
    <xf numFmtId="0" fontId="40" fillId="4" borderId="0" xfId="56">
      <alignment horizontal="left" vertical="center"/>
    </xf>
    <xf numFmtId="0" fontId="10" fillId="0" borderId="0" xfId="57"/>
    <xf numFmtId="0" fontId="33" fillId="4" borderId="2" xfId="54" applyAlignment="1">
      <alignment horizontal="left" vertical="center"/>
    </xf>
    <xf numFmtId="0" fontId="33" fillId="4" borderId="7" xfId="54" applyBorder="1" applyAlignment="1">
      <alignment horizontal="left" vertical="center"/>
    </xf>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2" fillId="0" borderId="0" xfId="7" applyFont="1" applyFill="1" applyAlignment="1">
      <alignment horizontal="left" vertical="center" indent="1"/>
    </xf>
    <xf numFmtId="0" fontId="2" fillId="0" borderId="2" xfId="58">
      <alignment horizontal="center" vertical="center"/>
    </xf>
    <xf numFmtId="0" fontId="42" fillId="0" borderId="0" xfId="34" applyFont="1">
      <alignment horizontal="left" vertical="center" indent="1"/>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3" fillId="13" borderId="10" xfId="40" applyBorder="1">
      <alignment horizontal="left" vertical="center"/>
    </xf>
    <xf numFmtId="0" fontId="43" fillId="13" borderId="12" xfId="40" applyBorder="1">
      <alignment horizontal="left" vertical="center"/>
    </xf>
    <xf numFmtId="0" fontId="43" fillId="13" borderId="14" xfId="40" applyBorder="1">
      <alignment horizontal="left" vertical="center"/>
    </xf>
    <xf numFmtId="0" fontId="43" fillId="13" borderId="13" xfId="40" applyBorder="1">
      <alignment horizontal="left" vertical="center"/>
    </xf>
    <xf numFmtId="0" fontId="43" fillId="13" borderId="15" xfId="40" applyBorder="1">
      <alignment horizontal="left" vertical="center"/>
    </xf>
    <xf numFmtId="0" fontId="43" fillId="13" borderId="17" xfId="40" applyBorder="1">
      <alignment horizontal="left" vertical="center"/>
    </xf>
    <xf numFmtId="0" fontId="43" fillId="13" borderId="11" xfId="40" applyBorder="1">
      <alignment horizontal="left" vertical="center"/>
    </xf>
    <xf numFmtId="0" fontId="43" fillId="13" borderId="16" xfId="40" applyBorder="1">
      <alignment horizontal="left" vertical="center"/>
    </xf>
    <xf numFmtId="0" fontId="43" fillId="13" borderId="18" xfId="40" applyBorder="1">
      <alignment horizontal="left" vertical="center"/>
    </xf>
    <xf numFmtId="0" fontId="0" fillId="0" borderId="0" xfId="1" applyFont="1" applyFill="1">
      <alignment horizontal="left" vertical="center" indent="1"/>
      <protection locked="0"/>
    </xf>
    <xf numFmtId="0" fontId="47" fillId="4" borderId="0" xfId="60">
      <alignment horizontal="left" vertical="center"/>
    </xf>
    <xf numFmtId="0" fontId="46" fillId="4" borderId="0" xfId="59">
      <alignment horizontal="left" vertical="center"/>
    </xf>
    <xf numFmtId="3" fontId="2" fillId="0" borderId="2" xfId="18">
      <alignment horizontal="center" vertical="center"/>
    </xf>
    <xf numFmtId="3" fontId="33" fillId="4" borderId="2" xfId="54" applyNumberFormat="1">
      <alignment horizontal="center"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5" applyFont="1" applyBorder="1">
      <alignment horizontal="left" vertical="center"/>
    </xf>
    <xf numFmtId="0" fontId="33" fillId="4" borderId="19" xfId="54" applyBorder="1">
      <alignment horizontal="center" vertical="center"/>
    </xf>
    <xf numFmtId="0" fontId="6" fillId="4" borderId="1" xfId="55" applyBorder="1">
      <alignment horizontal="left" vertical="center"/>
    </xf>
    <xf numFmtId="0" fontId="53" fillId="4" borderId="0" xfId="61">
      <alignment horizontal="left" vertical="center"/>
    </xf>
    <xf numFmtId="0" fontId="54" fillId="2" borderId="0" xfId="8" applyFont="1" applyFill="1">
      <alignment horizontal="left" vertical="center"/>
    </xf>
    <xf numFmtId="0" fontId="43"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5" fillId="11" borderId="0" xfId="62">
      <alignment horizontal="center" vertical="center"/>
    </xf>
    <xf numFmtId="0" fontId="22" fillId="11" borderId="0" xfId="63">
      <alignment horizontal="left" vertical="center" indent="1"/>
    </xf>
    <xf numFmtId="0" fontId="56" fillId="0" borderId="0" xfId="2" applyFont="1"/>
    <xf numFmtId="0" fontId="0" fillId="14" borderId="0" xfId="8" applyFont="1" applyFill="1">
      <alignment horizontal="left" vertical="center"/>
    </xf>
    <xf numFmtId="0" fontId="57" fillId="15" borderId="2" xfId="64">
      <alignment horizontal="center" vertical="center"/>
    </xf>
    <xf numFmtId="0" fontId="58" fillId="16" borderId="2" xfId="65">
      <alignment horizontal="center" vertical="center"/>
    </xf>
    <xf numFmtId="0" fontId="33" fillId="4" borderId="2" xfId="66">
      <alignment horizontal="left" vertical="center"/>
    </xf>
    <xf numFmtId="0" fontId="59" fillId="4" borderId="2" xfId="67">
      <alignment horizontal="left" vertical="center"/>
    </xf>
    <xf numFmtId="0" fontId="33" fillId="4" borderId="6" xfId="66" applyBorder="1">
      <alignment horizontal="left" vertical="center"/>
    </xf>
    <xf numFmtId="0" fontId="33" fillId="4" borderId="7" xfId="66" applyBorder="1">
      <alignment horizontal="left" vertical="center"/>
    </xf>
    <xf numFmtId="0" fontId="60" fillId="9" borderId="0" xfId="32" applyFont="1" applyFill="1"/>
    <xf numFmtId="0" fontId="38" fillId="9" borderId="0" xfId="8" applyFill="1">
      <alignment horizontal="left" vertical="center"/>
    </xf>
    <xf numFmtId="0" fontId="17" fillId="11" borderId="0" xfId="31" applyFill="1">
      <alignment vertical="center"/>
    </xf>
    <xf numFmtId="0" fontId="43" fillId="13" borderId="20" xfId="40" applyBorder="1">
      <alignment horizontal="left" vertical="center"/>
    </xf>
    <xf numFmtId="0" fontId="44" fillId="13" borderId="21" xfId="40" applyFont="1" applyBorder="1">
      <alignment horizontal="left" vertical="center"/>
    </xf>
    <xf numFmtId="0" fontId="43" fillId="13" borderId="21" xfId="40" applyBorder="1">
      <alignment horizontal="left" vertical="center"/>
    </xf>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75">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solid">
          <fgColor indexed="64"/>
          <bgColor rgb="FFFFFF00"/>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solid">
          <fgColor indexed="64"/>
          <bgColor rgb="FFFFFF00"/>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4"/>
      <tableStyleElement type="headerRow" dxfId="73"/>
      <tableStyleElement type="totalRow" dxfId="72"/>
      <tableStyleElement type="firstColumn" dxfId="71"/>
      <tableStyleElement type="firstRowStripe" dxfId="70"/>
      <tableStyleElement type="secondRowStripe" dxfId="69"/>
    </tableStyle>
    <tableStyle name="Equation table" pivot="0" count="6" xr9:uid="{B247698E-E41D-4CCD-AA0A-C14817E9DE65}">
      <tableStyleElement type="wholeTable" dxfId="68"/>
      <tableStyleElement type="headerRow" dxfId="67"/>
      <tableStyleElement type="totalRow" dxfId="66"/>
      <tableStyleElement type="firstColumn" dxfId="65"/>
      <tableStyleElement type="firstRowStripe" dxfId="64"/>
      <tableStyleElement type="secondRowStripe" dxfId="63"/>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1.1.1-2 Enteric Methane'!D39"/><Relationship Id="rId1" Type="http://schemas.openxmlformats.org/officeDocument/2006/relationships/hyperlink" Target="#'3.1.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3.1.1.1-2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1.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Daily production of enteric methane</a:t>
          </a:fld>
          <a:endParaRPr lang="en-AU" sz="1000">
            <a:solidFill>
              <a:srgbClr val="0C769E"/>
            </a:solidFill>
          </a:endParaRPr>
        </a:p>
      </xdr:txBody>
    </xdr:sp>
    <xdr:clientData/>
  </xdr:twoCellAnchor>
  <xdr:twoCellAnchor>
    <xdr:from>
      <xdr:col>3</xdr:col>
      <xdr:colOff>576200</xdr:colOff>
      <xdr:row>15</xdr:row>
      <xdr:rowOff>54910</xdr:rowOff>
    </xdr:from>
    <xdr:to>
      <xdr:col>6</xdr:col>
      <xdr:colOff>256679</xdr:colOff>
      <xdr:row>18</xdr:row>
      <xdr:rowOff>27010</xdr:rowOff>
    </xdr:to>
    <xdr:sp macro="" textlink="'3.1.1.1-2 Enteric Methane'!D39">
      <xdr:nvSpPr>
        <xdr:cNvPr id="20" name="TextBox 19">
          <a:hlinkClick xmlns:r="http://schemas.openxmlformats.org/officeDocument/2006/relationships" r:id="rId2"/>
          <a:extLst>
            <a:ext uri="{FF2B5EF4-FFF2-40B4-BE49-F238E27FC236}">
              <a16:creationId xmlns:a16="http://schemas.microsoft.com/office/drawing/2014/main" id="{050A7C22-4BD7-4D52-9D6E-89987EDCC59C}"/>
            </a:ext>
          </a:extLst>
        </xdr:cNvPr>
        <xdr:cNvSpPr txBox="1"/>
      </xdr:nvSpPr>
      <xdr:spPr>
        <a:xfrm>
          <a:off x="3252725" y="3903010"/>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production from enteric fermentation in feedlot beef cattle</a:t>
          </a:fld>
          <a:endParaRPr lang="en-AU" sz="1000" b="1">
            <a:solidFill>
              <a:srgbClr val="0C769E"/>
            </a:solidFill>
          </a:endParaRPr>
        </a:p>
      </xdr:txBody>
    </xdr:sp>
    <xdr:clientData/>
  </xdr:twoCellAnchor>
  <xdr:twoCellAnchor>
    <xdr:from>
      <xdr:col>5</xdr:col>
      <xdr:colOff>105291</xdr:colOff>
      <xdr:row>12</xdr:row>
      <xdr:rowOff>84710</xdr:rowOff>
    </xdr:from>
    <xdr:to>
      <xdr:col>5</xdr:col>
      <xdr:colOff>117991</xdr:colOff>
      <xdr:row>15</xdr:row>
      <xdr:rowOff>61259</xdr:rowOff>
    </xdr:to>
    <xdr:cxnSp macro="">
      <xdr:nvCxnSpPr>
        <xdr:cNvPr id="7" name="Connector: Curved 6">
          <a:extLst>
            <a:ext uri="{FF2B5EF4-FFF2-40B4-BE49-F238E27FC236}">
              <a16:creationId xmlns:a16="http://schemas.microsoft.com/office/drawing/2014/main" id="{EEA36610-345A-E469-2064-F09BCE8567FD}"/>
            </a:ext>
          </a:extLst>
        </xdr:cNvPr>
        <xdr:cNvCxnSpPr>
          <a:stCxn id="16" idx="2"/>
          <a:endCxn id="20" idx="0"/>
        </xdr:cNvCxnSpPr>
      </xdr:nvCxnSpPr>
      <xdr:spPr>
        <a:xfrm rot="5400000">
          <a:off x="3647616" y="3543260"/>
          <a:ext cx="719499"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3209853" cy="194990"/>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5.11×</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−4.00×</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+2.26×</m:t>
                        </m:r>
                        <m:r>
                          <a:rPr lang="en-AU" sz="1100" i="1">
                            <a:latin typeface="Cambria Math" panose="02040503050406030204" pitchFamily="18" charset="0"/>
                          </a:rPr>
                          <m:t>𝑁𝐷</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𝑀_𝑗=(5.11×𝐼_𝑗−4.00×𝐸𝐸_𝑗+2.26×𝑁𝐷𝐹_𝑗 )×10^(−3)</a:t>
              </a:r>
              <a:endParaRPr lang="en-AU" sz="1100"/>
            </a:p>
          </xdr:txBody>
        </xdr:sp>
      </mc:Fallback>
    </mc:AlternateContent>
    <xdr:clientData/>
  </xdr:oneCellAnchor>
  <xdr:oneCellAnchor>
    <xdr:from>
      <xdr:col>3</xdr:col>
      <xdr:colOff>14287</xdr:colOff>
      <xdr:row>41</xdr:row>
      <xdr:rowOff>133350</xdr:rowOff>
    </xdr:from>
    <xdr:ext cx="2256130" cy="33207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𝐸_𝑒𝑛𝑡𝑒𝑟𝑖𝑐=∑10_𝑗▒(𝐷_𝑗×𝑀_𝑗×𝑁_𝑗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2"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1"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0"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59"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58"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57"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56"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55"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54"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3"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2"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0"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49"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48"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47"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46"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4"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3"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1"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0"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39"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8"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37"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36"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35"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19F82E1-8BFB-49BB-A84C-1541D2694B39}"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0652AFC-F3E8-4421-AFD1-2D686D40D22D}" name="State/Territory">
      <calculatedColumnFormula array="1">Common_InputFunctions.Utility_DisplayArrayInTable(Common_SourceData.Common_SourceData_AustralianStatesTerritories_Data(),Table_AustralianStates[[#Headers],[State/Territory]],0)</calculatedColumnFormula>
    </tableColumn>
    <tableColumn id="2" xr3:uid="{1FA7E548-C0EA-432C-8E8B-704642D10B8B}" name="Common Name">
      <calculatedColumnFormula array="1">Common_InputFunctions.Utility_DisplayArrayInTable(Common_SourceData.Common_SourceData_AustralianStatesTerritories_Data(),Table_AustralianStates[[#Headers],[State/Territory]],0)</calculatedColumnFormula>
    </tableColumn>
    <tableColumn id="3" xr3:uid="{EBC3E112-1444-44E8-96B3-3CA9BA6303F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E187021-E65C-4405-B076-51664A260F70}" name="Table_WASA4Areas" displayName="Table_WASA4Areas" ref="D20:D30" totalsRowShown="0">
  <autoFilter ref="D20:D30" xr:uid="{5FA81339-C6C8-4D36-BEEA-6C4AEDD9E676}">
    <filterColumn colId="0" hiddenButton="1"/>
  </autoFilter>
  <tableColumns count="1">
    <tableColumn id="1" xr3:uid="{BE8A74F0-502F-4C09-B30D-79967B1CA4B3}"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185DEA7-0F0B-4043-8184-02AAE04CE1D3}" name="Table_GWPData" displayName="Table_GWPData" ref="D36:E43" totalsRowShown="0">
  <autoFilter ref="D36:E43" xr:uid="{B8E87A66-3E41-4AD3-925D-01EE21B43D7A}">
    <filterColumn colId="0" hiddenButton="1"/>
    <filterColumn colId="1" hiddenButton="1"/>
  </autoFilter>
  <tableColumns count="2">
    <tableColumn id="1" xr3:uid="{969FB6F5-5748-416A-B0E7-0FA856E9228D}" name="Gas">
      <calculatedColumnFormula array="1">Common_InputFunctions.Utility_DisplayArrayInTable(Common_SourceData.Common_SourceData_GWP_Data(), Table_GWPData[[#Headers],[Gas]], 0)</calculatedColumnFormula>
    </tableColumn>
    <tableColumn id="2" xr3:uid="{D288383E-5A93-48FA-8608-CEA132940F23}"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C1E3F9B-244C-4BDB-9EAA-280B1B88DFD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107412D-787D-4251-B022-2C951856B5CC}" name="Gas">
      <calculatedColumnFormula array="1">Common_InputFunctions.Utility_DisplayArrayInTable(Common_SourceData.Common_SourceData_ConvertGasElementalToMolecular_Data(),Table_GasToMolecularConversionFactor[[#Headers],[Gas]], 0)</calculatedColumnFormula>
    </tableColumn>
    <tableColumn id="5" xr3:uid="{EDAE218C-BED9-4F30-BC1A-BDA604C52911}" name="Conversion factor">
      <calculatedColumnFormula array="1">Common_InputFunctions.Utility_DisplayArrayInTable(Common_SourceData.Common_SourceData_ConvertGasElementalToMolecular_Data(),Table_GasToMolecularConversionFactor[[#Headers],[Gas]], 0)</calculatedColumnFormula>
    </tableColumn>
    <tableColumn id="2" xr3:uid="{7B252330-4D09-4BE1-91E1-8F007E37DA8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B2A94A6-B09F-44FC-92A1-CCB07CD838C7}" name="Conversion factor 2">
      <calculatedColumnFormula array="1">Common_InputFunctions.Utility_DisplayArrayInTable(Common_SourceData.Common_SourceData_ConvertGasElementalToMolecular_Data(),Table_GasToMolecularConversionFactor[[#Headers],[Gas]], 0)</calculatedColumnFormula>
    </tableColumn>
    <tableColumn id="4" xr3:uid="{F2DB3A9E-EA47-4626-8AA6-4142F2BE5B34}"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C639B46-F2B6-417E-849A-4051D3B16B0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5162FA7-7F7F-4C9C-8231-8FC51C581FD1}"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E2C0A27-43A1-4D92-B3A8-944DC7691E0A}" name="MAT"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3" xr3:uid="{BCEE406F-741C-4AB5-8347-FD3CEB5D1690}" name="MAP"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4" xr3:uid="{BF112A88-84E8-4D38-B54C-79713ED69470}" name="Frost days per year"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5" xr3:uid="{DEDF2179-1AFD-46AA-97FF-2C7CC2C8F0A0}" name="Elevation"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6" xr3:uid="{517703E3-C0ED-43E3-909F-4C1979577D3C}" name="MAP:PET"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7" xr3:uid="{666A24A7-650A-4B3E-982A-50311730DB7C}" name="Min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8" xr3:uid="{5604EDD5-66DF-4ECC-BCE6-DD11FD6DB4D6}" name="Max temp"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9" xr3:uid="{6DA99F2D-CE18-432C-AB0D-72F425C17C5E}" name="Min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0" xr3:uid="{BC2916D3-A7D1-4722-A9DC-991CB2F62BD8}" name="Max rainfall"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1" xr3:uid="{1E64F234-4E02-4B45-A3A1-B18E3FFCFC37}" name="Min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5" xr3:uid="{70F03B18-1155-4824-8E62-AE5F3FA2A39C}" name="Max frost days"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2" xr3:uid="{C3AD9C66-0836-47F7-A64C-E903E6DAF5EE}" name="Min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6" xr3:uid="{ED33ED06-8D20-47FE-B0B6-650FCDD420E2}" name="Max elevation"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3" xr3:uid="{3C28BB66-16DC-4BC9-BE53-61187001ECC2}" name="Min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 id="17" xr3:uid="{FFF015AD-8516-434B-A94C-11CB9D62F62D}" name="Max MAP:PET" totalsRowDxfId="2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975CFAC-C9D3-4E10-914B-A7477650269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BBE1D44-5D3C-421E-B886-5F058BD82B23}"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3E0B2F3-1F7B-4FCF-B0F4-658087312975}" name="Wet or Dry Zone" totalsRowDxfId="1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F86B9BF-70ED-46B9-A712-EA42AC73454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5BB3355-DBBC-43C3-9C8D-BC097471993C}" name="Temperature Zone">
      <calculatedColumnFormula array="1">Common_InputFunctions.Utility_DisplayArrayInTable(Common_SourceData.Common_SourceData_TemperatureZones_Data(),Table_SourceData_TemperatureZones[[#Headers],[Temperature Zone]],0)</calculatedColumnFormula>
    </tableColumn>
    <tableColumn id="2" xr3:uid="{15DB6AA7-91D7-4725-9AA9-D1055AF7678C}" name="MAT">
      <calculatedColumnFormula array="1">Common_InputFunctions.Utility_DisplayArrayInTable(Common_SourceData.Common_SourceData_TemperatureZones_Data(),Table_SourceData_TemperatureZones[[#Headers],[Temperature Zone]],0)</calculatedColumnFormula>
    </tableColumn>
    <tableColumn id="3" xr3:uid="{0AD7766B-F917-4247-BA12-141E5E455D92}" name="Min MAT">
      <calculatedColumnFormula array="1">Common_InputFunctions.Utility_DisplayArrayInTable(Common_SourceData.Common_SourceData_TemperatureZones_Data(),Table_SourceData_TemperatureZones[[#Headers],[Temperature Zone]],0)</calculatedColumnFormula>
    </tableColumn>
    <tableColumn id="4" xr3:uid="{BEC491C5-29B7-47D8-92E3-A6B4AA3DF904}"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FF94A906-91DA-4FAF-A89B-CEF60B0D127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3D6E0C09-0BD8-471F-8A53-A12A9E178BF7}" name="Rainfall Zone">
      <calculatedColumnFormula array="1">Common_InputFunctions.Utility_DisplayArrayInTable(Common_SourceData.Common_SourceData_RainfallZones_Data(),Table_SourceData_RainfallZones[[#Headers],[Rainfall Zone]],0)</calculatedColumnFormula>
    </tableColumn>
    <tableColumn id="2" xr3:uid="{13B32985-837D-4685-9D0B-839BCC352710}" name="Annual rainfall">
      <calculatedColumnFormula array="1">Common_InputFunctions.Utility_DisplayArrayInTable(Common_SourceData.Common_SourceData_RainfallZones_Data(),Table_SourceData_RainfallZones[[#Headers],[Rainfall Zone]],0)</calculatedColumnFormula>
    </tableColumn>
    <tableColumn id="3" xr3:uid="{81010191-F2A6-4E17-8104-721B45E9D660}" name="Min rainfall">
      <calculatedColumnFormula array="1">Common_InputFunctions.Utility_DisplayArrayInTable(Common_SourceData.Common_SourceData_RainfallZones_Data(),Table_SourceData_RainfallZones[[#Headers],[Rainfall Zone]],0)</calculatedColumnFormula>
    </tableColumn>
    <tableColumn id="4" xr3:uid="{AD6D3163-2840-4E3F-896D-5DF709C34D9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A2C3C00-7D5E-482F-8CA2-A213D7DF8D3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4167ABF-B475-4336-9AEE-96008ED98E6B}" name="Leaching Zone">
      <calculatedColumnFormula array="1">Common_InputFunctions.Utility_DisplayArrayInTable(Common_SourceData.Common_SourceData_LeachingZones_Data(), Table_SourceData_LeachingZones[[#Headers],[Leaching Zone]], 0)</calculatedColumnFormula>
    </tableColumn>
    <tableColumn id="2" xr3:uid="{75B56258-627E-484F-9B94-6FD90490B5C5}"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B10AEB1-ABAB-4497-8F48-0C15CDA46026}"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8FCAEBE-8FA0-4664-B3AE-973A3E77EF02}" name="Data source">
      <calculatedColumnFormula array="1">Common_InputFunctions.Utility_DisplayArrayInTable(Common_SourceData.Common_SourceData_DataScores_Scope3_Data(), Table_SourceData_DataScores_Scope3[[#Headers],[Data source]], 0)</calculatedColumnFormula>
    </tableColumn>
    <tableColumn id="2" xr3:uid="{F269D724-DA61-40DD-B1DD-62089B53A25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5FE08A5-0001-4080-8F90-757F959BAB2B}" name="Table_SourceData_FracWET" displayName="Table_SourceData_FracWET" ref="D134:E136" totalsRowShown="0">
  <autoFilter ref="D134:E136" xr:uid="{308E99BE-FE1F-47A4-B2CA-97217277C4E9}">
    <filterColumn colId="0" hiddenButton="1"/>
    <filterColumn colId="1" hiddenButton="1"/>
  </autoFilter>
  <tableColumns count="2">
    <tableColumn id="1" xr3:uid="{ACC4E2B3-A6FC-4D50-BE90-6D711BFC3B97}" name="Is in leaching zone">
      <calculatedColumnFormula array="1">Common_InputFunctions.Utility_DisplayArrayInTable(Common_SourceData.Common_SourceData_FracWET_Data(),Table_SourceData_FracWET[[#Headers],[Is in leaching zone]],0)</calculatedColumnFormula>
    </tableColumn>
    <tableColumn id="2" xr3:uid="{35F8284C-32FA-4320-AF32-3F44CCB77CF7}" name="FracWET" dataDxfId="1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985452B-55AC-4EB5-AA25-EAD220463DA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74A144B-9F75-433D-BE41-D183AF51F2BB}" name="Production system j">
      <calculatedColumnFormula array="1">Common_InputFunctions.Utility_DisplayArrayInTable(Common_SourceData.Common_SourceData_EFN2O_Data(), Table_SourceData_Common_EFN2O[[#Headers],[Production system j]], 0)</calculatedColumnFormula>
    </tableColumn>
    <tableColumn id="2" xr3:uid="{87B0476D-5F45-43A5-9823-48327AFBBFC0}" name="EFN2O">
      <calculatedColumnFormula array="1">Common_InputFunctions.Utility_DisplayArrayInTable(Common_SourceData.Common_SourceData_EFN2O_Data(), Table_SourceData_Common_EFN2O[[#Headers],[Production system j]], 0)</calculatedColumnFormula>
    </tableColumn>
    <tableColumn id="3" xr3:uid="{A580C8EE-E9FD-4201-94D1-F99A9BC27373}" name="Production system only">
      <calculatedColumnFormula array="1">Common_InputFunctions.Utility_DisplayArrayInTable(Common_SourceData.Common_SourceData_EFN2O_Data(), Table_SourceData_Common_EFN2O[[#Headers],[Production system j]], 0)</calculatedColumnFormula>
    </tableColumn>
    <tableColumn id="4" xr3:uid="{50C2C17E-A21C-4FDA-82A8-EF761C0E6BF7}" name="Irrigation method">
      <calculatedColumnFormula array="1">Common_InputFunctions.Utility_DisplayArrayInTable(Common_SourceData.Common_SourceData_EFN2O_Data(), Table_SourceData_Common_EFN2O[[#Headers],[Production system j]], 0)</calculatedColumnFormula>
    </tableColumn>
    <tableColumn id="5" xr3:uid="{7F2E249C-6080-446E-8674-6F29CE0873E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1D7CB04-0839-425A-B673-CEA7A9C3FB8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328C683-420D-4EA6-AF9D-245995DC8FD1}" name="Irrigation type i">
      <calculatedColumnFormula array="1">Common_InputFunctions.Utility_DisplayArrayInTable(Common_SourceData.Common_SourceData_FracWETIrrigation_Data(), Table_SourceData_FracWETIrrigation[[#Headers],[Irrigation type i]], 0)</calculatedColumnFormula>
    </tableColumn>
    <tableColumn id="2" xr3:uid="{9E5FEA9D-8FB5-494C-9D24-0E6BFC0C6057}" name="FracWET" dataDxfId="1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9AFCB04-6C42-4BD7-84F4-CB502355AF0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FB787692-FEAA-422C-9A68-A116E1C1D83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AFBB6C89-F456-4C86-80FD-B734DEFDFF30}" name="EFPRP" dataDxfId="1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A23F6973-616E-44B9-9455-AEC834A8AAD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E0DBFFCC-335E-4C29-BC47-5C2A3243CFF0}" name="Month">
      <calculatedColumnFormula array="1">Common_InputFunctions.Utility_DisplayArrayInTable(Common_SourceData.Common_SourceData_MonthsToSeasons_Data(), Table_SourceData_Common_MonthToSeason[[#Headers],[Month]], 0)</calculatedColumnFormula>
    </tableColumn>
    <tableColumn id="2" xr3:uid="{AC3827EF-FE9E-4E81-A7C7-95A7165D62C5}" name="Season" dataDxfId="1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88FD98D7-E5DB-4B28-9E47-A6481BEC137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C0CBC0D-B831-4C7E-9F24-0EE0037F3E6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6E0D171-2FBE-46A9-9B1F-1269E55C1B38}" name="MAT (ºC)"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7FF50BBA-30EE-4E1A-9449-9265A1067683}" name="Anaerobic lagoon"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3654E61-5BB1-44D1-A97F-E38B4117F28F}" name="Digester / covered lagoon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736C277-B619-4577-BE61-C6F2CFEBBDF4}" name="Liquid systems"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4F5FCA7-77C5-40B2-BAC9-EBF849F5559B}" name="Daily spread"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7CABD47-531A-49AF-865F-934434068DEC}" name="Composting (passive windrow)"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B3C335A-BC58-40E9-8E75-96ED6CCF795D}" name="Solid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D3901FD-AFED-45CA-9E32-1204AF6D4874}" name="Pit storage"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343A0FE7-0AA0-43C9-9A4F-02E9C242020A}" name="Deep litter"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FAF69A1E-4587-4DCD-9535-2ECADB3A8A73}" name="Poultry manure with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D86AF5D-FDC1-4EE1-9D47-BA4BE96F619F}" name="Poultry manure without bedd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C15483D8-6A7E-4D26-B81F-096629F52A98}" name="Direct processing"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82A14FE-E6A5-4C72-AE16-87CCAF66B3DB}" name="Direct application"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BBFE03E-A035-4E39-B68B-F044C4B1E37F}" name="Pasture range and paddock"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E478F66-8602-4161-AB22-52FED9A026F5}" name="MAT raw" dataDxfId="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94"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3" Type="http://schemas.openxmlformats.org/officeDocument/2006/relationships/table" Target="../tables/table11.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1" Type="http://schemas.openxmlformats.org/officeDocument/2006/relationships/printerSettings" Target="../printerSettings/printerSettings3.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s>
</file>

<file path=xl/worksheets/_rels/sheet9.xml.rels><?xml version="1.0" encoding="UTF-8" standalone="yes"?>
<Relationships xmlns="http://schemas.openxmlformats.org/package/2006/relationships"><Relationship Id="rId2" Type="http://schemas.openxmlformats.org/officeDocument/2006/relationships/table" Target="../tables/table26.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tabSelected="1" zoomScaleNormal="100" workbookViewId="0">
      <selection activeCell="X14" sqref="X14"/>
    </sheetView>
  </sheetViews>
  <sheetFormatPr defaultRowHeight="15" x14ac:dyDescent="0.25"/>
  <cols>
    <col min="1" max="1" width="30.7109375" customWidth="1"/>
    <col min="2" max="3" width="4.7109375" customWidth="1"/>
  </cols>
  <sheetData>
    <row r="1" spans="1:64" ht="30" customHeight="1" x14ac:dyDescent="0.35">
      <c r="A1" s="63" t="e" vm="1">
        <v>#VALUE!</v>
      </c>
      <c r="C1" s="110" t="s">
        <v>183</v>
      </c>
      <c r="D1" s="111"/>
      <c r="E1" s="111"/>
      <c r="F1" s="111"/>
      <c r="G1" s="111"/>
      <c r="H1" s="111"/>
      <c r="I1" s="111"/>
      <c r="J1" s="111"/>
      <c r="K1" s="111"/>
      <c r="L1" s="111"/>
      <c r="M1" s="111"/>
      <c r="N1" s="111"/>
      <c r="O1" s="111"/>
      <c r="P1" s="111"/>
      <c r="Q1" s="111"/>
      <c r="R1" s="111"/>
      <c r="S1" s="111"/>
      <c r="T1" s="111"/>
      <c r="U1" s="111"/>
      <c r="V1" s="111"/>
      <c r="W1" s="111"/>
      <c r="X1" s="111"/>
      <c r="Y1" s="111"/>
      <c r="Z1" s="111"/>
      <c r="AA1" s="111"/>
      <c r="AB1" s="111"/>
      <c r="AC1" s="111"/>
      <c r="AD1" s="111"/>
      <c r="AE1" s="111"/>
      <c r="AF1" s="111"/>
      <c r="AG1" s="111"/>
    </row>
    <row r="2" spans="1:64" ht="20.100000000000001" customHeight="1" x14ac:dyDescent="0.25">
      <c r="A2" s="9"/>
      <c r="C2" s="111"/>
      <c r="D2" s="111"/>
      <c r="E2" s="111"/>
      <c r="F2" s="111"/>
      <c r="G2" s="111"/>
      <c r="H2" s="111"/>
      <c r="I2" s="111"/>
      <c r="J2" s="111"/>
      <c r="K2" s="111"/>
      <c r="L2" s="111"/>
      <c r="M2" s="111"/>
      <c r="N2" s="111"/>
      <c r="O2" s="111"/>
      <c r="P2" s="111"/>
      <c r="Q2" s="111"/>
      <c r="R2" s="111"/>
      <c r="S2" s="111"/>
      <c r="T2" s="111"/>
      <c r="U2" s="111"/>
      <c r="V2" s="111"/>
      <c r="W2" s="111"/>
      <c r="X2" s="111"/>
      <c r="Y2" s="111"/>
      <c r="Z2" s="111"/>
      <c r="AA2" s="111"/>
      <c r="AB2" s="111"/>
      <c r="AC2" s="111"/>
      <c r="AD2" s="111"/>
      <c r="AE2" s="111"/>
      <c r="AF2" s="111"/>
      <c r="AG2" s="111"/>
    </row>
    <row r="3" spans="1:64" ht="20.100000000000001" customHeight="1" x14ac:dyDescent="0.25">
      <c r="A3" s="17" t="str">
        <f>HYPERLINK("#'Home'!A1", "Home")</f>
        <v>Home</v>
      </c>
      <c r="C3" s="112"/>
      <c r="D3" s="112"/>
      <c r="E3" s="112"/>
      <c r="F3" s="112"/>
      <c r="G3" s="112"/>
      <c r="H3" s="112"/>
      <c r="I3" s="112"/>
      <c r="J3" s="112"/>
      <c r="K3" s="112"/>
      <c r="L3" s="112"/>
      <c r="M3" s="112"/>
      <c r="N3" s="112"/>
      <c r="O3" s="112"/>
      <c r="P3" s="112"/>
      <c r="Q3" s="112"/>
      <c r="R3" s="112"/>
      <c r="S3" s="112"/>
      <c r="T3" s="112"/>
      <c r="U3" s="112"/>
      <c r="V3" s="112"/>
      <c r="W3" s="112"/>
      <c r="X3" s="112"/>
      <c r="Y3" s="112"/>
      <c r="Z3" s="112"/>
      <c r="AA3" s="112"/>
      <c r="AB3" s="112"/>
      <c r="AC3" s="112"/>
      <c r="AD3" s="112"/>
      <c r="AE3" s="112"/>
      <c r="AF3" s="112"/>
      <c r="AG3" s="112"/>
      <c r="AH3" s="112"/>
      <c r="AI3" s="112"/>
      <c r="AJ3" s="112"/>
      <c r="AK3" s="112"/>
      <c r="AL3" s="112"/>
      <c r="AM3" s="112"/>
      <c r="AN3" s="112"/>
      <c r="AO3" s="112"/>
      <c r="AP3" s="112"/>
      <c r="AQ3" s="112"/>
      <c r="AR3" s="112"/>
      <c r="AS3" s="112"/>
      <c r="AT3" s="112"/>
      <c r="AU3" s="112"/>
      <c r="AV3" s="112"/>
      <c r="AW3" s="112"/>
      <c r="AX3" s="112"/>
      <c r="AY3" s="112"/>
      <c r="AZ3" s="112"/>
      <c r="BA3" s="112"/>
      <c r="BB3" s="112"/>
      <c r="BC3" s="112"/>
      <c r="BD3" s="112"/>
      <c r="BE3" s="112"/>
      <c r="BF3" s="112"/>
      <c r="BG3" s="112"/>
      <c r="BH3" s="112"/>
      <c r="BI3" s="112"/>
      <c r="BJ3" s="112"/>
      <c r="BK3" s="112"/>
      <c r="BL3" s="112"/>
    </row>
    <row r="4" spans="1:64" ht="20.100000000000001" customHeight="1" x14ac:dyDescent="0.25">
      <c r="A4" s="101"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13" t="s">
        <v>185</v>
      </c>
      <c r="E5" s="113"/>
      <c r="F5" s="113"/>
      <c r="G5" s="113"/>
      <c r="H5" s="113"/>
      <c r="I5" s="96"/>
      <c r="J5" s="79"/>
      <c r="K5" s="79"/>
      <c r="L5" s="79"/>
      <c r="M5" s="79"/>
      <c r="N5" s="79"/>
      <c r="O5" s="75"/>
      <c r="P5" s="1"/>
      <c r="Q5" s="1"/>
      <c r="R5" s="1"/>
      <c r="S5" s="1"/>
      <c r="T5" s="1"/>
      <c r="U5" s="1"/>
      <c r="V5" s="1"/>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14" t="s">
        <v>165</v>
      </c>
      <c r="E6" s="115"/>
      <c r="F6" s="115"/>
      <c r="G6" s="115"/>
      <c r="H6" s="115"/>
      <c r="I6" s="81"/>
      <c r="J6" s="78"/>
      <c r="K6" s="78"/>
      <c r="L6" s="78"/>
      <c r="M6" s="78"/>
      <c r="N6" s="78"/>
      <c r="O6" s="76"/>
      <c r="P6" s="1"/>
      <c r="Q6" s="1"/>
      <c r="R6" s="1"/>
      <c r="S6" s="1"/>
      <c r="T6" s="1"/>
      <c r="U6" s="1"/>
      <c r="V6" s="1"/>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Feedlot'!A1", "Feedlot")</f>
        <v>Feedlot</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58</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HYPERLINK("#'3.1.1.1-2 Enteric Methane'!A1", "3.1.1.1-2 Enteric Methane")</f>
        <v>3.1.1.1-2 Enteric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8" t="s">
        <v>4</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HYPERLINK("#'Constants - Feedlot'!A1", "Constants - Feedlot")</f>
        <v>Constants - Feedlot</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A16" s="17" t="str">
        <f>HYPERLINK("#'Constants - Livestock'!A1", "Constants - Livestock")</f>
        <v>Constants - Livestock</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7" t="str">
        <f>HYPERLINK("#'Constants - Common'!A1", "Constants - Common")</f>
        <v>Constants - Common</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HYPERLINK("#'Acknowledgements'!A1", "Acknowledgements")</f>
        <v>Acknowledgements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4" sqref="A4"/>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3" t="e" vm="1">
        <v>#VALUE!</v>
      </c>
      <c r="C1" s="102" t="s">
        <v>184</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5</v>
      </c>
      <c r="E4" s="26"/>
      <c r="F4" s="26"/>
      <c r="G4" s="26"/>
      <c r="H4" s="6"/>
      <c r="I4" s="6"/>
      <c r="J4" s="6"/>
      <c r="K4" s="6"/>
      <c r="L4" s="27"/>
    </row>
    <row r="5" spans="1:12" ht="20.100000000000001" customHeight="1" x14ac:dyDescent="0.3">
      <c r="A5" s="101" t="str">
        <f>HYPERLINK("#'Results'!A1", "Results")</f>
        <v>Results</v>
      </c>
      <c r="C5" s="24"/>
      <c r="D5" s="28"/>
      <c r="E5" s="29"/>
      <c r="F5" s="29"/>
      <c r="G5" s="29"/>
      <c r="H5" s="26"/>
      <c r="I5" s="24"/>
      <c r="J5" s="24"/>
      <c r="K5" s="24"/>
      <c r="L5" s="24"/>
    </row>
    <row r="6" spans="1:12" ht="20.100000000000001" customHeight="1" x14ac:dyDescent="0.25">
      <c r="A6" s="16"/>
      <c r="C6" s="24"/>
      <c r="D6" s="100" t="s">
        <v>117</v>
      </c>
      <c r="E6" s="100" t="s">
        <v>143</v>
      </c>
      <c r="F6" s="100" t="s">
        <v>144</v>
      </c>
      <c r="G6" s="100" t="s">
        <v>132</v>
      </c>
      <c r="H6" s="100" t="s">
        <v>145</v>
      </c>
      <c r="I6" s="100" t="s">
        <v>147</v>
      </c>
      <c r="J6" s="100" t="s">
        <v>133</v>
      </c>
      <c r="K6" s="24"/>
      <c r="L6" s="24"/>
    </row>
    <row r="7" spans="1:12" ht="20.100000000000001" customHeight="1" x14ac:dyDescent="0.25">
      <c r="A7" s="20" t="s">
        <v>3</v>
      </c>
      <c r="C7" s="24"/>
      <c r="D7" s="1" t="s">
        <v>166</v>
      </c>
      <c r="E7" s="98">
        <f>'3.1.1.1-2 Enteric Methane'!E67</f>
        <v>35.420230000000004</v>
      </c>
      <c r="F7" s="98">
        <f>'3.1.1.1-2 Enteric Methane'!N67</f>
        <v>35.420230000000004</v>
      </c>
      <c r="G7" s="52" t="str">
        <f>'3.1.1.1-2 Enteric Methane'!F67</f>
        <v>t CH4</v>
      </c>
      <c r="H7" s="98">
        <f>'3.1.1.1-2 Enteric Methane'!E72</f>
        <v>991.7664400000001</v>
      </c>
      <c r="I7" s="98">
        <f>'3.1.1.1-2 Enteric Methane'!N72</f>
        <v>991.7664400000001</v>
      </c>
      <c r="J7" s="52" t="s">
        <v>146</v>
      </c>
      <c r="K7" s="24"/>
      <c r="L7" s="24"/>
    </row>
    <row r="8" spans="1:12" ht="20.100000000000001" customHeight="1" x14ac:dyDescent="0.3">
      <c r="A8" s="17" t="str">
        <f>HYPERLINK("#'Input - Site'!A1", "Site")</f>
        <v>Site</v>
      </c>
      <c r="C8" s="24"/>
      <c r="D8" s="31" t="s">
        <v>131</v>
      </c>
      <c r="E8" s="25"/>
      <c r="F8" s="31"/>
      <c r="G8" s="31"/>
      <c r="H8" s="99">
        <f>SUM(H7:H7)</f>
        <v>991.7664400000001</v>
      </c>
      <c r="I8" s="99">
        <f>SUM(I7:I7)</f>
        <v>991.7664400000001</v>
      </c>
      <c r="J8" s="93" t="s">
        <v>146</v>
      </c>
      <c r="K8" s="24"/>
      <c r="L8" s="24"/>
    </row>
    <row r="9" spans="1:12" ht="20.100000000000001" customHeight="1" x14ac:dyDescent="0.25">
      <c r="A9" s="17" t="str">
        <f>HYPERLINK("#'Input - Feedlot'!A1", "Feedlot")</f>
        <v>Feedlot</v>
      </c>
      <c r="C9" s="24"/>
      <c r="D9" s="1"/>
      <c r="E9" s="1"/>
      <c r="F9" s="1"/>
      <c r="G9" s="26"/>
      <c r="H9" s="24"/>
      <c r="I9" s="1"/>
      <c r="J9" s="1"/>
      <c r="K9" s="24"/>
      <c r="L9" s="24"/>
    </row>
    <row r="10" spans="1:12" ht="20.100000000000001" customHeight="1" x14ac:dyDescent="0.25">
      <c r="A10" s="17"/>
      <c r="C10" s="24"/>
      <c r="D10" s="1"/>
      <c r="E10" s="1"/>
      <c r="F10" s="1"/>
      <c r="G10" s="1"/>
      <c r="H10" s="1"/>
      <c r="I10" s="1"/>
      <c r="J10" s="1"/>
      <c r="K10" s="24"/>
      <c r="L10" s="24"/>
    </row>
    <row r="11" spans="1:12" ht="20.100000000000001" customHeight="1" x14ac:dyDescent="0.25">
      <c r="A11" s="19" t="s">
        <v>58</v>
      </c>
      <c r="C11" s="24"/>
      <c r="D11" s="1"/>
      <c r="E11" s="1"/>
      <c r="F11" s="1"/>
      <c r="G11" s="1"/>
      <c r="H11" s="1"/>
      <c r="I11" s="1"/>
      <c r="J11" s="1"/>
      <c r="K11" s="24"/>
      <c r="L11" s="24"/>
    </row>
    <row r="12" spans="1:12" ht="20.100000000000001" customHeight="1" x14ac:dyDescent="0.25">
      <c r="A12" s="17" t="str">
        <f>HYPERLINK("#'3.1.1.1-2 Enteric Methane'!A1", "3.1.1.1-2 Enteric Methane")</f>
        <v>3.1.1.1-2 Enteric Methane</v>
      </c>
      <c r="C12" s="24"/>
      <c r="D12" s="1"/>
      <c r="E12" s="1"/>
      <c r="F12" s="1"/>
      <c r="G12" s="1"/>
      <c r="H12" s="1"/>
      <c r="I12" s="1"/>
      <c r="J12" s="1"/>
      <c r="K12" s="24"/>
      <c r="L12" s="24"/>
    </row>
    <row r="13" spans="1:12" ht="20.100000000000001" customHeight="1" x14ac:dyDescent="0.25">
      <c r="C13" s="24"/>
      <c r="D13" s="1"/>
      <c r="E13" s="1"/>
      <c r="F13" s="1"/>
      <c r="G13" s="1"/>
      <c r="H13" s="1"/>
      <c r="I13" s="1"/>
      <c r="J13" s="1"/>
      <c r="K13" s="24"/>
      <c r="L13" s="24"/>
    </row>
    <row r="14" spans="1:12" ht="20.100000000000001" customHeight="1" x14ac:dyDescent="0.25">
      <c r="A14" s="18" t="s">
        <v>4</v>
      </c>
      <c r="C14" s="24"/>
      <c r="D14" s="1"/>
      <c r="E14" s="1"/>
      <c r="F14" s="1"/>
      <c r="G14" s="1"/>
      <c r="H14" s="1"/>
      <c r="I14" s="1"/>
      <c r="J14" s="1"/>
      <c r="K14" s="24"/>
      <c r="L14" s="24"/>
    </row>
    <row r="15" spans="1:12" ht="20.100000000000001" customHeight="1" x14ac:dyDescent="0.25">
      <c r="A15" s="17" t="str">
        <f>HYPERLINK("#'Constants - Feedlot'!A1", "Constants - Feedlot")</f>
        <v>Constants - Feedlot</v>
      </c>
      <c r="C15" s="24"/>
      <c r="D15" s="1"/>
      <c r="E15" s="1"/>
      <c r="F15" s="1"/>
      <c r="G15" s="1"/>
      <c r="H15" s="1"/>
      <c r="I15" s="1"/>
      <c r="J15" s="1"/>
      <c r="K15" s="24"/>
      <c r="L15" s="24"/>
    </row>
    <row r="16" spans="1:12" ht="20.100000000000001" customHeight="1" x14ac:dyDescent="0.25">
      <c r="A16" s="17" t="str">
        <f>HYPERLINK("#'Constants - Livestock'!A1", "Constants - Livestock")</f>
        <v>Constants - Livestock</v>
      </c>
      <c r="C16" s="24"/>
      <c r="D16" s="1"/>
      <c r="E16" s="1"/>
      <c r="F16" s="1"/>
      <c r="G16" s="1"/>
      <c r="H16" s="1"/>
      <c r="I16" s="1"/>
      <c r="J16" s="1"/>
      <c r="K16" s="24"/>
      <c r="L16" s="24"/>
    </row>
    <row r="17" spans="1:12" ht="20.100000000000001" customHeight="1" x14ac:dyDescent="0.25">
      <c r="A17" s="17" t="str">
        <f>HYPERLINK("#'Constants - Common'!A1", "Constants - Common")</f>
        <v>Constants - Common</v>
      </c>
      <c r="C17" s="24"/>
      <c r="D17" s="1"/>
      <c r="E17" s="1"/>
      <c r="F17" s="1"/>
      <c r="G17" s="1"/>
      <c r="H17" s="1"/>
      <c r="I17" s="1"/>
      <c r="J17" s="1"/>
      <c r="K17" s="24"/>
      <c r="L17" s="24"/>
    </row>
    <row r="18" spans="1:12" ht="20.100000000000001" customHeight="1" x14ac:dyDescent="0.25">
      <c r="A18" s="17" t="str">
        <f>HYPERLINK("#'Acknowledgements'!A1", "Acknowledgements")</f>
        <v>Acknowledgements</v>
      </c>
      <c r="C18" s="24"/>
      <c r="D18" s="1"/>
      <c r="E18" s="1"/>
      <c r="F18" s="1"/>
      <c r="G18" s="1"/>
      <c r="H18" s="1"/>
      <c r="I18" s="1"/>
      <c r="J18" s="1"/>
      <c r="K18" s="24"/>
      <c r="L18" s="24"/>
    </row>
    <row r="19" spans="1:12" ht="20.100000000000001" customHeight="1" x14ac:dyDescent="0.25">
      <c r="C19" s="24"/>
      <c r="D19" s="1"/>
      <c r="E19" s="1"/>
      <c r="F19" s="1"/>
      <c r="G19" s="1"/>
      <c r="H19" s="1"/>
      <c r="I19" s="1"/>
      <c r="J19" s="1"/>
      <c r="K19" s="24"/>
      <c r="L19" s="24"/>
    </row>
    <row r="20" spans="1:12" ht="20.100000000000001" customHeight="1" x14ac:dyDescent="0.25">
      <c r="C20" s="24"/>
      <c r="D20" s="1"/>
      <c r="E20" s="1"/>
      <c r="F20" s="1"/>
      <c r="G20" s="1"/>
      <c r="H20" s="1"/>
      <c r="I20" s="1"/>
      <c r="J20" s="1"/>
      <c r="K20" s="24"/>
      <c r="L20" s="24"/>
    </row>
    <row r="21" spans="1:12" ht="20.100000000000001" customHeight="1" x14ac:dyDescent="0.25">
      <c r="A21" s="17"/>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A25" s="17"/>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97"/>
      <c r="J38" s="97"/>
      <c r="K38" s="97"/>
      <c r="L38" s="24"/>
    </row>
    <row r="39" spans="3:12" ht="20.100000000000001" customHeight="1" x14ac:dyDescent="0.25">
      <c r="C39" s="24"/>
      <c r="D39" s="1"/>
      <c r="E39" s="1"/>
      <c r="F39" s="1"/>
      <c r="G39" s="1"/>
      <c r="H39" s="1"/>
      <c r="I39" s="97"/>
      <c r="J39" s="97"/>
      <c r="K39" s="97"/>
      <c r="L39" s="24"/>
    </row>
    <row r="40" spans="3:12" ht="20.100000000000001" customHeight="1" x14ac:dyDescent="0.25">
      <c r="C40" s="24"/>
      <c r="D40" s="1"/>
      <c r="E40" s="1"/>
      <c r="F40" s="1"/>
      <c r="G40" s="1"/>
      <c r="H40" s="1"/>
      <c r="I40" s="97"/>
      <c r="J40" s="97"/>
      <c r="K40" s="97"/>
      <c r="L40" s="24"/>
    </row>
    <row r="41" spans="3:12" ht="20.100000000000001" customHeight="1" x14ac:dyDescent="0.25">
      <c r="C41" s="24"/>
      <c r="D41" s="1"/>
      <c r="E41" s="1"/>
      <c r="F41" s="1"/>
      <c r="G41" s="1"/>
      <c r="H41" s="1"/>
      <c r="I41" s="97"/>
      <c r="J41" s="97"/>
      <c r="K41" s="97"/>
      <c r="L41" s="24"/>
    </row>
    <row r="42" spans="3:12" ht="20.100000000000001" customHeight="1" x14ac:dyDescent="0.25">
      <c r="C42" s="24"/>
      <c r="D42" s="1"/>
      <c r="E42" s="1"/>
      <c r="F42" s="1"/>
      <c r="G42" s="1"/>
      <c r="H42" s="1"/>
      <c r="I42" s="97"/>
      <c r="J42" s="97"/>
      <c r="K42" s="97"/>
      <c r="L42" s="24"/>
    </row>
    <row r="43" spans="3:12" ht="20.100000000000001" customHeight="1" x14ac:dyDescent="0.25">
      <c r="C43" s="24"/>
      <c r="D43" s="1"/>
      <c r="E43" s="1"/>
      <c r="F43" s="1"/>
      <c r="G43" s="1"/>
      <c r="H43" s="1"/>
      <c r="I43" s="97"/>
      <c r="J43" s="97"/>
      <c r="K43" s="97"/>
      <c r="L43" s="24"/>
    </row>
    <row r="44" spans="3:12" ht="20.100000000000001" customHeight="1" x14ac:dyDescent="0.25">
      <c r="C44" s="24"/>
      <c r="D44" s="1"/>
      <c r="E44" s="1"/>
      <c r="F44" s="1"/>
      <c r="G44" s="1"/>
      <c r="H44" s="1"/>
      <c r="I44" s="97"/>
      <c r="J44" s="97"/>
      <c r="K44" s="97"/>
      <c r="L44" s="24"/>
    </row>
    <row r="45" spans="3:12" ht="20.100000000000001" customHeight="1" x14ac:dyDescent="0.25">
      <c r="C45" s="24"/>
      <c r="D45" s="1"/>
      <c r="E45" s="1"/>
      <c r="F45" s="1"/>
      <c r="G45" s="1"/>
      <c r="H45" s="1"/>
      <c r="I45" s="97"/>
      <c r="J45" s="97"/>
      <c r="K45" s="97"/>
      <c r="L45" s="24"/>
    </row>
    <row r="46" spans="3:12" ht="20.100000000000001" customHeight="1" x14ac:dyDescent="0.25">
      <c r="C46" s="24"/>
      <c r="D46" s="1"/>
      <c r="E46" s="1"/>
      <c r="F46" s="1"/>
      <c r="G46" s="1"/>
      <c r="H46" s="1"/>
      <c r="I46" s="97"/>
      <c r="J46" s="97"/>
      <c r="K46" s="97"/>
      <c r="L46" s="24"/>
    </row>
    <row r="47" spans="3:12" ht="20.100000000000001" customHeight="1" x14ac:dyDescent="0.25">
      <c r="C47" s="24"/>
      <c r="D47" s="1"/>
      <c r="E47" s="1"/>
      <c r="F47" s="1"/>
      <c r="G47" s="1"/>
      <c r="H47" s="1"/>
      <c r="I47" s="97"/>
      <c r="J47" s="97"/>
      <c r="K47" s="97"/>
      <c r="L47" s="24"/>
    </row>
    <row r="48" spans="3:12" ht="20.100000000000001" customHeight="1" x14ac:dyDescent="0.25">
      <c r="C48" s="24"/>
      <c r="D48" s="1"/>
      <c r="E48" s="1"/>
      <c r="F48" s="1"/>
      <c r="G48" s="1"/>
      <c r="H48" s="1"/>
      <c r="I48" s="97"/>
      <c r="J48" s="97"/>
      <c r="K48" s="97"/>
      <c r="L48" s="24"/>
    </row>
    <row r="49" spans="3:12" ht="20.100000000000001" customHeight="1" x14ac:dyDescent="0.25">
      <c r="C49" s="24"/>
      <c r="D49" s="1"/>
      <c r="E49" s="1"/>
      <c r="F49" s="1"/>
      <c r="G49" s="1"/>
      <c r="H49" s="97"/>
      <c r="I49" s="97"/>
      <c r="J49" s="97"/>
      <c r="K49" s="97"/>
      <c r="L49" s="24"/>
    </row>
    <row r="50" spans="3:12" ht="20.100000000000001" customHeight="1" x14ac:dyDescent="0.25">
      <c r="C50" s="24"/>
      <c r="D50" s="1"/>
      <c r="E50" s="1"/>
      <c r="F50" s="1"/>
      <c r="G50" s="1"/>
      <c r="H50" s="97"/>
      <c r="I50" s="97"/>
      <c r="J50" s="97"/>
      <c r="K50" s="97"/>
      <c r="L50" s="24"/>
    </row>
    <row r="51" spans="3:12" ht="20.100000000000001" customHeight="1" x14ac:dyDescent="0.25">
      <c r="C51" s="24"/>
      <c r="D51" s="1"/>
      <c r="E51" s="1"/>
      <c r="F51" s="1"/>
      <c r="G51" s="1"/>
      <c r="H51" s="97"/>
      <c r="I51" s="97"/>
      <c r="J51" s="97"/>
      <c r="K51" s="97"/>
      <c r="L51" s="24"/>
    </row>
    <row r="52" spans="3:12" ht="20.100000000000001" customHeight="1" x14ac:dyDescent="0.25">
      <c r="C52" s="24"/>
      <c r="D52" s="1"/>
      <c r="E52" s="1"/>
      <c r="F52" s="1"/>
      <c r="G52" s="1"/>
      <c r="H52" s="97"/>
      <c r="I52" s="97"/>
      <c r="J52" s="97"/>
      <c r="K52" s="97"/>
      <c r="L52" s="24"/>
    </row>
    <row r="53" spans="3:12" ht="20.100000000000001" customHeight="1" x14ac:dyDescent="0.25">
      <c r="C53" s="24"/>
      <c r="D53" s="1"/>
      <c r="E53" s="1"/>
      <c r="F53" s="1"/>
      <c r="G53" s="1"/>
      <c r="H53" s="97"/>
      <c r="I53" s="97"/>
      <c r="J53" s="97"/>
      <c r="K53" s="97"/>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5" sqref="A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73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9</v>
      </c>
      <c r="N5" s="40"/>
    </row>
    <row r="6" spans="1:24" ht="20.100000000000001" customHeight="1" x14ac:dyDescent="0.25">
      <c r="D6" s="14"/>
      <c r="N6" s="41"/>
    </row>
    <row r="7" spans="1:24" ht="20.100000000000001" customHeight="1" x14ac:dyDescent="0.25">
      <c r="A7" s="20" t="s">
        <v>3</v>
      </c>
      <c r="D7" s="1" t="s">
        <v>7</v>
      </c>
      <c r="E7" s="33" t="s">
        <v>6</v>
      </c>
      <c r="F7" s="2"/>
    </row>
    <row r="8" spans="1:24" ht="20.100000000000001" customHeight="1" x14ac:dyDescent="0.25">
      <c r="A8" s="21" t="str">
        <f>HYPERLINK("#'Input - Site'!A1", "Site")</f>
        <v>Site</v>
      </c>
      <c r="D8" s="10" t="s">
        <v>54</v>
      </c>
      <c r="E8" s="33" t="s">
        <v>55</v>
      </c>
    </row>
    <row r="9" spans="1:24" ht="20.100000000000001" customHeight="1" x14ac:dyDescent="0.25">
      <c r="A9" s="17" t="str">
        <f>HYPERLINK("#'Input - Feedlot'!A1", "Feedlot")</f>
        <v>Feedlot</v>
      </c>
      <c r="N9" s="42"/>
    </row>
    <row r="10" spans="1:24" ht="20.100000000000001" customHeight="1" x14ac:dyDescent="0.25">
      <c r="A10" s="17"/>
      <c r="D10" s="82" t="s">
        <v>72</v>
      </c>
      <c r="E10" s="80"/>
      <c r="F10" s="83"/>
      <c r="G10" s="77"/>
      <c r="N10" s="42"/>
    </row>
    <row r="11" spans="1:24" ht="20.100000000000001" customHeight="1" x14ac:dyDescent="0.25">
      <c r="A11" s="19" t="s">
        <v>58</v>
      </c>
      <c r="N11" s="43"/>
    </row>
    <row r="12" spans="1:24" ht="20.100000000000001" customHeight="1" x14ac:dyDescent="0.25">
      <c r="A12" s="17" t="str">
        <f>HYPERLINK("#'3.1.1.1-2 Enteric Methane'!A1", "3.1.1.1-2 Enteric Methane")</f>
        <v>3.1.1.1-2 Enteric Methane</v>
      </c>
      <c r="D12" s="10" t="s">
        <v>76</v>
      </c>
      <c r="E12" s="59">
        <v>45292</v>
      </c>
      <c r="F12" s="2" t="s">
        <v>53</v>
      </c>
    </row>
    <row r="13" spans="1:24" ht="20.100000000000001" customHeight="1" x14ac:dyDescent="0.25">
      <c r="A13"/>
      <c r="D13" s="10" t="s">
        <v>77</v>
      </c>
      <c r="E13" s="66">
        <f>DATE(YEAR(E12)+1,MONTH(E12),DAY(E12))-1</f>
        <v>45657</v>
      </c>
      <c r="F13" s="2" t="s">
        <v>10</v>
      </c>
      <c r="N13" s="38"/>
      <c r="O13" s="38"/>
    </row>
    <row r="14" spans="1:24" ht="20.100000000000001" customHeight="1" x14ac:dyDescent="0.25">
      <c r="A14" s="18" t="s">
        <v>4</v>
      </c>
      <c r="N14" s="38"/>
      <c r="O14" s="38"/>
    </row>
    <row r="15" spans="1:24" ht="20.100000000000001" customHeight="1" x14ac:dyDescent="0.25">
      <c r="A15" s="17" t="str">
        <f>HYPERLINK("#'Constants - Feedlot'!A1", "Constants - Feedlot")</f>
        <v>Constants - Feedlot</v>
      </c>
      <c r="D15" s="34"/>
      <c r="E15" s="34"/>
      <c r="F15" s="34"/>
      <c r="G15" s="34"/>
      <c r="H15" s="34"/>
      <c r="I15" s="34"/>
      <c r="J15" s="34"/>
      <c r="K15" s="34"/>
      <c r="N15" s="38"/>
      <c r="O15" s="38"/>
    </row>
    <row r="16" spans="1:24" ht="20.100000000000001" customHeight="1" x14ac:dyDescent="0.25">
      <c r="A16" s="17" t="str">
        <f>HYPERLINK("#'Constants - Livestock'!A1", "Constants - Livestock")</f>
        <v>Constants - Livestock</v>
      </c>
      <c r="D16" s="34"/>
      <c r="E16" s="34"/>
      <c r="F16" s="34"/>
      <c r="G16" s="34"/>
      <c r="H16" s="34"/>
      <c r="I16" s="34"/>
      <c r="J16" s="34"/>
      <c r="K16" s="34"/>
      <c r="N16" s="38"/>
      <c r="O16" s="38"/>
    </row>
    <row r="17" spans="1:25" ht="20.100000000000001" customHeight="1" x14ac:dyDescent="0.25">
      <c r="A17" s="17" t="str">
        <f>HYPERLINK("#'Constants - Common'!A1", "Constants - Common")</f>
        <v>Constants - Common</v>
      </c>
      <c r="D17" s="34"/>
      <c r="E17" s="34"/>
      <c r="F17" s="34"/>
      <c r="G17" s="34"/>
      <c r="H17" s="34"/>
      <c r="I17" s="34"/>
      <c r="J17" s="34"/>
      <c r="K17" s="34"/>
    </row>
    <row r="18" spans="1:25" ht="20.100000000000001" customHeight="1" x14ac:dyDescent="0.25">
      <c r="A18" s="17" t="str">
        <f>HYPERLINK("#'Acknowledgements'!A1", "Acknowledgements")</f>
        <v>Acknowledgements</v>
      </c>
      <c r="D18" s="34"/>
      <c r="E18" s="34"/>
      <c r="F18" s="34"/>
      <c r="G18" s="34"/>
      <c r="H18" s="34"/>
      <c r="I18" s="34"/>
      <c r="J18" s="34"/>
      <c r="K18" s="34"/>
    </row>
    <row r="19" spans="1:25" ht="20.100000000000001" customHeight="1" x14ac:dyDescent="0.25">
      <c r="A19"/>
      <c r="D19" s="34"/>
      <c r="E19" s="34"/>
      <c r="F19" s="34"/>
      <c r="G19" s="34"/>
      <c r="H19" s="34"/>
      <c r="I19" s="34"/>
      <c r="J19" s="34"/>
      <c r="K19" s="34"/>
      <c r="N19" s="40"/>
    </row>
    <row r="20" spans="1:25" ht="20.100000000000001" customHeight="1" x14ac:dyDescent="0.25">
      <c r="A20"/>
      <c r="D20" s="34"/>
      <c r="E20" s="34"/>
      <c r="F20" s="34"/>
      <c r="G20" s="34"/>
      <c r="H20" s="34"/>
      <c r="I20" s="34"/>
      <c r="J20" s="34"/>
      <c r="K20" s="34"/>
      <c r="N20" s="41"/>
    </row>
    <row r="21" spans="1:25" ht="20.100000000000001" customHeight="1" x14ac:dyDescent="0.25">
      <c r="A21" s="17"/>
      <c r="D21" s="34"/>
      <c r="E21" s="34"/>
      <c r="F21" s="34"/>
      <c r="G21" s="34"/>
      <c r="H21" s="34"/>
      <c r="I21" s="34"/>
      <c r="J21" s="34"/>
      <c r="K21" s="34"/>
    </row>
    <row r="22" spans="1:25" ht="20.100000000000001" customHeight="1" x14ac:dyDescent="0.25">
      <c r="A22"/>
      <c r="D22" s="34"/>
      <c r="E22" s="34"/>
      <c r="F22" s="34"/>
      <c r="G22" s="34"/>
      <c r="H22" s="34"/>
      <c r="I22" s="34"/>
      <c r="J22" s="34"/>
      <c r="K22" s="34"/>
    </row>
    <row r="23" spans="1:25" ht="20.100000000000001" customHeight="1" x14ac:dyDescent="0.25">
      <c r="A23"/>
      <c r="D23" s="34"/>
      <c r="E23" s="34"/>
      <c r="F23" s="34"/>
      <c r="G23" s="34"/>
      <c r="H23" s="34"/>
      <c r="I23" s="34"/>
      <c r="J23" s="34"/>
      <c r="K23" s="34"/>
    </row>
    <row r="24" spans="1:25" ht="20.100000000000001" customHeight="1" x14ac:dyDescent="0.25">
      <c r="A24"/>
      <c r="D24" s="34"/>
      <c r="E24" s="34"/>
      <c r="F24" s="34"/>
      <c r="G24" s="34"/>
      <c r="H24" s="34"/>
      <c r="I24" s="34"/>
      <c r="J24" s="34"/>
      <c r="K24" s="34"/>
    </row>
    <row r="25" spans="1:25" ht="20.100000000000001" customHeight="1" x14ac:dyDescent="0.25">
      <c r="A25"/>
      <c r="D25" s="34"/>
      <c r="E25" s="34"/>
      <c r="F25" s="34"/>
      <c r="G25" s="34"/>
      <c r="H25" s="34"/>
      <c r="I25" s="34"/>
      <c r="J25" s="34"/>
      <c r="K25" s="34"/>
      <c r="N25" s="41"/>
    </row>
    <row r="26" spans="1:25" ht="20.100000000000001" customHeight="1" x14ac:dyDescent="0.25">
      <c r="A26"/>
      <c r="D26" s="34"/>
      <c r="E26" s="34"/>
      <c r="F26" s="34"/>
      <c r="G26" s="34"/>
      <c r="H26" s="34"/>
      <c r="I26" s="34"/>
      <c r="J26" s="34"/>
      <c r="K26" s="34"/>
    </row>
    <row r="27" spans="1:25" ht="20.100000000000001" customHeight="1" x14ac:dyDescent="0.25">
      <c r="A27"/>
      <c r="D27" s="34"/>
      <c r="E27" s="34"/>
      <c r="F27" s="34"/>
      <c r="G27" s="34"/>
      <c r="H27" s="34"/>
      <c r="I27" s="34"/>
      <c r="J27" s="34"/>
      <c r="K27" s="34"/>
    </row>
    <row r="28" spans="1:25" ht="20.100000000000001" customHeight="1" x14ac:dyDescent="0.25">
      <c r="A28"/>
      <c r="D28" s="34"/>
      <c r="E28" s="34"/>
      <c r="F28" s="34"/>
      <c r="G28" s="34"/>
      <c r="H28" s="34"/>
      <c r="I28" s="34"/>
      <c r="J28" s="34"/>
      <c r="K28" s="34"/>
    </row>
    <row r="29" spans="1:25" ht="20.100000000000001" customHeight="1" x14ac:dyDescent="0.25">
      <c r="A29"/>
      <c r="D29" s="34"/>
      <c r="E29" s="34"/>
      <c r="F29" s="34"/>
      <c r="G29" s="34"/>
      <c r="H29" s="34"/>
      <c r="I29" s="34"/>
      <c r="J29" s="34"/>
      <c r="K29" s="34"/>
    </row>
    <row r="30" spans="1:25" ht="20.100000000000001" customHeight="1" x14ac:dyDescent="0.25">
      <c r="A30"/>
      <c r="D30" s="34"/>
      <c r="E30" s="34"/>
      <c r="F30" s="34"/>
      <c r="G30" s="34"/>
      <c r="H30" s="34"/>
      <c r="I30" s="34"/>
      <c r="J30" s="34"/>
      <c r="K30" s="34"/>
      <c r="L30" s="47"/>
      <c r="M30" s="47"/>
      <c r="N30" s="47"/>
      <c r="O30" s="47"/>
      <c r="P30" s="47"/>
      <c r="Q30" s="47"/>
      <c r="R30" s="47"/>
      <c r="S30" s="47"/>
      <c r="T30" s="47"/>
      <c r="U30" s="47"/>
      <c r="V30" s="47"/>
      <c r="W30" s="47"/>
      <c r="X30" s="47"/>
      <c r="Y30" s="47"/>
    </row>
    <row r="31" spans="1:25" ht="20.100000000000001" customHeight="1" x14ac:dyDescent="0.25">
      <c r="A31"/>
      <c r="D31" s="34"/>
      <c r="E31" s="34"/>
      <c r="F31" s="34"/>
      <c r="G31" s="34"/>
      <c r="H31" s="34"/>
      <c r="I31" s="34"/>
      <c r="J31" s="34"/>
      <c r="K31" s="34"/>
      <c r="L31" s="46"/>
      <c r="M31" s="46"/>
      <c r="N31" s="46"/>
      <c r="O31" s="46"/>
      <c r="P31" s="46"/>
      <c r="Q31" s="46"/>
      <c r="R31" s="46"/>
      <c r="S31" s="46"/>
      <c r="T31" s="46"/>
      <c r="U31" s="46"/>
      <c r="V31" s="46"/>
      <c r="W31" s="46"/>
      <c r="X31" s="46"/>
      <c r="Y31" s="46"/>
    </row>
    <row r="32" spans="1:25" ht="20.100000000000001" customHeight="1" x14ac:dyDescent="0.25">
      <c r="A32"/>
      <c r="D32" s="34"/>
      <c r="E32" s="34"/>
      <c r="F32" s="34"/>
      <c r="G32" s="34"/>
      <c r="H32" s="34"/>
      <c r="I32" s="34"/>
      <c r="J32" s="34"/>
      <c r="K32" s="34"/>
      <c r="L32" s="46"/>
      <c r="M32" s="46"/>
      <c r="N32" s="46"/>
      <c r="O32" s="46"/>
      <c r="P32" s="46"/>
      <c r="Q32" s="46"/>
      <c r="R32" s="46"/>
      <c r="S32" s="46"/>
      <c r="T32" s="46"/>
      <c r="U32" s="46"/>
      <c r="V32" s="46"/>
      <c r="W32" s="46"/>
      <c r="X32" s="46"/>
      <c r="Y32" s="46"/>
    </row>
    <row r="33" spans="1:25" ht="20.100000000000001" customHeight="1" x14ac:dyDescent="0.25">
      <c r="A33"/>
      <c r="D33" s="34"/>
      <c r="E33" s="34"/>
      <c r="F33" s="34"/>
      <c r="G33" s="34"/>
      <c r="H33" s="34"/>
      <c r="I33" s="34"/>
      <c r="J33" s="34"/>
      <c r="K33" s="34"/>
      <c r="L33" s="46"/>
      <c r="M33" s="46"/>
      <c r="N33" s="46"/>
      <c r="O33" s="46"/>
      <c r="P33" s="46"/>
      <c r="Q33" s="46"/>
      <c r="R33" s="46"/>
      <c r="S33" s="46"/>
      <c r="T33" s="46"/>
      <c r="U33" s="46"/>
      <c r="V33" s="46"/>
      <c r="W33" s="46"/>
      <c r="X33" s="46"/>
      <c r="Y33" s="46"/>
    </row>
    <row r="34" spans="1:25" ht="20.100000000000001" customHeight="1" x14ac:dyDescent="0.25">
      <c r="A34"/>
      <c r="D34" s="34"/>
      <c r="E34" s="34"/>
      <c r="F34" s="34"/>
      <c r="G34" s="34"/>
      <c r="H34" s="34"/>
      <c r="I34" s="34"/>
      <c r="J34" s="34"/>
      <c r="K34" s="34"/>
      <c r="L34" s="46"/>
      <c r="M34" s="46"/>
      <c r="N34" s="46"/>
      <c r="O34" s="46"/>
      <c r="P34" s="46"/>
      <c r="Q34" s="46"/>
      <c r="R34" s="46"/>
      <c r="S34" s="46"/>
      <c r="T34" s="46"/>
      <c r="U34" s="46"/>
      <c r="V34" s="46"/>
      <c r="W34" s="46"/>
      <c r="X34" s="46"/>
      <c r="Y34" s="46"/>
    </row>
    <row r="35" spans="1:25" ht="20.100000000000001" customHeight="1" x14ac:dyDescent="0.25">
      <c r="A35"/>
      <c r="D35" s="34"/>
      <c r="E35" s="34"/>
      <c r="F35" s="34"/>
      <c r="G35" s="34"/>
      <c r="H35" s="34"/>
      <c r="I35" s="34"/>
      <c r="J35" s="34"/>
      <c r="K35" s="34"/>
      <c r="L35" s="46"/>
      <c r="M35" s="46"/>
      <c r="N35" s="46"/>
      <c r="O35" s="46"/>
      <c r="P35" s="46"/>
      <c r="Q35" s="46"/>
      <c r="R35" s="46"/>
      <c r="S35" s="46"/>
      <c r="T35" s="46"/>
      <c r="U35" s="46"/>
      <c r="V35" s="46"/>
      <c r="W35" s="46"/>
      <c r="X35" s="46"/>
      <c r="Y35" s="46"/>
    </row>
    <row r="36" spans="1:25" ht="20.100000000000001" customHeight="1" x14ac:dyDescent="0.25">
      <c r="A36"/>
      <c r="D36" s="34"/>
      <c r="E36" s="34"/>
      <c r="F36" s="34"/>
      <c r="G36" s="34"/>
      <c r="H36" s="34"/>
      <c r="I36" s="34"/>
      <c r="J36" s="34"/>
      <c r="K36" s="34"/>
      <c r="L36" s="46"/>
      <c r="M36" s="46"/>
      <c r="N36" s="46"/>
      <c r="O36" s="46"/>
      <c r="P36" s="46"/>
      <c r="Q36" s="46"/>
      <c r="R36" s="46"/>
      <c r="S36" s="46"/>
      <c r="T36" s="46"/>
      <c r="U36" s="46"/>
      <c r="V36" s="46"/>
      <c r="W36" s="46"/>
      <c r="X36" s="46"/>
      <c r="Y36" s="46"/>
    </row>
    <row r="37" spans="1:25" ht="20.100000000000001" customHeight="1" x14ac:dyDescent="0.25">
      <c r="A37"/>
      <c r="D37" s="34"/>
      <c r="E37" s="34"/>
      <c r="F37" s="34"/>
      <c r="G37" s="34"/>
      <c r="H37" s="34"/>
      <c r="I37" s="34"/>
      <c r="J37" s="34"/>
      <c r="K37" s="34"/>
      <c r="L37" s="46"/>
      <c r="M37" s="46"/>
      <c r="N37" s="46"/>
      <c r="O37" s="46"/>
      <c r="P37" s="46"/>
      <c r="Q37" s="46"/>
      <c r="R37" s="46"/>
      <c r="S37" s="46"/>
      <c r="T37" s="46"/>
      <c r="U37" s="46"/>
      <c r="V37" s="46"/>
      <c r="W37" s="46"/>
      <c r="X37" s="46"/>
      <c r="Y37" s="46"/>
    </row>
    <row r="38" spans="1:25" ht="20.100000000000001" customHeight="1" x14ac:dyDescent="0.25">
      <c r="A38"/>
      <c r="D38" s="34"/>
      <c r="E38" s="34"/>
      <c r="F38" s="34"/>
      <c r="G38" s="34"/>
      <c r="H38" s="34"/>
      <c r="I38" s="34"/>
      <c r="J38" s="34"/>
      <c r="K38" s="34"/>
      <c r="L38" s="46"/>
      <c r="M38" s="46"/>
      <c r="N38" s="46"/>
      <c r="O38" s="46"/>
      <c r="P38" s="46"/>
      <c r="Q38" s="46"/>
      <c r="R38" s="46"/>
      <c r="S38" s="46"/>
      <c r="T38" s="46"/>
      <c r="U38" s="46"/>
      <c r="V38" s="46"/>
      <c r="W38" s="46"/>
      <c r="X38" s="46"/>
      <c r="Y38" s="46"/>
    </row>
    <row r="39" spans="1:25" ht="20.100000000000001" customHeight="1" x14ac:dyDescent="0.25">
      <c r="A39"/>
      <c r="D39" s="34"/>
      <c r="E39" s="34"/>
      <c r="F39" s="34"/>
      <c r="G39" s="34"/>
      <c r="H39" s="34"/>
      <c r="I39" s="34"/>
      <c r="J39" s="34"/>
      <c r="K39" s="34"/>
      <c r="L39" s="46"/>
      <c r="M39" s="46"/>
      <c r="N39" s="46"/>
      <c r="O39" s="46"/>
      <c r="P39" s="46"/>
      <c r="Q39" s="46"/>
      <c r="R39" s="46"/>
      <c r="S39" s="46"/>
      <c r="T39" s="46"/>
      <c r="U39" s="46"/>
      <c r="V39" s="46"/>
      <c r="W39" s="46"/>
      <c r="X39" s="46"/>
      <c r="Y39" s="46"/>
    </row>
    <row r="40" spans="1:25" ht="20.100000000000001" customHeight="1" x14ac:dyDescent="0.25">
      <c r="A40"/>
      <c r="D40" s="34"/>
      <c r="E40" s="34"/>
      <c r="F40" s="34"/>
      <c r="G40" s="34"/>
      <c r="H40" s="34"/>
      <c r="I40" s="34"/>
      <c r="J40" s="34"/>
      <c r="K40" s="34"/>
      <c r="L40" s="48"/>
      <c r="M40" s="48"/>
      <c r="N40" s="48"/>
      <c r="O40" s="48"/>
      <c r="P40" s="48"/>
      <c r="Q40" s="48"/>
      <c r="R40" s="48"/>
      <c r="S40" s="48"/>
      <c r="T40" s="48"/>
      <c r="U40" s="48"/>
      <c r="V40" s="48"/>
      <c r="W40" s="48"/>
      <c r="X40" s="48"/>
      <c r="Y40" s="48"/>
    </row>
    <row r="41" spans="1:25" ht="20.100000000000001" customHeight="1" x14ac:dyDescent="0.25">
      <c r="A41"/>
      <c r="D41" s="34"/>
      <c r="E41" s="34"/>
      <c r="F41" s="34"/>
      <c r="G41" s="34"/>
      <c r="H41" s="34"/>
      <c r="I41" s="34"/>
      <c r="J41" s="34"/>
      <c r="K41" s="34"/>
    </row>
    <row r="42" spans="1:25" ht="20.100000000000001" customHeight="1" x14ac:dyDescent="0.25">
      <c r="A42"/>
      <c r="D42" s="34"/>
      <c r="E42" s="34"/>
      <c r="F42" s="34"/>
      <c r="G42" s="34"/>
      <c r="H42" s="34"/>
      <c r="I42" s="34"/>
      <c r="J42" s="34"/>
      <c r="K42" s="34"/>
    </row>
    <row r="43" spans="1:25" ht="20.100000000000001" customHeight="1" x14ac:dyDescent="0.25">
      <c r="A43"/>
      <c r="D43" s="34"/>
      <c r="E43" s="34"/>
      <c r="F43" s="34"/>
      <c r="G43" s="34"/>
      <c r="H43" s="34"/>
      <c r="I43" s="34"/>
      <c r="J43" s="34"/>
      <c r="K43" s="34"/>
    </row>
    <row r="44" spans="1:25" ht="20.100000000000001" customHeight="1" x14ac:dyDescent="0.25">
      <c r="D44" s="34"/>
      <c r="E44" s="34"/>
      <c r="F44" s="34"/>
      <c r="G44" s="34"/>
      <c r="H44" s="34"/>
      <c r="I44" s="34"/>
      <c r="J44" s="34"/>
      <c r="K44" s="34"/>
    </row>
    <row r="45" spans="1:25" ht="20.100000000000001" customHeight="1" x14ac:dyDescent="0.25">
      <c r="D45" s="34"/>
      <c r="E45" s="34"/>
      <c r="F45" s="34"/>
      <c r="G45" s="34"/>
      <c r="H45" s="34"/>
      <c r="I45" s="34"/>
      <c r="J45" s="34"/>
      <c r="K45" s="34"/>
    </row>
    <row r="46" spans="1:25" ht="20.100000000000001" customHeight="1" x14ac:dyDescent="0.25">
      <c r="D46" s="34"/>
      <c r="E46" s="34"/>
      <c r="F46" s="34"/>
      <c r="G46" s="34"/>
      <c r="H46" s="34"/>
      <c r="I46" s="34"/>
      <c r="J46" s="34"/>
      <c r="K46" s="34"/>
    </row>
    <row r="47" spans="1:25" ht="20.100000000000001" customHeight="1" x14ac:dyDescent="0.25">
      <c r="D47" s="34"/>
      <c r="E47" s="34"/>
      <c r="F47" s="34"/>
      <c r="G47" s="34"/>
      <c r="H47" s="34"/>
      <c r="I47" s="34"/>
      <c r="J47" s="34"/>
      <c r="K47" s="34"/>
    </row>
    <row r="48" spans="1:25" ht="20.100000000000001" customHeight="1" x14ac:dyDescent="0.25">
      <c r="D48" s="34"/>
      <c r="E48" s="34"/>
      <c r="F48" s="34"/>
      <c r="G48" s="34"/>
      <c r="H48" s="34"/>
      <c r="I48" s="34"/>
      <c r="J48" s="34"/>
      <c r="K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67"/>
      <c r="E51" s="68"/>
      <c r="F51" s="68"/>
      <c r="G51" s="68"/>
      <c r="H51" s="69"/>
    </row>
    <row r="52" spans="4:8" ht="20.100000000000001" customHeight="1" x14ac:dyDescent="0.25"/>
    <row r="53" spans="4:8" ht="20.100000000000001" customHeight="1" x14ac:dyDescent="0.25"/>
    <row r="54" spans="4:8" ht="20.100000000000001" customHeight="1" x14ac:dyDescent="0.25">
      <c r="G54" s="70"/>
    </row>
    <row r="55" spans="4:8" ht="20.100000000000001" customHeight="1" x14ac:dyDescent="0.25">
      <c r="D55" s="6"/>
    </row>
    <row r="56" spans="4:8" ht="20.100000000000001" customHeight="1" x14ac:dyDescent="0.25"/>
    <row r="57" spans="4:8" ht="20.100000000000001" customHeight="1" x14ac:dyDescent="0.25">
      <c r="D57" s="23"/>
      <c r="F57" s="71"/>
    </row>
    <row r="58" spans="4:8" ht="20.100000000000001" customHeight="1" x14ac:dyDescent="0.25">
      <c r="D58" s="1"/>
      <c r="E58" s="72"/>
    </row>
    <row r="59" spans="4:8" ht="20.100000000000001" customHeight="1" x14ac:dyDescent="0.25">
      <c r="D59" s="1"/>
      <c r="E59" s="72"/>
    </row>
    <row r="60" spans="4:8" ht="20.100000000000001" customHeight="1" x14ac:dyDescent="0.25">
      <c r="D60" s="1"/>
      <c r="E60" s="73"/>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72"/>
    </row>
    <row r="65" spans="4:9" ht="20.100000000000001" customHeight="1" x14ac:dyDescent="0.25">
      <c r="D65" s="1"/>
      <c r="E65" s="72"/>
    </row>
    <row r="66" spans="4:9" ht="20.100000000000001" customHeight="1" x14ac:dyDescent="0.25">
      <c r="D66" s="1"/>
      <c r="E66" s="73"/>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4"/>
    </row>
    <row r="79" spans="4:9" ht="20.100000000000001" customHeight="1" x14ac:dyDescent="0.25">
      <c r="D79" s="74"/>
    </row>
    <row r="80" spans="4:9" ht="20.100000000000001" customHeight="1" x14ac:dyDescent="0.25">
      <c r="D80" s="74"/>
    </row>
    <row r="81" spans="4:4" ht="20.100000000000001" customHeight="1" x14ac:dyDescent="0.25">
      <c r="D81" s="74"/>
    </row>
    <row r="82" spans="4:4" ht="20.100000000000001" customHeight="1" x14ac:dyDescent="0.25">
      <c r="D82" s="74"/>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A8" sqref="A8"/>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4" customWidth="1"/>
    <col min="15" max="20" width="30.7109375" style="54" customWidth="1"/>
    <col min="21" max="21" width="4.7109375" style="54" customWidth="1"/>
  </cols>
  <sheetData>
    <row r="1" spans="1:21" s="63" customFormat="1" ht="30" customHeight="1" x14ac:dyDescent="0.35">
      <c r="A1" s="63" t="e" vm="1">
        <v>#VALUE!</v>
      </c>
      <c r="C1" s="63" t="s">
        <v>81</v>
      </c>
      <c r="N1" s="54"/>
      <c r="O1" s="54"/>
      <c r="P1" s="54"/>
      <c r="Q1" s="54"/>
      <c r="R1" s="54"/>
      <c r="S1" s="54"/>
      <c r="T1" s="54"/>
      <c r="U1" s="54"/>
    </row>
    <row r="2" spans="1:21" s="9" customFormat="1" ht="20.100000000000001" customHeight="1" x14ac:dyDescent="0.25">
      <c r="N2" s="54"/>
      <c r="O2" s="54"/>
      <c r="P2" s="54"/>
      <c r="Q2" s="54"/>
      <c r="R2" s="54"/>
      <c r="S2" s="54"/>
      <c r="T2" s="54"/>
      <c r="U2" s="54"/>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85</v>
      </c>
    </row>
    <row r="6" spans="1:21" ht="20.100000000000001" customHeight="1" x14ac:dyDescent="0.25">
      <c r="A6" s="16"/>
    </row>
    <row r="7" spans="1:21" ht="20.100000000000001" customHeight="1" x14ac:dyDescent="0.25">
      <c r="A7" s="20" t="s">
        <v>3</v>
      </c>
      <c r="D7" s="58"/>
      <c r="E7" s="39" t="s">
        <v>99</v>
      </c>
      <c r="F7" s="39" t="s">
        <v>100</v>
      </c>
      <c r="G7" s="39" t="s">
        <v>101</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87">
        <v>4300</v>
      </c>
      <c r="F8" s="87">
        <v>100</v>
      </c>
      <c r="G8" s="87">
        <v>100</v>
      </c>
      <c r="H8" s="2" t="s">
        <v>87</v>
      </c>
      <c r="I8" s="2"/>
      <c r="J8" s="2"/>
      <c r="K8" s="2"/>
    </row>
    <row r="9" spans="1:21" ht="20.100000000000001" customHeight="1" x14ac:dyDescent="0.25">
      <c r="A9" s="21" t="str">
        <f>HYPERLINK("#'Input - Feedlot'!A1", "Feedlot")</f>
        <v>Feedlot</v>
      </c>
      <c r="D9" s="1" t="str">
        <f>"Average duration of stay between " &amp; TEXT('Input - Site'!$E$12, "dd mmm yy") &amp; " and " &amp; TEXT('Input - Site'!$E$13, "dd mmm yy")</f>
        <v>Average duration of stay between 01 Jan 24 and 31 Dec 24</v>
      </c>
      <c r="E9" s="87">
        <v>90</v>
      </c>
      <c r="F9" s="87">
        <v>140</v>
      </c>
      <c r="G9" s="87">
        <v>250</v>
      </c>
      <c r="H9" s="2" t="s">
        <v>149</v>
      </c>
      <c r="I9" s="2"/>
      <c r="J9" s="2"/>
      <c r="K9" s="2"/>
    </row>
    <row r="10" spans="1:21" ht="20.100000000000001" customHeight="1" x14ac:dyDescent="0.25">
      <c r="A10" s="17"/>
    </row>
    <row r="11" spans="1:21" ht="20.100000000000001" customHeight="1" x14ac:dyDescent="0.25">
      <c r="A11" s="19" t="s">
        <v>58</v>
      </c>
      <c r="D11" s="6" t="s">
        <v>79</v>
      </c>
    </row>
    <row r="12" spans="1:21" ht="20.100000000000001" customHeight="1" x14ac:dyDescent="0.25">
      <c r="A12" s="17" t="str">
        <f>HYPERLINK("#'3.1.1.1-2 Enteric Methane'!A1", "3.1.1.1-2 Enteric Methane")</f>
        <v>3.1.1.1-2 Enteric Methane</v>
      </c>
    </row>
    <row r="13" spans="1:21" ht="20.100000000000001" customHeight="1" x14ac:dyDescent="0.25">
      <c r="D13" s="58" t="s">
        <v>134</v>
      </c>
      <c r="E13" s="39" t="s">
        <v>99</v>
      </c>
      <c r="F13" s="39" t="s">
        <v>100</v>
      </c>
      <c r="G13" s="39" t="s">
        <v>101</v>
      </c>
    </row>
    <row r="14" spans="1:21" ht="20.100000000000001" customHeight="1" x14ac:dyDescent="0.25">
      <c r="A14" s="18" t="s">
        <v>4</v>
      </c>
      <c r="D14" s="1" t="s">
        <v>105</v>
      </c>
      <c r="E14" s="50" cm="1">
        <f t="array" ref="E14">_xlfn.XLOOKUP(1, (Table_SourceData_Feedlot_AnimalCharacteristics[Feedlot type] = E$13) * (Table_SourceData_Feedlot_AnimalCharacteristics[Characteristic] = $D$14), Table_SourceData_Feedlot_AnimalCharacteristics[2020-2023], "Not Found")</f>
        <v>10.4</v>
      </c>
      <c r="F14" s="50" cm="1">
        <f t="array" ref="F14">_xlfn.XLOOKUP(1, (Table_SourceData_Feedlot_AnimalCharacteristics[Feedlot type] = F$13) * (Table_SourceData_Feedlot_AnimalCharacteristics[Characteristic] = $D$14), Table_SourceData_Feedlot_AnimalCharacteristics[2020-2023], "Not Found")</f>
        <v>10.8</v>
      </c>
      <c r="G14" s="50" cm="1">
        <f t="array" ref="G14">_xlfn.XLOOKUP(1, (Table_SourceData_Feedlot_AnimalCharacteristics[Feedlot type] = G$13) * (Table_SourceData_Feedlot_AnimalCharacteristics[Characteristic] = $D$14), Table_SourceData_Feedlot_AnimalCharacteristics[2020-2023], "Not Found")</f>
        <v>8.1999999999999993</v>
      </c>
      <c r="H14" s="2" t="s">
        <v>82</v>
      </c>
      <c r="I14" s="2"/>
      <c r="J14" s="2"/>
      <c r="K14" s="2"/>
    </row>
    <row r="15" spans="1:21" ht="20.100000000000001" customHeight="1" x14ac:dyDescent="0.25">
      <c r="A15" s="17" t="str">
        <f>HYPERLINK("#'Constants - Feedlot'!A1", "Constants - Feedlot")</f>
        <v>Constants - Feedlot</v>
      </c>
      <c r="D15" s="1" t="s">
        <v>167</v>
      </c>
      <c r="E15" s="50" cm="1">
        <f t="array" ref="E15">_xlfn.XLOOKUP(1, (Table_SourceData_Feedlot_DietProperties[Feedlot type] = E$13) * (Table_SourceData_Feedlot_DietProperties[Nutrient analysis] = $D$15), Table_SourceData_Feedlot_DietProperties[2020-2023 Converted to fraction], "Not Found")</f>
        <v>4.8</v>
      </c>
      <c r="F15" s="50" cm="1">
        <f t="array" ref="F15">_xlfn.XLOOKUP(1, (Table_SourceData_Feedlot_DietProperties[Feedlot type] = F$13) * (Table_SourceData_Feedlot_DietProperties[Nutrient analysis] = $D$15), Table_SourceData_Feedlot_DietProperties[2020-2023 Converted to fraction], "Not Found")</f>
        <v>5</v>
      </c>
      <c r="G15" s="50" cm="1">
        <f t="array" ref="G15">_xlfn.XLOOKUP(1, (Table_SourceData_Feedlot_DietProperties[Feedlot type] = G$13) * (Table_SourceData_Feedlot_DietProperties[Nutrient analysis] = $D$15), Table_SourceData_Feedlot_DietProperties[2020-2023 Converted to fraction], "Not Found")</f>
        <v>5.5</v>
      </c>
      <c r="H15" s="2" t="s">
        <v>150</v>
      </c>
      <c r="I15" s="2"/>
      <c r="J15" s="2"/>
      <c r="K15" s="2"/>
    </row>
    <row r="16" spans="1:21" ht="20.100000000000001" customHeight="1" x14ac:dyDescent="0.25">
      <c r="A16" s="17" t="str">
        <f>HYPERLINK("#'Constants - Livestock'!A1", "Constants - Livestock")</f>
        <v>Constants - Livestock</v>
      </c>
      <c r="D16" s="1" t="s">
        <v>168</v>
      </c>
      <c r="E16" s="50" cm="1">
        <f t="array" ref="E16">_xlfn.XLOOKUP(1, (Table_SourceData_Feedlot_DietProperties[Feedlot type] = E$13) * (Table_SourceData_Feedlot_DietProperties[Nutrient analysis] = $D$16), Table_SourceData_Feedlot_DietProperties[2020-2023 Converted to fraction], "Not Found")</f>
        <v>22</v>
      </c>
      <c r="F16" s="50" cm="1">
        <f t="array" ref="F16">_xlfn.XLOOKUP(1, (Table_SourceData_Feedlot_DietProperties[Feedlot type] = F$13) * (Table_SourceData_Feedlot_DietProperties[Nutrient analysis] = $D$16), Table_SourceData_Feedlot_DietProperties[2020-2023 Converted to fraction], "Not Found")</f>
        <v>22</v>
      </c>
      <c r="G16" s="50" cm="1">
        <f t="array" ref="G16">_xlfn.XLOOKUP(1, (Table_SourceData_Feedlot_DietProperties[Feedlot type] = G$13) * (Table_SourceData_Feedlot_DietProperties[Nutrient analysis] = $D$16), Table_SourceData_Feedlot_DietProperties[2020-2023 Converted to fraction], "Not Found")</f>
        <v>24</v>
      </c>
      <c r="H16" s="2" t="s">
        <v>150</v>
      </c>
      <c r="I16" s="2"/>
      <c r="J16" s="2"/>
      <c r="K16" s="2"/>
    </row>
    <row r="17" spans="1:11" ht="20.100000000000001" customHeight="1" x14ac:dyDescent="0.25">
      <c r="A17" s="17" t="str">
        <f>HYPERLINK("#'Constants - Common'!A1", "Constants - Common")</f>
        <v>Constants - Common</v>
      </c>
      <c r="J17" s="2"/>
      <c r="K17" s="2"/>
    </row>
    <row r="18" spans="1:11" ht="20.100000000000001" customHeight="1" x14ac:dyDescent="0.25">
      <c r="A18" s="17" t="str">
        <f>HYPERLINK("#'Acknowledgements'!A1", "Acknowledgements")</f>
        <v>Acknowledgements</v>
      </c>
      <c r="D18" s="58" t="s">
        <v>135</v>
      </c>
      <c r="E18" s="39" t="s">
        <v>99</v>
      </c>
      <c r="F18" s="39" t="s">
        <v>100</v>
      </c>
      <c r="G18" s="39" t="s">
        <v>101</v>
      </c>
    </row>
    <row r="19" spans="1:11" ht="20.100000000000001" customHeight="1" x14ac:dyDescent="0.25">
      <c r="D19" s="1" t="s">
        <v>105</v>
      </c>
      <c r="E19" s="61" cm="1">
        <f t="array" ref="E19">_xlfn.XLOOKUP(1, (Table_SourceData_Feedlot_AnimalCharacteristics[Feedlot type] = E$18) * (Table_SourceData_Feedlot_AnimalCharacteristics[Characteristic] = $D$19), Table_SourceData_Feedlot_AnimalCharacteristics[2020-2023], "Not Found")</f>
        <v>10.4</v>
      </c>
      <c r="F19" s="61" cm="1">
        <f t="array" ref="F19">_xlfn.XLOOKUP(1, (Table_SourceData_Feedlot_AnimalCharacteristics[Feedlot type] = F$18) * (Table_SourceData_Feedlot_AnimalCharacteristics[Characteristic] = $D$19), Table_SourceData_Feedlot_AnimalCharacteristics[2020-2023], "Not Found")</f>
        <v>10.8</v>
      </c>
      <c r="G19" s="61" cm="1">
        <f t="array" ref="G19">_xlfn.XLOOKUP(1, (Table_SourceData_Feedlot_AnimalCharacteristics[Feedlot type] = G$18) * (Table_SourceData_Feedlot_AnimalCharacteristics[Characteristic] = $D$19), Table_SourceData_Feedlot_AnimalCharacteristics[2020-2023], "Not Found")</f>
        <v>8.1999999999999993</v>
      </c>
      <c r="H19" s="2" t="s">
        <v>82</v>
      </c>
      <c r="I19" s="2"/>
    </row>
    <row r="20" spans="1:11" ht="20.100000000000001" customHeight="1" x14ac:dyDescent="0.25">
      <c r="D20" s="1" t="s">
        <v>167</v>
      </c>
      <c r="E20" s="61" cm="1">
        <f t="array" ref="E20">_xlfn.XLOOKUP(1, (Table_SourceData_Feedlot_DietProperties[Feedlot type] = E$18) * (Table_SourceData_Feedlot_DietProperties[Nutrient analysis] = $D$20), Table_SourceData_Feedlot_DietProperties[2020-2023 Converted to fraction], "Not Found")</f>
        <v>4.8</v>
      </c>
      <c r="F20" s="61" cm="1">
        <f t="array" ref="F20">_xlfn.XLOOKUP(1, (Table_SourceData_Feedlot_DietProperties[Feedlot type] = F$18) * (Table_SourceData_Feedlot_DietProperties[Nutrient analysis] = $D$20), Table_SourceData_Feedlot_DietProperties[2020-2023 Converted to fraction], "Not Found")</f>
        <v>5</v>
      </c>
      <c r="G20" s="61" cm="1">
        <f t="array" ref="G20">_xlfn.XLOOKUP(1, (Table_SourceData_Feedlot_DietProperties[Feedlot type] = G$18) * (Table_SourceData_Feedlot_DietProperties[Nutrient analysis] = $D$20), Table_SourceData_Feedlot_DietProperties[2020-2023 Converted to fraction], "Not Found")</f>
        <v>5.5</v>
      </c>
      <c r="H20" s="2" t="s">
        <v>150</v>
      </c>
      <c r="I20" s="2"/>
      <c r="J20" s="2"/>
      <c r="K20" s="2"/>
    </row>
    <row r="21" spans="1:11" ht="20.100000000000001" customHeight="1" x14ac:dyDescent="0.25">
      <c r="A21" s="17"/>
      <c r="D21" s="1" t="s">
        <v>168</v>
      </c>
      <c r="E21" s="61" cm="1">
        <f t="array" ref="E21">_xlfn.XLOOKUP(1, (Table_SourceData_Feedlot_DietProperties[Feedlot type] = E$18) * (Table_SourceData_Feedlot_DietProperties[Nutrient analysis] = $D$21), Table_SourceData_Feedlot_DietProperties[2020-2023 Converted to fraction], "Not Found")</f>
        <v>22</v>
      </c>
      <c r="F21" s="61" cm="1">
        <f t="array" ref="F21">_xlfn.XLOOKUP(1, (Table_SourceData_Feedlot_DietProperties[Feedlot type] = F$18) * (Table_SourceData_Feedlot_DietProperties[Nutrient analysis] = $D$21), Table_SourceData_Feedlot_DietProperties[2020-2023 Converted to fraction], "Not Found")</f>
        <v>22</v>
      </c>
      <c r="G21" s="61" cm="1">
        <f t="array" ref="G21">_xlfn.XLOOKUP(1, (Table_SourceData_Feedlot_DietProperties[Feedlot type] = G$18) * (Table_SourceData_Feedlot_DietProperties[Nutrient analysis] = $D$21), Table_SourceData_Feedlot_DietProperties[2020-2023 Converted to fraction], "Not Found")</f>
        <v>24</v>
      </c>
      <c r="H21" s="2" t="s">
        <v>150</v>
      </c>
      <c r="I21" s="2"/>
      <c r="J21" s="2"/>
      <c r="K21" s="2"/>
    </row>
    <row r="22" spans="1:11" ht="20.100000000000001" customHeight="1" x14ac:dyDescent="0.25">
      <c r="J22" s="2"/>
      <c r="K22" s="2"/>
    </row>
    <row r="23" spans="1:11" ht="20.100000000000001" customHeight="1" x14ac:dyDescent="0.25">
      <c r="J23" s="2"/>
      <c r="K23" s="2"/>
    </row>
    <row r="24" spans="1:11" ht="20.100000000000001" customHeight="1" x14ac:dyDescent="0.25"/>
    <row r="25" spans="1:11" ht="20.100000000000001" customHeight="1" x14ac:dyDescent="0.25">
      <c r="A25" s="17"/>
      <c r="D25" s="6"/>
    </row>
    <row r="26" spans="1:11" ht="20.100000000000001" customHeight="1" x14ac:dyDescent="0.25">
      <c r="A26" s="17"/>
    </row>
    <row r="27" spans="1:11" ht="20.100000000000001" customHeight="1" x14ac:dyDescent="0.25">
      <c r="A27" s="17"/>
    </row>
    <row r="28" spans="1:11" ht="20.100000000000001" customHeight="1" x14ac:dyDescent="0.25">
      <c r="A28" s="17"/>
    </row>
    <row r="29" spans="1:11" ht="20.100000000000001" customHeight="1" x14ac:dyDescent="0.25">
      <c r="A29" s="17"/>
    </row>
    <row r="30" spans="1:11" ht="20.100000000000001" customHeight="1" x14ac:dyDescent="0.25">
      <c r="A30" s="17"/>
    </row>
    <row r="31" spans="1:11" ht="20.100000000000001" customHeight="1" x14ac:dyDescent="0.25">
      <c r="A31" s="62"/>
    </row>
    <row r="32" spans="1:11" ht="20.100000000000001" customHeight="1" x14ac:dyDescent="0.25">
      <c r="A32" s="62"/>
    </row>
    <row r="33" spans="1:11" ht="20.100000000000001" customHeight="1" x14ac:dyDescent="0.25">
      <c r="A33" s="17"/>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row r="39" spans="1:11" ht="20.100000000000001" customHeight="1" x14ac:dyDescent="0.25">
      <c r="A39" s="17"/>
    </row>
    <row r="40" spans="1:11" ht="20.100000000000001" customHeight="1" x14ac:dyDescent="0.25"/>
    <row r="41" spans="1:11" ht="20.100000000000001" customHeight="1" x14ac:dyDescent="0.25">
      <c r="A41" s="44"/>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94"/>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opLeftCell="A2" zoomScaleNormal="100" workbookViewId="0">
      <selection activeCell="A4" sqref="A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118</v>
      </c>
      <c r="K1"/>
    </row>
    <row r="2" spans="1:19" s="9" customFormat="1" ht="20.100000000000001" customHeight="1" x14ac:dyDescent="0.25">
      <c r="K2"/>
    </row>
    <row r="3" spans="1:19" ht="20.100000000000001" customHeight="1" x14ac:dyDescent="0.25">
      <c r="A3" s="17" t="str">
        <f>HYPERLINK("#'Home'!A1", "Home")</f>
        <v>Home</v>
      </c>
      <c r="C3" s="4"/>
      <c r="D3" s="4" t="s">
        <v>111</v>
      </c>
      <c r="E3" s="4"/>
      <c r="F3" s="4"/>
      <c r="G3" s="4"/>
      <c r="H3" s="4"/>
      <c r="I3" s="4"/>
      <c r="J3" s="4"/>
      <c r="L3" s="4"/>
      <c r="M3" s="4" t="s">
        <v>112</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EntericMethane_Feedlot_Equations.VEERG_3_1_1_1__2_DailyEntericMethaneProduction_Title()</f>
        <v>Daily production of enteric methane</v>
      </c>
    </row>
    <row r="6" spans="1:19" ht="20.100000000000001" customHeight="1" x14ac:dyDescent="0.25">
      <c r="A6" s="16"/>
      <c r="D6" s="5" t="str" cm="1">
        <f t="array" ref="D6">EntericMethane_Feedlot_Equations.VEERG_3_1_1_1__2_DailyEntericMethaneProduction_Source()</f>
        <v>VEERG 2026: 3.1.1.1, Equation (2)</v>
      </c>
    </row>
    <row r="7" spans="1:19" ht="20.100000000000001" customHeight="1" x14ac:dyDescent="0.25">
      <c r="A7" s="20" t="s">
        <v>3</v>
      </c>
      <c r="D7" s="13" t="s">
        <v>17</v>
      </c>
      <c r="E7" s="13" t="str" cm="1">
        <f t="array" aca="1" ref="E7" ca="1">Common_InputFunctions.Utility_DisplayFunctionName(D35)</f>
        <v>=EntericMethane_Feedlot_Equations.VEERG_3_1_1_1__2_DailyEntericMethaneProduction</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c r="D10" s="51" t="s">
        <v>20</v>
      </c>
      <c r="E10" s="1" t="str" cm="1">
        <f t="array" ref="E10">EntericMethane_Feedlot_Equations.VEERG_3_1_1_1__2_DailyEntericMethaneProduction_Variable()</f>
        <v>M_j</v>
      </c>
    </row>
    <row r="11" spans="1:19" ht="20.100000000000001" customHeight="1" x14ac:dyDescent="0.25">
      <c r="A11" s="19" t="s">
        <v>58</v>
      </c>
      <c r="D11" s="51" t="s">
        <v>11</v>
      </c>
      <c r="E11" s="52" t="str" cm="1">
        <f t="array" ref="E11">EntericMethane_Feedlot_Equations.VEERG_3_1_1_1__2_DailyEntericMethaneProduction_Unit()</f>
        <v>kg CH4/head/day</v>
      </c>
    </row>
    <row r="12" spans="1:19" ht="20.100000000000001" customHeight="1" x14ac:dyDescent="0.25">
      <c r="A12" s="22" t="str">
        <f>HYPERLINK("#'3.1.1.1-2 Enteric Methane'!A1", "3.1.1.1-2 Enteric Methane")</f>
        <v>3.1.1.1-2 Enteric Methane</v>
      </c>
    </row>
    <row r="13" spans="1:19" ht="20.100000000000001" customHeight="1" x14ac:dyDescent="0.25">
      <c r="D13" s="106" t="str" cm="1">
        <f t="array" ref="D13:E15">_xlfn.CHOOSECOLS(EntericMethane_Feedlot_Equations.VEERG_3_1_1_1__2_DailyEntericMethaneProduction_Arguments(),1,2)</f>
        <v>I_j</v>
      </c>
      <c r="E13" s="109" t="str">
        <v>dry matter intake</v>
      </c>
      <c r="F13" s="108"/>
      <c r="G13" s="106" t="str" cm="1">
        <f t="array" ref="G13:H15">_xlfn.CHOOSECOLS(EntericMethane_Feedlot_Equations.VEERG_3_1_1_1__2_DailyEntericMethaneProduction_Arguments(),3,4)</f>
        <v>kg DM/head/day</v>
      </c>
      <c r="H13" s="104" t="str">
        <v>Input</v>
      </c>
      <c r="I13" s="107" t="str" cm="1">
        <f t="array" aca="1" ref="I13" ca="1">HYPERLINK(Common_InputFunctions.Utility_SourceHyperlink($D$17),$D$17)</f>
        <v>M1_Table_I_j</v>
      </c>
    </row>
    <row r="14" spans="1:19" ht="20.100000000000001" customHeight="1" x14ac:dyDescent="0.25">
      <c r="A14" s="18" t="s">
        <v>4</v>
      </c>
      <c r="D14" s="106" t="str">
        <v>EE_j</v>
      </c>
      <c r="E14" s="109" t="str">
        <v>ether extract as a percentage of I_j</v>
      </c>
      <c r="F14" s="108"/>
      <c r="G14" s="106" t="str">
        <v>per cent</v>
      </c>
      <c r="H14" s="104" t="str">
        <v>Input</v>
      </c>
      <c r="I14" s="107" t="str" cm="1">
        <f t="array" aca="1" ref="I14" ca="1">HYPERLINK(Common_InputFunctions.Utility_SourceHyperlink($D$22),$D$22)</f>
        <v>M1_Table_EE_j</v>
      </c>
    </row>
    <row r="15" spans="1:19" ht="20.100000000000001" customHeight="1" x14ac:dyDescent="0.25">
      <c r="A15" s="17" t="str">
        <f>HYPERLINK("#'Constants - Feedlot'!A1", "Constants - Feedlot")</f>
        <v>Constants - Feedlot</v>
      </c>
      <c r="D15" s="106" t="str">
        <v>NDF_j</v>
      </c>
      <c r="E15" s="109" t="str">
        <v>neutral detergent fibre as a percentage of I_j</v>
      </c>
      <c r="F15" s="108"/>
      <c r="G15" s="106" t="str">
        <v>per cent</v>
      </c>
      <c r="H15" s="104" t="str">
        <v>Input</v>
      </c>
      <c r="I15" s="107" t="str" cm="1">
        <f t="array" aca="1" ref="I15" ca="1">HYPERLINK(Common_InputFunctions.Utility_SourceHyperlink($D$27),$D$27)</f>
        <v>M1_Table_NDF_j</v>
      </c>
    </row>
    <row r="16" spans="1:19" ht="20.100000000000001" customHeight="1" x14ac:dyDescent="0.25">
      <c r="A16" s="17" t="str">
        <f>HYPERLINK("#'Constants - Livestock'!A1", "Constants - Livestock")</f>
        <v>Constants - Livestock</v>
      </c>
    </row>
    <row r="17" spans="1:16" ht="20.100000000000001" customHeight="1" x14ac:dyDescent="0.25">
      <c r="A17" s="17" t="str">
        <f>HYPERLINK("#'Constants - Common'!A1", "Constants - Common")</f>
        <v>Constants - Common</v>
      </c>
      <c r="D17" s="86" t="s">
        <v>109</v>
      </c>
      <c r="M17" s="86" t="s">
        <v>110</v>
      </c>
    </row>
    <row r="18" spans="1:16" ht="20.100000000000001" customHeight="1" x14ac:dyDescent="0.25">
      <c r="A18" s="17" t="str">
        <f>HYPERLINK("#'Acknowledgements'!A1", "Acknowledgements")</f>
        <v>Acknowledgements</v>
      </c>
      <c r="D18" s="85" t="s">
        <v>113</v>
      </c>
      <c r="M18" s="85" t="s">
        <v>114</v>
      </c>
    </row>
    <row r="19" spans="1:16" ht="20.100000000000001" customHeight="1" x14ac:dyDescent="0.25">
      <c r="D19" s="39" t="s">
        <v>99</v>
      </c>
      <c r="E19" s="39" t="s">
        <v>100</v>
      </c>
      <c r="F19" s="39" t="s">
        <v>101</v>
      </c>
      <c r="M19" s="39" t="s">
        <v>99</v>
      </c>
      <c r="N19" s="39" t="s">
        <v>100</v>
      </c>
      <c r="O19" s="39" t="s">
        <v>101</v>
      </c>
    </row>
    <row r="20" spans="1:16" ht="20.100000000000001" customHeight="1" x14ac:dyDescent="0.25">
      <c r="D20" s="50">
        <f>'Input - Feedlot'!$E$14</f>
        <v>10.4</v>
      </c>
      <c r="E20" s="50">
        <f>'Input - Feedlot'!$F$14</f>
        <v>10.8</v>
      </c>
      <c r="F20" s="50">
        <f>'Input - Feedlot'!$G$14</f>
        <v>8.1999999999999993</v>
      </c>
      <c r="G20" s="2" t="str">
        <f>$G$13</f>
        <v>kg DM/head/day</v>
      </c>
      <c r="M20" s="50">
        <f>'Input - Feedlot'!$E$19</f>
        <v>10.4</v>
      </c>
      <c r="N20" s="50">
        <f>'Input - Feedlot'!$F$19</f>
        <v>10.8</v>
      </c>
      <c r="O20" s="50">
        <f>'Input - Feedlot'!$G$19</f>
        <v>8.1999999999999993</v>
      </c>
      <c r="P20" s="2" t="str">
        <f>$G$13</f>
        <v>kg DM/head/day</v>
      </c>
    </row>
    <row r="21" spans="1:16" ht="20.100000000000001" customHeight="1" x14ac:dyDescent="0.25">
      <c r="A21" s="17"/>
    </row>
    <row r="22" spans="1:16" ht="20.100000000000001" customHeight="1" x14ac:dyDescent="0.25">
      <c r="D22" s="86" t="s">
        <v>169</v>
      </c>
      <c r="M22" s="86" t="s">
        <v>177</v>
      </c>
    </row>
    <row r="23" spans="1:16" ht="20.100000000000001" customHeight="1" x14ac:dyDescent="0.25">
      <c r="D23" s="85" t="s">
        <v>170</v>
      </c>
      <c r="M23" s="85" t="s">
        <v>178</v>
      </c>
    </row>
    <row r="24" spans="1:16" ht="20.100000000000001" customHeight="1" x14ac:dyDescent="0.25">
      <c r="D24" s="39" t="s">
        <v>99</v>
      </c>
      <c r="E24" s="39" t="s">
        <v>100</v>
      </c>
      <c r="F24" s="39" t="s">
        <v>101</v>
      </c>
      <c r="M24" s="39" t="s">
        <v>99</v>
      </c>
      <c r="N24" s="39" t="s">
        <v>100</v>
      </c>
      <c r="O24" s="39" t="s">
        <v>101</v>
      </c>
    </row>
    <row r="25" spans="1:16" ht="20.100000000000001" customHeight="1" x14ac:dyDescent="0.25">
      <c r="A25" s="17"/>
      <c r="D25" s="50">
        <f>'Input - Feedlot'!$E$15</f>
        <v>4.8</v>
      </c>
      <c r="E25" s="50">
        <f>'Input - Feedlot'!$F$15</f>
        <v>5</v>
      </c>
      <c r="F25" s="50">
        <f>'Input - Feedlot'!$G$15</f>
        <v>5.5</v>
      </c>
      <c r="G25" s="2" t="str">
        <f>$G$14</f>
        <v>per cent</v>
      </c>
      <c r="M25" s="50">
        <f>'Input - Feedlot'!$E$20</f>
        <v>4.8</v>
      </c>
      <c r="N25" s="50">
        <f>'Input - Feedlot'!$F$20</f>
        <v>5</v>
      </c>
      <c r="O25" s="50">
        <f>'Input - Feedlot'!$G$20</f>
        <v>5.5</v>
      </c>
      <c r="P25" s="2" t="str">
        <f>$G$14</f>
        <v>per cent</v>
      </c>
    </row>
    <row r="26" spans="1:16" ht="20.100000000000001" customHeight="1" x14ac:dyDescent="0.25"/>
    <row r="27" spans="1:16" ht="20.100000000000001" customHeight="1" x14ac:dyDescent="0.25">
      <c r="D27" s="86" t="s">
        <v>171</v>
      </c>
      <c r="M27" s="86" t="s">
        <v>179</v>
      </c>
    </row>
    <row r="28" spans="1:16" ht="20.100000000000001" customHeight="1" x14ac:dyDescent="0.25">
      <c r="D28" s="85" t="s">
        <v>172</v>
      </c>
      <c r="M28" s="85" t="s">
        <v>180</v>
      </c>
    </row>
    <row r="29" spans="1:16" ht="20.100000000000001" customHeight="1" x14ac:dyDescent="0.25">
      <c r="D29" s="39" t="s">
        <v>99</v>
      </c>
      <c r="E29" s="39" t="s">
        <v>100</v>
      </c>
      <c r="F29" s="39" t="s">
        <v>101</v>
      </c>
      <c r="M29" s="39" t="s">
        <v>99</v>
      </c>
      <c r="N29" s="39" t="s">
        <v>100</v>
      </c>
      <c r="O29" s="39" t="s">
        <v>101</v>
      </c>
    </row>
    <row r="30" spans="1:16" ht="20.100000000000001" customHeight="1" x14ac:dyDescent="0.25">
      <c r="D30" s="50">
        <f>'Input - Feedlot'!$E$16</f>
        <v>22</v>
      </c>
      <c r="E30" s="50">
        <f>'Input - Feedlot'!$F$16</f>
        <v>22</v>
      </c>
      <c r="F30" s="50">
        <f>'Input - Feedlot'!$G$16</f>
        <v>24</v>
      </c>
      <c r="G30" s="2" t="str">
        <f>$G$15</f>
        <v>per cent</v>
      </c>
      <c r="M30" s="50">
        <f>'Input - Feedlot'!$E$21</f>
        <v>22</v>
      </c>
      <c r="N30" s="50">
        <f>'Input - Feedlot'!$F$21</f>
        <v>22</v>
      </c>
      <c r="O30" s="50">
        <f>'Input - Feedlot'!$G$21</f>
        <v>24</v>
      </c>
      <c r="P30" s="2" t="str">
        <f>$G$15</f>
        <v>per cent</v>
      </c>
    </row>
    <row r="31" spans="1:16" ht="20.100000000000001" customHeight="1" x14ac:dyDescent="0.25"/>
    <row r="32" spans="1:16" ht="20.100000000000001" customHeight="1" x14ac:dyDescent="0.25">
      <c r="D32" s="86" t="s">
        <v>173</v>
      </c>
      <c r="M32" s="86" t="s">
        <v>175</v>
      </c>
    </row>
    <row r="33" spans="3:18" ht="20.100000000000001" customHeight="1" x14ac:dyDescent="0.25">
      <c r="D33" s="85" t="s">
        <v>174</v>
      </c>
      <c r="M33" s="85" t="s">
        <v>176</v>
      </c>
    </row>
    <row r="34" spans="3:18" ht="20.100000000000001" customHeight="1" x14ac:dyDescent="0.25">
      <c r="D34" s="49" t="s">
        <v>99</v>
      </c>
      <c r="E34" s="49" t="s">
        <v>100</v>
      </c>
      <c r="F34" s="49" t="s">
        <v>101</v>
      </c>
      <c r="M34" s="49" t="s">
        <v>99</v>
      </c>
      <c r="N34" s="49" t="s">
        <v>100</v>
      </c>
      <c r="O34" s="49" t="s">
        <v>101</v>
      </c>
    </row>
    <row r="35" spans="3:18" ht="20.100000000000001" customHeight="1" x14ac:dyDescent="0.25">
      <c r="D35" s="50" cm="1">
        <f t="array" ref="D35">EntericMethane_Feedlot_Equations.VEERG_3_1_1_1__2_DailyEntericMethaneProduction(D20,D25,D30)</f>
        <v>8.3664000000000002E-2</v>
      </c>
      <c r="E35" s="50" cm="1">
        <f t="array" ref="E35">EntericMethane_Feedlot_Equations.VEERG_3_1_1_1__2_DailyEntericMethaneProduction(E20,E25,E30)</f>
        <v>8.4908000000000011E-2</v>
      </c>
      <c r="F35" s="50" cm="1">
        <f t="array" ref="F35">EntericMethane_Feedlot_Equations.VEERG_3_1_1_1__2_DailyEntericMethaneProduction(F20,F25,F30)</f>
        <v>7.4142E-2</v>
      </c>
      <c r="G35" s="2" t="str">
        <f>$E$11</f>
        <v>kg CH4/head/day</v>
      </c>
      <c r="M35" s="50" cm="1">
        <f t="array" ref="M35">EntericMethane_Feedlot_Equations.VEERG_3_1_1_1__2_DailyEntericMethaneProduction(M20,M25,M30)</f>
        <v>8.3664000000000002E-2</v>
      </c>
      <c r="N35" s="50" cm="1">
        <f t="array" ref="N35">EntericMethane_Feedlot_Equations.VEERG_3_1_1_1__2_DailyEntericMethaneProduction(N20,N25,N30)</f>
        <v>8.4908000000000011E-2</v>
      </c>
      <c r="O35" s="50" cm="1">
        <f t="array" ref="O35">EntericMethane_Feedlot_Equations.VEERG_3_1_1_1__2_DailyEntericMethaneProduction(O20,O25,O30)</f>
        <v>7.4142E-2</v>
      </c>
      <c r="P35" s="2" t="str">
        <f>$E$11</f>
        <v>kg CH4/head/day</v>
      </c>
    </row>
    <row r="36" spans="3:18" ht="20.100000000000001" customHeight="1" x14ac:dyDescent="0.25"/>
    <row r="37" spans="3:18" ht="20.100000000000001" customHeight="1" x14ac:dyDescent="0.25"/>
    <row r="38" spans="3:18" ht="20.100000000000001" customHeight="1" x14ac:dyDescent="0.25">
      <c r="C38" s="45"/>
      <c r="D38" s="45"/>
      <c r="E38" s="45"/>
      <c r="F38" s="45"/>
      <c r="G38" s="45"/>
      <c r="H38" s="45"/>
      <c r="I38" s="45"/>
      <c r="J38" s="45"/>
      <c r="L38" s="45"/>
      <c r="M38" s="45"/>
      <c r="N38" s="45"/>
      <c r="O38" s="45"/>
      <c r="P38" s="45"/>
      <c r="Q38" s="45"/>
      <c r="R38" s="45"/>
    </row>
    <row r="39" spans="3:18" ht="20.100000000000001" customHeight="1" x14ac:dyDescent="0.25">
      <c r="D39" s="6" t="str" cm="1">
        <f t="array" ref="D39">EntericMethane_Feedlot_Equations.VEERG_3_1_1_1__1_TotalAnnualMethaneFromEntericFermentation_Title()</f>
        <v>Total annual methane production from enteric fermentation in feedlot beef cattle</v>
      </c>
    </row>
    <row r="40" spans="3:18" ht="20.100000000000001" customHeight="1" x14ac:dyDescent="0.25">
      <c r="D40" s="5" t="str" cm="1">
        <f t="array" ref="D40">EntericMethane_Feedlot_Equations.VEERG_3_1_1_1__1_TotalAnnualMethaneFromEntericFermentation_Source()</f>
        <v>VEERG 2026: 3.1.1.1, Equation (1)</v>
      </c>
    </row>
    <row r="41" spans="3:18" ht="20.100000000000001" customHeight="1" x14ac:dyDescent="0.25">
      <c r="D41" s="13" t="s">
        <v>17</v>
      </c>
      <c r="E41" s="13" t="str" cm="1">
        <f t="array" aca="1" ref="E41" ca="1">Common_InputFunctions.Utility_DisplayFunctionName(D65)</f>
        <v>=EntericMethane_Feedlot_Equations.VEERG_3_1_1_1__1_TotalAnnualMethaneFromEntericFermentation</v>
      </c>
    </row>
    <row r="42" spans="3:18" ht="20.100000000000001" customHeight="1" x14ac:dyDescent="0.25"/>
    <row r="43" spans="3:18" ht="20.100000000000001" customHeight="1" x14ac:dyDescent="0.25">
      <c r="D43" s="6"/>
    </row>
    <row r="44" spans="3:18" ht="20.100000000000001" customHeight="1" x14ac:dyDescent="0.25"/>
    <row r="45" spans="3:18" ht="20.100000000000001" customHeight="1" x14ac:dyDescent="0.25">
      <c r="D45" s="51" t="s">
        <v>20</v>
      </c>
      <c r="E45" s="1" t="str" cm="1">
        <f t="array" ref="E45">EntericMethane_Feedlot_Equations.VEERG_3_1_1_1__1_TotalAnnualMethaneFromEntericFermentation_Variable()</f>
        <v>E_enteric</v>
      </c>
    </row>
    <row r="46" spans="3:18" ht="20.100000000000001" customHeight="1" x14ac:dyDescent="0.25">
      <c r="D46" s="51" t="s">
        <v>11</v>
      </c>
      <c r="E46" s="52" t="str" cm="1">
        <f t="array" ref="E46">EntericMethane_Feedlot_Equations.VEERG_3_1_1_1__1_TotalAnnualMethaneFromEntericFermentation_Unit()</f>
        <v>t CH4</v>
      </c>
    </row>
    <row r="47" spans="3:18" ht="20.100000000000001" customHeight="1" x14ac:dyDescent="0.25"/>
    <row r="48" spans="3:18" ht="20.100000000000001" customHeight="1" x14ac:dyDescent="0.25">
      <c r="D48" s="106" t="str" cm="1">
        <f t="array" ref="D48:E50">_xlfn.CHOOSECOLS(EntericMethane_Feedlot_Equations.VEERG_3_1_1_1__1_TotalAnnualMethaneFromEntericFermentation_Arguments(),1,2)</f>
        <v>D_j</v>
      </c>
      <c r="E48" s="109" t="str">
        <v>duration of stay of each cattle lot</v>
      </c>
      <c r="F48" s="108"/>
      <c r="G48" s="106" t="str" cm="1">
        <f t="array" ref="G48:H50">_xlfn.CHOOSECOLS(EntericMethane_Feedlot_Equations.VEERG_3_1_1_1__1_TotalAnnualMethaneFromEntericFermentation_Arguments(),3,4)</f>
        <v>days</v>
      </c>
      <c r="H48" s="104" t="str">
        <v>Input</v>
      </c>
      <c r="I48" s="107" t="str" cm="1">
        <f t="array" aca="1" ref="I48" ca="1">HYPERLINK(Common_InputFunctions.Utility_SourceHyperlink($D$52),$D$52)</f>
        <v>Table_D_j</v>
      </c>
    </row>
    <row r="49" spans="4:15" ht="20.100000000000001" customHeight="1" x14ac:dyDescent="0.25">
      <c r="D49" s="106" t="str">
        <v>M_j</v>
      </c>
      <c r="E49" s="109" t="str">
        <v>daily methane production</v>
      </c>
      <c r="F49" s="108"/>
      <c r="G49" s="106" t="str">
        <v>kg CH4/head/day</v>
      </c>
      <c r="H49" s="105" t="str">
        <v>Calculated from 3.1.1.1, (2)</v>
      </c>
      <c r="I49" s="107" t="str" cm="1">
        <f t="array" aca="1" ref="I49" ca="1">HYPERLINK(Common_InputFunctions.Utility_SourceHyperlink($D$32),$D$32)</f>
        <v>M1_Table_M_j</v>
      </c>
    </row>
    <row r="50" spans="4:15" ht="20.100000000000001" customHeight="1" x14ac:dyDescent="0.25">
      <c r="D50" s="106" t="str">
        <v>N_j</v>
      </c>
      <c r="E50" s="109" t="str">
        <v>numbers of feedlot cattle in each cattle lot</v>
      </c>
      <c r="F50" s="108"/>
      <c r="G50" s="106" t="str">
        <v>head</v>
      </c>
      <c r="H50" s="104" t="str">
        <v>Input</v>
      </c>
      <c r="I50" s="107" t="str" cm="1">
        <f t="array" aca="1" ref="I50" ca="1">HYPERLINK(Common_InputFunctions.Utility_SourceHyperlink($D$57),$D$57)</f>
        <v>Table_N_j</v>
      </c>
    </row>
    <row r="51" spans="4:15" ht="20.100000000000001" customHeight="1" x14ac:dyDescent="0.25"/>
    <row r="52" spans="4:15" ht="20.100000000000001" customHeight="1" x14ac:dyDescent="0.25">
      <c r="D52" s="86" t="s">
        <v>88</v>
      </c>
    </row>
    <row r="53" spans="4:15" ht="20.100000000000001" customHeight="1" x14ac:dyDescent="0.25">
      <c r="D53" s="85" t="s">
        <v>86</v>
      </c>
    </row>
    <row r="54" spans="4:15" ht="20.100000000000001" customHeight="1" x14ac:dyDescent="0.25">
      <c r="D54" s="39" t="s">
        <v>99</v>
      </c>
      <c r="E54" s="39" t="s">
        <v>100</v>
      </c>
      <c r="F54" s="39" t="s">
        <v>101</v>
      </c>
    </row>
    <row r="55" spans="4:15" ht="20.100000000000001" customHeight="1" x14ac:dyDescent="0.25">
      <c r="D55" s="88">
        <f>'Input - Feedlot'!$E$9</f>
        <v>90</v>
      </c>
      <c r="E55" s="88">
        <f>'Input - Feedlot'!$F$9</f>
        <v>140</v>
      </c>
      <c r="F55" s="88">
        <f>'Input - Feedlot'!$G$9</f>
        <v>250</v>
      </c>
      <c r="G55" s="2" t="str">
        <f>G48</f>
        <v>days</v>
      </c>
    </row>
    <row r="56" spans="4:15" ht="20.100000000000001" customHeight="1" x14ac:dyDescent="0.25"/>
    <row r="57" spans="4:15" ht="20.100000000000001" customHeight="1" x14ac:dyDescent="0.25">
      <c r="D57" s="86" t="s">
        <v>89</v>
      </c>
    </row>
    <row r="58" spans="4:15" ht="20.100000000000001" customHeight="1" x14ac:dyDescent="0.25">
      <c r="D58" s="85" t="s">
        <v>90</v>
      </c>
    </row>
    <row r="59" spans="4:15" ht="20.100000000000001" customHeight="1" x14ac:dyDescent="0.25">
      <c r="D59" s="39" t="s">
        <v>99</v>
      </c>
      <c r="E59" s="39" t="s">
        <v>100</v>
      </c>
      <c r="F59" s="39" t="s">
        <v>101</v>
      </c>
    </row>
    <row r="60" spans="4:15" ht="20.100000000000001" customHeight="1" x14ac:dyDescent="0.25">
      <c r="D60" s="88">
        <f>'Input - Feedlot'!$E$8</f>
        <v>4300</v>
      </c>
      <c r="E60" s="88">
        <f>'Input - Feedlot'!$F$8</f>
        <v>100</v>
      </c>
      <c r="F60" s="88">
        <f>'Input - Feedlot'!$G$8</f>
        <v>100</v>
      </c>
      <c r="G60" s="2" t="str">
        <f>G50</f>
        <v>head</v>
      </c>
    </row>
    <row r="61" spans="4:15" ht="20.100000000000001" customHeight="1" x14ac:dyDescent="0.25"/>
    <row r="62" spans="4:15" ht="20.100000000000001" customHeight="1" x14ac:dyDescent="0.25">
      <c r="D62" s="86" t="s">
        <v>91</v>
      </c>
      <c r="M62" s="86" t="s">
        <v>91</v>
      </c>
    </row>
    <row r="63" spans="4:15" ht="20.100000000000001" customHeight="1" x14ac:dyDescent="0.25">
      <c r="D63" s="85" t="s">
        <v>92</v>
      </c>
      <c r="M63" s="85" t="s">
        <v>92</v>
      </c>
    </row>
    <row r="64" spans="4:15" ht="20.100000000000001" customHeight="1" x14ac:dyDescent="0.25">
      <c r="D64" s="49" t="s">
        <v>99</v>
      </c>
      <c r="E64" s="49" t="s">
        <v>100</v>
      </c>
      <c r="F64" s="49" t="s">
        <v>101</v>
      </c>
      <c r="M64" s="49" t="s">
        <v>99</v>
      </c>
      <c r="N64" s="49" t="s">
        <v>100</v>
      </c>
      <c r="O64" s="49" t="s">
        <v>101</v>
      </c>
    </row>
    <row r="65" spans="4:17" ht="20.100000000000001" customHeight="1" x14ac:dyDescent="0.25">
      <c r="D65" s="50" cm="1">
        <f t="array" ref="D65">EntericMethane_Feedlot_Equations.VEERG_3_1_1_1__1_TotalAnnualMethaneFromEntericFermentation(D55,D35,D60)</f>
        <v>32.377968000000003</v>
      </c>
      <c r="E65" s="50" cm="1">
        <f t="array" ref="E65">EntericMethane_Feedlot_Equations.VEERG_3_1_1_1__1_TotalAnnualMethaneFromEntericFermentation(E55,E35,E60)</f>
        <v>1.1887120000000002</v>
      </c>
      <c r="F65" s="50" cm="1">
        <f t="array" ref="F65">EntericMethane_Feedlot_Equations.VEERG_3_1_1_1__1_TotalAnnualMethaneFromEntericFermentation(F55,F35,F60)</f>
        <v>1.85355</v>
      </c>
      <c r="G65" s="2" t="str">
        <f>$E$46</f>
        <v>t CH4</v>
      </c>
      <c r="M65" s="50" cm="1">
        <f t="array" ref="M65">EntericMethane_Feedlot_Equations.VEERG_3_1_1_1__1_TotalAnnualMethaneFromEntericFermentation(D55,M35,D60)</f>
        <v>32.377968000000003</v>
      </c>
      <c r="N65" s="50" cm="1">
        <f t="array" ref="N65">EntericMethane_Feedlot_Equations.VEERG_3_1_1_1__1_TotalAnnualMethaneFromEntericFermentation(E55,N35,E60)</f>
        <v>1.1887120000000002</v>
      </c>
      <c r="O65" s="50" cm="1">
        <f t="array" ref="O65">EntericMethane_Feedlot_Equations.VEERG_3_1_1_1__1_TotalAnnualMethaneFromEntericFermentation(F55,O35,F60)</f>
        <v>1.85355</v>
      </c>
      <c r="P65" s="2" t="str">
        <f>$E$46</f>
        <v>t CH4</v>
      </c>
    </row>
    <row r="66" spans="4:17" ht="20.100000000000001" customHeight="1" x14ac:dyDescent="0.25"/>
    <row r="67" spans="4:17" ht="20.100000000000001" customHeight="1" x14ac:dyDescent="0.25">
      <c r="D67" s="89" t="s">
        <v>181</v>
      </c>
      <c r="E67" s="90">
        <f>SUM(D65:F65)</f>
        <v>35.420230000000004</v>
      </c>
      <c r="F67" s="91" t="str">
        <f>$E$46</f>
        <v>t CH4</v>
      </c>
      <c r="M67" s="89" t="s">
        <v>182</v>
      </c>
      <c r="N67" s="90">
        <f>SUM(M65:O65)</f>
        <v>35.420230000000004</v>
      </c>
      <c r="O67" s="91" t="str">
        <f>$E$46</f>
        <v>t CH4</v>
      </c>
    </row>
    <row r="68" spans="4:17" ht="20.100000000000001" customHeight="1" x14ac:dyDescent="0.25"/>
    <row r="69" spans="4:17" ht="20.100000000000001" customHeight="1" x14ac:dyDescent="0.25">
      <c r="D69" s="55" t="str" cm="1">
        <f t="array" ref="D69:E70">Common_Equations.Common_ConvertCH4ToCO2e_Arguments()</f>
        <v>ECH4</v>
      </c>
      <c r="E69" s="56" t="str">
        <v>Methane emissions (t CH4)</v>
      </c>
      <c r="F69" s="92"/>
      <c r="G69" s="50">
        <f>E67</f>
        <v>35.420230000000004</v>
      </c>
      <c r="H69" s="2" t="str">
        <f>$E$46</f>
        <v>t CH4</v>
      </c>
      <c r="M69" s="55" t="str" cm="1">
        <f t="array" ref="M69:N70">Common_Equations.Common_ConvertCH4ToCO2e_Arguments()</f>
        <v>ECH4</v>
      </c>
      <c r="N69" s="56" t="str">
        <v>Methane emissions (t CH4)</v>
      </c>
      <c r="O69" s="92"/>
      <c r="P69" s="50">
        <f>N67</f>
        <v>35.420230000000004</v>
      </c>
      <c r="Q69" s="2" t="str">
        <f>$E$46</f>
        <v>t CH4</v>
      </c>
    </row>
    <row r="70" spans="4:17" ht="20.100000000000001" customHeight="1" x14ac:dyDescent="0.25">
      <c r="D70" s="55" t="str">
        <v>GWPCH4</v>
      </c>
      <c r="E70" s="56" t="str">
        <v>Global warming potential for methane (t CO2-e / t CH4)</v>
      </c>
      <c r="F70" s="92"/>
      <c r="G70" s="50">
        <f>Common_InputFunctions.Utility_LookupValueInTableNumber("CH4",Table_GWPData[Gas],Table_GWPData[CO2-e factor])</f>
        <v>28</v>
      </c>
      <c r="M70" s="55" t="str">
        <v>GWPCH4</v>
      </c>
      <c r="N70" s="56" t="str">
        <v>Global warming potential for methane (t CO2-e / t CH4)</v>
      </c>
      <c r="O70" s="92"/>
      <c r="P70" s="50">
        <f>Common_InputFunctions.Utility_LookupValueInTableNumber("CH4",Table_GWPData[Gas],Table_GWPData[CO2-e factor])</f>
        <v>28</v>
      </c>
    </row>
    <row r="71" spans="4:17" ht="20.100000000000001" customHeight="1" x14ac:dyDescent="0.25"/>
    <row r="72" spans="4:17" ht="20.100000000000001" customHeight="1" x14ac:dyDescent="0.25">
      <c r="D72" s="45" t="s">
        <v>115</v>
      </c>
      <c r="E72" s="45" cm="1">
        <f t="array" ref="E72">Common_Equations.Common_ConvertCH4ToCO2e(G69,G70)</f>
        <v>991.7664400000001</v>
      </c>
      <c r="F72" s="93" t="str" cm="1">
        <f t="array" ref="F72">Common_Equations.Common_ConvertN2OToCO2e_Unit()</f>
        <v>t CO2e</v>
      </c>
      <c r="M72" s="45" t="s">
        <v>116</v>
      </c>
      <c r="N72" s="45" cm="1">
        <f t="array" ref="N72">Common_Equations.Common_ConvertCH4ToCO2e(P69,P70)</f>
        <v>991.7664400000001</v>
      </c>
      <c r="O72" s="93" t="str" cm="1">
        <f t="array" ref="O72">Common_Equations.Common_ConvertN2OToCO2e_Unit()</f>
        <v>t CO2e</v>
      </c>
    </row>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33:G133 E138:G138 D55:F55 D60:F60 N138:P13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workbookViewId="0">
      <selection activeCell="A12" sqref="A1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98</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A6" s="16"/>
      <c r="D6" s="5" t="str" cm="1">
        <f t="array" ref="D6">SourceData_Feedlot.SourceData_Feedlot_VSL_Source()</f>
        <v>VEERG 2026: 4.1.2.3 CONSTANTS</v>
      </c>
      <c r="M6" s="1"/>
    </row>
    <row r="7" spans="1:21" ht="20.100000000000001" customHeight="1" x14ac:dyDescent="0.25">
      <c r="A7" s="20" t="s">
        <v>3</v>
      </c>
      <c r="D7" s="51" t="str" cm="1">
        <f t="array" ref="D7">SourceData_Feedlot.SourceData_Feedlot_VSL_Variable()</f>
        <v>VSL</v>
      </c>
      <c r="E7" s="1" cm="1">
        <f t="array" ref="E7">SourceData_Feedlot.SourceData_Feedlot_VSL_Data()</f>
        <v>0.5</v>
      </c>
      <c r="F7" s="52" t="str" cm="1">
        <f t="array" ref="F7">SourceData_Feedlot.SourceData_Feedlot_VSL_Unit()</f>
        <v>Fraction</v>
      </c>
      <c r="M7" s="1"/>
    </row>
    <row r="8" spans="1:21" ht="20.100000000000001" customHeight="1" x14ac:dyDescent="0.25">
      <c r="A8" s="17" t="str">
        <f>HYPERLINK("#'Input - Site'!A1", "Site")</f>
        <v>Site</v>
      </c>
      <c r="M8" s="1"/>
    </row>
    <row r="9" spans="1:21" ht="20.100000000000001" customHeight="1" x14ac:dyDescent="0.25">
      <c r="A9" s="17" t="str">
        <f>HYPERLINK("#'Input - Feedlot'!A1", "Feedlot")</f>
        <v>Feedlot</v>
      </c>
      <c r="M9" s="1"/>
    </row>
    <row r="10" spans="1:21" ht="20.100000000000001" customHeight="1" x14ac:dyDescent="0.25">
      <c r="A10" s="17"/>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A11" s="19" t="s">
        <v>58</v>
      </c>
      <c r="D11" s="5" t="str" cm="1">
        <f t="array" ref="D11">SourceData_Feedlot.SourceData_Feedlot_MMSm1T3_Source()</f>
        <v>VEERG 2026: 4.1.2.3 CONSTANTS</v>
      </c>
      <c r="M11" s="1"/>
    </row>
    <row r="12" spans="1:21" ht="20.100000000000001" customHeight="1" x14ac:dyDescent="0.25">
      <c r="A12" s="17" t="str">
        <f>HYPERLINK("#'3.1.1.1-2 Enteric Methane'!A1", "3.1.1.1-2 Enteric Methane")</f>
        <v>3.1.1.1-2 Enteric Methane</v>
      </c>
      <c r="D12" s="51" t="str" cm="1">
        <f t="array" ref="D12">SourceData_Feedlot.SourceData_Feedlot_MMSm1T3_Variable()</f>
        <v>MMSm1T3</v>
      </c>
      <c r="E12" s="1" cm="1">
        <f t="array" ref="E12">SourceData_Feedlot.SourceData_Feedlot_MMSm1T3_Data()</f>
        <v>0.02</v>
      </c>
      <c r="F12" s="52" t="str" cm="1">
        <f t="array" ref="F12">SourceData_Feedlot.SourceData_Feedlot_MMSm1T3_Unit()</f>
        <v>Fraction</v>
      </c>
      <c r="M12" s="1"/>
    </row>
    <row r="13" spans="1:21" ht="20.100000000000001" customHeight="1" x14ac:dyDescent="0.25">
      <c r="M13" s="1"/>
    </row>
    <row r="14" spans="1:21" ht="20.100000000000001" customHeight="1" x14ac:dyDescent="0.25">
      <c r="A14" s="18" t="s">
        <v>4</v>
      </c>
      <c r="M14" s="1"/>
    </row>
    <row r="15" spans="1:21" ht="20.100000000000001" customHeight="1" x14ac:dyDescent="0.25">
      <c r="A15" s="64" t="str">
        <f>HYPERLINK("#'Constants - Feedlot'!A1", "Constants - Feedlot")</f>
        <v>Constants - Feedlot</v>
      </c>
      <c r="D15" s="6" t="str" cm="1">
        <f t="array" ref="D15">SourceData_Feedlot.SourceData_Feedlot_AshContent_Title()</f>
        <v>Ash content of manure.</v>
      </c>
      <c r="M15" s="1"/>
    </row>
    <row r="16" spans="1:21" ht="20.100000000000001" customHeight="1" x14ac:dyDescent="0.25">
      <c r="A16" s="17" t="str">
        <f>HYPERLINK("#'Constants - Livestock'!A1", "Constants - Livestock")</f>
        <v>Constants - Livestock</v>
      </c>
      <c r="D16" s="5" t="str" cm="1">
        <f t="array" ref="D16">SourceData_Feedlot.SourceData_Feedlot_AshContent_Source()</f>
        <v>VEERG 2026: 4.1.2.3 CONSTANTS</v>
      </c>
      <c r="M16" s="1"/>
    </row>
    <row r="17" spans="1:13" ht="20.100000000000001" customHeight="1" x14ac:dyDescent="0.25">
      <c r="A17" s="17" t="str">
        <f>HYPERLINK("#'Constants - Common'!A1", "Constants - Common")</f>
        <v>Constants - Common</v>
      </c>
      <c r="D17" s="51" t="str" cm="1">
        <f t="array" ref="D17">SourceData_Feedlot.SourceData_Feedlot_AshContent_Variable()</f>
        <v>A</v>
      </c>
      <c r="E17" s="1" cm="1">
        <f t="array" ref="E17">SourceData_Feedlot.SourceData_Feedlot_AshContent_Data()</f>
        <v>0.16</v>
      </c>
      <c r="F17" s="52" t="str" cm="1">
        <f t="array" ref="F17">SourceData_Feedlot.SourceData_Feedlot_AshContent_Unit()</f>
        <v>Fraction</v>
      </c>
      <c r="M17" s="1"/>
    </row>
    <row r="18" spans="1:13" ht="20.100000000000001" customHeight="1" x14ac:dyDescent="0.25">
      <c r="A18" s="17" t="str">
        <f>HYPERLINK("#'Acknowledgements'!A1", "Acknowledgements")</f>
        <v>Acknowledgements</v>
      </c>
      <c r="M18" s="1"/>
    </row>
    <row r="19" spans="1:13" ht="20.100000000000001" customHeight="1" x14ac:dyDescent="0.25">
      <c r="M19" s="1"/>
    </row>
    <row r="20" spans="1:13" ht="20.100000000000001" customHeight="1" x14ac:dyDescent="0.25">
      <c r="D20" s="6" t="str" cm="1">
        <f t="array" ref="D20">SourceData_Feedlot.SourceData_Feedlot_MethaneEmissionsPotential_Title()</f>
        <v>Methane emissions potential.</v>
      </c>
      <c r="M20" s="1"/>
    </row>
    <row r="21" spans="1:13" ht="20.100000000000001" customHeight="1" x14ac:dyDescent="0.25">
      <c r="A21" s="17"/>
      <c r="D21" s="5" t="str" cm="1">
        <f t="array" ref="D21">SourceData_Feedlot.SourceData_Feedlot_MethaneEmissionsPotential_Source()</f>
        <v>VEERG 2026: 4.1.2.3 CONSTANTS</v>
      </c>
      <c r="M21" s="1"/>
    </row>
    <row r="22" spans="1:13" ht="20.100000000000001" customHeight="1" x14ac:dyDescent="0.25">
      <c r="D22" s="51" t="str" cm="1">
        <f t="array" ref="D22">SourceData_Feedlot.SourceData_Feedlot_MethaneEmissionsPotential_Variable()</f>
        <v>B0</v>
      </c>
      <c r="E22" s="1" cm="1">
        <f t="array" ref="E22">SourceData_Feedlot.SourceData_Feedlot_MethaneEmissionsPotential_Data()</f>
        <v>0.19</v>
      </c>
      <c r="F22" s="52"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M24" s="1"/>
    </row>
    <row r="25" spans="1:13" ht="20.100000000000001" customHeight="1" x14ac:dyDescent="0.25">
      <c r="A25" s="17"/>
      <c r="D25" s="6" t="s">
        <v>84</v>
      </c>
      <c r="G25" s="6" t="s">
        <v>123</v>
      </c>
      <c r="J25" s="6" t="s">
        <v>125</v>
      </c>
      <c r="M25" s="1"/>
    </row>
    <row r="26" spans="1:13" ht="20.100000000000001" customHeight="1" x14ac:dyDescent="0.25">
      <c r="M26" s="1"/>
    </row>
    <row r="27" spans="1:13" ht="20.100000000000001" customHeight="1" x14ac:dyDescent="0.25">
      <c r="D27" s="84" t="s">
        <v>50</v>
      </c>
      <c r="E27" s="37" t="s">
        <v>63</v>
      </c>
      <c r="G27" s="37" t="s">
        <v>124</v>
      </c>
      <c r="J27" s="37" t="s">
        <v>122</v>
      </c>
      <c r="M27" s="1"/>
    </row>
    <row r="28" spans="1:13" ht="20.100000000000001" customHeight="1" x14ac:dyDescent="0.25">
      <c r="D28" s="37" t="str">
        <f>'Constants - Livestock'!$E$16</f>
        <v>Drylot (feed pad)</v>
      </c>
      <c r="E28" s="37" t="str">
        <f>'Constants - Livestock'!$F$16</f>
        <v>Drylot (feed pad) (m=5)</v>
      </c>
      <c r="G28" s="37" t="str">
        <f>'Constants - Common'!$F$188</f>
        <v>Crop</v>
      </c>
      <c r="J28" s="37" t="s">
        <v>126</v>
      </c>
      <c r="M28" s="1"/>
    </row>
    <row r="29" spans="1:13" ht="20.100000000000001" customHeight="1" x14ac:dyDescent="0.25">
      <c r="D29" s="37" t="str">
        <f>'Constants - Livestock'!$E$15</f>
        <v>Solid storage</v>
      </c>
      <c r="E29" s="37" t="str">
        <f>'Constants - Livestock'!$F$15</f>
        <v>Solid storage (m=4)</v>
      </c>
      <c r="G29" s="1" t="str">
        <f>'Constants - Common'!$F$187</f>
        <v>Pasture</v>
      </c>
      <c r="J29" s="37" t="s">
        <v>127</v>
      </c>
      <c r="M29" s="1"/>
    </row>
    <row r="30" spans="1:13" ht="20.100000000000001" customHeight="1" x14ac:dyDescent="0.25">
      <c r="D30" s="37" t="str">
        <f>'Constants - Livestock'!$E$17</f>
        <v>Composting (passive windrow)</v>
      </c>
      <c r="E30" s="37" t="str">
        <f>'Constants - Livestock'!$F$17</f>
        <v>Composting (passive windrow) (m=6)</v>
      </c>
      <c r="J30" s="1" t="s">
        <v>128</v>
      </c>
      <c r="M30" s="1"/>
    </row>
    <row r="31" spans="1:13" ht="20.100000000000001" customHeight="1" x14ac:dyDescent="0.25">
      <c r="D31" s="37" t="str">
        <f>'Constants - Livestock'!$E$26</f>
        <v>Direct application</v>
      </c>
      <c r="E31" s="37" t="str">
        <f>'Constants - Livestock'!$F$26</f>
        <v>Direct application (m=13)</v>
      </c>
      <c r="J31" s="1" t="s">
        <v>129</v>
      </c>
      <c r="M31" s="1"/>
    </row>
    <row r="32" spans="1:13" ht="20.100000000000001" customHeight="1" x14ac:dyDescent="0.25">
      <c r="D32" s="1" t="str">
        <f>'Constants - Livestock'!$E$10</f>
        <v>Anaerobic lagoon</v>
      </c>
      <c r="E32" s="1" t="str">
        <f>'Constants - Livestock'!$F$10</f>
        <v>Anaerobic lagoon (m=1)</v>
      </c>
      <c r="J32" s="1" t="s">
        <v>130</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7" t="s">
        <v>93</v>
      </c>
      <c r="E38" s="37" t="s">
        <v>106</v>
      </c>
      <c r="M38" s="1"/>
    </row>
    <row r="39" spans="4:13" ht="20.100000000000001" customHeight="1" x14ac:dyDescent="0.25">
      <c r="D39" s="37" t="str" cm="1">
        <f t="array" ref="D39">Common_InputFunctions.Utility_DisplayArrayInTable(SourceData_Feedlot.SourceData_Feedlot_DurationOfStay_Data(), Table_SourceData_Feedlot_LengthOfStay[[#Headers],[Feedlot type]], 0)</f>
        <v>Domestic</v>
      </c>
      <c r="E39" s="37" t="str" cm="1">
        <f t="array" ref="E39">Common_InputFunctions.Utility_DisplayArrayInTable(SourceData_Feedlot.SourceData_Feedlot_DurationOfStay_Data(), Table_SourceData_Feedlot_LengthOfStay[[#Headers],[Feedlot type]], 0)</f>
        <v>1-80 days</v>
      </c>
      <c r="M39" s="24"/>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7" t="str" cm="1">
        <f t="array" ref="E40">Common_InputFunctions.Utility_DisplayArrayInTable(SourceData_Feedlot.SourceData_Feedlot_DurationOfStay_Data(), Table_SourceData_Feedlot_LengthOfStay[[#Headers],[Feedlot type]], 0)</f>
        <v>81-200 days</v>
      </c>
      <c r="M40" s="24"/>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7" t="str" cm="1">
        <f t="array" ref="E41">Common_InputFunctions.Utility_DisplayArrayInTable(SourceData_Feedlot.SourceData_Feedlot_DurationOfStay_Data(), Table_SourceData_Feedlot_LengthOfStay[[#Headers],[Feedlot type]], 0)</f>
        <v>201+ days</v>
      </c>
      <c r="M41" s="24"/>
    </row>
    <row r="42" spans="4:13" ht="20.100000000000001" customHeight="1" x14ac:dyDescent="0.25">
      <c r="M42" s="24"/>
    </row>
    <row r="43" spans="4:13" ht="20.100000000000001" customHeight="1" x14ac:dyDescent="0.25">
      <c r="M43" s="24"/>
    </row>
    <row r="44" spans="4:13" ht="20.100000000000001" customHeight="1" x14ac:dyDescent="0.25">
      <c r="D44" s="6" t="str" cm="1">
        <f t="array" ref="D44">SourceData_Feedlot.SourceData_Feedlot_AnimalCharacteristics_Title()</f>
        <v>Beef feedlot cattle - Animal characteristics</v>
      </c>
      <c r="M44" s="24"/>
    </row>
    <row r="45" spans="4:13" ht="20.100000000000001" customHeight="1" x14ac:dyDescent="0.25">
      <c r="D45" s="5" t="str" cm="1">
        <f t="array" ref="D45">SourceData_Feedlot.SourceData_Feedlot_AnimalCharacteristics_Source()</f>
        <v>VEERG 2026: Table A.1.1.2: Beef feedlot cattle - Animal characteristics</v>
      </c>
      <c r="M45" s="24"/>
    </row>
    <row r="46" spans="4:13" ht="20.100000000000001" customHeight="1" x14ac:dyDescent="0.25">
      <c r="D46" s="53" t="str" cm="1">
        <f t="array" ref="D46:D48">SourceData_Feedlot.SourceData_Feedlot_AnimalCharacteristics_Variation()</f>
        <v>VARIATION ON SOURCE:</v>
      </c>
      <c r="M46" s="24"/>
    </row>
    <row r="47" spans="4:13" ht="20.100000000000001" customHeight="1" x14ac:dyDescent="0.25">
      <c r="D47" s="53" t="str">
        <v>Moved feedlot types to a separate column to aid lookup.</v>
      </c>
      <c r="M47" s="24"/>
    </row>
    <row r="48" spans="4:13" ht="20.100000000000001" customHeight="1" x14ac:dyDescent="0.25">
      <c r="D48" s="53" t="str">
        <v>Named 'characteristic' column - original has header 'Unit' which covers two columns)</v>
      </c>
      <c r="M48" s="24"/>
    </row>
    <row r="49" spans="4:13" ht="20.100000000000001" customHeight="1" x14ac:dyDescent="0.25">
      <c r="D49" s="37" t="s">
        <v>93</v>
      </c>
      <c r="E49" s="37" t="s">
        <v>103</v>
      </c>
      <c r="F49" s="37" t="s">
        <v>11</v>
      </c>
      <c r="G49" s="37" t="s">
        <v>104</v>
      </c>
      <c r="H49" s="37" t="s">
        <v>95</v>
      </c>
      <c r="I49" s="37" t="s">
        <v>96</v>
      </c>
      <c r="J49" s="37" t="s">
        <v>97</v>
      </c>
      <c r="M49" s="24"/>
    </row>
    <row r="50" spans="4:13" ht="20.100000000000001" customHeight="1" x14ac:dyDescent="0.25">
      <c r="D50" s="37" t="str" cm="1">
        <f t="array" ref="D50">Common_InputFunctions.Utility_DisplayArrayInTable(SourceData_Feedlot.SourceData_Feedlot_AnimalCharacteristics_Data(), Table_SourceData_Feedlot_AnimalCharacteristics[[#Headers],[Feedlot type]], 0)</f>
        <v>Domestic</v>
      </c>
      <c r="E50" s="37" t="str" cm="1">
        <f t="array" ref="E50">Common_InputFunctions.Utility_DisplayArrayInTable(SourceData_Feedlot.SourceData_Feedlot_AnimalCharacteristics_Data(), Table_SourceData_Feedlot_AnimalCharacteristics[[#Headers],[Feedlot type]], 0)</f>
        <v>Days on feed</v>
      </c>
      <c r="F50" s="37" t="str" cm="1">
        <f t="array" ref="F50">Common_InputFunctions.Utility_DisplayArrayInTable(SourceData_Feedlot.SourceData_Feedlot_AnimalCharacteristics_Data(), Table_SourceData_Feedlot_AnimalCharacteristics[[#Headers],[Feedlot type]], 0)</f>
        <v>days</v>
      </c>
      <c r="G50" s="37" cm="1">
        <f t="array" ref="G50">Common_InputFunctions.Utility_DisplayArrayInTable(SourceData_Feedlot.SourceData_Feedlot_AnimalCharacteristics_Data(), Table_SourceData_Feedlot_AnimalCharacteristics[[#Headers],[Feedlot type]], 0)</f>
        <v>70</v>
      </c>
      <c r="H50" s="37" cm="1">
        <f t="array" ref="H50">Common_InputFunctions.Utility_DisplayArrayInTable(SourceData_Feedlot.SourceData_Feedlot_AnimalCharacteristics_Data(), Table_SourceData_Feedlot_AnimalCharacteristics[[#Headers],[Feedlot type]], 0)</f>
        <v>70</v>
      </c>
      <c r="I50" s="37" cm="1">
        <f t="array" ref="I50">Common_InputFunctions.Utility_DisplayArrayInTable(SourceData_Feedlot.SourceData_Feedlot_AnimalCharacteristics_Data(), Table_SourceData_Feedlot_AnimalCharacteristics[[#Headers],[Feedlot type]], 0)</f>
        <v>70</v>
      </c>
      <c r="J50" s="37" cm="1">
        <f t="array" ref="J50">Common_InputFunctions.Utility_DisplayArrayInTable(SourceData_Feedlot.SourceData_Feedlot_AnimalCharacteristics_Data(), Table_SourceData_Feedlot_AnimalCharacteristics[[#Headers],[Feedlot type]], 0)</f>
        <v>75</v>
      </c>
      <c r="M50" s="24"/>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7" t="str" cm="1">
        <f t="array" ref="E51">Common_InputFunctions.Utility_DisplayArrayInTable(SourceData_Feedlot.SourceData_Feedlot_AnimalCharacteristics_Data(), Table_SourceData_Feedlot_AnimalCharacteristics[[#Headers],[Feedlot type]], 0)</f>
        <v>Feed intake</v>
      </c>
      <c r="F51" s="37" t="str" cm="1">
        <f t="array" ref="F51">Common_InputFunctions.Utility_DisplayArrayInTable(SourceData_Feedlot.SourceData_Feedlot_AnimalCharacteristics_Data(), Table_SourceData_Feedlot_AnimalCharacteristics[[#Headers],[Feedlot type]], 0)</f>
        <v>kg DM/day</v>
      </c>
      <c r="G51" s="37" cm="1">
        <f t="array" ref="G51">Common_InputFunctions.Utility_DisplayArrayInTable(SourceData_Feedlot.SourceData_Feedlot_AnimalCharacteristics_Data(), Table_SourceData_Feedlot_AnimalCharacteristics[[#Headers],[Feedlot type]], 0)</f>
        <v>10</v>
      </c>
      <c r="H51" s="37" cm="1">
        <f t="array" ref="H51">Common_InputFunctions.Utility_DisplayArrayInTable(SourceData_Feedlot.SourceData_Feedlot_AnimalCharacteristics_Data(), Table_SourceData_Feedlot_AnimalCharacteristics[[#Headers],[Feedlot type]], 0)</f>
        <v>10</v>
      </c>
      <c r="I51" s="37" cm="1">
        <f t="array" ref="I51">Common_InputFunctions.Utility_DisplayArrayInTable(SourceData_Feedlot.SourceData_Feedlot_AnimalCharacteristics_Data(), Table_SourceData_Feedlot_AnimalCharacteristics[[#Headers],[Feedlot type]], 0)</f>
        <v>10.4</v>
      </c>
      <c r="J51" s="37" cm="1">
        <f t="array" ref="J51">Common_InputFunctions.Utility_DisplayArrayInTable(SourceData_Feedlot.SourceData_Feedlot_AnimalCharacteristics_Data(), Table_SourceData_Feedlot_AnimalCharacteristics[[#Headers],[Feedlot type]], 0)</f>
        <v>10.4</v>
      </c>
      <c r="M51" s="24"/>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7" t="str" cm="1">
        <f t="array" ref="E52">Common_InputFunctions.Utility_DisplayArrayInTable(SourceData_Feedlot.SourceData_Feedlot_AnimalCharacteristics_Data(), Table_SourceData_Feedlot_AnimalCharacteristics[[#Headers],[Feedlot type]], 0)</f>
        <v>N retention</v>
      </c>
      <c r="F52" s="37" t="str" cm="1">
        <f t="array" ref="F52">Common_InputFunctions.Utility_DisplayArrayInTable(SourceData_Feedlot.SourceData_Feedlot_AnimalCharacteristics_Data(), Table_SourceData_Feedlot_AnimalCharacteristics[[#Headers],[Feedlot type]], 0)</f>
        <v>per cent of intake</v>
      </c>
      <c r="G52" s="37" cm="1">
        <f t="array" ref="G52">Common_InputFunctions.Utility_DisplayArrayInTable(SourceData_Feedlot.SourceData_Feedlot_AnimalCharacteristics_Data(), Table_SourceData_Feedlot_AnimalCharacteristics[[#Headers],[Feedlot type]], 0)</f>
        <v>21.1</v>
      </c>
      <c r="H52" s="37" cm="1">
        <f t="array" ref="H52">Common_InputFunctions.Utility_DisplayArrayInTable(SourceData_Feedlot.SourceData_Feedlot_AnimalCharacteristics_Data(), Table_SourceData_Feedlot_AnimalCharacteristics[[#Headers],[Feedlot type]], 0)</f>
        <v>20.399999999999999</v>
      </c>
      <c r="I52" s="37" cm="1">
        <f t="array" ref="I52">Common_InputFunctions.Utility_DisplayArrayInTable(SourceData_Feedlot.SourceData_Feedlot_AnimalCharacteristics_Data(), Table_SourceData_Feedlot_AnimalCharacteristics[[#Headers],[Feedlot type]], 0)</f>
        <v>20.399999999999999</v>
      </c>
      <c r="J52" s="37" cm="1">
        <f t="array" ref="J52">Common_InputFunctions.Utility_DisplayArrayInTable(SourceData_Feedlot.SourceData_Feedlot_AnimalCharacteristics_Data(), Table_SourceData_Feedlot_AnimalCharacteristics[[#Headers],[Feedlot type]], 0)</f>
        <v>20.399999999999999</v>
      </c>
      <c r="M52" s="24"/>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7" t="str" cm="1">
        <f t="array" ref="E53">Common_InputFunctions.Utility_DisplayArrayInTable(SourceData_Feedlot.SourceData_Feedlot_AnimalCharacteristics_Data(), Table_SourceData_Feedlot_AnimalCharacteristics[[#Headers],[Feedlot type]], 0)</f>
        <v>Days on feed</v>
      </c>
      <c r="F53" s="37" t="str" cm="1">
        <f t="array" ref="F53">Common_InputFunctions.Utility_DisplayArrayInTable(SourceData_Feedlot.SourceData_Feedlot_AnimalCharacteristics_Data(), Table_SourceData_Feedlot_AnimalCharacteristics[[#Headers],[Feedlot type]], 0)</f>
        <v>days</v>
      </c>
      <c r="G53" s="37" cm="1">
        <f t="array" ref="G53">Common_InputFunctions.Utility_DisplayArrayInTable(SourceData_Feedlot.SourceData_Feedlot_AnimalCharacteristics_Data(), Table_SourceData_Feedlot_AnimalCharacteristics[[#Headers],[Feedlot type]], 0)</f>
        <v>115</v>
      </c>
      <c r="H53" s="37" cm="1">
        <f t="array" ref="H53">Common_InputFunctions.Utility_DisplayArrayInTable(SourceData_Feedlot.SourceData_Feedlot_AnimalCharacteristics_Data(), Table_SourceData_Feedlot_AnimalCharacteristics[[#Headers],[Feedlot type]], 0)</f>
        <v>115</v>
      </c>
      <c r="I53" s="37" cm="1">
        <f t="array" ref="I53">Common_InputFunctions.Utility_DisplayArrayInTable(SourceData_Feedlot.SourceData_Feedlot_AnimalCharacteristics_Data(), Table_SourceData_Feedlot_AnimalCharacteristics[[#Headers],[Feedlot type]], 0)</f>
        <v>120</v>
      </c>
      <c r="J53" s="37" cm="1">
        <f t="array" ref="J53">Common_InputFunctions.Utility_DisplayArrayInTable(SourceData_Feedlot.SourceData_Feedlot_AnimalCharacteristics_Data(), Table_SourceData_Feedlot_AnimalCharacteristics[[#Headers],[Feedlot type]], 0)</f>
        <v>150</v>
      </c>
      <c r="M53" s="24"/>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7" t="str" cm="1">
        <f t="array" ref="E54">Common_InputFunctions.Utility_DisplayArrayInTable(SourceData_Feedlot.SourceData_Feedlot_AnimalCharacteristics_Data(), Table_SourceData_Feedlot_AnimalCharacteristics[[#Headers],[Feedlot type]], 0)</f>
        <v>Feed intake</v>
      </c>
      <c r="F54" s="37" t="str" cm="1">
        <f t="array" ref="F54">Common_InputFunctions.Utility_DisplayArrayInTable(SourceData_Feedlot.SourceData_Feedlot_AnimalCharacteristics_Data(), Table_SourceData_Feedlot_AnimalCharacteristics[[#Headers],[Feedlot type]], 0)</f>
        <v>kg DM/day</v>
      </c>
      <c r="G54" s="37" cm="1">
        <f t="array" ref="G54">Common_InputFunctions.Utility_DisplayArrayInTable(SourceData_Feedlot.SourceData_Feedlot_AnimalCharacteristics_Data(), Table_SourceData_Feedlot_AnimalCharacteristics[[#Headers],[Feedlot type]], 0)</f>
        <v>11.2</v>
      </c>
      <c r="H54" s="37" cm="1">
        <f t="array" ref="H54">Common_InputFunctions.Utility_DisplayArrayInTable(SourceData_Feedlot.SourceData_Feedlot_AnimalCharacteristics_Data(), Table_SourceData_Feedlot_AnimalCharacteristics[[#Headers],[Feedlot type]], 0)</f>
        <v>10.8</v>
      </c>
      <c r="I54" s="37" cm="1">
        <f t="array" ref="I54">Common_InputFunctions.Utility_DisplayArrayInTable(SourceData_Feedlot.SourceData_Feedlot_AnimalCharacteristics_Data(), Table_SourceData_Feedlot_AnimalCharacteristics[[#Headers],[Feedlot type]], 0)</f>
        <v>10.8</v>
      </c>
      <c r="J54" s="37" cm="1">
        <f t="array" ref="J54">Common_InputFunctions.Utility_DisplayArrayInTable(SourceData_Feedlot.SourceData_Feedlot_AnimalCharacteristics_Data(), Table_SourceData_Feedlot_AnimalCharacteristics[[#Headers],[Feedlot type]], 0)</f>
        <v>10.8</v>
      </c>
      <c r="M54" s="24"/>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7" t="str" cm="1">
        <f t="array" ref="E55">Common_InputFunctions.Utility_DisplayArrayInTable(SourceData_Feedlot.SourceData_Feedlot_AnimalCharacteristics_Data(), Table_SourceData_Feedlot_AnimalCharacteristics[[#Headers],[Feedlot type]], 0)</f>
        <v>N retention</v>
      </c>
      <c r="F55" s="37" t="str" cm="1">
        <f t="array" ref="F55">Common_InputFunctions.Utility_DisplayArrayInTable(SourceData_Feedlot.SourceData_Feedlot_AnimalCharacteristics_Data(), Table_SourceData_Feedlot_AnimalCharacteristics[[#Headers],[Feedlot type]], 0)</f>
        <v>per cent of intake</v>
      </c>
      <c r="G55" s="37" cm="1">
        <f t="array" ref="G55">Common_InputFunctions.Utility_DisplayArrayInTable(SourceData_Feedlot.SourceData_Feedlot_AnimalCharacteristics_Data(), Table_SourceData_Feedlot_AnimalCharacteristics[[#Headers],[Feedlot type]], 0)</f>
        <v>12.5</v>
      </c>
      <c r="H55" s="37" cm="1">
        <f t="array" ref="H55">Common_InputFunctions.Utility_DisplayArrayInTable(SourceData_Feedlot.SourceData_Feedlot_AnimalCharacteristics_Data(), Table_SourceData_Feedlot_AnimalCharacteristics[[#Headers],[Feedlot type]], 0)</f>
        <v>12.7</v>
      </c>
      <c r="I55" s="37" cm="1">
        <f t="array" ref="I55">Common_InputFunctions.Utility_DisplayArrayInTable(SourceData_Feedlot.SourceData_Feedlot_AnimalCharacteristics_Data(), Table_SourceData_Feedlot_AnimalCharacteristics[[#Headers],[Feedlot type]], 0)</f>
        <v>12.7</v>
      </c>
      <c r="J55" s="37" cm="1">
        <f t="array" ref="J55">Common_InputFunctions.Utility_DisplayArrayInTable(SourceData_Feedlot.SourceData_Feedlot_AnimalCharacteristics_Data(), Table_SourceData_Feedlot_AnimalCharacteristics[[#Headers],[Feedlot type]], 0)</f>
        <v>12.7</v>
      </c>
      <c r="M55" s="24"/>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7" t="str" cm="1">
        <f t="array" ref="E56">Common_InputFunctions.Utility_DisplayArrayInTable(SourceData_Feedlot.SourceData_Feedlot_AnimalCharacteristics_Data(), Table_SourceData_Feedlot_AnimalCharacteristics[[#Headers],[Feedlot type]], 0)</f>
        <v>Days on feed</v>
      </c>
      <c r="F56" s="37" t="str" cm="1">
        <f t="array" ref="F56">Common_InputFunctions.Utility_DisplayArrayInTable(SourceData_Feedlot.SourceData_Feedlot_AnimalCharacteristics_Data(), Table_SourceData_Feedlot_AnimalCharacteristics[[#Headers],[Feedlot type]], 0)</f>
        <v>days</v>
      </c>
      <c r="G56" s="37" cm="1">
        <f t="array" ref="G56">Common_InputFunctions.Utility_DisplayArrayInTable(SourceData_Feedlot.SourceData_Feedlot_AnimalCharacteristics_Data(), Table_SourceData_Feedlot_AnimalCharacteristics[[#Headers],[Feedlot type]], 0)</f>
        <v>250</v>
      </c>
      <c r="H56" s="37" cm="1">
        <f t="array" ref="H56">Common_InputFunctions.Utility_DisplayArrayInTable(SourceData_Feedlot.SourceData_Feedlot_AnimalCharacteristics_Data(), Table_SourceData_Feedlot_AnimalCharacteristics[[#Headers],[Feedlot type]], 0)</f>
        <v>250</v>
      </c>
      <c r="I56" s="37" cm="1">
        <f t="array" ref="I56">Common_InputFunctions.Utility_DisplayArrayInTable(SourceData_Feedlot.SourceData_Feedlot_AnimalCharacteristics_Data(), Table_SourceData_Feedlot_AnimalCharacteristics[[#Headers],[Feedlot type]], 0)</f>
        <v>250</v>
      </c>
      <c r="J56" s="37" cm="1">
        <f t="array" ref="J56">Common_InputFunctions.Utility_DisplayArrayInTable(SourceData_Feedlot.SourceData_Feedlot_AnimalCharacteristics_Data(), Table_SourceData_Feedlot_AnimalCharacteristics[[#Headers],[Feedlot type]], 0)</f>
        <v>250</v>
      </c>
      <c r="M56" s="24"/>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7" t="str" cm="1">
        <f t="array" ref="E57">Common_InputFunctions.Utility_DisplayArrayInTable(SourceData_Feedlot.SourceData_Feedlot_AnimalCharacteristics_Data(), Table_SourceData_Feedlot_AnimalCharacteristics[[#Headers],[Feedlot type]], 0)</f>
        <v>Feed intake</v>
      </c>
      <c r="F57" s="37" t="str" cm="1">
        <f t="array" ref="F57">Common_InputFunctions.Utility_DisplayArrayInTable(SourceData_Feedlot.SourceData_Feedlot_AnimalCharacteristics_Data(), Table_SourceData_Feedlot_AnimalCharacteristics[[#Headers],[Feedlot type]], 0)</f>
        <v>kg DM/day</v>
      </c>
      <c r="G57" s="37" cm="1">
        <f t="array" ref="G57">Common_InputFunctions.Utility_DisplayArrayInTable(SourceData_Feedlot.SourceData_Feedlot_AnimalCharacteristics_Data(), Table_SourceData_Feedlot_AnimalCharacteristics[[#Headers],[Feedlot type]], 0)</f>
        <v>9</v>
      </c>
      <c r="H57" s="37" cm="1">
        <f t="array" ref="H57">Common_InputFunctions.Utility_DisplayArrayInTable(SourceData_Feedlot.SourceData_Feedlot_AnimalCharacteristics_Data(), Table_SourceData_Feedlot_AnimalCharacteristics[[#Headers],[Feedlot type]], 0)</f>
        <v>8.5</v>
      </c>
      <c r="I57" s="37" cm="1">
        <f t="array" ref="I57">Common_InputFunctions.Utility_DisplayArrayInTable(SourceData_Feedlot.SourceData_Feedlot_AnimalCharacteristics_Data(), Table_SourceData_Feedlot_AnimalCharacteristics[[#Headers],[Feedlot type]], 0)</f>
        <v>8.1999999999999993</v>
      </c>
      <c r="J57" s="37" cm="1">
        <f t="array" ref="J57">Common_InputFunctions.Utility_DisplayArrayInTable(SourceData_Feedlot.SourceData_Feedlot_AnimalCharacteristics_Data(), Table_SourceData_Feedlot_AnimalCharacteristics[[#Headers],[Feedlot type]], 0)</f>
        <v>8.1999999999999993</v>
      </c>
      <c r="M57" s="24"/>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7" t="str" cm="1">
        <f t="array" ref="E58">Common_InputFunctions.Utility_DisplayArrayInTable(SourceData_Feedlot.SourceData_Feedlot_AnimalCharacteristics_Data(), Table_SourceData_Feedlot_AnimalCharacteristics[[#Headers],[Feedlot type]], 0)</f>
        <v>N retention</v>
      </c>
      <c r="F58" s="37" t="str" cm="1">
        <f t="array" ref="F58">Common_InputFunctions.Utility_DisplayArrayInTable(SourceData_Feedlot.SourceData_Feedlot_AnimalCharacteristics_Data(), Table_SourceData_Feedlot_AnimalCharacteristics[[#Headers],[Feedlot type]], 0)</f>
        <v>per cent of intake</v>
      </c>
      <c r="G58" s="37" cm="1">
        <f t="array" ref="G58">Common_InputFunctions.Utility_DisplayArrayInTable(SourceData_Feedlot.SourceData_Feedlot_AnimalCharacteristics_Data(), Table_SourceData_Feedlot_AnimalCharacteristics[[#Headers],[Feedlot type]], 0)</f>
        <v>6.6</v>
      </c>
      <c r="H58" s="37" cm="1">
        <f t="array" ref="H58">Common_InputFunctions.Utility_DisplayArrayInTable(SourceData_Feedlot.SourceData_Feedlot_AnimalCharacteristics_Data(), Table_SourceData_Feedlot_AnimalCharacteristics[[#Headers],[Feedlot type]], 0)</f>
        <v>7</v>
      </c>
      <c r="I58" s="37" cm="1">
        <f t="array" ref="I58">Common_InputFunctions.Utility_DisplayArrayInTable(SourceData_Feedlot.SourceData_Feedlot_AnimalCharacteristics_Data(), Table_SourceData_Feedlot_AnimalCharacteristics[[#Headers],[Feedlot type]], 0)</f>
        <v>7</v>
      </c>
      <c r="J58" s="37" cm="1">
        <f t="array" ref="J58">Common_InputFunctions.Utility_DisplayArrayInTable(SourceData_Feedlot.SourceData_Feedlot_AnimalCharacteristics_Data(), Table_SourceData_Feedlot_AnimalCharacteristics[[#Headers],[Feedlot type]], 0)</f>
        <v>7</v>
      </c>
      <c r="M58" s="24"/>
    </row>
    <row r="59" spans="4:13" ht="20.100000000000001" customHeight="1" x14ac:dyDescent="0.25">
      <c r="M59" s="24"/>
    </row>
    <row r="60" spans="4:13" ht="20.100000000000001" customHeight="1" x14ac:dyDescent="0.25">
      <c r="M60" s="24"/>
    </row>
    <row r="61" spans="4:13" ht="20.100000000000001" customHeight="1" x14ac:dyDescent="0.25">
      <c r="D61" s="6" t="str" cm="1">
        <f t="array" ref="D61">SourceData_Feedlot.SourceData_Feedlot_DietProperties_Title()</f>
        <v>Beef feedlot cattle - Diet properties</v>
      </c>
      <c r="M61" s="24"/>
    </row>
    <row r="62" spans="4:13" ht="20.100000000000001" customHeight="1" x14ac:dyDescent="0.25">
      <c r="D62" s="5" t="str" cm="1">
        <f t="array" ref="D62">SourceData_Feedlot.SourceData_Feedlot_DietProperties_Source()</f>
        <v>VEERG 2026: Table A.1.1.3: Beef feedlot cattle - Diet properties</v>
      </c>
      <c r="M62" s="24"/>
    </row>
    <row r="63" spans="4:13" ht="20.100000000000001" customHeight="1" x14ac:dyDescent="0.25">
      <c r="D63" s="53" t="str" cm="1">
        <f t="array" ref="D63:D65">SourceData_Feedlot.SourceData_Feedlot_DietProperties_Variation()</f>
        <v>VARIATION ON SOURCE:</v>
      </c>
      <c r="M63" s="24"/>
    </row>
    <row r="64" spans="4:13" ht="20.100000000000001" customHeight="1" x14ac:dyDescent="0.25">
      <c r="D64" s="53" t="str">
        <v>Added 'Converted to fraction column and converted NDF and Ether extract values to fractions.</v>
      </c>
      <c r="M64" s="24"/>
    </row>
    <row r="65" spans="4:13" ht="20.100000000000001" customHeight="1" x14ac:dyDescent="0.25">
      <c r="D65" s="53" t="str">
        <v>Moved feedlot types to a separate column to aid lookup.</v>
      </c>
      <c r="M65" s="24"/>
    </row>
    <row r="66" spans="4:13" ht="20.100000000000001" customHeight="1" x14ac:dyDescent="0.25">
      <c r="D66" s="37" t="s">
        <v>93</v>
      </c>
      <c r="E66" s="37" t="s">
        <v>94</v>
      </c>
      <c r="F66" s="37" t="s">
        <v>11</v>
      </c>
      <c r="G66" s="37" t="s">
        <v>95</v>
      </c>
      <c r="H66" s="37" t="s">
        <v>96</v>
      </c>
      <c r="I66" s="37" t="s">
        <v>97</v>
      </c>
      <c r="J66" s="37" t="s">
        <v>102</v>
      </c>
      <c r="M66" s="24"/>
    </row>
    <row r="67" spans="4:13" ht="20.100000000000001" customHeight="1" x14ac:dyDescent="0.25">
      <c r="D67" s="37" t="str" cm="1">
        <f t="array" ref="D67">Common_InputFunctions.Utility_DisplayArrayInTable(SourceData_Feedlot.SourceData_Feedlot_DietProperties_Data(), Table_SourceData_Feedlot_DietProperties[[#Headers],[Feedlot type]], 0)</f>
        <v>Domestic</v>
      </c>
      <c r="E67" s="37" t="str" cm="1">
        <f t="array" ref="E67">Common_InputFunctions.Utility_DisplayArrayInTable(SourceData_Feedlot.SourceData_Feedlot_DietProperties_Data(), Table_SourceData_Feedlot_DietProperties[[#Headers],[Feedlot type]], 0)</f>
        <v>Dry matter digestibility</v>
      </c>
      <c r="F67" s="37" t="str" cm="1">
        <f t="array" ref="F67">Common_InputFunctions.Utility_DisplayArrayInTable(SourceData_Feedlot.SourceData_Feedlot_DietProperties_Data(), Table_SourceData_Feedlot_DietProperties[[#Headers],[Feedlot type]], 0)</f>
        <v>fraction</v>
      </c>
      <c r="G67" s="37" cm="1">
        <f t="array" ref="G67">Common_InputFunctions.Utility_DisplayArrayInTable(SourceData_Feedlot.SourceData_Feedlot_DietProperties_Data(), Table_SourceData_Feedlot_DietProperties[[#Headers],[Feedlot type]], 0)</f>
        <v>0.81</v>
      </c>
      <c r="H67" s="37" cm="1">
        <f t="array" ref="H67">Common_InputFunctions.Utility_DisplayArrayInTable(SourceData_Feedlot.SourceData_Feedlot_DietProperties_Data(), Table_SourceData_Feedlot_DietProperties[[#Headers],[Feedlot type]], 0)</f>
        <v>0.81</v>
      </c>
      <c r="I67" s="37" cm="1">
        <f t="array" ref="I67">Common_InputFunctions.Utility_DisplayArrayInTable(SourceData_Feedlot.SourceData_Feedlot_DietProperties_Data(), Table_SourceData_Feedlot_DietProperties[[#Headers],[Feedlot type]], 0)</f>
        <v>0.81</v>
      </c>
      <c r="J67" s="37" cm="1">
        <f t="array" ref="J67">Common_InputFunctions.Utility_DisplayArrayInTable(SourceData_Feedlot.SourceData_Feedlot_DietProperties_Data(), Table_SourceData_Feedlot_DietProperties[[#Headers],[Feedlot type]], 0)</f>
        <v>0.81</v>
      </c>
      <c r="M67" s="24"/>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7" t="str" cm="1">
        <f t="array" ref="E68">Common_InputFunctions.Utility_DisplayArrayInTable(SourceData_Feedlot.SourceData_Feedlot_DietProperties_Data(), Table_SourceData_Feedlot_DietProperties[[#Headers],[Feedlot type]], 0)</f>
        <v>Crude protein</v>
      </c>
      <c r="F68" s="37" t="str" cm="1">
        <f t="array" ref="F68">Common_InputFunctions.Utility_DisplayArrayInTable(SourceData_Feedlot.SourceData_Feedlot_DietProperties_Data(), Table_SourceData_Feedlot_DietProperties[[#Headers],[Feedlot type]], 0)</f>
        <v>fraction</v>
      </c>
      <c r="G68" s="37" cm="1">
        <f t="array" ref="G68">Common_InputFunctions.Utility_DisplayArrayInTable(SourceData_Feedlot.SourceData_Feedlot_DietProperties_Data(), Table_SourceData_Feedlot_DietProperties[[#Headers],[Feedlot type]], 0)</f>
        <v>0.14000000000000001</v>
      </c>
      <c r="H68" s="37" cm="1">
        <f t="array" ref="H68">Common_InputFunctions.Utility_DisplayArrayInTable(SourceData_Feedlot.SourceData_Feedlot_DietProperties_Data(), Table_SourceData_Feedlot_DietProperties[[#Headers],[Feedlot type]], 0)</f>
        <v>0.14000000000000001</v>
      </c>
      <c r="I68" s="37" cm="1">
        <f t="array" ref="I68">Common_InputFunctions.Utility_DisplayArrayInTable(SourceData_Feedlot.SourceData_Feedlot_DietProperties_Data(), Table_SourceData_Feedlot_DietProperties[[#Headers],[Feedlot type]], 0)</f>
        <v>0.14000000000000001</v>
      </c>
      <c r="J68" s="37" cm="1">
        <f t="array" ref="J68">Common_InputFunctions.Utility_DisplayArrayInTable(SourceData_Feedlot.SourceData_Feedlot_DietProperties_Data(), Table_SourceData_Feedlot_DietProperties[[#Headers],[Feedlot type]], 0)</f>
        <v>0.14000000000000001</v>
      </c>
      <c r="M68" s="24"/>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7" t="str" cm="1">
        <f t="array" ref="E69">Common_InputFunctions.Utility_DisplayArrayInTable(SourceData_Feedlot.SourceData_Feedlot_DietProperties_Data(), Table_SourceData_Feedlot_DietProperties[[#Headers],[Feedlot type]], 0)</f>
        <v>NDF</v>
      </c>
      <c r="F69" s="37" t="str" cm="1">
        <f t="array" ref="F69">Common_InputFunctions.Utility_DisplayArrayInTable(SourceData_Feedlot.SourceData_Feedlot_DietProperties_Data(), Table_SourceData_Feedlot_DietProperties[[#Headers],[Feedlot type]], 0)</f>
        <v>per cent</v>
      </c>
      <c r="G69" s="37" cm="1">
        <f t="array" ref="G69">Common_InputFunctions.Utility_DisplayArrayInTable(SourceData_Feedlot.SourceData_Feedlot_DietProperties_Data(), Table_SourceData_Feedlot_DietProperties[[#Headers],[Feedlot type]], 0)</f>
        <v>23</v>
      </c>
      <c r="H69" s="37" cm="1">
        <f t="array" ref="H69">Common_InputFunctions.Utility_DisplayArrayInTable(SourceData_Feedlot.SourceData_Feedlot_DietProperties_Data(), Table_SourceData_Feedlot_DietProperties[[#Headers],[Feedlot type]], 0)</f>
        <v>22</v>
      </c>
      <c r="I69" s="37" cm="1">
        <f t="array" ref="I69">Common_InputFunctions.Utility_DisplayArrayInTable(SourceData_Feedlot.SourceData_Feedlot_DietProperties_Data(), Table_SourceData_Feedlot_DietProperties[[#Headers],[Feedlot type]], 0)</f>
        <v>22</v>
      </c>
      <c r="J69" s="37" cm="1">
        <f t="array" ref="J69">Common_InputFunctions.Utility_DisplayArrayInTable(SourceData_Feedlot.SourceData_Feedlot_DietProperties_Data(), Table_SourceData_Feedlot_DietProperties[[#Headers],[Feedlot type]], 0)</f>
        <v>22</v>
      </c>
      <c r="M69" s="24"/>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7" t="str" cm="1">
        <f t="array" ref="E70">Common_InputFunctions.Utility_DisplayArrayInTable(SourceData_Feedlot.SourceData_Feedlot_DietProperties_Data(), Table_SourceData_Feedlot_DietProperties[[#Headers],[Feedlot type]], 0)</f>
        <v>Ether Extract</v>
      </c>
      <c r="F70" s="37" t="str" cm="1">
        <f t="array" ref="F70">Common_InputFunctions.Utility_DisplayArrayInTable(SourceData_Feedlot.SourceData_Feedlot_DietProperties_Data(), Table_SourceData_Feedlot_DietProperties[[#Headers],[Feedlot type]], 0)</f>
        <v>per cent</v>
      </c>
      <c r="G70" s="37" cm="1">
        <f t="array" ref="G70">Common_InputFunctions.Utility_DisplayArrayInTable(SourceData_Feedlot.SourceData_Feedlot_DietProperties_Data(), Table_SourceData_Feedlot_DietProperties[[#Headers],[Feedlot type]], 0)</f>
        <v>4.5</v>
      </c>
      <c r="H70" s="37" cm="1">
        <f t="array" ref="H70">Common_InputFunctions.Utility_DisplayArrayInTable(SourceData_Feedlot.SourceData_Feedlot_DietProperties_Data(), Table_SourceData_Feedlot_DietProperties[[#Headers],[Feedlot type]], 0)</f>
        <v>4.5</v>
      </c>
      <c r="I70" s="37" cm="1">
        <f t="array" ref="I70">Common_InputFunctions.Utility_DisplayArrayInTable(SourceData_Feedlot.SourceData_Feedlot_DietProperties_Data(), Table_SourceData_Feedlot_DietProperties[[#Headers],[Feedlot type]], 0)</f>
        <v>4.8</v>
      </c>
      <c r="J70" s="37" cm="1">
        <f t="array" ref="J70">Common_InputFunctions.Utility_DisplayArrayInTable(SourceData_Feedlot.SourceData_Feedlot_DietProperties_Data(), Table_SourceData_Feedlot_DietProperties[[#Headers],[Feedlot type]], 0)</f>
        <v>4.8</v>
      </c>
      <c r="M70" s="24"/>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7" t="str" cm="1">
        <f t="array" ref="E71">Common_InputFunctions.Utility_DisplayArrayInTable(SourceData_Feedlot.SourceData_Feedlot_DietProperties_Data(), Table_SourceData_Feedlot_DietProperties[[#Headers],[Feedlot type]], 0)</f>
        <v>Dry matter digestibility</v>
      </c>
      <c r="F71" s="37" t="str" cm="1">
        <f t="array" ref="F71">Common_InputFunctions.Utility_DisplayArrayInTable(SourceData_Feedlot.SourceData_Feedlot_DietProperties_Data(), Table_SourceData_Feedlot_DietProperties[[#Headers],[Feedlot type]], 0)</f>
        <v>fraction</v>
      </c>
      <c r="G71" s="37" cm="1">
        <f t="array" ref="G71">Common_InputFunctions.Utility_DisplayArrayInTable(SourceData_Feedlot.SourceData_Feedlot_DietProperties_Data(), Table_SourceData_Feedlot_DietProperties[[#Headers],[Feedlot type]], 0)</f>
        <v>0.81</v>
      </c>
      <c r="H71" s="37" cm="1">
        <f t="array" ref="H71">Common_InputFunctions.Utility_DisplayArrayInTable(SourceData_Feedlot.SourceData_Feedlot_DietProperties_Data(), Table_SourceData_Feedlot_DietProperties[[#Headers],[Feedlot type]], 0)</f>
        <v>0.81</v>
      </c>
      <c r="I71" s="37" cm="1">
        <f t="array" ref="I71">Common_InputFunctions.Utility_DisplayArrayInTable(SourceData_Feedlot.SourceData_Feedlot_DietProperties_Data(), Table_SourceData_Feedlot_DietProperties[[#Headers],[Feedlot type]], 0)</f>
        <v>0.81</v>
      </c>
      <c r="J71" s="37" cm="1">
        <f t="array" ref="J71">Common_InputFunctions.Utility_DisplayArrayInTable(SourceData_Feedlot.SourceData_Feedlot_DietProperties_Data(), Table_SourceData_Feedlot_DietProperties[[#Headers],[Feedlot type]], 0)</f>
        <v>0.81</v>
      </c>
      <c r="M71" s="24"/>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7" t="str" cm="1">
        <f t="array" ref="E72">Common_InputFunctions.Utility_DisplayArrayInTable(SourceData_Feedlot.SourceData_Feedlot_DietProperties_Data(), Table_SourceData_Feedlot_DietProperties[[#Headers],[Feedlot type]], 0)</f>
        <v>Crude protein</v>
      </c>
      <c r="F72" s="37" t="str" cm="1">
        <f t="array" ref="F72">Common_InputFunctions.Utility_DisplayArrayInTable(SourceData_Feedlot.SourceData_Feedlot_DietProperties_Data(), Table_SourceData_Feedlot_DietProperties[[#Headers],[Feedlot type]], 0)</f>
        <v>fraction</v>
      </c>
      <c r="G72" s="37" cm="1">
        <f t="array" ref="G72">Common_InputFunctions.Utility_DisplayArrayInTable(SourceData_Feedlot.SourceData_Feedlot_DietProperties_Data(), Table_SourceData_Feedlot_DietProperties[[#Headers],[Feedlot type]], 0)</f>
        <v>0.13</v>
      </c>
      <c r="H72" s="37" cm="1">
        <f t="array" ref="H72">Common_InputFunctions.Utility_DisplayArrayInTable(SourceData_Feedlot.SourceData_Feedlot_DietProperties_Data(), Table_SourceData_Feedlot_DietProperties[[#Headers],[Feedlot type]], 0)</f>
        <v>0.125</v>
      </c>
      <c r="I72" s="37" cm="1">
        <f t="array" ref="I72">Common_InputFunctions.Utility_DisplayArrayInTable(SourceData_Feedlot.SourceData_Feedlot_DietProperties_Data(), Table_SourceData_Feedlot_DietProperties[[#Headers],[Feedlot type]], 0)</f>
        <v>0.12</v>
      </c>
      <c r="J72" s="37" cm="1">
        <f t="array" ref="J72">Common_InputFunctions.Utility_DisplayArrayInTable(SourceData_Feedlot.SourceData_Feedlot_DietProperties_Data(), Table_SourceData_Feedlot_DietProperties[[#Headers],[Feedlot type]], 0)</f>
        <v>0.12</v>
      </c>
      <c r="M72" s="24"/>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7" t="str" cm="1">
        <f t="array" ref="E73">Common_InputFunctions.Utility_DisplayArrayInTable(SourceData_Feedlot.SourceData_Feedlot_DietProperties_Data(), Table_SourceData_Feedlot_DietProperties[[#Headers],[Feedlot type]], 0)</f>
        <v>NDF</v>
      </c>
      <c r="F73" s="37" t="str" cm="1">
        <f t="array" ref="F73">Common_InputFunctions.Utility_DisplayArrayInTable(SourceData_Feedlot.SourceData_Feedlot_DietProperties_Data(), Table_SourceData_Feedlot_DietProperties[[#Headers],[Feedlot type]], 0)</f>
        <v>per cent</v>
      </c>
      <c r="G73" s="37" cm="1">
        <f t="array" ref="G73">Common_InputFunctions.Utility_DisplayArrayInTable(SourceData_Feedlot.SourceData_Feedlot_DietProperties_Data(), Table_SourceData_Feedlot_DietProperties[[#Headers],[Feedlot type]], 0)</f>
        <v>24</v>
      </c>
      <c r="H73" s="37" cm="1">
        <f t="array" ref="H73">Common_InputFunctions.Utility_DisplayArrayInTable(SourceData_Feedlot.SourceData_Feedlot_DietProperties_Data(), Table_SourceData_Feedlot_DietProperties[[#Headers],[Feedlot type]], 0)</f>
        <v>22</v>
      </c>
      <c r="I73" s="37" cm="1">
        <f t="array" ref="I73">Common_InputFunctions.Utility_DisplayArrayInTable(SourceData_Feedlot.SourceData_Feedlot_DietProperties_Data(), Table_SourceData_Feedlot_DietProperties[[#Headers],[Feedlot type]], 0)</f>
        <v>22</v>
      </c>
      <c r="J73" s="37" cm="1">
        <f t="array" ref="J73">Common_InputFunctions.Utility_DisplayArrayInTable(SourceData_Feedlot.SourceData_Feedlot_DietProperties_Data(), Table_SourceData_Feedlot_DietProperties[[#Headers],[Feedlot type]], 0)</f>
        <v>22</v>
      </c>
      <c r="M73" s="24"/>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7" t="str" cm="1">
        <f t="array" ref="E74">Common_InputFunctions.Utility_DisplayArrayInTable(SourceData_Feedlot.SourceData_Feedlot_DietProperties_Data(), Table_SourceData_Feedlot_DietProperties[[#Headers],[Feedlot type]], 0)</f>
        <v>Ether Extract</v>
      </c>
      <c r="F74" s="37" t="str" cm="1">
        <f t="array" ref="F74">Common_InputFunctions.Utility_DisplayArrayInTable(SourceData_Feedlot.SourceData_Feedlot_DietProperties_Data(), Table_SourceData_Feedlot_DietProperties[[#Headers],[Feedlot type]], 0)</f>
        <v>per cent</v>
      </c>
      <c r="G74" s="37" cm="1">
        <f t="array" ref="G74">Common_InputFunctions.Utility_DisplayArrayInTable(SourceData_Feedlot.SourceData_Feedlot_DietProperties_Data(), Table_SourceData_Feedlot_DietProperties[[#Headers],[Feedlot type]], 0)</f>
        <v>5</v>
      </c>
      <c r="H74" s="37" cm="1">
        <f t="array" ref="H74">Common_InputFunctions.Utility_DisplayArrayInTable(SourceData_Feedlot.SourceData_Feedlot_DietProperties_Data(), Table_SourceData_Feedlot_DietProperties[[#Headers],[Feedlot type]], 0)</f>
        <v>5</v>
      </c>
      <c r="I74" s="37" cm="1">
        <f t="array" ref="I74">Common_InputFunctions.Utility_DisplayArrayInTable(SourceData_Feedlot.SourceData_Feedlot_DietProperties_Data(), Table_SourceData_Feedlot_DietProperties[[#Headers],[Feedlot type]], 0)</f>
        <v>5</v>
      </c>
      <c r="J74" s="37" cm="1">
        <f t="array" ref="J74">Common_InputFunctions.Utility_DisplayArrayInTable(SourceData_Feedlot.SourceData_Feedlot_DietProperties_Data(), Table_SourceData_Feedlot_DietProperties[[#Headers],[Feedlot type]], 0)</f>
        <v>5</v>
      </c>
      <c r="M74" s="24"/>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7" t="str" cm="1">
        <f t="array" ref="E75">Common_InputFunctions.Utility_DisplayArrayInTable(SourceData_Feedlot.SourceData_Feedlot_DietProperties_Data(), Table_SourceData_Feedlot_DietProperties[[#Headers],[Feedlot type]], 0)</f>
        <v>Dry matter digestibility</v>
      </c>
      <c r="F75" s="37" t="str" cm="1">
        <f t="array" ref="F75">Common_InputFunctions.Utility_DisplayArrayInTable(SourceData_Feedlot.SourceData_Feedlot_DietProperties_Data(), Table_SourceData_Feedlot_DietProperties[[#Headers],[Feedlot type]], 0)</f>
        <v>fraction</v>
      </c>
      <c r="G75" s="37" cm="1">
        <f t="array" ref="G75">Common_InputFunctions.Utility_DisplayArrayInTable(SourceData_Feedlot.SourceData_Feedlot_DietProperties_Data(), Table_SourceData_Feedlot_DietProperties[[#Headers],[Feedlot type]], 0)</f>
        <v>0.81</v>
      </c>
      <c r="H75" s="37" cm="1">
        <f t="array" ref="H75">Common_InputFunctions.Utility_DisplayArrayInTable(SourceData_Feedlot.SourceData_Feedlot_DietProperties_Data(), Table_SourceData_Feedlot_DietProperties[[#Headers],[Feedlot type]], 0)</f>
        <v>0.81</v>
      </c>
      <c r="I75" s="37" cm="1">
        <f t="array" ref="I75">Common_InputFunctions.Utility_DisplayArrayInTable(SourceData_Feedlot.SourceData_Feedlot_DietProperties_Data(), Table_SourceData_Feedlot_DietProperties[[#Headers],[Feedlot type]], 0)</f>
        <v>0.81</v>
      </c>
      <c r="J75" s="37" cm="1">
        <f t="array" ref="J75">Common_InputFunctions.Utility_DisplayArrayInTable(SourceData_Feedlot.SourceData_Feedlot_DietProperties_Data(), Table_SourceData_Feedlot_DietProperties[[#Headers],[Feedlot type]], 0)</f>
        <v>0.81</v>
      </c>
      <c r="M75" s="24"/>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7" t="str" cm="1">
        <f t="array" ref="E76">Common_InputFunctions.Utility_DisplayArrayInTable(SourceData_Feedlot.SourceData_Feedlot_DietProperties_Data(), Table_SourceData_Feedlot_DietProperties[[#Headers],[Feedlot type]], 0)</f>
        <v>Crude protein</v>
      </c>
      <c r="F76" s="37" t="str" cm="1">
        <f t="array" ref="F76">Common_InputFunctions.Utility_DisplayArrayInTable(SourceData_Feedlot.SourceData_Feedlot_DietProperties_Data(), Table_SourceData_Feedlot_DietProperties[[#Headers],[Feedlot type]], 0)</f>
        <v>fraction</v>
      </c>
      <c r="G76" s="37" cm="1">
        <f t="array" ref="G76">Common_InputFunctions.Utility_DisplayArrayInTable(SourceData_Feedlot.SourceData_Feedlot_DietProperties_Data(), Table_SourceData_Feedlot_DietProperties[[#Headers],[Feedlot type]], 0)</f>
        <v>0.13</v>
      </c>
      <c r="H76" s="37" cm="1">
        <f t="array" ref="H76">Common_InputFunctions.Utility_DisplayArrayInTable(SourceData_Feedlot.SourceData_Feedlot_DietProperties_Data(), Table_SourceData_Feedlot_DietProperties[[#Headers],[Feedlot type]], 0)</f>
        <v>0.125</v>
      </c>
      <c r="I76" s="37" cm="1">
        <f t="array" ref="I76">Common_InputFunctions.Utility_DisplayArrayInTable(SourceData_Feedlot.SourceData_Feedlot_DietProperties_Data(), Table_SourceData_Feedlot_DietProperties[[#Headers],[Feedlot type]], 0)</f>
        <v>0.12</v>
      </c>
      <c r="J76" s="37" cm="1">
        <f t="array" ref="J76">Common_InputFunctions.Utility_DisplayArrayInTable(SourceData_Feedlot.SourceData_Feedlot_DietProperties_Data(), Table_SourceData_Feedlot_DietProperties[[#Headers],[Feedlot type]], 0)</f>
        <v>0.12</v>
      </c>
      <c r="M76" s="24"/>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7" t="str" cm="1">
        <f t="array" ref="E77">Common_InputFunctions.Utility_DisplayArrayInTable(SourceData_Feedlot.SourceData_Feedlot_DietProperties_Data(), Table_SourceData_Feedlot_DietProperties[[#Headers],[Feedlot type]], 0)</f>
        <v>NDF</v>
      </c>
      <c r="F77" s="37" t="str" cm="1">
        <f t="array" ref="F77">Common_InputFunctions.Utility_DisplayArrayInTable(SourceData_Feedlot.SourceData_Feedlot_DietProperties_Data(), Table_SourceData_Feedlot_DietProperties[[#Headers],[Feedlot type]], 0)</f>
        <v>per cent</v>
      </c>
      <c r="G77" s="37" cm="1">
        <f t="array" ref="G77">Common_InputFunctions.Utility_DisplayArrayInTable(SourceData_Feedlot.SourceData_Feedlot_DietProperties_Data(), Table_SourceData_Feedlot_DietProperties[[#Headers],[Feedlot type]], 0)</f>
        <v>24</v>
      </c>
      <c r="H77" s="37" cm="1">
        <f t="array" ref="H77">Common_InputFunctions.Utility_DisplayArrayInTable(SourceData_Feedlot.SourceData_Feedlot_DietProperties_Data(), Table_SourceData_Feedlot_DietProperties[[#Headers],[Feedlot type]], 0)</f>
        <v>24</v>
      </c>
      <c r="I77" s="37" cm="1">
        <f t="array" ref="I77">Common_InputFunctions.Utility_DisplayArrayInTable(SourceData_Feedlot.SourceData_Feedlot_DietProperties_Data(), Table_SourceData_Feedlot_DietProperties[[#Headers],[Feedlot type]], 0)</f>
        <v>24</v>
      </c>
      <c r="J77" s="37" cm="1">
        <f t="array" ref="J77">Common_InputFunctions.Utility_DisplayArrayInTable(SourceData_Feedlot.SourceData_Feedlot_DietProperties_Data(), Table_SourceData_Feedlot_DietProperties[[#Headers],[Feedlot type]], 0)</f>
        <v>24</v>
      </c>
      <c r="M77" s="24"/>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7" t="str" cm="1">
        <f t="array" ref="E78">Common_InputFunctions.Utility_DisplayArrayInTable(SourceData_Feedlot.SourceData_Feedlot_DietProperties_Data(), Table_SourceData_Feedlot_DietProperties[[#Headers],[Feedlot type]], 0)</f>
        <v>Ether Extract</v>
      </c>
      <c r="F78" s="37" t="str" cm="1">
        <f t="array" ref="F78">Common_InputFunctions.Utility_DisplayArrayInTable(SourceData_Feedlot.SourceData_Feedlot_DietProperties_Data(), Table_SourceData_Feedlot_DietProperties[[#Headers],[Feedlot type]], 0)</f>
        <v>per cent</v>
      </c>
      <c r="G78" s="37" cm="1">
        <f t="array" ref="G78">Common_InputFunctions.Utility_DisplayArrayInTable(SourceData_Feedlot.SourceData_Feedlot_DietProperties_Data(), Table_SourceData_Feedlot_DietProperties[[#Headers],[Feedlot type]], 0)</f>
        <v>5</v>
      </c>
      <c r="H78" s="37" cm="1">
        <f t="array" ref="H78">Common_InputFunctions.Utility_DisplayArrayInTable(SourceData_Feedlot.SourceData_Feedlot_DietProperties_Data(), Table_SourceData_Feedlot_DietProperties[[#Headers],[Feedlot type]], 0)</f>
        <v>5</v>
      </c>
      <c r="I78" s="37" cm="1">
        <f t="array" ref="I78">Common_InputFunctions.Utility_DisplayArrayInTable(SourceData_Feedlot.SourceData_Feedlot_DietProperties_Data(), Table_SourceData_Feedlot_DietProperties[[#Headers],[Feedlot type]], 0)</f>
        <v>5.5</v>
      </c>
      <c r="J78" s="37" cm="1">
        <f t="array" ref="J78">Common_InputFunctions.Utility_DisplayArrayInTable(SourceData_Feedlot.SourceData_Feedlot_DietProperties_Data(), Table_SourceData_Feedlot_DietProperties[[#Headers],[Feedlot type]], 0)</f>
        <v>5.5</v>
      </c>
      <c r="M78" s="24"/>
    </row>
    <row r="79" spans="4:13" ht="20.100000000000001" customHeight="1" x14ac:dyDescent="0.25">
      <c r="M79" s="24"/>
    </row>
    <row r="80" spans="4:13" ht="20.100000000000001" customHeight="1" x14ac:dyDescent="0.25">
      <c r="M80" s="24"/>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3" t="str" cm="1">
        <f t="array" ref="D83:D86">SourceData_Feedlot.SourceData_Feedlot_MCF_Variation()</f>
        <v>VARIATION ON SOURCE:</v>
      </c>
      <c r="M83" s="1"/>
    </row>
    <row r="84" spans="4:14" ht="20.100000000000001" customHeight="1" x14ac:dyDescent="0.25">
      <c r="D84" s="53" t="str">
        <v>Duplicated NSW values for ACT</v>
      </c>
      <c r="M84" s="1"/>
    </row>
    <row r="85" spans="4:14" ht="20.100000000000001" customHeight="1" x14ac:dyDescent="0.25">
      <c r="D85" s="53" t="str">
        <v>Added NT and TAS columns with 'no data' values</v>
      </c>
      <c r="M85" s="1"/>
    </row>
    <row r="86" spans="4:14" ht="20.100000000000001" customHeight="1" x14ac:dyDescent="0.25">
      <c r="D86" s="53" t="str">
        <v>Added 'NIR definition' column with MMS names that match NIR definitions.</v>
      </c>
      <c r="M86" s="1"/>
    </row>
    <row r="87" spans="4:14" ht="20.100000000000001" customHeight="1" x14ac:dyDescent="0.25">
      <c r="M87" s="1"/>
    </row>
    <row r="88" spans="4:14" ht="20.100000000000001" customHeight="1" x14ac:dyDescent="0.25">
      <c r="D88" s="37" t="s">
        <v>83</v>
      </c>
      <c r="E88" s="37" t="s">
        <v>80</v>
      </c>
      <c r="F88" s="37" t="s">
        <v>65</v>
      </c>
      <c r="G88" s="37" t="s">
        <v>64</v>
      </c>
      <c r="H88" s="37" t="s">
        <v>67</v>
      </c>
      <c r="I88" s="37" t="s">
        <v>66</v>
      </c>
      <c r="J88" s="37" t="s">
        <v>68</v>
      </c>
      <c r="K88" s="37" t="s">
        <v>70</v>
      </c>
      <c r="L88" s="37" t="s">
        <v>71</v>
      </c>
      <c r="M88" s="37" t="s">
        <v>69</v>
      </c>
      <c r="N88" s="37" t="s">
        <v>78</v>
      </c>
    </row>
    <row r="89" spans="4:14" ht="20.100000000000001" customHeight="1" x14ac:dyDescent="0.25">
      <c r="D89" s="37" t="str" cm="1">
        <f t="array" ref="D89">Common_InputFunctions.Utility_DisplayArrayInTable(SourceData_Feedlot.SourceData_Feedlot_MCF_Data(), Table_SourceData_Feedlot_MCF[[#Headers],[Treatment stage T]], 0)</f>
        <v>Primary</v>
      </c>
      <c r="E89" s="37" t="str" cm="1">
        <f t="array" ref="E89">Common_InputFunctions.Utility_DisplayArrayInTable(SourceData_Feedlot.SourceData_Feedlot_MCF_Data(), Table_SourceData_Feedlot_MCF[[#Headers],[Treatment stage T]], 0)</f>
        <v>Dry lot (Feedpad)</v>
      </c>
      <c r="F89" s="37" cm="1">
        <f t="array" ref="F89">Common_InputFunctions.Utility_DisplayArrayInTable(SourceData_Feedlot.SourceData_Feedlot_MCF_Data(), Table_SourceData_Feedlot_MCF[[#Headers],[Treatment stage T]], 0)</f>
        <v>0.01</v>
      </c>
      <c r="G89" s="37" cm="1">
        <f t="array" ref="G89">Common_InputFunctions.Utility_DisplayArrayInTable(SourceData_Feedlot.SourceData_Feedlot_MCF_Data(), Table_SourceData_Feedlot_MCF[[#Headers],[Treatment stage T]], 0)</f>
        <v>0.01</v>
      </c>
      <c r="H89" s="37" cm="1">
        <f t="array" ref="H89">Common_InputFunctions.Utility_DisplayArrayInTable(SourceData_Feedlot.SourceData_Feedlot_MCF_Data(), Table_SourceData_Feedlot_MCF[[#Headers],[Treatment stage T]], 0)</f>
        <v>0.03</v>
      </c>
      <c r="I89" s="103" t="str" cm="1">
        <f t="array" ref="I89">Common_InputFunctions.Utility_DisplayArrayInTable(SourceData_Feedlot.SourceData_Feedlot_MCF_Data(), Table_SourceData_Feedlot_MCF[[#Headers],[Treatment stage T]], 0)</f>
        <v>No data</v>
      </c>
      <c r="J89" s="37" cm="1">
        <f t="array" ref="J89">Common_InputFunctions.Utility_DisplayArrayInTable(SourceData_Feedlot.SourceData_Feedlot_MCF_Data(), Table_SourceData_Feedlot_MCF[[#Headers],[Treatment stage T]], 0)</f>
        <v>0.01</v>
      </c>
      <c r="K89" s="37" cm="1">
        <f t="array" ref="K89">Common_InputFunctions.Utility_DisplayArrayInTable(SourceData_Feedlot.SourceData_Feedlot_MCF_Data(), Table_SourceData_Feedlot_MCF[[#Headers],[Treatment stage T]], 0)</f>
        <v>0.01</v>
      </c>
      <c r="L89" s="37" cm="1">
        <f t="array" ref="L89">Common_InputFunctions.Utility_DisplayArrayInTable(SourceData_Feedlot.SourceData_Feedlot_MCF_Data(), Table_SourceData_Feedlot_MCF[[#Headers],[Treatment stage T]], 0)</f>
        <v>0.01</v>
      </c>
      <c r="M89" s="103" t="str" cm="1">
        <f t="array" ref="M89">Common_InputFunctions.Utility_DisplayArrayInTable(SourceData_Feedlot.SourceData_Feedlot_MCF_Data(), Table_SourceData_Feedlot_MCF[[#Headers],[Treatment stage T]], 0)</f>
        <v>No data</v>
      </c>
      <c r="N89" s="37"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7" t="str" cm="1">
        <f t="array" ref="E90">Common_InputFunctions.Utility_DisplayArrayInTable(SourceData_Feedlot.SourceData_Feedlot_MCF_Data(), Table_SourceData_Feedlot_MCF[[#Headers],[Treatment stage T]], 0)</f>
        <v>Solid Storage (Stockpile)</v>
      </c>
      <c r="F90" s="37" cm="1">
        <f t="array" ref="F90">Common_InputFunctions.Utility_DisplayArrayInTable(SourceData_Feedlot.SourceData_Feedlot_MCF_Data(), Table_SourceData_Feedlot_MCF[[#Headers],[Treatment stage T]], 0)</f>
        <v>0.02</v>
      </c>
      <c r="G90" s="37" cm="1">
        <f t="array" ref="G90">Common_InputFunctions.Utility_DisplayArrayInTable(SourceData_Feedlot.SourceData_Feedlot_MCF_Data(), Table_SourceData_Feedlot_MCF[[#Headers],[Treatment stage T]], 0)</f>
        <v>0.02</v>
      </c>
      <c r="H90" s="37" cm="1">
        <f t="array" ref="H90">Common_InputFunctions.Utility_DisplayArrayInTable(SourceData_Feedlot.SourceData_Feedlot_MCF_Data(), Table_SourceData_Feedlot_MCF[[#Headers],[Treatment stage T]], 0)</f>
        <v>0.02</v>
      </c>
      <c r="I90" s="103" t="str" cm="1">
        <f t="array" ref="I90">Common_InputFunctions.Utility_DisplayArrayInTable(SourceData_Feedlot.SourceData_Feedlot_MCF_Data(), Table_SourceData_Feedlot_MCF[[#Headers],[Treatment stage T]], 0)</f>
        <v>No data</v>
      </c>
      <c r="J90" s="37" cm="1">
        <f t="array" ref="J90">Common_InputFunctions.Utility_DisplayArrayInTable(SourceData_Feedlot.SourceData_Feedlot_MCF_Data(), Table_SourceData_Feedlot_MCF[[#Headers],[Treatment stage T]], 0)</f>
        <v>0.02</v>
      </c>
      <c r="K90" s="37" cm="1">
        <f t="array" ref="K90">Common_InputFunctions.Utility_DisplayArrayInTable(SourceData_Feedlot.SourceData_Feedlot_MCF_Data(), Table_SourceData_Feedlot_MCF[[#Headers],[Treatment stage T]], 0)</f>
        <v>0.02</v>
      </c>
      <c r="L90" s="37" cm="1">
        <f t="array" ref="L90">Common_InputFunctions.Utility_DisplayArrayInTable(SourceData_Feedlot.SourceData_Feedlot_MCF_Data(), Table_SourceData_Feedlot_MCF[[#Headers],[Treatment stage T]], 0)</f>
        <v>0.02</v>
      </c>
      <c r="M90" s="103" t="str" cm="1">
        <f t="array" ref="M90">Common_InputFunctions.Utility_DisplayArrayInTable(SourceData_Feedlot.SourceData_Feedlot_MCF_Data(), Table_SourceData_Feedlot_MCF[[#Headers],[Treatment stage T]], 0)</f>
        <v>No data</v>
      </c>
      <c r="N90" s="37"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7" t="str" cm="1">
        <f t="array" ref="E91">Common_InputFunctions.Utility_DisplayArrayInTable(SourceData_Feedlot.SourceData_Feedlot_MCF_Data(), Table_SourceData_Feedlot_MCF[[#Headers],[Treatment stage T]], 0)</f>
        <v>Composting (Passive Windrow)</v>
      </c>
      <c r="F91" s="37" cm="1">
        <f t="array" ref="F91">Common_InputFunctions.Utility_DisplayArrayInTable(SourceData_Feedlot.SourceData_Feedlot_MCF_Data(), Table_SourceData_Feedlot_MCF[[#Headers],[Treatment stage T]], 0)</f>
        <v>0.01</v>
      </c>
      <c r="G91" s="37" cm="1">
        <f t="array" ref="G91">Common_InputFunctions.Utility_DisplayArrayInTable(SourceData_Feedlot.SourceData_Feedlot_MCF_Data(), Table_SourceData_Feedlot_MCF[[#Headers],[Treatment stage T]], 0)</f>
        <v>0.01</v>
      </c>
      <c r="H91" s="37" cm="1">
        <f t="array" ref="H91">Common_InputFunctions.Utility_DisplayArrayInTable(SourceData_Feedlot.SourceData_Feedlot_MCF_Data(), Table_SourceData_Feedlot_MCF[[#Headers],[Treatment stage T]], 0)</f>
        <v>0.01</v>
      </c>
      <c r="I91" s="103" t="str" cm="1">
        <f t="array" ref="I91">Common_InputFunctions.Utility_DisplayArrayInTable(SourceData_Feedlot.SourceData_Feedlot_MCF_Data(), Table_SourceData_Feedlot_MCF[[#Headers],[Treatment stage T]], 0)</f>
        <v>No data</v>
      </c>
      <c r="J91" s="37" cm="1">
        <f t="array" ref="J91">Common_InputFunctions.Utility_DisplayArrayInTable(SourceData_Feedlot.SourceData_Feedlot_MCF_Data(), Table_SourceData_Feedlot_MCF[[#Headers],[Treatment stage T]], 0)</f>
        <v>0.01</v>
      </c>
      <c r="K91" s="37" cm="1">
        <f t="array" ref="K91">Common_InputFunctions.Utility_DisplayArrayInTable(SourceData_Feedlot.SourceData_Feedlot_MCF_Data(), Table_SourceData_Feedlot_MCF[[#Headers],[Treatment stage T]], 0)</f>
        <v>0.01</v>
      </c>
      <c r="L91" s="37" cm="1">
        <f t="array" ref="L91">Common_InputFunctions.Utility_DisplayArrayInTable(SourceData_Feedlot.SourceData_Feedlot_MCF_Data(), Table_SourceData_Feedlot_MCF[[#Headers],[Treatment stage T]], 0)</f>
        <v>0.01</v>
      </c>
      <c r="M91" s="103" t="str" cm="1">
        <f t="array" ref="M91">Common_InputFunctions.Utility_DisplayArrayInTable(SourceData_Feedlot.SourceData_Feedlot_MCF_Data(), Table_SourceData_Feedlot_MCF[[#Headers],[Treatment stage T]], 0)</f>
        <v>No data</v>
      </c>
      <c r="N91" s="37"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7" t="str" cm="1">
        <f t="array" ref="E92">Common_InputFunctions.Utility_DisplayArrayInTable(SourceData_Feedlot.SourceData_Feedlot_MCF_Data(), Table_SourceData_Feedlot_MCF[[#Headers],[Treatment stage T]], 0)</f>
        <v>Direct Application to soil</v>
      </c>
      <c r="F92" s="37" cm="1">
        <f t="array" ref="F92">Common_InputFunctions.Utility_DisplayArrayInTable(SourceData_Feedlot.SourceData_Feedlot_MCF_Data(), Table_SourceData_Feedlot_MCF[[#Headers],[Treatment stage T]], 0)</f>
        <v>0</v>
      </c>
      <c r="G92" s="37" cm="1">
        <f t="array" ref="G92">Common_InputFunctions.Utility_DisplayArrayInTable(SourceData_Feedlot.SourceData_Feedlot_MCF_Data(), Table_SourceData_Feedlot_MCF[[#Headers],[Treatment stage T]], 0)</f>
        <v>0</v>
      </c>
      <c r="H92" s="37" cm="1">
        <f t="array" ref="H92">Common_InputFunctions.Utility_DisplayArrayInTable(SourceData_Feedlot.SourceData_Feedlot_MCF_Data(), Table_SourceData_Feedlot_MCF[[#Headers],[Treatment stage T]], 0)</f>
        <v>0</v>
      </c>
      <c r="I92" s="103" t="str" cm="1">
        <f t="array" ref="I92">Common_InputFunctions.Utility_DisplayArrayInTable(SourceData_Feedlot.SourceData_Feedlot_MCF_Data(), Table_SourceData_Feedlot_MCF[[#Headers],[Treatment stage T]], 0)</f>
        <v>No data</v>
      </c>
      <c r="J92" s="37" cm="1">
        <f t="array" ref="J92">Common_InputFunctions.Utility_DisplayArrayInTable(SourceData_Feedlot.SourceData_Feedlot_MCF_Data(), Table_SourceData_Feedlot_MCF[[#Headers],[Treatment stage T]], 0)</f>
        <v>0</v>
      </c>
      <c r="K92" s="37" cm="1">
        <f t="array" ref="K92">Common_InputFunctions.Utility_DisplayArrayInTable(SourceData_Feedlot.SourceData_Feedlot_MCF_Data(), Table_SourceData_Feedlot_MCF[[#Headers],[Treatment stage T]], 0)</f>
        <v>0</v>
      </c>
      <c r="L92" s="37" cm="1">
        <f t="array" ref="L92">Common_InputFunctions.Utility_DisplayArrayInTable(SourceData_Feedlot.SourceData_Feedlot_MCF_Data(), Table_SourceData_Feedlot_MCF[[#Headers],[Treatment stage T]], 0)</f>
        <v>0</v>
      </c>
      <c r="M92" s="103" t="str" cm="1">
        <f t="array" ref="M92">Common_InputFunctions.Utility_DisplayArrayInTable(SourceData_Feedlot.SourceData_Feedlot_MCF_Data(), Table_SourceData_Feedlot_MCF[[#Headers],[Treatment stage T]], 0)</f>
        <v>No data</v>
      </c>
      <c r="N92" s="37"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7" t="str" cm="1">
        <f t="array" ref="E93">Common_InputFunctions.Utility_DisplayArrayInTable(SourceData_Feedlot.SourceData_Feedlot_MCF_Data(), Table_SourceData_Feedlot_MCF[[#Headers],[Treatment stage T]], 0)</f>
        <v>Uncovered anaerobic lagoon (Effluent pond)</v>
      </c>
      <c r="F93" s="37" cm="1">
        <f t="array" ref="F93">Common_InputFunctions.Utility_DisplayArrayInTable(SourceData_Feedlot.SourceData_Feedlot_MCF_Data(), Table_SourceData_Feedlot_MCF[[#Headers],[Treatment stage T]], 0)</f>
        <v>0.75</v>
      </c>
      <c r="G93" s="37" cm="1">
        <f t="array" ref="G93">Common_InputFunctions.Utility_DisplayArrayInTable(SourceData_Feedlot.SourceData_Feedlot_MCF_Data(), Table_SourceData_Feedlot_MCF[[#Headers],[Treatment stage T]], 0)</f>
        <v>0.75</v>
      </c>
      <c r="H93" s="37" cm="1">
        <f t="array" ref="H93">Common_InputFunctions.Utility_DisplayArrayInTable(SourceData_Feedlot.SourceData_Feedlot_MCF_Data(), Table_SourceData_Feedlot_MCF[[#Headers],[Treatment stage T]], 0)</f>
        <v>0.77</v>
      </c>
      <c r="I93" s="103" t="str" cm="1">
        <f t="array" ref="I93">Common_InputFunctions.Utility_DisplayArrayInTable(SourceData_Feedlot.SourceData_Feedlot_MCF_Data(), Table_SourceData_Feedlot_MCF[[#Headers],[Treatment stage T]], 0)</f>
        <v>No data</v>
      </c>
      <c r="J93" s="37" cm="1">
        <f t="array" ref="J93">Common_InputFunctions.Utility_DisplayArrayInTable(SourceData_Feedlot.SourceData_Feedlot_MCF_Data(), Table_SourceData_Feedlot_MCF[[#Headers],[Treatment stage T]], 0)</f>
        <v>0.75</v>
      </c>
      <c r="K93" s="37" cm="1">
        <f t="array" ref="K93">Common_InputFunctions.Utility_DisplayArrayInTable(SourceData_Feedlot.SourceData_Feedlot_MCF_Data(), Table_SourceData_Feedlot_MCF[[#Headers],[Treatment stage T]], 0)</f>
        <v>0.75</v>
      </c>
      <c r="L93" s="37" cm="1">
        <f t="array" ref="L93">Common_InputFunctions.Utility_DisplayArrayInTable(SourceData_Feedlot.SourceData_Feedlot_MCF_Data(), Table_SourceData_Feedlot_MCF[[#Headers],[Treatment stage T]], 0)</f>
        <v>0.77</v>
      </c>
      <c r="M93" s="103" t="str" cm="1">
        <f t="array" ref="M93">Common_InputFunctions.Utility_DisplayArrayInTable(SourceData_Feedlot.SourceData_Feedlot_MCF_Data(), Table_SourceData_Feedlot_MCF[[#Headers],[Treatment stage T]], 0)</f>
        <v>No data</v>
      </c>
      <c r="N93" s="37" t="str" cm="1">
        <f t="array" ref="N93">Common_InputFunctions.Utility_DisplayArrayInTable(SourceData_Feedlot.SourceData_Feedlot_MCF_Data(), Table_SourceData_Feedlot_MCF[[#Headers],[Treatment stage T]], 0)</f>
        <v>Anaerobic lagoon</v>
      </c>
    </row>
    <row r="94" spans="4:14" ht="20.100000000000001" customHeight="1" x14ac:dyDescent="0.25">
      <c r="I94" s="1" t="s">
        <v>138</v>
      </c>
      <c r="M94" s="24" t="s">
        <v>139</v>
      </c>
    </row>
    <row r="95" spans="4:14" ht="20.100000000000001" customHeight="1" x14ac:dyDescent="0.25">
      <c r="M95" s="24"/>
    </row>
    <row r="96" spans="4:14" ht="20.100000000000001" customHeight="1" x14ac:dyDescent="0.25">
      <c r="D96" s="6" t="str" cm="1">
        <f t="array" ref="D96">SourceData_Feedlot.SourceData_Feedlot_NitrousOxideEFs_Title()</f>
        <v>Feedlot - Nitrous oxide EFs</v>
      </c>
      <c r="M96" s="24"/>
    </row>
    <row r="97" spans="4:14" ht="20.100000000000001" customHeight="1" x14ac:dyDescent="0.25">
      <c r="D97" s="5" t="str" cm="1">
        <f t="array" ref="D97">SourceData_Feedlot.SourceData_Feedlot_NitrousOxideEFs_Source()</f>
        <v>VEERG 2026: Table A.1.1.5: Beef feedlot cattle - Nitrous oxide EFs (EFmT)</v>
      </c>
      <c r="M97" s="24"/>
    </row>
    <row r="98" spans="4:14" ht="20.100000000000001" customHeight="1" x14ac:dyDescent="0.25">
      <c r="D98" s="53" t="str" cm="1">
        <f t="array" ref="D98:D99">SourceData_Feedlot.SourceData_Feedlot_NitrousOxideEFs_Variation()</f>
        <v>VARIATION ON SOURCE:</v>
      </c>
      <c r="M98" s="24"/>
    </row>
    <row r="99" spans="4:14" ht="20.100000000000001" customHeight="1" x14ac:dyDescent="0.25">
      <c r="D99" s="53" t="str">
        <v>Added 'NIR definition' column with MMS names that match NIR definitions.</v>
      </c>
      <c r="M99" s="24"/>
    </row>
    <row r="100" spans="4:14" ht="20.100000000000001" customHeight="1" x14ac:dyDescent="0.25">
      <c r="D100" s="37" t="s">
        <v>83</v>
      </c>
      <c r="E100" s="37" t="s">
        <v>80</v>
      </c>
      <c r="F100" s="37" t="s">
        <v>107</v>
      </c>
      <c r="G100" s="37" t="s">
        <v>78</v>
      </c>
      <c r="M100" s="1"/>
      <c r="N100" s="24"/>
    </row>
    <row r="101" spans="4:14" ht="20.100000000000001" customHeight="1" x14ac:dyDescent="0.25">
      <c r="D101" s="37" t="str" cm="1">
        <f t="array" ref="D101">Common_InputFunctions.Utility_DisplayArrayInTable(SourceData_Feedlot.SourceData_Feedlot_NitrousOxideEFs_Data(), Table_SourceData_Feedlot_NO2EFs[[#Headers],[Treatment stage T]], 0)</f>
        <v>Primary</v>
      </c>
      <c r="E101" s="37" t="str" cm="1">
        <f t="array" ref="E101">Common_InputFunctions.Utility_DisplayArrayInTable(SourceData_Feedlot.SourceData_Feedlot_NitrousOxideEFs_Data(), Table_SourceData_Feedlot_NO2EFs[[#Headers],[Treatment stage T]], 0)</f>
        <v>Dry lot (Feedpad)</v>
      </c>
      <c r="F101" s="37" cm="1">
        <f t="array" ref="F101">Common_InputFunctions.Utility_DisplayArrayInTable(SourceData_Feedlot.SourceData_Feedlot_NitrousOxideEFs_Data(), Table_SourceData_Feedlot_NO2EFs[[#Headers],[Treatment stage T]], 0)</f>
        <v>5.4000000000000003E-3</v>
      </c>
      <c r="G101" s="37" t="str" cm="1">
        <f t="array" ref="G101">Common_InputFunctions.Utility_DisplayArrayInTable(SourceData_Feedlot.SourceData_Feedlot_NitrousOxideEFs_Data(), Table_SourceData_Feedlot_NO2EFs[[#Headers],[Treatment stage T]], 0)</f>
        <v>Drylot (feed pad)</v>
      </c>
      <c r="M101" s="1"/>
      <c r="N101" s="24"/>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7" t="str" cm="1">
        <f t="array" ref="E102">Common_InputFunctions.Utility_DisplayArrayInTable(SourceData_Feedlot.SourceData_Feedlot_NitrousOxideEFs_Data(), Table_SourceData_Feedlot_NO2EFs[[#Headers],[Treatment stage T]], 0)</f>
        <v>Solid Storage (Stockpile)</v>
      </c>
      <c r="F102" s="37" cm="1">
        <f t="array" ref="F102">Common_InputFunctions.Utility_DisplayArrayInTable(SourceData_Feedlot.SourceData_Feedlot_NitrousOxideEFs_Data(), Table_SourceData_Feedlot_NO2EFs[[#Headers],[Treatment stage T]], 0)</f>
        <v>5.0000000000000001E-3</v>
      </c>
      <c r="G102" s="37" t="str" cm="1">
        <f t="array" ref="G102">Common_InputFunctions.Utility_DisplayArrayInTable(SourceData_Feedlot.SourceData_Feedlot_NitrousOxideEFs_Data(), Table_SourceData_Feedlot_NO2EFs[[#Headers],[Treatment stage T]], 0)</f>
        <v>Solid storage</v>
      </c>
      <c r="M102" s="1"/>
      <c r="N102" s="24"/>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7" t="str" cm="1">
        <f t="array" ref="E103">Common_InputFunctions.Utility_DisplayArrayInTable(SourceData_Feedlot.SourceData_Feedlot_NitrousOxideEFs_Data(), Table_SourceData_Feedlot_NO2EFs[[#Headers],[Treatment stage T]], 0)</f>
        <v>Composting (Passive Windrow)</v>
      </c>
      <c r="F103" s="37" cm="1">
        <f t="array" ref="F103">Common_InputFunctions.Utility_DisplayArrayInTable(SourceData_Feedlot.SourceData_Feedlot_NitrousOxideEFs_Data(), Table_SourceData_Feedlot_NO2EFs[[#Headers],[Treatment stage T]], 0)</f>
        <v>0.01</v>
      </c>
      <c r="G103" s="37" t="str" cm="1">
        <f t="array" ref="G103">Common_InputFunctions.Utility_DisplayArrayInTable(SourceData_Feedlot.SourceData_Feedlot_NitrousOxideEFs_Data(), Table_SourceData_Feedlot_NO2EFs[[#Headers],[Treatment stage T]], 0)</f>
        <v>Composting (passive windrow)</v>
      </c>
      <c r="M103" s="24"/>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7" t="str" cm="1">
        <f t="array" ref="E104">Common_InputFunctions.Utility_DisplayArrayInTable(SourceData_Feedlot.SourceData_Feedlot_NitrousOxideEFs_Data(), Table_SourceData_Feedlot_NO2EFs[[#Headers],[Treatment stage T]], 0)</f>
        <v>Direct Application to soil</v>
      </c>
      <c r="F104" s="37" cm="1">
        <f t="array" ref="F104">Common_InputFunctions.Utility_DisplayArrayInTable(SourceData_Feedlot.SourceData_Feedlot_NitrousOxideEFs_Data(), Table_SourceData_Feedlot_NO2EFs[[#Headers],[Treatment stage T]], 0)</f>
        <v>0</v>
      </c>
      <c r="G104" s="37" t="str" cm="1">
        <f t="array" ref="G104">Common_InputFunctions.Utility_DisplayArrayInTable(SourceData_Feedlot.SourceData_Feedlot_NitrousOxideEFs_Data(), Table_SourceData_Feedlot_NO2EFs[[#Headers],[Treatment stage T]], 0)</f>
        <v>Direct application</v>
      </c>
      <c r="M104" s="24"/>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7" t="str" cm="1">
        <f t="array" ref="E105">Common_InputFunctions.Utility_DisplayArrayInTable(SourceData_Feedlot.SourceData_Feedlot_NitrousOxideEFs_Data(), Table_SourceData_Feedlot_NO2EFs[[#Headers],[Treatment stage T]], 0)</f>
        <v>Uncovered anaerobic lagoon (Effluent Pond)</v>
      </c>
      <c r="F105" s="37" cm="1">
        <f t="array" ref="F105">Common_InputFunctions.Utility_DisplayArrayInTable(SourceData_Feedlot.SourceData_Feedlot_NitrousOxideEFs_Data(), Table_SourceData_Feedlot_NO2EFs[[#Headers],[Treatment stage T]], 0)</f>
        <v>0</v>
      </c>
      <c r="G105" s="37" t="str" cm="1">
        <f t="array" ref="G105">Common_InputFunctions.Utility_DisplayArrayInTable(SourceData_Feedlot.SourceData_Feedlot_NitrousOxideEFs_Data(), Table_SourceData_Feedlot_NO2EFs[[#Headers],[Treatment stage T]], 0)</f>
        <v>Anaerobic lagoon</v>
      </c>
      <c r="M105" s="24"/>
    </row>
    <row r="106" spans="4:14" ht="20.100000000000001" customHeight="1" x14ac:dyDescent="0.25">
      <c r="M106" s="24"/>
    </row>
    <row r="107" spans="4:14" ht="20.100000000000001" customHeight="1" x14ac:dyDescent="0.25">
      <c r="M107" s="24"/>
    </row>
    <row r="108" spans="4:14" ht="20.100000000000001" customHeight="1" x14ac:dyDescent="0.25">
      <c r="D108" s="6" t="str" cm="1">
        <f t="array" ref="D108">SourceData_Feedlot.SourceData_Feedlot_FracNVolatilised_Title()</f>
        <v>Feedlot - Fraction of N volatilised by MMS (FracGASMmT)</v>
      </c>
      <c r="M108" s="24"/>
    </row>
    <row r="109" spans="4:14" ht="20.100000000000001" customHeight="1" x14ac:dyDescent="0.25">
      <c r="D109" s="5" t="str" cm="1">
        <f t="array" ref="D109">SourceData_Feedlot.SourceData_Feedlot_FracNVolatilised_Source()</f>
        <v>VEERG 2026: Table A.1.1.6: Beef feedlot cattle - Fraction of N volatilised by MMS (FracGASMmT)</v>
      </c>
      <c r="M109" s="24"/>
    </row>
    <row r="110" spans="4:14" ht="20.100000000000001" customHeight="1" x14ac:dyDescent="0.25">
      <c r="D110" s="53" t="str" cm="1">
        <f t="array" ref="D110:D111">SourceData_Feedlot.SourceData_Feedlot_FracNVolatilised_Variation()</f>
        <v>VARIATION ON SOURCE:</v>
      </c>
      <c r="M110" s="24"/>
    </row>
    <row r="111" spans="4:14" ht="20.100000000000001" customHeight="1" x14ac:dyDescent="0.25">
      <c r="D111" s="53" t="str">
        <v>Added 'NIR definition' column with MMS names that match NIR definitions.</v>
      </c>
      <c r="M111" s="24"/>
    </row>
    <row r="112" spans="4:14" ht="20.100000000000001" customHeight="1" x14ac:dyDescent="0.25">
      <c r="D112" s="95" t="s">
        <v>83</v>
      </c>
      <c r="E112" s="95" t="s">
        <v>80</v>
      </c>
      <c r="F112" s="95" t="s">
        <v>108</v>
      </c>
      <c r="G112" s="95" t="s">
        <v>78</v>
      </c>
      <c r="M112" s="24"/>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4"/>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4"/>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4"/>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4"/>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4"/>
      <c r="V117" s="1"/>
    </row>
    <row r="118" spans="4:22" ht="20.100000000000001" customHeight="1" x14ac:dyDescent="0.25">
      <c r="M118" s="24"/>
    </row>
    <row r="119" spans="4:22" ht="20.100000000000001" customHeight="1" x14ac:dyDescent="0.25">
      <c r="M119" s="24"/>
    </row>
    <row r="120" spans="4:22" ht="20.100000000000001" customHeight="1" x14ac:dyDescent="0.25">
      <c r="M120" s="24"/>
    </row>
    <row r="121" spans="4:22" ht="20.100000000000001" customHeight="1" x14ac:dyDescent="0.25">
      <c r="M121" s="24"/>
    </row>
    <row r="122" spans="4:22" ht="20.100000000000001" customHeight="1" x14ac:dyDescent="0.25">
      <c r="M122" s="24"/>
    </row>
    <row r="123" spans="4:22" ht="20.100000000000001" customHeight="1" x14ac:dyDescent="0.25">
      <c r="M123" s="24"/>
    </row>
    <row r="124" spans="4:22" ht="20.100000000000001" customHeight="1" x14ac:dyDescent="0.25">
      <c r="M124" s="24"/>
    </row>
    <row r="125" spans="4:22" ht="20.100000000000001" customHeight="1" x14ac:dyDescent="0.25">
      <c r="M125" s="24"/>
    </row>
    <row r="126" spans="4:22" ht="20.100000000000001" customHeight="1" x14ac:dyDescent="0.25">
      <c r="M126" s="24"/>
    </row>
    <row r="127" spans="4:22" ht="20.100000000000001" customHeight="1" x14ac:dyDescent="0.25">
      <c r="M127" s="24"/>
    </row>
    <row r="128" spans="4:22" ht="20.100000000000001" customHeight="1" x14ac:dyDescent="0.25">
      <c r="M128" s="24"/>
    </row>
    <row r="129" spans="13:13" ht="20.100000000000001" customHeight="1" x14ac:dyDescent="0.25">
      <c r="M129" s="24"/>
    </row>
    <row r="130" spans="13:13" ht="20.100000000000001" customHeight="1" x14ac:dyDescent="0.25">
      <c r="M130" s="24"/>
    </row>
    <row r="131" spans="13:13" ht="20.100000000000001" customHeight="1" x14ac:dyDescent="0.25">
      <c r="M131" s="24"/>
    </row>
    <row r="132" spans="13:13" ht="20.100000000000001" customHeight="1" x14ac:dyDescent="0.25">
      <c r="M132" s="24"/>
    </row>
    <row r="133" spans="13:13" ht="20.100000000000001" customHeight="1" x14ac:dyDescent="0.25">
      <c r="M133" s="24"/>
    </row>
    <row r="134" spans="13:13" ht="20.100000000000001" customHeight="1" x14ac:dyDescent="0.25">
      <c r="M134" s="24"/>
    </row>
    <row r="135" spans="13:13" ht="20.100000000000001" customHeight="1" x14ac:dyDescent="0.25">
      <c r="M135" s="24"/>
    </row>
    <row r="136" spans="13:13" ht="20.100000000000001" customHeight="1" x14ac:dyDescent="0.25">
      <c r="M136" s="24"/>
    </row>
    <row r="137" spans="13:13" ht="20.100000000000001" customHeight="1" x14ac:dyDescent="0.25">
      <c r="M137" s="24"/>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8F5C8-4326-4B87-AF98-B62783E0FF5C}">
  <dimension ref="A1:BY250"/>
  <sheetViews>
    <sheetView showGridLines="0" topLeftCell="C221" zoomScale="85" zoomScaleNormal="85" workbookViewId="0">
      <selection activeCell="G262" sqref="G26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59</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13</v>
      </c>
      <c r="E6" s="37" t="s">
        <v>14</v>
      </c>
      <c r="F6" s="37" t="s">
        <v>15</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16</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18</v>
      </c>
      <c r="E36" s="37" t="s">
        <v>19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18</v>
      </c>
      <c r="E47" s="37" t="s">
        <v>21</v>
      </c>
      <c r="F47" s="37" t="s">
        <v>22</v>
      </c>
      <c r="G47" s="37" t="s">
        <v>23</v>
      </c>
      <c r="H47" s="37" t="s">
        <v>24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38</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26</v>
      </c>
      <c r="F89" s="37" t="s">
        <v>27</v>
      </c>
      <c r="G89" s="37" t="s">
        <v>28</v>
      </c>
      <c r="H89" s="37" t="s">
        <v>29</v>
      </c>
      <c r="I89" s="37" t="s">
        <v>30</v>
      </c>
      <c r="J89" s="37" t="s">
        <v>31</v>
      </c>
      <c r="K89" s="37" t="s">
        <v>32</v>
      </c>
      <c r="L89" s="37" t="s">
        <v>33</v>
      </c>
      <c r="M89" s="37" t="s">
        <v>34</v>
      </c>
      <c r="N89" s="37" t="s">
        <v>35</v>
      </c>
      <c r="O89" s="37" t="s">
        <v>39</v>
      </c>
      <c r="P89" s="37" t="s">
        <v>36</v>
      </c>
      <c r="Q89" s="37" t="s">
        <v>40</v>
      </c>
      <c r="R89" s="37" t="s">
        <v>37</v>
      </c>
      <c r="S89" s="37" t="s">
        <v>41</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c r="D98" s="52" t="str" cm="1">
        <f t="array" ref="D98:D101">Common_SourceData.Common_SourceData_ClimateZones_Appendices()</f>
        <v>Note:</v>
      </c>
    </row>
    <row r="99" spans="4:20" ht="20.100000000000001" customHeight="1" x14ac:dyDescent="0.25">
      <c r="D99" s="52" t="str">
        <v>MAT = mean annual temperature</v>
      </c>
    </row>
    <row r="100" spans="4:20" ht="20.100000000000001" customHeight="1" x14ac:dyDescent="0.25">
      <c r="D100" s="52" t="str">
        <v>MAP = mean annual precipitation</v>
      </c>
    </row>
    <row r="101" spans="4:20" ht="20.100000000000001" customHeight="1" x14ac:dyDescent="0.25">
      <c r="D101" s="52" t="str">
        <v>PET = potential evapotranspiration</v>
      </c>
    </row>
    <row r="102" spans="4:20" ht="20.100000000000001" customHeight="1" x14ac:dyDescent="0.25">
      <c r="D102" s="52"/>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43</v>
      </c>
      <c r="E109" s="37" t="s">
        <v>26</v>
      </c>
      <c r="F109" s="37" t="s">
        <v>44</v>
      </c>
      <c r="G109" s="37" t="s">
        <v>45</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46</v>
      </c>
      <c r="E119" s="37" t="s">
        <v>47</v>
      </c>
      <c r="F119" s="37" t="s">
        <v>33</v>
      </c>
      <c r="G119" s="37" t="s">
        <v>34</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48</v>
      </c>
      <c r="E127" s="37" t="s">
        <v>49</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136</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51</v>
      </c>
      <c r="E153" s="37" t="s">
        <v>52</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119</v>
      </c>
      <c r="E186" s="37" t="s">
        <v>120</v>
      </c>
      <c r="F186" s="37" t="s">
        <v>121</v>
      </c>
      <c r="G186" s="37" t="s">
        <v>122</v>
      </c>
      <c r="H186" s="37" t="s">
        <v>25</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137</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140</v>
      </c>
      <c r="E212" s="37" t="s">
        <v>141</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42</v>
      </c>
      <c r="E231" s="37" t="s">
        <v>151</v>
      </c>
      <c r="F231" s="36" t="s">
        <v>152</v>
      </c>
      <c r="G231" s="37" t="s">
        <v>153</v>
      </c>
      <c r="H231" s="37" t="s">
        <v>154</v>
      </c>
      <c r="I231" s="37" t="s">
        <v>155</v>
      </c>
      <c r="J231" s="37" t="s">
        <v>156</v>
      </c>
      <c r="K231" s="37" t="s">
        <v>157</v>
      </c>
      <c r="L231" s="37" t="s">
        <v>158</v>
      </c>
      <c r="M231" s="37" t="s">
        <v>159</v>
      </c>
      <c r="N231" s="37" t="s">
        <v>160</v>
      </c>
      <c r="O231" s="37" t="s">
        <v>161</v>
      </c>
      <c r="P231" s="37" t="s">
        <v>162</v>
      </c>
      <c r="Q231" s="37" t="s">
        <v>148</v>
      </c>
      <c r="R231" s="37" t="s">
        <v>163</v>
      </c>
      <c r="S231" s="37" t="s">
        <v>164</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5" sqref="A15"/>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0" t="e" vm="1">
        <v>#VALUE!</v>
      </c>
      <c r="C1" s="8" t="s">
        <v>61</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Feedlot'!A1", "Feedlot")</f>
        <v>Feedlot</v>
      </c>
      <c r="D9" s="36" t="s">
        <v>62</v>
      </c>
      <c r="E9" s="37" t="s">
        <v>12</v>
      </c>
      <c r="F9" s="37" t="s">
        <v>63</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58</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HYPERLINK("#'3.1.1.1-2 Enteric Methane'!A1", "3.1.1.1-2 Enteric Methane")</f>
        <v>3.1.1.1-2 Enteric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8" t="s">
        <v>4</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HYPERLINK("#'Constants - Feedlot'!A1", "Constants - Feedlot")</f>
        <v>Constants - Feedlot</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64" t="str">
        <f>HYPERLINK("#'Constants - Livestock'!A1", "Constants - Livestock")</f>
        <v>Constants - Livestock</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Common'!A1", "Constants - Common")</f>
        <v>Constants - Common</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HYPERLINK("#'Acknowledgements'!A1", "Acknowledgements")</f>
        <v>Acknowledgements</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142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2" t="s">
        <v>60</v>
      </c>
    </row>
    <row r="17" spans="1:1" ht="20.100000000000001" customHeight="1" x14ac:dyDescent="0.25">
      <c r="A17" s="62" t="s">
        <v>56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58</v>
      </c>
    </row>
    <row r="22" spans="1:1" ht="20.100000000000001" customHeight="1" x14ac:dyDescent="0.25">
      <c r="A22" s="62" t="s">
        <v>1</v>
      </c>
    </row>
    <row r="23" spans="1:1" ht="20.100000000000001" customHeight="1" x14ac:dyDescent="0.25">
      <c r="A23" s="62" t="s">
        <v>57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2" t="s">
        <v>60</v>
      </c>
    </row>
    <row r="32" spans="1:1" ht="20.100000000000001" customHeight="1" x14ac:dyDescent="0.25">
      <c r="A32" s="62" t="s">
        <v>56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2"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YAZQBlAGQAbABvAHQAIgAsACIAdABlAHgAdAAiADoAIgAvACoAIABcAG4ALQAtAC0ALQAtAC0ALQAtAC0ALQAtAC0ALQAtAC0ALQAtAC0ALQAtAC0ALQAtAC0ALQAtAC0ALQAtAC0ALQAtAC0ALQAtAC0ALQAtAFwAbgBTAG8AdQByAGMAZQBEAGEAdABhAF8ARgBlAGUAZABsAG8AdA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RgBlAGUAZABsAG8AdABfAFYAUwBMAF8AVABpAHQAbABlAFwAbgAgACAAPQBMAEEATQBCAEQAQQAoAFwAIgBGAGUAZQBkAGwAbwB0ACAALQAgAEYAcgBhAGMAdABpAG8AbgAgAG8AZgAgAHYAbwBsAGEAdABpAGwAZQAgAHMAbwBsAGkAZABzACAAbABvAHMAdAAgAGQAdQByAGkAbgBnACAAcwB0AG8AcgBhAGcAZQAgAGkAbgAgAHQAaABlACAAcAByAGkAbQBhAHIAeQAgAHMAeQBzAHQAZQBtAFwAIgApADsAXABuAFwAbgBTAG8AdQByAGMAZQBEAGEAdABhAF8ARgBlAGUAZABsAG8AdABfAFYAUwBMAF8AVgBhAHIAaQBhAGIAbABlAFwAbgAgACAAPQBMAEEATQBCAEQAQQAoAFwAIgBWAFMATABcACIAKQA7AFwAbgBcAG4AUwBvAHUAcgBjAGUARABhAHQAYQBfAEYAZQBlAGQAbABvAHQAXwBWAFMATABfAFUAbgBpAHQAXABuACAAIAA9AEwAQQBNAEIARABBACgAXAAiAEYAcgBhAGMAdABpAG8AbgBcACIAKQA7AFwAbgBcAG4AUwBvAHUAcgBjAGUARABhAHQAYQBfAEYAZQBlAGQAbABvAHQAXwBWAFMATABfAFMAbwB1AHIAYwBlAFwAbgAgACAAPQBMAEEATQBCAEQAQQAoAFwAIgBWAEUARQBSAEcAIAAyADAAMgA2ADoAIAA0AC4AMQAuADIALgAzACAAQwBPAE4AUwBUAEEATgBUAFMAXAAiACkAOwBcAG4AXABuAFMAbwB1AHIAYwBlAEQAYQB0AGEAXwBGAGUAZQBkAGwAbwB0AF8AVgBTAEwAXwBWAGEAcgBpAGEAdABpAG8AbgBcAG4AIAAgAD0ATABBAE0AQgBEAEEAKABcACIAXAAiACkAOwBcAG4AXABuAFMAbwB1AHIAYwBlAEQAYQB0AGEAXwBGAGUAZQBkAGwAbwB0AF8AVgBTAEwAXwBEAGEAdABhAFwAbgAgACAAPQBMAEEATQBCAEQAQQAoADAALgA1ACkAOwBcAG4AXABuAC8AKgAgAFwAbgAtAC0ALQAtAC0ALQAtAC0ALQAtAC0ALQAtAC0ALQAtAC0ALQAtAC0ALQAtAC0ALQAtAC0ALQAtAC0ALQAtAC0ALQAtAC0ALQAtAC0AXABuAFMAbwB1AHIAYwBlAEQAYQB0AGEAXwBGAGUAZQBkAGwAbwB0AF8ATQBNAFMAbQAxAFQAMwBcAG4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bgAtAC0ALQAtAC0ALQAtAC0ALQAtAC0ALQAtAC0ALQAtAC0ALQAtAC0ALQAtAC0ALQAtAC0ALQAtAC0ALQAtAC0ALQAtAC0ALQAtAC0AXABuACoALwBcAG4AXABuAFMAbwB1AHIAYwBlAEQAYQB0AGEAXwBGAGUAZQBkAGwAbwB0AF8ATQBNAFMAbQAxAFQAMwBfAFQAaQB0AGwAZQBcAG4AIAAgAD0ATABBAE0AQgBEAEEAKABcACI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IgApADsAXABuAFwAbgBTAG8AdQByAGMAZQBEAGEAdABhAF8ARgBlAGUAZABsAG8AdABfAE0ATQBTAG0AMQBUADMAXwBWAGEAcgBpAGEAYgBsAGUAXABuACAAIAA9AEwAQQBNAEIARABBACgAXAAiAE0ATQBTAG0AMQBUADMAXAAiACkAOwBcAG4AXABuAFMAbwB1AHIAYwBlAEQAYQB0AGEAXwBGAGUAZQBkAGwAbwB0AF8ATQBNAFMAbQAxAFQAMwBfAFUAbgBpAHQAXABuACAAIAA9AEwAQQBNAEIARABBACgAXAAiAEYAcgBhAGMAdABpAG8AbgBcACIAKQA7AFwAbgBcAG4AUwBvAHUAcgBjAGUARABhAHQAYQBfAEYAZQBlAGQAbABvAHQAXwBNAE0AUwBtADEAVAAzAF8AUwBvAHUAcgBjAGUAXABuACAAIAA9AEwAQQBNAEIARABBACgAXAAiAFYARQBFAFIARwAgADIAMAAyADYAOgAgADQALgAxAC4AMgAuADMAIABDAE8ATgBTAFQAQQBOAFQAUwBcACIAKQA7AFwAbgBcAG4AUwBvAHUAcgBjAGUARABhAHQAYQBfAEYAZQBlAGQAbABvAHQAXwBNAE0AUwBtADEAVAAzAF8AVgBhAHIAaQBhAHQAaQBvAG4AXABuACAAIAA9AEwAQQBNAEIARABBACgAXAAiAFwAIgApADsAXABuAFwAbgBTAG8AdQByAGMAZQBEAGEAdABhAF8ARgBlAGUAZABsAG8AdABfAE0ATQBTAG0AMQBUADMAXwBEAGEAdABhAFwAbgAgACAAPQBMAEEATQBCAEQAQQAoADAALgAwADIAKQA7AFwAbgBcAG4ALwAqACAAXABuAC0ALQAtAC0ALQAtAC0ALQAtAC0ALQAtAC0ALQAtAC0ALQAtAC0ALQAtAC0ALQAtAC0ALQAtAC0ALQAtAC0ALQAtAC0ALQAtAC0ALQBcAG4AUwBvAHUAcgBjAGUARABhAHQAYQBfAEYAZQBlAGQAbABvAHQAXwBBAHMAaABDAG8AbgB0AGUAbgB0AFwAbgBBAHMAaAAgAGMAbwBuAHQAZQBuAHQAIABvAGYAIABtAGEAbgB1AHIAZQAuAFwAbgAtAC0ALQAtAC0ALQAtAC0ALQAtAC0ALQAtAC0ALQAtAC0ALQAtAC0ALQAtAC0ALQAtAC0ALQAtAC0ALQAtAC0ALQAtAC0ALQAtAC0AXABuACoALwBcAG4AXABuAFMAbwB1AHIAYwBlAEQAYQB0AGEAXwBGAGUAZQBkAGwAbwB0AF8AQQBzAGgAQwBvAG4AdABlAG4AdABfAFQAaQB0AGwAZQBcAG4AIAAgAD0ATABBAE0AQgBEAEEAKABcACIAQQBzAGgAIABjAG8AbgB0AGUAbgB0ACAAbwBmACAAbQBhAG4AdQByAGUALgBcACIAKQA7AFwAbgBcAG4AUwBvAHUAcgBjAGUARABhAHQAYQBfAEYAZQBlAGQAbABvAHQAXwBBAHMAaABDAG8AbgB0AGUAbgB0AF8AVgBhAHIAaQBhAGIAbABlAFwAbgAgACAAPQBMAEEATQBCAEQAQQAoAFwAIgBBAFwAIgApADsAXABuAFwAbgBTAG8AdQByAGMAZQBEAGEAdABhAF8ARgBlAGUAZABsAG8AdABfAEEAcwBoAEMAbwBuAHQAZQBuAHQAXwBVAG4AaQB0AFwAbgAgACAAPQBMAEEATQBCAEQAQQAoAFwAIgBGAHIAYQBjAHQAaQBvAG4AXAAiACkAOwBcAG4AXABuAFMAbwB1AHIAYwBlAEQAYQB0AGEAXwBGAGUAZQBkAGwAbwB0AF8AQQBzAGgAQwBvAG4AdABlAG4AdABfAFMAbwB1AHIAYwBlAFwAbgAgACAAPQBMAEEATQBCAEQAQQAoAFwAIgBWAEUARQBSAEcAIAAyADAAMgA2ADoAIAA0AC4AMQAuADIALgAzACAAQwBPAE4AUwBUAEEATgBUAFMAXAAiACkAOwBcAG4AXABuAFMAbwB1AHIAYwBlAEQAYQB0AGEAXwBGAGUAZQBkAGwAbwB0AF8AQQBzAGgAQwBvAG4AdABlAG4AdABfAFYAYQByAGkAYQB0AGkAbwBuAFwAbgAgACAAPQBMAEEATQBCAEQAQQAoAFwAIgBcACIAKQA7AFwAbgBcAG4AUwBvAHUAcgBjAGUARABhAHQAYQBfAEYAZQBlAGQAbABvAHQAXwBBAHMAaABDAG8AbgB0AGUAbgB0AF8ARABhAHQAYQBcAG4AIAAgAD0ATABBAE0AQgBEAEEAKAAwAC4AMQA2ACkAOwBcAG4AXABuAC8AKgAgAFwAbgAtAC0ALQAtAC0ALQAtAC0ALQAtAC0ALQAtAC0ALQAtAC0ALQAtAC0ALQAtAC0ALQAtAC0ALQAtAC0ALQAtAC0ALQAtAC0ALQAtAC0AXABuAFMAbwB1AHIAYwBlAEQAYQB0AGEAXwBGAGUAZQBkAGwAbwB0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RgBlAGUAZABsAG8AdABfAE0AZQB0AGgAYQBuAGUARQBtAGkAcwBzAGkAbwBuAHMAUABvAHQAZQBuAHQAaQBhAGwAXwBUAGkAdABsAGUAXABuACAAIAA9AEwAQQBNAEIARABBACgAXAAiAE0AZQB0AGgAYQBuAGUAIABlAG0AaQBzAHMAaQBvAG4AcwAgAHAAbwB0AGUAbgB0AGkAYQBsAC4AXAAiACkAOwBcAG4AXABuAFMAbwB1AHIAYwBlAEQAYQB0AGEAXwBGAGUAZQBkAGwAbwB0AF8ATQBlAHQAaABhAG4AZQBFAG0AaQBzAHMAaQBvAG4AcwBQAG8AdABlAG4AdABpAGEAbABfAFYAYQByAGkAYQBiAGwAZQBcAG4AIAAgAD0ATABBAE0AQgBEAEEAKABcACIAQgAwAFwAIgApADsAXABuAFwAbgBTAG8AdQByAGMAZQBEAGEAdABhAF8ARgBlAGUAZABsAG8AdABfAE0AZQB0AGgAYQBuAGUARQBtAGkAcwBzAGkAbwBuAHMAUABvAHQAZQBuAHQAaQBhAGwAXwBVAG4AaQB0AFwAbgAgACAAPQBMAEEATQBCAEQAQQAoAFwAIgBtADMAIABDAEgANAAgAC8AIABrAGcAIABWAFMAXAAiACkAOwBcAG4AXABuAFMAbwB1AHIAYwBlAEQAYQB0AGEAXwBGAGUAZQBkAGwAbwB0AF8ATQBlAHQAaABhAG4AZQBFAG0AaQBzAHMAaQBvAG4AcwBQAG8AdABlAG4AdABpAGEAbABfAFMAbwB1AHIAYwBlAFwAbgAgACAAPQBMAEEATQBCAEQAQQAoAFwAIgBWAEUARQBSAEcAIAAyADAAMgA2ADoAIAA0AC4AMQAuADIALgAzACAAQwBPAE4AUwBUAEEATgBUAFMAXAAiACkAOwBcAG4AXABuAFMAbwB1AHIAYwBlAEQAYQB0AGEAXwBGAGUAZQBkAGwAbwB0AF8ATQBlAHQAaABhAG4AZQBFAG0AaQBzAHMAaQBvAG4AcwBQAG8AdABlAG4AdABpAGEAbABfAFYAYQByAGkAYQB0AGkAbwBuAFwAbgAgACAAPQBMAEEATQBCAEQAQQAoAFwAIgBcACIAKQA7AFwAbgBcAG4AUwBvAHUAcgBjAGUARABhAHQAYQBfAEYAZQBlAGQAbABvAHQAXwBNAGUAdABoAGEAbgBlAEUAbQBpAHMAcwBpAG8AbgBzAFAAbwB0AGUAbgB0AGkAYQBsAF8ARABhAHQAYQBcAG4AIAAgAD0ATABBAE0AQgBEAEEAKAAwAC4AMQA5ACkAOwBcAG4AXABuAFwAbgBTAG8AdQByAGMAZQBEAGEAdABhAF8ARgBlAGUAZABsAG8AdABfAFMAdABhAGcAZQAxAE0ATQBTAE8AcAB0AGkAbwBuAHMAXABuACAAIAA9AEwAQQBNAEIARABBACgAXABuACAAIAAgACAATQBBAEsARQBBAFIAUgBBAFkAKAAxACwAIAAxACwAXABuACAAIAAgACAAIAAgAEwAQQBNAEIARABBACgAcgAsAGMALABcAG4AIAAgACAAIAAgACAAIAAgAEkATgBEAEUAWAAoAHsAXABuACAAIAAgACAAIAAgACAAIAAgACAAXAAiAEQAcgB5AGwAbwB0ACAAKABmAGUAZQBkACAAcABhAGQAKQBcACIAXABuACAAIAAgACAAIAAgACAAIAB9ACwAIAByACwAIABjACkAXABuACAAIAAgACAAIAAgACkAXABuACAAIAAgACAAKQBcAG4AIAAgACkAOwBcAG4AXABuAFMAbwB1AHIAYwBlAEQAYQB0AGEAXwBGAGUAZQBkAGwAbwB0AF8AUwB0AGEAZwBlADIATQBNAFMATwBwAHQAaQBvAG4AcwBcAG4AIAAgAD0ATABBAE0AQgBEAEEAKABcAG4AIAAgACAAIABNAEEASwBFAEEAUgBSAEEAWQAoADQALAAgADEALABcAG4AIAAgACAAIAAgACAATABBAE0AQgBEAEEAKAByACwAYwAsAFwAbgAgACAAIAAgACAAIAAgACAASQBOAEQARQBYACgAewBcAG4AIAAgACAAIAAgACAAIAAgACAAIABcACIAUwBvAGwAaQBkACAAcwB0AG8AcgBhAGcAZQBcACIAOwBcAG4AIAAgACAAIAAgACAAIAAgACAAIABcACIAQwBvAG0AcABvAHMAdABpAG4AZwAgACgAcABhAHMAcwBpAHYAZQAgAHcAaQBuAGQAcgBvAHcAKQBcACIAOwBcAG4AIAAgACAAIAAgACAAIAAgACAAIABcACIARABpAHIAZQBjAHQAIABhAHAAcABsAGkAYwBhAHQAaQBvAG4AXAAiADsAXABuACAAIAAgACAAIAAgACAAIAAgACAAXAAiAE4AbwAgAE0ATQBTAFwAIgBcAG4AIAAgACAAIAAgACAAIAAgAH0ALAAgAHIALAAgAGMAKQBcAG4AIAAgACAAIAAgACAAKQBcAG4AIAAgACAAIAApAFwAbgAgACAAKQA7AFwAbgBcAG4AUwBvAHUAcgBjAGUARABhAHQAYQBfAEYAZQBlAGQAbABvAHQAXwBTAHQAYQBnAGUAMwBNAE0AUwBPAHAAdABpAG8AbgBzAFwAbgAgACAAPQBMAEEATQBCAEQAQQAoAFwAbgAgACAAIAAgAE0AQQBLAEUAQQBSAFIAQQBZACgAMQAsACAAMQAsAFwAbgAgACAAIAAgACAAIABMAEEATQBCAEQAQQAoAHIALABjACwAXABuACAAIAAgACAAIAAgACAAIABJAE4ARABFAFgAKAB7AFwAbgAgACAAIAAgACAAIAAgACAAIAAgAFwAIgBBAG4AYQBlAHIAbwBiAGkAYwAgAGwAYQBnAG8AbwBuAFwAIgBcAG4AIAAgACAAIAAgACAAIAAgAH0ALAAgAHIALAAgAGMAKQBcAG4AIAAgACAAIAAgACAAKQBcAG4AIAAgACAAIAApAFwAbgAgACAAKQA7AFwAbgBcAG4AUwBvAHUAcgBjAGUARABhAHQAYQBfAEYAZQBlAGQAbABvAHQAXwBMAGkAdgBlAHMAdABvAGMAawBDAGwAYQBzAHMAZQBzAFwAbgAgACAAPQBMAEEATQBCAEQAQQAoAFwAbgAgACAAIAAgAE0AQQBLAEUAQQBSAFIAQQBZACgAMwAsACAAMQAsAFwAbgAgACAAIAAgACAAIABMAEEATQBCAEQAQQAoAHIALABjACwAXABuACAAIAAgACAAIAAgACAAIABJAE4ARABFAFgAKAB7AFwAbgAgACAAIAAgACAAIAAgACAAIAAgAFwAIgBEAG8AbQBlAHMAdABpAGMAXAAiADsAIABcAG4AIAAgACAAIAAgACAAIAAgACAAIABcACIARQB4AHAAbwByAHQAIABtAGkAZAAgAGYAZQBkAFwAIgA7ACAAXABuACAAIAAgACAAIAAgACAAIAAgACAAXAAiAEUAeABwAG8AcgB0ACAAbABvAG4AZwAgAGYAZQBkAFwAIg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RAB1AHIAYQB0AGkAbwBuAE8AZgBTAHQAYQB5AFwAbgBUAGEAYgBsAGUAIABBAC4AMQAuADEALgAxADoAIABCAGUAZQBmACAAZgBlAGUAZABsAG8AdAAgAGMAYQB0AHQAbABlACAALQAgAEQAdQByAGEAdABpAG8AbgAgAG8AZgAgAHMAdABhAHkAIAAoAGQAYQB5AHMAKQBcAG4ALQAtAC0ALQAtAC0ALQAtAC0ALQAtAC0ALQAtAC0ALQAtAC0ALQAtAC0ALQAtAC0ALQAtAC0ALQAtAC0ALQAtAC0ALQAtAC0ALQAtAFwAbgAqAC8AXABuAFwAbgBTAG8AdQByAGMAZQBEAGEAdABhAF8ARgBlAGUAZABsAG8AdABfAEQAdQByAGEAdABpAG8AbgBPAGYAUwB0AGEAeQBfAFQAaQB0AGwAZQBcAG4AIAAgAD0ATABBAE0AQgBEAEEAKABcACIAQgBlAGUAZgAgAGYAZQBlAGQAbABvAHQAIABjAGEAdAB0AGwAZQAgAC0AIABEAHUAcgBhAHQAaQBvAG4AIABvAGYAIABzAHQAYQB5ACAAKABkAGEAeQBzACkAXAAiACkAOwBcAG4AXABuAFMAbwB1AHIAYwBlAEQAYQB0AGEAXwBGAGUAZQBkAGwAbwB0AF8ARAB1AHIAYQB0AGkAbwBuAE8AZgBTAHQAYQB5AF8AVQBuAGkAdABcAG4AIAAgAD0ATABBAE0AQgBEAEEAKABcACIAXAAiACkAOwBcAG4AXABuAFMAbwB1AHIAYwBlAEQAYQB0AGEAXwBGAGUAZQBkAGwAbwB0AF8ARAB1AHIAYQB0AGkAbwBuAE8AZgBTAHQAYQB5AF8AUwBvAHUAcgBjAGUAXABuACAAIAA9AEwAQQBNAEIARABBACgAXAAiAFYARQBFAFIARwAgADIAMAAyADYAOgAgAFQAYQBiAGwAZQAgAEEALgAxAC4AMQAuADEAOgAgAEIAZQBlAGYAIABmAGUAZQBkAGwAbwB0ACAAYwBhAHQAdABsAGUAIAAtACAARAB1AHIAYQB0AGkAbwBuACAAbwBmACAAcwB0AGEAeQAgACgAZABhAHkAcwApAFwAIgApADsAXABuAFwAbgBTAG8AdQByAGMAZQBEAGEAdABhAF8ARgBlAGUAZABsAG8AdABfAEQAdQByAGEAdABpAG8AbgBPAGYAUwB0AGEAeQBfAFYAYQByAGkAYQB0AGkAbwBuAFwAbgAgACAAPQBMAEEATQBCAEQAQQAoAFwAIgBcACIAKQA7AFwAbgBcAG4AUwBvAHUAcgBjAGUARABhAHQAYQBfAEYAZQBlAGQAbABvAHQAXwBEAHUAcgBhAHQAaQBvAG4ATwBmAFMAdABhAHkAXwBEAGEAdABhAFwAbgAgACAAPQBMAEEATQBCAEQAQQAoAFwAbgAgACAAIAAgAE0AQQBLAEUAQQBSAFIAQQBZACgANAAsACAAMgAsACAAXABuACAAIAAgACAAIAAgAEwAQQBNAEIARABBACgAcgAsAGMALAAgAFwAbgAgACAAIAAgACAAIAAgACAASQBOAEQARQBYACgAewBcAG4AIAAgACAAIAAgACAAIAAgACAAIABcACIARgBlAGUAZABsAG8AdAAgAHQAeQBwAGUAXAAiACwAIABcACIATABlAG4AZwB0AGgAIABvAGYAIABTAHQAYQB5AFwAIgA7AFwAbgAgACAAIAAgACAAIAAgACAAIAAgAFwAIgBEAG8AbQBlAHMAdABpAGMAXAAiACwAIABcACIAMQAtADgAMAAgAGQAYQB5AHMAXAAiADsAXABuACAAIAAgACAAIAAgACAAIAAgACAAXAAiAE0AaQBkAC0AZgBlAGQAXAAiACwAIABcACIAOAAxAC0AMgAwADAAIABkAGEAeQBzAFwAIgA7AFwAbgAgACAAIAAgACAAIAAgACAAIAAgAFwAIgBMAG8AbgBnAC0AZgBlAGQAXAAiACwAIABcACIAMgAwADEAKwAgAGQAYQB5AHM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QQBuAGkAbQBhAGwAQwBoAGEAcgBhAGMAdABlAHIAaQBzAHQAaQBjAHMAXABuAFQAYQBiAGwAZQAgAEEALgAxAC4AMQAuADIAOgAgAEIAZQBlAGYAIABmAGUAZQBkAGwAbwB0ACAAYwBhAHQAdABsAGUAIAAtACAAQQBuAGkAbQBhAGwAIABjAGgAYQByAGEAYwB0AGUAcgBpAHMAdABpAGMAcwBcAG4ALQAtAC0ALQAtAC0ALQAtAC0ALQAtAC0ALQAtAC0ALQAtAC0ALQAtAC0ALQAtAC0ALQAtAC0ALQAtAC0ALQAtAC0ALQAtAC0ALQAtAFwAbgAqAC8AXABuAFwAbgBTAG8AdQByAGMAZQBEAGEAdABhAF8ARgBlAGUAZABsAG8AdABfAEEAbgBpAG0AYQBsAEMAaABhAHIAYQBjAHQAZQByAGkAcwB0AGkAYwBzAF8AVABpAHQAbABlAFwAbgAgACAAPQBMAEEATQBCAEQAQQAoAFwAIgBCAGUAZQBmACAAZgBlAGUAZABsAG8AdAAgAGMAYQB0AHQAbABlACAALQAgAEEAbgBpAG0AYQBsACAAYwBoAGEAcgBhAGMAdABlAHIAaQBzAHQAaQBjAHMAXAAiACkAOwBcAG4AXABuAFMAbwB1AHIAYwBlAEQAYQB0AGEAXwBGAGUAZQBkAGwAbwB0AF8AQQBuAGkAbQBhAGwAQwBoAGEAcgBhAGMAdABlAHIAaQBzAHQAaQBjAHMAXwBVAG4AaQB0AFwAbgAgACAAPQBMAEEATQBCAEQAQQAoAFwAIgBcACIAKQA7AFwAbgBcAG4AUwBvAHUAcgBjAGUARABhAHQAYQBfAEYAZQBlAGQAbABvAHQAXwBBAG4AaQBtAGEAbABDAGgAYQByAGEAYwB0AGUAcgBpAHMAdABpAGMAcwBfAFMAbwB1AHIAYwBlAFwAbgAgACAAPQBMAEEATQBCAEQAQQAoAFwAIgBWAEUARQBSAEcAIAAyADAAMgA2ADoAIABUAGEAYgBsAGUAIABBAC4AMQAuADEALgAyADoAIABCAGUAZQBmACAAZgBlAGUAZABsAG8AdAAgAGMAYQB0AHQAbABlACAALQAgAEEAbgBpAG0AYQBsACAAYwBoAGEAcgBhAGMAdABlAHIAaQBzAHQAaQBjAHMAXAAiACkAOwBcAG4AXABuAFMAbwB1AHIAYwBlAEQAYQB0AGEAXwBGAGUAZQBkAGwAbwB0AF8AQQBuAGkAbQBhAGwAQwBoAGEAcgBhAGMAdABlAHIAaQBzAHQAaQBj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TQBvAHYAZQBkACAAZgBlAGUAZABsAG8AdAAgAHQAeQBwAGUAcwAgAHQAbwAgAGEAIABzAGUAcABhAHIAYQB0AGUAIABjAG8AbAB1AG0AbgAgAHQAbwAgAGEAaQBkACAAbABvAG8AawB1AHAALgBcACIAOwBcAG4AIAAgACAAIAAgACAAIAAgACAAIABcACIATgBhAG0AZQBkACAAJwBjAGgAYQByAGEAYwB0AGUAcgBpAHMAdABpAGMAJwAgAGMAbwBsAHUAbQBuACAALQAgAG8AcgBpAGcAaQBuAGEAbAAgAGgAYQBzACAAaABlAGEAZABlAHIAIAAnAFUAbgBpAHQAJwAgAHcAaABpAGMAaAAgAGMAbwB2AGUAcgBzACAAdAB3AG8AIABjAG8AbAB1AG0AbgBzACkAXAAiAFwAbgAgACAAIAAgACAAIAAgACAAfQAsACAAcgAsACAAYwApAFwAbgAgACAAIAAgACAAIAApAFwAbgAgACAAIAAgACkAXABuACAAIAApADsAXABuAFwAbgBTAG8AdQByAGMAZQBEAGEAdABhAF8ARgBlAGUAZABsAG8AdABfAEEAbgBpAG0AYQBsAEMAaABhAHIAYQBjAHQAZQByAGkAcwB0AGkAYwBzAF8ARABhAHQAYQBcAG4AIAAgAD0ATABBAE0AQgBEAEEAKABcAG4AIAAgACAAIABNAEEASwBFAEEAUgBSAEEAWQAoADEAMAAsACAANwAsACAAXABuACAAIAAgACAAIAAgAEwAQQBNAEIARABBACgAcgAsAGMALAAgAFwAbgAgACAAIAAgACAAIAAgACAASQBOAEQARQBYACgAewBcAG4AIAAgACAAIAAgACAAIAAgACAAIABcACIARgBlAGUAZABsAG8AdAAgAHQAeQBwAGUAXAAiACwAIABcACIAQwBoAGEAcgBhAGMAdABlAHIAaQBzAHQAaQBjAFwAIgAsACAAXAAiAFUAbgBpAHQAXAAiACwAIABcACIAMgAwADAANQAtADIAMAAwADkAXAAiACwAIABcACIAMgAwADEAMAAtADIAMAAxADQAXAAiACwAIABcACIAMgAwADEANQAtADIAMAAxADkAXAAiACwAIABcACIAMgAwADIAMAAtADIAMAAyADMAXAAiADsAXABuACAAIAAgACAAIAAgACAAIAAgACAAXAAiAEQAbwBtAGUAcwB0AGkAYwBcACIALAAgAFwAIgBEAGEAeQBzACAAbwBuACAAZgBlAGUAZABcACIALAAgAFwAIgBkAGEAeQBzAFwAIgAsACAANwAwACwAIAA3ADAALAAgADcAMAAsACAANwA1ADsAXABuACAAIAAgACAAIAAgACAAIAAgACAAXAAiAEQAbwBtAGUAcwB0AGkAYwBcACIALAAgAFwAIgBGAGUAZQBkACAAaQBuAHQAYQBrAGUAXAAiACwAIABcACIAawBnACAARABNAC8AZABhAHkAXAAiACwAIAAxADAALgAwACwAIAAxADAALgAwACwAIAAxADAALgA0ACwAIAAxADAALgA0ADsAXABuACAAIAAgACAAIAAgACAAIAAgACAAXAAiAEQAbwBtAGUAcwB0AGkAYwBcACIALAAgAFwAIgBOACAAcgBlAHQAZQBuAHQAaQBvAG4AXAAiACwAIABcACIAcABlAHIAIABjAGUAbgB0ACAAbwBmACAAaQBuAHQAYQBrAGUAXAAiACwAIAAyADEALgAxACwAIAAyADAALgA0ACwAIAAyADAALgA0ACwAIAAyADAALgA0ADsAXABuACAAIAAgACAAIAAgACAAIAAgACAAXAAiAE0AaQBkAC0AZgBlAGQAXAAiACwAIABcACIARABhAHkAcwAgAG8AbgAgAGYAZQBlAGQAXAAiACwAIABcACIAZABhAHkAcwBcACIALAAgADEAMQA1ACwAIAAxADEANQAsACAAMQAyADAALAAgADEANQAwADsAXABuACAAIAAgACAAIAAgACAAIAAgACAAXAAiAE0AaQBkAC0AZgBlAGQAXAAiACwAIABcACIARgBlAGUAZAAgAGkAbgB0AGEAawBlAFwAIgAsACAAXAAiAGsAZwAgAEQATQAvAGQAYQB5AFwAIgAsACAAMQAxAC4AMgAsACAAMQAwAC4AOAAsACAAMQAwAC4AOAAsACAAMQAwAC4AOAA7AFwAbgAgACAAIAAgACAAIAAgACAAIAAgAFwAIgBNAGkAZAAtAGYAZQBkAFwAIgAsACAAXAAiAE4AIAByAGUAdABlAG4AdABpAG8AbgBcACIALAAgAFwAIgBwAGUAcgAgAGMAZQBuAHQAIABvAGYAIABpAG4AdABhAGsAZQBcACIALAAgADEAMgAuADUALAAgADEAMgAuADcALAAgADEAMgAuADcALAAgADEAMgAuADcAOwBcAG4AIAAgACAAIAAgACAAIAAgACAAIABcACIATABvAG4AZwAtAGYAZQBkAFwAIgAsACAAXAAiAEQAYQB5AHMAIABvAG4AIABmAGUAZQBkAFwAIgAsACAAXAAiAGQAYQB5AHMAXAAiACwAIAAyADUAMAAsACAAMgA1ADAALAAgADIANQAwACwAIAAyADUAMAA7AFwAbgAgACAAIAAgACAAIAAgACAAIAAgAFwAIgBMAG8AbgBnAC0AZgBlAGQAXAAiACwAIABcACIARgBlAGUAZAAgAGkAbgB0AGEAawBlAFwAIgAsACAAXAAiAGsAZwAgAEQATQAvAGQAYQB5AFwAIgAsACAAOQAuADAALAAgADgALgA1ACwAIAA4AC4AMgAsACAAOAAuADIAOwBcAG4AIAAgACAAIAAgACAAIAAgACAAIABcACIATABvAG4AZwAtAGYAZQBkAFwAIgAsACAAXAAiAE4AIAByAGUAdABlAG4AdABpAG8AbgBcACIALAAgAFwAIgBwAGUAcgAgAGMAZQBuAHQAIABvAGYAIABpAG4AdABhAGsAZQBcACIALAAgADYALgA2ACwAIAA3AC4AMAAsACAANwAuADAALAAgADcALgAwAFwAbgAgACAAIAAgACAAIAAgACAAfQAsACAAcgAsACAAYwApAFwAbgAgACAAIAAgACAAIAApAFwAbgAgACAAIAAgACkAXABuACAAIAApADsAXABuAFwAbgBcAG4AXABuAFwAbgBcAG4AXABuAFwAbgAvACoAIABcAG4ALQAtAC0ALQAtAC0ALQAtAC0ALQAtAC0ALQAtAC0ALQAtAC0ALQAtAC0ALQAtAC0ALQAtAC0ALQAtAC0ALQAtAC0ALQAtAC0ALQAtAFwAbgBTAG8AdQByAGMAZQBEAGEAdABhAF8ARgBlAGUAZABsAG8AdABfAEQAaQBlAHQAUAByAG8AcABlAHIAdABpAGUAcwBcAG4AVABhAGIAbABlACAAQQAuADEALgAxAC4AMwA6ACAAQgBlAGUAZgAgAGYAZQBlAGQAbABvAHQAIABjAGEAdAB0AGwAZQAgAC0AIABEAGkAZQB0ACAAcAByAG8AcABlAHIAdABpAGUAcwBcAG4ALQAtAC0ALQAtAC0ALQAtAC0ALQAtAC0ALQAtAC0ALQAtAC0ALQAtAC0ALQAtAC0ALQAtAC0ALQAtAC0ALQAtAC0ALQAtAC0ALQAtAFwAbgAqAC8AXABuAFwAbgBTAG8AdQByAGMAZQBEAGEAdABhAF8ARgBlAGUAZABsAG8AdABfAEQAaQBlAHQAUAByAG8AcABlAHIAdABpAGUAcwBfAFQAaQB0AGwAZQBcAG4AIAAgAD0ATABBAE0AQgBEAEEAKABcACIAQgBlAGUAZgAgAGYAZQBlAGQAbABvAHQAIABjAGEAdAB0AGwAZQAgAC0AIABEAGkAZQB0ACAAcAByAG8AcABlAHIAdABpAGUAcwBcACIAKQA7AFwAbgBcAG4AUwBvAHUAcgBjAGUARABhAHQAYQBfAEYAZQBlAGQAbABvAHQAXwBEAGkAZQB0AFAAcgBvAHAAZQByAHQAaQBlAHMAXwBVAG4AaQB0AFwAbgAgACAAPQBMAEEATQBCAEQAQQAoAFwAIgBcACIAKQA7AFwAbgBcAG4AUwBvAHUAcgBjAGUARABhAHQAYQBfAEYAZQBlAGQAbABvAHQAXwBEAGkAZQB0AFAAcgBvAHAAZQByAHQAaQBlAHMAXwBTAG8AdQByAGMAZQBcAG4AIAAgAD0ATABBAE0AQgBEAEEAKABcACIAVgBFAEUAUgBHACAAMgAwADIANgA6ACAAVABhAGIAbABlACAAQQAuADEALgAxAC4AMwA6ACAAQgBlAGUAZgAgAGYAZQBlAGQAbABvAHQAIABjAGEAdAB0AGwAZQAgAC0AIABEAGkAZQB0ACAAcAByAG8AcABlAHIAdABpAGUAcwBcACIAKQA7AFwAbgBcAG4AUwBvAHUAcgBjAGUARABhAHQAYQBfAEYAZQBlAGQAbABvAHQAXwBEAGkAZQB0AFAAcgBvAHAAZQByAHQAaQBl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QQBkAGQAZQBkACAAJwBDAG8AbgB2AGUAcgB0AGUAZAAgAHQAbwAgAGYAcgBhAGMAdABpAG8AbgAgAGMAbwBsAHUAbQBuACAAYQBuAGQAIABjAG8AbgB2AGUAcgB0AGUAZAAgAE4ARABGACAAYQBuAGQAIABFAHQAaABlAHIAIABlAHgAdAByAGEAYwB0ACAAdgBhAGwAdQBlAHMAIAB0AG8AIABmAHIAYQBjAHQAaQBvAG4AcwAuAFwAIgA7AFwAbgAgACAAIAAgACAAIAAgACAAIAAgAFwAIgBNAG8AdgBlAGQAIABmAGUAZQBkAGwAbwB0ACAAdAB5AHAAZQBzACAAdABvACAAYQAgAHMAZQBwAGEAcgBhAHQAZQAgAGMAbwBsAHUAbQBuACAAdABvACAAYQBpAGQAIABsAG8AbwBrAHUAcAAuAFwAIgBcAG4AIAAgACAAIAAgACAAIAAgAH0ALAAgAHIALAAgAGMAKQBcAG4AIAAgACAAIAAgACAAKQBcAG4AIAAgACAAIAApAFwAbgAgACAAKQA7AFwAbgBcAG4AUwBvAHUAcgBjAGUARABhAHQAYQBfAEYAZQBlAGQAbABvAHQAXwBEAGkAZQB0AFAAcgBvAHAAZQByAHQAaQBlAHMAXwBEAGEAdABhAFwAbgAgACAAPQBMAEEATQBCAEQAQQAoAFwAbgAgACAAIAAgAE0AQQBLAEUAQQBSAFIAQQBZACgAMQAzACwAIAA4ACwAIABcAG4AIAAgACAAIAAgACAATABBAE0AQgBEAEEAKAByACwAYwAsACAAXABuACAAIAAgACAAIAAgACAAIABJAE4ARABFAFgAKAB7AFwAbgAgACAAIAAgACAAIAAgACAAIAAgAFwAIgBGAGUAZQBkAGwAbwB0ACAAdAB5AHAAZQBcACIALAAgAFwAIgBOAHUAdAByAGkAZQBuAHQAIABhAG4AYQBsAHkAcwBpAHMAXAAiACwAIABcACIAVQBuAGkAdABcACIALAAgAFwAIgAyADAAMAA1AC0AMgAwADAAOQBcACIALAAgAFwAIgAyADAAMQAwAC0AMgAwADEANABcACIALAAgAFwAIgAyADAAMQA1AC0AMgAwADEAOQBcACIALAAgAFwAIgAyADAAMgAwAC0AMgAwADIAMwBcACIALAAgAFwAIgBDAG8AbgB2AGUAcgB0AGUAZAAgAHQAbwAgAGYAcgBhAGMAdABpAG8AbgBcACIAOwBcAG4AIAAgACAAIAAgACAAIAAgACAAIABcACIARABvAG0AZQBzAHQAaQBjAFwAIgAsACAAXAAiAEQAcgB5ACAAbQBhAHQAdABlAHIAIABkAGkAZwBlAHMAdABpAGIAaQBsAGkAdAB5AFwAIgAsACAAXAAiAGYAcgBhAGMAdABpAG8AbgBcACIALAAgADAALgA4ADEALAAgADAALgA4ADEALAAgADAALgA4ADEALAAgADAALgA4ADEALAAgADAALgA4ADEAOwBcAG4AIAAgACAAIAAgACAAIAAgACAAIABcACIARABvAG0AZQBzAHQAaQBjAFwAIgAsACAAXAAiAEMAcgB1AGQAZQAgAHAAcgBvAHQAZQBpAG4AXAAiACwAIABcACIAZgByAGEAYwB0AGkAbwBuAFwAIgAsACAAMAAuADEANAAsACAAMAAuADEANAAsACAAMAAuADEANAAsACAAMAAuADEANAAsACAAMAAuADEANAA7AFwAbgAgACAAIAAgACAAIAAgACAAIAAgAFwAIgBEAG8AbQBlAHMAdABpAGMAXAAiACwAIABcACIATgBEAEYAXAAiACwAIABcACIAcABlAHIAIABjAGUAbgB0AFwAIgAsACAAMgAzAC4AMAAsACAAMgAyAC4AMAAsACAAMgAyAC4AMAAsACAAMgAyAC4AMAAsACAAMAAuADIAMgA7AFwAbgAgACAAIAAgACAAIAAgACAAIAAgAFwAIgBEAG8AbQBlAHMAdABpAGMAXAAiACwAIABcACIARQB0AGgAZQByACAARQB4AHQAcgBhAGMAdABcACIALAAgAFwAIgBwAGUAcgAgAGMAZQBuAHQAXAAiACwAIAA0AC4ANQAsACAANAAuADUALAAgADQALgA4ACwAIAA0AC4AOAAsACAAMAAuADAANAA4ADsAXABuACAAIAAgACAAIAAgACAAIAAgACAAXAAiAE0AaQBkAC0AZgBlAGQAXAAiACwAIABcACIARAByAHkAIABtAGEAdAB0AGUAcgAgAGQAaQBnAGUAcwB0AGkAYgBpAGwAaQB0AHkAXAAiACwAIABcACIAZgByAGEAYwB0AGkAbwBuAFwAIgAsACAAMAAuADgAMQAsACAAMAAuADgAMQAsACAAMAAuADgAMQAsACAAMAAuADgAMQAsACAAMAAuADgAMQA7AFwAbgAgACAAIAAgACAAIAAgACAAIAAgAFwAIgBNAGkAZAAtAGYAZQBkAFwAIgAsACAAXAAiAEMAcgB1AGQAZQAgAHAAcgBvAHQAZQBpAG4AXAAiACwAIABcACIAZgByAGEAYwB0AGkAbwBuAFwAIgAsACAAMAAuADEAMwAsACAAMAAuADEAMgA1ACwAIAAwAC4AMQAyACwAIAAwAC4AMQAyACwAIAAwAC4AMQAyADsAXABuACAAIAAgACAAIAAgACAAIAAgACAAXAAiAE0AaQBkAC0AZgBlAGQAXAAiACwAIABcACIATgBEAEYAXAAiACwAIABcACIAcABlAHIAIABjAGUAbgB0AFwAIgAsACAAMgA0AC4AMAAsACAAMgAyAC4AMAAsACAAMgAyAC4AMAAsACAAMgAyAC4AMAAsACAAMAAuADIAMgA7AFwAbgAgACAAIAAgACAAIAAgACAAIAAgAFwAIgBNAGkAZAAtAGYAZQBkAFwAIgAsACAAXAAiAEUAdABoAGUAcgAgAEUAeAB0AHIAYQBjAHQAXAAiACwAIABcACIAcABlAHIAIABjAGUAbgB0AFwAIgAsACAANQAuADAALAAgADUALgAwACwAIAA1AC4AMAAsACAANQAuADAALAAgADAALgAwADUAOwBcAG4AIAAgACAAIAAgACAAIAAgACAAIABcACIATABvAG4AZwAtAEYAZQBkAFwAIgAsACAAXAAiAEQAcgB5ACAAbQBhAHQAdABlAHIAIABkAGkAZwBlAHMAdABpAGIAaQBsAGkAdAB5AFwAIgAsACAAXAAiAGYAcgBhAGMAdABpAG8AbgBcACIALAAgADAALgA4ADEALAAgADAALgA4ADEALAAgADAALgA4ADEALAAgADAALgA4ADEALAAgADAALgA4ADEAOwBcAG4AIAAgACAAIAAgACAAIAAgACAAIABcACIATABvAG4AZwAtAEYAZQBkAFwAIgAsACAAXAAiAEMAcgB1AGQAZQAgAHAAcgBvAHQAZQBpAG4AXAAiACwAIABcACIAZgByAGEAYwB0AGkAbwBuAFwAIgAsACAAMAAuADEAMwAsACAAMAAuADEAMgA1ACwAIAAwAC4AMQAyACwAIAAwAC4AMQAyACwAIAAwAC4AMQAyADsAXABuACAAIAAgACAAIAAgACAAIAAgACAAXAAiAEwAbwBuAGcALQBGAGUAZABcACIALAAgAFwAIgBOAEQARgBcACIALAAgAFwAIgBwAGUAcgAgAGMAZQBuAHQAXAAiACwAIAAyADQALgAwACwAIAAyADQALgAwACwAIAAyADQALgAwACwAIAAyADQALgAwACwAIAAwAC4AMgA0ADsAXABuACAAIAAgACAAIAAgACAAIAAgACAAXAAiAEwAbwBuAGcALQBGAGUAZABcACIALAAgAFwAIgBFAHQAaABlAHIAIABFAHgAdAByAGEAYwB0AFwAIgAsACAAXAAiAHAAZQByACAAYwBlAG4AdABcACIALAAgADUALgAwACwAIAA1AC4AMAAsACAANQAuADUALAAgADUALgA1ACwAIAAwAC4AMAA1ADU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0AQwBGAFwAbgBUAGEAYgBsAGUAIABBAC4AMQAuADEALgA0ADoAIABCAGUAZQBmACAAZgBlAGUAZABsAG8AdAAgAGMAYQB0AHQAbABlACAALQAgAE0AQwBGAHMAIAAoAGYAcgBhAGMAdABpAG8AbgApACAAKABNAEMARgBpAG0AVAApAFwAbgAtAC0ALQAtAC0ALQAtAC0ALQAtAC0ALQAtAC0ALQAtAC0ALQAtAC0ALQAtAC0ALQAtAC0ALQAtAC0ALQAtAC0ALQAtAC0ALQAtAC0AXABuACoALwBcAG4AXABuAFMAbwB1AHIAYwBlAEQAYQB0AGEAXwBGAGUAZQBkAGwAbwB0AF8ATQBDAEYAXwBUAGkAdABsAGUAXABuACAAIAA9AEwAQQBNAEIARABBACgAXAAiAEYAZQBlAGQAbABvAHQAIAAtACAATQBDAEYAcwBcACIAKQA7AFwAbgBcAG4AUwBvAHUAcgBjAGUARABhAHQAYQBfAEYAZQBlAGQAbABvAHQAXwBNAEMARgBfAFUAbgBpAHQAXABuACAAIAA9AEwAQQBNAEIARABBACgAXAAiAFwAIgApADsAXABuAFwAbgBTAG8AdQByAGMAZQBEAGEAdABhAF8ARgBlAGUAZABsAG8AdABfAE0AQwBGAF8AUwBvAHUAcgBjAGUAXABuACAAIAA9AEwAQQBNAEIARABBACgAXAAiAFYARQBFAFIARwAgADIAMAAyADYAOgAgAFQAYQBiAGwAZQAgAEEALgAxAC4AMQAuADQAOgAgAEIAZQBlAGYAIABmAGUAZQBkAGwAbwB0ACAAYwBhAHQAdABsAGUAIAAtACAATQBDAEYAcwAgACgAZgByAGEAYwB0AGkAbwBuACkAIAAoAE0AQwBGAGkAbQBUACkAXAAiACkAOwBcAG4AXABuAFMAbwB1AHIAYwBlAEQAYQB0AGEAXwBGAGUAZQBkAGwAbwB0AF8ATQBDAEYAXwBWAGEAcgBpAGEAdABpAG8AbgBcAG4AIAAgAD0ATABBAE0AQgBEAEEAKABcAG4AIAAgACAAIABNAEEASwBFAEEAUgBSAEEAWQAoADQALAAgADEALAAgAFwAbgAgACAAIAAgACAAIABMAEEATQBCAEQAQQAoAHIALABjACwAIABcAG4AIAAgACAAIAAgACAAIAAgAEkATgBEAEUAWAAoAHsAXABuACAAIAAgACAAIAAgACAAIAAgACAAXAAiAFYAQQBSAEkAQQBUAEkATwBOACAATwBOACAAUwBPAFUAUgBDAEUAOgBcACIAOwBcAG4AIAAgACAAIAAgACAAIAAgACAAIABcACIARAB1AHAAbABpAGMAYQB0AGUAZAAgAE4AUwBXACAAdgBhAGwAdQBlAHMAIABmAG8AcgAgAEEAQwBUAFwAIgA7AFwAbgAgACAAIAAgACAAIAAgACAAIAAgAFwAIgBBAGQAZABlAGQAIABOAFQAIABhAG4AZAAgAFQAQQBTACAAYwBvAGwAdQBtAG4AcwAgAHcAaQB0AGgAIAAnAG4AbwAgAGQAYQB0AGEAJwAgAHYAYQBsAHUAZQBzAFwAIgA7AFwAbgAgACAAIAAgACAAIAAgACAAIAAgAFwAIgBBAGQAZABlAGQAIAAnAE4ASQBSACAAZABlAGYAaQBuAGkAdABpAG8AbgAn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QBDAEYAXwBEAGEAdABhAFwAbgAgACAAPQBMAEEATQBCAEQAQQAoAFwAbgAgACAAIAAgAE0AQQBLAEUAQQBSAFIAQQBZACgANgAsACAAMQAxACwAIABcAG4AIAAgACAAIAAgACAATABBAE0AQgBEAEEAKAByACwAYwAsACAAXABuACAAIAAgACAAIAAgACAAIABJAE4ARABFAFgAKAB7AFwAbgAgACAAIAAgACAAIAAgACAAIAAgAFwAIgBUAHIAZQBhAHQAbQBlAG4AdAAgAHMAdABhAGcAZQAgAFQAXAAiACwAIABcACIATQBNAFMAIABtAFwAIgAsACAAXAAiAE4AUwBXAFwAIgAsACAAXAAiAEEAQwBUAFwAIgAsACAAXAAiAFEATABEAFwAIgAsACAAXAAiAE4AVABcACIALAAgAFwAIgBTAEEAXAAiACwAIABcACIAVgBJAEMAXAAiACwAIABcACIAVwBBAFwAIgAsACAAXAAiAFQAQQBTAFwAIgAsACAAXAAiAE4ASQBSACAAZABlAGYAaQBuAGkAdABpAG8AbgBcACIAOwBcAG4AIAAgACAAIAAgACAAIAAgACAAIABcACIAUAByAGkAbQBhAHIAeQBcACIALAAgAFwAIgBEAHIAeQAgAGwAbwB0ACAAKABGAGUAZQBkAHAAYQBkACkAXAAiACwAIAAwAC4AMAAxACwAIAAwAC4AMAAxACwAIAAwAC4AMAAzACwAIABcACIATgBvACAAZABhAHQAYQBcACIALAAgADAALgAwADEALAAgADAALgAwADEALAAgADAALgAwADEALAAgAFwAIgBOAG8AIABkAGEAdABhAFwAIgAsACAAXAAiAEQAcgB5AGwAbwB0ACAAKABmAGUAZQBkACAAcABhAGQAKQBcACIAOwAgAFwAbgAgACAAIAAgACAAIAAgACAAIAAgAFwAIgBTAGUAYwBvAG4AZABhAHIAeQBcACIALAAgAFwAIgBTAG8AbABpAGQAIABTAHQAbwByAGEAZwBlACAAKABTAHQAbwBjAGsAcABpAGwAZQApAFwAIgAsACAAMAAuADAAMgAsACAAMAAuADAAMgAsACAAMAAuADAAMgAsACAAXAAiAE4AbwAgAGQAYQB0AGEAXAAiACwAIAAwAC4AMAAyACwAIAAwAC4AMAAyACwAIAAwAC4AMAAyACwAIABcACIATgBvACAAZABhAHQAYQBcACIALAAgAFwAIgBTAG8AbABpAGQAIABzAHQAbwByAGEAZwBlAFwAIgA7ACAAXABuACAAIAAgACAAIAAgACAAIAAgACAAXAAiAFMAZQBjAG8AbgBkAGEAcgB5AFwAIgAsACAAXAAiAEMAbwBtAHAAbwBzAHQAaQBuAGcAIAAoAFAAYQBzAHMAaQB2AGUAIABXAGkAbgBkAHIAbwB3ACkAXAAiACwAIAAwAC4AMAAxACwAIAAwAC4AMAAxACwAIAAwAC4AMAAxACwAIABcACIATgBvACAAZABhAHQAYQBcACIALAAgADAALgAwADEALAAgADAALgAwADEALAAgADAALgAwADEALAAgAFwAIgBOAG8AIABkAGEAdABhAFwAIgAsACAAXAAiAEMAbwBtAHAAbwBzAHQAaQBuAGcAIAAoAHAAYQBzAHMAaQB2AGUAIAB3AGkAbgBkAHIAbwB3ACkAXAAiADsAIABcAG4AIAAgACAAIAAgACAAIAAgACAAIABcACIAUwBlAGMAbwBuAGQAYQByAHkAXAAiACwAIABcACIARABpAHIAZQBjAHQAIABBAHAAcABsAGkAYwBhAHQAaQBvAG4AIAB0AG8AIABzAG8AaQBsAFwAIgAsACAAMAAsACAAMAAsACAAMAAsACAAXAAiAE4AbwAgAGQAYQB0AGEAXAAiACwAIAAwACwAIAAwACwAIAAwACwAIABcACIATgBvACAAZABhAHQAYQBcACIALAAgAFwAIgBEAGkAcgBlAGMAdAAgAGEAcABwAGwAaQBjAGEAdABpAG8AbgBcACIAOwAgAFwAbgAgACAAIAAgACAAIAAgACAAIAAgAFwAIgBUAGUAcgB0AGkAYQByAHkAXAAiACwAIABcACIAVQBuAGMAbwB2AGUAcgBlAGQAIABhAG4AYQBlAHIAbwBiAGkAYwAgAGwAYQBnAG8AbwBuACAAKABFAGYAZgBsAHUAZQBuAHQAIABwAG8AbgBkACkAXAAiACwAIAAwAC4ANwA1ACwAIAAwAC4ANwA1ACwAIAAwAC4ANwA3ACwAIABcACIATgBvACAAZABhAHQAYQBcACIALAAgADAALgA3ADUALAAgADAALgA3ADUALAAgADAALgA3ADcALAAgAFwAIgBOAG8AIABkAGEAdABhAFwAIg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TgBpAHQAcgBvAHUAcwBPAHgAaQBkAGUARQBGAHMAXABuAFQAYQBiAGwAZQAgAEEALgAxAC4AMQAuADUAOgAgAEIAZQBlAGYAIABmAGUAZQBkAGwAbwB0ACAAYwBhAHQAdABsAGUAIAAtACAATgBpAHQAcgBvAHUAcwAgAG8AeABpAGQAZQAgAEUARgBzACAAKABFAEYAbQBUACkAXABuAC0ALQAtAC0ALQAtAC0ALQAtAC0ALQAtAC0ALQAtAC0ALQAtAC0ALQAtAC0ALQAtAC0ALQAtAC0ALQAtAC0ALQAtAC0ALQAtAC0ALQBcAG4AKgAvAFwAbgBcAG4AUwBvAHUAcgBjAGUARABhAHQAYQBfAEYAZQBlAGQAbABvAHQAXwBOAGkAdAByAG8AdQBzAE8AeABpAGQAZQBFAEYAcwBfAFQAaQB0AGwAZQBcAG4AIAAgAD0ATABBAE0AQgBEAEEAKABcACIARgBlAGUAZABsAG8AdAAgAC0AIABOAGkAdAByAG8AdQBzACAAbwB4AGkAZABlACAARQBGAHMAXAAiACkAOwBcAG4AXABuAFMAbwB1AHIAYwBlAEQAYQB0AGEAXwBGAGUAZQBkAGwAbwB0AF8ATgBpAHQAcgBvAHUAcwBPAHgAaQBkAGUARQBGAHMAXwBVAG4AaQB0AFwAbgAgACAAPQBMAEEATQBCAEQAQQAoAFwAIgBcACIAKQA7AFwAbgBcAG4AUwBvAHUAcgBjAGUARABhAHQAYQBfAEYAZQBlAGQAbABvAHQAXwBOAGkAdAByAG8AdQBzAE8AeABpAGQAZQBFAEYAcwBfAFMAbwB1AHIAYwBlAFwAbgAgACAAPQBMAEEATQBCAEQAQQAoAFwAIgBWAEUARQBSAEcAIAAyADAAMgA2ADoAIABUAGEAYgBsAGUAIABBAC4AMQAuADEALgA1ADoAIABCAGUAZQBmACAAZgBlAGUAZABsAG8AdAAgAGMAYQB0AHQAbABlACAALQAgAE4AaQB0AHIAbwB1AHMAIABvAHgAaQBkAGUAIABFAEYAcwAgACgARQBGAG0AVAApAFwAIgApADsAXABuAFwAbgBTAG8AdQByAGMAZQBEAGEAdABhAF8ARgBlAGUAZABsAG8AdABfAE4AaQB0AHIAbwB1AHMATwB4AGkAZABlAEUARgBz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CcATgBJAFIAIABkAGUAZgBpAG4AaQB0AGkAbwBuAC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OAGkAdAByAG8AdQBzAE8AeABpAGQAZQBFAEYAcw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UARgBtAFQAIAAoAGsAZwAgAE4AMgBPAC0ATgAvAGsAZwAgAE4AKQBcACIALAAgAFwAIgBOAEkAUgAgAGQAZQBmAGkAbgBpAHQAaQBvAG4AXAAiADsAXABuACAAIAAgACAAIAAgACAAIAAgACAAXAAiAFAAcgBpAG0AYQByAHkAXAAiACwAIABcACIARAByAHkAIABsAG8AdAAgACgARgBlAGUAZABwAGEAZAApAFwAIgAsACAAMAAuADAAMAA1ADQALAAgAFwAIgBEAHIAeQBsAG8AdAAgACgAZgBlAGUAZAAgAHAAYQBkACkAXAAiADsAXABuACAAIAAgACAAIAAgACAAIAAgACAAXAAiAFMAZQBjAG8AbgBkAGEAcgB5AFwAIgAsACAAXAAiAFMAbwBsAGkAZAAgAFMAdABvAHIAYQBnAGUAIAAoAFMAdABvAGMAawBwAGkAbABlACkAXAAiACwAIAAwAC4AMAAwADUALAAgAFwAIgBTAG8AbABpAGQAIABzAHQAbwByAGEAZwBlAFwAIgA7AFwAbgAgACAAIAAgACAAIAAgACAAIAAgAFwAIgBTAGUAYwBvAG4AZABhAHIAeQBcACIALAAgAFwAIgBDAG8AbQBwAG8AcwB0AGkAbgBnACAAKABQAGEAcwBzAGkAdgBlACAAVwBpAG4AZAByAG8AdwApAFwAIgAsACAAMAAuADAAMQ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UABvAG4AZAApAFwAIgAsACAAMA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RgByAGEAYwBOAFYAbwBsAGEAdABpAGwAaQBzAGUAZABcAG4AVABhAGIAbABlACAAQQAuADEALgAxAC4ANgA6ACAAQgBlAGUAZgAgAGYAZQBlAGQAbABvAHQAIABjAGEAdAB0AGwAZQAgAC0AIABGAHIAYQBjAHQAaQBvAG4AIABvAGYAIABOACAAdgBvAGwAYQB0AGkAbABpAHMAZQBkACAAYgB5ACAATQBNAFMAIAAoAEYAcgBhAGMARwBBAFMATQBtAFQAKQBcAG4ALQAtAC0ALQAtAC0ALQAtAC0ALQAtAC0ALQAtAC0ALQAtAC0ALQAtAC0ALQAtAC0ALQAtAC0ALQAtAC0ALQAtAC0ALQAtAC0ALQAtAFwAbgAqAC8AXABuAFwAbgBTAG8AdQByAGMAZQBEAGEAdABhAF8ARgBlAGUAZABsAG8AdABfAEYAcgBhAGMATgBWAG8AbABhAHQAaQBsAGkAcwBlAGQAXwBUAGkAdABsAGUAXABuACAAIAA9AEwAQQBNAEIARABBACgAXAAiAEYAZQBlAGQAbABvAHQAIAAtACAARgByAGEAYwB0AGkAbwBuACAAbwBmACAATgAgAHYAbwBsAGEAdABpAGwAaQBzAGUAZAAgAGIAeQAgAE0ATQBTACAAKABGAHIAYQBjAEcAQQBTAE0AbQBUACkAXAAiACkAOwBcAG4AXABuAFMAbwB1AHIAYwBlAEQAYQB0AGEAXwBGAGUAZQBkAGwAbwB0AF8ARgByAGEAYwBOAFYAbwBsAGEAdABpAGwAaQBzAGUAZABfAFUAbgBpAHQAXABuACAAIAA9AEwAQQBNAEIARABBACgAXAAiAFwAIgApADsAXABuAFwAbgBTAG8AdQByAGMAZQBEAGEAdABhAF8ARgBlAGUAZABsAG8AdABfAEYAcgBhAGMATgBWAG8AbABhAHQAaQBsAGkAcwBlAGQAXwBTAG8AdQByAGMAZQBcAG4AIAAgAD0ATABBAE0AQgBEAEEAKABcACIAVgBFAEUAUgBHACAAMgAwADIANgA6ACAAVABhAGIAbABlACAAQQAuADEALgAxAC4ANgA6ACAAQgBlAGUAZgAgAGYAZQBlAGQAbABvAHQAIABjAGEAdAB0AGwAZQAgAC0AIABGAHIAYQBjAHQAaQBvAG4AIABvAGYAIABOACAAdgBvAGwAYQB0AGkAbABpAHMAZQBkACAAYgB5ACAATQBNAFMAIAAoAEYAcgBhAGMARwBBAFMATQBtAFQAKQBcACIAKQA7AFwAbgBcAG4AUwBvAHUAcgBjAGUARABhAHQAYQBfAEYAZQBlAGQAbABvAHQAXwBGAHIAYQBjAE4AVgBvAGwAYQB0AGkAbABpAHMAZQBk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CcATgBJAFIAIABkAGUAZgBpAG4AaQB0AGkAbwBuAC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GAHIAYQBjAE4AVgBvAGwAYQB0AGkAbABpAHMAZQBk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gByAGEAYwBHAEEAUwBNAG0AVAAgACgAawBnACAATgBIADMALQBOACAAKwAgAE4ATwB4AC0ATgApAC8AawBnACAATgBcACIALAAgAFwAIgBOAEkAUgAgAGQAZQBmAGkAbgBpAHQAaQBvAG4AXAAiADsAXABuACAAIAAgACAAIAAgACAAIAAgACAAXAAiAFAAcgBpAG0AYQByAHkAXAAiACwAIABcACIARAByAHkAIABsAG8AdAAgACgARgBlAGUAZABwAGEAZAApAFwAIgAsACAAMAAuADYALAAgAFwAIgBEAHIAeQBsAG8AdAAgACgAZgBlAGUAZAAgAHAAYQBkACkAXAAiADsAXABuACAAIAAgACAAIAAgACAAIAAgACAAXAAiAFMAZQBjAG8AbgBkAGEAcgB5AFwAIgAsACAAXAAiAFMAbwBsAGkAZAAgAFMAdABvAHIAYQBnAGUAIAAoAFMAdABvAGMAawBwAGkAbABlACkAXAAiACwAIAAwAC4AMgA1ACwAIABcACIAUwBvAGwAaQBkACAAcwB0AG8AcgBhAGcAZQBcACIAOwBcAG4AIAAgACAAIAAgACAAIAAgACAAIABcACIAUwBlAGMAbwBuAGQAYQByAHkAXAAiACwAIABcACIAQwBvAG0AcABvAHMAdABpAG4AZwAgACgAUABhAHMAcwBpAHYAZQAgAFcAaQBuAGQAcgBvAHcAKQBcACIALAAgADAALgA0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wAG8AbgBkACkAXAAiACwAIAAwAC4AMwA1ACwAIABcACIAQQBuAGEAZQByAG8AYgBpAGMAIABsAGEAZwBvAG8AbgBcACIAXABuACAAIAAgACAAIAAgACAAIAB9ACwAIAByACwAIABjACkAXABuACAAIAAgACAAIAAgACkAXABuACAAIAAgACAAKQBcAG4AIAAgACkAOwBcAG4AXABuACIAfQAsAHsAIgBwAGEAdABoACIAOgAiAC8AcAByAG8AagBlAGMAdABzAC8ATQBNAFMAXwBGAGUAZQBkAGwAbwB0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EAIABNAGUAdABoAG8AZAAgADEAIAAtACAATQBhAG4AdQByAGUAIABNAGUAdABoAGEAbgBl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HsARQB9AF8AewBDAEgANAB9AD0AXABcAHMAdQBtAF8AewBqAH0AXABcAHMAdQBtAF8AewBtAH0AXABcAHMAdQBtAF8AewBUAH0AKABEAF8AewBqAH0AXABcAHQAaQBtAGUAcwAgAE0AXwB7AGoAbQBUAH0AXABcAHQAaQBtAGUAcwAgAE4AXwB7AGoAfQApAFwAXAB0AGkAbQBlAHMAMQAwAF4AewAtADMAfQBcAG4ARABfAGoAIAA9ACAAbABlAG4AZwB0AGgAIABvAGYAIABzAHQAYQB5ACAAbwBmACAAZQBhAGMAaAAgAGMAYQB0AHQAbABlACAAZwByAG8AdQBwACAAOgAgAGQAYQB5AHMAXABuAE0AXwBqAG0AVAAgAD0AIABtAGUAdABoAGEAbgBlACAAcAByAG8AZAB1AGMAdABpAG8AbgAgAGYAcgBvAG0AIABtAGEAbgB1AHIAZQAgAHAAZQByACAAYwBhAHQAdABsAGUAIABnAHIAbwB1AHAALAAgAE0ATQBTACwAIABhAG4AZAAgAHQAcgBlAGEAdABtAGUAbgB0ACAAcwB0AGEAZwBlACAAOgAgAGsAZwAgAEMASAA0AC8AaABlAGEAZAAvAGQAYQB5AFwAbgBOAF8AagAgAD0AIABuAHUAbQBiAGUAcgBzACAAbwBmACAAYgBlAGUAZgAgAGMAYQB0AHQAbABlACAAaQBuACAAZQBhAGMAaAAgAGcAcgBvAHUAcAAgADoAIABoAGUAYQBkAFwAbgAtAC0ALQAtAC0ALQAtAC0ALQAtAC0ALQAtAC0ALQAtAC0ALQAtAC0ALQAtAC0ALQAtAC0ALQAtAC0ALQAtAC0ALQAtAC0ALQAtAC0AXABuACoALwBcAG4AXABuAFYARQBFAFIARwBfADQAXwAxAF8AMQBfADEAXwBfADEAXwBUAG8AdABhAGwAQQBuAG4AdQBhAGwATQBlAHQAaABhAG4AZQBFAG0AaQBzAHMAaQBvAG4AcwBcAG4AIAAgAD0ATABBAE0AQgBEAEEAKABcAG4AIAAgACAAIABEAF8AagAsACAATQBfAGoAbQBUACwAIABOAF8AagAsAFwAbgAgACAAIAAgACgARABfAGoAIAAqACAATQBfAGoAbQBUACAAKgAgAE4AXwBqACkAIAAqACAAMQAwACAAXgAgAC0AMwBcAG4AIAAgACkAOwBcAG4AXABuAFYARQBFAFIARwBfADQAXwAx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MQBfADEAXwAxAF8AXwAxAF8AVABvAHQAYQBsAEEAbgBuAHUAYQBsAE0AZQB0AGgAYQBuAGUARQBtAGkAcwBzAGkAbwBuAHMAXwBWAGEAcgBpAGEAYgBsAGUAXABuACAAIAA9AEwAQQBNAEIARABBACgAXAAiAEUAXwBDAEgANABcACIAKQA7AFwAbgBcAG4AVgBFAEUAUgBHAF8ANABfADEAXwAxAF8AMQBfAF8AMQBfAFQAbwB0AGEAbABBAG4AbgB1AGEAbABNAGUAdABoAGEAbgBlAEUAbQBpAHMAcwBpAG8AbgBzAF8AVQBuAGkAdABcAG4AIAAgAD0ATABBAE0AQgBEAEEAKABcACIAdAAgAEMASAA0AFwAIgApADsAXABuAFwAbgBWAEUARQBSAEcAXwA0AF8AMQBfADEAXwAxAF8AXwAxAF8AVABvAHQAYQBsAEEAbgBuAHUAYQBsAE0AZQB0AGgAYQBuAGUARQBtAGkAcwBzAGkAbwBuAHMAXwBTAG8AdQByAGMAZQBcAG4AIAAgAD0ATABBAE0AQgBEAEEAKABcACIAVgBFAEUAUgBHACAAMgAwADIANgA6ACAANAAuADEALgAxAC4AMQAsACAARQBxAHUAYQB0AGkAbwBuACAAKAAxACkAXAAiACkAOwBcAG4AXABuAFYARQBFAFIARwBfADQAXwAxAF8AMQBfADEAXwBfADEAXwBUAG8AdABhAGwAQQBuAG4AdQBhAGwATQBlAHQAaABhAG4AZQBFAG0AaQBzAHMAaQBvAG4AcwBfAE4ASQBSAFIAZQBmAGUAcgBlAG4AYwBlAFwAbgAgACAAPQBMAEEATQBCAEQAQQAoAFwAIgBcACIAKQA7AFwAbgBcAG4AVgBFAEUAUgBHAF8ANABfADEAXwAxAF8AMQBfAF8AMQBfAFQAbwB0AGEAbABBAG4AbgB1AGEAbABNAGUAdABoAGEAbgBlAEUAbQBpAHMAcwBpAG8AbgBzAF8ATABhAHQAZQB4AEUAcQB1AGEAdABpAG8AbgBcAG4AIAAgAD0ATABBAE0AQgBEAEEAKABcACIAewBFAH0AXwB7AEMASAA0AH0APQBcAFwAcwB1AG0AXwB7AGoAfQBcAFwAcwB1AG0AXwB7AG0AfQBcAFwAcwB1AG0AXwB7AFQAfQAoAEQAXwB7AGoAfQBcAFwAdABpAG0AZQBzACAATQBfAHsAagBtAFQAfQBcAFwAdABpAG0AZQBzACAATgBfAHsAagB9ACkAXABcAHQAaQBtAGUAcwAxADAAXgB7AC0AMwB9AFwAIgApADsAXABuAFwAbgBWAEUARQBSAEcAXwA0AF8AM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fAGoAXAAiACwAXAAiAGwAZQBuAGcAdABoACAAbwBmACAAcwB0AGEAeQAgAG8AZgAgAGUAYQBjAGgAIABjAGEAdAB0AGwAZQAgAGcAcgBvAHUAcABcACIALAAgAFwAIgBkAGEAeQBzAFwAIgAsACAAXAAiAEkAbgBwAHUAdABcACIAOwBcAG4AIAAgACAAIAAgACAAIAAgACAAIABcACIATQBfAGoAbQBUAFwAIgAsAFwAIgBtAGUAdABoAGEAbgBlACAAcAByAG8AZAB1AGMAdABpAG8AbgAgAGYAcgBvAG0AIABtAGEAbgB1AHIAZQAgAHAAZQByACAAYwBhAHQAdABsAGUAIABnAHIAbwB1AHAALAAgAE0ATQBTACwAIABhAG4AZAAgAHQAcgBlAGEAdABtAGUAbgB0ACAAcwB0AGEAZwBlAFwAIgAsACAAXAAiAGsAZwAgAEMASAA0AC8AaABlAGEAZAAvAGQAYQB5AFwAIgAsACAAXAAiAEMAYQBsAGMAdQBsAGEAdABlAGQAIABmAHIAbwBtACAANAAuADEALgAxAC4AMQAgACgAMgApACgAMwApACgANAApAFwAIgA7AFwAbgAgACAAIAAgACAAIAAgACAAIAAgAFwAIgBOAF8AagBcACIALABcACIAbgB1AG0AYgBlAHIAcwAgAG8AZgAgAGIAZQBlAGYAIABjAGEAdAB0AGwAZQAgAGkAbgAgAGUAYQBjAGgAIABnAHIAbwB1AHA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gBfAFMAdABhAGcAZQAxAE0AZQB0AGgAYQBuAGUAUAByAG8AZAB1AGMAdABpAG8AbgBEAHIAeQBsAG8AdABcAG4AUAByAG8AZAB1AGMAdABpAG8AbgAgAG8AZgAgAG0AZQB0AGgAYQBuAGUAIABpAG4AIAB0AHIAZQBhAHQAbQBlAG4AdAAgAHMAdABhAGcAZQAgADEAIABNAE0AUwBcAG4ATQBfAGoAbQA1AFQAMQBcAG4AawBnACAAQwBIADQALwBoAGUAYQBkAC8AZABhAHkAXABuAE0AXwB7AGoAbQA9ADUALABUAD0AMQB9AD0AVgBTAF8AewBqAH0AXABcAHQAaQBtAGUAcwAgAEIATwBcAFwAdABpAG0AZQBzACAATQBNAFMAXwB7AG0APQA1ACwAVAA9ADEAfQBcAFwAdABpAG0AZQBzACAATQBDAEYAXwB7AGkAbQA9ADU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NQBUADEAIAA9ACAAZgByAGEAYwB0AGkAbwBuACAAbwBmACAAbQBhAG4AdQByAGUAIABpAG4AIABwAHIAaQBtAGEAcgB5ACAAcwB5AHMAdABlAG0AIABkAHIAeQBsAG8AdAAgAE0ATQBTACAAOgAgAGYAcgBhAGMAdABpAG8AbgBcAG4ATQBDAEYAXwBpAG0ANQAgAD0AIABtAGUAdABoAGEAbgBlACAAYwBvAG4AdgBlAHIAcwBpAG8AbgAgAGYAYQBjAHQAbwByACAAZgBvAHIAIABtAGUAYQBuACAAYQBuAG4AdQBhAGwAIAB0AGUAbQBwAGUAcgBhAHQAdQByAGUAIABhAG4AZAAgAGQAcgB5AGwAbwB0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gBfAFMAdABhAGcAZQAxAE0AZQB0AGgAYQBuAGUAUAByAG8AZAB1AGMAdABpAG8AbgBEAHIAeQBsAG8AdABcAG4AIAAgAD0ATABBAE0AQgBEAEEAKABcAG4AIAAgACAAIABWAFMAXwBqACwAIABCAE8ALAAgAE0ATQBTAF8AbQA1AFQAMQAsACAATQBDAEYAXwBpAG0ANQAsACAAcgBoAG8ALABcAG4AIAAgACAAIABMAEUAVAAoAFwAbgAgACAAIAAgACAAIABNAEMARgBfAGkAbQA1ACwAIABJAEYAKABJAFMATgBVAE0AQgBFAFIAKABNAEMARgBfAGkAbQA1ACkALAAgAE0AQwBGAF8AaQBtADUALAAgADAAKQAsAFwAbgAgACAAIAAgACAAIABWAFMAXwBqACAAKgAgAEIATwAgACoAIABNAE0AUwBfAG0ANQBUADEAIAAqACAATQBDAEYAXwBpAG0ANQAgACoAIAByAGgAbwBcAG4AIAAgACAAIAApAFwAbgAgACAAKQA7AFwAbgBcAG4AVgBFAEUAUgBHAF8ANABfADEAXwAxAF8AMQBfAF8AMgBfAFMAdABhAGcAZQAxAE0AZQB0AGgAYQBuAGUAUAByAG8AZAB1AGMAdABpAG8AbgBEAHIAeQBsAG8AdABfAFQAaQB0AGwAZQBcAG4AIAAgAD0ATABBAE0AQgBEAEEAKABcACIAUAByAG8AZAB1AGMAdABpAG8AbgAgAG8AZgAgAG0AZQB0AGgAYQBuAGUAIABpAG4AIAB0AHIAZQBhAHQAbQBlAG4AdAAgAHMAdABhAGcAZQAgADEAIABNAE0AUwBcACIAKQA7AFwAbgBcAG4AVgBFAEUAUgBHAF8ANABfADEAXwAxAF8AMQBfAF8AMgBfAFMAdABhAGcAZQAxAE0AZQB0AGgAYQBuAGUAUAByAG8AZAB1AGMAdABpAG8AbgBEAHIAeQBsAG8AdABfAFYAYQByAGkAYQBiAGwAZQBcAG4AIAAgAD0ATABBAE0AQgBEAEEAKABcACIATQBfAGoAbQA1AFQAMQBcACIAKQA7AFwAbgBcAG4AVgBFAEUAUgBHAF8ANABfADEAXwAxAF8AMQBfAF8AMgBfAFMAdABhAGcAZQAxAE0AZQB0AGgAYQBuAGUAUAByAG8AZAB1AGMAdABpAG8AbgBEAHIAeQBsAG8AdABfAFUAbgBpAHQAXABuACAAIAA9AEwAQQBNAEIARABBACgAXAAiAGsAZwAgAEMASAA0AC8AaABlAGEAZAAvAGQAYQB5AFwAIgApADsAXABuAFwAbgBWAEUARQBSAEcAXwA0AF8AMQBfADEAXwAxAF8AXwAyAF8AUwB0AGEAZwBlADEATQBlAHQAaABhAG4AZQBQAHIAbwBkAHUAYwB0AGkAbwBuAEQAcgB5AGwAbwB0AF8AUwBvAHUAcgBjAGUAXABuACAAIAA9AEwAQQBNAEIARABBACgAXAAiAFYARQBFAFIARwAgADIAMAAyADYAOgAgADQALgAxAC4AMQAuADEALAAgAEUAcQB1AGEAdABpAG8AbgAgACgAMgApAFwAIgApADsAXABuAFwAbgBWAEUARQBSAEcAXwA0AF8AMQBfADEAXwAxAF8AXwAyAF8AUwB0AGEAZwBlADEATQBlAHQAaABhAG4AZQBQAHIAbwBkAHUAYwB0AGkAbwBuAEQAcgB5AGwAbwB0AF8ATgBJAFIAUgBlAGYAZQByAGUAbgBjAGUAXABuACAAIAA9AEwAQQBNAEIARABBACgAXAAiAFwAIgApADsAXABuAFwAbgBWAEUARQBSAEcAXwA0AF8AMQBfADEAXwAxAF8AXwAyAF8AUwB0AGEAZwBlADEATQBlAHQAaABhAG4AZQBQAHIAbwBkAHUAYwB0AGkAbwBuAEQAcgB5AGwAbwB0AF8ATABhAHQAZQB4AEUAcQB1AGEAdABpAG8AbgBcAG4AIAAgAD0ATABBAE0AQgBEAEEAKABcACIATQBfAHsAagBtAD0ANQAsAFQAPQAxAH0APQBWAFMAXwB7AGoAfQBcAFwAdABpAG0AZQBzACAAQgBPAFwAXAB0AGkAbQBlAHMAIABNAE0AUwBfAHsAbQA9ADUALABUAD0AMQB9AFwAXAB0AGkAbQBlAHMAIABNAEMARgBfAHsAaQBtAD0ANQB9AFwAXAB0AGkAbQBlAHMAIABcAFwAcgBoAG8AXAAiACkAOwBcAG4AXABuAFYARQBFAFIARwBfADQAXwAxAF8AMQBfADEAXwBfADIAXwBTAHQAYQBnAGUAMQBNAGUAdABoAGEAbgBlAFAAcgBvAGQAdQBjAHQAaQBvAG4ARAByAHkAbABvAHQAXwBBAHIAZwB1AG0AZQBuAHQAcw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UAVAAxAFwAIgAsAFwAIgBmAHIAYQBjAHQAaQBvAG4AIABvAGYAIABtAGEAbgB1AHIAZQAgAGkAbgAgAHAAcgBpAG0AYQByAHkAIABzAHkAcwB0AGUAbQAgAGQAcgB5AGwAbwB0ACAATQBNAFMAXAAiACwAIABcACIAZgByAGEAYwB0AGkAbwBuAFwAIgAsACAAXAAiAEkAbgBwAHUAdABcACIAOwBcAG4AIAAgACAAIAAgACAAIAAgACAAIABcACIATQBDAEYAXwBpAG0ANQBcACIALABcACIAbQBlAHQAaABhAG4AZQAgAGMAbwBuAHYAZQByAHMAaQBvAG4AIABmAGEAYwB0AG8AcgAgAGYAbwByACAAcwB0AGEAdABlACAAYQBuAGQAIABkAHIAeQBsAG8Ad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yAF8AUwB0AGEAZwBlADEATQBlAHQAaABhAG4AZQBQAHIAbwBkAHUAYwB0AGkAbwBuAEQAcgB5AGwAbw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NQBUADEAXAAiACwAXAAiAGYAcgBhAGMAdABpAG8AbgAgAG8AZgAgAG0AYQBuAHUAcgBlACAAaQBuACAAcAByAGkAbQBhAHIAeQAgAHMAeQBzAHQAZQBtACAAZAByAHkAbABvAHQAIABNAE0AUwBcACIALAAgAFwAIgBmAHIAYQBjAHQAaQBvAG4AXAAiACwAIABcACIASQBuAHAAdQB0AFwAIgA7AFwAbgAgACAAIAAgACAAIAAgACAAIAAgAFwAIgBNAEMARgBfAGkAbQA1AFwAIgAsAFwAIgBtAGUAdABoAGEAbgBlACAAYwBvAG4AdgBlAHIAcwBpAG8AbgAgAGYAYQBjAHQAbwByACAAZgBvAHIAIABzAHQAYQB0AGUAIABhAG4AZAAgAGQAcgB5AGwAbwB0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zAF8AUwB0AGEAZwBlADIATQBlAHQAaABhAG4AZQBQAHIAbwBkAHUAYwB0AGkAbwBuAFwAbgBQAHIAbwBkAHUAYwB0AGkAbwBuACAAbwBmACAAbQBlAHQAaABhAG4AZQAgAGkAbgAgAHQAcgBlAGEAdABtAGUAbgB0ACAAcwB0AGEAZwBlACAAMgAgAE0ATQBTAFwAbgBNAF8AagBtAFQAMgBcAG4AawBnACAAQwBIADQALwBoAGUAYQBkAC8AZABhAHkAXABuAE0AXwB7AGoAbQBUAD0AMgB9AD0AKAAxAC0AVgBTAEwAKQBcAFwAdABpAG0AZQBzACAAVgBTAF8AewBqAH0AXABcAHQAaQBtAGUAcwAgAEIATwBcAFwAdABpAG0AZQBzACAATQBNAFMAXwB7AG0AVAA9ADIAfQBcAFwAdABpAG0AZQBzACAATQBDAEYAXwB7AGkAbQB9AFwAXAB0AGkAbQBlAHMAIABcAFwAcgBoAG8AXABuAFYAUwBMACAAPQAgAGYAcgBhAGMAdABpAG8AbgAgAG8AZgAgAHYAbwBsAGEAdABpAGwAZQAgAHMAbwBsAGkAZABzACAAbABvAHMAdAAgAGQAdQByAGkAbgBnACAAcwB0AG8AcgBhAGcAZQAgAGkAbgAgAHQAaABlACAAcAByAGkAbQBhAHIAeQAgAHMAeQBzAHQAZQBtACAAOgAgAGYAcgBhAGMAdABpAG8Abg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FQAMgAgAD0AIABmAHIAYQBjAHQAaQBvAG4AIABvAGYAIABtAGEAbgB1AHIAZQAgAGkAbgAgAGUAYQBjAGgAIABzAGUAYwBvAG4AZABhAHIAeQAgAHMAeQBzAHQAZQBtACAAOgAgAGYAcgBhAGMAdABpAG8AbgBcAG4ATQBDAEYAXwBpAG0AIAA9ACAAbQBlAHQAaABhAG4AZQAgAGMAbwBuAHYAZQByAHMAaQBvAG4AIABmAGEAYwB0AG8AcgAgAGYAbwByACAAbQBlAGEAbgAgAGEAbgBuAHUAYQBsACAAdABlAG0AcABlAHIAYQB0AHUAc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zAF8AUwB0AGEAZwBlADIATQBlAHQAaABhAG4AZQBQAHIAbwBkAHUAYwB0AGkAbwBuAFwAbgAgACAAPQBMAEEATQBCAEQAQQAoAFwAbgAgACAAIAAgAFYAUwBMACwAIABWAFMAXwBqACwAIABCAE8ALAAgAE0ATQBTAF8AbQBUADIALAAgAE0AQwBGAF8AaQBtACwAIAByAGgAbwAsAFwAbgAgACAAIAAgACgAMQAgAC0AIABWAFMATAApACAAKgAgAFYAUwBfAGoAIAAqACAAQgBPACAAKgAgAE0ATQBTAF8AbQBUADIAIAAqACAATQBDAEYAXwBpAG0AIAAqACAAcgBoAG8AXABuACAAIAApADsAXABuAFwAbgBWAEUARQBSAEcAXwA0AF8AMQ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MQBfADEAXwAxAF8AXwAzAF8AUwB0AGEAZwBlADIATQBlAHQAaABhAG4AZQBQAHIAbwBkAHUAYwB0AGkAbwBuAF8AVgBhAHIAaQBhAGIAbABlAFwAbgAgACAAPQBMAEEATQBCAEQAQQAoAFwAIgBNAF8AagBtAFQAMgBcACIAKQA7AFwAbgBcAG4AVgBFAEUAUgBHAF8ANABfADEAXwAxAF8AMQBfAF8AMwBfAFMAdABhAGcAZQAyAE0AZQB0AGgAYQBuAGUAUAByAG8AZAB1AGMAdABpAG8AbgBfAFUAbgBpAHQAXABuACAAIAA9AEwAQQBNAEIARABBACgAXAAiAGsAZwAgAEMASAA0AC8AaABlAGEAZAAvAGQAYQB5AFwAIgApADsAXABuAFwAbgBWAEUARQBSAEcAXwA0AF8AMQBfADEAXwAxAF8AXwAzAF8AUwB0AGEAZwBlADIATQBlAHQAaABhAG4AZQBQAHIAbwBkAHUAYwB0AGkAbwBuAF8AUwBvAHUAcgBjAGUAXABuACAAIAA9AEwAQQBNAEIARABBACgAXAAiAFYARQBFAFIARwAgADIAMAAyADYAOgAgADQALgAxAC4AMQAuADEALAAgAEUAcQB1AGEAdABpAG8AbgAgACgAMwApAFwAIgApADsAXABuAFwAbgBWAEUARQBSAEcAXwA0AF8AMQBfADEAXwAxAF8AXwAzAF8AUwB0AGEAZwBlADIATQBlAHQAaABhAG4AZQBQAHIAbwBkAHUAYwB0AGkAbwBuAF8ATgBJAFIAUgBlAGYAZQByAGUAbgBjAGUAXABuACAAIAA9AEwAQQBNAEIARABBACgAXAAiAFwAIgApADsAXABuAFwAbgBWAEUARQBSAEcAXwA0AF8AMQBfADEAXwAxAF8AXwAzAF8AUwB0AGEAZwBlADIATQBlAHQAaABhAG4AZQBQAHIAbwBkAHUAYwB0AGkAbwBuAF8ATABhAHQAZQB4AEUAcQB1AGEAdABpAG8AbgBcAG4AIAAgAD0ATABBAE0AQgBEAEEAKABcACIATQBfAHsAagBtAFQAPQAyAH0APQAoADEALQBWAFMATAApAFwAXAB0AGkAbQBlAHMAIABWAFMAXwB7AGoAfQBcAFwAdABpAG0AZQBzACAAQgBPAFwAXAB0AGkAbQBlAHMAIABNAE0AUwBfAHsAbQBUAD0AMgB9AFwAXAB0AGkAbQBlAHMAIABNAEMARgBfAHsAaQBtAH0AXABcAHQAaQBtAGUAcwAgAFwAXAByAGgAbwBcACIAKQA7AFwAbgBcAG4AVgBFAEUAUgBHAF8ANABfADEAXwAxAF8AMQBfAF8AMwBfAFMAdABhAGcAZQAyAE0AZQB0AGgAYQBuAGUAUAByAG8AZAB1AGMAdABpAG8AbgBfAEEAcgBnAHUAbQBlAG4AdABzAFwAbgAgACAAPQBMAEEATQBCAEQAQQAoAFwAbgAgACAAIAAgAE0AQQBLAEUAQQBSAFIAQQBZACgANwAsACAANAAsAFwAbgAgACAAIAAgACAAIABMAEEATQBCAEQAQQAoAHIALABjACwAXABuACAAIAAgACAAIAAgACAAIABJAE4ARABFAFgAKAB7AFwAbgAgACAAIAAgACAAIAAgACAAIAAgAFwAIgBWAFMATABcACIALABcACIAZgByAGEAYwB0AGkAbwBuACAAbwBmACAAdgBvAGwAYQB0AGkAbABlACAAcwBvAGwAaQBkAHMAIABsAG8AcwB0ACAAZAB1AHIAaQBuAGcAIABzAHQAbwByAGEAZwBlACAAaQBuACAAdABoAGUAIABwAHIAaQBtAGEAcgB5ACAAcwB5AHMAdABlAG0AXAAiACwAIABcACIAZgByAGEAYwB0AGkAbwBuAFwAIgAsACAAXAAiAEMAbwBuAHMAdABhAG4AdABcACIAO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cwB0AGEAdA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MwBfAFMAdABhAGcAZQAyAE0AZQB0AGgAYQBuAGUAUAByAG8AZAB1AGMAdABpAG8AbgBfAEEAcgBnAHUAbQBlAG4AdABzAF8ATQBlAHQAaABvAGQAMgBcAG4AIAAgAD0ATABBAE0AQgBEAEEAKABcAG4AIAAgACAAIABNAEEASwBFAEEAUgBSAEEAWQAoADcALAAgADQ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FwAIgAsACAAXAAiAGYAcgBhAGMAdABpAG8AbgBcACIALAAgAFwAIgBDAG8AbgBzAHQAYQBuAHQAXAAiAD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G0AZQBhAG4AIABhAG4AbgB1AGEAbAAgAHQAZQBtAHAAZQByAGEAdAB1AHI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TQBlAGEAbgAgAGEAbgBuAHUAYQBsACAAdABlAG0AcABlAHIAYQB0AHUAc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0AF8AUwB0AGEAZwBlADMATQBlAHQAaABhAG4AZQBQAHIAbwBkAHUAYwB0AGkAbwBuAEEAbgBhAGUAcgBvAGIAaQBjAEwAYQBnAG8AbwBuAFwAbgBQAHIAbwBkAHUAYwB0AGkAbwBuACAAbwBmACAAbQBlAHQAaABhAG4AZQAgAGkAbgAgAHQAcgBlAGEAdABtAGUAbgB0ACAAcwB0AGEAZwBlACAAMwAgAE0ATQBTAFwAbgBNAF8AagBtADEAVAAzAFwAbgBrAGcAIABDAEgANAAvAGgAZQBhAGQALwBkAGEAeQBcAG4ATQBfAHsAagBtAD0AMQAsAFQAPQAzAH0APQBWAFMAXwB7AGoAfQBcAFwAdABpAG0AZQBzACAAQgBPAFwAXAB0AGkAbQBlAHMAIABNAE0AUwBfAHsAbQA9ADEALABUAD0AMwB9AFwAXAB0AGkAbQBlAHMAIABNAEMARgBfAHsAaQBtAD0AMQB9AFwAXAB0AGkAbQBlAHMAIABcAFwAcgBoAG8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AxAFQAMwAgAD0AIABmAHIAYQBjAHQAaQBvAG4AIABvAGYAIABtAGEAbgB1AHIAZQAgAHQAbwAgAHQAZQByAHQAaQBhAHIAeQAgAGEAbgBhAGUAcgBvAGIAaQBjACAAbABhAGcAbwBvAG4AIABzAHkAcwB0AGUAbQAgADoAIABmAHIAYQBjAHQAaQBvAG4AXABuAE0AQwBGAF8AaQBtADEAIAA9ACAAbQBlAHQAaABhAG4AZQAgAGMAbwBuAHYAZQByAHMAaQBvAG4AIABmAGEAYwB0AG8AcgAgAGYAbwByACAAbQBlAGEAbgAgAGEAbgBuAHUAYQBsACAAdABlAG0AcABlAHIAYQB0AHUAcgBlACAAYQBuAGQAIABhAG4AYQBlAHIAbwBiAGkAYwAgAGwAYQBnAG8AbwBu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NABfAFMAdABhAGcAZQAzAE0AZQB0AGgAYQBuAGUAUAByAG8AZAB1AGMAdABpAG8AbgBBAG4AYQBlAHIAbwBiAGkAYwBMAGEAZwBvAG8AbgBcAG4AIAAgAD0ATABBAE0AQgBEAEEAKABcAG4AIAAgACAAIABWAFMAXwBqACwAIABCAE8ALAAgAE0ATQBTAF8AbQAxAFQAMwAsACAATQBDAEYAXwBpAG0AMQAsACAAcgBoAG8ALABcAG4AIAAgACAAIABWAFMAXwBqACAAKgAgAEIATwAgACoAIABNAE0AUwBfAG0AMQBUADMAIAAqACAATQBDAEYAXwBpAG0AMQAgACoAIAByAGgAbwBcAG4AIAAgACkAOwBcAG4AXABuAFYARQBFAFIARwBfADQAXwAxAF8AMQBfADEAXwBfADQAXwBTAHQAYQBnAGUAMwBNAGUAdABoAGEAbgBlAFAAcgBvAGQAdQBjAHQAaQBvAG4AQQBuAGEAZQByAG8AYgBpAGMATABhAGcAbwBvAG4AXwBUAGkAdABsAGUAXABuACAAIAA9AEwAQQBNAEIARABBACgAXAAiAFAAcgBvAGQAdQBjAHQAaQBvAG4AIABvAGYAIABtAGUAdABoAGEAbgBlACAAaQBuACAAdAByAGUAYQB0AG0AZQBuAHQAIABzAHQAYQBnAGUAIAAzACAATQBNAFMAXAAiACkAOwBcAG4AXABuAFYARQBFAFIARwBfADQAXwAxAF8AMQBfADEAXwBfADQAXwBTAHQAYQBnAGUAMwBNAGUAdABoAGEAbgBlAFAAcgBvAGQAdQBjAHQAaQBvAG4AQQBuAGEAZQByAG8AYgBpAGMATABhAGcAbwBvAG4AXwBWAGEAcgBpAGEAYgBsAGUAXABuACAAIAA9AEwAQQBNAEIARABBACgAXAAiAE0AXwBqAG0AMQBUADMAXAAiACkAOwBcAG4AXABuAFYARQBFAFIARwBfADQAXwAxAF8AMQBfADEAXwBfADQAXwBTAHQAYQBnAGUAMwBNAGUAdABoAGEAbgBlAFAAcgBvAGQAdQBjAHQAaQBvAG4AQQBuAGEAZQByAG8AYgBpAGMATABhAGcAbwBvAG4AXwBVAG4AaQB0AFwAbgAgACAAPQBMAEEATQBCAEQAQQAoAFwAIgBrAGcAIABDAEgANAAvAGgAZQBhAGQALwBkAGEAeQBcACIAKQA7AFwAbgBcAG4AVgBFAEUAUgBHAF8ANABfADEAXwAxAF8AMQBfAF8ANABfAFMAdABhAGcAZQAzAE0AZQB0AGgAYQBuAGUAUAByAG8AZAB1AGMAdABpAG8AbgBBAG4AYQBlAHIAbwBiAGkAYwBMAGEAZwBvAG8AbgBfAFMAbwB1AHIAYwBlAFwAbgAgACAAPQBMAEEATQBCAEQAQQAoAFwAIgBWAEUARQBSAEcAIAAyADAAMgA2ADoAIAA0AC4AMQAuADEALgAxACwAIABFAHEAdQBhAHQAaQBvAG4AIAAoADQAKQBcACIAKQA7AFwAbgBcAG4AVgBFAEUAUgBHAF8ANABfADEAXwAxAF8AMQBfAF8ANABfAFMAdABhAGcAZQAzAE0AZQB0AGgAYQBuAGUAUAByAG8AZAB1AGMAdABpAG8AbgBBAG4AYQBlAHIAbwBiAGkAYwBMAGEAZwBvAG8AbgBfAE4ASQBSAFIAZQBmAGUAcgBlAG4AYwBlAFwAbgAgACAAPQBMAEEATQBCAEQAQQAoAFwAIgBcACIAKQA7AFwAbgBcAG4AVgBFAEUAUgBHAF8ANABfADEAXwAxAF8AMQBfAF8ANABfAFMAdABhAGcAZQAzAE0AZQB0AGgAYQBuAGUAUAByAG8AZAB1AGMAdABpAG8AbgBBAG4AYQBlAHIAbwBiAGkAYwBMAGEAZwBvAG8AbgBfAEwAYQB0AGUAeABFAHEAdQBhAHQAaQBvAG4AXABuACAAIAA9AEwAQQBNAEIARABBACgAXAAiAE0AXwB7AGoAbQA9ADEALABUAD0AMwB9AD0AVgBTAF8AewBqAH0AXABcAHQAaQBtAGUAcwAgAEIATwBcAFwAdABpAG0AZQBzACAATQBNAFMAXwB7AG0APQAxACwAVAA9ADMAfQBcAFwAdABpAG0AZQBzACAATQBDAEYAXwB7AGkAbQA9ADEAfQBcAFwAdABpAG0AZQBzACAAXABcAHIAaABvAFwAIgApADsAXABuAFwAbgBWAEUARQBSAEcAXwA0AF8AMQBfADEAXwAxAF8AXwA0AF8AUwB0AGEAZwBlADMATQBlAHQAaABhAG4AZQBQAHIAbwBkAHUAYwB0AGkAbwBuAEEAbgBhAGUAcgBvAGIAaQBjAEwAYQBnAG8AbwBuAF8AQQByAGcAdQBtAGUAbgB0AHMAXABuACAAIAA9AEwAQQBNAEIARABBACgAXABuACAAIAAgACAATQBBAEsARQBBAFIAUgBBAFkAKAA2ACwAIAA0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AgAGo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MQBUADMAXAAiACwAXAAiAGYAcgBhAGMAdABpAG8AbgAgAG8AZgAgAG0AYQBuAHUAcgBlACAAdABvACAAdABlAHIAdABpAGEAcgB5ACAAYQBuAGEAZQByAG8AYgBpAGMAIABsAGEAZwBvAG8AbgAgAHMAeQBzAHQAZQBtAFwAIgAsACAAXAAiAGYAcgBhAGMAdABpAG8AbgBcACIALAAgAFwAIgBJAG4AcAB1AHQAXAAiADsAXABuACAAIAAgACAAIAAgACAAIAAgACAAXAAiAE0AQwBGAF8AaQBtADEAXAAiACwAXAAiAG0AZQB0AGgAYQBuAGUAIABjAG8AbgB2AGUAcgBzAGkAbwBuACAAZgBhAGMAdABvAHIAIABmAG8AcgAgAHMAdABhAHQAZQAgAGEAbgBkACAAYQBuAGEAZQByAG8AYgBpAGMAIABsAGEAZwBvAG8Abg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0AF8AUwB0AGEAZwBlADMATQBlAHQAaABhAG4AZQBQAHIAbwBkAHUAYwB0AGkAbwBuAEEAbgBhAGUAcgBvAGIAaQBjAEwAYQBnAG8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IABq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EAVAAzAFwAIgAsAFwAIgBmAHIAYQBjAHQAaQBvAG4AIABvAGYAIABtAGEAbgB1AHIAZQAgAHQAbwAgAHQAZQByAHQAaQBhAHIAeQAgAGEAbgBhAGUAcgBvAGIAaQBjACAAbABhAGcAbwBvAG4AIABzAHkAcwB0AGUAbQBcACIALAAgAFwAIgBmAHIAYQBjAHQAaQBvAG4AXAAiACwAIABcACIASQBuAHAAdQB0AFwAIgA7AFwAbgAgACAAIAAgACAAIAAgACAAIAAgAFwAIgBNAEMARgBfAGkAbQAxAFwAIgAsAFwAIgBtAGUAdABoAGEAbgBlACAAYwBvAG4AdgBlAHIAcwBpAG8AbgAgAGYAYQBjAHQAbwByACAAZgBvAHIAIABtAGUAYQBuACAAYQBuAG4AdQBhAGwAIAB0AGUAbQBwAGUAcgBhAHQAdQByAGUAIABhAG4AZAAgAGEAbgBhAGUAcgBvAGIAaQBjACAAbABhAGcAbwBvAG4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NAGUAYQBuACAAYQBuAG4AdQBhAGwAIAB0AGUAbQBwAGUAcgBhAHQAdQBy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UAXwBWAG8AbABhAHQAaQBsAGUAUwBvAGwAaQBkAFAAcgBvAGQAdQBjAHQAaQBvAG4AXABuAFYAbwBsAGEAdABpAGwAZQAgAHMAbwBsAGkAZAAgAHAAcgBvAGQAdQBjAHQAaQBvAG4AXABuAFYAUwBfAGoAXABuAGsAZwAvAGgAZQBhAGQALwBkAGEAeQBcAG4AVgBTAF8AewBqAH0APQBJAF8AewBqAH0AXABcAHQAaQBtAGUAcwAoADEALQBEAE0ARABfAHsAagB9ACkAXABcAHQAaQBtAGUAcwAoADEALQBBACkAXABuAEkAXwBqACAAPQAgAGQAcgB5ACAAbQBhAHQAdABlAHIAIABpAG4AdABhAGsAZQAgAGYAbwByACAAZQBhAGMAaAAgAGcAcgBvAHUAcAAgADoAIABrAGcAIABEAE0ALwBoAGUAYQBkAC8AZABhAHkAXABuAEQATQBEAF8AagAgAD0AIABkAHIAeQAgAG0AYQB0AHQAZQByACAAZABpAGcAZQBzAHQAaQBiAGkAbABpAHQAeQAgAGYAbwByACAAZQBhAGMAaAAgAGcAcgBvAHUAcAAgADoAIABmAHIAYQBjAHQAaQBvAG4AXABuAEEAIAA9ACAAYQBzAGgAIABjAG8AbgB0AGUAbgB0ACAAbwBmACAAbQBhAG4AdQByAGUAIAA6ACAAZgByAGEAYwB0AGkAbwBuAFwAbgAtAC0ALQAtAC0ALQAtAC0ALQAtAC0ALQAtAC0ALQAtAC0ALQAtAC0ALQAtAC0ALQAtAC0ALQAtAC0ALQAtAC0ALQAtAC0ALQAtAC0AXABuACoALwBcAG4AXABuAFYARQBFAFIARwBfADQAXwAxAF8AMQBfADEAXwBfADUAXwBWAG8AbABhAHQAaQBsAGUAUwBvAGwAaQBkAFAAcgBvAGQAdQBjAHQAaQBvAG4AXABuACAAIAA9AEwAQQBNAEIARABBACgAXABuACAAIAAgACAASQBfAGoALAAgAEQATQBEAF8AagAsACAAQQAsAFwAbgAgACAAIAAgAEkAXwBqACAAKgAgACgAMQAgAC0AIABEAE0ARABfAGoAKQAgACoAIAAoADEAIAAtACAAQQApAFwAbgAgACAAKQA7AFwAbgBcAG4AVgBFAEUAUgBHAF8ANABfADEAXwAxAF8AMQBfAF8ANQBfAFYAbwBsAGEAdABpAGwAZQBTAG8AbABpAGQAUAByAG8AZAB1AGMAdABpAG8AbgBfAFQAaQB0AGwAZQBcAG4AIAAgAD0ATABBAE0AQgBEAEEAKABcACIAVgBvAGwAYQB0AGkAbABlACAAcwBvAGwAaQBkACAAcAByAG8AZAB1AGMAdABpAG8AbgBcACIAKQA7AFwAbgBcAG4AVgBFAEUAUgBHAF8ANABfADEAXwAxAF8AMQBfAF8ANQBfAFYAbwBsAGEAdABpAGwAZQBTAG8AbABpAGQAUAByAG8AZAB1AGMAdABpAG8AbgBfAFYAYQByAGkAYQBiAGwAZQBcAG4AIAAgAD0ATABBAE0AQgBEAEEAKABcACIAVgBTAF8AagBcACIAKQA7AFwAbgBcAG4AVgBFAEUAUgBHAF8ANABfADEAXwAxAF8AMQBfAF8ANQBfAFYAbwBsAGEAdABpAGwAZQBTAG8AbABpAGQAUAByAG8AZAB1AGMAdABpAG8AbgBfAFUAbgBpAHQAXABuACAAIAA9AEwAQQBNAEIARABBACgAXAAiAGsAZwAvAGgAZQBhAGQALwBkAGEAeQBcACIAKQA7AFwAbgBcAG4AVgBFAEUAUgBHAF8ANABfADEAXwAxAF8AMQBfAF8ANQBfAFYAbwBsAGEAdABpAGwAZQBTAG8AbABpAGQAUAByAG8AZAB1AGMAdABpAG8AbgBfAFMAbwB1AHIAYwBlAFwAbgAgACAAPQBMAEEATQBCAEQAQQAoAFwAIgBWAEUARQBSAEcAIAAyADAAMgA2ADoAIAA0AC4AMQAuADEALgAxACwAIABFAHEAdQBhAHQAaQBvAG4AIAAoADUAKQBcACIAKQA7AFwAbgBcAG4AVgBFAEUAUgBHAF8ANABfADEAXwAxAF8AMQBfAF8ANQBfAFYAbwBsAGEAdABpAGwAZQBTAG8AbABpAGQAUAByAG8AZAB1AGMAdABpAG8AbgBfAE4ASQBSAFIAZQBmAGUAcgBlAG4AYwBlAFwAbgAgACAAPQBMAEEATQBCAEQAQQAoAFwAIgBcACIAKQA7AFwAbgBcAG4AVgBFAEUAUgBHAF8ANABfADEAXwAxAF8AMQBfAF8ANQBfAFYAbwBsAGEAdABpAGwAZQBTAG8AbABpAGQAUAByAG8AZAB1AGMAdABpAG8AbgBfAEwAYQB0AGUAeABFAHEAdQBhAHQAaQBvAG4AXABuACAAIAA9AEwAQQBNAEIARABBACgAXAAiAFYAUwBfAHsAagB9AD0ASQBfAHsAagB9AFwAXAB0AGkAbQBlAHMAKAAxAC0ARABNAEQAXwB7AGoAfQApAFwAXAB0AGkAbQBlAHMAKAAxAC0AQQApAFwAIgApADsAXABuAFwAbgBWAEUARQBSAEcAXwA0AF8AMQ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FwAIgBkAHIAeQAgAG0AYQB0AHQAZQByACAAaQBuAHQAYQBrAGUAIABmAG8AcgAgAGUAYQBjAGgAIABnAHIAbwB1AHAAIABqAFwAIgAsACAAXAAiAGsAZwAgAEQATQAvAGgAZQBhAGQALwBkAGEAeQBcACIALAAgAFwAIgBJAG4AcAB1AHQAXAAiADsAXABuACAAIAAgACAAIAAgACAAIAAgACAAXAAiAEQATQBEAF8AagBcACIALABcACIAZAByAHkAIABtAGEAdAB0AGUAcgAgAGQAaQBnAGUAcwB0AGkAYgBpAGwAaQB0AHkAIABmAG8AcgAgAGUAYQBjAGgAIABnAHIAbwB1AHAAIABqAFwAIgAsACAAXAAiAGYAcgBhAGMAdABpAG8AbgBcACIALAAgAFwAIgBJAG4AcAB1AHQAXAAiADsAXABuACAAIAAgACAAIAAgACAAIAAgACAAXAAiAEEAXAAiACwAXAAiAGEAcwBoACAAYwBvAG4AdABlAG4AdAAgAG8AZgAgAG0AYQBuAHUAcgBlAFwAIgAsACAAXAAiAGYAcgBhAGMAdABpAG8AbgBcACIALAAgAFwAIgBDAG8AbgBzAHQAYQBuAHQAXAAiAFwAbgAgACAAIAAgACAAIAAgACAAfQAsACAAcgAsACAAYwApAFwAbgAgACAAIAAgACAAIAApAFwAbgAgACAAIAAgACkAXABuACAAIAApADsAXABuAFwAbgBcAG4AXABuAFwAbgBcAG4AXABuACIAfQAsAHsAIgBwAGEAdABoACIAOgAiAC8AcAByAG8AagBlAGMAdABzAC8ATQBNAFMAXwBGAGUAZQBkAGwAbwB0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QBfAE0AYQBzAHMATwBmAE4AaQB0AHIAbwBnAGUAbgBBAHAAcABsAGkAZQBkAFQAbwBTAG8AaQBsAHMAUwBjAG8AcABlADE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BQAEYAXABuACAAIAApADsAXABuAFwAbgBWAEUARQBSAEcAXwA0AF8AM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EAXwAxAF8AOQBfAF8AMQBfAE0AYQBzAHMATwBmAE4AaQB0AHIAbwBnAGUAbgBBAHAAcABsAGkAZQBkAFQAbwBTAG8AaQBsAHMAUwBjAG8AcABlADEAXwBWAGEAcgBpAGEAYgBsAGUAXABuACAAIAA9AEwAQQBNAEIARABBACgAXAAiAE0ATgBTAG8AaQBsAF8AcwBjAG8AcABlADEAXAAiACkAOwBcAG4AXABuAFYARQBFAFIARwBfADQAXwAxAF8AMQBfADkAXwBfADEAXwBNAGEAcwBzAE8AZgBOAGkAdAByAG8AZwBlAG4AQQBwAHAAbABpAGUAZABUAG8AUwBvAGkAbABzAFMAYwBvAHAAZQAxAF8AVQBuAGkAdABcAG4AIAAgAD0ATABBAE0AQgBEAEEAKABcACIAawBnACAATgBcACIAKQA7AFwAbgBcAG4AVgBFAEUAUgBHAF8ANABfADEAXwAxAF8AOQBfAF8AMQBfAE0AYQBzAHMATwBmAE4AaQB0AHIAbwBnAGUAbgBBAHAAcABsAGkAZQBkAFQAbwBTAG8AaQBsAHMAUwBjAG8AcABlADEAXwBTAG8AdQByAGMAZQBcAG4AIAAgAD0ATABBAE0AQgBEAEEAKABcACIAVgBFAEUAUgBHACAAMgAwADIANgA6ACAANAAuADEALgAxAC4AOQAsACAARQBxAHUAYQB0AGkAbwBuACAAKAAxACkAXAAiACkAOwBcAG4AXABuAFYARQBFAFIARwBfADQAXwAxAF8AMQBfADkAXwBfADEAXwBNAGEAcwBzAE8AZgBOAGkAdAByAG8AZwBlAG4AQQBwAHAAbABpAGUAZABUAG8AUwBvAGkAbABzAFMAYwBvAHAAZQAxAF8ATgBJAFIAUgBlAGYAZQByAGUAbgBjAGUAXABuACAAIAA9AEwAQQBNAEIARABBACgAXAAiAFwAIgApADsAXABuAFwAbgBWAEUARQBSAEcAXwA0AF8AMQBfADEAXwA5AF8AXwAxAF8ATQBhAHMAcwBPAGYATgBpAHQAcgBvAGcAZQBuAEEAcABwAGwAaQBlAGQAVABvAFMAbwBpAGwAcwBTAGMAbwBwAGUAMQBfAEwAYQB0AGUAeABFAHEAdQBhAHQAaQBvAG4AXABuACAAIAA9AEwAQQBNAEIARABBACgAXAAiAE0ATgBTAG8AaQBsAF8AewBzAGMAbwBwAGUAMQB9AD0AXABcAHMAdQBtAF8AewBqAH0AXABcAHMAdQBtAF8AewBtAH0AXABcAHMAdQBtAF8AewBUAH0AKABNAE4AXwB7AGoAbQBUAD0AMgAsADMAfQBcAFwAdABpAG0AZQBzACgAMQAtAEUARgBfAHsAbQBUAD0AMgAsADMAfQAtAEYAcgBhAGMARwBBAFMATQBfAHsAbQBUAD0AMgAsADMAfQApACkAXABcAHQAaQBtAGUAcwAgAFAARgBcACIAKQA7AFwAbgBcAG4AVgBFAEUAUgBHAF8ANABfADEAXwAxAF8AOQBfAF8AMQBfAE0AYQBzAHMATwBmAE4AaQB0AHIAbwBnAGUAbgBBAHAAcABsAGkAZQBkAFQAbwBTAG8AaQBsAHMAUwBjAG8AcABlADE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FwAXABzAHUAbQBfAHsAVAB9ACgATQBOAF8AewBqAG0AVAA9ADIALAAzAH0AXABcAHQAaQBtAGUAcwAoADEALQBFAEYAXwB7AG0AVAA9ADIALAAzAH0ALQBGAHIAYQBjAEcAQQBTAE0AXwB7AG0AVAA9ADIALAAzAH0AKQApAFwAXAB0AGkAbQBlAHMAKAAxAC0AUABGACk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gBfAE0AYQBzAHMATwBmAE4AaQB0AHIAbwBnAGUAbgBBAHAAcABsAGkAZQBkAFQAbwBTAG8AaQBsAHMAUwBjAG8AcABlADM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AoADEAIAAtACAAUABGACkAXABuACAAIAApADsAXABuAFwAbgBWAEUARQBSAEcAXwA0AF8AMQ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EAXwAxAF8AOQBfAF8AMgBfAE0AYQBzAHMATwBmAE4AaQB0AHIAbwBnAGUAbgBBAHAAcABsAGkAZQBkAFQAbwBTAG8AaQBsAHMAUwBjAG8AcABlADMAXwBWAGEAcgBpAGEAYgBsAGUAXABuACAAIAA9AEwAQQBNAEIARABBACgAXAAiAE0ATgBTAG8AaQBsAF8AcwBjAG8AcABlADMAXAAiACkAOwBcAG4AXABuAFYARQBFAFIARwBfADQAXwAxAF8AMQBfADkAXwBfADIAXwBNAGEAcwBzAE8AZgBOAGkAdAByAG8AZwBlAG4AQQBwAHAAbABpAGUAZABUAG8AUwBvAGkAbABzAFMAYwBvAHAAZQAzAF8AVQBuAGkAdABcAG4AIAAgAD0ATABBAE0AQgBEAEEAKABcACIAawBnACAATgBcACIAKQA7AFwAbgBcAG4AVgBFAEUAUgBHAF8ANABfADEAXwAxAF8AOQBfAF8AMgBfAE0AYQBzAHMATwBmAE4AaQB0AHIAbwBnAGUAbgBBAHAAcABsAGkAZQBkAFQAbwBTAG8AaQBsAHMAUwBjAG8AcABlADMAXwBTAG8AdQByAGMAZQBcAG4AIAAgAD0ATABBAE0AQgBEAEEAKABcACIAVgBFAEUAUgBHACAAMgAwADIANgA6ACAANAAuADEALgAxAC4AOQAsACAARQBxAHUAYQB0AGkAbwBuACAAKAAyACkAXAAiACkAOwBcAG4AXABuAFYARQBFAFIARwBfADQAXwAxAF8AMQBfADkAXwBfADIAXwBNAGEAcwBzAE8AZgBOAGkAdAByAG8AZwBlAG4AQQBwAHAAbABpAGUAZABUAG8AUwBvAGkAbABzAFMAYwBvAHAAZQAzAF8ATgBJAFIAUgBlAGYAZQByAGUAbgBjAGUAXABuACAAIAA9AEwAQQBNAEIARABBACgAXAAiAFwAIgApADsAXABuAFwAbgBWAEUARQBSAEcAXwA0AF8AMQBfADEAXwA5AF8AXwAyAF8ATQBhAHMAcwBPAGYATgBpAHQAcgBvAGcAZQBuAEEAcABwAGwAaQBlAGQAVABvAFMAbwBpAGwAcwBTAGMAbwBwAGUAMwBfAEwAYQB0AGUAeABFAHEAdQBhAHQAaQBvAG4AXABuACAAIAA9AEwAQQBNAEIARABBACgAXAAiAE0ATgBTAG8AaQBsAF8AewBzAGMAbwBwAGUAMwB9AD0AXABcAHMAdQBtAF8AewBqAH0AXABcAHMAdQBtAF8AewBtAH0AXABcAHMAdQBtAF8AewBUAH0AKABNAE4AXwB7AGoAbQBUAD0AMgAsADMAfQBcAFwAdABpAG0AZQBzACgAMQAtAEUARgBfAHsAbQBUAD0AMgAsADMAfQAtAEYAcgBhAGMARwBBAFMATQBfAHsAbQBUAD0AMgAsADMAfQApACkAXABcAHQAaQBtAGUAcwAoADEALQBQAEYAKQBcACIAKQA7AFwAbgBcAG4AVgBFAEUAUgBHAF8ANABfADEAXwAxAF8AOQBfAF8AMgBfAE0AYQBzAHMATwBmAE4AaQB0AHIAbwBnAGUAbgBBAHAAcABsAGkAZQBkAFQAbwBTAG8AaQBsAHMAUwBjAG8AcABlADM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XABuACIAfQAsAHsAIgBwAGEAdABoACIAOgAiAC8AcAByAG8AagBlAGMAdABzAC8ATQBNAFMAXwBGAGUAZQBkAGwAbwB0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1ACAATQBlAHQAaABvAGQAIAAxACAALQAgAE0AYQBuAHUAcgBlACAAQQB0AG0AbwBzAHAAaABlAHIAaQBjACAARABlAHAAbwBzAGkAdABpAG8Abg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NQBfAF8AMQBfAFQAbwB0AGEAbABBAG4AbgB1AGEAbABBAHQAbQBvAHMAcABoAGUAcgBpAGMARABlAHAAbwBzAGkAdABpAG8AbgBFAG0AaQBzAHMAaQBvAG4Ac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UAXwBfADEAXwBUAG8AdABhAGwAQQBuAG4AdQBhAGwAQQB0AG0AbwBzAHAAaABlAHIAaQBjAEQAZQBwAG8AcwBpAHQAaQBvAG4ARQBtAGkAcwBzAGkAbwBuAH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MQBfADEAXwA1AF8AXwAxAF8AVABvAHQAYQBsAEEAbgBuAHUAYQBsAEEAdABtAG8AcwBwAGgAZQByAGkAYwBEAGUAcABvAHMAaQB0AGkAbwBuAEUAbQBpAHMAcwBpAG8AbgBzAF8AVABpAHQAbABlAFwAbgAgACAAPQBMAEEATQBCAEQAQQAoAFwAIgBUAG8AdABhAGwAIABhAG4AbgB1AGEAbAAgAGEAdABtAG8AcwBwAGgAZQByAGkAYwAgAGQAZQBwAG8AcwBpAHQAaQBvAG4AIABlAG0AaQBzAHMAaQBvAG4AcwAgAGYAcgBvAG0AIABtAGEAbgB1AHIAZQAgAG0AYQBuAGEAZwBlAG0AZQBuAHQAXAAiACkAOwBcAG4AXABuAFYARQBFAFIARwBfADQAXwAxAF8AMQBfADUAXwBfADEAXwBUAG8AdABhAGwAQQBuAG4AdQBhAGwAQQB0AG0AbwBzAHAAaABlAHIAaQBjAEQAZQBwAG8AcwBpAHQAaQBvAG4ARQBtAGkAcwBzAGkAbwBuAHMAXwBWAGEAcgBpAGEAYgBsAGUAXABuACAAIAA9AEwAQQBNAEIARABBACgAXAAiAEUAXwBOADIATwBhAGQAXAAiACkAOwBcAG4AXABuAFYARQBFAFIARwBfADQAXwAxAF8AMQBfADUAXwBfADEAXwBUAG8AdABhAGwAQQBuAG4AdQBhAGwAQQB0AG0AbwBzAHAAaABlAHIAaQBjAEQAZQBwAG8AcwBpAHQAaQBvAG4ARQBtAGkAcwBzAGkAbwBuAHMAXwBVAG4AaQB0AFwAbgAgACAAPQBMAEEATQBCAEQAQQAoAFwAIgB0ACAATgAyAE8AXAAiACkAOwBcAG4AXABuAFYARQBFAFIARwBfADQAXwAxAF8AMQBfADUAXwBfADEAXwBUAG8AdABhAGwAQQBuAG4AdQBhAGwAQQB0AG0AbwBzAHAAaABlAHIAaQBjAEQAZQBwAG8AcwBpAHQAaQBvAG4ARQBtAGkAcwBzAGkAbwBuAHMAXwBTAG8AdQByAGMAZQBcAG4AIAAgAD0ATABBAE0AQgBEAEEAKABcACIAVgBFAEUAUgBHACAAMgAwADIANgA6ACAANAAuADEALgAxAC4ANQAsACAARQBxAHUAYQB0AGkAbwBuACAAKAAxACkAXAAiACkAOwBcAG4AXABuAFYARQBFAFIARwBfADQAXwAxAF8AMQBfADUAXwBfADEAXwBUAG8AdABhAGwAQQBuAG4AdQBhAGwAQQB0AG0AbwBzAHAAaABlAHIAaQBjAEQAZQBwAG8AcwBpAHQAaQBvAG4ARQBtAGkAcwBzAGkAbwBuAHMAXwBOAEkAUgBSAGUAZgBlAHIAZQBuAGMAZQBcAG4AIAAgAD0ATABBAE0AQgBEAEEAKABcACIAXAAiACkAOwBcAG4AXABuAFYARQBFAFIARwBfADQAXwAxAF8AMQBfADUAXwBfADEAXwBUAG8AdABhAGwAQQBuAG4AdQBhAGwAQQB0AG0AbwBzAHAAaABlAHIAaQBjAEQAZQBwAG8AcwBpAHQAaQBvAG4ARQBtAGkAcwBzAGkAbwBuAH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EAXwAxAF8ANQBfAF8AMQBfAFQAbwB0AGEAbABBAG4AbgB1AGEAbABBAHQAbQBvAHMAcABoAGUAcgBpAGMARABlAHAAbwBzAGkAdABpAG8AbgBFAG0AaQBzAHMAaQBvAG4Ac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x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NQBfAF8AMgBfAFYAbwBsAGEAdABpAGwAaQBzAGUAZABOAGkAdAByAG8AZwBlAG4ARgByAG8AbQBNAGEAbgB1AHIAZQBNAGEAbgBhAGcAZQBtAGUAbgB0AFwAbgBWAG8AbABhAHQAaQBsAGkAcwBlAGQAIABuAGkAdAByAG8AZwBlAG4AIABmAHIAbwBtACAAbQBhAG4AdQByAGUAIABtAGEAbgBhAGcAZQBtAGUAbgB0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aQBuACAAZQBhAGMAaAAgAHQAcgBlAGEAdABtAGUAbgB0ACAAcwB0AGEAZwBlACAATQBNAFMAIAAoAGUAeABjAGwAdQBkAGkAbgBnACAATQBOAF8AaQBq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MQBfADEAXwA1AF8AXwAyAF8AVgBvAGwAYQB0AGkAbABpAHMAZQBkAE4AaQB0AHIAbwBnAGUAbgBGAHIAbwBtAE0AYQBuAHUAcgBlAE0AYQBuAGEAZwBlAG0AZQBuAHQAXABuACAAIAA9AEwAQQBNAEIARABBACgAXABuACAAIAAgACAATQBOAF8AagBtAFQALAAgAEYAcgBhAGMARwBBAFMATQBfAG0AVAAsAFwAbgAgACAAIAAgAE0ATgBfAGoAbQBUACAAKgAgAEYAcgBhAGMARwBBAFMATQBfAG0AVABcAG4AIAAgACkAOwBcAG4AXABuAFYARQBFAFIARwBfADQAXwAxAF8AMQBfADUAXwBfADIAXwBWAG8AbABhAHQAaQBsAGkAcwBlAGQATgBpAHQAcgBvAGcAZQBuAEYAcgBvAG0ATQBhAG4AdQByAGUATQBhAG4AYQBnAGUAbQBlAG4AdABfAFQAaQB0AGwAZQBcAG4AIAAgAD0ATABBAE0AQgBEAEEAKABcACIAVgBvAGwAYQB0AGkAbABpAHMAZQBkACAAbgBpAHQAcgBvAGcAZQBuACAAZgByAG8AbQAgAG0AYQBuAHUAcgBlACAAbQBhAG4AYQBnAGUAbQBlAG4AdABcACIAKQA7AFwAbgBcAG4AVgBFAEUAUgBHAF8ANABfADEAXwAxAF8ANQBfAF8AMgBfAFYAbwBsAGEAdABpAGwAaQBzAGUAZABOAGkAdAByAG8AZwBlAG4ARgByAG8AbQBNAGEAbgB1AHIAZQBNAGEAbgBhAGcAZQBtAGUAbgB0AF8AVgBhAHIAaQBhAGIAbABlAFwAbgAgACAAPQBMAEEATQBCAEQAQQAoAFwAIgBNAE0AUwBfAEEAVABNAE8AUwBcACIAKQA7AFwAbgBcAG4AVgBFAEUAUgBHAF8ANABfADEAXwAxAF8ANQBfAF8AMgBfAFYAbwBsAGEAdABpAGwAaQBzAGUAZABOAGkAdAByAG8AZwBlAG4ARgByAG8AbQBNAGEAbgB1AHIAZQBNAGEAbgBhAGcAZQBtAGUAbgB0AF8AVQBuAGkAdABcAG4AIAAgAD0ATABBAE0AQgBEAEEAKABcACIAawBnACAATgBcACIAKQA7AFwAbgBcAG4AVgBFAEUAUgBHAF8ANABfADEAXwAxAF8ANQBfAF8AMgBfAFYAbwBsAGEAdABpAGwAaQBzAGUAZABOAGkAdAByAG8AZwBlAG4ARgByAG8AbQBNAGEAbgB1AHIAZQBNAGEAbgBhAGcAZQBtAGUAbgB0AF8AUwBvAHUAcgBjAGUAXABuACAAIAA9AEwAQQBNAEIARABBACgAXAAiAFYARQBFAFIARwAgADIAMAAyADYAOgAgADQALgAxAC4AMQAuADUALAAgAEUAcQB1AGEAdABpAG8AbgAgACgAMgApAFwAIgApADsAXABuAFwAbgBWAEUARQBSAEcAXwA0AF8AMQBfADEAXwA1AF8AXwAyAF8AVgBvAGwAYQB0AGkAbABpAHMAZQBkAE4AaQB0AHIAbwBnAGUAbgBGAHIAbwBtAE0AYQBuAHUAcgBlAE0AYQBuAGEAZwBlAG0AZQBuAHQAXwBOAEkAUgBSAGUAZgBlAHIAZQBuAGMAZQBcAG4AIAAgAD0ATABBAE0AQgBEAEEAKABcACIAXAAiACkAOwBcAG4AXABuAFYARQBFAFIARwBfADQAXwAxAF8AMQBfADUAXwBfADIAXwBWAG8AbABhAHQAaQBsAGkAcwBlAGQATgBpAHQAcgBvAGcAZQBuAEYAcgBvAG0ATQBhAG4AdQByAGUATQBhAG4AYQBnAGUAbQBlAG4AdA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xAF8AMQBfADUAXwBfADIAXwBWAG8AbABhAHQAaQBsAGkAcwBlAGQATgBpAHQAcgBvAGcAZQBuAEYAcgBvAG0ATQBhAG4AdQByAGUATQBhAG4AYQBnAGUAbQBlAG4AdABfAEEAcgBnAHUAbQBlAG4AdABzAFwAbgAgACAAPQBMAEEATQBCAEQAQQAoAFwAbgAgACAAIAAgAE0AQQBLAEUAQQBSAFIAQQBZACgAMgAsACAANAAsAFwAbgAgACAAIAAgACAAIABMAEEATQBCAEQAQQAoAHIALABjACwAXABuACAAIAAgACAAIAAgACAAIABJAE4ARABFAFgAKAB7AFwAbgAgACAAIAAgACAAIAAgACAAIAAgAFwAIgBNAE4AXwBqAG0AVABcACIALABcACIAbgBpAHQAcgBvAGcAZQBuACAAaQBuACAAZQBhAGMAaAAgAHQAcgBlAGEAdABtAGUAbgB0ACAAcwB0AGEAZwBlACAATQBNAFMAIAAoAGUAeABjAGwAdQBkAGkAbgBnACAATQBOAF8AaQBqAG0AMQAzAFQAMgApAFwAIgAsACAAXAAiAGsAZwAgAE4AXAAiACwAIABcACIAQwBhAGwAYwB1AGwAYQB0AGUAZAAgAGYAcgBvAG0AIAA0AC4AMQAuADEALgAzACAAKAAyACkAKAA2ACkAKAA4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RgBlAGUAZABsAG8Ad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MwAgAE0AZQB0AGgAbwBkACAAMQAgAC0AIABNAGEAbgB1AHIAZQAgAEQAaQByAGUAYwB0ACAATgAyAE8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MAXwBfADEAXwBUAG8AdABhAGwAQQBuAG4AdQBhAGwARABpAHIAZQBjAHQATgBpAHQAcgBvAHUAcwBPAHgAaQBkAGUARQBtAGkAcwBzAGkAbwBuAH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GMAYQB0AHQAbABlACAAZwByAG8AdQBwACwAIABNAE0AUwAgAGEAbgBkACAAdAByAGUAYQB0AG0AZQBuAHQAIABzAHQAYQBnAGUAIAA6ACAAawBnACAATgBcAG4ARQBGAF8AagBtACAAPQAgAG4AaQB0AHIAbwB1AHMAIABvAHgAaQBkAGUAIABlAG0AaQBzAHMAaQBvAG4AIABmAGEAYwB0AG8AcgAgAGYAbwByACAATQBNAFM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MAXwBfADEAXwBUAG8AdABhAGwAQQBuAG4AdQBhAGwARABpAHIAZQBjAHQATgBpAHQAcgBvAHUAcwBPAHgAaQBkAGUARQBtAGkAcwBzAGkAbwBuAHMAXABuACAAIAA9AEwAQQBNAEIARABBACgAXABuACAAIAAgACAATQBOAF8AagBtAFQALAAgAEUARgBfAGoAbQAsACAAQwBfAE4AMgBPACwAXABuACAAIAAgACAAUwBVAE0AUABSAE8ARABVAEMAVAAoAE0ATgBfAGoAbQBUACwAIABFAEYAXwBqAG0ALAAgAEMAXwBOADIATwApACAAKgAgADEAMAAgAF4AIAAtADMAXABuACAAIAApADsAXABuAFwAbgBWAEUARQBSAEcAXwA0AF8AMQBfADEAXwAzAF8AXwAxAF8AVABvAHQAYQBsAEEAbgBuAHUAYQBsAEQAaQByAGUAYwB0AE4AaQB0AHIAbwB1AHMATwB4AGkAZABlAEUAbQBpAHMAcwBpAG8AbgBz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xAF8AMQBfADMAXwBfADEAXwBUAG8AdABhAGwAQQBuAG4AdQBhAGwARABpAHIAZQBjAHQATgBpAHQAcgBvAHUAcwBPAHgAaQBkAGUARQBtAGkAcwBzAGkAbwBuAHMAXwBWAGEAcgBpAGEAYgBsAGUAXABuACAAIAA9AEwAQQBNAEIARABBACgAXAAiAEUAXwBOADIATwBkAGkAcgBcACIAKQA7AFwAbgBcAG4AVgBFAEUAUgBHAF8ANABfADEAXwAxAF8AMwBfAF8AMQBfAFQAbwB0AGEAbABBAG4AbgB1AGEAbABEAGkAcgBlAGMAdABOAGkAdAByAG8AdQBzAE8AeABpAGQAZQBFAG0AaQBzAHMAaQBvAG4AcwBfAFUAbgBpAHQAXABuACAAIAA9AEwAQQBNAEIARABBACgAXAAiAHQAIABOADIATwBcACIAKQA7AFwAbgBcAG4AVgBFAEUAUgBHAF8ANABfADEAXwAxAF8AMwBfAF8AMQBfAFQAbwB0AGEAbABBAG4AbgB1AGEAbABEAGkAcgBlAGMAdABOAGkAdAByAG8AdQBzAE8AeABpAGQAZQBFAG0AaQBzAHMAaQBvAG4AcwBfAFMAbwB1AHIAYwBlAFwAbgAgACAAPQBMAEEATQBCAEQAQQAoAFwAIgBWAEUARQBSAEcAIAAyADAAMgA2ADoAIAA0AC4AMQAuADEALgAzACwAIABFAHEAdQBhAHQAaQBvAG4AIAAoADEAKQBcACIAKQA7AFwAbgBcAG4AVgBFAEUAUgBHAF8ANABfADEAXwAxAF8AMwBfAF8AMQBfAFQAbwB0AGEAbABBAG4AbgB1AGEAbABEAGkAcgBlAGMAdABOAGkAdAByAG8AdQBzAE8AeABpAGQAZQBFAG0AaQBzAHMAaQBvAG4AcwBfAE4ASQBSAFIAZQBmAGUAcgBlAG4AYwBlAFwAbgAgACAAPQBMAEEATQBCAEQAQQAoAFwAIgBcACIAKQA7AFwAbgBcAG4AVgBFAEUAUgBHAF8ANABfADEAXwAxAF8AMwBfAF8AMQBfAFQAbwB0AGEAbABBAG4AbgB1AGEAbABEAGkAcgBlAGMAdABOAGkAdAByAG8AdQBzAE8AeABpAGQAZQBFAG0AaQBzAHMAaQBvAG4Ac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MQBfADEAXwAzAF8AXwAxAF8AVABvAHQAYQBsAEEAbgBuAHUAYQBsAEQAaQByAGUAYwB0AE4AaQB0AHIAbwB1AHMATwB4AGkAZABlAEUAbQBpAHMAcwBpAG8AbgBzAF8AQQByAGcAdQBtAGUAbgB0AHMAXABuACAAIAA9AEwAQQBNAEIARABBACgAXABuACAAIAAgACAATQBBAEsARQBBAFIAUgBBAFkAKAAzACwAIAA0ACwAXABuACAAIAAgACAAIAAgAEwAQQBNAEIARABBACgAcgAsAGMALABcAG4AIAAgACAAIAAgACAAIAAgAEkATgBEAEUAWAAoAHsAXABuACAAIAAgACAAIAAgACAAIAAgACAAXAAiAE0ATgBfAGoAbQBUAFwAIgAsAFwAIgBuAGkAdAByAG8AZwBlAG4AIABwAGUAcgAgAGMAYQB0AHQAbABlACAAZwByAG8AdQBwACwAIABNAE0AUwAgAGEAbgBkACAAdAByAGUAYQB0AG0AZQBuAHQAIABzAHQAYQBnAGUAXAAiACwAIABcACIAawBnACAATgBcACIALAAgAFwAIgBDAGEAbABjAHUAbABhAHQAZQBkACAAZgByAG8AbQAgADQALgAxAC4AMQAuADMAIAAoADIAKQAoADYAKQAoADgAKQBcACIAOwBcAG4AIAAgACAAIAAgACAAIAAgACAAIABcACIARQBGAF8AagBtAFwAIgAsAFwAIgBuAGkAdAByAG8AdQBzACAAbwB4AGkAZABlACAAZQBtAGkAcwBzAGkAbwBuACAAZgBhAGMAdABvAHIAIABmAG8AcgAgAE0ATQBTAFwAIgAs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IAXwBTAHQAYQBnAGUAMQBOAGkAdAByAG8AZwBlAG4ASQBuAE0ATQBTAEQAcgB5AGwAbwB0AFwAbgBOAGkAdAByAG8AZwBlAG4AIABpAG4AIAB0AHIAZQBhAHQAbQBlAG4AdAAgAHMAdABhAGcAZQAgADEAIABNAE0AUwBcAG4ATQBOAF8AagBtADUAVAAxAFwAbgBrAGcAIABOAFwAbgBNAE4AXwB7AGoAbQA9ADUALABUAD0AMQB9AD0AQQBFAF8AewBqAH0AXABcAHQAaQBtAGUAcwAgAE0ATQBTAF8AewBqAG0APQA1ACwAVAA9ADEAfQBcAG4AQQBFAF8AagAgAD0AIAB0AG8AdABhAGwAIABuAGkAdAByAG8AZwBlAG4AIABlAHgAYwByAGUAdABlAGQAIABiAHkAIABlAGEAYwBoACAAYwBhAHQAdABsAGUAIABnAHIAbwB1AHAAIAA6ACAAawBnACAATgBcAG4ATQBNAFMAXwBqAG0ANQBUADEAIAA9ACAAZgByAGEAYwB0AGkAbwBuACAAbwBmACAAbQBhAG4AdQByAGUAIABpAG4AIABwAHIAaQBtAGEAcgB5ACAAcwB5AHMAdABlAG0AIABkAHIAeQBsAG8AdAAgAE0ATQBTACAAOgAgAGYAcgBhAGMAdABpAG8AbgBcAG4ALQAtAC0ALQAtAC0ALQAtAC0ALQAtAC0ALQAtAC0ALQAtAC0ALQAtAC0ALQAtAC0ALQAtAC0ALQAtAC0ALQAtAC0ALQAtAC0ALQAtAFwAbgAqAC8AXABuAFwAbgBWAEUARQBSAEcAXwA0AF8AMQBfADEAXwAzAF8AXwAyAF8AUwB0AGEAZwBlADEATgBpAHQAcgBvAGcAZQBuAEkAbgBNAE0AUwBEAHIAeQBsAG8AdABcAG4AIAAgAD0ATABBAE0AQgBEAEEAKABcAG4AIAAgACAAIABBAEUAXwBqACwAIABNAE0AUwBfAGoAbQA1AFQAMQAsAFwAbgAgACAAIAAgAEEARQBfAGoAIAAqACAATQBNAFMAXwBqAG0ANQBUADEAXABuACAAIAApADsAXABuAFwAbgBWAEUARQBSAEcAXwA0AF8AMQBfADEAXwAzAF8AXwAyAF8AUwB0AGEAZwBlADEATgBpAHQAcgBvAGcAZQBuAEkAbgBNAE0AUwBEAHIAeQBsAG8AdABfAFQAaQB0AGwAZQBcAG4AIAAgAD0ATABBAE0AQgBEAEEAKABcACIATgBpAHQAcgBvAGcAZQBuACAAaQBuACAAdAByAGUAYQB0AG0AZQBuAHQAIABzAHQAYQBnAGUAIAAxACAATQBNAFMAXAAiACkAOwBcAG4AXABuAFYARQBFAFIARwBfADQAXwAxAF8AMQBfADMAXwBfADIAXwBTAHQAYQBnAGUAMQBOAGkAdAByAG8AZwBlAG4ASQBuAE0ATQBTAEQAcgB5AGwAbwB0AF8AVgBhAHIAaQBhAGIAbABlAFwAbgAgACAAPQBMAEEATQBCAEQAQQAoAFwAIgBNAE4AXwBqAG0ANQBUADEAXAAiACkAOwBcAG4AXABuAFYARQBFAFIARwBfADQAXwAxAF8AMQBfADMAXwBfADIAXwBTAHQAYQBnAGUAMQBOAGkAdAByAG8AZwBlAG4ASQBuAE0ATQBTAEQAcgB5AGwAbwB0AF8AVQBuAGkAdABcAG4AIAAgAD0ATABBAE0AQgBEAEEAKABcACIAawBnACAATgBcACIAKQA7AFwAbgBcAG4AVgBFAEUAUgBHAF8ANABfADEAXwAxAF8AMwBfAF8AMgBfAFMAdABhAGcAZQAxAE4AaQB0AHIAbwBnAGUAbgBJAG4ATQBNAFMARAByAHkAbABvAHQAXwBTAG8AdQByAGMAZQBcAG4AIAAgAD0ATABBAE0AQgBEAEEAKABcACIAVgBFAEUAUgBHACAAMgAwADIANgA6ACAANAAuADEALgAxAC4AMwAsACAARQBxAHUAYQB0AGkAbwBuACAAKAAyACkAXAAiACkAOwBcAG4AXABuAFYARQBFAFIARwBfADQAXwAxAF8AMQBfADMAXwBfADIAXwBTAHQAYQBnAGUAMQBOAGkAdAByAG8AZwBlAG4ASQBuAE0ATQBTAEQAcgB5AGwAbwB0AF8ATgBJAFIAUgBlAGYAZQByAGUAbgBjAGUAXABuACAAIAA9AEwAQQBNAEIARABBACgAXAAiAFwAIgApADsAXABuAFwAbgBWAEUARQBSAEcAXwA0AF8AMQBfADEAXwAzAF8AXwAyAF8AUwB0AGEAZwBlADEATgBpAHQAcgBvAGcAZQBuAEkAbgBNAE0AUwBEAHIAeQBsAG8AdABfAEwAYQB0AGUAeABFAHEAdQBhAHQAaQBvAG4AXABuACAAIAA9AEwAQQBNAEIARABBACgAXAAiAE0ATgBfAHsAagBtAD0ANQAsAFQAPQAxAH0APQBBAEUAXwB7AGoAfQBcAFwAdABpAG0AZQBzACAATQBNAFMAXwB7AGoAbQA9ADUALABUAD0AMQB9AFwAIgApADsAXABuAFwAbgBWAEUARQBSAEcAXwA0AF8AMQBfADEAXwAzAF8AXwAyAF8AUwB0AGEAZwBlADEATgBpAHQAcgBvAGcAZQBuAEkAbgBNAE0AUwBEAHIAeQBsAG8AdA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NQBUADEAXAAiACwAXAAiAGYAcgBhAGMAdABpAG8AbgAgAG8AZgAgAG0AYQBuAHUAcgBlACAAaQBuACAAcAByAGkAbQBhAHIAeQAgAHMAeQBzAHQAZQBtACAAZAByAHkAbABvAHQ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MAXwBBAG4AbgB1AGEAbABOAGkAdAByAG8AZwBlAG4ARQB4AGMAcgBlAHQAaQBvAG4AXABuAEEAbgBuAHUAYQBsACAAbgBpAHQAcgBvAGcAZQBuACAAZQB4AGMAcgBlAHQAaQBvAG4AIABmAHIAbwBtACAAZQBhAGMAaAAgAGYAZQBlAGQAbABvAHQAIABjAGEAdAB0AGwAZQAgAGcAcgBvAHUAcABcAG4AQQBFAF8AagBcAG4AawBnACAATgBcAG4AQQBFAF8AewBqAH0APQBOAF8AewBqAH0AXABcAHQAaQBtAGUAcwAgAE4ARQBfAHsAagB9AFwAXAB0AGkAbQBlAHMAIABEAF8AewBqAH0AXABuAE4AXwBqACAAPQAgAG4AdQBtAGIAZQByACAAbwBmACAAYwBhAHQAdABsAGUAIABpAG4AIABlAGEAYwBoACAAZwByAG8AdQBwACAAOgAgAGgAZQBhAGQAXABuAE4ARQBfAGoAIAA9ACAAbgBpAHQAcgBvAGcAZQBuACAAZQB4AGMAcgBlAHQAaQBvAG4AIAA6ACAAawBnACAATgAvAGgAZQBhAGQALwBkAGEAeQBcAG4ARABfAGoAIAA9ACAAZAB1AHIAYQB0AGkAbwBuACAAbwBmACAAcwB0AGEAeQAgAG8AZgAgAGMAYQB0AHQAbABlACAAZwByAG8AdQBwACAAOgAgAGQAYQB5AHMAXABuAC0ALQAtAC0ALQAtAC0ALQAtAC0ALQAtAC0ALQAtAC0ALQAtAC0ALQAtAC0ALQAtAC0ALQAtAC0ALQAtAC0ALQAtAC0ALQAtAC0ALQBcAG4AKgAvAFwAbgBcAG4AVgBFAEUAUgBHAF8ANABfADEAXwAxAF8AMwBfAF8AMwBfAEEAbgBuAHUAYQBsAE4AaQB0AHIAbwBnAGUAbgBFAHgAYwByAGUAdABpAG8AbgBcAG4AIAAgAD0ATABBAE0AQgBEAEEAKABcAG4AIAAgACAAIABOAF8AagAsACAATgBFAF8AagAsACAARABfAGoALABcAG4AIAAgACAAIABOAF8AagAgACoAIABOAEUAXwBqACAAKgAgAEQAXwBqAFwAbgAgACAAKQA7AFwAbgBcAG4AVgBFAEUAUgBHAF8ANABfADEAXwAxAF8AMwBfAF8AMwBfAEEAbgBuAHUAYQBsAE4AaQB0AHIAbwBnAGUAbgBFAHgAYwByAGUAdABpAG8AbgBfAFQAaQB0AGwAZQBcAG4AIAAgAD0ATABBAE0AQgBEAEEAKABcACIAQQBuAG4AdQBhAGwAIABuAGkAdAByAG8AZwBlAG4AIABlAHgAYwByAGUAdABpAG8AbgAgAGYAcgBvAG0AIABlAGEAYwBoACAAZgBlAGUAZABsAG8AdAAgAGMAYQB0AHQAbABlACAAZwByAG8AdQBwAFwAIgApADsAXABuAFwAbgBWAEUARQBSAEcAXwA0AF8AMQBfADEAXwAzAF8AXwAzAF8AQQBuAG4AdQBhAGwATgBpAHQAcgBvAGcAZQBuAEUAeABjAHIAZQB0AGkAbwBuAF8AVgBhAHIAaQBhAGIAbABlAFwAbgAgACAAPQBMAEEATQBCAEQAQQAoAFwAIgBBAEUAXwBqAFwAIgApADsAXABuAFwAbgBWAEUARQBSAEcAXwA0AF8AMQBfADEAXwAzAF8AXwAzAF8AQQBuAG4AdQBhAGwATgBpAHQAcgBvAGcAZQBuAEUAeABjAHIAZQB0AGkAbwBuAF8AVQBuAGkAdABcAG4AIAAgAD0ATABBAE0AQgBEAEEAKABcACIAawBnACAATgBcACIAKQA7AFwAbgBcAG4AVgBFAEUAUgBHAF8ANABfADEAXwAxAF8AMwBfAF8AMwBfAEEAbgBuAHUAYQBsAE4AaQB0AHIAbwBnAGUAbgBFAHgAYwByAGUAdABpAG8AbgBfAFMAbwB1AHIAYwBlAFwAbgAgACAAPQBMAEEATQBCAEQAQQAoAFwAIgBWAEUARQBSAEcAIAAyADAAMgA2ADoAIAA0AC4AMQAuADEALgAzACwAIABFAHEAdQBhAHQAaQBvAG4AIAAoADMAKQBcACIAKQA7AFwAbgBcAG4AVgBFAEUAUgBHAF8ANABfADEAXwAxAF8AMwBfAF8AMwBfAEEAbgBuAHUAYQBsAE4AaQB0AHIAbwBnAGUAbgBFAHgAYwByAGUAdABpAG8AbgBfAE4ASQBSAFIAZQBmAGUAcgBlAG4AYwBlAFwAbgAgACAAPQBMAEEATQBCAEQAQQAoAFwAIgBcACIAKQA7AFwAbgBcAG4AVgBFAEUAUgBHAF8ANABfADEAXwAxAF8AMwBfAF8AMwBfAEEAbgBuAHUAYQBsAE4AaQB0AHIAbwBnAGUAbgBFAHgAYwByAGUAdABpAG8AbgBfAEwAYQB0AGUAeABFAHEAdQBhAHQAaQBvAG4AXABuACAAIAA9AEwAQQBNAEIARABBACgAXAAiAEEARQBfAHsAagB9AD0ATgBfAHsAagB9AFwAXAB0AGkAbQBlAHMAIABOAEUAXwB7AGoAfQBcAFwAdABpAG0AZQBzACAARABfAHsAagB9AFwAIgApADsAXABuAFwAbgBWAEUARQBSAEcAXwA0AF8AMQBfADEAXwAzAF8AXwAz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FwAIgBuAHUAbQBiAGUAcgAgAG8AZgAgAGMAYQB0AHQAbABlACAAaQBuACAAZQBhAGMAaAAgAGcAcgBvAHUAcABcACIALAAgAFwAIgBoAGUAYQBkAFwAIgAsACAAXAAiAEkAbgBwAHUAdABcACIAOwBcAG4AIAAgACAAIAAgACAAIAAgACAAIABcACIATgBFAF8AagBcACIALABcACIAbgBpAHQAcgBvAGcAZQBuACAAZQB4AGMAcgBlAHQAaQBvAG4AXAAiACwAIABcACIAawBnACAATgAvAGgAZQBhAGQALwBkAGEAeQBcACIALAAgAFwAIgBDAGEAbABjAHUAbABhAHQAZQBkACAAZgByAG8AbQAgADQALgAxAC4AMQAuADMAIAAoADQAKQBcACIAOwBcAG4AIAAgACAAIAAgACAAIAAgACAAIABcACIARABfAGoAXAAiACwAXAAiAGQAdQByAGEAdABpAG8AbgAgAG8AZgAgAHMAdABhAHkAIABvAGYAIABjAGEAdAB0AGw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0AF8ATgBpAHQAcgBvAGcAZQBuAEUAeABjAHIAZQB0AGkAbwBuAFAAZQByAEgAZQBhAGQAXABuAE4AaQB0AHIAbwBnAGUAbgAgAGUAeABjAHIAZQB0AGkAbwBuACAAcABlAHIAIABoAGUAYQBkACAAcABlAHIAIABkAGEAeQBcAG4ATgBFAF8AagBcAG4AawBnACAATgAvAGgAZQBhAGQALwBkAGEAeQBcAG4ATgBFAF8AewBqAH0APQBOAEkAXwB7AGoAfQBcAFwAdABpAG0AZQBzACgAMQAtAE4AUgBfAHsAagB9ACkAXABuAE4ASQBfAGoAIAA9ACAAbgBpAHQAcgBvAGcAZQBuACAAaQBuAHQAYQBrAGUAIAA6ACAAawBnACAATgAvAGgAZQBhAGQALwBkAGEAeQBcAG4ATgBSAF8Aag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MQBfADEAXwAzAF8AXwA0AF8ATgBpAHQAcgBvAGcAZQBuAEUAeABjAHIAZQB0AGkAbwBuAFAAZQByAEgAZQBhAGQAXABuACAAIAA9AEwAQQBNAEIARABBACgAXABuACAAIAAgACAATgBJAF8AagAsACAATgBSAF8AagAsAFwAbgAgACAAIAAgAE4ASQBfAGoAIAAqACAAKAAxACAALQAgAE4AUgBfAGoAKQBcAG4AIAAgACkAOwBcAG4AXABuAFYARQBFAFIARwBfADQAXwAxAF8AMQBfADMAXwBfADQAXwBOAGkAdAByAG8AZwBlAG4ARQB4AGMAcgBlAHQAaQBvAG4AUABlAHIASABlAGEAZABfAFQAaQB0AGwAZQBcAG4AIAAgAD0ATABBAE0AQgBEAEEAKABcACIATgBpAHQAcgBvAGcAZQBuACAAZQB4AGMAcgBlAHQAaQBvAG4AIABwAGUAcgAgAGgAZQBhAGQAIABwAGUAcgAgAGQAYQB5AFwAIgApADsAXABuAFwAbgBWAEUARQBSAEcAXwA0AF8AMQBfADEAXwAzAF8AXwA0AF8ATgBpAHQAcgBvAGcAZQBuAEUAeABjAHIAZQB0AGkAbwBuAFAAZQByAEgAZQBhAGQAXwBWAGEAcgBpAGEAYgBsAGUAXABuACAAIAA9AEwAQQBNAEIARABBACgAXAAiAE4ARQBfAGoAXAAiACkAOwBcAG4AXABuAFYARQBFAFIARwBfADQAXwAxAF8AMQBfADMAXwBfADQAXwBOAGkAdAByAG8AZwBlAG4ARQB4AGMAcgBlAHQAaQBvAG4AUABlAHIASABlAGEAZABfAFUAbgBpAHQAXABuACAAIAA9AEwAQQBNAEIARABBACgAXAAiAGsAZwAgAE4ALwBoAGUAYQBkAC8AZABhAHkAXAAiACkAOwBcAG4AXABuAFYARQBFAFIARwBfADQAXwAxAF8AMQBfADMAXwBfADQAXwBOAGkAdAByAG8AZwBlAG4ARQB4AGMAcgBlAHQAaQBvAG4AUABlAHIASABlAGEAZABfAFMAbwB1AHIAYwBlAFwAbgAgACAAPQBMAEEATQBCAEQAQQAoAFwAIgBWAEUARQBSAEcAIAAyADAAMgA2ADoAIAA0AC4AMQAuADEALgAzACwAIABFAHEAdQBhAHQAaQBvAG4AIAAoADQAKQBcACIAKQA7AFwAbgBcAG4AVgBFAEUAUgBHAF8ANABfADEAXwAxAF8AMwBfAF8ANABfAE4AaQB0AHIAbwBnAGUAbgBFAHgAYwByAGUAdABpAG8AbgBQAGUAcgBIAGUAYQBkAF8ATgBJAFIAUgBlAGYAZQByAGUAbgBjAGUAXABuACAAIAA9AEwAQQBNAEIARABBACgAXAAiAFwAIgApADsAXABuAFwAbgBWAEUARQBSAEcAXwA0AF8AMQBfADEAXwAzAF8AXwA0AF8ATgBpAHQAcgBvAGcAZQBuAEUAeABjAHIAZQB0AGkAbwBuAFAAZQByAEgAZQBhAGQAXwBMAGEAdABlAHgARQBxAHUAYQB0AGkAbwBuAFwAbgAgACAAPQBMAEEATQBCAEQAQQAoAFwAIgBOAEUAXwB7AGoAfQA9AE4ASQBfAHsAagB9AFwAXAB0AGkAbQBlAHMAKAAxAC0ATgBSAF8AewBqAH0AKQBcACIAKQA7AFwAbgBcAG4AVgBFAEUAUgBHAF8ANABfADEAXwAxAF8AMwBfAF8ANABfAE4AaQB0AHIAbwBnAGUAbgBFAHgAYwByAGUAdABpAG8AbgBQAGUAcgBIAGUAYQBkAF8AQQByAGcAdQBtAGUAbgB0AHMAXABuACAAIAA9AEwAQQBNAEIARABBACgAXABuACAAIAAgACAATQBBAEsARQBBAFIAUgBBAFkAKAAyACwAIAA0ACwAXABuACAAIAAgACAAIAAgAEwAQQBNAEIARABBACgAcgAsAGMALABcAG4AIAAgACAAIAAgACAAIAAgAEkATgBEAEUAWAAoAHsAXABuACAAIAAgACAAIAAgACAAIAAgACAAXAAiAE4ASQBfAGoAXAAiACwAXAAiAG4AaQB0AHIAbwBnAGUAbgAgAGkAbgB0AGEAawBlAFwAIgAsACAAXAAiAGsAZwAgAE4ALwBoAGUAYQBkAC8AZABhAHkAXAAiACwAIABcACIAQwBhAGwAYwB1AGwAYQB0AGUAZAAgAGYAcgBvAG0AIAA0AC4AMQAuADEALgAzACAAKAA1ACkAXAAiADsAXABuACAAIAAgACAAIAAgACAAIAAgACAAXAAiAE4AUgBfAGoAXAAiACwAXAAiAG4AaQB0AHIAbwBnAGUAbgAgAHIAZQB0AGUAbgB0AGkAbwBuACAAZQB4AHAAcgBlAHMAcwBlAGQAIABhAHMAIABhACAAZgByAGEAYwB0AGkAbwBuACAAbwBm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1AF8ATgBpAHQAcgBvAGcAZQBuAEkAbgB0AGEAawBlAFwAbgBOAGkAdAByAG8AZwBlAG4AIABpAG4AdABhAGsAZQAgAG8AZgAgAGYAZQBlAGQAbABvAHQAIABjAGEAdAB0AGwAZQBcAG4ATgBJAF8AagBcAG4AawBnACAATgAvAGgAZQBhAGQALwBkAGEAeQBcAG4ATgBJAF8AewBqAH0APQBJAF8AewBqAH0AXABcAHQAaQBtAGUAcwAgAEMAUABfAHsAagB9AFwAXABkAGkAdgAgADYALgAyADUAXABuAEkAXwBqACAAPQAgAGQAcgB5ACAAbQBhAHQAdABlAHIAIABpAG4AdABhAGsAZQAgADoAIABrAGcAIABEAE0ALwBoAGUAYQBkAC8AZABhAHkAXABuAEMAUABfAGo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MQBfADEAXwAzAF8AXwA1AF8ATgBpAHQAcgBvAGcAZQBuAEkAbgB0AGEAawBlAFwAbgAgACAAPQBMAEEATQBCAEQAQQAoAFwAbgAgACAAIAAgAEkAXwBqACwAIABDAFAAXwBqACwAXABuACAAIAAgACAASQBfAGoAIAAqACAAQwBQAF8AagAgAC8AIAA2AC4AMgA1AFwAbgAgACAAKQA7AFwAbgBcAG4AVgBFAEUAUgBHAF8ANABfADEAXwAxAF8AMwBfAF8ANQBfAE4AaQB0AHIAbwBnAGUAbgBJAG4AdABhAGsAZQBfAFQAaQB0AGwAZQBcAG4AIAAgAD0ATABBAE0AQgBEAEEAKABcACIATgBpAHQAcgBvAGcAZQBuACAAaQBuAHQAYQBrAGUAIABvAGYAIABmAGUAZQBkAGwAbwB0ACAAYwBhAHQAdABsAGUAXAAiACkAOwBcAG4AXABuAFYARQBFAFIARwBfADQAXwAxAF8AMQBfADMAXwBfADUAXwBOAGkAdAByAG8AZwBlAG4ASQBuAHQAYQBrAGUAXwBWAGEAcgBpAGEAYgBsAGUAXABuACAAIAA9AEwAQQBNAEIARABBACgAXAAiAE4ASQBfAGoAXAAiACkAOwBcAG4AXABuAFYARQBFAFIARwBfADQAXwAxAF8AMQBfADMAXwBfADUAXwBOAGkAdAByAG8AZwBlAG4ASQBuAHQAYQBrAGUAXwBVAG4AaQB0AFwAbgAgACAAPQBMAEEATQBCAEQAQQAoAFwAIgBrAGcAIABOAC8AaABlAGEAZAAvAGQAYQB5AFwAIgApADsAXABuAFwAbgBWAEUARQBSAEcAXwA0AF8AMQBfADEAXwAzAF8AXwA1AF8ATgBpAHQAcgBvAGcAZQBuAEkAbgB0AGEAawBlAF8AUwBvAHUAcgBjAGUAXABuACAAIAA9AEwAQQBNAEIARABBACgAXAAiAFYARQBFAFIARwAgADIAMAAyADYAOgAgADQALgAxAC4AMQAuADMALAAgAEUAcQB1AGEAdABpAG8AbgAgACgANQApAFwAIgApADsAXABuAFwAbgBWAEUARQBSAEcAXwA0AF8AMQBfADEAXwAzAF8AXwA1AF8ATgBpAHQAcgBvAGcAZQBuAEkAbgB0AGEAawBlAF8ATgBJAFIAUgBlAGYAZQByAGUAbgBjAGUAXABuACAAIAA9AEwAQQBNAEIARABBACgAXAAiAFwAIgApADsAXABuAFwAbgBWAEUARQBSAEcAXwA0AF8AMQBfADEAXwAzAF8AXwA1AF8ATgBpAHQAcgBvAGcAZQBuAEkAbgB0AGEAawBlAF8ATABhAHQAZQB4AEUAcQB1AGEAdABpAG8AbgBcAG4AIAAgAD0ATABBAE0AQgBEAEEAKABcACIATgBJAF8AewBqAH0APQBJAF8AewBqAH0AXABcAHQAaQBtAGUAcwAgAEMAUABfAHsAagB9AFwAXABkAGkAdgAgADYALgAyADUAXAAiACkAOwBcAG4AXABuAFYARQBFAFIARwBfADQAXwAxAF8AMQBfADMAXwBfADUAXwBOAGkAdAByAG8AZwBlAG4ASQBuAHQAYQBrAGUAXwBBAHIAZwB1AG0AZQBuAHQAcwBcAG4AIAAgAD0ATABBAE0AQgBEAEEAKABcAG4AIAAgACAAIABNAEEASwBFAEEAUgBSAEEAWQAoADMALAAgADQALABcAG4AIAAgACAAIAAgACAATABBAE0AQgBEAEEAKAByACwAYwAsAFwAbgAgACAAIAAgACAAIAAgACAASQBOAEQARQBYACgAewBcAG4AIAAgACAAIAAgACAAIAAgACAAIABcACIASQBfAGoAXAAiACwAXAAiAGQAcgB5ACAAbQBhAHQAdABlAHIAIABpAG4AdABhAGsAZQBcACIALAAgAFwAIgBrAGcAIABEAE0ALwBoAGUAYQBkAC8AZABhAHkAXAAiACwAIABcACIASQBuAHAAdQB0AFwAIgA7AFwAbgAgACAAIAAgACAAIAAgACAAIAAgAFwAIgBDAFAAXwBqAFwAIgAsAFwAIgBjAHIAdQBkAGUAIABwAHIAbwB0AGUAaQBuACAAYwBvAG4AdABlAG4AdAAgAG8AZgAgAGYAZQBlAGQAXAAiACwAIABcACIAZgByAGEAYwB0AGkAbwBuAFwAIgAsACAAXAAiAEkAbgBwAHUAdABcACIAOwBcAG4AIAAgACAAIAAgACAAIAAgACAAIABcACIANgAuADIANQBcACIALABcACIAZgBhAGMAdABvAHIAIABmAG8AcgAgAGMAbwBuAHYAZQByAHQAaQBuAGcAIABjAHIAdQBkAGUAIABwAHIAbwB0AGUAaQBuACAAaQBuAHQAbwAgAG4AaQB0AHIAbwBnAGUAbg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6ACAAawBnACAATgBcAG4ATQBNAFMAXwBqAG0AVAAyACAAPQAgAGYAcgBhAGMAdABpAG8AbgAgAG8AZgAgAG0AYQBuAHUAcgBlACAAaQBuACAAZQBhAGMAaAAgAHMAZQBjAG8AbgBkAGEAcgB5ACAAcwB5AHMAdABlAG0AIAA6ACAAZgByAGEAYwB0AGkAbwBuAFwAbgAtAC0ALQAtAC0ALQAtAC0ALQAtAC0ALQAtAC0ALQAtAC0ALQAtAC0ALQAtAC0ALQAtAC0ALQAtAC0ALQAtAC0ALQAtAC0ALQAtAC0AXABuACoALwBcAG4AXABuAFYARQBFAFIARwBfADQAXwAx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EAXwAxAF8AMwBfAF8ANgBfAFMAdABhAGcAZQAyAE4AaQB0AHIAbwBnAGUAbgBJAG4ATQBNAFMAXwBUAGkAdABsAGUAXABuACAAIAA9AEwAQQBNAEIARABBACgAXAAiAE4AaQB0AHIAbwBnAGUAbgAgAGkAbgAgAHQAcgBlAGEAdABtAGUAbgB0ACAAcwB0AGEAZwBlACAAMgAgAE0ATQBTAFwAIgApADsAXABuAFwAbgBWAEUARQBSAEcAXwA0AF8AMQBfADEAXwAzAF8AXwA2AF8AUwB0AGEAZwBlADIATgBpAHQAcgBvAGcAZQBuAEkAbgBNAE0AUwBfAFYAYQByAGkAYQBiAGwAZQBcAG4AIAAgAD0ATABBAE0AQgBEAEEAKABcACIATQBOAF8AagBtAFQAMgBcACIAKQA7AFwAbgBcAG4AVgBFAEUAUgBHAF8ANABfADEAXwAxAF8AMwBfAF8ANgBfAFMAdABhAGcAZQAyAE4AaQB0AHIAbwBnAGUAbgBJAG4ATQBNAFMAXwBVAG4AaQB0AFwAbgAgACAAPQBMAEEATQBCAEQAQQAoAFwAIgBrAGcAIABOAFwAIgApADsAXABuAFwAbgBWAEUARQBSAEcAXwA0AF8AMQBfADEAXwAzAF8AXwA2AF8AUwB0AGEAZwBlADIATgBpAHQAcgBvAGcAZQBuAEkAbgBNAE0AUwBfAFMAbwB1AHIAYwBlAFwAbgAgACAAPQBMAEEATQBCAEQAQQAoAFwAIgBWAEUARQBSAEcAIAAyADAAMgA2ADoAIAA0AC4AMQAuADEALgAzACwAIABFAHEAdQBhAHQAaQBvAG4AIAAoADYAKQBcACIAKQA7AFwAbgBcAG4AVgBFAEUAUgBHAF8ANABfADEAXwAxAF8AMwBfAF8ANgBfAFMAdABhAGcAZQAyAE4AaQB0AHIAbwBnAGUAbgBJAG4ATQBNAFMAXwBOAEkAUgBSAGUAZgBlAHIAZQBuAGMAZQBcAG4AIAAgAD0ATABBAE0AQgBEAEEAKABcACIAXAAiACkAOwBcAG4AXABuAFYARQBFAFIARwBfADQAXwAx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E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BcACIAbgBpAHQAcgBvAGcAZQBuACAAdAByAGEAbgBzAGYAZQByAHIAZQBkACAAdABvACAAcwBlAGMAbwBuAGQAYQByAHkAIAB0AHIAZQBhAHQAbQBlAG4AdAAgAE0ATQBTAFwAIgAsACAAXAAiAGsAZwAgAE4AXAAiACwAIABcACIAQwBhAGwAYwB1AGwAYQB0AGUAZAAgAGYAcgBvAG0AIAA0AC4AMQAuADEALgAzACAAKAA3ACkAXAAiADsAXABuACAAIAAgACAAIAAgACAAIAAgACAAXAAiAE0ATQBTAF8AagBtAFQAMgBcACIAL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cAXwBOAGkAdAByAG8AZwBlAG4AVAByAGEAbgBzAGYAZQByAHIAZQBkAFQAbwBTAHQAYQBnAGUAMgBcAG4ATgBpAHQAcgBvAGcAZQBuACAAdAByAGEAbgBzAGYAZQByAHIAZQBkACAAdABvACAAdAByAGUAYQB0AG0AZQBuAHQAIABzAHQAYQBnAGUAIAAyACAATQBNAFMAXABuAE4AVABfAGoAbQBUADIAXABuAGsAZwAgAE4AXABuAE4AVABfAHsAagBtACwAVAA9ADIAfQA9ACgATQBOAF8AewBqAG0APQA1ACwAVAA9ADEAfQBcAFwAdABpAG0AZQBzACgAMQAtAEYAcgBhAGMARwBBAFMATQBfAHsAbQA9ADUAfQAtAEUARgBfAHsAbQA9ADUAfQApACkALQBNAE4AXwB7AGoAbQAsAFQAPQAzAH0AXABuAE0ATgBfAGoAbQA1AFQAMQAgAD0AIABuAGkAdAByAG8AZwBlAG4AIABpAG4AIABNAE0AUwAgAHQAcgBlAGEAdABtAGUAbgB0ACAAcwB0AGEAZwBlACAAMQAgADoAIABrAGcAIABOAFwAbgBGAHIAYQBjAEcAQQBTAE0AXwBtADUAIAA9ACAAZgByAGEAYwB0AGkAbwBuACAAbwBmACAATgAgAHYAbwBsAGEAdABpAGwAaQBzAGUAZAAgAGYAcgBvAG0AIABkAHIAeQBsAG8AdAAgAE0ATQBTACAAOgAgAGYAcgBhAGMAdABpAG8AbgBcAG4ARQBGAF8AbQA1ACAAPQAgAG4AaQB0AHIAbwB1AHMAIABvAHgAaQBkAGUAIABlAG0AaQBzAHMAaQBvAG4AIABmAGEAYwB0AG8AcgAgAGYAbwByACAAZAByAHkAbABvAHQAIABNAE0AUwAgADoAIABrAGcAIABOADIATwAtAE4ALwBrAGcAIABOACAAZABlAHAAbwBzAGkAdABlAGQAXABuAE0ATgBfAGoAbQBUADMAIAA9ACAAbgBpAHQAcgBvAGcAZQBuACAAaQBuACAATQBNAFMAIAB0AHIAZQBhAHQAbQBlAG4AdAAgAHMAdABhAGcAZQAgADMAIAA6ACAAawBnACAATgBcAG4ALQAtAC0ALQAtAC0ALQAtAC0ALQAtAC0ALQAtAC0ALQAtAC0ALQAtAC0ALQAtAC0ALQAtAC0ALQAtAC0ALQAtAC0ALQAtAC0ALQAtAFwAbgAqAC8AXABuAFwAbgBWAEUARQBSAEcAXwA0AF8AMQBfADEAXwAzAF8AXwA3AF8ATgBpAHQAcgBvAGcAZQBuAFQAcgBhAG4AcwBmAGUAcgByAGUAZABUAG8AUwB0AGEAZwBlADIAXABuACAAIAA9AEwAQQBNAEIARABBACgAXABuACAAIAAgACAATQBOAF8AagBtADUAVAAxACwAIABGAHIAYQBjAEcAQQBTAE0AXwBtADUALAAgAEUARgBfAG0ANQAsACAATQBOAF8AagBtAFQAMwAsAFwAbgAgACAAIAAgACgATQBOAF8AagBtADUAVAAxACAAKgAgACgAMQAgAC0AIABGAHIAYQBjAEcAQQBTAE0AXwBtADUAIAAtACAARQBGAF8AbQA1ACkAKQAgAC0AIABNAE4AXwBqAG0AVAAzAFwAbgAgACAAKQA7AFwAbgBcAG4AVgBFAEUAUgBHAF8ANABfADEAXwAxAF8AMwBfAF8ANwBfAE4AaQB0AHIAbwBnAGUAbgBUAHIAYQBuAHMAZgBlAHIAcgBlAGQAVABvAFMAdABhAGcAZQAyAF8AVABpAHQAbABlAFwAbgAgACAAPQBMAEEATQBCAEQAQQAoAFwAIgBOAGkAdAByAG8AZwBlAG4AIAB0AHIAYQBuAHMAZgBlAHIAcgBlAGQAIAB0AG8AIAB0AHIAZQBhAHQAbQBlAG4AdAAgAHMAdABhAGcAZQAgADIAIABNAE0AUwBcACIAKQA7AFwAbgBcAG4AVgBFAEUAUgBHAF8ANABfADEAXwAxAF8AMwBfAF8ANwBfAE4AaQB0AHIAbwBnAGUAbgBUAHIAYQBuAHMAZgBlAHIAcgBlAGQAVABvAFMAdABhAGcAZQAyAF8AVgBhAHIAaQBhAGIAbABlAFwAbgAgACAAPQBMAEEATQBCAEQAQQAoAFwAIgBOAFQAXwBqAG0AVAAyAFwAIgApADsAXABuAFwAbgBWAEUARQBSAEcAXwA0AF8AMQBfADEAXwAzAF8AXwA3AF8ATgBpAHQAcgBvAGcAZQBuAFQAcgBhAG4AcwBmAGUAcgByAGUAZABUAG8AUwB0AGEAZwBlADIAXwBVAG4AaQB0AFwAbgAgACAAPQBMAEEATQBCAEQAQQAoAFwAIgBrAGcAIABOAFwAIgApADsAXABuAFwAbgBWAEUARQBSAEcAXwA0AF8AMQBfADEAXwAzAF8AXwA3AF8ATgBpAHQAcgBvAGcAZQBuAFQAcgBhAG4AcwBmAGUAcgByAGUAZABUAG8AUwB0AGEAZwBlADIAXwBTAG8AdQByAGMAZQBcAG4AIAAgAD0ATABBAE0AQgBEAEEAKABcACIAVgBFAEUAUgBHACAAMgAwADIANgA6ACAANAAuADEALgAxAC4AMwAsACAARQBxAHUAYQB0AGkAbwBuACAAKAA3ACkAXAAiACkAOwBcAG4AXABuAFYARQBFAFIARwBfADQAXwAxAF8AMQBfADMAXwBfADcAXwBOAGkAdAByAG8AZwBlAG4AVAByAGEAbgBzAGYAZQByAHIAZQBkAFQAbwBTAHQAYQBnAGUAMgBfAE4ASQBSAFIAZQBmAGUAcgBlAG4AYwBlAFwAbgAgACAAPQBMAEEATQBCAEQAQQAoAFwAIgBcACIAKQA7AFwAbgBcAG4AVgBFAEUAUgBHAF8ANABfADEAXwAxAF8AMwBfAF8ANwBfAE4AaQB0AHIAbwBnAGUAbgBUAHIAYQBuAHMAZgBlAHIAcgBlAGQAVABvAFMAdABhAGcAZQAyAF8ATABhAHQAZQB4AEUAcQB1AGEAdABpAG8AbgBcAG4AIAAgAD0ATABBAE0AQgBEAEEAKABcACIATgBUAF8AewBqAG0ALABUAD0AMgB9AD0AKABNAE4AXwB7AGoAbQA9ADUALABUAD0AMQB9AFwAXAB0AGkAbQBlAHMAKAAxAC0ARgByAGEAYwBHAEEAUwBNAF8AewBtAD0ANQB9AC0ARQBGAF8AewBtAD0ANQB9ACkAKQAtAE0ATgBfAHsAagBtACwAVAA9ADMAfQBcACIAKQA7AFwAbgBcAG4AVgBFAEUAUgBHAF8ANABfADEAXwAxAF8AMwBfAF8ANwBfAE4AaQB0AHIAbwBnAGUAbgBUAHIAYQBuAHMAZgBlAHIAcgBlAGQAVABvAFMAdABhAGcAZQAyAF8AQQByAGcAdQBtAGUAbgB0AHMAXABuACAAIAA9AEwAQQBNAEIARABBACgAXABuACAAIAAgACAATQBBAEsARQBBAFIAUgBBAFkAKAA0ACwAIAA0ACwAXABuACAAIAAgACAAIAAgAEwAQQBNAEIARABBACgAcgAsAGMALABcAG4AIAAgACAAIAAgACAAIAAgAEkATgBEAEUAWAAoAHsAXABuACAAIAAgACAAIAAgACAAIAAgACAAXAAiAE0ATgBfAGoAbQA1AFQAMQBcACIALABcACIAbgBpAHQAcgBvAGcAZQBuACAAaQBuACAATQBNAFMAIAB0AHIAZQBhAHQAbQBlAG4AdAAgAHMAdABhAGcAZQAgADEAXAAiACwAIABcACIAawBnACAATgBcACIALAAgAFwAIgBDAGEAbABjAHUAbABhAHQAZQBkACAAZgByAG8AbQAgADQALgAxAC4AMQAuADMAIAAoADIAKQBcACIAOwBcAG4AIAAgACAAIAAgACAAIAAgACAAIABcACIARgByAGEAYwBHAEEAUwBNAF8AbQA1AFwAIgAsAFwAIgBmAHIAYQBjAHQAaQBvAG4AIABvAGYAIABOACAAdgBvAGwAYQB0AGkAbABpAHMAZQBkACAAZgByAG8AbQAgAGQAcgB5AGwAbwB0ACAATQBNAFMAXAAiACwAIABcACIAZgByAGEAYwB0AGkAbwBuAFwAIgAsACAAXAAiAEMAbwBuAHMAdABhAG4AdABcACIAOwBcAG4AIAAgACAAIAAgACAAIAAgACAAIABcACIARQBGAF8AbQA1AFwAIgAsAFwAIgBuAGkAdAByAG8AdQBzACAAbwB4AGkAZABlACAAZQBtAGkAcwBzAGkAbwBuACAAZgBhAGMAdABvAHIAIABmAG8AcgAgAGQAcgB5AGwAbwB0ACAATQBNAFMAXAAiACwAIABcACIAawBnACAATgAyAE8ALQBOAC8AawBnACAATgAgAGQAZQBwAG8AcwBpAHQAZQBkAFwAIgAsACAAXAAiAEMAbwBuAHMAdABhAG4AdABcACIAOwBcAG4AIAAgACAAIAAgACAAIAAgACAAIABcACIATQBOAF8AagBtAFQAMwBcACIALABcACIAbgBpAHQAcgBvAGcAZQBuACAAaQBuACAATQBNAFMAIAB0AHIAZQBhAHQAbQBlAG4AdAAgAHMAdABhAGcAZQAgADMAXAAiACwAIABcACIAawBnACAATgBcACIALAAgAFwAIgBDAGEAbABjAHUAbABhAHQAZQBkACAAZgByAG8AbQAgADQALgAxAC4AMQAuADMAIAAoADgAKQ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4AF8AUwB0AGEAZwBlADMATgBpAHQAcgBvAGcAZQBuAEkAbgBNAE0AUwBBAG4AYQBlAHIAbwBiAGkAYwBMAGEAZwBvAG8AbgBcAG4ATgBpAHQAcgBvAGcAZQBuACAAaQBuACAAdAByAGUAYQB0AG0AZQBuAHQAIABzAHQAYQBnAGUAIAAzACAATQBNAFMAXABuAE0ATgBfAGoAbQAxAFQAMwBcAG4AawBnACAATgBcAG4ATQBOAF8AewBqAG0APQAxACwAVAA9ADMAfQA9AEEARQBfAHsAagB9AFwAXAB0AGkAbQBlAHMAIABNAE0AUwBfAHsAagBtAD0AMQAsAFQAPQAzAH0AXABuAEEARQBfAGoAIAA9ACAAdABvAHQAYQBsACAAbgBpAHQAcgBvAGcAZQBuACAAZQB4AGMAcgBlAHQAZQBkACAAYgB5ACAAZQBhAGMAaAAgAGMAYQB0AHQAbABlACAAZwByAG8AdQBwACAAOgAgAGsAZwAgAE4AXABuAE0ATQBTAF8AagBtADEAVAAzACAAPQAgAGYAcgBhAGMAdABpAG8AbgAgAG8AZgAgAG0AYQBuAHUAcgBlACAAdABvACAAdABlAHIAdABpAGEAcgB5ACAAYQBuAGEAZQByAG8AYgBpAGMAIABsAGEAZwBvAG8AbgAgAHMAeQBzAHQAZQBtACAAOgAgAGYAcgBhAGMAdABpAG8AbgBcAG4ALQAtAC0ALQAtAC0ALQAtAC0ALQAtAC0ALQAtAC0ALQAtAC0ALQAtAC0ALQAtAC0ALQAtAC0ALQAtAC0ALQAtAC0ALQAtAC0ALQAtAFwAbgAqAC8AXABuAFwAbgBWAEUARQBSAEcAXwA0AF8AMQBfADEAXwAzAF8AXwA4AF8AUwB0AGEAZwBlADMATgBpAHQAcgBvAGcAZQBuAEkAbgBNAE0AUwBBAG4AYQBlAHIAbwBiAGkAYwBMAGEAZwBvAG8AbgBcAG4AIAAgAD0ATABBAE0AQgBEAEEAKABcAG4AIAAgACAAIABBAEUAXwBqACwAIABNAE0AUwBfAGoAbQAxAFQAMwAsAFwAbgAgACAAIAAgAEEARQBfAGoAIAAqACAATQBNAFMAXwBqAG0AMQBUADMAXABuACAAIAApADsAXABuAFwAbgBWAEUARQBSAEcAXwA0AF8AMQBfADEAXwAzAF8AXwA4AF8AUwB0AGEAZwBlADMATgBpAHQAcgBvAGcAZQBuAEkAbgBNAE0AUwBBAG4AYQBlAHIAbwBiAGkAYwBMAGEAZwBvAG8AbgBfAFQAaQB0AGwAZQBcAG4AIAAgAD0ATABBAE0AQgBEAEEAKABcACIATgBpAHQAcgBvAGcAZQBuACAAaQBuACAAdAByAGUAYQB0AG0AZQBuAHQAIABzAHQAYQBnAGUAIAAzACAATQBNAFMAXAAiACkAOwBcAG4AXABuAFYARQBFAFIARwBfADQAXwAxAF8AMQBfADMAXwBfADgAXwBTAHQAYQBnAGUAMwBOAGkAdAByAG8AZwBlAG4ASQBuAE0ATQBTAEEAbgBhAGUAcgBvAGIAaQBjAEwAYQBnAG8AbwBuAF8AVgBhAHIAaQBhAGIAbABlAFwAbgAgACAAPQBMAEEATQBCAEQAQQAoAFwAIgBNAE4AXwBqAG0AMQBUADMAXAAiACkAOwBcAG4AXABuAFYARQBFAFIARwBfADQAXwAxAF8AMQBfADMAXwBfADgAXwBTAHQAYQBnAGUAMwBOAGkAdAByAG8AZwBlAG4ASQBuAE0ATQBTAEEAbgBhAGUAcgBvAGIAaQBjAEwAYQBnAG8AbwBuAF8AVQBuAGkAdABcAG4AIAAgAD0ATABBAE0AQgBEAEEAKABcACIAawBnACAATgBcACIAKQA7AFwAbgBcAG4AVgBFAEUAUgBHAF8ANABfADEAXwAxAF8AMwBfAF8AOABfAFMAdABhAGcAZQAzAE4AaQB0AHIAbwBnAGUAbgBJAG4ATQBNAFMAQQBuAGEAZQByAG8AYgBpAGMATABhAGcAbwBvAG4AXwBTAG8AdQByAGMAZQBcAG4AIAAgAD0ATABBAE0AQgBEAEEAKABcACIAVgBFAEUAUgBHACAAMgAwADIANgA6ACAANAAuADEALgAxAC4AMwAsACAARQBxAHUAYQB0AGkAbwBuACAAKAA4ACkAXAAiACkAOwBcAG4AXABuAFYARQBFAFIARwBfADQAXwAxAF8AMQBfADMAXwBfADgAXwBTAHQAYQBnAGUAMwBOAGkAdAByAG8AZwBlAG4ASQBuAE0ATQBTAEEAbgBhAGUAcgBvAGIAaQBjAEwAYQBnAG8AbwBuAF8ATgBJAFIAUgBlAGYAZQByAGUAbgBjAGUAXABuACAAIAA9AEwAQQBNAEIARABBACgAXAAiAFwAIgApADsAXABuAFwAbgBWAEUARQBSAEcAXwA0AF8AMQBfADEAXwAzAF8AXwA4AF8AUwB0AGEAZwBlADMATgBpAHQAcgBvAGcAZQBuAEkAbgBNAE0AUwBBAG4AYQBlAHIAbwBiAGkAYwBMAGEAZwBvAG8AbgBfAEwAYQB0AGUAeABFAHEAdQBhAHQAaQBvAG4AXABuACAAIAA9AEwAQQBNAEIARABBACgAXAAiAE0ATgBfAHsAagBtAD0AMQAsAFQAPQAzAH0APQBBAEUAXwB7AGoAfQBcAFwAdABpAG0AZQBzACAATQBNAFMAXwB7AGoAbQA9ADEALABUAD0AMwB9AFwAIgApADsAXABuAFwAbgBWAEUARQBSAEcAXwA0AF8AMQBfADEAXwAzAF8AXwA4AF8AUwB0AGEAZwBlADMATgBpAHQAcgBvAGcAZQBuAEkAbgBNAE0AUwBBAG4AYQBlAHIAbwBiAGkAYwBMAGEAZwBvAG8Abg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MQBUADMAXAAiACwAXAAiAGYAcgBhAGMAdABpAG8AbgAgAG8AZgAgAG0AYQBuAHUAcgBlACAAdABvACAAdABlAHIAdABpAGEAcgB5ACAAYQBuAGEAZQByAG8AYgBpAGMAIABsAGEAZwBvAG8AbgAgAHMAeQBzAHQAZQBtAFwAIgAsACAAXAAiAGYAcgBhAGMAdABpAG8AbgBcACIALAAgAFwAIgBJAG4AcAB1AHQAXAAiAFwAbgAgACAAIAAgACAAIAAgACAAfQAsACAAcgAsACAAYwApAFwAbgAgACAAIAAgACAAIAApAFwAbgAgACAAIAAgACkAXABuACAAIAApADsAXABuAFwAbgAiAH0ALAB7ACIAcABhAHQAaAAiADoAIgAvAHAAcgBvAGoAZQBjAHQAcwAvAEUAbgB0AGUAcgBpAGMATQBlAHQAaABhAG4AZQBfAEYAZQBlAGQAbABvAHQAXwBFAHEAdQBhAHQAaQBvAG4AcwAiACwAIgB0AGUAeAB0ACIAOgAiAC8AKgBcAG4APQA9AD0APQA9AD0APQA9AD0APQA9AD0APQA9AD0APQA9AD0APQA9AD0APQA9AD0APQA9AD0APQA9AD0APQA9AD0APQA9AD0APQA9AD0APQA9AD0APQA9AD0APQA9AD0APQA9AD0APQA9AD0APQA9AD0APQA9AD0APQA9AD0APQA9AD0APQA9AD0APQA9AD0APQA9AD0APQBcAG4AMwAuADEAOgAgAEUAbgB0AGUAcgBpAGMAIABNAGUAdABoAGEAbgBlACAALQAgAEYAZQBlAGQAbABvAHQAIABCAGUAZQBmAFwAbgA9AD0APQA9AD0APQA9AD0APQA9AD0APQA9AD0APQA9AD0APQA9AD0APQA9AD0APQA9AD0APQA9AD0APQA9AD0APQA9AD0APQA9AD0APQA9AD0APQA9AD0APQA9AD0APQA9AD0APQA9AD0APQA9AD0APQA9AD0APQA9AD0APQA9AD0APQA9AD0APQA9AD0APQA9AD0APQA9AFwAbgAzAC4AMQAuADEALgAxACAATQBlAHQAaABvAGQAIAAxACAALQAgAEUAbgB0AGUAcgBpAGM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x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gBlAGUAZABsAG8AdAAgAGIAZQBlAGYAIABjAGEAdAB0AGwAZQBcAG4ARQBfAGUAbgB0AGUAcgBpAGMAXABuAHQAIABDAEgANABcAG4ARQBfAHsAZQBuAHQAZQByAGkAYwB9AD0AXABcAHMAdQBtAFwAXABuAG8AbABpAG0AaQB0AHMAXwBqACgARABfAGoAXABcAHQAaQBtAGUAcwAgAE0AXwBqAFwAXAB0AGkAbQBlAHMAIABOAF8AagApAFwAXAB0AGkAbQBlAHMAIAAxADAAXgB7AC0AMwB9AFwAbgBEAF8AagAgAD0AIABkAHUAcgBhAHQAaQBvAG4AIABvAGYAIABzAHQAYQB5ACAAbwBmACAAZQBhAGMAaAAgAGMAYQB0AHQAbABlACAAbABvAHQAIAAoAGQAYQB5AHMAKQBcAG4ATQBfAGoAIAA9ACAAZABhAGkAbAB5ACAAbQBlAHQAaABhAG4AZQAgAHAAcgBvAGQAdQBjAHQAaQBvAG4AIAAoAGsAZwAgAEMASAA0AC8AaABlAGEAZAAvAGQAYQB5ACkAXABuAE4AXwBqACAAPQAgAG4AdQBtAGIAZQByAHMAIABvAGYAIABmAGUAZQBkAGwAbwB0ACAAYwBhAHQAdABsAGUAIABpAG4AIABlAGEAYwBoACAAYwBhAHQAdABsAGUAIABsAG8AdAAgACgAaABlAGEAZAApAFwAbgAtAC0ALQAtAC0ALQAtAC0ALQAtAC0ALQAtAC0ALQAtAC0ALQAtAC0ALQAtAC0ALQAtAC0ALQAtAC0ALQAtAC0ALQAtAC0ALQAtAC0AXABuACoALwBcAG4AXABuAFYARQBFAFIARwBfADMAXwAxAF8AMQBfADEAXwBfADEAXwBUAG8AdABhAGwAQQBuAG4AdQBhAGwATQBlAHQAaABhAG4AZQBGAHIAbwBtAEUAbgB0AGUAcgBpAGMARgBlAHIAbQBlAG4AdABhAHQAaQBvAG4AXABuACAAIAA9AEwAQQBNAEIARABBACgAXABuACAAIAAgACAARABfAGoALAAgAE0AXwBqACwAIABOAF8AagAsAFwAbgAgACAAIAAgACgARABfAGoAIAAqACAATQBfAGoAIAAqACAATgBfAGoAKQAgACoAIAAxADAAIABeACAALQAzAFwAbgAgACAAKQA7AFwAbgBcAG4AVgBFAEUAUgBHAF8AMwBfADE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mAGUAZQBkAGwAbwB0ACAAYgBlAGUAZgAgAGMAYQB0AHQAbABlAFwAIgApADsAXABuAFwAbgBWAEUARQBSAEcAXwAzAF8AMQBfADEAXwAxAF8AXwAxAF8AVABvAHQAYQBsAEEAbgBuAHUAYQBsAE0AZQB0AGgAYQBuAGUARgByAG8AbQBFAG4AdABlAHIAaQBjAEYAZQByAG0AZQBuAHQAYQB0AGkAbwBuAF8AVgBhAHIAaQBhAGIAbABlAFwAbgAgACAAPQBMAEEATQBCAEQAQQAoAFwAIgBFAF8AZQBuAHQAZQByAGkAYwBcACIAKQA7AFwAbgBcAG4AVgBFAEUAUgBHAF8AMwBfADEAXwAxAF8AMQBfAF8AMQBfAFQAbwB0AGEAbABBAG4AbgB1AGEAbABNAGUAdABoAGEAbgBlAEYAcgBvAG0ARQBuAHQAZQByAGkAYwBGAGUAcgBtAGUAbgB0AGEAdABpAG8AbgBfAFUAbgBpAHQAXABuACAAIAA9AEwAQQBNAEIARABBACgAXAAiAHQAIABDAEgANABcACIAKQA7AFwAbgBcAG4AVgBFAEUAUgBHAF8AMwBfADEAXwAxAF8AMQBfAF8AMQBfAFQAbwB0AGEAbABBAG4AbgB1AGEAbABNAGUAdABoAGEAbgBlAEYAcgBvAG0ARQBuAHQAZQByAGkAYwBGAGUAcgBtAGUAbgB0AGEAdABpAG8AbgBfAFMAbwB1AHIAYwBlAFwAbgAgACAAPQBMAEEATQBCAEQAQQAoAFwAIgBWAEUARQBSAEcAIAAyADAAMgA2ADoAIAAzAC4AMQAuADEALgAxACwAIABFAHEAdQBhAHQAaQBvAG4AIAAoADEAKQBcACIAKQA7AFwAbgBcAG4AVgBFAEUAUgBHAF8AMwBfADEAXwAxAF8AMQBfAF8AMQBfAFQAbwB0AGEAbABBAG4AbgB1AGEAbABNAGUAdABoAGEAbgBlAEYAcgBvAG0ARQBuAHQAZQByAGkAYwBGAGUAcgBtAGUAbgB0AGEAdABpAG8AbgBfAE4ASQBSAFIAZQBmAGUAcgBlAG4AYwBlAFwAbgAgACAAPQBMAEEATQBCAEQAQQAoAFwAIgBcACIAKQA7AFwAbgBcAG4AVgBFAEUAUgBHAF8AMwBfADE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EQAXwBqAFwAXAB0AGkAbQBlAHMAIABNAF8AagBcAFwAdABpAG0AZQBzACAATgBfAGoAKQBcAFwAdABpAG0AZQBzACAAMQAwAF4AewAtADMAfQBcACIAKQA7AFwAbgBcAG4AVgBFAEUAUgBHAF8AMwBfADE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EAF8AagBcACIALAAgAFwAIgBkAHUAcgBhAHQAaQBvAG4AIABvAGYAIABzAHQAYQB5ACAAbwBmACAAZQBhAGMAaAAgAGMAYQB0AHQAbABlACAAbABvAHQAXAAiACwAIABcACIAZABhAHkAcwBcACIALAAgAFwAIgBJAG4AcAB1AHQAXAAiADsAXABuACAAIAAgACAAIAAgACAAIAAgACAAXAAiAE0AXwBqAFwAIgAsACAAXAAiAGQAYQBpAGwAeQAgAG0AZQB0AGgAYQBuAGUAIABwAHIAbwBkAHUAYwB0AGkAbwBuAFwAIgAsACAAXAAiAGsAZwAgAEMASAA0AC8AaABlAGEAZAAvAGQAYQB5AFwAIgAsACAAXAAiAEMAYQBsAGMAdQBsAGEAdABlAGQAIABmAHIAbwBtACAAMwAuADEALgAxAC4AMQAsACAAKAAyACkAXAAiADsAXABuACAAIAAgACAAIAAgACAAIAAgACAAXAAiAE4AXwBqAFwAIgAsACAAXAAiAG4AdQBtAGIAZQByAHMAIABvAGYAIABmAGUAZQBkAGwAbwB0ACAAYwBhAHQAdABsAGUAIABpAG4AIABlAGEAYwBoACAAYwBhAHQAdABsAGUAIABsAG8AdA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QBfADEAXwAxAF8AXwAyAF8ARABhAGkAbAB5AEUAbgB0AGUAcgBpAGMATQBlAHQAaABhAG4AZQBQAHIAbwBkAHUAYwB0AGkAbwBuAFwAbgBEAGEAaQBsAHkAIABwAHIAbwBkAHUAYwB0AGkAbwBuACAAbwBmACAAZQBuAHQAZQByAGkAYwAgAG0AZQB0AGgAYQBuAGUAXABuAE0AXwBqAFwAbgBrAGcAIABDAEgANAAvAGgAZQBhAGQALwBkAGEAeQBcAG4ATQBfAGoAPQAoADUALgAxADEAXABcAHQAaQBtAGUAcwAgAEkAXwBqAC0ANAAuADAAMABcAFwAdABpAG0AZQBzACAARQBFAF8AagArADIALgAyADYAXABcAHQAaQBtAGUAcwAgAE4ARABGAF8AagApAFwAXAB0AGkAbQBlAHMAIAAxADAAXgB7AC0AMwB9AFwAbgBJAF8AagAgAD0AIABkAHIAeQAgAG0AYQB0AHQAZQByACAAaQBuAHQAYQBrAGUAIAAoAGsAZwAgAEQATQAvAGgAZQBhAGQALwBkAGEAeQApAFwAbgBFAEUAXwBqACAAPQAgAGUAdABoAGUAcgAgAGUAeAB0AHIAYQBjAHQAIABhAHMAIABhACAAcABlAHIAYwBlAG4AdABhAGcAZQAgAG8AZgAgAEkAXwBqACAAKABwAGUAcgAgAGMAZQBuAHQAKQBcAG4ATgBEAEYAXwBqACAAPQAgAG4AZQB1AHQAcgBhAGwAIABkAGUAdABlAHIAZwBlAG4AdAAgAGYAaQBiAHIAZQAgAGEAcwAgAGEAIABwAGUAcgBjAGUAbgB0AGEAZwBlACAAbwBmACAASQBfAGoAIAAoAHAAZQByACAAYwBlAG4AdAApAFwAbgAtAC0ALQAtAC0ALQAtAC0ALQAtAC0ALQAtAC0ALQAtAC0ALQAtAC0ALQAtAC0ALQAtAC0ALQAtAC0ALQAtAC0ALQAtAC0ALQAtAC0AXABuACoALwBcAG4AXABuAFYARQBFAFIARwBfADMAXwAxAF8AMQBfADEAXwBfADIAXwBEAGEAaQBsAHkARQBuAHQAZQByAGkAYwBNAGUAdABoAGEAbgBlAFAAcgBvAGQAdQBjAHQAaQBvAG4AXABuACAAIAA9AEwAQQBNAEIARABBACgAXABuACAAIAAgACAASQBfAGoALAAgAEUARQBfAGoALAAgAE4ARABGAF8AagAsAFwAbgAgACAAIAAgACgANQAuADEAMQAgACoAIABJAF8AagAgAC0AIAA0AC4AMAAwACAAKgAgAEUARQBfAGoAIAArACAAMgAuADIANgAgACoAIABOAEQARgBfAGoAKQAgACoAIAAxADAAIABeACAALQAzAFwAbgAgACAAKQA7AFwAbgBcAG4AVgBFAEUAUgBHAF8AMwBfADE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QBfADEAXwAxAF8AXwAyAF8ARABhAGkAbAB5AEUAbgB0AGUAcgBpAGMATQBlAHQAaABhAG4AZQBQAHIAbwBkAHUAYwB0AGkAbwBuAF8AVgBhAHIAaQBhAGIAbABlAFwAbgAgACAAPQBMAEEATQBCAEQAQQAoAFwAIgBNAF8AagBcACIAKQA7AFwAbgBcAG4AVgBFAEUAUgBHAF8AMwBfADEAXwAxAF8AMQBfAF8AMgBfAEQAYQBpAGwAeQBFAG4AdABlAHIAaQBjAE0AZQB0AGgAYQBuAGUAUAByAG8AZAB1AGMAdABpAG8AbgBfAFUAbgBpAHQAXABuACAAIAA9AEwAQQBNAEIARABBACgAXAAiAGsAZwAgAEMASAA0AC8AaABlAGEAZAAvAGQAYQB5AFwAIgApADsAXABuAFwAbgBWAEUARQBSAEcAXwAzAF8AMQBfADEAXwAxAF8AXwAyAF8ARABhAGkAbAB5AEUAbgB0AGUAcgBpAGMATQBlAHQAaABhAG4AZQBQAHIAbwBkAHUAYwB0AGkAbwBuAF8AUwBvAHUAcgBjAGUAXABuACAAIAA9AEwAQQBNAEIARABBACgAXAAiAFYARQBFAFIARwAgADIAMAAyADYAOgAgADMALgAxAC4AMQAuADEALAAgAEUAcQB1AGEAdABpAG8AbgAgACgAMgApAFwAIgApADsAXABuAFwAbgBWAEUARQBSAEcAXwAzAF8AMQBfADEAXwAxAF8AXwAyAF8ARABhAGkAbAB5AEUAbgB0AGUAcgBpAGMATQBlAHQAaABhAG4AZQBQAHIAbwBkAHUAYwB0AGkAbwBuAF8ATgBJAFIAUgBlAGYAZQByAGUAbgBjAGUAXABuACAAIAA9AEwAQQBNAEIARABBACgAXAAiAEEAbABtAGUAaQBkAGEAIABlAHQAIABhAGwALgAgACgAMgAwADIANQApAFwAIgApADsAXABuAFwAbgBWAEUARQBSAEcAXwAzAF8AMQBfADEAXwAxAF8AXwAyAF8ARABhAGkAbAB5AEUAbgB0AGUAcgBpAGMATQBlAHQAaABhAG4AZQBQAHIAbwBkAHUAYwB0AGkAbwBuAF8ATABhAHQAZQB4AEUAcQB1AGEAdABpAG8AbgBcAG4AIAAgAD0ATABBAE0AQgBEAEEAKABcACIATQBfAGoAPQAoADUALgAxADEAXABcAHQAaQBtAGUAcwAgAEkAXwBqAC0ANAAuADAAMABcAFwAdABpAG0AZQBzACAARQBFAF8AagArADIALgAyADYAXABcAHQAaQBtAGUAcwAgAE4ARABGAF8AagApAFwAXAB0AGkAbQBlAHMAIAAxADAAXgB7AC0AMwB9AFwAIgApADsAXABuAFwAbgBWAEUARQBSAEcAXwAzAF8AMQBfADEAXwAxAF8AXwAyAF8ARABhAGkAbAB5AEUAbgB0AGUAcgBpAGMATQBlAHQAaABhAG4AZQ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pAG4AdABhAGsAZQBcACIALAAgAFwAIgBrAGcAIABEAE0ALwBoAGUAYQBkAC8AZABhAHkAXAAiACwAIABcACIASQBuAHAAdQB0AFwAIgA7AFwAbgAgACAAIAAgACAAIAAgACAAIAAgAFwAIgBFAEUAXwBqAFwAIgAsACAAXAAiAGUAdABoAGUAcgAgAGUAeAB0AHIAYQBjAHQAIABhAHMAIABhACAAcABlAHIAYwBlAG4AdABhAGcAZQAgAG8AZgAgAEkAXwBqAFwAIgAsACAAXAAiAHAAZQByACAAYwBlAG4AdABcACIALAAgAFwAIgBJAG4AcAB1AHQAXAAiADsAXABuACAAIAAgACAAIAAgACAAIAAgACAAXAAiAE4ARABGAF8AagBcACIALAAgAFwAIgBuAGUAdQB0AHIAYQBsACAAZABlAHQAZQByAGcAZQBuAHQAIABmAGkAYgByAGUAIABhAHMAIABhACAAcABlAHIAYwBlAG4AdABhAGcAZQAgAG8AZgAgAEkAXwBqAFwAIgAsACAAXAAiAHAAZQByACAAYwBlAG4AdA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GAGUAZQBkAGwAbwB0AC4AUwBvAHUAcgBjAGUARABhAHQAYQBfAEYAZQBlAGQAbABvAHQAXwBWAFMATABfAFQAaQB0AGwAZQAiACwAIgBTAG8AdQByAGMAZQBEAGEAdABhAF8ARgBlAGUAZABsAG8AdAAuAFMAbwB1AHIAYwBlAEQAYQB0AGEAXwBGAGUAZQBkAGwAbwB0AF8AVgBTAEwAXwBWAGEAcgBpAGEAYgBsAGUAIgAsACIAUwBvAHUAcgBjAGUARABhAHQAYQBfAEYAZQBlAGQAbABvAHQALgBTAG8AdQByAGMAZQBEAGEAdABhAF8ARgBlAGUAZABsAG8AdABfAFYAUwBMAF8AVQBuAGkAdAAiACwAIgBTAG8AdQByAGMAZQBEAGEAdABhAF8ARgBlAGUAZABsAG8AdAAuAFMAbwB1AHIAYwBlAEQAYQB0AGEAXwBGAGUAZQBkAGwAbwB0AF8AVgBTAEwAXwBTAG8AdQByAGMAZQAiACwAIgBTAG8AdQByAGMAZQBEAGEAdABhAF8ARgBlAGUAZABsAG8AdAAuAFMAbwB1AHIAYwBlAEQAYQB0AGEAXwBGAGUAZQBkAGwAbwB0AF8AVgBTAEwAXwBWAGEAcgBpAGEAdABpAG8AbgAiACwAIgBTAG8AdQByAGMAZQBEAGEAdABhAF8ARgBlAGUAZABsAG8AdAAuAFMAbwB1AHIAYwBlAEQAYQB0AGEAXwBGAGUAZQBkAGwAbwB0AF8AVgBTAEwAXwBEAGEAdABhACIALAAiAFMAbwB1AHIAYwBlAEQAYQB0AGEAXwBGAGUAZQBkAGwAbwB0AC4AUwBvAHUAcgBjAGUARABhAHQAYQBfAEYAZQBlAGQAbABvAHQAXwBNAE0AUwBtADEAVAAzAF8AVABpAHQAbABlACIALAAiAFMAbwB1AHIAYwBlAEQAYQB0AGEAXwBGAGUAZQBkAGwAbwB0AC4AUwBvAHUAcgBjAGUARABhAHQAYQBfAEYAZQBlAGQAbABvAHQAXwBNAE0AUwBtADEAVAAzAF8AVgBhAHIAaQBhAGIAbABlACIALAAiAFMAbwB1AHIAYwBlAEQAYQB0AGEAXwBGAGUAZQBkAGwAbwB0AC4AUwBvAHUAcgBjAGUARABhAHQAYQBfAEYAZQBlAGQAbABvAHQAXwBNAE0AUwBtADEAVAAzAF8AVQBuAGkAdAAiACwAIgBTAG8AdQByAGMAZQBEAGEAdABhAF8ARgBlAGUAZABsAG8AdAAuAFMAbwB1AHIAYwBlAEQAYQB0AGEAXwBGAGUAZQBkAGwAbwB0AF8ATQBNAFMAbQAxAFQAMwBfAFMAbwB1AHIAYwBlACIALAAiAFMAbwB1AHIAYwBlAEQAYQB0AGEAXwBGAGUAZQBkAGwAbwB0AC4AUwBvAHUAcgBjAGUARABhAHQAYQBfAEYAZQBlAGQAbABvAHQAXwBNAE0AUwBtADEAVAAzAF8AVgBhAHIAaQBhAHQAaQBvAG4AIgAsACIAUwBvAHUAcgBjAGUARABhAHQAYQBfAEYAZQBlAGQAbABvAHQALgBTAG8AdQByAGMAZQBEAGEAdABhAF8ARgBlAGUAZABsAG8AdABfAE0ATQBTAG0AMQBUADMAXwBEAGEAdABhACIALAAiAFMAbwB1AHIAYwBlAEQAYQB0AGEAXwBGAGUAZQBkAGwAbwB0AC4AUwBvAHUAcgBjAGUARABhAHQAYQBfAEYAZQBlAGQAbABvAHQAXwBBAHMAaABDAG8AbgB0AGUAbgB0AF8AVABpAHQAbABlACIALAAiAFMAbwB1AHIAYwBlAEQAYQB0AGEAXwBGAGUAZQBkAGwAbwB0AC4AUwBvAHUAcgBjAGUARABhAHQAYQBfAEYAZQBlAGQAbABvAHQAXwBBAHMAaABDAG8AbgB0AGUAbgB0AF8AVgBhAHIAaQBhAGIAbABlACIALAAiAFMAbwB1AHIAYwBlAEQAYQB0AGEAXwBGAGUAZQBkAGwAbwB0AC4AUwBvAHUAcgBjAGUARABhAHQAYQBfAEYAZQBlAGQAbABvAHQAXwBBAHMAaABDAG8AbgB0AGUAbgB0AF8AVQBuAGkAdAAiACwAIgBTAG8AdQByAGMAZQBEAGEAdABhAF8ARgBlAGUAZABsAG8AdAAuAFMAbwB1AHIAYwBlAEQAYQB0AGEAXwBGAGUAZQBkAGwAbwB0AF8AQQBzAGgAQwBvAG4AdABlAG4AdABfAFMAbwB1AHIAYwBlACIALAAiAFMAbwB1AHIAYwBlAEQAYQB0AGEAXwBGAGUAZQBkAGwAbwB0AC4AUwBvAHUAcgBjAGUARABhAHQAYQBfAEYAZQBlAGQAbABvAHQAXwBBAHMAaABDAG8AbgB0AGUAbgB0AF8AVgBhAHIAaQBhAHQAaQBvAG4AIgAsACIAUwBvAHUAcgBjAGUARABhAHQAYQBfAEYAZQBlAGQAbABvAHQALgBTAG8AdQByAGMAZQBEAGEAdABhAF8ARgBlAGUAZABsAG8AdABfAEEAcwBoAEMAbwBuAHQAZQBuAHQAXwBEAGEAdABhACIALAAiAFMAbwB1AHIAYwBlAEQAYQB0AGEAXwBGAGUAZQBkAGwAbwB0AC4AUwBvAHUAcgBjAGUARABhAHQAYQBfAEYAZQBlAGQAbABvAHQAXwBNAGUAdABoAGEAbgBlAEUAbQBpAHMAcwBpAG8AbgBzAFAAbwB0AGUAbgB0AGkAYQBsAF8AVABpAHQAbABlACIALAAiAFMAbwB1AHIAYwBlAEQAYQB0AGEAXwBGAGUAZQBkAGwAbwB0AC4AUwBvAHUAcgBjAGUARABhAHQAYQBfAEYAZQBlAGQAbABvAHQAXwBNAGUAdABoAGEAbgBlAEUAbQBpAHMAcwBpAG8AbgBzAFAAbwB0AGUAbgB0AGkAYQBsAF8AVgBhAHIAaQBhAGIAbABlACIALAAiAFMAbwB1AHIAYwBlAEQAYQB0AGEAXwBGAGUAZQBkAGwAbwB0AC4AUwBvAHUAcgBjAGUARABhAHQAYQBfAEYAZQBlAGQAbABvAHQAXwBNAGUAdABoAGEAbgBlAEUAbQBpAHMAcwBpAG8AbgBzAFAAbwB0AGUAbgB0AGkAYQBsAF8AVQBuAGkAdAAiACwAIgBTAG8AdQByAGMAZQBEAGEAdABhAF8ARgBlAGUAZABsAG8AdAAuAFMAbwB1AHIAYwBlAEQAYQB0AGEAXwBGAGUAZQBkAGwAbwB0AF8ATQBlAHQAaABhAG4AZQBFAG0AaQBzAHMAaQBvAG4AcwBQAG8AdABlAG4AdABpAGEAbABfAFMAbwB1AHIAYwBlACIALAAiAFMAbwB1AHIAYwBlAEQAYQB0AGEAXwBGAGUAZQBkAGwAbwB0AC4AUwBvAHUAcgBjAGUARABhAHQAYQBfAEYAZQBlAGQAbABvAHQAXwBNAGUAdABoAGEAbgBlAEUAbQBpAHMAcwBpAG8AbgBzAFAAbwB0AGUAbgB0AGkAYQBsAF8AVgBhAHIAaQBhAHQAaQBvAG4AIgAsACIAUwBvAHUAcgBjAGUARABhAHQAYQBfAEYAZQBlAGQAbABvAHQALgBTAG8AdQByAGMAZQBEAGEAdABhAF8ARgBlAGUAZABsAG8AdABfAE0AZQB0AGgAYQBuAGUARQBtAGkAcwBzAGkAbwBuAHMAUABvAHQAZQBuAHQAaQBhAGwAXwBEAGEAdABhACIALAAiAFMAbwB1AHIAYwBlAEQAYQB0AGEAXwBGAGUAZQBkAGwAbwB0AC4AUwBvAHUAcgBjAGUARABhAHQAYQBfAEYAZQBlAGQAbABvAHQAXwBTAHQAYQBnAGUAMQBNAE0AUwBPAHAAdABpAG8AbgBzACIALAAiAFMAbwB1AHIAYwBlAEQAYQB0AGEAXwBGAGUAZQBkAGwAbwB0AC4AUwBvAHUAcgBjAGUARABhAHQAYQBfAEYAZQBlAGQAbABvAHQAXwBTAHQAYQBnAGUAMgBNAE0AUwBPAHAAdABpAG8AbgBzACIALAAiAFMAbwB1AHIAYwBlAEQAYQB0AGEAXwBGAGUAZQBkAGwAbwB0AC4AUwBvAHUAcgBjAGUARABhAHQAYQBfAEYAZQBlAGQAbABvAHQAXwBTAHQAYQBnAGUAMwBNAE0AUwBPAHAAdABpAG8AbgBzACIALAAiAFMAbwB1AHIAYwBlAEQAYQB0AGEAXwBGAGUAZQBkAGwAbwB0AC4AUwBvAHUAcgBjAGUARABhAHQAYQBfAEYAZQBlAGQAbABvAHQAXwBMAGkAdgBlAHMAdABvAGMAawBDAGwAYQBzAHMAZQBzACIALAAiAFMAbwB1AHIAYwBlAEQAYQB0AGEAXwBGAGUAZQBkAGwAbwB0AC4AUwBvAHUAcgBjAGUARABhAHQAYQBfAEYAZQBlAGQAbABvAHQAXwBEAHUAcgBhAHQAaQBvAG4ATwBmAFMAdABhAHkAXwBUAGkAdABsAGUAIgAsACIAUwBvAHUAcgBjAGUARABhAHQAYQBfAEYAZQBlAGQAbABvAHQALgBTAG8AdQByAGMAZQBEAGEAdABhAF8ARgBlAGUAZABsAG8AdABfAEQAdQByAGEAdABpAG8AbgBPAGYAUwB0AGEAeQBfAFUAbgBpAHQAIgAsACIAUwBvAHUAcgBjAGUARABhAHQAYQBfAEYAZQBlAGQAbABvAHQALgBTAG8AdQByAGMAZQBEAGEAdABhAF8ARgBlAGUAZABsAG8AdABfAEQAdQByAGEAdABpAG8AbgBPAGYAUwB0AGEAeQBfAFMAbwB1AHIAYwBlACIALAAiAFMAbwB1AHIAYwBlAEQAYQB0AGEAXwBGAGUAZQBkAGwAbwB0AC4AUwBvAHUAcgBjAGUARABhAHQAYQBfAEYAZQBlAGQAbABvAHQAXwBEAHUAcgBhAHQAaQBvAG4ATwBmAFMAdABhAHkAXwBWAGEAcgBpAGEAdABpAG8AbgAiACwAIgBTAG8AdQByAGMAZQBEAGEAdABhAF8ARgBlAGUAZABsAG8AdAAuAFMAbwB1AHIAYwBlAEQAYQB0AGEAXwBGAGUAZQBkAGwAbwB0AF8ARAB1AHIAYQB0AGkAbwBuAE8AZgBTAHQAYQB5AF8ARABhAHQAYQAiACwAIgBTAG8AdQByAGMAZQBEAGEAdABhAF8ARgBlAGUAZABsAG8AdAAuAFMAbwB1AHIAYwBlAEQAYQB0AGEAXwBGAGUAZQBkAGwAbwB0AF8AQQBuAGkAbQBhAGwAQwBoAGEAcgBhAGMAdABlAHIAaQBzAHQAaQBjAHMAXwBUAGkAdABsAGUAIgAsACIAUwBvAHUAcgBjAGUARABhAHQAYQBfAEYAZQBlAGQAbABvAHQALgBTAG8AdQByAGMAZQBEAGEAdABhAF8ARgBlAGUAZABsAG8AdABfAEEAbgBpAG0AYQBsAEMAaABhAHIAYQBjAHQAZQByAGkAcwB0AGkAYwBzAF8AVQBuAGkAdAAiACwAIgBTAG8AdQByAGMAZQBEAGEAdABhAF8ARgBlAGUAZABsAG8AdAAuAFMAbwB1AHIAYwBlAEQAYQB0AGEAXwBGAGUAZQBkAGwAbwB0AF8AQQBuAGkAbQBhAGwAQwBoAGEAcgBhAGMAdABlAHIAaQBzAHQAaQBjAHMAXwBTAG8AdQByAGMAZQAiACwAIgBTAG8AdQByAGMAZQBEAGEAdABhAF8ARgBlAGUAZABsAG8AdAAuAFMAbwB1AHIAYwBlAEQAYQB0AGEAXwBGAGUAZQBkAGwAbwB0AF8AQQBuAGkAbQBhAGwAQwBoAGEAcgBhAGMAdABlAHIAaQBzAHQAaQBjAHMAXwBWAGEAcgBpAGEAdABpAG8AbgAiACwAIgBTAG8AdQByAGMAZQBEAGEAdABhAF8ARgBlAGUAZABsAG8AdAAuAFMAbwB1AHIAYwBlAEQAYQB0AGEAXwBGAGUAZQBkAGwAbwB0AF8AQQBuAGkAbQBhAGwAQwBoAGEAcgBhAGMAdABlAHIAaQBzAHQAaQBjAHMAXwBEAGEAdABhACIALAAiAFMAbwB1AHIAYwBlAEQAYQB0AGEAXwBGAGUAZQBkAGwAbwB0AC4AUwBvAHUAcgBjAGUARABhAHQAYQBfAEYAZQBlAGQAbABvAHQAXwBEAGkAZQB0AFAAcgBvAHAAZQByAHQAaQBlAHMAXwBUAGkAdABsAGUAIgAsACIAUwBvAHUAcgBjAGUARABhAHQAYQBfAEYAZQBlAGQAbABvAHQALgBTAG8AdQByAGMAZQBEAGEAdABhAF8ARgBlAGUAZABsAG8AdABfAEQAaQBlAHQAUAByAG8AcABlAHIAdABpAGUAcwBfAFUAbgBpAHQAIgAsACIAUwBvAHUAcgBjAGUARABhAHQAYQBfAEYAZQBlAGQAbABvAHQALgBTAG8AdQByAGMAZQBEAGEAdABhAF8ARgBlAGUAZABsAG8AdABfAEQAaQBlAHQAUAByAG8AcABlAHIAdABpAGUAcwBfAFMAbwB1AHIAYwBlACIALAAiAFMAbwB1AHIAYwBlAEQAYQB0AGEAXwBGAGUAZQBkAGwAbwB0AC4AUwBvAHUAcgBjAGUARABhAHQAYQBfAEYAZQBlAGQAbABvAHQAXwBEAGkAZQB0AFAAcgBvAHAAZQByAHQAaQBlAHMAXwBWAGEAcgBpAGEAdABpAG8AbgAiACwAIgBTAG8AdQByAGMAZQBEAGEAdABhAF8ARgBlAGUAZABsAG8AdAAuAFMAbwB1AHIAYwBlAEQAYQB0AGEAXwBGAGUAZQBkAGwAbwB0AF8ARABpAGUAdABQAHIAbwBwAGUAcgB0AGkAZQBzAF8ARABhAHQAYQAiACwAIgBTAG8AdQByAGMAZQBEAGEAdABhAF8ARgBlAGUAZABsAG8AdAAuAFMAbwB1AHIAYwBlAEQAYQB0AGEAXwBGAGUAZQBkAGwAbwB0AF8ATQBDAEYAXwBUAGkAdABsAGUAIgAsACIAUwBvAHUAcgBjAGUARABhAHQAYQBfAEYAZQBlAGQAbABvAHQALgBTAG8AdQByAGMAZQBEAGEAdABhAF8ARgBlAGUAZABsAG8AdABfAE0AQwBGAF8AVQBuAGkAdAAiACwAIgBTAG8AdQByAGMAZQBEAGEAdABhAF8ARgBlAGUAZABsAG8AdAAuAFMAbwB1AHIAYwBlAEQAYQB0AGEAXwBGAGUAZQBkAGwAbwB0AF8ATQBDAEYAXwBTAG8AdQByAGMAZQAiACwAIgBTAG8AdQByAGMAZQBEAGEAdABhAF8ARgBlAGUAZABsAG8AdAAuAFMAbwB1AHIAYwBlAEQAYQB0AGEAXwBGAGUAZQBkAGwAbwB0AF8ATQBDAEYAXwBWAGEAcgBpAGEAdABpAG8AbgAiACwAIgBTAG8AdQByAGMAZQBEAGEAdABhAF8ARgBlAGUAZABsAG8AdAAuAFMAbwB1AHIAYwBlAEQAYQB0AGEAXwBGAGUAZQBkAGwAbwB0AF8ATQBDAEYAXwBEAGEAdABhACIALAAiAFMAbwB1AHIAYwBlAEQAYQB0AGEAXwBGAGUAZQBkAGwAbwB0AC4AUwBvAHUAcgBjAGUARABhAHQAYQBfAEYAZQBlAGQAbABvAHQAXwBOAGkAdAByAG8AdQBzAE8AeABpAGQAZQBFAEYAcwBfAFQAaQB0AGwAZQAiACwAIgBTAG8AdQByAGMAZQBEAGEAdABhAF8ARgBlAGUAZABsAG8AdAAuAFMAbwB1AHIAYwBlAEQAYQB0AGEAXwBGAGUAZQBkAGwAbwB0AF8ATgBpAHQAcgBvAHUAcwBPAHgAaQBkAGUARQBGAHMAXwBVAG4AaQB0ACIALAAiAFMAbwB1AHIAYwBlAEQAYQB0AGEAXwBGAGUAZQBkAGwAbwB0AC4AUwBvAHUAcgBjAGUARABhAHQAYQBfAEYAZQBlAGQAbABvAHQAXwBOAGkAdAByAG8AdQBzAE8AeABpAGQAZQBFAEYAcwBfAFMAbwB1AHIAYwBlACIALAAiAFMAbwB1AHIAYwBlAEQAYQB0AGEAXwBGAGUAZQBkAGwAbwB0AC4AUwBvAHUAcgBjAGUARABhAHQAYQBfAEYAZQBlAGQAbABvAHQAXwBOAGkAdAByAG8AdQBzAE8AeABpAGQAZQBFAEYAcwBfAFYAYQByAGkAYQB0AGkAbwBuACIALAAiAFMAbwB1AHIAYwBlAEQAYQB0AGEAXwBGAGUAZQBkAGwAbwB0AC4AUwBvAHUAcgBjAGUARABhAHQAYQBfAEYAZQBlAGQAbABvAHQAXwBOAGkAdAByAG8AdQBzAE8AeABpAGQAZQBFAEYAcwBfAEQAYQB0AGEAIgAsACIAUwBvAHUAcgBjAGUARABhAHQAYQBfAEYAZQBlAGQAbABvAHQALgBTAG8AdQByAGMAZQBEAGEAdABhAF8ARgBlAGUAZABsAG8AdABfAEYAcgBhAGMATgBWAG8AbABhAHQAaQBsAGkAcwBlAGQAXwBUAGkAdABsAGUAIgAsACIAUwBvAHUAcgBjAGUARABhAHQAYQBfAEYAZQBlAGQAbABvAHQALgBTAG8AdQByAGMAZQBEAGEAdABhAF8ARgBlAGUAZABsAG8AdABfAEYAcgBhAGMATgBWAG8AbABhAHQAaQBsAGkAcwBlAGQAXwBVAG4AaQB0ACIALAAiAFMAbwB1AHIAYwBlAEQAYQB0AGEAXwBGAGUAZQBkAGwAbwB0AC4AUwBvAHUAcgBjAGUARABhAHQAYQBfAEYAZQBlAGQAbABvAHQAXwBGAHIAYQBjAE4AVgBvAGwAYQB0AGkAbABpAHMAZQBkAF8AUwBvAHUAcgBjAGUAIgAsACIAUwBvAHUAcgBjAGUARABhAHQAYQBfAEYAZQBlAGQAbABvAHQALgBTAG8AdQByAGMAZQBEAGEAdABhAF8ARgBlAGUAZABsAG8AdABfAEYAcgBhAGMATgBWAG8AbABhAHQAaQBsAGkAcwBlAGQAXwBWAGEAcgBpAGEAdABpAG8AbgAiACwAIgBTAG8AdQByAGMAZQBEAGEAdABhAF8ARgBlAGUAZABsAG8AdAAuAFMAbwB1AHIAYwBlAEQAYQB0AGEAXwBGAGUAZQBkAGwAbwB0AF8ARgByAGEAYwBOAFYAbwBsAGEAdABpAGwAaQBzAGUAZABfAEQAYQB0AGEAIgAsACIATQBNAFMAXwBGAGUAZQBkAGwAbwB0AF8ATQBlAHQAaABhAG4AZQBfAEUAcQB1AGEAdABpAG8AbgBzAC4AVgBFAEUAUgBHAF8ANABfADEAXwAxAF8AMQBfAF8AMQBfAFQAbwB0AGEAbABBAG4AbgB1AGEAbABNAGUAdABoAGEAbgBlAEUAbQBpAHMAcwBpAG8AbgBzACIALAAiAE0ATQBTAF8ARgBlAGUAZABsAG8AdABfAE0AZQB0AGgAYQBuAGUAXwBFAHEAdQBhAHQAaQBvAG4AcwAuAFYARQBFAFIARwBfADQAXwAxAF8AMQBfADEAXwBfADEAXwBUAG8AdABhAGwAQQBuAG4AdQBhAGwATQBlAHQAaABhAG4AZQBFAG0AaQBzAHMAaQBvAG4AcwBfAFQAaQB0AGwAZQAiACwAIgBNAE0AUwBfAEYAZQBlAGQAbABvAHQAXwBNAGUAdABoAGEAbgBlAF8ARQBxAHUAYQB0AGkAbwBuAHMALgBWAEUARQBSAEcAXwA0AF8AMQBfADEAXwAxAF8AXwAxAF8AVABvAHQAYQBsAEEAbgBuAHUAYQBsAE0AZQB0AGgAYQBuAGUARQBtAGkAcwBzAGkAbwBuAHMAXwBWAGEAcgBpAGEAYgBsAGUAIgAsACIATQBNAFMAXwBGAGUAZQBkAGwAbwB0AF8ATQBlAHQAaABhAG4AZQBfAEUAcQB1AGEAdABpAG8AbgBzAC4AVgBFAEUAUgBHAF8ANABfADEAXwAxAF8AMQBfAF8AMQBfAFQAbwB0AGEAbABBAG4AbgB1AGEAbABNAGUAdABoAGEAbgBlAEUAbQBpAHMAcwBpAG8AbgBzAF8AVQBuAGkAdAAiACwAIgBNAE0AUwBfAEYAZQBlAGQAbABvAHQAXwBNAGUAdABoAGEAbgBlAF8ARQBxAHUAYQB0AGkAbwBuAHMALgBWAEUARQBSAEcAXwA0AF8AMQBfADEAXwAxAF8AXwAxAF8AVABvAHQAYQBsAEEAbgBuAHUAYQBsAE0AZQB0AGgAYQBuAGUARQBtAGkAcwBzAGkAbwBuAHMAXwBTAG8AdQByAGMAZQAiACwAIgBNAE0AUwBfAEYAZQBlAGQAbABvAHQAXwBNAGUAdABoAGEAbgBlAF8ARQBxAHUAYQB0AGkAbwBuAHMALgBWAEUARQBSAEcAXwA0AF8AMQBfADEAXwAxAF8AXwAxAF8AVABvAHQAYQBsAEEAbgBuAHUAYQBsAE0AZQB0AGgAYQBuAGUARQBtAGkAcwBzAGkAbwBuAHMAXwBOAEkAUgBSAGUAZgBlAHIAZQBuAGMAZQAiACwAIgBNAE0AUwBfAEYAZQBlAGQAbABvAHQAXwBNAGUAdABoAGEAbgBlAF8ARQBxAHUAYQB0AGkAbwBuAHMALgBWAEUARQBSAEcAXwA0AF8AMQBfADEAXwAxAF8AXwAxAF8AVABvAHQAYQBsAEEAbgBuAHUAYQBsAE0AZQB0AGgAYQBuAGUARQBtAGkAcwBzAGkAbwBuAHMAXwBMAGEAdABlAHgARQBxAHUAYQB0AGkAbwBuACIALAAiAE0ATQBTAF8ARgBlAGUAZABsAG8AdABfAE0AZQB0AGgAYQBuAGUAXwBFAHEAdQBhAHQAaQBvAG4AcwAuAFYARQBFAFIARwBfADQAXwAxAF8AMQBfADEAXwBfADEAXwBUAG8AdABhAGwAQQBuAG4AdQBhAGwATQBlAHQAaABhAG4AZQBFAG0AaQBzAHMAaQBvAG4AcwBfAEEAcgBnAHUAbQBlAG4AdABzACIALAAiAE0ATQBTAF8ARgBlAGUAZABsAG8AdABfAE0AZQB0AGgAYQBuAGUAXwBFAHEAdQBhAHQAaQBvAG4AcwAuAFYARQBFAFIARwBfADQAXwAxAF8AMQBfADEAXwBfADIAXwBTAHQAYQBnAGUAMQBNAGUAdABoAGEAbgBlAFAAcgBvAGQAdQBjAHQAaQBvAG4ARAByAHkAbABvAHQAIgAsACIATQBNAFMAXwBGAGUAZQBkAGwAbwB0AF8ATQBlAHQAaABhAG4AZQBfAEUAcQB1AGEAdABpAG8AbgBzAC4AVgBFAEUAUgBHAF8ANABfADEAXwAxAF8AMQBfAF8AMgBfAFMAdABhAGcAZQAxAE0AZQB0AGgAYQBuAGUAUAByAG8AZAB1AGMAdABpAG8AbgBEAHIAeQBsAG8AdABfAFQAaQB0AGwAZQAiACwAIgBNAE0AUwBfAEYAZQBlAGQAbABvAHQAXwBNAGUAdABoAGEAbgBlAF8ARQBxAHUAYQB0AGkAbwBuAHMALgBWAEUARQBSAEcAXwA0AF8AMQBfADEAXwAxAF8AXwAyAF8AUwB0AGEAZwBlADEATQBlAHQAaABhAG4AZQBQAHIAbwBkAHUAYwB0AGkAbwBuAEQAcgB5AGwAbwB0AF8AVgBhAHIAaQBhAGIAbABlACIALAAiAE0ATQBTAF8ARgBlAGUAZABsAG8AdABfAE0AZQB0AGgAYQBuAGUAXwBFAHEAdQBhAHQAaQBvAG4AcwAuAFYARQBFAFIARwBfADQAXwAxAF8AMQBfADEAXwBfADIAXwBTAHQAYQBnAGUAMQBNAGUAdABoAGEAbgBlAFAAcgBvAGQAdQBjAHQAaQBvAG4ARAByAHkAbABvAHQAXwBVAG4AaQB0ACIALAAiAE0ATQBTAF8ARgBlAGUAZABsAG8AdABfAE0AZQB0AGgAYQBuAGUAXwBFAHEAdQBhAHQAaQBvAG4AcwAuAFYARQBFAFIARwBfADQAXwAxAF8AMQBfADEAXwBfADIAXwBTAHQAYQBnAGUAMQBNAGUAdABoAGEAbgBlAFAAcgBvAGQAdQBjAHQAaQBvAG4ARAByAHkAbABvAHQAXwBTAG8AdQByAGMAZQAiACwAIgBNAE0AUwBfAEYAZQBlAGQAbABvAHQAXwBNAGUAdABoAGEAbgBlAF8ARQBxAHUAYQB0AGkAbwBuAHMALgBWAEUARQBSAEcAXwA0AF8AMQBfADEAXwAxAF8AXwAyAF8AUwB0AGEAZwBlADEATQBlAHQAaABhAG4AZQBQAHIAbwBkAHUAYwB0AGkAbwBuAEQAcgB5AGwAbwB0AF8ATgBJAFIAUgBlAGYAZQByAGUAbgBjAGUAIgAsACIATQBNAFMAXwBGAGUAZQBkAGwAbwB0AF8ATQBlAHQAaABhAG4AZQBfAEUAcQB1AGEAdABpAG8AbgBzAC4AVgBFAEUAUgBHAF8ANABfADEAXwAxAF8AMQBfAF8AMgBfAFMAdABhAGcAZQAxAE0AZQB0AGgAYQBuAGUAUAByAG8AZAB1AGMAdABpAG8AbgBEAHIAeQBsAG8AdABfAEwAYQB0AGUAeABFAHEAdQBhAHQAaQBvAG4AIgAsACIATQBNAFMAXwBGAGUAZQBkAGwAbwB0AF8ATQBlAHQAaABhAG4AZQBfAEUAcQB1AGEAdABpAG8AbgBzAC4AVgBFAEUAUgBHAF8ANABfADEAXwAxAF8AMQBfAF8AMgBfAFMAdABhAGcAZQAxAE0AZQB0AGgAYQBuAGUAUAByAG8AZAB1AGMAdABpAG8AbgBEAHIAeQBsAG8AdABfAEEAcgBnAHUAbQBlAG4AdABzACIALAAiAE0ATQBTAF8ARgBlAGUAZABsAG8AdABfAE0AZQB0AGgAYQBuAGUAXwBFAHEAdQBhAHQAaQBvAG4AcwAuAFYARQBFAFIARwBfADQAXwAxAF8AMQBfADEAXwBfADIAXwBTAHQAYQBnAGUAMQBNAGUAdABoAGEAbgBlAFAAcgBvAGQAdQBjAHQAaQBvAG4ARAByAHkAbABvAHQAXwBBAHIAZwB1AG0AZQBuAHQAcwBfAE0AZQB0AGgAbwBkADIAIgAsACIATQBNAFMAXwBGAGUAZQBkAGwAbwB0AF8ATQBlAHQAaABhAG4AZQBfAEUAcQB1AGEAdABpAG8AbgBzAC4AVgBFAEUAUgBHAF8ANABfADEAXwAxAF8AMQBfAF8AMwBfAFMAdABhAGcAZQAyAE0AZQB0AGgAYQBuAGUAUAByAG8AZAB1AGMAdABpAG8AbgAiACwAIgBNAE0AUwBfAEYAZQBlAGQAbABvAHQAXwBNAGUAdABoAGEAbgBlAF8ARQBxAHUAYQB0AGkAbwBuAHMALgBWAEUARQBSAEcAXwA0AF8AMQBfADEAXwAxAF8AXwAzAF8AUwB0AGEAZwBlADIATQBlAHQAaABhAG4AZQBQAHIAbwBkAHUAYwB0AGkAbwBuAF8AVABpAHQAbABlACIALAAiAE0ATQBTAF8ARgBlAGUAZABsAG8AdABfAE0AZQB0AGgAYQBuAGUAXwBFAHEAdQBhAHQAaQBvAG4AcwAuAFYARQBFAFIARwBfADQAXwAxAF8AMQBfADEAXwBfADMAXwBTAHQAYQBnAGUAMgBNAGUAdABoAGEAbgBlAFAAcgBvAGQAdQBjAHQAaQBvAG4AXwBWAGEAcgBpAGEAYgBsAGUAIgAsACIATQBNAFMAXwBGAGUAZQBkAGwAbwB0AF8ATQBlAHQAaABhAG4AZQBfAEUAcQB1AGEAdABpAG8AbgBzAC4AVgBFAEUAUgBHAF8ANABfADEAXwAxAF8AMQBfAF8AMwBfAFMAdABhAGcAZQAyAE0AZQB0AGgAYQBuAGUAUAByAG8AZAB1AGMAdABpAG8AbgBfAFUAbgBpAHQAIgAsACIATQBNAFMAXwBGAGUAZQBkAGwAbwB0AF8ATQBlAHQAaABhAG4AZQBfAEUAcQB1AGEAdABpAG8AbgBzAC4AVgBFAEUAUgBHAF8ANABfADEAXwAxAF8AMQBfAF8AMwBfAFMAdABhAGcAZQAyAE0AZQB0AGgAYQBuAGUAUAByAG8AZAB1AGMAdABpAG8AbgBfAFMAbwB1AHIAYwBlACIALAAiAE0ATQBTAF8ARgBlAGUAZABsAG8AdABfAE0AZQB0AGgAYQBuAGUAXwBFAHEAdQBhAHQAaQBvAG4AcwAuAFYARQBFAFIARwBfADQAXwAxAF8AMQBfADEAXwBfADMAXwBTAHQAYQBnAGUAMgBNAGUAdABoAGEAbgBlAFAAcgBvAGQAdQBjAHQAaQBvAG4AXwBOAEkAUgBSAGUAZgBlAHIAZQBuAGMAZQAiACwAIgBNAE0AUwBfAEYAZQBlAGQAbABvAHQAXwBNAGUAdABoAGEAbgBlAF8ARQBxAHUAYQB0AGkAbwBuAHMALgBWAEUARQBSAEcAXwA0AF8AMQBfADEAXwAxAF8AXwAzAF8AUwB0AGEAZwBlADIATQBlAHQAaABhAG4AZQBQAHIAbwBkAHUAYwB0AGkAbwBuAF8ATABhAHQAZQB4AEUAcQB1AGEAdABpAG8AbgAiACwAIgBNAE0AUwBfAEYAZQBlAGQAbABvAHQAXwBNAGUAdABoAGEAbgBlAF8ARQBxAHUAYQB0AGkAbwBuAHMALgBWAEUARQBSAEcAXwA0AF8AMQBfADEAXwAxAF8AXwAzAF8AUwB0AGEAZwBlADIATQBlAHQAaABhAG4AZQBQAHIAbwBkAHUAYwB0AGkAbwBuAF8AQQByAGcAdQBtAGUAbgB0AHMAIgAsACIATQBNAFMAXwBGAGUAZQBkAGwAbwB0AF8ATQBlAHQAaABhAG4AZQBfAEUAcQB1AGEAdABpAG8AbgBzAC4AVgBFAEUAUgBHAF8ANABfADEAXwAxAF8AMQBfAF8AMwBfAFMAdABhAGcAZQAyAE0AZQB0AGgAYQBuAGUAUAByAG8AZAB1AGMAdABpAG8AbgBfAEEAcgBnAHUAbQBlAG4AdABzAF8ATQBlAHQAaABvAGQAMgAiACwAIgBNAE0AUwBfAEYAZQBlAGQAbABvAHQAXwBNAGUAdABoAGEAbgBlAF8ARQBxAHUAYQB0AGkAbwBuAHMALgBWAEUARQBSAEcAXwA0AF8AMQBfADEAXwAxAF8AXwA0AF8AUwB0AGEAZwBlADMATQBlAHQAaABhAG4AZQBQAHIAbwBkAHUAYwB0AGkAbwBuAEEAbgBhAGUAcgBvAGIAaQBjAEwAYQBnAG8AbwBuACIALAAiAE0ATQBTAF8ARgBlAGUAZABsAG8AdABfAE0AZQB0AGgAYQBuAGUAXwBFAHEAdQBhAHQAaQBvAG4AcwAuAFYARQBFAFIARwBfADQAXwAxAF8AMQBfADEAXwBfADQAXwBTAHQAYQBnAGUAMwBNAGUAdABoAGEAbgBlAFAAcgBvAGQAdQBjAHQAaQBvAG4AQQBuAGEAZQByAG8AYgBpAGMATABhAGcAbwBvAG4AXwBUAGkAdABsAGUAIgAsACIATQBNAFMAXwBGAGUAZQBkAGwAbwB0AF8ATQBlAHQAaABhAG4AZQBfAEUAcQB1AGEAdABpAG8AbgBzAC4AVgBFAEUAUgBHAF8ANABfADEAXwAxAF8AMQBfAF8ANABfAFMAdABhAGcAZQAzAE0AZQB0AGgAYQBuAGUAUAByAG8AZAB1AGMAdABpAG8AbgBBAG4AYQBlAHIAbwBiAGkAYwBMAGEAZwBvAG8AbgBfAFYAYQByAGkAYQBiAGwAZQAiACwAIgBNAE0AUwBfAEYAZQBlAGQAbABvAHQAXwBNAGUAdABoAGEAbgBlAF8ARQBxAHUAYQB0AGkAbwBuAHMALgBWAEUARQBSAEcAXwA0AF8AMQBfADEAXwAxAF8AXwA0AF8AUwB0AGEAZwBlADMATQBlAHQAaABhAG4AZQBQAHIAbwBkAHUAYwB0AGkAbwBuAEEAbgBhAGUAcgBvAGIAaQBjAEwAYQBnAG8AbwBuAF8AVQBuAGkAdAAiACwAIgBNAE0AUwBfAEYAZQBlAGQAbABvAHQAXwBNAGUAdABoAGEAbgBlAF8ARQBxAHUAYQB0AGkAbwBuAHMALgBWAEUARQBSAEcAXwA0AF8AMQBfADEAXwAxAF8AXwA0AF8AUwB0AGEAZwBlADMATQBlAHQAaABhAG4AZQBQAHIAbwBkAHUAYwB0AGkAbwBuAEEAbgBhAGUAcgBvAGIAaQBjAEwAYQBnAG8AbwBuAF8AUwBvAHUAcgBjAGUAIgAsACIATQBNAFMAXwBGAGUAZQBkAGwAbwB0AF8ATQBlAHQAaABhAG4AZQBfAEUAcQB1AGEAdABpAG8AbgBzAC4AVgBFAEUAUgBHAF8ANABfADEAXwAxAF8AMQBfAF8ANABfAFMAdABhAGcAZQAzAE0AZQB0AGgAYQBuAGUAUAByAG8AZAB1AGMAdABpAG8AbgBBAG4AYQBlAHIAbwBiAGkAYwBMAGEAZwBvAG8AbgBfAE4ASQBSAFIAZQBmAGUAcgBlAG4AYwBlACIALAAiAE0ATQBTAF8ARgBlAGUAZABsAG8AdABfAE0AZQB0AGgAYQBuAGUAXwBFAHEAdQBhAHQAaQBvAG4AcwAuAFYARQBFAFIARwBfADQAXwAxAF8AMQBfADEAXwBfADQAXwBTAHQAYQBnAGUAMwBNAGUAdABoAGEAbgBlAFAAcgBvAGQAdQBjAHQAaQBvAG4AQQBuAGEAZQByAG8AYgBpAGMATABhAGcAbwBvAG4AXwBMAGEAdABlAHgARQBxAHUAYQB0AGkAbwBuACIALAAiAE0ATQBTAF8ARgBlAGUAZABsAG8AdABfAE0AZQB0AGgAYQBuAGUAXwBFAHEAdQBhAHQAaQBvAG4AcwAuAFYARQBFAFIARwBfADQAXwAxAF8AMQBfADEAXwBfADQAXwBTAHQAYQBnAGUAMwBNAGUAdABoAGEAbgBlAFAAcgBvAGQAdQBjAHQAaQBvAG4AQQBuAGEAZQByAG8AYgBpAGMATABhAGcAbwBvAG4AXwBBAHIAZwB1AG0AZQBuAHQAcwAiACwAIgBNAE0AUwBfAEYAZQBlAGQAbABvAHQAXwBNAGUAdABoAGEAbgBlAF8ARQBxAHUAYQB0AGkAbwBuAHMALgBWAEUARQBSAEcAXwA0AF8AMQBfADEAXwAxAF8AXwA0AF8AUwB0AGEAZwBlADMATQBlAHQAaABhAG4AZQBQAHIAbwBkAHUAYwB0AGkAbwBuAEEAbgBhAGUAcgBvAGIAaQBjAEwAYQBnAG8AbwBuAF8AQQByAGcAdQBtAGUAbgB0AHMAXwBNAGUAdABoAG8AZAAyACIALAAiAE0ATQBTAF8ARgBlAGUAZABsAG8AdABfAE0AZQB0AGgAYQBuAGUAXwBFAHEAdQBhAHQAaQBvAG4AcwAuAFYARQBFAFIARwBfADQAXwAxAF8AMQBfADEAXwBfADUAXwBWAG8AbABhAHQAaQBsAGUAUwBvAGwAaQBkAFAAcgBvAGQAdQBjAHQAaQBvAG4AIgAsACIATQBNAFMAXwBGAGUAZQBkAGwAbwB0AF8ATQBlAHQAaABhAG4AZQBfAEUAcQB1AGEAdABpAG8AbgBzAC4AVgBFAEUAUgBHAF8ANABfADEAXwAxAF8AMQBfAF8ANQBfAFYAbwBsAGEAdABpAGwAZQBTAG8AbABpAGQAUAByAG8AZAB1AGMAdABpAG8AbgBfAFQAaQB0AGwAZQAiACwAIgBNAE0AUwBfAEYAZQBlAGQAbABvAHQAXwBNAGUAdABoAGEAbgBlAF8ARQBxAHUAYQB0AGkAbwBuAHMALgBWAEUARQBSAEcAXwA0AF8AMQBfADEAXwAxAF8AXwA1AF8AVgBvAGwAYQB0AGkAbABlAFMAbwBsAGkAZABQAHIAbwBkAHUAYwB0AGkAbwBuAF8AVgBhAHIAaQBhAGIAbABlACIALAAiAE0ATQBTAF8ARgBlAGUAZABsAG8AdABfAE0AZQB0AGgAYQBuAGUAXwBFAHEAdQBhAHQAaQBvAG4AcwAuAFYARQBFAFIARwBfADQAXwAxAF8AMQBfADEAXwBfADUAXwBWAG8AbABhAHQAaQBsAGUAUwBvAGwAaQBkAFAAcgBvAGQAdQBjAHQAaQBvAG4AXwBVAG4AaQB0ACIALAAiAE0ATQBTAF8ARgBlAGUAZABsAG8AdABfAE0AZQB0AGgAYQBuAGUAXwBFAHEAdQBhAHQAaQBvAG4AcwAuAFYARQBFAFIARwBfADQAXwAxAF8AMQBfADEAXwBfADUAXwBWAG8AbABhAHQAaQBsAGUAUwBvAGwAaQBkAFAAcgBvAGQAdQBjAHQAaQBvAG4AXwBTAG8AdQByAGMAZQAiACwAIgBNAE0AUwBfAEYAZQBlAGQAbABvAHQAXwBNAGUAdABoAGEAbgBlAF8ARQBxAHUAYQB0AGkAbwBuAHMALgBWAEUARQBSAEcAXwA0AF8AMQBfADEAXwAxAF8AXwA1AF8AVgBvAGwAYQB0AGkAbABlAFMAbwBsAGkAZABQAHIAbwBkAHUAYwB0AGkAbwBuAF8ATgBJAFIAUgBlAGYAZQByAGUAbgBjAGUAIgAsACIATQBNAFMAXwBGAGUAZQBkAGwAbwB0AF8ATQBlAHQAaABhAG4AZQBfAEUAcQB1AGEAdABpAG8AbgBzAC4AVgBFAEUAUgBHAF8ANABfADEAXwAxAF8AMQBfAF8ANQBfAFYAbwBsAGEAdABpAGwAZQBTAG8AbABpAGQAUAByAG8AZAB1AGMAdABpAG8AbgBfAEwAYQB0AGUAeABFAHEAdQBhAHQAaQBvAG4AIgAsACIATQBNAFMAXwBGAGUAZQBkAGwAbwB0AF8ATQBlAHQAaABhAG4AZQBfAEUAcQB1AGEAdABpAG8AbgBzAC4AVgBFAEUAUgBHAF8ANABfADEAXwAxAF8AMQBfAF8ANQBfAFYAbwBsAGEAdABpAGwAZQBTAG8AbABpAGQAUAByAG8AZAB1AGMAdABpAG8AbgBfAEEAcgBnAHUAbQBlAG4AdABzACIALAAiAE0ATQBTAF8ARgBlAGUAZABsAG8AdABfAE0AYQBuAHUAcgBlAEEAcABwAGwAaQBlAGQAVABvAFMAbwBpAGwAcwBfAEUAcQB1AGEAdABpAG8AbgBzAC4AVgBFAEUAUgBHAF8ANABfADEAXwAxAF8AOQBfAF8AMQBfAE0AYQBzAHMATwBmAE4AaQB0AHIAbwBnAGUAbgBBAHAAcABsAGkAZQBkAFQAbwBTAG8AaQBsAHMAUwBjAG8AcABlADEAIgAsACIATQBNAFMAXwBGAGUAZQBkAGwAbwB0AF8ATQBhAG4AdQByAGUAQQBwAHAAbABpAGUAZABUAG8AUwBvAGkAbABzAF8ARQBxAHUAYQB0AGkAbwBuAHMALgBWAEUARQBSAEcAXwA0AF8AMQBfADEAXwA5AF8AXwAxAF8ATQBhAHMAcwBPAGYATgBpAHQAcgBvAGcAZQBuAEEAcABwAGwAaQBlAGQAVABvAFMAbwBpAGwAcwBTAGMAbwBwAGUAMQBfAFQAaQB0AGwAZQAiACwAIgBNAE0AUwBfAEYAZQBlAGQAbABvAHQAXwBNAGEAbgB1AHIAZQBBAHAAcABsAGkAZQBkAFQAbwBTAG8AaQBsAHMAXwBFAHEAdQBhAHQAaQBvAG4AcwAuAFYARQBFAFIARwBfADQAXwAxAF8AMQBfADkAXwBfADEAXwBNAGEAcwBzAE8AZgBOAGkAdAByAG8AZwBlAG4AQQBwAHAAbABpAGUAZABUAG8AUwBvAGkAbABzAFMAYwBvAHAAZQAxAF8AVgBhAHIAaQBhAGIAbABlACIALAAiAE0ATQBTAF8ARgBlAGUAZABsAG8AdABfAE0AYQBuAHUAcgBlAEEAcABwAGwAaQBlAGQAVABvAFMAbwBpAGwAcwBfAEUAcQB1AGEAdABpAG8AbgBzAC4AVgBFAEUAUgBHAF8ANABfADEAXwAxAF8AOQBfAF8AMQBfAE0AYQBzAHMATwBmAE4AaQB0AHIAbwBnAGUAbgBBAHAAcABsAGkAZQBkAFQAbwBTAG8AaQBsAHMAUwBjAG8AcABlADEAXwBVAG4AaQB0ACIALAAiAE0ATQBTAF8ARgBlAGUAZABsAG8AdABfAE0AYQBuAHUAcgBlAEEAcABwAGwAaQBlAGQAVABvAFMAbwBpAGwAcwBfAEUAcQB1AGEAdABpAG8AbgBzAC4AVgBFAEUAUgBHAF8ANABfADEAXwAxAF8AOQBfAF8AMQBfAE0AYQBzAHMATwBmAE4AaQB0AHIAbwBnAGUAbgBBAHAAcABsAGkAZQBkAFQAbwBTAG8AaQBsAHMAUwBjAG8AcABlADEAXwBTAG8AdQByAGMAZQAiACwAIgBNAE0AUwBfAEYAZQBlAGQAbABvAHQAXwBNAGEAbgB1AHIAZQBBAHAAcABsAGkAZQBkAFQAbwBTAG8AaQBsAHMAXwBFAHEAdQBhAHQAaQBvAG4AcwAuAFYARQBFAFIARwBfADQAXwAxAF8AMQBfADkAXwBfADEAXwBNAGEAcwBzAE8AZgBOAGkAdAByAG8AZwBlAG4AQQBwAHAAbABpAGUAZABUAG8AUwBvAGkAbABzAFMAYwBvAHAAZQAxAF8ATgBJAFIAUgBlAGYAZQByAGUAbgBjAGUAIgAsACIATQBNAFMAXwBGAGUAZQBkAGwAbwB0AF8ATQBhAG4AdQByAGUAQQBwAHAAbABpAGUAZABUAG8AUwBvAGkAbABzAF8ARQBxAHUAYQB0AGkAbwBuAHMALgBWAEUARQBSAEcAXwA0AF8AMQBfADEAXwA5AF8AXwAxAF8ATQBhAHMAcwBPAGYATgBpAHQAcgBvAGcAZQBuAEEAcABwAGwAaQBlAGQAVABvAFMAbwBpAGwAcwBTAGMAbwBwAGUAMQBfAEwAYQB0AGUAeABFAHEAdQBhAHQAaQBvAG4AIgAsACIATQBNAFMAXwBGAGUAZQBkAGwAbwB0AF8ATQBhAG4AdQByAGUAQQBwAHAAbABpAGUAZABUAG8AUwBvAGkAbABzAF8ARQBxAHUAYQB0AGkAbwBuAHMALgBWAEUARQBSAEcAXwA0AF8AMQBfADEAXwA5AF8AXwAxAF8ATQBhAHMAcwBPAGYATgBpAHQAcgBvAGcAZQBuAEEAcABwAGwAaQBlAGQAVABvAFMAbwBpAGwAcwBTAGMAbwBwAGUAMQBfAEEAcgBnAHUAbQBlAG4AdABzACIALAAiAE0ATQBTAF8ARgBlAGUAZABsAG8AdABfAE0AYQBuAHUAcgBlAEEAcABwAGwAaQBlAGQAVABvAFMAbwBpAGwAcwBfAEUAcQB1AGEAdABpAG8AbgBzAC4AVgBFAEUAUgBHAF8ANABfADEAXwAxAF8AOQBfAF8AMgBfAE0AYQBzAHMATwBmAE4AaQB0AHIAbwBnAGUAbgBBAHAAcABsAGkAZQBkAFQAbwBTAG8AaQBsAHMAUwBjAG8AcABlADMAIgAsACIATQBNAFMAXwBGAGUAZQBkAGwAbwB0AF8ATQBhAG4AdQByAGUAQQBwAHAAbABpAGUAZABUAG8AUwBvAGkAbABzAF8ARQBxAHUAYQB0AGkAbwBuAHMALgBWAEUARQBSAEcAXwA0AF8AMQBfADEAXwA5AF8AXwAyAF8ATQBhAHMAcwBPAGYATgBpAHQAcgBvAGcAZQBuAEEAcABwAGwAaQBlAGQAVABvAFMAbwBpAGwAcwBTAGMAbwBwAGUAMwBfAFQAaQB0AGwAZQAiACwAIgBNAE0AUwBfAEYAZQBlAGQAbABvAHQAXwBNAGEAbgB1AHIAZQBBAHAAcABsAGkAZQBkAFQAbwBTAG8AaQBsAHMAXwBFAHEAdQBhAHQAaQBvAG4AcwAuAFYARQBFAFIARwBfADQAXwAxAF8AMQBfADkAXwBfADIAXwBNAGEAcwBzAE8AZgBOAGkAdAByAG8AZwBlAG4AQQBwAHAAbABpAGUAZABUAG8AUwBvAGkAbABzAFMAYwBvAHAAZQAzAF8AVgBhAHIAaQBhAGIAbABlACIALAAiAE0ATQBTAF8ARgBlAGUAZABsAG8AdABfAE0AYQBuAHUAcgBlAEEAcABwAGwAaQBlAGQAVABvAFMAbwBpAGwAcwBfAEUAcQB1AGEAdABpAG8AbgBzAC4AVgBFAEUAUgBHAF8ANABfADEAXwAxAF8AOQBfAF8AMgBfAE0AYQBzAHMATwBmAE4AaQB0AHIAbwBnAGUAbgBBAHAAcABsAGkAZQBkAFQAbwBTAG8AaQBsAHMAUwBjAG8AcABlADMAXwBVAG4AaQB0ACIALAAiAE0ATQBTAF8ARgBlAGUAZABsAG8AdABfAE0AYQBuAHUAcgBlAEEAcABwAGwAaQBlAGQAVABvAFMAbwBpAGwAcwBfAEUAcQB1AGEAdABpAG8AbgBzAC4AVgBFAEUAUgBHAF8ANABfADEAXwAxAF8AOQBfAF8AMgBfAE0AYQBzAHMATwBmAE4AaQB0AHIAbwBnAGUAbgBBAHAAcABsAGkAZQBkAFQAbwBTAG8AaQBsAHMAUwBjAG8AcABlADMAXwBTAG8AdQByAGMAZQAiACwAIgBNAE0AUwBfAEYAZQBlAGQAbABvAHQAXwBNAGEAbgB1AHIAZQBBAHAAcABsAGkAZQBkAFQAbwBTAG8AaQBsAHMAXwBFAHEAdQBhAHQAaQBvAG4AcwAuAFYARQBFAFIARwBfADQAXwAxAF8AMQBfADkAXwBfADIAXwBNAGEAcwBzAE8AZgBOAGkAdAByAG8AZwBlAG4AQQBwAHAAbABpAGUAZABUAG8AUwBvAGkAbABzAFMAYwBvAHAAZQAzAF8ATgBJAFIAUgBlAGYAZQByAGUAbgBjAGUAIgAsACIATQBNAFMAXwBGAGUAZQBkAGwAbwB0AF8ATQBhAG4AdQByAGUAQQBwAHAAbABpAGUAZABUAG8AUwBvAGkAbABzAF8ARQBxAHUAYQB0AGkAbwBuAHMALgBWAEUARQBSAEcAXwA0AF8AMQBfADEAXwA5AF8AXwAyAF8ATQBhAHMAcwBPAGYATgBpAHQAcgBvAGcAZQBuAEEAcABwAGwAaQBlAGQAVABvAFMAbwBpAGwAcwBTAGMAbwBwAGUAMwBfAEwAYQB0AGUAeABFAHEAdQBhAHQAaQBvAG4AIgAsACIATQBNAFMAXwBGAGUAZQBkAGwAbwB0AF8ATQBhAG4AdQByAGUAQQBwAHAAbABpAGUAZABUAG8AUwBvAGkAbABzAF8ARQBxAHUAYQB0AGkAbwBuAHMALgBWAEUARQBSAEcAXwA0AF8AMQBfADEAXwA5AF8AXwAyAF8ATQBhAHMAcwBPAGYATgBpAHQAcgBvAGcAZQBuAEEAcABwAGwAaQBlAGQAVABvAFMAbwBpAGwAcwBTAGMAbwBwAGUAMwBfAEEAcgBnAHUAbQBlAG4AdABz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VABpAHQAbABl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VgBhAHIAaQBhAGIAbABl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VQBuAGkAdA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MAbwB1AHIAYwBl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TgBJAFIAUgBlAGYAZQByAGUAbgBjAGU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MAGEAdABlAHgARQBxAHUAYQB0AGkAbwBu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QQByAGcAdQBtAGUAbgB0AHMAIgAsACIATQBNAFMAXwBGAGUAZQBkAGwAbwB0AF8AQQB0AG0AbwBzAHAAaABlAHIAaQBjAEQAZQBwAG8AcwBpAHQAaQBvAG4AXwBFAHEAdQBhAHQAaQBvAG4AcwAuAFYARQBFAFIARwBfADQAXwAxAF8AMQBfADUAXwBfADIAXwBWAG8AbABhAHQAaQBsAGkAcwBlAGQATgBpAHQAcgBvAGcAZQBuAEYAcgBvAG0ATQBhAG4AdQByAGUATQBhAG4AYQBnAGUAbQBlAG4AdAAiACwAIgBNAE0AUwBfAEYAZQBlAGQAbABvAHQAXwBBAHQAbQBvAHMAcABoAGUAcgBpAGMARABlAHAAbwBzAGkAdABpAG8AbgBfAEUAcQB1AGEAdABpAG8AbgBzAC4AVgBFAEUAUgBHAF8ANABfADEAXwAxAF8ANQBfAF8AMgBfAFYAbwBsAGEAdABpAGwAaQBzAGUAZABOAGkAdAByAG8AZwBlAG4ARgByAG8AbQBNAGEAbgB1AHIAZQBNAGEAbgBhAGcAZQBtAGUAbgB0AF8AVABpAHQAbA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WAGEAcgBpAGEAYgBs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FUAbgBpAHQAIgAsACIATQBNAFMAXwBGAGUAZQBkAGwAbwB0AF8AQQB0AG0AbwBzAHAAaABlAHIAaQBjAEQAZQBwAG8AcwBpAHQAaQBvAG4AXwBFAHEAdQBhAHQAaQBvAG4AcwAuAFYARQBFAFIARwBfADQAXwAxAF8AMQBfADUAXwBfADIAXwBWAG8AbABhAHQAaQBsAGkAcwBlAGQATgBpAHQAcgBvAGcAZQBuAEYAcgBvAG0ATQBhAG4AdQByAGUATQBhAG4AYQBnAGUAbQBlAG4AdABfAFMAbwB1AHIAYw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OAEkAUgBSAGUAZgBlAHIAZQBuAGM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TABhAHQAZQB4AEUAcQB1AGEAdABpAG8AbgAiACwAIgBNAE0AUwBfAEYAZQBlAGQAbABvAHQAXwBBAHQAbQBvAHMAcABoAGUAcgBpAGMARABlAHAAbwBzAGkAdABpAG8AbgBfAEUAcQB1AGEAdABpAG8AbgBzAC4AVgBFAEUAUgBHAF8ANABfADEAXwAxAF8ANQBfAF8AMgBfAFYAbwBsAGEAdABpAGwAaQBzAGUAZABOAGkAdAByAG8AZwBlAG4ARgByAG8AbQBNAGEAbgB1AHIAZQBNAGEAbgBhAGcAZQBtAGUAbgB0AF8AQQByAGcAdQBtAGUAbgB0AHMAIgAsACIATQBNAFMAXwBGAGUAZQBkAGwAbwB0AF8ATgAyAE8ARABpAHIAZQBjAHQAXwBFAHEAdQBhAHQAaQBvAG4AcwAuAFYARQBFAFIARwBfADQAXwAxAF8AMQBfADMAXwBfADEAXwBUAG8AdABhAGwAQQBuAG4AdQBhAGwARABpAHIAZQBjAHQATgBpAHQAcgBvAHUAcwBPAHgAaQBkAGUARQBtAGkAcwBzAGkAbwBuAHMAIgAsACIATQBNAFMAXwBGAGUAZQBkAGwAbwB0AF8ATgAyAE8ARABpAHIAZQBjAHQAXwBFAHEAdQBhAHQAaQBvAG4AcwAuAFYARQBFAFIARwBfADQAXwAxAF8AMQBfADMAXwBfADEAXwBUAG8AdABhAGwAQQBuAG4AdQBhAGwARABpAHIAZQBjAHQATgBpAHQAcgBvAHUAcwBPAHgAaQBkAGUARQBtAGkAcwBzAGkAbwBuAHMAXwBUAGkAdABsAGUAIgAsACIATQBNAFMAXwBGAGUAZQBkAGwAbwB0AF8ATgAyAE8ARABpAHIAZQBjAHQAXwBFAHEAdQBhAHQAaQBvAG4AcwAuAFYARQBFAFIARwBfADQAXwAxAF8AMQBfADMAXwBfADEAXwBUAG8AdABhAGwAQQBuAG4AdQBhAGwARABpAHIAZQBjAHQATgBpAHQAcgBvAHUAcwBPAHgAaQBkAGUARQBtAGkAcwBzAGkAbwBuAHMAXwBWAGEAcgBpAGEAYgBsAGUAIgAsACIATQBNAFMAXwBGAGUAZQBkAGwAbwB0AF8ATgAyAE8ARABpAHIAZQBjAHQAXwBFAHEAdQBhAHQAaQBvAG4AcwAuAFYARQBFAFIARwBfADQAXwAxAF8AMQBfADMAXwBfADEAXwBUAG8AdABhAGwAQQBuAG4AdQBhAGwARABpAHIAZQBjAHQATgBpAHQAcgBvAHUAcwBPAHgAaQBkAGUARQBtAGkAcwBzAGkAbwBuAHMAXwBVAG4AaQB0ACIALAAiAE0ATQBTAF8ARgBlAGUAZABsAG8AdABfAE4AMgBPAEQAaQByAGUAYwB0AF8ARQBxAHUAYQB0AGkAbwBuAHMALgBWAEUARQBSAEcAXwA0AF8AMQBfADEAXwAzAF8AXwAxAF8AVABvAHQAYQBsAEEAbgBuAHUAYQBsAEQAaQByAGUAYwB0AE4AaQB0AHIAbwB1AHMATwB4AGkAZABlAEUAbQBpAHMAcwBpAG8AbgBzAF8AUwBvAHUAcgBjAGUAIgAsACIATQBNAFMAXwBGAGUAZQBkAGwAbwB0AF8ATgAyAE8ARABpAHIAZQBjAHQAXwBFAHEAdQBhAHQAaQBvAG4AcwAuAFYARQBFAFIARwBfADQAXwAxAF8AMQBfADMAXwBfADEAXwBUAG8AdABhAGwAQQBuAG4AdQBhAGwARABpAHIAZQBjAHQATgBpAHQAcgBvAHUAcwBPAHgAaQBkAGUARQBtAGkAcwBzAGkAbwBuAHMAXwBOAEkAUgBSAGUAZgBlAHIAZQBuAGMAZQAiACwAIgBNAE0AUwBfAEYAZQBlAGQAbABvAHQAXwBOADIATwBEAGkAcgBlAGMAdABfAEUAcQB1AGEAdABpAG8AbgBzAC4AVgBFAEUAUgBHAF8ANABfADEAXwAxAF8AMwBfAF8AMQBfAFQAbwB0AGEAbABBAG4AbgB1AGEAbABEAGkAcgBlAGMAdABOAGkAdAByAG8AdQBzAE8AeABpAGQAZQBFAG0AaQBzAHMAaQBvAG4AcwBfAEwAYQB0AGUAeABFAHEAdQBhAHQAaQBvAG4AIgAsACIATQBNAFMAXwBGAGUAZQBkAGwAbwB0AF8ATgAyAE8ARABpAHIAZQBjAHQAXwBFAHEAdQBhAHQAaQBvAG4AcwAuAFYARQBFAFIARwBfADQAXwAxAF8AMQBfADMAXwBfADEAXwBUAG8AdABhAGwAQQBuAG4AdQBhAGwARABpAHIAZQBjAHQATgBpAHQAcgBvAHUAcwBPAHgAaQBkAGUARQBtAGkAcwBzAGkAbwBuAHMAXwBBAHIAZwB1AG0AZQBuAHQAcwAiACwAIgBNAE0AUwBfAEYAZQBlAGQAbABvAHQAXwBOADIATwBEAGkAcgBlAGMAdABfAEUAcQB1AGEAdABpAG8AbgBzAC4AVgBFAEUAUgBHAF8ANABfADEAXwAxAF8AMwBfAF8AMgBfAFMAdABhAGcAZQAxAE4AaQB0AHIAbwBnAGUAbgBJAG4ATQBNAFMARAByAHkAbABvAHQAIgAsACIATQBNAFMAXwBGAGUAZQBkAGwAbwB0AF8ATgAyAE8ARABpAHIAZQBjAHQAXwBFAHEAdQBhAHQAaQBvAG4AcwAuAFYARQBFAFIARwBfADQAXwAxAF8AMQBfADMAXwBfADIAXwBTAHQAYQBnAGUAMQBOAGkAdAByAG8AZwBlAG4ASQBuAE0ATQBTAEQAcgB5AGwAbwB0AF8AVABpAHQAbABlACIALAAiAE0ATQBTAF8ARgBlAGUAZABsAG8AdABfAE4AMgBPAEQAaQByAGUAYwB0AF8ARQBxAHUAYQB0AGkAbwBuAHMALgBWAEUARQBSAEcAXwA0AF8AMQBfADEAXwAzAF8AXwAyAF8AUwB0AGEAZwBlADEATgBpAHQAcgBvAGcAZQBuAEkAbgBNAE0AUwBEAHIAeQBsAG8AdABfAFYAYQByAGkAYQBiAGwAZQAiACwAIgBNAE0AUwBfAEYAZQBlAGQAbABvAHQAXwBOADIATwBEAGkAcgBlAGMAdABfAEUAcQB1AGEAdABpAG8AbgBzAC4AVgBFAEUAUgBHAF8ANABfADEAXwAxAF8AMwBfAF8AMgBfAFMAdABhAGcAZQAxAE4AaQB0AHIAbwBnAGUAbgBJAG4ATQBNAFMARAByAHkAbABvAHQAXwBVAG4AaQB0ACIALAAiAE0ATQBTAF8ARgBlAGUAZABsAG8AdABfAE4AMgBPAEQAaQByAGUAYwB0AF8ARQBxAHUAYQB0AGkAbwBuAHMALgBWAEUARQBSAEcAXwA0AF8AMQBfADEAXwAzAF8AXwAyAF8AUwB0AGEAZwBlADEATgBpAHQAcgBvAGcAZQBuAEkAbgBNAE0AUwBEAHIAeQBsAG8AdABfAFMAbwB1AHIAYwBlACIALAAiAE0ATQBTAF8ARgBlAGUAZABsAG8AdABfAE4AMgBPAEQAaQByAGUAYwB0AF8ARQBxAHUAYQB0AGkAbwBuAHMALgBWAEUARQBSAEcAXwA0AF8AMQBfADEAXwAzAF8AXwAyAF8AUwB0AGEAZwBlADEATgBpAHQAcgBvAGcAZQBuAEkAbgBNAE0AUwBEAHIAeQBsAG8AdABfAE4ASQBSAFIAZQBmAGUAcgBlAG4AYwBlACIALAAiAE0ATQBTAF8ARgBlAGUAZABsAG8AdABfAE4AMgBPAEQAaQByAGUAYwB0AF8ARQBxAHUAYQB0AGkAbwBuAHMALgBWAEUARQBSAEcAXwA0AF8AMQBfADEAXwAzAF8AXwAyAF8AUwB0AGEAZwBlADEATgBpAHQAcgBvAGcAZQBuAEkAbgBNAE0AUwBEAHIAeQBsAG8AdABfAEwAYQB0AGUAeABFAHEAdQBhAHQAaQBvAG4AIgAsACIATQBNAFMAXwBGAGUAZQBkAGwAbwB0AF8ATgAyAE8ARABpAHIAZQBjAHQAXwBFAHEAdQBhAHQAaQBvAG4AcwAuAFYARQBFAFIARwBfADQAXwAxAF8AMQBfADMAXwBfADIAXwBTAHQAYQBnAGUAMQBOAGkAdAByAG8AZwBlAG4ASQBuAE0ATQBTAEQAcgB5AGwAbwB0AF8AQQByAGcAdQBtAGUAbgB0AHMAIgAsACIATQBNAFMAXwBGAGUAZQBkAGwAbwB0AF8ATgAyAE8ARABpAHIAZQBjAHQAXwBFAHEAdQBhAHQAaQBvAG4AcwAuAFYARQBFAFIARwBfADQAXwAxAF8AMQBfADMAXwBfADMAXwBBAG4AbgB1AGEAbABOAGkAdAByAG8AZwBlAG4ARQB4AGMAcgBlAHQAaQBvAG4AIgAsACIATQBNAFMAXwBGAGUAZQBkAGwAbwB0AF8ATgAyAE8ARABpAHIAZQBjAHQAXwBFAHEAdQBhAHQAaQBvAG4AcwAuAFYARQBFAFIARwBfADQAXwAxAF8AMQBfADMAXwBfADMAXwBBAG4AbgB1AGEAbABOAGkAdAByAG8AZwBlAG4ARQB4AGMAcgBlAHQAaQBvAG4AXwBUAGkAdABsAGUAIgAsACIATQBNAFMAXwBGAGUAZQBkAGwAbwB0AF8ATgAyAE8ARABpAHIAZQBjAHQAXwBFAHEAdQBhAHQAaQBvAG4AcwAuAFYARQBFAFIARwBfADQAXwAxAF8AMQBfADMAXwBfADMAXwBBAG4AbgB1AGEAbABOAGkAdAByAG8AZwBlAG4ARQB4AGMAcgBlAHQAaQBvAG4AXwBWAGEAcgBpAGEAYgBsAGUAIgAsACIATQBNAFMAXwBGAGUAZQBkAGwAbwB0AF8ATgAyAE8ARABpAHIAZQBjAHQAXwBFAHEAdQBhAHQAaQBvAG4AcwAuAFYARQBFAFIARwBfADQAXwAxAF8AMQBfADMAXwBfADMAXwBBAG4AbgB1AGEAbABOAGkAdAByAG8AZwBlAG4ARQB4AGMAcgBlAHQAaQBvAG4AXwBVAG4AaQB0ACIALAAiAE0ATQBTAF8ARgBlAGUAZABsAG8AdABfAE4AMgBPAEQAaQByAGUAYwB0AF8ARQBxAHUAYQB0AGkAbwBuAHMALgBWAEUARQBSAEcAXwA0AF8AMQBfADEAXwAzAF8AXwAzAF8AQQBuAG4AdQBhAGwATgBpAHQAcgBvAGcAZQBuAEUAeABjAHIAZQB0AGkAbwBuAF8AUwBvAHUAcgBjAGUAIgAsACIATQBNAFMAXwBGAGUAZQBkAGwAbwB0AF8ATgAyAE8ARABpAHIAZQBjAHQAXwBFAHEAdQBhAHQAaQBvAG4AcwAuAFYARQBFAFIARwBfADQAXwAxAF8AMQBfADMAXwBfADMAXwBBAG4AbgB1AGEAbABOAGkAdAByAG8AZwBlAG4ARQB4AGMAcgBlAHQAaQBvAG4AXwBOAEkAUgBSAGUAZgBlAHIAZQBuAGMAZQAiACwAIgBNAE0AUwBfAEYAZQBlAGQAbABvAHQAXwBOADIATwBEAGkAcgBlAGMAdABfAEUAcQB1AGEAdABpAG8AbgBzAC4AVgBFAEUAUgBHAF8ANABfADEAXwAxAF8AMwBfAF8AMwBfAEEAbgBuAHUAYQBsAE4AaQB0AHIAbwBnAGUAbgBFAHgAYwByAGUAdABpAG8AbgBfAEwAYQB0AGUAeABFAHEAdQBhAHQAaQBvAG4AIgAsACIATQBNAFMAXwBGAGUAZQBkAGwAbwB0AF8ATgAyAE8ARABpAHIAZQBjAHQAXwBFAHEAdQBhAHQAaQBvAG4AcwAuAFYARQBFAFIARwBfADQAXwAxAF8AMQBfADMAXwBfADMAXwBBAG4AbgB1AGEAbABOAGkAdAByAG8AZwBlAG4ARQB4AGMAcgBlAHQAaQBvAG4AXwBBAHIAZwB1AG0AZQBuAHQAcwAiACwAIgBNAE0AUwBfAEYAZQBlAGQAbABvAHQAXwBOADIATwBEAGkAcgBlAGMAdABfAEUAcQB1AGEAdABpAG8AbgBzAC4AVgBFAEUAUgBHAF8ANABfADEAXwAxAF8AMwBfAF8ANABfAE4AaQB0AHIAbwBnAGUAbgBFAHgAYwByAGUAdABpAG8AbgBQAGUAcgBIAGUAYQBkACIALAAiAE0ATQBTAF8ARgBlAGUAZABsAG8AdABfAE4AMgBPAEQAaQByAGUAYwB0AF8ARQBxAHUAYQB0AGkAbwBuAHMALgBWAEUARQBSAEcAXwA0AF8AMQBfADEAXwAzAF8AXwA0AF8ATgBpAHQAcgBvAGcAZQBuAEUAeABjAHIAZQB0AGkAbwBuAFAAZQByAEgAZQBhAGQAXwBUAGkAdABsAGUAIgAsACIATQBNAFMAXwBGAGUAZQBkAGwAbwB0AF8ATgAyAE8ARABpAHIAZQBjAHQAXwBFAHEAdQBhAHQAaQBvAG4AcwAuAFYARQBFAFIARwBfADQAXwAxAF8AMQBfADMAXwBfADQAXwBOAGkAdAByAG8AZwBlAG4ARQB4AGMAcgBlAHQAaQBvAG4AUABlAHIASABlAGEAZABfAFYAYQByAGkAYQBiAGwAZQAiACwAIgBNAE0AUwBfAEYAZQBlAGQAbABvAHQAXwBOADIATwBEAGkAcgBlAGMAdABfAEUAcQB1AGEAdABpAG8AbgBzAC4AVgBFAEUAUgBHAF8ANABfADEAXwAxAF8AMwBfAF8ANABfAE4AaQB0AHIAbwBnAGUAbgBFAHgAYwByAGUAdABpAG8AbgBQAGUAcgBIAGUAYQBkAF8AVQBuAGkAdAAiACwAIgBNAE0AUwBfAEYAZQBlAGQAbABvAHQAXwBOADIATwBEAGkAcgBlAGMAdABfAEUAcQB1AGEAdABpAG8AbgBzAC4AVgBFAEUAUgBHAF8ANABfADEAXwAxAF8AMwBfAF8ANABfAE4AaQB0AHIAbwBnAGUAbgBFAHgAYwByAGUAdABpAG8AbgBQAGUAcgBIAGUAYQBkAF8AUwBvAHUAcgBjAGUAIgAsACIATQBNAFMAXwBGAGUAZQBkAGwAbwB0AF8ATgAyAE8ARABpAHIAZQBjAHQAXwBFAHEAdQBhAHQAaQBvAG4AcwAuAFYARQBFAFIARwBfADQAXwAxAF8AMQBfADMAXwBfADQAXwBOAGkAdAByAG8AZwBlAG4ARQB4AGMAcgBlAHQAaQBvAG4AUABlAHIASABlAGEAZABfAE4ASQBSAFIAZQBmAGUAcgBlAG4AYwBlACIALAAiAE0ATQBTAF8ARgBlAGUAZABsAG8AdABfAE4AMgBPAEQAaQByAGUAYwB0AF8ARQBxAHUAYQB0AGkAbwBuAHMALgBWAEUARQBSAEcAXwA0AF8AMQBfADEAXwAzAF8AXwA0AF8ATgBpAHQAcgBvAGcAZQBuAEUAeABjAHIAZQB0AGkAbwBuAFAAZQByAEgAZQBhAGQAXwBMAGEAdABlAHgARQBxAHUAYQB0AGkAbwBuACIALAAiAE0ATQBTAF8ARgBlAGUAZABsAG8AdABfAE4AMgBPAEQAaQByAGUAYwB0AF8ARQBxAHUAYQB0AGkAbwBuAHMALgBWAEUARQBSAEcAXwA0AF8AMQBfADEAXwAzAF8AXwA0AF8ATgBpAHQAcgBvAGcAZQBuAEUAeABjAHIAZQB0AGkAbwBuAFAAZQByAEgAZQBhAGQAXwBBAHIAZwB1AG0AZQBuAHQAcwAiACwAIgBNAE0AUwBfAEYAZQBlAGQAbABvAHQAXwBOADIATwBEAGkAcgBlAGMAdABfAEUAcQB1AGEAdABpAG8AbgBzAC4AVgBFAEUAUgBHAF8ANABfADEAXwAxAF8AMwBfAF8ANQBfAE4AaQB0AHIAbwBnAGUAbgBJAG4AdABhAGsAZQAiACwAIgBNAE0AUwBfAEYAZQBlAGQAbABvAHQAXwBOADIATwBEAGkAcgBlAGMAdABfAEUAcQB1AGEAdABpAG8AbgBzAC4AVgBFAEUAUgBHAF8ANABfADEAXwAxAF8AMwBfAF8ANQBfAE4AaQB0AHIAbwBnAGUAbgBJAG4AdABhAGsAZQBfAFQAaQB0AGwAZQAiACwAIgBNAE0AUwBfAEYAZQBlAGQAbABvAHQAXwBOADIATwBEAGkAcgBlAGMAdABfAEUAcQB1AGEAdABpAG8AbgBzAC4AVgBFAEUAUgBHAF8ANABfADEAXwAxAF8AMwBfAF8ANQBfAE4AaQB0AHIAbwBnAGUAbgBJAG4AdABhAGsAZQBfAFYAYQByAGkAYQBiAGwAZQAiACwAIgBNAE0AUwBfAEYAZQBlAGQAbABvAHQAXwBOADIATwBEAGkAcgBlAGMAdABfAEUAcQB1AGEAdABpAG8AbgBzAC4AVgBFAEUAUgBHAF8ANABfADEAXwAxAF8AMwBfAF8ANQBfAE4AaQB0AHIAbwBnAGUAbgBJAG4AdABhAGsAZQBfAFUAbgBpAHQAIgAsACIATQBNAFMAXwBGAGUAZQBkAGwAbwB0AF8ATgAyAE8ARABpAHIAZQBjAHQAXwBFAHEAdQBhAHQAaQBvAG4AcwAuAFYARQBFAFIARwBfADQAXwAxAF8AMQBfADMAXwBfADUAXwBOAGkAdAByAG8AZwBlAG4ASQBuAHQAYQBrAGUAXwBTAG8AdQByAGMAZQAiACwAIgBNAE0AUwBfAEYAZQBlAGQAbABvAHQAXwBOADIATwBEAGkAcgBlAGMAdABfAEUAcQB1AGEAdABpAG8AbgBzAC4AVgBFAEUAUgBHAF8ANABfADEAXwAxAF8AMwBfAF8ANQBfAE4AaQB0AHIAbwBnAGUAbgBJAG4AdABhAGsAZQBfAE4ASQBSAFIAZQBmAGUAcgBlAG4AYwBlACIALAAiAE0ATQBTAF8ARgBlAGUAZABsAG8AdABfAE4AMgBPAEQAaQByAGUAYwB0AF8ARQBxAHUAYQB0AGkAbwBuAHMALgBWAEUARQBSAEcAXwA0AF8AMQBfADEAXwAzAF8AXwA1AF8ATgBpAHQAcgBvAGcAZQBuAEkAbgB0AGEAawBlAF8ATABhAHQAZQB4AEUAcQB1AGEAdABpAG8AbgAiACwAIgBNAE0AUwBfAEYAZQBlAGQAbABvAHQAXwBOADIATwBEAGkAcgBlAGMAdABfAEUAcQB1AGEAdABpAG8AbgBzAC4AVgBFAEUAUgBHAF8ANABfADEAXwAxAF8AMwBfAF8ANQBfAE4AaQB0AHIAbwBnAGUAbgBJAG4AdABhAGsAZQBfAEEAcgBnAHUAbQBlAG4AdABzACIALAAiAE0ATQBTAF8ARgBlAGUAZABsAG8AdABfAE4AMgBPAEQAaQByAGUAYwB0AF8ARQBxAHUAYQB0AGkAbwBuAHMALgBWAEUARQBSAEcAXwA0AF8AMQBfADEAXwAzAF8AXwA2AF8AUwB0AGEAZwBlADIATgBpAHQAcgBvAGcAZQBuAEkAbgBNAE0AUwAiACwAIgBNAE0AUwBfAEYAZQBlAGQAbABvAHQAXwBOADIATwBEAGkAcgBlAGMAdABfAEUAcQB1AGEAdABpAG8AbgBzAC4AVgBFAEUAUgBHAF8ANABfADEAXwAxAF8AMwBfAF8ANgBfAFMAdABhAGcAZQAyAE4AaQB0AHIAbwBnAGUAbgBJAG4ATQBNAFMAXwBUAGkAdABsAGUAIgAsACIATQBNAFMAXwBGAGUAZQBkAGwAbwB0AF8ATgAyAE8ARABpAHIAZQBjAHQAXwBFAHEAdQBhAHQAaQBvAG4AcwAuAFYARQBFAFIARwBfADQAXwAxAF8AMQBfADMAXwBfADYAXwBTAHQAYQBnAGUAMgBOAGkAdAByAG8AZwBlAG4ASQBuAE0ATQBTAF8AVgBhAHIAaQBhAGIAbABlACIALAAiAE0ATQBTAF8ARgBlAGUAZABsAG8AdABfAE4AMgBPAEQAaQByAGUAYwB0AF8ARQBxAHUAYQB0AGkAbwBuAHMALgBWAEUARQBSAEcAXwA0AF8AMQBfADEAXwAzAF8AXwA2AF8AUwB0AGEAZwBlADIATgBpAHQAcgBvAGcAZQBuAEkAbgBNAE0AUwBfAFUAbgBpAHQAIgAsACIATQBNAFMAXwBGAGUAZQBkAGwAbwB0AF8ATgAyAE8ARABpAHIAZQBjAHQAXwBFAHEAdQBhAHQAaQBvAG4AcwAuAFYARQBFAFIARwBfADQAXwAxAF8AMQBfADMAXwBfADYAXwBTAHQAYQBnAGUAMgBOAGkAdAByAG8AZwBlAG4ASQBuAE0ATQBTAF8AUwBvAHUAcgBjAGUAIgAsACIATQBNAFMAXwBGAGUAZQBkAGwAbwB0AF8ATgAyAE8ARABpAHIAZQBjAHQAXwBFAHEAdQBhAHQAaQBvAG4AcwAuAFYARQBFAFIARwBfADQAXwAxAF8AMQBfADMAXwBfADYAXwBTAHQAYQBnAGUAMgBOAGkAdAByAG8AZwBlAG4ASQBuAE0ATQBTAF8ATgBJAFIAUgBlAGYAZQByAGUAbgBjAGUAIgAsACIATQBNAFMAXwBGAGUAZQBkAGwAbwB0AF8ATgAyAE8ARABpAHIAZQBjAHQAXwBFAHEAdQBhAHQAaQBvAG4AcwAuAFYARQBFAFIARwBfADQAXwAxAF8AMQBfADMAXwBfADYAXwBTAHQAYQBnAGUAMgBOAGkAdAByAG8AZwBlAG4ASQBuAE0ATQBTAF8ATABhAHQAZQB4AEUAcQB1AGEAdABpAG8AbgAiACwAIgBNAE0AUwBfAEYAZQBlAGQAbABvAHQAXwBOADIATwBEAGkAcgBlAGMAdABfAEUAcQB1AGEAdABpAG8AbgBzAC4AVgBFAEUAUgBHAF8ANABfADEAXwAxAF8AMwBfAF8ANgBfAFMAdABhAGcAZQAyAE4AaQB0AHIAbwBnAGUAbgBJAG4ATQBNAFMAXwBBAHIAZwB1AG0AZQBuAHQAcwAiACwAIgBNAE0AUwBfAEYAZQBlAGQAbABvAHQAXwBOADIATwBEAGkAcgBlAGMAdABfAEUAcQB1AGEAdABpAG8AbgBzAC4AVgBFAEUAUgBHAF8ANABfADEAXwAxAF8AMwBfAF8ANwBfAE4AaQB0AHIAbwBnAGUAbgBUAHIAYQBuAHMAZgBlAHIAcgBlAGQAVABvAFMAdABhAGcAZQAyACIALAAiAE0ATQBTAF8ARgBlAGUAZABsAG8AdABfAE4AMgBPAEQAaQByAGUAYwB0AF8ARQBxAHUAYQB0AGkAbwBuAHMALgBWAEUARQBSAEcAXwA0AF8AMQBfADEAXwAzAF8AXwA3AF8ATgBpAHQAcgBvAGcAZQBuAFQAcgBhAG4AcwBmAGUAcgByAGUAZABUAG8AUwB0AGEAZwBlADIAXwBUAGkAdABsAGUAIgAsACIATQBNAFMAXwBGAGUAZQBkAGwAbwB0AF8ATgAyAE8ARABpAHIAZQBjAHQAXwBFAHEAdQBhAHQAaQBvAG4AcwAuAFYARQBFAFIARwBfADQAXwAxAF8AMQBfADMAXwBfADcAXwBOAGkAdAByAG8AZwBlAG4AVAByAGEAbgBzAGYAZQByAHIAZQBkAFQAbwBTAHQAYQBnAGUAMgBfAFYAYQByAGkAYQBiAGwAZQAiACwAIgBNAE0AUwBfAEYAZQBlAGQAbABvAHQAXwBOADIATwBEAGkAcgBlAGMAdABfAEUAcQB1AGEAdABpAG8AbgBzAC4AVgBFAEUAUgBHAF8ANABfADEAXwAxAF8AMwBfAF8ANwBfAE4AaQB0AHIAbwBnAGUAbgBUAHIAYQBuAHMAZgBlAHIAcgBlAGQAVABvAFMAdABhAGcAZQAyAF8AVQBuAGkAdAAiACwAIgBNAE0AUwBfAEYAZQBlAGQAbABvAHQAXwBOADIATwBEAGkAcgBlAGMAdABfAEUAcQB1AGEAdABpAG8AbgBzAC4AVgBFAEUAUgBHAF8ANABfADEAXwAxAF8AMwBfAF8ANwBfAE4AaQB0AHIAbwBnAGUAbgBUAHIAYQBuAHMAZgBlAHIAcgBlAGQAVABvAFMAdABhAGcAZQAyAF8AUwBvAHUAcgBjAGUAIgAsACIATQBNAFMAXwBGAGUAZQBkAGwAbwB0AF8ATgAyAE8ARABpAHIAZQBjAHQAXwBFAHEAdQBhAHQAaQBvAG4AcwAuAFYARQBFAFIARwBfADQAXwAxAF8AMQBfADMAXwBfADcAXwBOAGkAdAByAG8AZwBlAG4AVAByAGEAbgBzAGYAZQByAHIAZQBkAFQAbwBTAHQAYQBnAGUAMgBfAE4ASQBSAFIAZQBmAGUAcgBlAG4AYwBlACIALAAiAE0ATQBTAF8ARgBlAGUAZABsAG8AdABfAE4AMgBPAEQAaQByAGUAYwB0AF8ARQBxAHUAYQB0AGkAbwBuAHMALgBWAEUARQBSAEcAXwA0AF8AMQBfADEAXwAzAF8AXwA3AF8ATgBpAHQAcgBvAGcAZQBuAFQAcgBhAG4AcwBmAGUAcgByAGUAZABUAG8AUwB0AGEAZwBlADIAXwBMAGEAdABlAHgARQBxAHUAYQB0AGkAbwBuACIALAAiAE0ATQBTAF8ARgBlAGUAZABsAG8AdABfAE4AMgBPAEQAaQByAGUAYwB0AF8ARQBxAHUAYQB0AGkAbwBuAHMALgBWAEUARQBSAEcAXwA0AF8AMQBfADEAXwAzAF8AXwA3AF8ATgBpAHQAcgBvAGcAZQBuAFQAcgBhAG4AcwBmAGUAcgByAGUAZABUAG8AUwB0AGEAZwBlADIAXwBBAHIAZwB1AG0AZQBuAHQAcwAiACwAIgBNAE0AUwBfAEYAZQBlAGQAbABvAHQAXwBOADIATwBEAGkAcgBlAGMAdABfAEUAcQB1AGEAdABpAG8AbgBzAC4AVgBFAEUAUgBHAF8ANABfADEAXwAxAF8AMwBfAF8AOABfAFMAdABhAGcAZQAzAE4AaQB0AHIAbwBnAGUAbgBJAG4ATQBNAFMAQQBuAGEAZQByAG8AYgBpAGMATABhAGcAbwBvAG4AIgAsACIATQBNAFMAXwBGAGUAZQBkAGwAbwB0AF8ATgAyAE8ARABpAHIAZQBjAHQAXwBFAHEAdQBhAHQAaQBvAG4AcwAuAFYARQBFAFIARwBfADQAXwAxAF8AMQBfADMAXwBfADgAXwBTAHQAYQBnAGUAMwBOAGkAdAByAG8AZwBlAG4ASQBuAE0ATQBTAEEAbgBhAGUAcgBvAGIAaQBjAEwAYQBnAG8AbwBuAF8AVABpAHQAbABlACIALAAiAE0ATQBTAF8ARgBlAGUAZABsAG8AdABfAE4AMgBPAEQAaQByAGUAYwB0AF8ARQBxAHUAYQB0AGkAbwBuAHMALgBWAEUARQBSAEcAXwA0AF8AMQBfADEAXwAzAF8AXwA4AF8AUwB0AGEAZwBlADMATgBpAHQAcgBvAGcAZQBuAEkAbgBNAE0AUwBBAG4AYQBlAHIAbwBiAGkAYwBMAGEAZwBvAG8AbgBfAFYAYQByAGkAYQBiAGwAZQAiACwAIgBNAE0AUwBfAEYAZQBlAGQAbABvAHQAXwBOADIATwBEAGkAcgBlAGMAdABfAEUAcQB1AGEAdABpAG8AbgBzAC4AVgBFAEUAUgBHAF8ANABfADEAXwAxAF8AMwBfAF8AOABfAFMAdABhAGcAZQAzAE4AaQB0AHIAbwBnAGUAbgBJAG4ATQBNAFMAQQBuAGEAZQByAG8AYgBpAGMATABhAGcAbwBvAG4AXwBVAG4AaQB0ACIALAAiAE0ATQBTAF8ARgBlAGUAZABsAG8AdABfAE4AMgBPAEQAaQByAGUAYwB0AF8ARQBxAHUAYQB0AGkAbwBuAHMALgBWAEUARQBSAEcAXwA0AF8AMQBfADEAXwAzAF8AXwA4AF8AUwB0AGEAZwBlADMATgBpAHQAcgBvAGcAZQBuAEkAbgBNAE0AUwBBAG4AYQBlAHIAbwBiAGkAYwBMAGEAZwBvAG8AbgBfAFMAbwB1AHIAYwBlACIALAAiAE0ATQBTAF8ARgBlAGUAZABsAG8AdABfAE4AMgBPAEQAaQByAGUAYwB0AF8ARQBxAHUAYQB0AGkAbwBuAHMALgBWAEUARQBSAEcAXwA0AF8AMQBfADEAXwAzAF8AXwA4AF8AUwB0AGEAZwBlADMATgBpAHQAcgBvAGcAZQBuAEkAbgBNAE0AUwBBAG4AYQBlAHIAbwBiAGkAYwBMAGEAZwBvAG8AbgBfAE4ASQBSAFIAZQBmAGUAcgBlAG4AYwBlACIALAAiAE0ATQBTAF8ARgBlAGUAZABsAG8AdABfAE4AMgBPAEQAaQByAGUAYwB0AF8ARQBxAHUAYQB0AGkAbwBuAHMALgBWAEUARQBSAEcAXwA0AF8AMQBfADEAXwAzAF8AXwA4AF8AUwB0AGEAZwBlADMATgBpAHQAcgBvAGcAZQBuAEkAbgBNAE0AUwBBAG4AYQBlAHIAbwBiAGkAYwBMAGEAZwBvAG8AbgBfAEwAYQB0AGUAeABFAHEAdQBhAHQAaQBvAG4AIgAsACIATQBNAFMAXwBGAGUAZQBkAGwAbwB0AF8ATgAyAE8ARABpAHIAZQBjAHQAXwBFAHEAdQBhAHQAaQBvAG4AcwAuAFYARQBFAFIARwBfADQAXwAxAF8AMQBfADMAXwBfADgAXwBTAHQAYQBnAGUAMwBOAGkAdAByAG8AZwBlAG4ASQBuAE0ATQBTAEEAbgBhAGUAcgBvAGIAaQBjAEwAYQBnAG8AbwBuAF8AQQByAGcAdQBtAGUAbgB0AHMAIgAsACIARQBuAHQAZQByAGkAYwBNAGUAdABoAGEAbgBlAF8ARgBlAGUAZABsAG8AdABfAEUAcQB1AGEAdABpAG8AbgBzAC4AVgBFAEUAUgBHAF8AMwBfADEAXwAxAF8AMQBfAF8AMQBfAFQAbwB0AGEAbABBAG4AbgB1AGEAbABNAGUAdABoAGEAbgBlAEYAcgBvAG0ARQBuAHQAZQByAGkAYwBGAGUAcgBtAGUAbgB0AGEAdABpAG8AbgAiACwAIgBFAG4AdABlAHIAaQBjAE0AZQB0AGgAYQBuAGUAXwBGAGUAZQBkAGwAbwB0AF8ARQBxAHUAYQB0AGkAbwBuAHMALgBWAEUARQBSAEcAXwAzAF8AMQBfADEAXwAxAF8AXwAxAF8AVABvAHQAYQBsAEEAbgBuAHUAYQBsAE0AZQB0AGgAYQBuAGUARgByAG8AbQBFAG4AdABlAHIAaQBjAEYAZQByAG0AZQBuAHQAYQB0AGkAbwBuAF8AVABpAHQAbABlACIALAAiAEUAbgB0AGUAcgBpAGMATQBlAHQAaABhAG4AZQBfAEYAZQBlAGQAbABvAHQAXwBFAHEAdQBhAHQAaQBvAG4AcwAuAFYARQBFAFIARwBfADMAXwAxAF8AMQBfADEAXwBfADEAXwBUAG8AdABhAGwAQQBuAG4AdQBhAGwATQBlAHQAaABhAG4AZQBGAHIAbwBtAEUAbgB0AGUAcgBpAGMARgBlAHIAbQBlAG4AdABhAHQAaQBvAG4AXwBWAGEAcgBpAGEAYgBsAGUAIgAsACIARQBuAHQAZQByAGkAYwBNAGUAdABoAGEAbgBlAF8ARgBlAGUAZABsAG8AdABfAEUAcQB1AGEAdABpAG8AbgBzAC4AVgBFAEUAUgBHAF8AMwBfADEAXwAxAF8AMQBfAF8AMQBfAFQAbwB0AGEAbABBAG4AbgB1AGEAbABNAGUAdABoAGEAbgBlAEYAcgBvAG0ARQBuAHQAZQByAGkAYwBGAGUAcgBtAGUAbgB0AGEAdABpAG8AbgBfAFUAbgBpAHQAIgAsACIARQBuAHQAZQByAGkAYwBNAGUAdABoAGEAbgBlAF8ARgBlAGUAZABsAG8AdABfAEUAcQB1AGEAdABpAG8AbgBzAC4AVgBFAEUAUgBHAF8AMwBfADEAXwAxAF8AMQBfAF8AMQBfAFQAbwB0AGEAbABBAG4AbgB1AGEAbABNAGUAdABoAGEAbgBlAEYAcgBvAG0ARQBuAHQAZQByAGkAYwBGAGUAcgBtAGUAbgB0AGEAdABpAG8AbgBfAFMAbwB1AHIAYwBlACIALAAiAEUAbgB0AGUAcgBpAGMATQBlAHQAaABhAG4AZQBfAEYAZQBlAGQAbABvAHQAXwBFAHEAdQBhAHQAaQBvAG4AcwAuAFYARQBFAFIARwBfADMAXwAxAF8AMQBfADEAXwBfADEAXwBUAG8AdABhAGwAQQBuAG4AdQBhAGwATQBlAHQAaABhAG4AZQBGAHIAbwBtAEUAbgB0AGUAcgBpAGMARgBlAHIAbQBlAG4AdABhAHQAaQBvAG4AXwBOAEkAUgBSAGUAZgBlAHIAZQBuAGMAZQAiACwAIgBFAG4AdABlAHIAaQBjAE0AZQB0AGgAYQBuAGUAXwBGAGUAZQBkAGwAbwB0AF8ARQBxAHUAYQB0AGkAbwBuAHMALgBWAEUARQBSAEcAXwAzAF8AMQBfADEAXwAxAF8AXwAxAF8AVABvAHQAYQBsAEEAbgBuAHUAYQBsAE0AZQB0AGgAYQBuAGUARgByAG8AbQBFAG4AdABlAHIAaQBjAEYAZQByAG0AZQBuAHQAYQB0AGkAbwBuAF8ATABhAHQAZQB4AEUAcQB1AGEAdABpAG8AbgAiACwAIgBFAG4AdABlAHIAaQBjAE0AZQB0AGgAYQBuAGUAXwBGAGUAZQBkAGwAbwB0AF8ARQBxAHUAYQB0AGkAbwBuAHMALgBWAEUARQBSAEcAXwAzAF8AMQBfADEAXwAxAF8AXwAxAF8AVABvAHQAYQBsAEEAbgBuAHUAYQBsAE0AZQB0AGgAYQBuAGUARgByAG8AbQBFAG4AdABlAHIAaQBjAEYAZQByAG0AZQBuAHQAYQB0AGkAbwBuAF8AQQByAGcAdQBtAGUAbgB0AHMAIgAsACIARQBuAHQAZQByAGkAYwBNAGUAdABoAGEAbgBlAF8ARgBlAGUAZABsAG8AdABfAEUAcQB1AGEAdABpAG8AbgBzAC4AVgBFAEUAUgBHAF8AMwBfADEAXwAxAF8AMQBfAF8AMgBfAEQAYQBpAGwAeQBFAG4AdABlAHIAaQBjAE0AZQB0AGgAYQBuAGUAUAByAG8AZAB1AGMAdABpAG8AbgAiACwAIgBFAG4AdABlAHIAaQBjAE0AZQB0AGgAYQBuAGUAXwBGAGUAZQBkAGwAbwB0AF8ARQBxAHUAYQB0AGkAbwBuAHMALgBWAEUARQBSAEcAXwAzAF8AMQBfADEAXwAxAF8AXwAyAF8ARABhAGkAbAB5AEUAbgB0AGUAcgBpAGMATQBlAHQAaABhAG4AZQBQAHIAbwBkAHUAYwB0AGkAbwBuAF8AVABpAHQAbABlACIALAAiAEUAbgB0AGUAcgBpAGMATQBlAHQAaABhAG4AZQBfAEYAZQBlAGQAbABvAHQAXwBFAHEAdQBhAHQAaQBvAG4AcwAuAFYARQBFAFIARwBfADMAXwAxAF8AMQBfADEAXwBfADIAXwBEAGEAaQBsAHkARQBuAHQAZQByAGkAYwBNAGUAdABoAGEAbgBlAFAAcgBvAGQAdQBjAHQAaQBvAG4AXwBWAGEAcgBpAGEAYgBsAGUAIgAsACIARQBuAHQAZQByAGkAYwBNAGUAdABoAGEAbgBlAF8ARgBlAGUAZABsAG8AdABfAEUAcQB1AGEAdABpAG8AbgBzAC4AVgBFAEUAUgBHAF8AMwBfADEAXwAxAF8AMQBfAF8AMgBfAEQAYQBpAGwAeQBFAG4AdABlAHIAaQBjAE0AZQB0AGgAYQBuAGUAUAByAG8AZAB1AGMAdABpAG8AbgBfAFUAbgBpAHQAIgAsACIARQBuAHQAZQByAGkAYwBNAGUAdABoAGEAbgBlAF8ARgBlAGUAZABsAG8AdABfAEUAcQB1AGEAdABpAG8AbgBzAC4AVgBFAEUAUgBHAF8AMwBfADEAXwAxAF8AMQBfAF8AMgBfAEQAYQBpAGwAeQBFAG4AdABlAHIAaQBjAE0AZQB0AGgAYQBuAGUAUAByAG8AZAB1AGMAdABpAG8AbgBfAFMAbwB1AHIAYwBlACIALAAiAEUAbgB0AGUAcgBpAGMATQBlAHQAaABhAG4AZQBfAEYAZQBlAGQAbABvAHQAXwBFAHEAdQBhAHQAaQBvAG4AcwAuAFYARQBFAFIARwBfADMAXwAxAF8AMQBfADEAXwBfADIAXwBEAGEAaQBsAHkARQBuAHQAZQByAGkAYwBNAGUAdABoAGEAbgBlAFAAcgBvAGQAdQBjAHQAaQBvAG4AXwBOAEkAUgBSAGUAZgBlAHIAZQBuAGMAZQAiACwAIgBFAG4AdABlAHIAaQBjAE0AZQB0AGgAYQBuAGUAXwBGAGUAZQBkAGwAbwB0AF8ARQBxAHUAYQB0AGkAbwBuAHMALgBWAEUARQBSAEcAXwAzAF8AMQBfADEAXwAxAF8AXwAyAF8ARABhAGkAbAB5AEUAbgB0AGUAcgBpAGMATQBlAHQAaABhAG4AZQBQAHIAbwBkAHUAYwB0AGkAbwBuAF8ATABhAHQAZQB4AEUAcQB1AGEAdABpAG8AbgAiACwAIgBFAG4AdABlAHIAaQBjAE0AZQB0AGgAYQBuAGUAXwBGAGUAZQBkAGwAbwB0AF8ARQBxAHUAYQB0AGkAbwBuAHMALgBWAEUARQBSAEcAXwAzAF8AMQBfADEAXwAxAF8AXwAyAF8ARABhAGkAbAB5AEUAbgB0AGUAcgBpAGMATQBlAHQAaABhAG4AZQBQAHIAbwBkAHUAYwB0AGkAbwBu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Home</vt:lpstr>
      <vt:lpstr>Overview</vt:lpstr>
      <vt:lpstr>Results</vt:lpstr>
      <vt:lpstr>Input - Site</vt:lpstr>
      <vt:lpstr>Input - Feedlot</vt:lpstr>
      <vt:lpstr>3.1.1.1-2 Enteric Methane</vt:lpstr>
      <vt:lpstr>Constants - Feedlot</vt:lpstr>
      <vt:lpstr>Constants - Common</vt:lpstr>
      <vt:lpstr>Constants - Livestock</vt:lpstr>
      <vt:lpstr>Acknowledgements</vt:lpstr>
      <vt:lpstr>Tab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2026-05-13T05:37:42Z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