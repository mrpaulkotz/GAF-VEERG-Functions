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3B25205-9B25-4383-BECB-E4CCC0C3112C}" xr6:coauthVersionLast="47" xr6:coauthVersionMax="47" xr10:uidLastSave="{00000000-0000-0000-0000-000000000000}"/>
  <bookViews>
    <workbookView xWindow="735" yWindow="780" windowWidth="37665" windowHeight="20295" firstSheet="1" activeTab="1"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98"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43" l="1"/>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E41" i="69" l="1"/>
  <c r="P20" i="69"/>
  <c r="P30" i="69"/>
  <c r="P25" i="69"/>
  <c r="G30" i="69"/>
  <c r="G25" i="69"/>
  <c r="E7" i="69"/>
  <c r="A9" i="13"/>
  <c r="A8" i="13"/>
  <c r="A5" i="13"/>
  <c r="A4" i="13"/>
  <c r="A3" i="13"/>
  <c r="I50" i="69" l="1" a="1"/>
  <c r="I50" i="69" s="1"/>
  <c r="I48" i="69" a="1"/>
  <c r="I48" i="69" s="1"/>
  <c r="G55" i="69"/>
  <c r="G60" i="69" l="1"/>
  <c r="I14" i="69" a="1"/>
  <c r="I14" i="69" s="1"/>
  <c r="I13" i="69" a="1"/>
  <c r="I13" i="69" s="1"/>
  <c r="S250" i="98" l="1" a="1"/>
  <c r="S250" i="98" s="1"/>
  <c r="R250" i="98" a="1"/>
  <c r="R250" i="98" s="1"/>
  <c r="Q250" i="98" a="1"/>
  <c r="Q250" i="98" s="1"/>
  <c r="P250" i="98" a="1"/>
  <c r="P250" i="98" s="1"/>
  <c r="O250" i="98" a="1"/>
  <c r="O250" i="98" s="1"/>
  <c r="N250" i="98" a="1"/>
  <c r="N250" i="98" s="1"/>
  <c r="M250" i="98" a="1"/>
  <c r="M250" i="98" s="1"/>
  <c r="L250" i="98" a="1"/>
  <c r="L250" i="98" s="1"/>
  <c r="K250" i="98" a="1"/>
  <c r="K250" i="98" s="1"/>
  <c r="J250" i="98" a="1"/>
  <c r="J250" i="98" s="1"/>
  <c r="I250" i="98" a="1"/>
  <c r="I250" i="98" s="1"/>
  <c r="H250" i="98" a="1"/>
  <c r="H250" i="98" s="1"/>
  <c r="G250" i="98" a="1"/>
  <c r="G250" i="98" s="1"/>
  <c r="F250" i="98" a="1"/>
  <c r="F250" i="98" s="1"/>
  <c r="E250" i="98" a="1"/>
  <c r="E250" i="98" s="1"/>
  <c r="D250" i="98" a="1"/>
  <c r="D250" i="98" s="1"/>
  <c r="S249" i="98" a="1"/>
  <c r="S249" i="98" s="1"/>
  <c r="R249" i="98" a="1"/>
  <c r="R249" i="98" s="1"/>
  <c r="Q249" i="98" a="1"/>
  <c r="Q249" i="98" s="1"/>
  <c r="P249" i="98" a="1"/>
  <c r="P249" i="98" s="1"/>
  <c r="O249" i="98" a="1"/>
  <c r="O249" i="98" s="1"/>
  <c r="N249" i="98" a="1"/>
  <c r="N249" i="98" s="1"/>
  <c r="M249" i="98" a="1"/>
  <c r="M249" i="98" s="1"/>
  <c r="L249" i="98" a="1"/>
  <c r="L249" i="98" s="1"/>
  <c r="K249" i="98" a="1"/>
  <c r="K249" i="98" s="1"/>
  <c r="J249" i="98" a="1"/>
  <c r="J249" i="98" s="1"/>
  <c r="I249" i="98" a="1"/>
  <c r="I249" i="98" s="1"/>
  <c r="H249" i="98" a="1"/>
  <c r="H249" i="98" s="1"/>
  <c r="G249" i="98" a="1"/>
  <c r="G249" i="98" s="1"/>
  <c r="F249" i="98" a="1"/>
  <c r="F249" i="98" s="1"/>
  <c r="E249" i="98" a="1"/>
  <c r="E249" i="98" s="1"/>
  <c r="D249" i="98" a="1"/>
  <c r="D249" i="98" s="1"/>
  <c r="S248" i="98" a="1"/>
  <c r="S248" i="98" s="1"/>
  <c r="R248" i="98" a="1"/>
  <c r="R248" i="98" s="1"/>
  <c r="Q248" i="98" a="1"/>
  <c r="Q248" i="98" s="1"/>
  <c r="P248" i="98" a="1"/>
  <c r="P248" i="98" s="1"/>
  <c r="O248" i="98" a="1"/>
  <c r="O248" i="98" s="1"/>
  <c r="N248" i="98" a="1"/>
  <c r="N248" i="98" s="1"/>
  <c r="M248" i="98" a="1"/>
  <c r="M248" i="98" s="1"/>
  <c r="L248" i="98" a="1"/>
  <c r="L248" i="98" s="1"/>
  <c r="K248" i="98" a="1"/>
  <c r="K248" i="98" s="1"/>
  <c r="J248" i="98" a="1"/>
  <c r="J248" i="98" s="1"/>
  <c r="I248" i="98" a="1"/>
  <c r="I248" i="98" s="1"/>
  <c r="H248" i="98" a="1"/>
  <c r="H248" i="98" s="1"/>
  <c r="G248" i="98" a="1"/>
  <c r="G248" i="98" s="1"/>
  <c r="F248" i="98" a="1"/>
  <c r="F248" i="98" s="1"/>
  <c r="E248" i="98" a="1"/>
  <c r="E248" i="98" s="1"/>
  <c r="D248" i="98" a="1"/>
  <c r="D248" i="98" s="1"/>
  <c r="S247" i="98" a="1"/>
  <c r="S247" i="98" s="1"/>
  <c r="R247" i="98" a="1"/>
  <c r="R247" i="98" s="1"/>
  <c r="Q247" i="98" a="1"/>
  <c r="Q247" i="98" s="1"/>
  <c r="P247" i="98" a="1"/>
  <c r="P247" i="98" s="1"/>
  <c r="O247" i="98" a="1"/>
  <c r="O247" i="98" s="1"/>
  <c r="N247" i="98" a="1"/>
  <c r="N247" i="98" s="1"/>
  <c r="M247" i="98" a="1"/>
  <c r="M247" i="98" s="1"/>
  <c r="L247" i="98" a="1"/>
  <c r="L247" i="98" s="1"/>
  <c r="K247" i="98" a="1"/>
  <c r="K247" i="98" s="1"/>
  <c r="J247" i="98" a="1"/>
  <c r="J247" i="98" s="1"/>
  <c r="I247" i="98" a="1"/>
  <c r="I247" i="98" s="1"/>
  <c r="H247" i="98" a="1"/>
  <c r="H247" i="98" s="1"/>
  <c r="G247" i="98" a="1"/>
  <c r="G247" i="98" s="1"/>
  <c r="F247" i="98" a="1"/>
  <c r="F247" i="98" s="1"/>
  <c r="E247" i="98" a="1"/>
  <c r="E247" i="98" s="1"/>
  <c r="D247" i="98" a="1"/>
  <c r="D247" i="98" s="1"/>
  <c r="S246" i="98" a="1"/>
  <c r="S246" i="98" s="1"/>
  <c r="R246" i="98" a="1"/>
  <c r="R246" i="98" s="1"/>
  <c r="Q246" i="98" a="1"/>
  <c r="Q246" i="98" s="1"/>
  <c r="P246" i="98" a="1"/>
  <c r="P246" i="98" s="1"/>
  <c r="O246" i="98" a="1"/>
  <c r="O246" i="98" s="1"/>
  <c r="N246" i="98" a="1"/>
  <c r="N246" i="98" s="1"/>
  <c r="M246" i="98" a="1"/>
  <c r="M246" i="98" s="1"/>
  <c r="L246" i="98" a="1"/>
  <c r="L246" i="98" s="1"/>
  <c r="K246" i="98" a="1"/>
  <c r="K246" i="98" s="1"/>
  <c r="J246" i="98" a="1"/>
  <c r="J246" i="98" s="1"/>
  <c r="I246" i="98" a="1"/>
  <c r="I246" i="98" s="1"/>
  <c r="H246" i="98" a="1"/>
  <c r="H246" i="98" s="1"/>
  <c r="G246" i="98" a="1"/>
  <c r="G246" i="98" s="1"/>
  <c r="F246" i="98" a="1"/>
  <c r="F246" i="98" s="1"/>
  <c r="E246" i="98" a="1"/>
  <c r="E246" i="98" s="1"/>
  <c r="D246" i="98" a="1"/>
  <c r="D246" i="98" s="1"/>
  <c r="S245" i="98" a="1"/>
  <c r="S245" i="98" s="1"/>
  <c r="R245" i="98" a="1"/>
  <c r="R245" i="98" s="1"/>
  <c r="Q245" i="98" a="1"/>
  <c r="Q245" i="98" s="1"/>
  <c r="P245" i="98" a="1"/>
  <c r="P245" i="98" s="1"/>
  <c r="O245" i="98" a="1"/>
  <c r="O245" i="98" s="1"/>
  <c r="N245" i="98" a="1"/>
  <c r="N245" i="98" s="1"/>
  <c r="M245" i="98" a="1"/>
  <c r="M245" i="98" s="1"/>
  <c r="L245" i="98" a="1"/>
  <c r="L245" i="98" s="1"/>
  <c r="K245" i="98" a="1"/>
  <c r="K245" i="98" s="1"/>
  <c r="J245" i="98" a="1"/>
  <c r="J245" i="98" s="1"/>
  <c r="I245" i="98" a="1"/>
  <c r="I245" i="98" s="1"/>
  <c r="H245" i="98" a="1"/>
  <c r="H245" i="98" s="1"/>
  <c r="G245" i="98" a="1"/>
  <c r="G245" i="98" s="1"/>
  <c r="F245" i="98" a="1"/>
  <c r="F245" i="98" s="1"/>
  <c r="E245" i="98" a="1"/>
  <c r="E245" i="98" s="1"/>
  <c r="D245" i="98" a="1"/>
  <c r="D245" i="98" s="1"/>
  <c r="S244" i="98" a="1"/>
  <c r="S244" i="98" s="1"/>
  <c r="R244" i="98" a="1"/>
  <c r="R244" i="98" s="1"/>
  <c r="Q244" i="98" a="1"/>
  <c r="Q244" i="98" s="1"/>
  <c r="P244" i="98" a="1"/>
  <c r="P244" i="98" s="1"/>
  <c r="O244" i="98" a="1"/>
  <c r="O244" i="98" s="1"/>
  <c r="N244" i="98" a="1"/>
  <c r="N244" i="98" s="1"/>
  <c r="M244" i="98" a="1"/>
  <c r="M244" i="98" s="1"/>
  <c r="L244" i="98" a="1"/>
  <c r="L244" i="98" s="1"/>
  <c r="K244" i="98" a="1"/>
  <c r="K244" i="98" s="1"/>
  <c r="J244" i="98" a="1"/>
  <c r="J244" i="98" s="1"/>
  <c r="I244" i="98" a="1"/>
  <c r="I244" i="98" s="1"/>
  <c r="H244" i="98" a="1"/>
  <c r="H244" i="98" s="1"/>
  <c r="G244" i="98" a="1"/>
  <c r="G244" i="98" s="1"/>
  <c r="F244" i="98" a="1"/>
  <c r="F244" i="98" s="1"/>
  <c r="E244" i="98" a="1"/>
  <c r="E244" i="98" s="1"/>
  <c r="D244" i="98" a="1"/>
  <c r="D244" i="98" s="1"/>
  <c r="S243" i="98" a="1"/>
  <c r="S243" i="98" s="1"/>
  <c r="R243" i="98" a="1"/>
  <c r="R243" i="98" s="1"/>
  <c r="Q243" i="98" a="1"/>
  <c r="Q243" i="98" s="1"/>
  <c r="P243" i="98" a="1"/>
  <c r="P243" i="98" s="1"/>
  <c r="O243" i="98" a="1"/>
  <c r="O243" i="98" s="1"/>
  <c r="N243" i="98" a="1"/>
  <c r="N243" i="98" s="1"/>
  <c r="M243" i="98" a="1"/>
  <c r="M243" i="98" s="1"/>
  <c r="L243" i="98" a="1"/>
  <c r="L243" i="98" s="1"/>
  <c r="K243" i="98" a="1"/>
  <c r="K243" i="98" s="1"/>
  <c r="J243" i="98" a="1"/>
  <c r="J243" i="98" s="1"/>
  <c r="I243" i="98" a="1"/>
  <c r="I243" i="98" s="1"/>
  <c r="H243" i="98" a="1"/>
  <c r="H243" i="98" s="1"/>
  <c r="G243" i="98" a="1"/>
  <c r="G243" i="98" s="1"/>
  <c r="F243" i="98" a="1"/>
  <c r="F243" i="98" s="1"/>
  <c r="E243" i="98" a="1"/>
  <c r="E243" i="98" s="1"/>
  <c r="D243" i="98" a="1"/>
  <c r="D243" i="98" s="1"/>
  <c r="S242" i="98" a="1"/>
  <c r="S242" i="98" s="1"/>
  <c r="R242" i="98" a="1"/>
  <c r="R242" i="98" s="1"/>
  <c r="Q242" i="98" a="1"/>
  <c r="Q242" i="98" s="1"/>
  <c r="P242" i="98" a="1"/>
  <c r="P242" i="98" s="1"/>
  <c r="O242" i="98" a="1"/>
  <c r="O242" i="98" s="1"/>
  <c r="N242" i="98" a="1"/>
  <c r="N242" i="98" s="1"/>
  <c r="M242" i="98" a="1"/>
  <c r="M242" i="98" s="1"/>
  <c r="L242" i="98" a="1"/>
  <c r="L242" i="98" s="1"/>
  <c r="K242" i="98" a="1"/>
  <c r="K242" i="98" s="1"/>
  <c r="J242" i="98" a="1"/>
  <c r="J242" i="98" s="1"/>
  <c r="I242" i="98" a="1"/>
  <c r="I242" i="98" s="1"/>
  <c r="H242" i="98" a="1"/>
  <c r="H242" i="98" s="1"/>
  <c r="G242" i="98" a="1"/>
  <c r="G242" i="98" s="1"/>
  <c r="F242" i="98" a="1"/>
  <c r="F242" i="98" s="1"/>
  <c r="E242" i="98" a="1"/>
  <c r="E242" i="98" s="1"/>
  <c r="D242" i="98" a="1"/>
  <c r="D242" i="98" s="1"/>
  <c r="S241" i="98" a="1"/>
  <c r="S241" i="98" s="1"/>
  <c r="R241" i="98" a="1"/>
  <c r="R241" i="98" s="1"/>
  <c r="Q241" i="98" a="1"/>
  <c r="Q241" i="98" s="1"/>
  <c r="P241" i="98" a="1"/>
  <c r="P241" i="98" s="1"/>
  <c r="O241" i="98" a="1"/>
  <c r="O241" i="98" s="1"/>
  <c r="N241" i="98" a="1"/>
  <c r="N241" i="98" s="1"/>
  <c r="M241" i="98" a="1"/>
  <c r="M241" i="98" s="1"/>
  <c r="L241" i="98" a="1"/>
  <c r="L241" i="98" s="1"/>
  <c r="K241" i="98" a="1"/>
  <c r="K241" i="98" s="1"/>
  <c r="J241" i="98" a="1"/>
  <c r="J241" i="98" s="1"/>
  <c r="I241" i="98" a="1"/>
  <c r="I241" i="98" s="1"/>
  <c r="H241" i="98" a="1"/>
  <c r="H241" i="98" s="1"/>
  <c r="G241" i="98" a="1"/>
  <c r="G241" i="98" s="1"/>
  <c r="F241" i="98" a="1"/>
  <c r="F241" i="98" s="1"/>
  <c r="E241" i="98" a="1"/>
  <c r="E241" i="98" s="1"/>
  <c r="D241" i="98" a="1"/>
  <c r="D241" i="98" s="1"/>
  <c r="S240" i="98" a="1"/>
  <c r="S240" i="98" s="1"/>
  <c r="R240" i="98" a="1"/>
  <c r="R240" i="98" s="1"/>
  <c r="Q240" i="98" a="1"/>
  <c r="Q240" i="98" s="1"/>
  <c r="P240" i="98" a="1"/>
  <c r="P240" i="98" s="1"/>
  <c r="O240" i="98" a="1"/>
  <c r="O240" i="98" s="1"/>
  <c r="N240" i="98" a="1"/>
  <c r="N240" i="98" s="1"/>
  <c r="M240" i="98" a="1"/>
  <c r="M240" i="98" s="1"/>
  <c r="L240" i="98" a="1"/>
  <c r="L240" i="98" s="1"/>
  <c r="K240" i="98" a="1"/>
  <c r="K240" i="98" s="1"/>
  <c r="J240" i="98" a="1"/>
  <c r="J240" i="98" s="1"/>
  <c r="I240" i="98" a="1"/>
  <c r="I240" i="98" s="1"/>
  <c r="H240" i="98" a="1"/>
  <c r="H240" i="98" s="1"/>
  <c r="G240" i="98" a="1"/>
  <c r="G240" i="98" s="1"/>
  <c r="F240" i="98" a="1"/>
  <c r="F240" i="98" s="1"/>
  <c r="E240" i="98" a="1"/>
  <c r="E240" i="98" s="1"/>
  <c r="D240" i="98" a="1"/>
  <c r="D240" i="98" s="1"/>
  <c r="S239" i="98" a="1"/>
  <c r="S239" i="98" s="1"/>
  <c r="R239" i="98" a="1"/>
  <c r="R239" i="98" s="1"/>
  <c r="Q239" i="98" a="1"/>
  <c r="Q239" i="98" s="1"/>
  <c r="P239" i="98" a="1"/>
  <c r="P239" i="98" s="1"/>
  <c r="O239" i="98" a="1"/>
  <c r="O239" i="98" s="1"/>
  <c r="N239" i="98" a="1"/>
  <c r="N239" i="98" s="1"/>
  <c r="M239" i="98" a="1"/>
  <c r="M239" i="98" s="1"/>
  <c r="L239" i="98" a="1"/>
  <c r="L239" i="98" s="1"/>
  <c r="K239" i="98" a="1"/>
  <c r="K239" i="98" s="1"/>
  <c r="J239" i="98" a="1"/>
  <c r="J239" i="98" s="1"/>
  <c r="I239" i="98" a="1"/>
  <c r="I239" i="98" s="1"/>
  <c r="H239" i="98" a="1"/>
  <c r="H239" i="98" s="1"/>
  <c r="G239" i="98" a="1"/>
  <c r="G239" i="98" s="1"/>
  <c r="F239" i="98" a="1"/>
  <c r="F239" i="98" s="1"/>
  <c r="E239" i="98" a="1"/>
  <c r="E239" i="98" s="1"/>
  <c r="D239" i="98" a="1"/>
  <c r="D239" i="98" s="1"/>
  <c r="S238" i="98" a="1"/>
  <c r="S238" i="98" s="1"/>
  <c r="R238" i="98" a="1"/>
  <c r="R238" i="98" s="1"/>
  <c r="Q238" i="98" a="1"/>
  <c r="Q238" i="98" s="1"/>
  <c r="P238" i="98" a="1"/>
  <c r="P238" i="98" s="1"/>
  <c r="O238" i="98" a="1"/>
  <c r="O238" i="98" s="1"/>
  <c r="N238" i="98" a="1"/>
  <c r="N238" i="98" s="1"/>
  <c r="M238" i="98" a="1"/>
  <c r="M238" i="98" s="1"/>
  <c r="L238" i="98" a="1"/>
  <c r="L238" i="98" s="1"/>
  <c r="K238" i="98" a="1"/>
  <c r="K238" i="98" s="1"/>
  <c r="J238" i="98" a="1"/>
  <c r="J238" i="98" s="1"/>
  <c r="I238" i="98" a="1"/>
  <c r="I238" i="98" s="1"/>
  <c r="H238" i="98" a="1"/>
  <c r="H238" i="98" s="1"/>
  <c r="G238" i="98" a="1"/>
  <c r="G238" i="98" s="1"/>
  <c r="F238" i="98" a="1"/>
  <c r="F238" i="98" s="1"/>
  <c r="E238" i="98" a="1"/>
  <c r="E238" i="98" s="1"/>
  <c r="D238" i="98" a="1"/>
  <c r="D238" i="98" s="1"/>
  <c r="S237" i="98" a="1"/>
  <c r="S237" i="98" s="1"/>
  <c r="R237" i="98" a="1"/>
  <c r="R237" i="98" s="1"/>
  <c r="Q237" i="98" a="1"/>
  <c r="Q237" i="98" s="1"/>
  <c r="P237" i="98" a="1"/>
  <c r="P237" i="98" s="1"/>
  <c r="O237" i="98" a="1"/>
  <c r="O237" i="98" s="1"/>
  <c r="N237" i="98" a="1"/>
  <c r="N237" i="98" s="1"/>
  <c r="M237" i="98" a="1"/>
  <c r="M237" i="98" s="1"/>
  <c r="L237" i="98" a="1"/>
  <c r="L237" i="98" s="1"/>
  <c r="K237" i="98" a="1"/>
  <c r="K237" i="98" s="1"/>
  <c r="J237" i="98" a="1"/>
  <c r="J237" i="98" s="1"/>
  <c r="I237" i="98" a="1"/>
  <c r="I237" i="98" s="1"/>
  <c r="H237" i="98" a="1"/>
  <c r="H237" i="98" s="1"/>
  <c r="G237" i="98" a="1"/>
  <c r="G237" i="98" s="1"/>
  <c r="F237" i="98" a="1"/>
  <c r="F237" i="98" s="1"/>
  <c r="E237" i="98" a="1"/>
  <c r="E237" i="98" s="1"/>
  <c r="D237" i="98" a="1"/>
  <c r="D237" i="98" s="1"/>
  <c r="S236" i="98" a="1"/>
  <c r="S236" i="98" s="1"/>
  <c r="R236" i="98" a="1"/>
  <c r="R236" i="98" s="1"/>
  <c r="Q236" i="98" a="1"/>
  <c r="Q236" i="98" s="1"/>
  <c r="P236" i="98" a="1"/>
  <c r="P236" i="98" s="1"/>
  <c r="O236" i="98" a="1"/>
  <c r="O236" i="98" s="1"/>
  <c r="N236" i="98" a="1"/>
  <c r="N236" i="98" s="1"/>
  <c r="M236" i="98" a="1"/>
  <c r="M236" i="98" s="1"/>
  <c r="L236" i="98" a="1"/>
  <c r="L236" i="98" s="1"/>
  <c r="K236" i="98" a="1"/>
  <c r="K236" i="98" s="1"/>
  <c r="J236" i="98" a="1"/>
  <c r="J236" i="98" s="1"/>
  <c r="I236" i="98" a="1"/>
  <c r="I236" i="98" s="1"/>
  <c r="H236" i="98" a="1"/>
  <c r="H236" i="98" s="1"/>
  <c r="G236" i="98" a="1"/>
  <c r="G236" i="98" s="1"/>
  <c r="F236" i="98" a="1"/>
  <c r="F236" i="98" s="1"/>
  <c r="E236" i="98" a="1"/>
  <c r="E236" i="98" s="1"/>
  <c r="D236" i="98" a="1"/>
  <c r="D236" i="98" s="1"/>
  <c r="S235" i="98" a="1"/>
  <c r="S235" i="98" s="1"/>
  <c r="R235" i="98" a="1"/>
  <c r="R235" i="98" s="1"/>
  <c r="Q235" i="98" a="1"/>
  <c r="Q235" i="98" s="1"/>
  <c r="P235" i="98" a="1"/>
  <c r="P235" i="98" s="1"/>
  <c r="O235" i="98" a="1"/>
  <c r="O235" i="98" s="1"/>
  <c r="N235" i="98" a="1"/>
  <c r="N235" i="98" s="1"/>
  <c r="M235" i="98" a="1"/>
  <c r="M235" i="98" s="1"/>
  <c r="L235" i="98" a="1"/>
  <c r="L235" i="98" s="1"/>
  <c r="K235" i="98" a="1"/>
  <c r="K235" i="98" s="1"/>
  <c r="J235" i="98" a="1"/>
  <c r="J235" i="98" s="1"/>
  <c r="I235" i="98" a="1"/>
  <c r="I235" i="98" s="1"/>
  <c r="H235" i="98" a="1"/>
  <c r="H235" i="98" s="1"/>
  <c r="G235" i="98" a="1"/>
  <c r="G235" i="98" s="1"/>
  <c r="F235" i="98" a="1"/>
  <c r="F235" i="98" s="1"/>
  <c r="E235" i="98" a="1"/>
  <c r="E235" i="98" s="1"/>
  <c r="D235" i="98" a="1"/>
  <c r="D235" i="98" s="1"/>
  <c r="S234" i="98" a="1"/>
  <c r="S234" i="98" s="1"/>
  <c r="R234" i="98" a="1"/>
  <c r="R234" i="98" s="1"/>
  <c r="Q234" i="98" a="1"/>
  <c r="Q234" i="98" s="1"/>
  <c r="P234" i="98" a="1"/>
  <c r="P234" i="98" s="1"/>
  <c r="O234" i="98" a="1"/>
  <c r="O234" i="98" s="1"/>
  <c r="N234" i="98" a="1"/>
  <c r="N234" i="98" s="1"/>
  <c r="M234" i="98" a="1"/>
  <c r="M234" i="98" s="1"/>
  <c r="L234" i="98" a="1"/>
  <c r="L234" i="98" s="1"/>
  <c r="K234" i="98" a="1"/>
  <c r="K234" i="98" s="1"/>
  <c r="J234" i="98" a="1"/>
  <c r="J234" i="98" s="1"/>
  <c r="I234" i="98" a="1"/>
  <c r="I234" i="98" s="1"/>
  <c r="H234" i="98" a="1"/>
  <c r="H234" i="98" s="1"/>
  <c r="G234" i="98" a="1"/>
  <c r="G234" i="98" s="1"/>
  <c r="F234" i="98" a="1"/>
  <c r="F234" i="98" s="1"/>
  <c r="E234" i="98" a="1"/>
  <c r="E234" i="98" s="1"/>
  <c r="D234" i="98" a="1"/>
  <c r="D234" i="98" s="1"/>
  <c r="S233" i="98" a="1"/>
  <c r="S233" i="98" s="1"/>
  <c r="R233" i="98" a="1"/>
  <c r="R233" i="98" s="1"/>
  <c r="Q233" i="98" a="1"/>
  <c r="Q233" i="98" s="1"/>
  <c r="P233" i="98" a="1"/>
  <c r="P233" i="98" s="1"/>
  <c r="O233" i="98" a="1"/>
  <c r="O233" i="98" s="1"/>
  <c r="N233" i="98" a="1"/>
  <c r="N233" i="98" s="1"/>
  <c r="M233" i="98" a="1"/>
  <c r="M233" i="98" s="1"/>
  <c r="L233" i="98" a="1"/>
  <c r="L233" i="98" s="1"/>
  <c r="K233" i="98" a="1"/>
  <c r="K233" i="98" s="1"/>
  <c r="J233" i="98" a="1"/>
  <c r="J233" i="98" s="1"/>
  <c r="I233" i="98" a="1"/>
  <c r="I233" i="98" s="1"/>
  <c r="H233" i="98" a="1"/>
  <c r="H233" i="98" s="1"/>
  <c r="G233" i="98" a="1"/>
  <c r="G233" i="98" s="1"/>
  <c r="F233" i="98" a="1"/>
  <c r="F233" i="98" s="1"/>
  <c r="E233" i="98" a="1"/>
  <c r="E233" i="98" s="1"/>
  <c r="D233" i="98" a="1"/>
  <c r="D233" i="98" s="1"/>
  <c r="S232" i="98" a="1"/>
  <c r="S232" i="98" s="1"/>
  <c r="R232" i="98" a="1"/>
  <c r="R232" i="98" s="1"/>
  <c r="Q232" i="98" a="1"/>
  <c r="Q232" i="98" s="1"/>
  <c r="P232" i="98" a="1"/>
  <c r="P232" i="98" s="1"/>
  <c r="O232" i="98" a="1"/>
  <c r="O232" i="98" s="1"/>
  <c r="N232" i="98" a="1"/>
  <c r="N232" i="98" s="1"/>
  <c r="M232" i="98" a="1"/>
  <c r="M232" i="98" s="1"/>
  <c r="L232" i="98" a="1"/>
  <c r="L232" i="98" s="1"/>
  <c r="K232" i="98" a="1"/>
  <c r="K232" i="98" s="1"/>
  <c r="J232" i="98" a="1"/>
  <c r="J232" i="98" s="1"/>
  <c r="I232" i="98" a="1"/>
  <c r="I232" i="98" s="1"/>
  <c r="H232" i="98" a="1"/>
  <c r="H232" i="98" s="1"/>
  <c r="G232" i="98" a="1"/>
  <c r="G232" i="98" s="1"/>
  <c r="F232" i="98" a="1"/>
  <c r="F232" i="98" s="1"/>
  <c r="E232" i="98" a="1"/>
  <c r="E232" i="98" s="1"/>
  <c r="D232" i="98" a="1"/>
  <c r="D232" i="98" s="1"/>
  <c r="D229" i="98" a="1"/>
  <c r="D229" i="98" s="1"/>
  <c r="D228" i="98" a="1"/>
  <c r="D228" i="98" s="1"/>
  <c r="D227" i="98" a="1"/>
  <c r="D227" i="98" s="1"/>
  <c r="E224" i="98" a="1"/>
  <c r="E224" i="98" s="1"/>
  <c r="D224" i="98" a="1"/>
  <c r="D224" i="98" s="1"/>
  <c r="E223" i="98" a="1"/>
  <c r="E223" i="98" s="1"/>
  <c r="D223" i="98" a="1"/>
  <c r="D223" i="98" s="1"/>
  <c r="E222" i="98" a="1"/>
  <c r="E222" i="98" s="1"/>
  <c r="D222" i="98" a="1"/>
  <c r="D222" i="98" s="1"/>
  <c r="E221" i="98" a="1"/>
  <c r="E221" i="98" s="1"/>
  <c r="D221" i="98" a="1"/>
  <c r="D221" i="98" s="1"/>
  <c r="E220" i="98" a="1"/>
  <c r="E220" i="98" s="1"/>
  <c r="D220" i="98" a="1"/>
  <c r="D220" i="98" s="1"/>
  <c r="E219" i="98" a="1"/>
  <c r="E219" i="98" s="1"/>
  <c r="D219" i="98" a="1"/>
  <c r="D219" i="98" s="1"/>
  <c r="E218" i="98" a="1"/>
  <c r="E218" i="98" s="1"/>
  <c r="D218" i="98" a="1"/>
  <c r="D218" i="98" s="1"/>
  <c r="E217" i="98" a="1"/>
  <c r="E217" i="98" s="1"/>
  <c r="D217" i="98" a="1"/>
  <c r="D217" i="98" s="1"/>
  <c r="E216" i="98" a="1"/>
  <c r="E216" i="98" s="1"/>
  <c r="D216" i="98" a="1"/>
  <c r="D216" i="98" s="1"/>
  <c r="E215" i="98" a="1"/>
  <c r="E215" i="98" s="1"/>
  <c r="D215" i="98" a="1"/>
  <c r="D215" i="98" s="1"/>
  <c r="E214" i="98" a="1"/>
  <c r="E214" i="98" s="1"/>
  <c r="D214" i="98" a="1"/>
  <c r="D214" i="98" s="1"/>
  <c r="E213" i="98" a="1"/>
  <c r="E213" i="98" s="1"/>
  <c r="D213" i="98" a="1"/>
  <c r="D213" i="98" s="1"/>
  <c r="D211" i="98" a="1"/>
  <c r="D211" i="98" s="1"/>
  <c r="E208" i="98" a="1"/>
  <c r="E208" i="98" s="1"/>
  <c r="D208" i="98" a="1"/>
  <c r="D208" i="98" s="1"/>
  <c r="E207" i="98" a="1"/>
  <c r="E207" i="98" s="1"/>
  <c r="D207" i="98" a="1"/>
  <c r="D207" i="98" s="1"/>
  <c r="D205" i="98" a="1"/>
  <c r="D205" i="98" s="1"/>
  <c r="D204" i="98" a="1"/>
  <c r="D204" i="98" s="1"/>
  <c r="D203" i="98"/>
  <c r="D203" i="98" a="1"/>
  <c r="D202" i="98" a="1"/>
  <c r="D202" i="98" s="1"/>
  <c r="H199" i="98" a="1"/>
  <c r="H199" i="98" s="1"/>
  <c r="G199" i="98" a="1"/>
  <c r="G199" i="98" s="1"/>
  <c r="F199" i="98" a="1"/>
  <c r="F199" i="98" s="1"/>
  <c r="E199" i="98" a="1"/>
  <c r="E199" i="98" s="1"/>
  <c r="D199" i="98" a="1"/>
  <c r="D199" i="98" s="1"/>
  <c r="H198" i="98" a="1"/>
  <c r="H198" i="98" s="1"/>
  <c r="G198" i="98" a="1"/>
  <c r="G198" i="98" s="1"/>
  <c r="F198" i="98" a="1"/>
  <c r="F198" i="98" s="1"/>
  <c r="E198" i="98" a="1"/>
  <c r="E198" i="98" s="1"/>
  <c r="D198" i="98" a="1"/>
  <c r="D198" i="98" s="1"/>
  <c r="H197" i="98" a="1"/>
  <c r="H197" i="98" s="1"/>
  <c r="G197" i="98" a="1"/>
  <c r="G197" i="98" s="1"/>
  <c r="F197" i="98" a="1"/>
  <c r="F197" i="98" s="1"/>
  <c r="E197" i="98" a="1"/>
  <c r="E197" i="98" s="1"/>
  <c r="D197" i="98" a="1"/>
  <c r="D197" i="98" s="1"/>
  <c r="H196" i="98" a="1"/>
  <c r="H196" i="98" s="1"/>
  <c r="G196" i="98" a="1"/>
  <c r="G196" i="98" s="1"/>
  <c r="F196" i="98" a="1"/>
  <c r="F196" i="98" s="1"/>
  <c r="E196" i="98" a="1"/>
  <c r="E196" i="98" s="1"/>
  <c r="D196" i="98" a="1"/>
  <c r="D196" i="98" s="1"/>
  <c r="H195" i="98" a="1"/>
  <c r="H195" i="98" s="1"/>
  <c r="G195" i="98" a="1"/>
  <c r="G195" i="98" s="1"/>
  <c r="F195" i="98" a="1"/>
  <c r="F195" i="98" s="1"/>
  <c r="E195" i="98" a="1"/>
  <c r="E195" i="98" s="1"/>
  <c r="D195" i="98" a="1"/>
  <c r="D195" i="98" s="1"/>
  <c r="H194" i="98" a="1"/>
  <c r="H194" i="98" s="1"/>
  <c r="G194" i="98" a="1"/>
  <c r="G194" i="98" s="1"/>
  <c r="F194" i="98" a="1"/>
  <c r="F194" i="98" s="1"/>
  <c r="E194" i="98" a="1"/>
  <c r="E194" i="98" s="1"/>
  <c r="D194" i="98" a="1"/>
  <c r="D194" i="98" s="1"/>
  <c r="H193" i="98" a="1"/>
  <c r="H193" i="98" s="1"/>
  <c r="G193" i="98" a="1"/>
  <c r="G193" i="98" s="1"/>
  <c r="F193" i="98" a="1"/>
  <c r="F193" i="98" s="1"/>
  <c r="E193" i="98" a="1"/>
  <c r="E193" i="98" s="1"/>
  <c r="D193" i="98" a="1"/>
  <c r="D193" i="98" s="1"/>
  <c r="H192" i="98" a="1"/>
  <c r="H192" i="98" s="1"/>
  <c r="G192" i="98" a="1"/>
  <c r="G192" i="98" s="1"/>
  <c r="F192" i="98" a="1"/>
  <c r="F192" i="98" s="1"/>
  <c r="E192" i="98" a="1"/>
  <c r="E192" i="98" s="1"/>
  <c r="D192" i="98" a="1"/>
  <c r="D192" i="98" s="1"/>
  <c r="H191" i="98" a="1"/>
  <c r="H191" i="98" s="1"/>
  <c r="G191" i="98" a="1"/>
  <c r="G191" i="98" s="1"/>
  <c r="F191" i="98" a="1"/>
  <c r="F191" i="98" s="1"/>
  <c r="E191" i="98" a="1"/>
  <c r="E191" i="98" s="1"/>
  <c r="D191" i="98" a="1"/>
  <c r="D191" i="98" s="1"/>
  <c r="H190" i="98" a="1"/>
  <c r="H190" i="98" s="1"/>
  <c r="G190" i="98" a="1"/>
  <c r="G190" i="98" s="1"/>
  <c r="F190" i="98" a="1"/>
  <c r="F190" i="98" s="1"/>
  <c r="E190" i="98" a="1"/>
  <c r="E190" i="98" s="1"/>
  <c r="D190" i="98" a="1"/>
  <c r="D190" i="98" s="1"/>
  <c r="H189" i="98" a="1"/>
  <c r="H189" i="98" s="1"/>
  <c r="G189" i="98" a="1"/>
  <c r="G189" i="98" s="1"/>
  <c r="F189" i="98" a="1"/>
  <c r="F189" i="98" s="1"/>
  <c r="E189" i="98" a="1"/>
  <c r="E189" i="98" s="1"/>
  <c r="D189" i="98" a="1"/>
  <c r="D189" i="98" s="1"/>
  <c r="H188" i="98" a="1"/>
  <c r="H188" i="98" s="1"/>
  <c r="G188" i="98" a="1"/>
  <c r="G188" i="98" s="1"/>
  <c r="F188" i="98" a="1"/>
  <c r="F188" i="98" s="1"/>
  <c r="G28" i="79" s="1"/>
  <c r="E188" i="98" a="1"/>
  <c r="E188" i="98" s="1"/>
  <c r="D188" i="98" a="1"/>
  <c r="D188" i="98" s="1"/>
  <c r="H187" i="98" a="1"/>
  <c r="H187" i="98" s="1"/>
  <c r="G187" i="98" a="1"/>
  <c r="G187" i="98" s="1"/>
  <c r="F187" i="98" a="1"/>
  <c r="F187" i="98" s="1"/>
  <c r="G29" i="79" s="1"/>
  <c r="E187" i="98" a="1"/>
  <c r="E187" i="98" s="1"/>
  <c r="D187" i="98" a="1"/>
  <c r="D187" i="98" s="1"/>
  <c r="D181" i="98" a="1"/>
  <c r="D181" i="98" s="1"/>
  <c r="D180" i="98" a="1"/>
  <c r="D180" i="98" s="1"/>
  <c r="D179" i="98" a="1"/>
  <c r="D179" i="98" s="1"/>
  <c r="D178" i="98"/>
  <c r="D178" i="98" a="1"/>
  <c r="E175" i="98" a="1"/>
  <c r="E175" i="98" s="1"/>
  <c r="D175" i="98" a="1"/>
  <c r="D175" i="98" s="1"/>
  <c r="D174" i="98" a="1"/>
  <c r="D174" i="98" s="1"/>
  <c r="D173" i="98" a="1"/>
  <c r="D173" i="98" s="1"/>
  <c r="D170" i="98" a="1"/>
  <c r="D170" i="98" s="1"/>
  <c r="D169" i="98" a="1"/>
  <c r="D169" i="98" s="1"/>
  <c r="D168" i="98" a="1"/>
  <c r="D168" i="98" s="1"/>
  <c r="D167" i="98" a="1"/>
  <c r="D167" i="98" s="1"/>
  <c r="D164" i="98" a="1"/>
  <c r="D164" i="98" s="1"/>
  <c r="D163" i="98" a="1"/>
  <c r="D163" i="98" s="1"/>
  <c r="D162" i="98" a="1"/>
  <c r="D162" i="98" s="1"/>
  <c r="D161" i="98" a="1"/>
  <c r="D161" i="98" s="1"/>
  <c r="E158" i="98" a="1"/>
  <c r="E158" i="98" s="1"/>
  <c r="D158" i="98" a="1"/>
  <c r="D158" i="98" s="1"/>
  <c r="E157" i="98" a="1"/>
  <c r="E157" i="98" s="1"/>
  <c r="D157" i="98" a="1"/>
  <c r="D157" i="98" s="1"/>
  <c r="E156" i="98" a="1"/>
  <c r="E156" i="98" s="1"/>
  <c r="D156" i="98" a="1"/>
  <c r="D156" i="98" s="1"/>
  <c r="E155" i="98" a="1"/>
  <c r="E155" i="98" s="1"/>
  <c r="D155" i="98" a="1"/>
  <c r="D155" i="98" s="1"/>
  <c r="E154" i="98" a="1"/>
  <c r="E154" i="98" s="1"/>
  <c r="D154" i="98" a="1"/>
  <c r="D154" i="98" s="1"/>
  <c r="D151" i="98" a="1"/>
  <c r="D151" i="98" s="1"/>
  <c r="D150" i="98" a="1"/>
  <c r="D150" i="98" s="1"/>
  <c r="E147" i="98" a="1"/>
  <c r="E147" i="98" s="1"/>
  <c r="D147" i="98" a="1"/>
  <c r="D147" i="98" s="1"/>
  <c r="E146" i="98" a="1"/>
  <c r="E146" i="98" s="1"/>
  <c r="D146" i="98" a="1"/>
  <c r="D146" i="98" s="1"/>
  <c r="E145" i="98" a="1"/>
  <c r="E145" i="98" s="1"/>
  <c r="D145" i="98" a="1"/>
  <c r="D145" i="98" s="1"/>
  <c r="E144" i="98" a="1"/>
  <c r="E144" i="98" s="1"/>
  <c r="D144" i="98" a="1"/>
  <c r="D144" i="98" s="1"/>
  <c r="E143" i="98" a="1"/>
  <c r="E143" i="98" s="1"/>
  <c r="D143" i="98" a="1"/>
  <c r="D143" i="98" s="1"/>
  <c r="D141" i="98" a="1"/>
  <c r="D141" i="98" s="1"/>
  <c r="D140" i="98" a="1"/>
  <c r="D140" i="98" s="1"/>
  <c r="D139" i="98" a="1"/>
  <c r="D139" i="98" s="1"/>
  <c r="E136" i="98" a="1"/>
  <c r="E136" i="98" s="1"/>
  <c r="D136" i="98" a="1"/>
  <c r="D136" i="98" s="1"/>
  <c r="E135" i="98" a="1"/>
  <c r="E135" i="98" s="1"/>
  <c r="D135" i="98" a="1"/>
  <c r="D135" i="98" s="1"/>
  <c r="D133" i="98" a="1"/>
  <c r="D133" i="98" s="1"/>
  <c r="D132" i="98" a="1"/>
  <c r="D132" i="98" s="1"/>
  <c r="E129" i="98" a="1"/>
  <c r="E129" i="98" s="1"/>
  <c r="D129" i="98" a="1"/>
  <c r="D129" i="98" s="1"/>
  <c r="E128" i="98" a="1"/>
  <c r="E128" i="98" s="1"/>
  <c r="D128" i="98" a="1"/>
  <c r="D128" i="98" s="1"/>
  <c r="D125" i="98" a="1"/>
  <c r="D125" i="98" s="1"/>
  <c r="D124" i="98" a="1"/>
  <c r="D124" i="98" s="1"/>
  <c r="G121" i="98" a="1"/>
  <c r="G121" i="98" s="1"/>
  <c r="F121" i="98" a="1"/>
  <c r="F121" i="98" s="1"/>
  <c r="E121" i="98" a="1"/>
  <c r="E121" i="98" s="1"/>
  <c r="D121" i="98" a="1"/>
  <c r="D121" i="98" s="1"/>
  <c r="G120" i="98" a="1"/>
  <c r="G120" i="98" s="1"/>
  <c r="F120" i="98" a="1"/>
  <c r="F120" i="98" s="1"/>
  <c r="E120" i="98" a="1"/>
  <c r="E120" i="98" s="1"/>
  <c r="D120" i="98" a="1"/>
  <c r="D120" i="98" s="1"/>
  <c r="D117" i="98"/>
  <c r="D117" i="98" a="1"/>
  <c r="D116" i="98" a="1"/>
  <c r="D116" i="98" s="1"/>
  <c r="D115" i="98" a="1"/>
  <c r="D115" i="98" s="1"/>
  <c r="G112" i="98" a="1"/>
  <c r="G112" i="98" s="1"/>
  <c r="F112" i="98" a="1"/>
  <c r="F112" i="98" s="1"/>
  <c r="E112" i="98" a="1"/>
  <c r="E112" i="98" s="1"/>
  <c r="D112" i="98" a="1"/>
  <c r="D112" i="98" s="1"/>
  <c r="G111" i="98" a="1"/>
  <c r="G111" i="98" s="1"/>
  <c r="F111" i="98" a="1"/>
  <c r="F111" i="98" s="1"/>
  <c r="E111" i="98" a="1"/>
  <c r="E111" i="98" s="1"/>
  <c r="D111" i="98" a="1"/>
  <c r="D111" i="98" s="1"/>
  <c r="G110" i="98" a="1"/>
  <c r="G110" i="98" s="1"/>
  <c r="F110" i="98" a="1"/>
  <c r="F110" i="98" s="1"/>
  <c r="E110" i="98" a="1"/>
  <c r="E110" i="98" s="1"/>
  <c r="D110" i="98" a="1"/>
  <c r="D110" i="98" s="1"/>
  <c r="D107" i="98" a="1"/>
  <c r="D107" i="98" s="1"/>
  <c r="D106" i="98" a="1"/>
  <c r="D106" i="98" s="1"/>
  <c r="D105" i="98" a="1"/>
  <c r="D105" i="98" s="1"/>
  <c r="D98" i="98" a="1"/>
  <c r="D98" i="98" s="1"/>
  <c r="S97" i="98" a="1"/>
  <c r="S97" i="98" s="1"/>
  <c r="R97" i="98" a="1"/>
  <c r="R97" i="98" s="1"/>
  <c r="Q97" i="98" a="1"/>
  <c r="Q97" i="98" s="1"/>
  <c r="P97" i="98" a="1"/>
  <c r="P97" i="98" s="1"/>
  <c r="O97" i="98" a="1"/>
  <c r="O97" i="98" s="1"/>
  <c r="N97" i="98" a="1"/>
  <c r="N97" i="98" s="1"/>
  <c r="M97" i="98" a="1"/>
  <c r="M97" i="98" s="1"/>
  <c r="L97" i="98" a="1"/>
  <c r="L97" i="98" s="1"/>
  <c r="K97" i="98" a="1"/>
  <c r="K97" i="98" s="1"/>
  <c r="J97" i="98" a="1"/>
  <c r="J97" i="98" s="1"/>
  <c r="I97" i="98" a="1"/>
  <c r="I97" i="98" s="1"/>
  <c r="H97" i="98" a="1"/>
  <c r="H97" i="98" s="1"/>
  <c r="G97" i="98" a="1"/>
  <c r="G97" i="98" s="1"/>
  <c r="F97" i="98" a="1"/>
  <c r="F97" i="98" s="1"/>
  <c r="E97" i="98" a="1"/>
  <c r="E97" i="98" s="1"/>
  <c r="D97" i="98" a="1"/>
  <c r="D97" i="98" s="1"/>
  <c r="S96" i="98" a="1"/>
  <c r="S96" i="98" s="1"/>
  <c r="R96" i="98" a="1"/>
  <c r="R96" i="98" s="1"/>
  <c r="Q96" i="98" a="1"/>
  <c r="Q96" i="98" s="1"/>
  <c r="P96" i="98" a="1"/>
  <c r="P96" i="98" s="1"/>
  <c r="O96" i="98" a="1"/>
  <c r="O96" i="98" s="1"/>
  <c r="N96" i="98" a="1"/>
  <c r="N96" i="98" s="1"/>
  <c r="M96" i="98" a="1"/>
  <c r="M96" i="98" s="1"/>
  <c r="L96" i="98" a="1"/>
  <c r="L96" i="98" s="1"/>
  <c r="K96" i="98" a="1"/>
  <c r="K96" i="98" s="1"/>
  <c r="J96" i="98" a="1"/>
  <c r="J96" i="98" s="1"/>
  <c r="I96" i="98" a="1"/>
  <c r="I96" i="98" s="1"/>
  <c r="H96" i="98" a="1"/>
  <c r="H96" i="98" s="1"/>
  <c r="G96" i="98" a="1"/>
  <c r="G96" i="98" s="1"/>
  <c r="F96" i="98" a="1"/>
  <c r="F96" i="98" s="1"/>
  <c r="E96" i="98" a="1"/>
  <c r="E96" i="98" s="1"/>
  <c r="D96" i="98" a="1"/>
  <c r="D96" i="98" s="1"/>
  <c r="S95" i="98" a="1"/>
  <c r="S95" i="98" s="1"/>
  <c r="R95" i="98" a="1"/>
  <c r="R95" i="98" s="1"/>
  <c r="Q95" i="98" a="1"/>
  <c r="Q95" i="98" s="1"/>
  <c r="P95" i="98" a="1"/>
  <c r="P95" i="98" s="1"/>
  <c r="O95" i="98" a="1"/>
  <c r="O95" i="98" s="1"/>
  <c r="N95" i="98" a="1"/>
  <c r="N95" i="98" s="1"/>
  <c r="M95" i="98" a="1"/>
  <c r="M95" i="98" s="1"/>
  <c r="L95" i="98" a="1"/>
  <c r="L95" i="98" s="1"/>
  <c r="K95" i="98" a="1"/>
  <c r="K95" i="98" s="1"/>
  <c r="J95" i="98" a="1"/>
  <c r="J95" i="98" s="1"/>
  <c r="I95" i="98" a="1"/>
  <c r="I95" i="98" s="1"/>
  <c r="H95" i="98" a="1"/>
  <c r="H95" i="98" s="1"/>
  <c r="G95" i="98" a="1"/>
  <c r="G95" i="98" s="1"/>
  <c r="F95" i="98" a="1"/>
  <c r="F95" i="98" s="1"/>
  <c r="E95" i="98" a="1"/>
  <c r="E95" i="98" s="1"/>
  <c r="D95" i="98" a="1"/>
  <c r="D95" i="98" s="1"/>
  <c r="S94" i="98" a="1"/>
  <c r="S94" i="98" s="1"/>
  <c r="R94" i="98" a="1"/>
  <c r="R94" i="98" s="1"/>
  <c r="Q94" i="98" a="1"/>
  <c r="Q94" i="98" s="1"/>
  <c r="P94" i="98" a="1"/>
  <c r="P94" i="98" s="1"/>
  <c r="O94" i="98" a="1"/>
  <c r="O94" i="98" s="1"/>
  <c r="N94" i="98" a="1"/>
  <c r="N94" i="98" s="1"/>
  <c r="M94" i="98" a="1"/>
  <c r="M94" i="98" s="1"/>
  <c r="L94" i="98" a="1"/>
  <c r="L94" i="98" s="1"/>
  <c r="K94" i="98" a="1"/>
  <c r="K94" i="98" s="1"/>
  <c r="J94" i="98" a="1"/>
  <c r="J94" i="98" s="1"/>
  <c r="I94" i="98" a="1"/>
  <c r="I94" i="98" s="1"/>
  <c r="H94" i="98" a="1"/>
  <c r="H94" i="98" s="1"/>
  <c r="G94" i="98" a="1"/>
  <c r="G94" i="98" s="1"/>
  <c r="F94" i="98" a="1"/>
  <c r="F94" i="98" s="1"/>
  <c r="E94" i="98" a="1"/>
  <c r="E94" i="98" s="1"/>
  <c r="D94" i="98" a="1"/>
  <c r="D94" i="98" s="1"/>
  <c r="S93" i="98" a="1"/>
  <c r="S93" i="98" s="1"/>
  <c r="R93" i="98" a="1"/>
  <c r="R93" i="98" s="1"/>
  <c r="Q93" i="98" a="1"/>
  <c r="Q93" i="98" s="1"/>
  <c r="P93" i="98" a="1"/>
  <c r="P93" i="98" s="1"/>
  <c r="O93" i="98" a="1"/>
  <c r="O93" i="98" s="1"/>
  <c r="N93" i="98" a="1"/>
  <c r="N93" i="98" s="1"/>
  <c r="M93" i="98" a="1"/>
  <c r="M93" i="98" s="1"/>
  <c r="L93" i="98" a="1"/>
  <c r="L93" i="98" s="1"/>
  <c r="K93" i="98" a="1"/>
  <c r="K93" i="98" s="1"/>
  <c r="J93" i="98" a="1"/>
  <c r="J93" i="98" s="1"/>
  <c r="I93" i="98" a="1"/>
  <c r="I93" i="98" s="1"/>
  <c r="H93" i="98" a="1"/>
  <c r="H93" i="98" s="1"/>
  <c r="G93" i="98" a="1"/>
  <c r="G93" i="98" s="1"/>
  <c r="F93" i="98" a="1"/>
  <c r="F93" i="98" s="1"/>
  <c r="E93" i="98" a="1"/>
  <c r="E93" i="98" s="1"/>
  <c r="D93" i="98" a="1"/>
  <c r="D93" i="98" s="1"/>
  <c r="S92" i="98" a="1"/>
  <c r="S92" i="98" s="1"/>
  <c r="R92" i="98" a="1"/>
  <c r="R92" i="98" s="1"/>
  <c r="Q92" i="98" a="1"/>
  <c r="Q92" i="98" s="1"/>
  <c r="P92" i="98" a="1"/>
  <c r="P92" i="98" s="1"/>
  <c r="O92" i="98" a="1"/>
  <c r="O92" i="98" s="1"/>
  <c r="N92" i="98" a="1"/>
  <c r="N92" i="98" s="1"/>
  <c r="M92" i="98" a="1"/>
  <c r="M92" i="98" s="1"/>
  <c r="L92" i="98" a="1"/>
  <c r="L92" i="98" s="1"/>
  <c r="K92" i="98" a="1"/>
  <c r="K92" i="98" s="1"/>
  <c r="J92" i="98" a="1"/>
  <c r="J92" i="98" s="1"/>
  <c r="I92" i="98" a="1"/>
  <c r="I92" i="98" s="1"/>
  <c r="H92" i="98" a="1"/>
  <c r="H92" i="98" s="1"/>
  <c r="G92" i="98" a="1"/>
  <c r="G92" i="98" s="1"/>
  <c r="F92" i="98" a="1"/>
  <c r="F92" i="98" s="1"/>
  <c r="E92" i="98" a="1"/>
  <c r="E92" i="98" s="1"/>
  <c r="D92" i="98" a="1"/>
  <c r="D92" i="98" s="1"/>
  <c r="S91" i="98" a="1"/>
  <c r="S91" i="98" s="1"/>
  <c r="R91" i="98" a="1"/>
  <c r="R91" i="98" s="1"/>
  <c r="Q91" i="98" a="1"/>
  <c r="Q91" i="98" s="1"/>
  <c r="P91" i="98" a="1"/>
  <c r="P91" i="98" s="1"/>
  <c r="O91" i="98" a="1"/>
  <c r="O91" i="98" s="1"/>
  <c r="N91" i="98" a="1"/>
  <c r="N91" i="98" s="1"/>
  <c r="M91" i="98" a="1"/>
  <c r="M91" i="98" s="1"/>
  <c r="L91" i="98" a="1"/>
  <c r="L91" i="98" s="1"/>
  <c r="K91" i="98" a="1"/>
  <c r="K91" i="98" s="1"/>
  <c r="J91" i="98" a="1"/>
  <c r="J91" i="98" s="1"/>
  <c r="I91" i="98" a="1"/>
  <c r="I91" i="98" s="1"/>
  <c r="H91" i="98" a="1"/>
  <c r="H91" i="98" s="1"/>
  <c r="G91" i="98" a="1"/>
  <c r="G91" i="98" s="1"/>
  <c r="F91" i="98" a="1"/>
  <c r="F91" i="98" s="1"/>
  <c r="E91" i="98" a="1"/>
  <c r="E91" i="98" s="1"/>
  <c r="D91" i="98" a="1"/>
  <c r="D91" i="98" s="1"/>
  <c r="S90" i="98" a="1"/>
  <c r="S90" i="98" s="1"/>
  <c r="R90" i="98" a="1"/>
  <c r="R90" i="98" s="1"/>
  <c r="Q90" i="98" a="1"/>
  <c r="Q90" i="98" s="1"/>
  <c r="P90" i="98" a="1"/>
  <c r="P90" i="98" s="1"/>
  <c r="O90" i="98" a="1"/>
  <c r="O90" i="98" s="1"/>
  <c r="N90" i="98" a="1"/>
  <c r="N90" i="98" s="1"/>
  <c r="M90" i="98" a="1"/>
  <c r="M90" i="98" s="1"/>
  <c r="L90" i="98" a="1"/>
  <c r="L90" i="98" s="1"/>
  <c r="K90" i="98" a="1"/>
  <c r="K90" i="98" s="1"/>
  <c r="J90" i="98" a="1"/>
  <c r="J90" i="98" s="1"/>
  <c r="I90" i="98" a="1"/>
  <c r="I90" i="98" s="1"/>
  <c r="H90" i="98" a="1"/>
  <c r="H90" i="98" s="1"/>
  <c r="G90" i="98" a="1"/>
  <c r="G90" i="98" s="1"/>
  <c r="F90" i="98" a="1"/>
  <c r="F90" i="98" s="1"/>
  <c r="E90" i="98" a="1"/>
  <c r="E90" i="98" s="1"/>
  <c r="D90" i="98" a="1"/>
  <c r="D90" i="98" s="1"/>
  <c r="D83" i="98" a="1"/>
  <c r="D83" i="98" s="1"/>
  <c r="D82" i="98" a="1"/>
  <c r="D82" i="98" s="1"/>
  <c r="D81" i="98" a="1"/>
  <c r="D81" i="98" s="1"/>
  <c r="E77" i="98" a="1"/>
  <c r="E77" i="98" s="1"/>
  <c r="D77" i="98" a="1"/>
  <c r="D77" i="98" s="1"/>
  <c r="E76" i="98" a="1"/>
  <c r="E76" i="98" s="1"/>
  <c r="D76" i="98" a="1"/>
  <c r="D76" i="98" s="1"/>
  <c r="E75" i="98" a="1"/>
  <c r="E75" i="98" s="1"/>
  <c r="D75" i="98" a="1"/>
  <c r="D75" i="98" s="1"/>
  <c r="E74" i="98" a="1"/>
  <c r="E74" i="98" s="1"/>
  <c r="D74" i="98" a="1"/>
  <c r="D74" i="98" s="1"/>
  <c r="E73" i="98" a="1"/>
  <c r="E73" i="98" s="1"/>
  <c r="D73" i="98" a="1"/>
  <c r="D73" i="98" s="1"/>
  <c r="E72" i="98" a="1"/>
  <c r="E72" i="98" s="1"/>
  <c r="D72" i="98" a="1"/>
  <c r="D72" i="98" s="1"/>
  <c r="E71" i="98" a="1"/>
  <c r="E71" i="98" s="1"/>
  <c r="D71" i="98" a="1"/>
  <c r="D71" i="98" s="1"/>
  <c r="E70" i="98" a="1"/>
  <c r="E70" i="98" s="1"/>
  <c r="D70" i="98" a="1"/>
  <c r="D70" i="98" s="1"/>
  <c r="E69" i="98" a="1"/>
  <c r="E69" i="98" s="1"/>
  <c r="D69" i="98" a="1"/>
  <c r="D69" i="98" s="1"/>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D59" i="98" a="1"/>
  <c r="D59" i="98" s="1"/>
  <c r="D58" i="98"/>
  <c r="D58" i="98" a="1"/>
  <c r="D57" i="98" a="1"/>
  <c r="D57" i="98" s="1"/>
  <c r="G54" i="98" a="1"/>
  <c r="G54" i="98" s="1"/>
  <c r="F54" i="98" a="1"/>
  <c r="F54" i="98" s="1"/>
  <c r="E54" i="98" a="1"/>
  <c r="E54" i="98" s="1"/>
  <c r="D54" i="98" a="1"/>
  <c r="D54" i="98" s="1"/>
  <c r="G53" i="98" a="1"/>
  <c r="G53" i="98" s="1"/>
  <c r="F53" i="98" a="1"/>
  <c r="F53" i="98" s="1"/>
  <c r="E53" i="98" a="1"/>
  <c r="E53" i="98" s="1"/>
  <c r="D53" i="98" a="1"/>
  <c r="D53" i="98" s="1"/>
  <c r="G52" i="98" a="1"/>
  <c r="G52" i="98" s="1"/>
  <c r="F52" i="98" a="1"/>
  <c r="F52" i="98" s="1"/>
  <c r="E52" i="98" a="1"/>
  <c r="E52" i="98" s="1"/>
  <c r="D52" i="98" a="1"/>
  <c r="D52" i="98" s="1"/>
  <c r="G51" i="98" a="1"/>
  <c r="G51" i="98" s="1"/>
  <c r="F51" i="98" a="1"/>
  <c r="F51" i="98" s="1"/>
  <c r="E51" i="98" a="1"/>
  <c r="E51" i="98" s="1"/>
  <c r="D51" i="98" a="1"/>
  <c r="D51" i="98" s="1"/>
  <c r="G50" i="98" a="1"/>
  <c r="G50" i="98" s="1"/>
  <c r="F50" i="98" a="1"/>
  <c r="F50" i="98" s="1"/>
  <c r="E50" i="98" a="1"/>
  <c r="E50" i="98" s="1"/>
  <c r="D50" i="98" a="1"/>
  <c r="D50" i="98" s="1"/>
  <c r="G49" i="98" a="1"/>
  <c r="G49" i="98" s="1"/>
  <c r="F49" i="98" a="1"/>
  <c r="F49" i="98" s="1"/>
  <c r="E49" i="98" a="1"/>
  <c r="E49" i="98" s="1"/>
  <c r="D49" i="98" a="1"/>
  <c r="D49" i="98" s="1"/>
  <c r="G48" i="98" a="1"/>
  <c r="G48" i="98" s="1"/>
  <c r="F48" i="98" a="1"/>
  <c r="F48" i="98" s="1"/>
  <c r="E48" i="98" a="1"/>
  <c r="E48" i="98" s="1"/>
  <c r="D48" i="98" a="1"/>
  <c r="D48" i="98" s="1"/>
  <c r="D46" i="98" a="1"/>
  <c r="D46" i="98" s="1"/>
  <c r="D45" i="98" a="1"/>
  <c r="D45" i="98" s="1"/>
  <c r="E43" i="98" a="1"/>
  <c r="E43" i="98" s="1"/>
  <c r="D43" i="98" a="1"/>
  <c r="D43" i="98" s="1"/>
  <c r="E42" i="98" a="1"/>
  <c r="E42" i="98" s="1"/>
  <c r="D42" i="98" a="1"/>
  <c r="D42" i="98" s="1"/>
  <c r="E41" i="98" a="1"/>
  <c r="E41" i="98" s="1"/>
  <c r="D41" i="98" a="1"/>
  <c r="D41" i="98" s="1"/>
  <c r="E40" i="98" a="1"/>
  <c r="E40" i="98" s="1"/>
  <c r="D40" i="98" a="1"/>
  <c r="D40" i="98" s="1"/>
  <c r="E39" i="98" a="1"/>
  <c r="E39" i="98" s="1"/>
  <c r="D39" i="98" a="1"/>
  <c r="D39" i="98" s="1"/>
  <c r="E38" i="98" a="1"/>
  <c r="E38" i="98" s="1"/>
  <c r="D38" i="98" a="1"/>
  <c r="D38" i="98" s="1"/>
  <c r="E37" i="98" a="1"/>
  <c r="E37" i="98" s="1"/>
  <c r="D37" i="98" a="1"/>
  <c r="D37" i="98" s="1"/>
  <c r="D35" i="98" a="1"/>
  <c r="D35" i="98" s="1"/>
  <c r="D34" i="98" a="1"/>
  <c r="D34" i="98" s="1"/>
  <c r="D30" i="98" a="1"/>
  <c r="D30" i="98" s="1"/>
  <c r="D29" i="98" a="1"/>
  <c r="D29" i="98" s="1"/>
  <c r="D28" i="98" a="1"/>
  <c r="D28" i="98" s="1"/>
  <c r="D27" i="98" a="1"/>
  <c r="D27" i="98" s="1"/>
  <c r="D26" i="98" a="1"/>
  <c r="D26" i="98" s="1"/>
  <c r="D25" i="98" a="1"/>
  <c r="D25" i="98" s="1"/>
  <c r="D24" i="98" a="1"/>
  <c r="D24" i="98" s="1"/>
  <c r="D23" i="98" a="1"/>
  <c r="D23" i="98" s="1"/>
  <c r="D22" i="98" a="1"/>
  <c r="D22" i="98" s="1"/>
  <c r="D21" i="98" a="1"/>
  <c r="D21" i="98" s="1"/>
  <c r="D19" i="98" a="1"/>
  <c r="D19" i="98" s="1"/>
  <c r="D18" i="98" a="1"/>
  <c r="D18"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F9" i="98" a="1"/>
  <c r="F9" i="98" s="1"/>
  <c r="E9" i="98" a="1"/>
  <c r="E9" i="98" s="1"/>
  <c r="D9" i="98" a="1"/>
  <c r="D9" i="98" s="1"/>
  <c r="F8" i="98" a="1"/>
  <c r="F8" i="98" s="1"/>
  <c r="E8" i="98" a="1"/>
  <c r="E8" i="98" s="1"/>
  <c r="D8" i="98" a="1"/>
  <c r="D8" i="98" s="1"/>
  <c r="F7" i="98" a="1"/>
  <c r="F7" i="98" s="1"/>
  <c r="E7" i="98" a="1"/>
  <c r="E7" i="98" s="1"/>
  <c r="D7" i="98" a="1"/>
  <c r="D7" i="98" s="1"/>
  <c r="D5" i="98" a="1"/>
  <c r="D5" i="98" s="1"/>
  <c r="G70" i="69" l="1"/>
  <c r="P70" i="69"/>
  <c r="H51" i="98"/>
  <c r="H48" i="98"/>
  <c r="H54" i="98"/>
  <c r="H52" i="98"/>
  <c r="H53" i="98"/>
  <c r="H50" i="98"/>
  <c r="H49" i="98"/>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O30" i="69" s="1"/>
  <c r="F19" i="70" a="1"/>
  <c r="F19" i="70" s="1"/>
  <c r="G19" i="70" a="1"/>
  <c r="G19" i="70" s="1"/>
  <c r="G15" i="70" a="1"/>
  <c r="G15" i="70" s="1"/>
  <c r="E16" i="70" a="1"/>
  <c r="E16" i="70" s="1"/>
  <c r="D30" i="69" s="1"/>
  <c r="F16" i="70" a="1"/>
  <c r="F16" i="70" s="1"/>
  <c r="E30" i="69" s="1"/>
  <c r="G16" i="70" a="1"/>
  <c r="G16" i="70" s="1"/>
  <c r="F30" i="69" s="1"/>
  <c r="E20" i="70" a="1"/>
  <c r="E20" i="70" s="1"/>
  <c r="M25" i="69" s="1"/>
  <c r="E21" i="70" a="1"/>
  <c r="E21" i="70" s="1"/>
  <c r="M30" i="69" s="1"/>
  <c r="F21" i="70" a="1"/>
  <c r="F21" i="70" s="1"/>
  <c r="N30" i="69" s="1"/>
  <c r="F15" i="70" a="1"/>
  <c r="F15" i="70" s="1"/>
  <c r="F20" i="70" a="1"/>
  <c r="F20" i="70" s="1"/>
  <c r="N25" i="69" s="1"/>
  <c r="G20" i="70" a="1"/>
  <c r="G20" i="70" s="1"/>
  <c r="O25" i="69" s="1"/>
  <c r="D69" i="69" a="1"/>
  <c r="D69" i="69" s="1"/>
  <c r="F72" i="69" a="1"/>
  <c r="F72" i="69" s="1"/>
  <c r="M20" i="69" l="1"/>
  <c r="M35" i="69" s="1" a="1"/>
  <c r="M35" i="69" s="1"/>
  <c r="M65" i="69" s="1" a="1"/>
  <c r="M65" i="69" s="1"/>
  <c r="N20" i="69"/>
  <c r="N35" i="69" s="1" a="1"/>
  <c r="N35" i="69" s="1"/>
  <c r="N65" i="69" s="1" a="1"/>
  <c r="N65" i="69" s="1"/>
  <c r="O20" i="69"/>
  <c r="O35" i="69" s="1" a="1"/>
  <c r="O35" i="69" s="1"/>
  <c r="O65" i="69" s="1" a="1"/>
  <c r="O65" i="69" s="1"/>
  <c r="F60" i="69" l="1"/>
  <c r="E60" i="69"/>
  <c r="D60" i="69"/>
  <c r="F55" i="69"/>
  <c r="E55" i="69"/>
  <c r="D55" i="69"/>
  <c r="D8" i="70"/>
  <c r="D9" i="70"/>
  <c r="G35" i="69" l="1"/>
  <c r="P65" i="69"/>
  <c r="H69" i="69"/>
  <c r="Q69" i="69"/>
  <c r="G65" i="69"/>
  <c r="O67" i="69"/>
  <c r="F67" i="69"/>
  <c r="G7" i="13" s="1"/>
  <c r="F25" i="69"/>
  <c r="E25" i="69"/>
  <c r="D25" i="69"/>
  <c r="F20" i="69"/>
  <c r="F35" i="69" s="1" a="1"/>
  <c r="F35" i="69" s="1"/>
  <c r="F65" i="69" s="1" a="1"/>
  <c r="F65" i="69" s="1"/>
  <c r="E20" i="69"/>
  <c r="E35" i="69" s="1" a="1"/>
  <c r="E35" i="69" s="1"/>
  <c r="E65" i="69" s="1" a="1"/>
  <c r="E65" i="69" s="1"/>
  <c r="D20" i="69"/>
  <c r="D35" i="69" s="1"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E72" i="69" s="1" a="1"/>
  <c r="E72" i="69" s="1"/>
  <c r="H7" i="13" s="1"/>
  <c r="H8" i="13" s="1"/>
  <c r="N67" i="69"/>
  <c r="P69" i="69" s="1"/>
  <c r="N72" i="69" s="1" a="1"/>
  <c r="N72" i="69" s="1"/>
  <c r="I7" i="13" s="1"/>
  <c r="I8" i="13" s="1"/>
  <c r="E7" i="13" l="1"/>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<sst xmlns="http://schemas.openxmlformats.org/spreadsheetml/2006/main" count="285" uniqueCount="184">
  <si>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</si>
  <si>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</si>
  <si>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</si>
  <si>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</si>
  <si>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</si>
  <si>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</si>
  <si>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</si>
  <si>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</si>
  <si>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</si>
  <si>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</si>
  <si>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</si>
  <si>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</si>
  <si>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</si>
  <si>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</si>
  <si>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</si>
  <si>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</si>
  <si>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</si>
  <si>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</si>
  <si>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</si>
  <si>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</si>
  <si>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</si>
  <si>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</si>
  <si>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</si>
  <si>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</si>
  <si>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</si>
  <si>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</si>
  <si>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</si>
  <si>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</si>
  <si>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</si>
  <si>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</si>
  <si>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</si>
  <si>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</si>
  <si>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</si>
  <si>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</si>
  <si>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</si>
  <si>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</si>
  <si>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</si>
  <si>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</si>
  <si>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</si>
  <si>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</si>
  <si>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</si>
  <si>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</si>
  <si>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</si>
  <si>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</si>
  <si>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</si>
  <si>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</si>
  <si>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</si>
  <si>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</si>
  <si>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</si>
  <si>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</si>
  <si>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</si>
  <si>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</si>
  <si>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</si>
  <si>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</si>
  <si>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</si>
  <si>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</si>
  <si>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</si>
  <si>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</si>
  <si>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</si>
  <si>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</si>
  <si>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</si>
  <si>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</si>
  <si>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</si>
  <si>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</si>
  <si>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</si>
  <si>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</si>
  <si>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</si>
  <si>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</si>
  <si>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</si>
  <si>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</si>
  <si>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</si>
  <si>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</si>
  <si>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</si>
  <si>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</si>
  <si>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</si>
  <si>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</si>
  <si>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</si>
  <si>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</si>
  <si>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</si>
  <si>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</si>
  <si>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</si>
  <si>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</si>
  <si>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</si>
  <si>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</si>
  <si>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</si>
  <si>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</si>
  <si>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</si>
  <si>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</si>
  <si>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</si>
  <si>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</si>
  <si>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Table_E_CH4</t>
  </si>
  <si>
    <t>Methane emissions for each group, MMS and treatment stage</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</si>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</sst>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2"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1"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0"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59"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8"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7"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6"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5"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4"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3"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2"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6"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39"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6"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5"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19F82E1-8BFB-49BB-A84C-1541D2694B3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0652AFC-F3E8-4421-AFD1-2D686D40D22D}" name="State/Territory">
      <calculatedColumnFormula array="1">Common_InputFunctions.Utility_DisplayArrayInTable(Common_SourceData.Common_SourceData_AustralianStatesTerritories_Data(),Table_AustralianStates[[#Headers],[State/Territory]],0)</calculatedColumnFormula>
    </tableColumn>
    <tableColumn id="2" xr3:uid="{1FA7E548-C0EA-432C-8E8B-704642D10B8B}" name="Common Name">
      <calculatedColumnFormula array="1">Common_InputFunctions.Utility_DisplayArrayInTable(Common_SourceData.Common_SourceData_AustralianStatesTerritories_Data(),Table_AustralianStates[[#Headers],[State/Territory]],0)</calculatedColumnFormula>
    </tableColumn>
    <tableColumn id="3" xr3:uid="{EBC3E112-1444-44E8-96B3-3CA9BA6303F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187021-E65C-4405-B076-51664A260F70}" name="Table_WASA4Areas" displayName="Table_WASA4Areas" ref="D20:D30" totalsRowShown="0">
  <autoFilter ref="D20:D30" xr:uid="{5FA81339-C6C8-4D36-BEEA-6C4AEDD9E676}">
    <filterColumn colId="0" hiddenButton="1"/>
  </autoFilter>
  <tableColumns count="1">
    <tableColumn id="1" xr3:uid="{BE8A74F0-502F-4C09-B30D-79967B1CA4B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85DEA7-0F0B-4043-8184-02AAE04CE1D3}" name="Table_GWPData" displayName="Table_GWPData" ref="D36:E43" totalsRowShown="0">
  <autoFilter ref="D36:E43" xr:uid="{B8E87A66-3E41-4AD3-925D-01EE21B43D7A}">
    <filterColumn colId="0" hiddenButton="1"/>
    <filterColumn colId="1" hiddenButton="1"/>
  </autoFilter>
  <tableColumns count="2">
    <tableColumn id="1" xr3:uid="{969FB6F5-5748-416A-B0E7-0FA856E9228D}" name="Gas">
      <calculatedColumnFormula array="1">Common_InputFunctions.Utility_DisplayArrayInTable(Common_SourceData.Common_SourceData_GWP_Data(), Table_GWPData[[#Headers],[Gas]], 0)</calculatedColumnFormula>
    </tableColumn>
    <tableColumn id="2" xr3:uid="{D288383E-5A93-48FA-8608-CEA132940F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C1E3F9B-244C-4BDB-9EAA-280B1B88DFD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107412D-787D-4251-B022-2C951856B5CC}" name="Gas">
      <calculatedColumnFormula array="1">Common_InputFunctions.Utility_DisplayArrayInTable(Common_SourceData.Common_SourceData_ConvertGasElementalToMolecular_Data(),Table_GasToMolecularConversionFactor[[#Headers],[Gas]], 0)</calculatedColumnFormula>
    </tableColumn>
    <tableColumn id="5" xr3:uid="{EDAE218C-BED9-4F30-BC1A-BDA604C52911}" name="Conversion factor">
      <calculatedColumnFormula array="1">Common_InputFunctions.Utility_DisplayArrayInTable(Common_SourceData.Common_SourceData_ConvertGasElementalToMolecular_Data(),Table_GasToMolecularConversionFactor[[#Headers],[Gas]], 0)</calculatedColumnFormula>
    </tableColumn>
    <tableColumn id="2" xr3:uid="{7B252330-4D09-4BE1-91E1-8F007E37DA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B2A94A6-B09F-44FC-92A1-CCB07CD838C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DB3A9E-EA47-4626-8AA6-4142F2BE5B3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C639B46-F2B6-417E-849A-4051D3B16B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62FA7-7F7F-4C9C-8231-8FC51C581FD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2C0A27-43A1-4D92-B3A8-944DC7691E0A}" name="MA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3" xr3:uid="{BCEE406F-741C-4AB5-8347-FD3CEB5D1690}" name="MAP"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4" xr3:uid="{BF112A88-84E8-4D38-B54C-79713ED69470}" name="Frost days per year"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5" xr3:uid="{DEDF2179-1AFD-46AA-97FF-2C7CC2C8F0A0}" name="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6" xr3:uid="{517703E3-C0ED-43E3-909F-4C1979577D3C}" name="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7" xr3:uid="{666A24A7-650A-4B3E-982A-50311730DB7C}" name="Min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8" xr3:uid="{5604EDD5-66DF-4ECC-BCE6-DD11FD6DB4D6}" name="Max temp"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9" xr3:uid="{6DA99F2D-CE18-432C-AB0D-72F425C17C5E}" name="Min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0" xr3:uid="{BC2916D3-A7D1-4722-A9DC-991CB2F62BD8}" name="Max rainfall"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1" xr3:uid="{1E64F234-4E02-4B45-A3A1-B18E3FFCFC37}" name="Min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5" xr3:uid="{70F03B18-1155-4824-8E62-AE5F3FA2A39C}" name="Max frost days"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2" xr3:uid="{C3AD9C66-0836-47F7-A64C-E903E6DAF5EE}" name="Min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6" xr3:uid="{ED33ED06-8D20-47FE-B0B6-650FCDD420E2}" name="Max elevation"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3" xr3:uid="{3C28BB66-16DC-4BC9-BE53-61187001ECC2}" name="Min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 id="17" xr3:uid="{FFF015AD-8516-434B-A94C-11CB9D62F62D}" name="Max MAP:PET" totalsRowDxfId="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975CFAC-C9D3-4E10-914B-A7477650269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BBE1D44-5D3C-421E-B886-5F058BD82B2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3E0B2F3-1F7B-4FCF-B0F4-658087312975}" name="Wet or Dry Zone" totalsRowDxfId="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F86B9BF-70ED-46B9-A712-EA42AC7345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5BB3355-DBBC-43C3-9C8D-BC097471993C}" name="Temperature Zone">
      <calculatedColumnFormula array="1">Common_InputFunctions.Utility_DisplayArrayInTable(Common_SourceData.Common_SourceData_TemperatureZones_Data(),Table_SourceData_TemperatureZones[[#Headers],[Temperature Zone]],0)</calculatedColumnFormula>
    </tableColumn>
    <tableColumn id="2" xr3:uid="{15DB6AA7-91D7-4725-9AA9-D1055AF7678C}" name="MAT">
      <calculatedColumnFormula array="1">Common_InputFunctions.Utility_DisplayArrayInTable(Common_SourceData.Common_SourceData_TemperatureZones_Data(),Table_SourceData_TemperatureZones[[#Headers],[Temperature Zone]],0)</calculatedColumnFormula>
    </tableColumn>
    <tableColumn id="3" xr3:uid="{0AD7766B-F917-4247-BA12-141E5E455D92}" name="Min MAT">
      <calculatedColumnFormula array="1">Common_InputFunctions.Utility_DisplayArrayInTable(Common_SourceData.Common_SourceData_TemperatureZones_Data(),Table_SourceData_TemperatureZones[[#Headers],[Temperature Zone]],0)</calculatedColumnFormula>
    </tableColumn>
    <tableColumn id="4" xr3:uid="{BEC491C5-29B7-47D8-92E3-A6B4AA3DF9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F94A906-91DA-4FAF-A89B-CEF60B0D12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D6E0C09-0BD8-471F-8A53-A12A9E178BF7}" name="Rainfall Zone">
      <calculatedColumnFormula array="1">Common_InputFunctions.Utility_DisplayArrayInTable(Common_SourceData.Common_SourceData_RainfallZones_Data(),Table_SourceData_RainfallZones[[#Headers],[Rainfall Zone]],0)</calculatedColumnFormula>
    </tableColumn>
    <tableColumn id="2" xr3:uid="{13B32985-837D-4685-9D0B-839BCC352710}" name="Annual rainfall">
      <calculatedColumnFormula array="1">Common_InputFunctions.Utility_DisplayArrayInTable(Common_SourceData.Common_SourceData_RainfallZones_Data(),Table_SourceData_RainfallZones[[#Headers],[Rainfall Zone]],0)</calculatedColumnFormula>
    </tableColumn>
    <tableColumn id="3" xr3:uid="{81010191-F2A6-4E17-8104-721B45E9D660}" name="Min rainfall">
      <calculatedColumnFormula array="1">Common_InputFunctions.Utility_DisplayArrayInTable(Common_SourceData.Common_SourceData_RainfallZones_Data(),Table_SourceData_RainfallZones[[#Headers],[Rainfall Zone]],0)</calculatedColumnFormula>
    </tableColumn>
    <tableColumn id="4" xr3:uid="{AD6D3163-2840-4E3F-896D-5DF709C34D9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A2C3C00-7D5E-482F-8CA2-A213D7DF8D3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167ABF-B475-4336-9AEE-96008ED98E6B}" name="Leaching Zone">
      <calculatedColumnFormula array="1">Common_InputFunctions.Utility_DisplayArrayInTable(Common_SourceData.Common_SourceData_LeachingZones_Data(), Table_SourceData_LeachingZones[[#Headers],[Leaching Zone]], 0)</calculatedColumnFormula>
    </tableColumn>
    <tableColumn id="2" xr3:uid="{75B56258-627E-484F-9B94-6FD90490B5C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10AEB1-ABAB-4497-8F48-0C15CDA4602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FCAEBE-8FA0-4664-B3AE-973A3E77EF02}" name="Data source">
      <calculatedColumnFormula array="1">Common_InputFunctions.Utility_DisplayArrayInTable(Common_SourceData.Common_SourceData_DataScores_Scope3_Data(), Table_SourceData_DataScores_Scope3[[#Headers],[Data source]], 0)</calculatedColumnFormula>
    </tableColumn>
    <tableColumn id="2" xr3:uid="{F269D724-DA61-40DD-B1DD-62089B53A25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FE08A5-0001-4080-8F90-757F959BAB2B}" name="Table_SourceData_FracWET" displayName="Table_SourceData_FracWET" ref="D134:E136" totalsRowShown="0">
  <autoFilter ref="D134:E136" xr:uid="{308E99BE-FE1F-47A4-B2CA-97217277C4E9}">
    <filterColumn colId="0" hiddenButton="1"/>
    <filterColumn colId="1" hiddenButton="1"/>
  </autoFilter>
  <tableColumns count="2">
    <tableColumn id="1" xr3:uid="{ACC4E2B3-A6FC-4D50-BE90-6D711BFC3B97}" name="Is in leaching zone">
      <calculatedColumnFormula array="1">Common_InputFunctions.Utility_DisplayArrayInTable(Common_SourceData.Common_SourceData_FracWET_Data(),Table_SourceData_FracWET[[#Headers],[Is in leaching zone]],0)</calculatedColumnFormula>
    </tableColumn>
    <tableColumn id="2" xr3:uid="{35F8284C-32FA-4320-AF32-3F44CCB77CF7}" name="FracWET" dataDxfId="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985452B-55AC-4EB5-AA25-EAD220463DA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4A144B-9F75-433D-BE41-D183AF51F2BB}" name="Production system j">
      <calculatedColumnFormula array="1">Common_InputFunctions.Utility_DisplayArrayInTable(Common_SourceData.Common_SourceData_EFN2O_Data(), Table_SourceData_Common_EFN2O[[#Headers],[Production system j]], 0)</calculatedColumnFormula>
    </tableColumn>
    <tableColumn id="2" xr3:uid="{87B0476D-5F45-43A5-9823-48327AFBBFC0}" name="EFN2O">
      <calculatedColumnFormula array="1">Common_InputFunctions.Utility_DisplayArrayInTable(Common_SourceData.Common_SourceData_EFN2O_Data(), Table_SourceData_Common_EFN2O[[#Headers],[Production system j]], 0)</calculatedColumnFormula>
    </tableColumn>
    <tableColumn id="3" xr3:uid="{A580C8EE-E9FD-4201-94D1-F99A9BC27373}" name="Production system only">
      <calculatedColumnFormula array="1">Common_InputFunctions.Utility_DisplayArrayInTable(Common_SourceData.Common_SourceData_EFN2O_Data(), Table_SourceData_Common_EFN2O[[#Headers],[Production system j]], 0)</calculatedColumnFormula>
    </tableColumn>
    <tableColumn id="4" xr3:uid="{50C2C17E-A21C-4FDA-82A8-EF761C0E6BF7}" name="Irrigation method">
      <calculatedColumnFormula array="1">Common_InputFunctions.Utility_DisplayArrayInTable(Common_SourceData.Common_SourceData_EFN2O_Data(), Table_SourceData_Common_EFN2O[[#Headers],[Production system j]], 0)</calculatedColumnFormula>
    </tableColumn>
    <tableColumn id="5" xr3:uid="{7F2E249C-6080-446E-8674-6F29CE0873E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1D7CB04-0839-425A-B673-CEA7A9C3FB8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328C683-420D-4EA6-AF9D-245995DC8FD1}" name="Irrigation type i">
      <calculatedColumnFormula array="1">Common_InputFunctions.Utility_DisplayArrayInTable(Common_SourceData.Common_SourceData_FracWETIrrigation_Data(), Table_SourceData_FracWETIrrigation[[#Headers],[Irrigation type i]], 0)</calculatedColumnFormula>
    </tableColumn>
    <tableColumn id="2" xr3:uid="{9E5FEA9D-8FB5-494C-9D24-0E6BFC0C6057}" name="FracWET" dataDxfId="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9AFCB04-6C42-4BD7-84F4-CB502355AF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B787692-FEAA-422C-9A68-A116E1C1D83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FBB6C89-F456-4C86-80FD-B734DEFDFF30}" name="EFPRP" dataDxfId="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23F6973-616E-44B9-9455-AEC834A8AAD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0DBFFCC-335E-4C29-BC47-5C2A3243CFF0}" name="Month">
      <calculatedColumnFormula array="1">Common_InputFunctions.Utility_DisplayArrayInTable(Common_SourceData.Common_SourceData_MonthsToSeasons_Data(), Table_SourceData_Common_MonthToSeason[[#Headers],[Month]], 0)</calculatedColumnFormula>
    </tableColumn>
    <tableColumn id="2" xr3:uid="{AC3827EF-FE9E-4E81-A7C7-95A7165D62C5}" name="Season" dataDxfId="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FD98D7-E5DB-4B28-9E47-A6481BEC137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C0CBC0D-B831-4C7E-9F24-0EE0037F3E6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E0D171-2FBE-46A9-9B1F-1269E55C1B38}" name="MAT (ºC)"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FF50BBA-30EE-4E1A-9449-9265A1067683}" name="Anaerobic lagoon"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3654E61-5BB1-44D1-A97F-E38B4117F28F}" name="Digester / covered lagoon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736C277-B619-4577-BE61-C6F2CFEBBDF4}" name="Liquid systems"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F5FCA7-77C5-40B2-BAC9-EBF849F5559B}" name="Daily spread"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7CABD47-531A-49AF-865F-934434068DEC}" name="Composting (passive windro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3C335A-BC58-40E9-8E75-96ED6CCF795D}" name="Solid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D3901FD-AFED-45CA-9E32-1204AF6D4874}" name="Pit storage"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3A0FE7-0AA0-43C9-9A4F-02E9C242020A}" name="Deep litter"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AF69A1E-4587-4DCD-9535-2ECADB3A8A73}" name="Poultry manure with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D86AF5D-FDC1-4EE1-9D47-BA4BE96F619F}" name="Poultry manure without bedd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15483D8-6A7E-4D26-B81F-096629F52A98}" name="Direct processing"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82A14FE-E6A5-4C72-AE16-87CCAF66B3DB}" name="Direct application"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BBFE03E-A035-4E39-B68B-F044C4B1E37F}" name="Pasture range and paddock"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E478F66-8602-4161-AB22-52FED9A026F5}" name="MAT raw" dataDxfId="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tabSelected="1"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179</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181</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161</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180</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116</v>
      </c>
      <c r="E6" s="100" t="s">
        <v>139</v>
      </c>
      <c r="F6" s="100" t="s">
        <v>140</v>
      </c>
      <c r="G6" s="100" t="s">
        <v>130</v>
      </c>
      <c r="H6" s="100" t="s">
        <v>141</v>
      </c>
      <c r="I6" s="100" t="s">
        <v>143</v>
      </c>
      <c r="J6" s="100" t="s">
        <v>131</v>
      </c>
      <c r="K6" s="24"/>
      <c r="L6" s="24"/>
    </row>
    <row r="7" spans="1:12" ht="20.100000000000001" customHeight="1" x14ac:dyDescent="0.25">
      <c r="A7" s="20" t="s">
        <v>3</v>
      </c>
      <c r="C7" s="24"/>
      <c r="D7" s="1" t="s">
        <v>162</v>
      </c>
      <c r="E7" s="98">
        <f>'3.1.1.1-2 Enteric Methane'!E67</f>
        <v>35.420230000000004</v>
      </c>
      <c r="F7" s="98">
        <f>'3.1.1.1-2 Enteric Methane'!N67</f>
        <v>35.420230000000004</v>
      </c>
      <c r="G7" s="52" t="str">
        <f>'3.1.1.1-2 Enteric Methane'!F67</f>
        <v>t CH4</v>
      </c>
      <c r="H7" s="98">
        <f>'3.1.1.1-2 Enteric Methane'!E72</f>
        <v>991.7664400000001</v>
      </c>
      <c r="I7" s="98">
        <f>'3.1.1.1-2 Enteric Methane'!N72</f>
        <v>991.7664400000001</v>
      </c>
      <c r="J7" s="52" t="s">
        <v>142</v>
      </c>
      <c r="K7" s="24"/>
      <c r="L7" s="24"/>
    </row>
    <row r="8" spans="1:12" ht="20.100000000000001" customHeight="1" x14ac:dyDescent="0.3">
      <c r="A8" s="17" t="str">
        <f>HYPERLINK("#'Input - Site'!A1", "Site")</f>
        <v>Site</v>
      </c>
      <c r="C8" s="24"/>
      <c r="D8" s="31" t="s">
        <v>129</v>
      </c>
      <c r="E8" s="25"/>
      <c r="F8" s="31"/>
      <c r="G8" s="31"/>
      <c r="H8" s="99">
        <f>SUM(H7:H7)</f>
        <v>991.7664400000001</v>
      </c>
      <c r="I8" s="99">
        <f>SUM(I7:I7)</f>
        <v>991.7664400000001</v>
      </c>
      <c r="J8" s="93" t="s">
        <v>142</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C2" sqref="C2"/>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183</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98</v>
      </c>
      <c r="F7" s="39" t="s">
        <v>99</v>
      </c>
      <c r="G7" s="39" t="s">
        <v>100</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145</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132</v>
      </c>
      <c r="E13" s="39" t="s">
        <v>98</v>
      </c>
      <c r="F13" s="39" t="s">
        <v>99</v>
      </c>
      <c r="G13" s="39" t="s">
        <v>100</v>
      </c>
    </row>
    <row r="14" spans="1:21" ht="20.100000000000001" customHeight="1" x14ac:dyDescent="0.25">
      <c r="A14" s="18" t="s">
        <v>4</v>
      </c>
      <c r="D14" s="1" t="s">
        <v>104</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163</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146</v>
      </c>
      <c r="I15" s="2"/>
      <c r="J15" s="2"/>
      <c r="K15" s="2"/>
    </row>
    <row r="16" spans="1:21" ht="20.100000000000001" customHeight="1" x14ac:dyDescent="0.25">
      <c r="A16" s="17" t="str">
        <f>HYPERLINK("#'Constants - Livestock'!A1", "Constants - Livestock")</f>
        <v>Constants - Livestock</v>
      </c>
      <c r="D16" s="1" t="s">
        <v>164</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146</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133</v>
      </c>
      <c r="E18" s="39" t="s">
        <v>98</v>
      </c>
      <c r="F18" s="39" t="s">
        <v>99</v>
      </c>
      <c r="G18" s="39" t="s">
        <v>100</v>
      </c>
    </row>
    <row r="19" spans="1:11" ht="20.100000000000001" customHeight="1" x14ac:dyDescent="0.25">
      <c r="D19" s="1" t="s">
        <v>104</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163</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146</v>
      </c>
      <c r="I20" s="2"/>
      <c r="J20" s="2"/>
      <c r="K20" s="2"/>
    </row>
    <row r="21" spans="1:11" ht="20.100000000000001" customHeight="1" x14ac:dyDescent="0.25">
      <c r="A21" s="17"/>
      <c r="D21" s="1" t="s">
        <v>164</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146</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182</v>
      </c>
      <c r="K1"/>
    </row>
    <row r="2" spans="1:19" s="9" customFormat="1" ht="20.100000000000001" customHeight="1" x14ac:dyDescent="0.25">
      <c r="K2"/>
    </row>
    <row r="3" spans="1:19" ht="20.100000000000001" customHeight="1" x14ac:dyDescent="0.25">
      <c r="A3" s="17" t="str">
        <f>HYPERLINK("#'Home'!A1", "Home")</f>
        <v>Home</v>
      </c>
      <c r="C3" s="4"/>
      <c r="D3" s="4" t="s">
        <v>110</v>
      </c>
      <c r="E3" s="4"/>
      <c r="F3" s="4"/>
      <c r="G3" s="4"/>
      <c r="H3" s="4"/>
      <c r="I3" s="4"/>
      <c r="J3" s="4"/>
      <c r="L3" s="4"/>
      <c r="M3" s="4" t="s">
        <v>111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108</v>
      </c>
      <c r="M17" s="86" t="s">
        <v>109</v>
      </c>
    </row>
    <row r="18" spans="1:16" ht="20.100000000000001" customHeight="1" x14ac:dyDescent="0.25">
      <c r="A18" s="17" t="str">
        <f>HYPERLINK("#'Acknowledgements'!A1", "Acknowledgements")</f>
        <v>Acknowledgements</v>
      </c>
      <c r="D18" s="85" t="s">
        <v>112</v>
      </c>
      <c r="M18" s="85" t="s">
        <v>113</v>
      </c>
    </row>
    <row r="19" spans="1:16" ht="20.100000000000001" customHeight="1" x14ac:dyDescent="0.25">
      <c r="D19" s="39" t="s">
        <v>98</v>
      </c>
      <c r="E19" s="39" t="s">
        <v>99</v>
      </c>
      <c r="F19" s="39" t="s">
        <v>100</v>
      </c>
      <c r="M19" s="39" t="s">
        <v>98</v>
      </c>
      <c r="N19" s="39" t="s">
        <v>99</v>
      </c>
      <c r="O19" s="39" t="s">
        <v>100</v>
      </c>
    </row>
    <row r="20" spans="1:16" ht="20.100000000000001" customHeight="1" x14ac:dyDescent="0.25">
      <c r="D20" s="50">
        <f>'Input - Feedlot'!$E$14</f>
        <v>10.4</v>
      </c>
      <c r="E20" s="50">
        <f>'Input - Feedlot'!$F$14</f>
        <v>10.8</v>
      </c>
      <c r="F20" s="50">
        <f>'Input - Feedlot'!$G$14</f>
        <v>8.1999999999999993</v>
      </c>
      <c r="G20" s="2" t="str">
        <f>$G$13</f>
        <v>kg DM/head/day</v>
      </c>
      <c r="M20" s="50">
        <f>'Input - Feedlot'!$E$19</f>
        <v>10.4</v>
      </c>
      <c r="N20" s="50">
        <f>'Input - Feedlot'!$F$19</f>
        <v>10.8</v>
      </c>
      <c r="O20" s="50">
        <f>'Input - Feedlot'!$G$19</f>
        <v>8.1999999999999993</v>
      </c>
      <c r="P20" s="2" t="str">
        <f>$G$13</f>
        <v>kg DM/head/day</v>
      </c>
    </row>
    <row r="21" spans="1:16" ht="20.100000000000001" customHeight="1" x14ac:dyDescent="0.25">
      <c r="A21" s="17"/>
    </row>
    <row r="22" spans="1:16" ht="20.100000000000001" customHeight="1" x14ac:dyDescent="0.25">
      <c r="D22" s="86" t="s">
        <v>165</v>
      </c>
      <c r="M22" s="86" t="s">
        <v>173</v>
      </c>
    </row>
    <row r="23" spans="1:16" ht="20.100000000000001" customHeight="1" x14ac:dyDescent="0.25">
      <c r="D23" s="85" t="s">
        <v>166</v>
      </c>
      <c r="M23" s="85" t="s">
        <v>174</v>
      </c>
    </row>
    <row r="24" spans="1:16" ht="20.100000000000001" customHeight="1" x14ac:dyDescent="0.25">
      <c r="D24" s="39" t="s">
        <v>98</v>
      </c>
      <c r="E24" s="39" t="s">
        <v>99</v>
      </c>
      <c r="F24" s="39" t="s">
        <v>100</v>
      </c>
      <c r="M24" s="39" t="s">
        <v>98</v>
      </c>
      <c r="N24" s="39" t="s">
        <v>99</v>
      </c>
      <c r="O24" s="39" t="s">
        <v>100</v>
      </c>
    </row>
    <row r="25" spans="1:16" ht="20.100000000000001" customHeight="1" x14ac:dyDescent="0.25">
      <c r="A25" s="17"/>
      <c r="D25" s="50">
        <f>'Input - Feedlot'!$E$15</f>
        <v>4.8</v>
      </c>
      <c r="E25" s="50">
        <f>'Input - Feedlot'!$F$15</f>
        <v>5</v>
      </c>
      <c r="F25" s="50">
        <f>'Input - Feedlot'!$G$15</f>
        <v>5.5</v>
      </c>
      <c r="G25" s="2" t="str">
        <f>$G$14</f>
        <v>per cent</v>
      </c>
      <c r="M25" s="50">
        <f>'Input - Feedlot'!$E$20</f>
        <v>4.8</v>
      </c>
      <c r="N25" s="50">
        <f>'Input - Feedlot'!$F$20</f>
        <v>5</v>
      </c>
      <c r="O25" s="50">
        <f>'Input - Feedlot'!$G$20</f>
        <v>5.5</v>
      </c>
      <c r="P25" s="2" t="str">
        <f>$G$14</f>
        <v>per cent</v>
      </c>
    </row>
    <row r="26" spans="1:16" ht="20.100000000000001" customHeight="1" x14ac:dyDescent="0.25"/>
    <row r="27" spans="1:16" ht="20.100000000000001" customHeight="1" x14ac:dyDescent="0.25">
      <c r="D27" s="86" t="s">
        <v>167</v>
      </c>
      <c r="M27" s="86" t="s">
        <v>175</v>
      </c>
    </row>
    <row r="28" spans="1:16" ht="20.100000000000001" customHeight="1" x14ac:dyDescent="0.25">
      <c r="D28" s="85" t="s">
        <v>168</v>
      </c>
      <c r="M28" s="85" t="s">
        <v>176</v>
      </c>
    </row>
    <row r="29" spans="1:16" ht="20.100000000000001" customHeight="1" x14ac:dyDescent="0.25">
      <c r="D29" s="39" t="s">
        <v>98</v>
      </c>
      <c r="E29" s="39" t="s">
        <v>99</v>
      </c>
      <c r="F29" s="39" t="s">
        <v>100</v>
      </c>
      <c r="M29" s="39" t="s">
        <v>98</v>
      </c>
      <c r="N29" s="39" t="s">
        <v>99</v>
      </c>
      <c r="O29" s="39" t="s">
        <v>100</v>
      </c>
    </row>
    <row r="30" spans="1:16" ht="20.100000000000001" customHeight="1" x14ac:dyDescent="0.25">
      <c r="D30" s="50">
        <f>'Input - Feedlot'!$E$16</f>
        <v>22</v>
      </c>
      <c r="E30" s="50">
        <f>'Input - Feedlot'!$F$16</f>
        <v>22</v>
      </c>
      <c r="F30" s="50">
        <f>'Input - Feedlot'!$G$16</f>
        <v>24</v>
      </c>
      <c r="G30" s="2" t="str">
        <f>$G$15</f>
        <v>per cent</v>
      </c>
      <c r="M30" s="50">
        <f>'Input - Feedlot'!$E$21</f>
        <v>22</v>
      </c>
      <c r="N30" s="50">
        <f>'Input - Feedlot'!$F$21</f>
        <v>22</v>
      </c>
      <c r="O30" s="50">
        <f>'Input - Feedlot'!$G$21</f>
        <v>24</v>
      </c>
      <c r="P30" s="2" t="str">
        <f>$G$15</f>
        <v>per cent</v>
      </c>
    </row>
    <row r="31" spans="1:16" ht="20.100000000000001" customHeight="1" x14ac:dyDescent="0.25"/>
    <row r="32" spans="1:16" ht="20.100000000000001" customHeight="1" x14ac:dyDescent="0.25">
      <c r="D32" s="86" t="s">
        <v>169</v>
      </c>
      <c r="M32" s="86" t="s">
        <v>171</v>
      </c>
    </row>
    <row r="33" spans="3:18" ht="20.100000000000001" customHeight="1" x14ac:dyDescent="0.25">
      <c r="D33" s="85" t="s">
        <v>170</v>
      </c>
      <c r="M33" s="85" t="s">
        <v>172</v>
      </c>
    </row>
    <row r="34" spans="3:18" ht="20.100000000000001" customHeight="1" x14ac:dyDescent="0.25">
      <c r="D34" s="49" t="s">
        <v>98</v>
      </c>
      <c r="E34" s="49" t="s">
        <v>99</v>
      </c>
      <c r="F34" s="49" t="s">
        <v>100</v>
      </c>
      <c r="M34" s="49" t="s">
        <v>98</v>
      </c>
      <c r="N34" s="49" t="s">
        <v>99</v>
      </c>
      <c r="O34" s="49" t="s">
        <v>100</v>
      </c>
    </row>
    <row r="35" spans="3:18" ht="20.100000000000001" customHeight="1" x14ac:dyDescent="0.25">
      <c r="D35" s="50" cm="1">
        <f t="array" ref="D35">EntericMethane_Feedlot_Equations.VEERG_3_1_1_1__2_DailyEntericMethaneProduction(D20,D25,D30)</f>
        <v>8.3664000000000002E-2</v>
      </c>
      <c r="E35" s="50" cm="1">
        <f t="array" ref="E35">EntericMethane_Feedlot_Equations.VEERG_3_1_1_1__2_DailyEntericMethaneProduction(E20,E25,E30)</f>
        <v>8.4908000000000011E-2</v>
      </c>
      <c r="F35" s="50" cm="1">
        <f t="array" ref="F35">EntericMethane_Feedlot_Equations.VEERG_3_1_1_1__2_DailyEntericMethaneProduction(F20,F25,F30)</f>
        <v>7.4142E-2</v>
      </c>
      <c r="G35" s="2" t="str">
        <f>$E$11</f>
        <v>kg CH4/head/day</v>
      </c>
      <c r="M35" s="50" cm="1">
        <f t="array" ref="M35">EntericMethane_Feedlot_Equations.VEERG_3_1_1_1__2_DailyEntericMethaneProduction(M20,M25,M30)</f>
        <v>8.3664000000000002E-2</v>
      </c>
      <c r="N35" s="50" cm="1">
        <f t="array" ref="N35">EntericMethane_Feedlot_Equations.VEERG_3_1_1_1__2_DailyEntericMethaneProduction(N20,N25,N30)</f>
        <v>8.4908000000000011E-2</v>
      </c>
      <c r="O35" s="50" cm="1">
        <f t="array" ref="O35">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98</v>
      </c>
      <c r="E54" s="39" t="s">
        <v>99</v>
      </c>
      <c r="F54" s="39" t="s">
        <v>100</v>
      </c>
    </row>
    <row r="55" spans="4:15" ht="20.100000000000001" customHeight="1" x14ac:dyDescent="0.25">
      <c r="D55" s="88">
        <f>'Input - Feedlot'!$E$9</f>
        <v>90</v>
      </c>
      <c r="E55" s="88">
        <f>'Input - Feedlot'!$F$9</f>
        <v>140</v>
      </c>
      <c r="F55" s="88">
        <f>'Input - Feedlot'!$G$9</f>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98</v>
      </c>
      <c r="E59" s="39" t="s">
        <v>99</v>
      </c>
      <c r="F59" s="39" t="s">
        <v>100</v>
      </c>
    </row>
    <row r="60" spans="4:15" ht="20.100000000000001" customHeight="1" x14ac:dyDescent="0.25">
      <c r="D60" s="88">
        <f>'Input - Feedlot'!$E$8</f>
        <v>4300</v>
      </c>
      <c r="E60" s="88">
        <f>'Input - Feedlot'!$F$8</f>
        <v>100</v>
      </c>
      <c r="F60" s="88">
        <f>'Input - Feedlot'!$G$8</f>
        <v>100</v>
      </c>
      <c r="G60" s="2" t="str">
        <f>G50</f>
        <v>head</v>
      </c>
    </row>
    <row r="61" spans="4:15" ht="20.100000000000001" customHeight="1" x14ac:dyDescent="0.25"/>
    <row r="62" spans="4:15" ht="20.100000000000001" customHeight="1" x14ac:dyDescent="0.25">
      <c r="D62" s="86" t="s">
        <v>90</v>
      </c>
      <c r="M62" s="86" t="s">
        <v>90</v>
      </c>
    </row>
    <row r="63" spans="4:15" ht="20.100000000000001" customHeight="1" x14ac:dyDescent="0.25">
      <c r="D63" s="85" t="s">
        <v>91</v>
      </c>
      <c r="M63" s="85" t="s">
        <v>91</v>
      </c>
    </row>
    <row r="64" spans="4:15" ht="20.100000000000001" customHeight="1" x14ac:dyDescent="0.25">
      <c r="D64" s="49" t="s">
        <v>98</v>
      </c>
      <c r="E64" s="49" t="s">
        <v>99</v>
      </c>
      <c r="F64" s="49" t="s">
        <v>100</v>
      </c>
      <c r="M64" s="49" t="s">
        <v>98</v>
      </c>
      <c r="N64" s="49" t="s">
        <v>99</v>
      </c>
      <c r="O64" s="49" t="s">
        <v>100</v>
      </c>
    </row>
    <row r="65" spans="4:17" ht="20.100000000000001" customHeight="1" x14ac:dyDescent="0.25">
      <c r="D65" s="50" cm="1">
        <f t="array" ref="D65">EntericMethane_Feedlot_Equations.VEERG_3_1_1_1__1_TotalAnnualMethaneFromEntericFermentation(D55,D35,D60)</f>
        <v>32.377968000000003</v>
      </c>
      <c r="E65" s="50" cm="1">
        <f t="array" ref="E65">EntericMethane_Feedlot_Equations.VEERG_3_1_1_1__1_TotalAnnualMethaneFromEntericFermentation(E55,E35,E60)</f>
        <v>1.1887120000000002</v>
      </c>
      <c r="F65" s="50" cm="1">
        <f t="array" ref="F65">EntericMethane_Feedlot_Equations.VEERG_3_1_1_1__1_TotalAnnualMethaneFromEntericFermentation(F55,F35,F60)</f>
        <v>1.85355</v>
      </c>
      <c r="G65" s="2" t="str">
        <f>$E$46</f>
        <v>t CH4</v>
      </c>
      <c r="M65" s="50" cm="1">
        <f t="array" ref="M65">EntericMethane_Feedlot_Equations.VEERG_3_1_1_1__1_TotalAnnualMethaneFromEntericFermentation(D55,M35,D60)</f>
        <v>32.377968000000003</v>
      </c>
      <c r="N65" s="50" cm="1">
        <f t="array" ref="N65">EntericMethane_Feedlot_Equations.VEERG_3_1_1_1__1_TotalAnnualMethaneFromEntericFermentation(E55,N35,E60)</f>
        <v>1.1887120000000002</v>
      </c>
      <c r="O65" s="50" cm="1">
        <f t="array" ref="O65">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177</v>
      </c>
      <c r="E67" s="90">
        <f>SUM(D65:F65)</f>
        <v>35.420230000000004</v>
      </c>
      <c r="F67" s="91" t="str">
        <f>$E$46</f>
        <v>t CH4</v>
      </c>
      <c r="M67" s="89" t="s">
        <v>178</v>
      </c>
      <c r="N67" s="90">
        <f>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E67</f>
        <v>35.420230000000004</v>
      </c>
      <c r="H69" s="2" t="str">
        <f>$E$46</f>
        <v>t CH4</v>
      </c>
      <c r="M69" s="55" t="str" cm="1">
        <f t="array" ref="M69:N70">Common_Equations.Common_ConvertCH4ToCO2e_Arguments()</f>
        <v>ECH4</v>
      </c>
      <c r="N69" s="56" t="str">
        <v>Methane emissions (t CH4)</v>
      </c>
      <c r="O69" s="92"/>
      <c r="P69" s="50">
        <f>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114</v>
      </c>
      <c r="E72" s="45" cm="1">
        <f t="array" ref="E72">Common_Equations.Common_ConvertCH4ToCO2e(G69,G70)</f>
        <v>991.7664400000001</v>
      </c>
      <c r="F72" s="93" t="str" cm="1">
        <f t="array" ref="F72">Common_Equations.Common_ConvertN2OToCO2e_Unit()</f>
        <v>t CO2e</v>
      </c>
      <c r="M72" s="45" t="s">
        <v>115</v>
      </c>
      <c r="N72" s="45" cm="1">
        <f t="array" ref="N72">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B78" workbookViewId="0">
      <selection activeCell="I89" sqref="I89:M93"/>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97</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121</v>
      </c>
      <c r="J25" s="6" t="s">
        <v>123</v>
      </c>
      <c r="M25" s="1"/>
    </row>
    <row r="26" spans="1:13" ht="20.100000000000001" customHeight="1" x14ac:dyDescent="0.25">
      <c r="M26" s="1"/>
    </row>
    <row r="27" spans="1:13" ht="20.100000000000001" customHeight="1" x14ac:dyDescent="0.25">
      <c r="D27" s="84" t="s">
        <v>50</v>
      </c>
      <c r="E27" s="37" t="s">
        <v>63</v>
      </c>
      <c r="G27" s="37" t="s">
        <v>122</v>
      </c>
      <c r="J27" s="37" t="s">
        <v>120</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124</v>
      </c>
      <c r="M28" s="1"/>
    </row>
    <row r="29" spans="1:13" ht="20.100000000000001" customHeight="1" x14ac:dyDescent="0.25">
      <c r="D29" s="37" t="str">
        <f>'Constants - Livestock'!$E$15</f>
        <v>Solid storage</v>
      </c>
      <c r="E29" s="37" t="str">
        <f>'Constants - Livestock'!$F$15</f>
        <v>Solid storage (m=4)</v>
      </c>
      <c r="G29" s="1" t="str">
        <f>'Constants - Common'!$F$187</f>
        <v>Pasture</v>
      </c>
      <c r="J29" s="37" t="s">
        <v>125</v>
      </c>
      <c r="M29" s="1"/>
    </row>
    <row r="30" spans="1:13" ht="20.100000000000001" customHeight="1" x14ac:dyDescent="0.25">
      <c r="D30" s="37" t="str">
        <f>'Constants - Livestock'!$E$17</f>
        <v>Composting (passive windrow)</v>
      </c>
      <c r="E30" s="37" t="str">
        <f>'Constants - Livestock'!$F$17</f>
        <v>Composting (passive windrow) (m=6)</v>
      </c>
      <c r="J30" s="1" t="s">
        <v>126</v>
      </c>
      <c r="M30" s="1"/>
    </row>
    <row r="31" spans="1:13" ht="20.100000000000001" customHeight="1" x14ac:dyDescent="0.25">
      <c r="D31" s="37" t="str">
        <f>'Constants - Livestock'!$E$26</f>
        <v>Direct application</v>
      </c>
      <c r="E31" s="37" t="str">
        <f>'Constants - Livestock'!$F$26</f>
        <v>Direct application (m=13)</v>
      </c>
      <c r="J31" s="1" t="s">
        <v>127</v>
      </c>
      <c r="M31" s="1"/>
    </row>
    <row r="32" spans="1:13" ht="20.100000000000001" customHeight="1" x14ac:dyDescent="0.25">
      <c r="D32" s="1" t="str">
        <f>'Constants - Livestock'!$E$10</f>
        <v>Anaerobic lagoon</v>
      </c>
      <c r="E32" s="1" t="str">
        <f>'Constants - Livestock'!$F$10</f>
        <v>Anaerobic lagoon (m=1)</v>
      </c>
      <c r="J32" s="1" t="s">
        <v>128</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92</v>
      </c>
      <c r="E38" s="37" t="s">
        <v>105</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92</v>
      </c>
      <c r="E49" s="37" t="s">
        <v>102</v>
      </c>
      <c r="F49" s="37" t="s">
        <v>11</v>
      </c>
      <c r="G49" s="37" t="s">
        <v>103</v>
      </c>
      <c r="H49" s="37" t="s">
        <v>94</v>
      </c>
      <c r="I49" s="37" t="s">
        <v>95</v>
      </c>
      <c r="J49" s="37" t="s">
        <v>96</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92</v>
      </c>
      <c r="E66" s="37" t="s">
        <v>93</v>
      </c>
      <c r="F66" s="37" t="s">
        <v>11</v>
      </c>
      <c r="G66" s="37" t="s">
        <v>94</v>
      </c>
      <c r="H66" s="37" t="s">
        <v>95</v>
      </c>
      <c r="I66" s="37" t="s">
        <v>96</v>
      </c>
      <c r="J66" s="37" t="s">
        <v>101</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106</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107</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F5C8-4326-4B87-AF98-B62783E0FF5C}">
  <dimension ref="A1:BY250"/>
  <sheetViews>
    <sheetView showGridLines="0" topLeftCell="C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2" t="str" cm="1">
        <f t="array" ref="D98:D101">Common_SourceData.Common_SourceData_ClimateZones_Appendices()</f>
        <v>Note:</v>
      </c>
    </row>
    <row r="99" spans="4:20" ht="20.100000000000001" customHeight="1" x14ac:dyDescent="0.25">
      <c r="D99" s="52" t="str">
        <v>MAT = mean annual temperature</v>
      </c>
    </row>
    <row r="100" spans="4:20" ht="20.100000000000001" customHeight="1" x14ac:dyDescent="0.25">
      <c r="D100" s="52" t="str">
        <v>MAP = mean annual precipitation</v>
      </c>
    </row>
    <row r="101" spans="4:20" ht="20.100000000000001" customHeight="1" x14ac:dyDescent="0.25">
      <c r="D101" s="52" t="str">
        <v>PET = potential evapotranspiration</v>
      </c>
    </row>
    <row r="102" spans="4:20" ht="20.100000000000001" customHeight="1" x14ac:dyDescent="0.25">
      <c r="D102" s="52"/>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134</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117</v>
      </c>
      <c r="E186" s="37" t="s">
        <v>118</v>
      </c>
      <c r="F186" s="37" t="s">
        <v>119</v>
      </c>
      <c r="G186" s="37" t="s">
        <v>120</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135</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136</v>
      </c>
      <c r="E212" s="37" t="s">
        <v>137</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147</v>
      </c>
      <c r="F231" s="36" t="s">
        <v>148</v>
      </c>
      <c r="G231" s="37" t="s">
        <v>149</v>
      </c>
      <c r="H231" s="37" t="s">
        <v>150</v>
      </c>
      <c r="I231" s="37" t="s">
        <v>151</v>
      </c>
      <c r="J231" s="37" t="s">
        <v>152</v>
      </c>
      <c r="K231" s="37" t="s">
        <v>153</v>
      </c>
      <c r="L231" s="37" t="s">
        <v>154</v>
      </c>
      <c r="M231" s="37" t="s">
        <v>155</v>
      </c>
      <c r="N231" s="37" t="s">
        <v>156</v>
      </c>
      <c r="O231" s="37" t="s">
        <v>157</v>
      </c>
      <c r="P231" s="37" t="s">
        <v>158</v>
      </c>
      <c r="Q231" s="37" t="s">
        <v>144</v>
      </c>
      <c r="R231" s="37" t="s">
        <v>159</v>
      </c>
      <c r="S231" s="37" t="s">
        <v>160</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AnAGMAaABhAHIAYQBjAHQAZQByAGkAcwB0AGkAYwAnACAAYwBvAGwAdQBtAG4AIAAtACAAbwByAGkAZwBpAG4AYQBsACAAaABhAHMAIABoAGUAYQBkAGUAcgAgACcAVQBuAGkAdAAn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An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RQBuAHQAZQByAGkAYwBNAGUAdABoAGEAbgBlAF8ARgBlAGUAZABsAG8AdABfAEUAcQB1AGEAdABpAG8AbgBzACIALAAiAHQAZQB4AHQAIgA6ACIALwAqAFwAbgA9AD0APQA9AD0APQA9AD0APQA9AD0APQA9AD0APQA9AD0APQA9AD0APQA9AD0APQA9AD0APQA9AD0APQA9AD0APQA9AD0APQA9AD0APQA9AD0APQA9AD0APQA9AD0APQA9AD0APQA9AD0APQA9AD0APQA9AD0APQA9AD0APQA9AD0APQA9AD0APQA9AD0APQA9AD0APQA9AFwAbgAzAC4AMQA6ACAARQBuAHQAZQByAGkAYwAgAE0AZQB0AGgAYQBuAGUAIAAtACAARgBlAGUAZABsAG8AdAAgAEIAZQBlAGYAXABuAD0APQA9AD0APQA9AD0APQA9AD0APQA9AD0APQA9AD0APQA9AD0APQA9AD0APQA9AD0APQA9AD0APQA9AD0APQA9AD0APQA9AD0APQA9AD0APQA9AD0APQA9AD0APQA9AD0APQA9AD0APQA9AD0APQA9AD0APQA9AD0APQA9AD0APQA9AD0APQA9AD0APQA9AD0APQA9AD0AXABuADMALgAxAC4AMQAuADEAIABNAGUAdABoAG8AZAAgADEAIAAtACAARQBuAHQAZQByAGkAY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E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mAGUAZQBkAGwAbwB0ACAAYgBlAGUAZgAgAGMAYQB0AHQAbABlAFwAbgBFAF8AZQBuAHQAZQByAGkAYwBcAG4AdAAgAEMASAA0AFwAbgBFAF8AewBlAG4AdABlAHIAaQBjAH0APQBcAFwAcwB1AG0AXABcAG4AbwBsAGkAbQBpAHQAcwBfAGoAKABEAF8AagBcAFwAdABpAG0AZQBzACAATQBfAGoAXABcAHQAaQBtAGUAcwAgAE4AXwBqACkAXABcAHQAaQBtAGUAcwAgADEAMABeAHsALQAzAH0AXABuAEQAXwBqACAAPQAgAGQAdQByAGEAdABpAG8AbgAgAG8AZgAgAHMAdABhAHkAIABvAGYAIABlAGEAYwBoACAAYwBhAHQAdABsAGUAIABsAG8AdAAgACgAZABhAHkAcwApAFwAbgBNAF8AagAgAD0AIABkAGEAaQBsAHkAIABtAGUAdABoAGEAbgBlACAAcAByAG8AZAB1AGMAdABpAG8AbgAgACgAawBnACAAQwBIADQALwBoAGUAYQBkAC8AZABhAHkAKQBcAG4ATgBfAGoAIAA9ACAAbgB1AG0AYgBlAHIAcwAgAG8AZgAgAGYAZQBlAGQAbABvAHQAIABjAGEAdAB0AGwAZQAgAGkAbgAgAGUAYQBjAGgAIABjAGEAdAB0AGwAZQAgAGwAbwB0ACAAKABoAGUAYQBkACkAXABuAC0ALQAtAC0ALQAtAC0ALQAtAC0ALQAtAC0ALQAtAC0ALQAtAC0ALQAtAC0ALQAtAC0ALQAtAC0ALQAtAC0ALQAtAC0ALQAtAC0ALQBcAG4AKgAvAFwAbgBcAG4AVgBFAEUAUgBHAF8AMwBfADEAXwAxAF8AMQBfAF8AMQBfAFQAbwB0AGEAbABBAG4AbgB1AGEAbABNAGUAdABoAGEAbgBlAEYAcgBvAG0ARQBuAHQAZQByAGkAYwBGAGUAcgBtAGUAbgB0AGEAdABpAG8AbgBcAG4AIAAgAD0ATABBAE0AQgBEAEEAKABcAG4AIAAgACAAIABEAF8AagAsACAATQBfAGoALAAgAE4AXwBqACwAXABuACAAIAAgACAAKABEAF8AagAgACoAIABNAF8AagAgACoAIABOAF8AagApACAAKgAgADEAMAAgAF4AIAAtADMAXABuACAAIAApADsAXABuAFwAbgBWAEUARQBSAEcAXwAzAF8AM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YAZQBlAGQAbABvAHQAIABiAGUAZQBmACAAYwBhAHQAdABsAGUAXAAiACkAOwBcAG4AXABuAFYARQBFAFIARwBfADMAXwAxAF8AMQBfADEAXwBfADEAXwBUAG8AdABhAGwAQQBuAG4AdQBhAGwATQBlAHQAaABhAG4AZQBGAHIAbwBtAEUAbgB0AGUAcgBpAGMARgBlAHIAbQBlAG4AdABhAHQAaQBvAG4AXwBWAGEAcgBpAGEAYgBsAGUAXABuACAAIAA9AEwAQQBNAEIARABBACgAXAAiAEUAXwBlAG4AdABlAHIAaQBjAFwAIgApADsAXABuAFwAbgBWAEUARQBSAEcAXwAzAF8AMQBfADEAXwAxAF8AXwAxAF8AVABvAHQAYQBsAEEAbgBuAHUAYQBsAE0AZQB0AGgAYQBuAGUARgByAG8AbQBFAG4AdABlAHIAaQBjAEYAZQByAG0AZQBuAHQAYQB0AGkAbwBuAF8AVQBuAGkAdABcAG4AIAAgAD0ATABBAE0AQgBEAEEAKABcACIAdAAgAEMASAA0AFwAIgApADsAXABuAFwAbgBWAEUARQBSAEcAXwAzAF8AMQBfADEAXwAxAF8AXwAxAF8AVABvAHQAYQBsAEEAbgBuAHUAYQBsAE0AZQB0AGgAYQBuAGUARgByAG8AbQBFAG4AdABlAHIAaQBjAEYAZQByAG0AZQBuAHQAYQB0AGkAbwBuAF8AUwBvAHUAcgBjAGUAXABuACAAIAA9AEwAQQBNAEIARABBACgAXAAiAFYARQBFAFIARwAgADIAMAAyADYAOgAgADMALgAxAC4AMQAuADEALAAgAEUAcQB1AGEAdABpAG8AbgAgACgAMQApAFwAIgApADsAXABuAFwAbgBWAEUARQBSAEcAXwAzAF8AMQBfADEAXwAxAF8AXwAxAF8AVABvAHQAYQBsAEEAbgBuAHUAYQBsAE0AZQB0AGgAYQBuAGUARgByAG8AbQBFAG4AdABlAHIAaQBjAEYAZQByAG0AZQBuAHQAYQB0AGkAbwBuAF8ATgBJAFIAUgBlAGYAZQByAGUAbgBjAGUAXABuACAAIAA9AEwAQQBNAEIARABBACgAXAAiAFwAIgApADsAXABuAFwAbgBWAEUARQBSAEcAXwAzAF8AM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RABfAGoAXABcAHQAaQBtAGUAcwAgAE0AXwBqAFwAXAB0AGkAbQBlAHMAIABOAF8AagApAFwAXAB0AGkAbQBlAHMAIAAxADAAXgB7AC0AMwB9AFwAIgApADsAXABuAFwAbgBWAEUARQBSAEcAXwAzAF8AM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QAdQByAGEAdABpAG8AbgAgAG8AZgAgAHMAdABhAHkAIABvAGYAIABlAGEAYwBoACAAYwBhAHQAdABsAGUAIABsAG8AdABcACIALAAgAFwAIgBkAGEAeQBzAFwAIgAsACAAXAAiAEkAbgBwAHUAdABcACIAOwBcAG4AIAAgACAAIAAgACAAIAAgACAAIABcACIATQBfAGoAXAAiACwAIABcACIAZABhAGkAbAB5ACAAbQBlAHQAaABhAG4AZQAgAHAAcgBvAGQAdQBjAHQAaQBvAG4AXAAiACwAIABcACIAawBnACAAQwBIADQALwBoAGUAYQBkAC8AZABhAHkAXAAiACwAIABcACIAQwBhAGwAYwB1AGwAYQB0AGUAZAAgAGYAcgBvAG0AIAAzAC4AMQAuADEALgAxACwAIAAoADIAKQBcACIAOwBcAG4AIAAgACAAIAAgACAAIAAgACAAIABcACIATgBfAGoAXAAiACwAIABcACIAbgB1AG0AYgBlAHIAcwAgAG8AZgAgAGYAZQBlAGQAbABvAHQAIABjAGEAdAB0AGwAZQAgAGkAbgAgAGUAYQBjAGgAIABjAGEAdAB0AGwAZQAgAGwAbwB0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xAF8AMQBfADEAXwBfADIAXwBEAGEAaQBsAHkARQBuAHQAZQByAGkAYwBNAGUAdABoAGEAbgBlAFAAcgBvAGQAdQBjAHQAaQBvAG4AXABuAEQAYQBpAGwAeQAgAHAAcgBvAGQAdQBjAHQAaQBvAG4AIABvAGYAIABlAG4AdABlAHIAaQBjACAAbQBlAHQAaABhAG4AZQBcAG4ATQBfAGoAXABuAGsAZwAgAEMASAA0AC8AaABlAGEAZAAvAGQAYQB5AFwAbgBNAF8AagA9ACgANQAuADEAMQBcAFwAdABpAG0AZQBzACAASQBfAGoALQA0AC4AMAAwAFwAXAB0AGkAbQBlAHMAIABFAEUAXwBqACsAMgAuADIANgBcAFwAdABpAG0AZQBzACAATgBEAEYAXwBqACkAXABcAHQAaQBtAGUAcwAgADEAMABeAHsALQAzAH0AXABuAEkAXwBqACAAPQAgAGQAcgB5ACAAbQBhAHQAdABlAHIAIABpAG4AdABhAGsAZQAgACgAawBnACAARABNAC8AaABlAGEAZAAvAGQAYQB5ACkAXABuAEUARQBfAGoAIAA9ACAAZQB0AGgAZQByACAAZQB4AHQAcgBhAGMAdAAgAGEAcwAgAGEAIABwAGUAcgBjAGUAbgB0AGEAZwBlACAAbwBmACAASQBfAGoAIAAoAHAAZQByACAAYwBlAG4AdAApAFwAbgBOAEQARgBfAGoAIAA9ACAAbgBlAHUAdAByAGEAbAAgAGQAZQB0AGUAcgBnAGUAbgB0ACAAZgBpAGIAcgBlACAAYQBzACAAYQAgAHAAZQByAGMAZQBuAHQAYQBnAGUAIABvAGYAIABJAF8AagAgACgAcABlAHIAIABjAGUAbgB0ACkAXABuAC0ALQAtAC0ALQAtAC0ALQAtAC0ALQAtAC0ALQAtAC0ALQAtAC0ALQAtAC0ALQAtAC0ALQAtAC0ALQAtAC0ALQAtAC0ALQAtAC0ALQBcAG4AKgAvAFwAbgBcAG4AVgBFAEUAUgBHAF8AMwBfADEAXwAxAF8AMQBfAF8AMgBfAEQAYQBpAGwAeQBFAG4AdABlAHIAaQBjAE0AZQB0AGgAYQBuAGUAUAByAG8AZAB1AGMAdABpAG8AbgBcAG4AIAAgAD0ATABBAE0AQgBEAEEAKABcAG4AIAAgACAAIABJAF8AagAsACAARQBFAF8AagAsACAATgBEAEYAXwBqACwAXABuACAAIAAgACAAKAA1AC4AMQAxACAAKgAgAEkAXwBqACAALQAgADQALgAwADAAIAAqACAARQBFAF8AagAgACsAIAAyAC4AMgA2ACAAKgAgAE4ARABGAF8AagApACAAKgAgADEAMAAgAF4AIAAtADMAXABuACAAIAApADsAXABuAFwAbgBWAEUARQBSAEcAXwAzAF8AMQ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xAF8AMQBfADEAXwBfADIAXwBEAGEAaQBsAHkARQBuAHQAZQByAGkAYwBNAGUAdABoAGEAbgBlAFAAcgBvAGQAdQBjAHQAaQBvAG4AXwBWAGEAcgBpAGEAYgBsAGUAXABuACAAIAA9AEwAQQBNAEIARABBACgAXAAiAE0AXwBqAFwAIgApADsAXABuAFwAbgBWAEUARQBSAEcAXwAzAF8AMQBfADEAXwAxAF8AXwAyAF8ARABhAGkAbAB5AEUAbgB0AGUAcgBpAGMATQBlAHQAaABhAG4AZQBQAHIAbwBkAHUAYwB0AGkAbwBuAF8AVQBuAGkAdABcAG4AIAAgAD0ATABBAE0AQgBEAEEAKABcACIAawBnACAAQwBIADQALwBoAGUAYQBkAC8AZABhAHkAXAAiACkAOwBcAG4AXABuAFYARQBFAFIARwBfADMAXwAxAF8AMQBfADEAXwBfADIAXwBEAGEAaQBsAHkARQBuAHQAZQByAGkAYwBNAGUAdABoAGEAbgBlAFAAcgBvAGQAdQBjAHQAaQBvAG4AXwBTAG8AdQByAGMAZQBcAG4AIAAgAD0ATABBAE0AQgBEAEEAKABcACIAVgBFAEUAUgBHACAAMgAwADIANgA6ACAAMwAuADEALgAxAC4AMQAsACAARQBxAHUAYQB0AGkAbwBuACAAKAAyACkAXAAiACkAOwBcAG4AXABuAFYARQBFAFIARwBfADMAXwAxAF8AMQBfADEAXwBfADIAXwBEAGEAaQBsAHkARQBuAHQAZQByAGkAYwBNAGUAdABoAGEAbgBlAFAAcgBvAGQAdQBjAHQAaQBvAG4AXwBOAEkAUgBSAGUAZgBlAHIAZQBuAGMAZQBcAG4AIAAgAD0ATABBAE0AQgBEAEEAKABcACIAQQBsAG0AZQBpAGQAYQAgAGUAdAAgAGEAbAAuACAAKAAyADAAMgA1ACkAXAAiACkAOwBcAG4AXABuAFYARQBFAFIARwBfADMAXwAxAF8AMQBfADEAXwBfADIAXwBEAGEAaQBsAHkARQBuAHQAZQByAGkAYwBNAGUAdABoAGEAbgBlAFAAcgBvAGQAdQBjAHQAaQBvAG4AXwBMAGEAdABlAHgARQBxAHUAYQB0AGkAbwBuAFwAbgAgACAAPQBMAEEATQBCAEQAQQAoAFwAIgBNAF8AagA9ACgANQAuADEAMQBcAFwAdABpAG0AZQBzACAASQBfAGoALQA0AC4AMAAwAFwAXAB0AGkAbQBlAHMAIABFAEUAXwBqACsAMgAuADIANgBcAFwAdABpAG0AZQBzACAATgBEAEYAXwBqACkAXABcAHQAaQBtAGUAcwAgADEAMABeAHsALQAzAH0AXAAiACkAOwBcAG4AXABuAFYARQBFAFIARwBfADMAXwAxAF8AMQBfADEAXwBfADIAXwBEAGEAaQBsAHkARQBuAHQAZQByAGkAYwBNAGUAdABoAGEAbgBl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kAbgB0AGEAawBlAFwAIgAsACAAXAAiAGsAZwAgAEQATQAvAGgAZQBhAGQALwBkAGEAeQBcACIALAAgAFwAIgBJAG4AcAB1AHQAXAAiADsAXABuACAAIAAgACAAIAAgACAAIAAgACAAXAAiAEUARQBfAGoAXAAiACwAIABcACIAZQB0AGgAZQByACAAZQB4AHQAcgBhAGMAdAAgAGEAcwAgAGEAIABwAGUAcgBjAGUAbgB0AGEAZwBlACAAbwBmACAASQBfAGoAXAAiACwAIABcACIAcABlAHIAIABjAGUAbgB0AFwAIgAsACAAXAAiAEkAbgBwAHUAdABcACIAOwBcAG4AIAAgACAAIAAgACAAIAAgACAAIABcACIATgBEAEYAXwBqAFwAIgAsACAAXAAiAG4AZQB1AHQAcgBhAGwAIABkAGUAdABlAHIAZwBlAG4AdAAgAGYAaQBiAHIAZQAgAGEAcwAgAGEAIABwAGUAcgBjAGUAbgB0AGEAZwBlACAAbwBmACAASQBfAGoAXAAiACwAIABcACIAcABlAHIAIABjAGUAbgB0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UwBvAHUAcgBjAGUARABhAHQAYQBfAEYAZQBlAGQAbABvAHQALgBTAG8AdQByAGMAZQBEAGEAdABhAF8ARgBlAGUAZABsAG8AdABfAEQAdQByAGEAdABpAG8AbgBPAGYAUwB0AGEAeQBfAFQAaQB0AGwAZQAiACwAIgBTAG8AdQByAGMAZQBEAGEAdABhAF8ARgBlAGUAZABsAG8AdAAuAFMAbwB1AHIAYwBlAEQAYQB0AGEAXwBGAGUAZQBkAGwAbwB0AF8ARAB1AHIAYQB0AGkAbwBuAE8AZgBTAHQAYQB5AF8AVQBuAGkAdAAiACwAIgBTAG8AdQByAGMAZQBEAGEAdABhAF8ARgBlAGUAZABsAG8AdAAuAFMAbwB1AHIAYwBlAEQAYQB0AGEAXwBGAGUAZQBkAGwAbwB0AF8ARAB1AHIAYQB0AGkAbwBuAE8AZgBTAHQAYQB5AF8AUwBvAHUAcgBjAGUAIgAsACIAUwBvAHUAcgBjAGUARABhAHQAYQBfAEYAZQBlAGQAbABvAHQALgBTAG8AdQByAGMAZQBEAGEAdABhAF8ARgBlAGUAZABsAG8AdABfAEQAdQByAGEAdABpAG8AbgBPAGYAUwB0AGEAeQBfAFYAYQByAGkAYQB0AGkAbwBuACIALAAiAFMAbwB1AHIAYwBlAEQAYQB0AGEAXwBGAGUAZQBkAGwAbwB0AC4AUwBvAHUAcgBjAGUARABhAHQAYQBfAEYAZQBlAGQAbABvAHQAXwBEAHUAcgBhAHQAaQBvAG4ATwBmAFMAdABhAHkAXwBEAGEAdABhACIALAAiAFMAbwB1AHIAYwBlAEQAYQB0AGEAXwBGAGUAZQBkAGwAbwB0AC4AUwBvAHUAcgBjAGUARABhAHQAYQBfAEYAZQBlAGQAbABvAHQAXwBBAG4AaQBtAGEAbABDAGgAYQByAGEAYwB0AGUAcgBpAHMAdABpAGMAcwBfAFQAaQB0AGwAZQAiACwAIgBTAG8AdQByAGMAZQBEAGEAdABhAF8ARgBlAGUAZABsAG8AdAAuAFMAbwB1AHIAYwBlAEQAYQB0AGEAXwBGAGUAZQBkAGwAbwB0AF8AQQBuAGkAbQBhAGwAQwBoAGEAcgBhAGMAdABlAHIAaQBzAHQAaQBjAHMAXwBVAG4AaQB0ACIALAAiAFMAbwB1AHIAYwBlAEQAYQB0AGEAXwBGAGUAZQBkAGwAbwB0AC4AUwBvAHUAcgBjAGUARABhAHQAYQBfAEYAZQBlAGQAbABvAHQAXwBBAG4AaQBtAGEAbABDAGgAYQByAGEAYwB0AGUAcgBpAHMAdABpAGMAcwBfAFMAbwB1AHIAYwBlACIALAAiAFMAbwB1AHIAYwBlAEQAYQB0AGEAXwBGAGUAZQBkAGwAbwB0AC4AUwBvAHUAcgBjAGUARABhAHQAYQBfAEYAZQBlAGQAbABvAHQAXwBBAG4AaQBtAGEAbABDAGgAYQByAGEAYwB0AGUAcgBpAHMAdABpAGMAcwBfAFYAYQByAGkAYQB0AGkAbwBuACIALAAiAFMAbwB1AHIAYwBlAEQAYQB0AGEAXwBGAGUAZQBkAGwAbwB0AC4AUwBvAHUAcgBjAGUARABhAHQAYQBfAEYAZQBlAGQAbABvAHQAXwBBAG4AaQBtAGEAbABDAGgAYQByAGEAYwB0AGUAcgBpAHMAdABpAGMAcwBfAEQAYQB0AGEAIgAsACIAUwBvAHUAcgBjAGUARABhAHQAYQBfAEYAZQBlAGQAbABvAHQALgBTAG8AdQByAGMAZQBEAGEAdABhAF8ARgBlAGUAZABsAG8AdABfAEQAaQBlAHQAUAByAG8AcABlAHIAdABpAGUAcwBfAFQAaQB0AGwAZQAiACwAIgBTAG8AdQByAGMAZQBEAGEAdABhAF8ARgBlAGUAZABsAG8AdAAuAFMAbwB1AHIAYwBlAEQAYQB0AGEAXwBGAGUAZQBkAGwAbwB0AF8ARABpAGUAdABQAHIAbwBwAGUAcgB0AGkAZQBzAF8AVQBuAGkAdAAiACwAIgBTAG8AdQByAGMAZQBEAGEAdABhAF8ARgBlAGUAZABsAG8AdAAuAFMAbwB1AHIAYwBlAEQAYQB0AGEAXwBGAGUAZQBkAGwAbwB0AF8ARABpAGUAdABQAHIAbwBwAGUAcgB0AGkAZQBzAF8AUwBvAHUAcgBjAGUAIgAsACIAUwBvAHUAcgBjAGUARABhAHQAYQBfAEYAZQBlAGQAbABvAHQALgBTAG8AdQByAGMAZQBEAGEAdABhAF8ARgBlAGUAZABsAG8AdABfAEQAaQBlAHQAUAByAG8AcABlAHIAdABpAGUAcwBfAFYAYQByAGkAYQB0AGkAbwBuACIALAAiAFMAbwB1AHIAYwBlAEQAYQB0AGEAXwBGAGUAZQBkAGwAbwB0AC4AUwBvAHUAcgBjAGUARABhAHQAYQBfAEYAZQBlAGQAbABvAHQAXwBEAGkAZQB0AFAAcgBvAHAAZQByAHQAaQBlAHM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E4AaQB0AHIAbwB1AHMATwB4AGkAZABlAEUARgBzAF8AVABpAHQAbABlACIALAAiAFMAbwB1AHIAYwBlAEQAYQB0AGEAXwBGAGUAZQBkAGwAbwB0AC4AUwBvAHUAcgBjAGUARABhAHQAYQBfAEYAZQBlAGQAbABvAHQAXwBOAGkAdAByAG8AdQBzAE8AeABpAGQAZQBFAEYAcwBfAFUAbgBpAHQAIgAsACIAUwBvAHUAcgBjAGUARABhAHQAYQBfAEYAZQBlAGQAbABvAHQALgBTAG8AdQByAGMAZQBEAGEAdABhAF8ARgBlAGUAZABsAG8AdABfAE4AaQB0AHIAbwB1AHMATwB4AGkAZABlAEUARgBzAF8AUwBvAHUAcgBjAGUAIgAsACIAUwBvAHUAcgBjAGUARABhAHQAYQBfAEYAZQBlAGQAbABvAHQALgBTAG8AdQByAGMAZQBEAGEAdABhAF8ARgBlAGUAZABsAG8AdABfAE4AaQB0AHIAbwB1AHMATwB4AGkAZABlAEUARgBzAF8AVgBhAHIAaQBhAHQAaQBvAG4AIgAsACIAUwBvAHUAcgBjAGUARABhAHQAYQBfAEYAZQBlAGQAbABvAHQALgBTAG8AdQByAGMAZQBEAGEAdABhAF8ARgBlAGUAZABsAG8AdABfAE4AaQB0AHIAbwB1AHMATwB4AGkAZABlAEUARgBzAF8ARABhAHQAYQAiACwAIgBTAG8AdQByAGMAZQBEAGEAdABhAF8ARgBlAGUAZABsAG8AdAAuAFMAbwB1AHIAYwBlAEQAYQB0AGEAXwBGAGUAZQBkAGwAbwB0AF8ARgByAGEAYwBOAFYAbwBsAGEAdABpAGwAaQBzAGUAZABfAFQAaQB0AGwAZQAiACwAIgBTAG8AdQByAGMAZQBEAGEAdABhAF8ARgBlAGUAZABsAG8AdAAuAFMAbwB1AHIAYwBlAEQAYQB0AGEAXwBGAGUAZQBkAGwAbwB0AF8ARgByAGEAYwBOAFYAbwBsAGEAdABpAGwAaQBzAGUAZABfAFUAbgBpAHQAIgAsACIAUwBvAHUAcgBjAGUARABhAHQAYQBfAEYAZQBlAGQAbABvAHQALgBTAG8AdQByAGMAZQBEAGEAdABhAF8ARgBlAGUAZABsAG8AdABfAEYAcgBhAGMATgBWAG8AbABhAHQAaQBsAGkAcwBlAGQAXwBTAG8AdQByAGMAZQAiACwAIgBTAG8AdQByAGMAZQBEAGEAdABhAF8ARgBlAGUAZABsAG8AdAAuAFMAbwB1AHIAYwBlAEQAYQB0AGEAXwBGAGUAZQBkAGwAbwB0AF8ARgByAGEAYwBOAFYAbwBsAGEAdABpAGwAaQBzAGUAZABfAFYAYQByAGkAYQB0AGkAbwBuACIALAAiAFMAbwB1AHIAYwBlAEQAYQB0AGEAXwBGAGUAZQBkAGwAbwB0AC4AUwBvAHUAcgBjAGUARABhAHQAYQBfAEYAZQBlAGQAbABvAHQAXwBGAHIAYQBjAE4AVgBvAGwAYQB0AGkAbABpAHMAZQBkAF8ARABhAHQAYQAiACwAIgBFAG4AdABlAHIAaQBjAE0AZQB0AGgAYQBuAGUAXwBGAGUAZQBkAGwAbwB0AF8ARQBxAHUAYQB0AGkAbwBuAHMALgBWAEUARQBSAEcAXwAzAF8AMQBfADEAXwAxAF8AXwAxAF8AVABvAHQAYQBsAEEAbgBuAHUAYQBsAE0AZQB0AGgAYQBuAGUARgByAG8AbQBFAG4AdABlAHIAaQBjAEYAZQByAG0AZQBuAHQAYQB0AGkAbwBuACIALAAiAEUAbgB0AGUAcgBpAGMATQBlAHQAaABhAG4AZQBfAEYAZQBlAGQAbABvAHQAXwBFAHEAdQBhAHQAaQBvAG4AcwAuAFYARQBFAFIARwBfADMAXwAxAF8AMQBfADEAXwBfADEAXwBUAG8AdABhAGwAQQBuAG4AdQBhAGwATQBlAHQAaABhAG4AZQBGAHIAbwBtAEUAbgB0AGUAcgBpAGMARgBlAHIAbQBlAG4AdABhAHQAaQBvAG4AXwBUAGkAdABsAGUAIgAsACIARQBuAHQAZQByAGkAYwBNAGUAdABoAGEAbgBlAF8ARgBlAGUAZABsAG8AdABfAEUAcQB1AGEAdABpAG8AbgBzAC4AVgBFAEUAUgBHAF8AMwBfADEAXwAxAF8AMQBfAF8AMQBfAFQAbwB0AGEAbABBAG4AbgB1AGEAbABNAGUAdABoAGEAbgBlAEYAcgBvAG0ARQBuAHQAZQByAGkAYwBGAGUAcgBtAGUAbgB0AGEAdABpAG8AbgBfAFYAYQByAGkAYQBiAGwAZQAiACwAIgBFAG4AdABlAHIAaQBjAE0AZQB0AGgAYQBuAGUAXwBGAGUAZQBkAGwAbwB0AF8ARQBxAHUAYQB0AGkAbwBuAHMALgBWAEUARQBSAEcAXwAzAF8AMQBfADEAXwAxAF8AXwAxAF8AVABvAHQAYQBsAEEAbgBuAHUAYQBsAE0AZQB0AGgAYQBuAGUARgByAG8AbQBFAG4AdABlAHIAaQBjAEYAZQByAG0AZQBuAHQAYQB0AGkAbwBuAF8AVQBuAGkAdAAiACwAIgBFAG4AdABlAHIAaQBjAE0AZQB0AGgAYQBuAGUAXwBGAGUAZQBkAGwAbwB0AF8ARQBxAHUAYQB0AGkAbwBuAHMALgBWAEUARQBSAEcAXwAzAF8AMQBfADEAXwAxAF8AXwAxAF8AVABvAHQAYQBsAEEAbgBuAHUAYQBsAE0AZQB0AGgAYQBuAGUARgByAG8AbQBFAG4AdABlAHIAaQBjAEYAZQByAG0AZQBuAHQAYQB0AGkAbwBuAF8AUwBvAHUAcgBjAGUAIgAsACIARQBuAHQAZQByAGkAYwBNAGUAdABoAGEAbgBlAF8ARgBlAGUAZABsAG8AdABfAEUAcQB1AGEAdABpAG8AbgBzAC4AVgBFAEUAUgBHAF8AMwBfADEAXwAxAF8AMQBfAF8AMQBfAFQAbwB0AGEAbABBAG4AbgB1AGEAbABNAGUAdABoAGEAbgBlAEYAcgBvAG0ARQBuAHQAZQByAGkAYwBGAGUAcgBtAGUAbgB0AGEAdABpAG8AbgBfAE4ASQBSAFIAZQBmAGUAcgBlAG4AYwBlACIALAAiAEUAbgB0AGUAcgBpAGMATQBlAHQAaABhAG4AZQBfAEYAZQBlAGQAbABvAHQAXwBFAHEAdQBhAHQAaQBvAG4AcwAuAFYARQBFAFIARwBfADMAXwAxAF8AMQBfADEAXwBfADEAXwBUAG8AdABhAGwAQQBuAG4AdQBhAGwATQBlAHQAaABhAG4AZQBGAHIAbwBtAEUAbgB0AGUAcgBpAGMARgBlAHIAbQBlAG4AdABhAHQAaQBvAG4AXwBMAGEAdABlAHgARQBxAHUAYQB0AGkAbwBuACIALAAiAEUAbgB0AGUAcgBpAGMATQBlAHQAaABhAG4AZQBfAEYAZQBlAGQAbABvAHQAXwBFAHEAdQBhAHQAaQBvAG4AcwAuAFYARQBFAFIARwBfADMAXwAxAF8AMQBfADEAXwBfADEAXwBUAG8AdABhAGwAQQBuAG4AdQBhAGwATQBlAHQAaABhAG4AZQBGAHIAbwBtAEUAbgB0AGUAcgBpAGMARgBlAHIAbQBlAG4AdABhAHQAaQBvAG4AXwBBAHIAZwB1AG0AZQBuAHQAcwAiACwAIgBFAG4AdABlAHIAaQBjAE0AZQB0AGgAYQBuAGUAXwBGAGUAZQBkAGwAbwB0AF8ARQBxAHUAYQB0AGkAbwBuAHMALgBWAEUARQBSAEcAXwAzAF8AMQBfADEAXwAxAF8AXwAyAF8ARABhAGkAbAB5AEUAbgB0AGUAcgBpAGMATQBlAHQAaABhAG4AZQBQAHIAbwBkAHUAYwB0AGkAbwBuACIALAAiAEUAbgB0AGUAcgBpAGMATQBlAHQAaABhAG4AZQBfAEYAZQBlAGQAbABvAHQAXwBFAHEAdQBhAHQAaQBvAG4AcwAuAFYARQBFAFIARwBfADMAXwAxAF8AMQBfADEAXwBfADIAXwBEAGEAaQBsAHkARQBuAHQAZQByAGkAYwBNAGUAdABoAGEAbgBlAFAAcgBvAGQAdQBjAHQAaQBvAG4AXwBUAGkAdABsAGUAIgAsACIARQBuAHQAZQByAGkAYwBNAGUAdABoAGEAbgBlAF8ARgBlAGUAZABsAG8AdABfAEUAcQB1AGEAdABpAG8AbgBzAC4AVgBFAEUAUgBHAF8AMwBfADEAXwAxAF8AMQBfAF8AMgBfAEQAYQBpAGwAeQBFAG4AdABlAHIAaQBjAE0AZQB0AGgAYQBuAGUAUAByAG8AZAB1AGMAdABpAG8AbgBfAFYAYQByAGkAYQBiAGwAZQAiACwAIgBFAG4AdABlAHIAaQBjAE0AZQB0AGgAYQBuAGUAXwBGAGUAZQBkAGwAbwB0AF8ARQBxAHUAYQB0AGkAbwBuAHMALgBWAEUARQBSAEcAXwAzAF8AMQBfADEAXwAxAF8AXwAyAF8ARABhAGkAbAB5AEUAbgB0AGUAcgBpAGMATQBlAHQAaABhAG4AZQBQAHIAbwBkAHUAYwB0AGkAbwBuAF8AVQBuAGkAdAAiACwAIgBFAG4AdABlAHIAaQBjAE0AZQB0AGgAYQBuAGUAXwBGAGUAZQBkAGwAbwB0AF8ARQBxAHUAYQB0AGkAbwBuAHMALgBWAEUARQBSAEcAXwAzAF8AMQBfADEAXwAxAF8AXwAyAF8ARABhAGkAbAB5AEUAbgB0AGUAcgBpAGMATQBlAHQAaABhAG4AZQBQAHIAbwBkAHUAYwB0AGkAbwBuAF8AUwBvAHUAcgBjAGUAIgAsACIARQBuAHQAZQByAGkAYwBNAGUAdABoAGEAbgBlAF8ARgBlAGUAZABsAG8AdABfAEUAcQB1AGEAdABpAG8AbgBzAC4AVgBFAEUAUgBHAF8AMwBfADEAXwAxAF8AMQBfAF8AMgBfAEQAYQBpAGwAeQBFAG4AdABlAHIAaQBjAE0AZQB0AGgAYQBuAGUAUAByAG8AZAB1AGMAdABpAG8AbgBfAE4ASQBSAFIAZQBmAGUAcgBlAG4AYwBlACIALAAiAEUAbgB0AGUAcgBpAGMATQBlAHQAaABhAG4AZQBfAEYAZQBlAGQAbABvAHQAXwBFAHEAdQBhAHQAaQBvAG4AcwAuAFYARQBFAFIARwBfADMAXwAxAF8AMQBfADEAXwBfADIAXwBEAGEAaQBsAHkARQBuAHQAZQByAGkAYwBNAGUAdABoAGEAbgBlAFAAcgBvAGQAdQBjAHQAaQBvAG4AXwBMAGEAdABlAHgARQBxAHUAYQB0AGkAbwBuACIALAAiAEUAbgB0AGUAcgBpAGMATQBlAHQAaABhAG4AZQBfAEYAZQBlAGQAbABvAHQAXwBFAHEAdQBhAHQAaQBvAG4AcwAuAFYARQBFAFIARwBfADMAXwAxAF8AMQBfADEAXwBfADIAXwBEAGEAaQBsAHkARQBuAHQAZQByAGkAYwBNAGUAdABoAGEAbgBlAFAAcgBvAGQAdQBjAHQAaQBvAG4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2026-05-20T08:09:04Z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