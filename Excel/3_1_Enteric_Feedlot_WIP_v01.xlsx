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8F0E842-9352-4512-AF50-2D726BF5DE5F}" xr6:coauthVersionLast="47" xr6:coauthVersionMax="47" xr10:uidLastSave="{00000000-0000-0000-0000-000000000000}"/>
  <bookViews>
    <workbookView xWindow="1560" yWindow="1560" windowWidth="21600" windowHeight="12645" activeTab="3"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Feedlot_AverageHead_Domestic">'Input - Feedlot'!$E$8</definedName>
    <definedName name="Input_Feedlot_AverageHead_LongFed">'Input - Feedlot'!$G$8</definedName>
    <definedName name="Input_Feedlot_AverageHead_MidFed">'Input - Feedlot'!$F$8</definedName>
    <definedName name="Input_Feedlot_DurationOfStay_Domestic">'Input - Feedlot'!$E$9</definedName>
    <definedName name="Input_Feedlot_DurationOfStay_LongFed">'Input - Feedlot'!$G$9</definedName>
    <definedName name="Input_Feedlot_DurationOfStay_MidFed">'Input - Feedlot'!$F$9</definedName>
    <definedName name="Input_Feedlot_EtherExtract_Domestic">'Input - Feedlot'!$E$20</definedName>
    <definedName name="Input_Feedlot_EtherExtract_LongFed">'Input - Feedlot'!$G$20</definedName>
    <definedName name="Input_Feedlot_EtherExtract_MidFed">'Input - Feedlot'!$F$20</definedName>
    <definedName name="Input_Feedlot_FeedIntake_Domestic">'Input - Feedlot'!$E$19</definedName>
    <definedName name="Input_Feedlot_FeedIntake_LongFed">'Input - Feedlot'!$G$19</definedName>
    <definedName name="Input_Feedlot_FeedIntake_MidFed">'Input - Feedlot'!$F$19</definedName>
    <definedName name="Input_Feedlot_NDF_Domestic">'Input - Feedlot'!$E$21</definedName>
    <definedName name="Input_Feedlot_NDF_LongFed">'Input - Feedlot'!$G$21</definedName>
    <definedName name="Input_Feedlot_NDF_MidFed">'Input - Feedlot'!$F$21</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 i="69" l="1"/>
  <c r="E60" i="69"/>
  <c r="D60" i="69"/>
  <c r="F55" i="69"/>
  <c r="E55" i="69"/>
  <c r="D55" i="69"/>
  <c r="O30" i="69"/>
  <c r="N30" i="69"/>
  <c r="M30" i="69"/>
  <c r="O25" i="69"/>
  <c r="N25" i="69"/>
  <c r="M25" i="69"/>
  <c r="O20" i="69"/>
  <c r="N20" i="69"/>
  <c r="M20" i="69"/>
  <c r="G29" i="79"/>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D30" i="69" s="1"/>
  <c r="F16" i="70" a="1"/>
  <c r="F16" i="70" s="1"/>
  <c r="E30" i="69" s="1"/>
  <c r="G16" i="70" a="1"/>
  <c r="G16" i="70" s="1"/>
  <c r="F30" i="69" s="1"/>
  <c r="E20" i="70" a="1"/>
  <c r="E20" i="70" s="1"/>
  <c r="E21" i="70" a="1"/>
  <c r="E21" i="70" s="1"/>
  <c r="F21" i="70" a="1"/>
  <c r="F21" i="70" s="1"/>
  <c r="F15" i="70" a="1"/>
  <c r="F15" i="70" s="1"/>
  <c r="F20" i="70" a="1"/>
  <c r="F20" i="70" s="1"/>
  <c r="G20" i="70" a="1"/>
  <c r="G20" i="70"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<sst xmlns="http://schemas.openxmlformats.org/spreadsheetml/2006/main" count="287" uniqueCount="188">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</sst>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VEERG_3_1_1_1__1_TotalAnnualMethaneFromEntericFermentation_Result</f>
        <v>35.420230000000004</v>
      </c>
      <c r="F7" s="98">
        <f>'3.1.1.1-2 Enteric Methane'!N67</f>
        <v>35.420230000000004</v>
      </c>
      <c r="G7" s="52" t="str">
        <f>'3.1.1.1-2 Enteric Methane'!F67</f>
        <v>t CH4</v>
      </c>
      <c r="H7" s="98">
        <f>'3.1.1.1-2 Enteric Methane'!E72</f>
        <v>991.7664400000001</v>
      </c>
      <c r="I7" s="98">
        <f>'3.1.1.1-2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SUM(H7:H7)</f>
        <v>991.7664400000001</v>
      </c>
      <c r="I8" s="99">
        <f>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E27" sqref="E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G20" sqref="G2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f>'Input - Feedlot'!$E$14</f>
        <v>10.4</v>
      </c>
      <c r="E20" s="50">
        <f>'Input - Feedlot'!$F$14</f>
        <v>10.8</v>
      </c>
      <c r="F20" s="50">
        <f>'Input - Feedlot'!$G$14</f>
        <v>8.1999999999999993</v>
      </c>
      <c r="G20" s="2" t="str">
        <f>$G$13</f>
        <v>kg DM/head/day</v>
      </c>
      <c r="M20" s="50">
        <f>Input_Feedlot_FeedIntake_Domestic</f>
        <v>10.4</v>
      </c>
      <c r="N20" s="50">
        <f>Input_Feedlot_FeedIntake_MidFed</f>
        <v>10.8</v>
      </c>
      <c r="O20" s="50">
        <f>Input_Feedlot_FeedIntake_LongFed</f>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f>'Input - Feedlot'!$E$15</f>
        <v>4.8</v>
      </c>
      <c r="E25" s="50">
        <f>'Input - Feedlot'!$F$15</f>
        <v>5</v>
      </c>
      <c r="F25" s="50">
        <f>'Input - Feedlot'!$G$15</f>
        <v>5.5</v>
      </c>
      <c r="G25" s="2" t="str">
        <f>$G$14</f>
        <v>per cent</v>
      </c>
      <c r="M25" s="50">
        <f>Input_Feedlot_EtherExtract_Domestic</f>
        <v>4.8</v>
      </c>
      <c r="N25" s="50">
        <f>Input_Feedlot_EtherExtract_MidFed</f>
        <v>5</v>
      </c>
      <c r="O25" s="50">
        <f>Input_Feedlot_EtherExtract_LongFed</f>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f>'Input - Feedlot'!$E$16</f>
        <v>22</v>
      </c>
      <c r="E30" s="50">
        <f>'Input - Feedlot'!$F$16</f>
        <v>22</v>
      </c>
      <c r="F30" s="50">
        <f>'Input - Feedlot'!$G$16</f>
        <v>24</v>
      </c>
      <c r="G30" s="2" t="str">
        <f>$G$15</f>
        <v>per cent</v>
      </c>
      <c r="M30" s="50">
        <f>Input_Feedlot_NDF_Domestic</f>
        <v>22</v>
      </c>
      <c r="N30" s="50">
        <f>Input_Feedlot_NDF_MidFed</f>
        <v>22</v>
      </c>
      <c r="O30" s="50">
        <f>Input_Feedlot_NDF_LongFed</f>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f>Input_Feedlot_DurationOfStay_Domestic</f>
        <v>90</v>
      </c>
      <c r="E55" s="88">
        <f>Input_Feedlot_DurationOfStay_MidFed</f>
        <v>140</v>
      </c>
      <c r="F55" s="88">
        <f>Input_Feedlot_DurationOfStay_LongFed</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f>Input_Feedlot_AverageHead_Domestic</f>
        <v>4300</v>
      </c>
      <c r="E60" s="88">
        <f>Input_Feedlot_AverageHead_MidFed</f>
        <v>100</v>
      </c>
      <c r="F60" s="88">
        <f>Input_Feedlot_AverageHead_LongFed</f>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SUM(D65:F65)</f>
        <v>35.420230000000004</v>
      </c>
      <c r="F67" s="91" t="str">
        <f>$E$46</f>
        <v>t CH4</v>
      </c>
      <c r="M67" s="89" t="s">
        <v>176</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ref="E72">Common_Equations.Common_ConvertCH4ToCO2e(G69,G70)</f>
        <v>991.7664400000001</v>
      </c>
      <c r="F72" s="93" t="str" cm="1">
        <f t="array" ref="F72">Common_Equations.Common_ConvertN2OToCO2e_Unit()</f>
        <v>t CO2e</v>
      </c>
      <c r="M72" s="45" t="s">
        <v>113</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31</vt:i4>
      </vt:variant>
    </vt:vector>
  </HeadingPairs>
  <TitlesOfParts>
    <vt:vector size="42"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Input_Feedlot_AverageHead_Domestic</vt:lpstr>
      <vt:lpstr>Input_Feedlot_AverageHead_LongFed</vt:lpstr>
      <vt:lpstr>Input_Feedlot_AverageHead_MidFed</vt:lpstr>
      <vt:lpstr>Input_Feedlot_DurationOfStay_Domestic</vt:lpstr>
      <vt:lpstr>Input_Feedlot_DurationOfStay_LongFed</vt:lpstr>
      <vt:lpstr>Input_Feedlot_DurationOfStay_MidFed</vt:lpstr>
      <vt:lpstr>Input_Feedlot_EtherExtract_Domestic</vt:lpstr>
      <vt:lpstr>Input_Feedlot_EtherExtract_LongFed</vt:lpstr>
      <vt:lpstr>Input_Feedlot_EtherExtract_MidFed</vt:lpstr>
      <vt:lpstr>Input_Feedlot_FeedIntake_Domestic</vt:lpstr>
      <vt:lpstr>Input_Feedlot_FeedIntake_LongFed</vt:lpstr>
      <vt:lpstr>Input_Feedlot_FeedIntake_MidFed</vt:lpstr>
      <vt:lpstr>Input_Feedlot_NDF_Domestic</vt:lpstr>
      <vt:lpstr>Input_Feedlot_NDF_LongFed</vt:lpstr>
      <vt:lpstr>Input_Feedlot_NDF_MidFed</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Table_D_j</vt:lpstr>
      <vt:lpstr>Table_N_j</vt:lpstr>
      <vt:lpstr>VEERG_3_1_1_1__1_TotalAnnualMethaneFromEntericFermentation_Result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