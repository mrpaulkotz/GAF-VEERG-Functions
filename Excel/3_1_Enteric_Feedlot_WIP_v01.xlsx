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45E6336-AC6C-4183-85D6-0B29325654B2}" xr6:coauthVersionLast="47" xr6:coauthVersionMax="47" xr10:uidLastSave="{00000000-0000-0000-0000-000000000000}"/>
  <bookViews>
    <workbookView xWindow="480" yWindow="480" windowWidth="37350" windowHeight="19740" firstSheet="1" activeTab="6"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98"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43" l="1"/>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A9" i="13"/>
  <c r="A8" i="13"/>
  <c r="A5" i="13"/>
  <c r="A4" i="13"/>
  <c r="A3" i="13"/>
  <c r="I50" i="69" l="1" a="1"/>
  <c r="I50" i="69" s="1"/>
  <c r="I48" i="69" a="1"/>
  <c r="I48" i="69" s="1"/>
  <c r="G55" i="69"/>
  <c r="G60" i="69" l="1"/>
  <c r="I14" i="69" a="1"/>
  <c r="I14" i="69" s="1"/>
  <c r="I13" i="69" a="1"/>
  <c r="I13" i="69" s="1"/>
  <c r="S250" i="98" l="1"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c r="D203" i="98" a="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G28" i="79" s="1"/>
  <c r="E188" i="98" a="1"/>
  <c r="E188" i="98" s="1"/>
  <c r="D188" i="98" a="1"/>
  <c r="D188" i="98" s="1"/>
  <c r="H187" i="98" a="1"/>
  <c r="H187" i="98" s="1"/>
  <c r="G187" i="98" a="1"/>
  <c r="G187" i="98" s="1"/>
  <c r="F187" i="98" a="1"/>
  <c r="F187" i="98" s="1"/>
  <c r="G29" i="79" s="1"/>
  <c r="E187" i="98" a="1"/>
  <c r="E187" i="98" s="1"/>
  <c r="D187" i="98" a="1"/>
  <c r="D187" i="98" s="1"/>
  <c r="D181" i="98" a="1"/>
  <c r="D181" i="98" s="1"/>
  <c r="D180" i="98" a="1"/>
  <c r="D180" i="98" s="1"/>
  <c r="D179" i="98" a="1"/>
  <c r="D179" i="98" s="1"/>
  <c r="D178" i="98"/>
  <c r="D178" i="98" a="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120" i="98" a="1"/>
  <c r="E120" i="98" s="1"/>
  <c r="D120" i="98" a="1"/>
  <c r="D120" i="98" s="1"/>
  <c r="D117" i="98"/>
  <c r="D117" i="98" a="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c r="D58" i="98" a="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D7" i="98" a="1"/>
  <c r="D7" i="98" s="1"/>
  <c r="D5" i="98" a="1"/>
  <c r="D5" i="98" s="1"/>
  <c r="G70" i="69" l="1"/>
  <c r="P70" i="69"/>
  <c r="H51" i="98"/>
  <c r="H48" i="98"/>
  <c r="H54" i="98"/>
  <c r="H52" i="98"/>
  <c r="H53" i="98"/>
  <c r="H50" i="98"/>
  <c r="H49" i="98"/>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O30" i="69" s="1"/>
  <c r="F19" i="70" a="1"/>
  <c r="F19" i="70" s="1"/>
  <c r="G19" i="70" a="1"/>
  <c r="G19" i="70" s="1"/>
  <c r="G15" i="70" a="1"/>
  <c r="G15" i="70" s="1"/>
  <c r="E16" i="70" a="1"/>
  <c r="E16" i="70" s="1"/>
  <c r="D30" i="69" s="1"/>
  <c r="F16" i="70" a="1"/>
  <c r="F16" i="70" s="1"/>
  <c r="E30" i="69" s="1"/>
  <c r="G16" i="70" a="1"/>
  <c r="G16" i="70" s="1"/>
  <c r="F30" i="69" s="1"/>
  <c r="E20" i="70" a="1"/>
  <c r="E20" i="70" s="1"/>
  <c r="M25" i="69" s="1"/>
  <c r="E21" i="70" a="1"/>
  <c r="E21" i="70" s="1"/>
  <c r="M30" i="69" s="1"/>
  <c r="F21" i="70" a="1"/>
  <c r="F21" i="70" s="1"/>
  <c r="N30" i="69" s="1"/>
  <c r="F15" i="70" a="1"/>
  <c r="F15" i="70" s="1"/>
  <c r="F20" i="70" a="1"/>
  <c r="F20" i="70" s="1"/>
  <c r="N25" i="69" s="1"/>
  <c r="G20" i="70" a="1"/>
  <c r="G20" i="70" s="1"/>
  <c r="O25" i="69" s="1"/>
  <c r="D69" i="69" a="1"/>
  <c r="D69" i="69" s="1"/>
  <c r="F72" i="69" a="1"/>
  <c r="F72" i="69" s="1"/>
  <c r="M20" i="69" l="1"/>
  <c r="M35" i="69" s="1" a="1"/>
  <c r="M35" i="69" s="1"/>
  <c r="M65" i="69" s="1" a="1"/>
  <c r="M65" i="69" s="1"/>
  <c r="N20" i="69"/>
  <c r="N35" i="69" s="1" a="1"/>
  <c r="N35" i="69" s="1"/>
  <c r="N65" i="69" s="1" a="1"/>
  <c r="N65" i="69" s="1"/>
  <c r="O20" i="69"/>
  <c r="O35" i="69" s="1" a="1"/>
  <c r="O35" i="69" s="1"/>
  <c r="O65" i="69" s="1" a="1"/>
  <c r="O65" i="69" s="1"/>
  <c r="F60" i="69" l="1"/>
  <c r="E60" i="69"/>
  <c r="D60" i="69"/>
  <c r="F55" i="69"/>
  <c r="E55" i="69"/>
  <c r="D55" i="69"/>
  <c r="D8" i="70"/>
  <c r="D9" i="70"/>
  <c r="G35" i="69" l="1"/>
  <c r="P65" i="69"/>
  <c r="H69" i="69"/>
  <c r="Q69" i="69"/>
  <c r="G65" i="69"/>
  <c r="O67" i="69"/>
  <c r="F67" i="69"/>
  <c r="G7" i="13" s="1"/>
  <c r="F25" i="69"/>
  <c r="E25" i="69"/>
  <c r="D25" i="69"/>
  <c r="F20" i="69"/>
  <c r="F35" i="69" s="1" a="1"/>
  <c r="F35" i="69" s="1"/>
  <c r="F65" i="69" s="1" a="1"/>
  <c r="F65" i="69" s="1"/>
  <c r="E20" i="69"/>
  <c r="E35" i="69" s="1" a="1"/>
  <c r="E35" i="69" s="1"/>
  <c r="E65" i="69" s="1" a="1"/>
  <c r="E65" i="69" s="1"/>
  <c r="D20" i="69"/>
  <c r="D35" i="69" s="1"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E72" i="69" s="1" a="1"/>
  <c r="E72" i="69" s="1"/>
  <c r="H7" i="13" s="1"/>
  <c r="H8" i="13" s="1"/>
  <c r="N67" i="69"/>
  <c r="P69" i="69" s="1"/>
  <c r="N72" i="69" s="1" a="1"/>
  <c r="N72" i="69" s="1"/>
  <c r="I7" i="13" s="1"/>
  <c r="I8" i="13" s="1"/>
  <c r="E7" i="13" l="1"/>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<sst xmlns="http://schemas.openxmlformats.org/spreadsheetml/2006/main" count="285" uniqueCount="184">
  <si>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</si>
  <si>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</si>
  <si>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</si>
  <si>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</si>
  <si>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</si>
  <si>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</si>
  <si>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</si>
  <si>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</si>
  <si>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</si>
  <si>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</si>
  <si>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</si>
  <si>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</si>
  <si>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</si>
  <si>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</si>
  <si>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</si>
  <si>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</si>
  <si>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</si>
  <si>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</si>
  <si>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</si>
  <si>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</si>
  <si>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</si>
  <si>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</si>
  <si>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</si>
  <si>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</si>
  <si>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</si>
  <si>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</si>
  <si>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</si>
  <si>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</si>
  <si>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</si>
  <si>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</si>
  <si>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</si>
  <si>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</si>
  <si>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</si>
  <si>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</si>
  <si>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</si>
  <si>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</si>
  <si>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</si>
  <si>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</si>
  <si>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</si>
  <si>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</si>
  <si>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</si>
  <si>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</si>
  <si>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</si>
  <si>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</si>
  <si>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</si>
  <si>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</si>
  <si>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</si>
  <si>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</si>
  <si>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</si>
  <si>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</si>
  <si>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</si>
  <si>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</si>
  <si>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</si>
  <si>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</si>
  <si>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</si>
  <si>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</si>
  <si>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</si>
  <si>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</si>
  <si>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</si>
  <si>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</si>
  <si>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</si>
  <si>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</si>
  <si>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</si>
  <si>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</si>
  <si>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</si>
  <si>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</si>
  <si>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</si>
  <si>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</si>
  <si>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</si>
  <si>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</si>
  <si>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</si>
  <si>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</si>
  <si>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</si>
  <si>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</si>
  <si>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</si>
  <si>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</si>
  <si>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</si>
  <si>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</si>
  <si>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</si>
  <si>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</si>
  <si>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</si>
  <si>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Input - MMS - Feedlot</t>
  </si>
  <si>
    <t>kg dry matter / head  day</t>
  </si>
  <si>
    <t>Treatment stage T</t>
  </si>
  <si>
    <t>Feedlot manure management systems</t>
  </si>
  <si>
    <t>Herd movement</t>
  </si>
  <si>
    <t>Duration of stay</t>
  </si>
  <si>
    <t>head</t>
  </si>
  <si>
    <t>Table_D_j</t>
  </si>
  <si>
    <t>Table_N_j</t>
  </si>
  <si>
    <t>Number of head in each group</t>
  </si>
  <si>
    <t>Table_E_CH4</t>
  </si>
  <si>
    <t>Methane emissions for each group, MMS and treatment stage</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</si>
  <si>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</si>
  <si>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</si>
  <si>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</si>
  <si>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</si>
  <si>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</si>
  <si>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</si>
  <si>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</si>
  <si>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</si>
  <si>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</si>
  <si>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</si>
  <si>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</si>
  <si>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</si>
  <si>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</si>
  <si>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</si>
  <si>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</si>
  <si>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</si>
  <si>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</si>
  <si>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</si>
  <si>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</si>
  <si>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</si>
  <si>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</si>
  <si>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</si>
  <si>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</si>
  <si>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</si>
  <si>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</si>
  <si>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4.1.1.1-2 Manure Methane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</si>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</sst>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5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4"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3"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1"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0"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5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4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4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4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2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2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2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2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2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2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X14" sqref="X14"/>
    </sheetView>
  </sheetViews>
  <sheetFormatPr defaultRowHeight="15" x14ac:dyDescent="0.25"/>
  <cols>
    <col min="1" max="1" width="30.7109375" customWidth="1"/>
    <col min="2" max="3" width="4.7109375" customWidth="1"/>
  </cols>
  <sheetData>
    <row r="1" spans="1:64" ht="30" customHeight="1" x14ac:dyDescent="0.35">
      <c r="A1" s="63" t="e" vm="1">
        <v>#VALUE!</v>
      </c>
      <c r="C1" s="109" t="s">
        <v>181</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183</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163</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182</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117</v>
      </c>
      <c r="E6" s="100" t="s">
        <v>141</v>
      </c>
      <c r="F6" s="100" t="s">
        <v>142</v>
      </c>
      <c r="G6" s="100" t="s">
        <v>132</v>
      </c>
      <c r="H6" s="100" t="s">
        <v>143</v>
      </c>
      <c r="I6" s="100" t="s">
        <v>145</v>
      </c>
      <c r="J6" s="100" t="s">
        <v>133</v>
      </c>
      <c r="K6" s="24"/>
      <c r="L6" s="24"/>
    </row>
    <row r="7" spans="1:12" ht="20.100000000000001" customHeight="1" x14ac:dyDescent="0.25">
      <c r="A7" s="20" t="s">
        <v>3</v>
      </c>
      <c r="C7" s="24"/>
      <c r="D7" s="1" t="s">
        <v>164</v>
      </c>
      <c r="E7" s="98">
        <f>'3.1.1.1-2 Enteric Methane'!E67</f>
        <v>35.420230000000004</v>
      </c>
      <c r="F7" s="98">
        <f>'3.1.1.1-2 Enteric Methane'!N67</f>
        <v>35.420230000000004</v>
      </c>
      <c r="G7" s="52" t="str">
        <f>'3.1.1.1-2 Enteric Methane'!F67</f>
        <v>t CH4</v>
      </c>
      <c r="H7" s="98">
        <f>'3.1.1.1-2 Enteric Methane'!E72</f>
        <v>991.7664400000001</v>
      </c>
      <c r="I7" s="98">
        <f>'3.1.1.1-2 Enteric Methane'!N72</f>
        <v>991.7664400000001</v>
      </c>
      <c r="J7" s="52" t="s">
        <v>144</v>
      </c>
      <c r="K7" s="24"/>
      <c r="L7" s="24"/>
    </row>
    <row r="8" spans="1:12" ht="20.100000000000001" customHeight="1" x14ac:dyDescent="0.3">
      <c r="A8" s="17" t="str">
        <f>HYPERLINK("#'Input - Site'!A1", "Site")</f>
        <v>Site</v>
      </c>
      <c r="C8" s="24"/>
      <c r="D8" s="31" t="s">
        <v>131</v>
      </c>
      <c r="E8" s="25"/>
      <c r="F8" s="31"/>
      <c r="G8" s="31"/>
      <c r="H8" s="99">
        <f>SUM(H7:H7)</f>
        <v>991.7664400000001</v>
      </c>
      <c r="I8" s="99">
        <f>SUM(I7:I7)</f>
        <v>991.7664400000001</v>
      </c>
      <c r="J8" s="93" t="s">
        <v>144</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85</v>
      </c>
    </row>
    <row r="6" spans="1:21" ht="20.100000000000001" customHeight="1" x14ac:dyDescent="0.25">
      <c r="A6" s="16"/>
    </row>
    <row r="7" spans="1:21" ht="20.100000000000001" customHeight="1" x14ac:dyDescent="0.25">
      <c r="A7" s="20" t="s">
        <v>3</v>
      </c>
      <c r="D7" s="58"/>
      <c r="E7" s="39" t="s">
        <v>99</v>
      </c>
      <c r="F7" s="39" t="s">
        <v>100</v>
      </c>
      <c r="G7" s="39" t="s">
        <v>101</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87</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147</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134</v>
      </c>
      <c r="E13" s="39" t="s">
        <v>99</v>
      </c>
      <c r="F13" s="39" t="s">
        <v>100</v>
      </c>
      <c r="G13" s="39" t="s">
        <v>101</v>
      </c>
    </row>
    <row r="14" spans="1:21" ht="20.100000000000001" customHeight="1" x14ac:dyDescent="0.25">
      <c r="A14" s="18" t="s">
        <v>4</v>
      </c>
      <c r="D14" s="1" t="s">
        <v>105</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82</v>
      </c>
      <c r="I14" s="2"/>
      <c r="J14" s="2"/>
      <c r="K14" s="2"/>
    </row>
    <row r="15" spans="1:21" ht="20.100000000000001" customHeight="1" x14ac:dyDescent="0.25">
      <c r="A15" s="17" t="str">
        <f>HYPERLINK("#'Constants - Feedlot'!A1", "Constants - Feedlot")</f>
        <v>Constants - Feedlot</v>
      </c>
      <c r="D15" s="1" t="s">
        <v>165</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148</v>
      </c>
      <c r="I15" s="2"/>
      <c r="J15" s="2"/>
      <c r="K15" s="2"/>
    </row>
    <row r="16" spans="1:21" ht="20.100000000000001" customHeight="1" x14ac:dyDescent="0.25">
      <c r="A16" s="17" t="str">
        <f>HYPERLINK("#'Constants - Livestock'!A1", "Constants - Livestock")</f>
        <v>Constants - Livestock</v>
      </c>
      <c r="D16" s="1" t="s">
        <v>166</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148</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135</v>
      </c>
      <c r="E18" s="39" t="s">
        <v>99</v>
      </c>
      <c r="F18" s="39" t="s">
        <v>100</v>
      </c>
      <c r="G18" s="39" t="s">
        <v>101</v>
      </c>
    </row>
    <row r="19" spans="1:11" ht="20.100000000000001" customHeight="1" x14ac:dyDescent="0.25">
      <c r="D19" s="1" t="s">
        <v>105</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82</v>
      </c>
      <c r="I19" s="2"/>
    </row>
    <row r="20" spans="1:11" ht="20.100000000000001" customHeight="1" x14ac:dyDescent="0.25">
      <c r="D20" s="1" t="s">
        <v>165</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148</v>
      </c>
      <c r="I20" s="2"/>
      <c r="J20" s="2"/>
      <c r="K20" s="2"/>
    </row>
    <row r="21" spans="1:11" ht="20.100000000000001" customHeight="1" x14ac:dyDescent="0.25">
      <c r="A21" s="17"/>
      <c r="D21" s="1" t="s">
        <v>166</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148</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2"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118</v>
      </c>
      <c r="K1"/>
    </row>
    <row r="2" spans="1:19" s="9" customFormat="1" ht="20.100000000000001" customHeight="1" x14ac:dyDescent="0.25">
      <c r="K2"/>
    </row>
    <row r="3" spans="1:19" ht="20.100000000000001" customHeight="1" x14ac:dyDescent="0.25">
      <c r="A3" s="17" t="str">
        <f>HYPERLINK("#'Home'!A1", "Home")</f>
        <v>Home</v>
      </c>
      <c r="C3" s="4"/>
      <c r="D3" s="4" t="s">
        <v>111</v>
      </c>
      <c r="E3" s="4"/>
      <c r="F3" s="4"/>
      <c r="G3" s="4"/>
      <c r="H3" s="4"/>
      <c r="I3" s="4"/>
      <c r="J3" s="4"/>
      <c r="L3" s="4"/>
      <c r="M3" s="4" t="s">
        <v>112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109</v>
      </c>
      <c r="M17" s="86" t="s">
        <v>110</v>
      </c>
    </row>
    <row r="18" spans="1:16" ht="20.100000000000001" customHeight="1" x14ac:dyDescent="0.25">
      <c r="A18" s="17" t="str">
        <f>HYPERLINK("#'Acknowledgements'!A1", "Acknowledgements")</f>
        <v>Acknowledgements</v>
      </c>
      <c r="D18" s="85" t="s">
        <v>113</v>
      </c>
      <c r="M18" s="85" t="s">
        <v>114</v>
      </c>
    </row>
    <row r="19" spans="1:16" ht="20.100000000000001" customHeight="1" x14ac:dyDescent="0.25">
      <c r="D19" s="39" t="s">
        <v>99</v>
      </c>
      <c r="E19" s="39" t="s">
        <v>100</v>
      </c>
      <c r="F19" s="39" t="s">
        <v>101</v>
      </c>
      <c r="M19" s="39" t="s">
        <v>99</v>
      </c>
      <c r="N19" s="39" t="s">
        <v>100</v>
      </c>
      <c r="O19" s="39" t="s">
        <v>101</v>
      </c>
    </row>
    <row r="20" spans="1:16" ht="20.100000000000001" customHeight="1" x14ac:dyDescent="0.25">
      <c r="D20" s="50">
        <f>'Input - Feedlot'!$E$14</f>
        <v>10.4</v>
      </c>
      <c r="E20" s="50">
        <f>'Input - Feedlot'!$F$14</f>
        <v>10.8</v>
      </c>
      <c r="F20" s="50">
        <f>'Input - Feedlot'!$G$14</f>
        <v>8.1999999999999993</v>
      </c>
      <c r="G20" s="2" t="str">
        <f>$G$13</f>
        <v>kg DM/head/day</v>
      </c>
      <c r="M20" s="50">
        <f>'Input - Feedlot'!$E$19</f>
        <v>10.4</v>
      </c>
      <c r="N20" s="50">
        <f>'Input - Feedlot'!$F$19</f>
        <v>10.8</v>
      </c>
      <c r="O20" s="50">
        <f>'Input - Feedlot'!$G$19</f>
        <v>8.1999999999999993</v>
      </c>
      <c r="P20" s="2" t="str">
        <f>$G$13</f>
        <v>kg DM/head/day</v>
      </c>
    </row>
    <row r="21" spans="1:16" ht="20.100000000000001" customHeight="1" x14ac:dyDescent="0.25">
      <c r="A21" s="17"/>
    </row>
    <row r="22" spans="1:16" ht="20.100000000000001" customHeight="1" x14ac:dyDescent="0.25">
      <c r="D22" s="86" t="s">
        <v>167</v>
      </c>
      <c r="M22" s="86" t="s">
        <v>175</v>
      </c>
    </row>
    <row r="23" spans="1:16" ht="20.100000000000001" customHeight="1" x14ac:dyDescent="0.25">
      <c r="D23" s="85" t="s">
        <v>168</v>
      </c>
      <c r="M23" s="85" t="s">
        <v>176</v>
      </c>
    </row>
    <row r="24" spans="1:16" ht="20.100000000000001" customHeight="1" x14ac:dyDescent="0.25">
      <c r="D24" s="39" t="s">
        <v>99</v>
      </c>
      <c r="E24" s="39" t="s">
        <v>100</v>
      </c>
      <c r="F24" s="39" t="s">
        <v>101</v>
      </c>
      <c r="M24" s="39" t="s">
        <v>99</v>
      </c>
      <c r="N24" s="39" t="s">
        <v>100</v>
      </c>
      <c r="O24" s="39" t="s">
        <v>101</v>
      </c>
    </row>
    <row r="25" spans="1:16" ht="20.100000000000001" customHeight="1" x14ac:dyDescent="0.25">
      <c r="A25" s="17"/>
      <c r="D25" s="50">
        <f>'Input - Feedlot'!$E$15</f>
        <v>4.8</v>
      </c>
      <c r="E25" s="50">
        <f>'Input - Feedlot'!$F$15</f>
        <v>5</v>
      </c>
      <c r="F25" s="50">
        <f>'Input - Feedlot'!$G$15</f>
        <v>5.5</v>
      </c>
      <c r="G25" s="2" t="str">
        <f>$G$14</f>
        <v>per cent</v>
      </c>
      <c r="M25" s="50">
        <f>'Input - Feedlot'!$E$20</f>
        <v>4.8</v>
      </c>
      <c r="N25" s="50">
        <f>'Input - Feedlot'!$F$20</f>
        <v>5</v>
      </c>
      <c r="O25" s="50">
        <f>'Input - Feedlot'!$G$20</f>
        <v>5.5</v>
      </c>
      <c r="P25" s="2" t="str">
        <f>$G$14</f>
        <v>per cent</v>
      </c>
    </row>
    <row r="26" spans="1:16" ht="20.100000000000001" customHeight="1" x14ac:dyDescent="0.25"/>
    <row r="27" spans="1:16" ht="20.100000000000001" customHeight="1" x14ac:dyDescent="0.25">
      <c r="D27" s="86" t="s">
        <v>169</v>
      </c>
      <c r="M27" s="86" t="s">
        <v>177</v>
      </c>
    </row>
    <row r="28" spans="1:16" ht="20.100000000000001" customHeight="1" x14ac:dyDescent="0.25">
      <c r="D28" s="85" t="s">
        <v>170</v>
      </c>
      <c r="M28" s="85" t="s">
        <v>178</v>
      </c>
    </row>
    <row r="29" spans="1:16" ht="20.100000000000001" customHeight="1" x14ac:dyDescent="0.25">
      <c r="D29" s="39" t="s">
        <v>99</v>
      </c>
      <c r="E29" s="39" t="s">
        <v>100</v>
      </c>
      <c r="F29" s="39" t="s">
        <v>101</v>
      </c>
      <c r="M29" s="39" t="s">
        <v>99</v>
      </c>
      <c r="N29" s="39" t="s">
        <v>100</v>
      </c>
      <c r="O29" s="39" t="s">
        <v>101</v>
      </c>
    </row>
    <row r="30" spans="1:16" ht="20.100000000000001" customHeight="1" x14ac:dyDescent="0.25">
      <c r="D30" s="50">
        <f>'Input - Feedlot'!$E$16</f>
        <v>22</v>
      </c>
      <c r="E30" s="50">
        <f>'Input - Feedlot'!$F$16</f>
        <v>22</v>
      </c>
      <c r="F30" s="50">
        <f>'Input - Feedlot'!$G$16</f>
        <v>24</v>
      </c>
      <c r="G30" s="2" t="str">
        <f>$G$15</f>
        <v>per cent</v>
      </c>
      <c r="M30" s="50">
        <f>'Input - Feedlot'!$E$21</f>
        <v>22</v>
      </c>
      <c r="N30" s="50">
        <f>'Input - Feedlot'!$F$21</f>
        <v>22</v>
      </c>
      <c r="O30" s="50">
        <f>'Input - Feedlot'!$G$21</f>
        <v>24</v>
      </c>
      <c r="P30" s="2" t="str">
        <f>$G$15</f>
        <v>per cent</v>
      </c>
    </row>
    <row r="31" spans="1:16" ht="20.100000000000001" customHeight="1" x14ac:dyDescent="0.25"/>
    <row r="32" spans="1:16" ht="20.100000000000001" customHeight="1" x14ac:dyDescent="0.25">
      <c r="D32" s="86" t="s">
        <v>171</v>
      </c>
      <c r="M32" s="86" t="s">
        <v>173</v>
      </c>
    </row>
    <row r="33" spans="3:18" ht="20.100000000000001" customHeight="1" x14ac:dyDescent="0.25">
      <c r="D33" s="85" t="s">
        <v>172</v>
      </c>
      <c r="M33" s="85" t="s">
        <v>174</v>
      </c>
    </row>
    <row r="34" spans="3:18" ht="20.100000000000001" customHeight="1" x14ac:dyDescent="0.25">
      <c r="D34" s="49" t="s">
        <v>99</v>
      </c>
      <c r="E34" s="49" t="s">
        <v>100</v>
      </c>
      <c r="F34" s="49" t="s">
        <v>101</v>
      </c>
      <c r="M34" s="49" t="s">
        <v>99</v>
      </c>
      <c r="N34" s="49" t="s">
        <v>100</v>
      </c>
      <c r="O34" s="49" t="s">
        <v>101</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88</v>
      </c>
    </row>
    <row r="53" spans="4:15" ht="20.100000000000001" customHeight="1" x14ac:dyDescent="0.25">
      <c r="D53" s="85" t="s">
        <v>86</v>
      </c>
    </row>
    <row r="54" spans="4:15" ht="20.100000000000001" customHeight="1" x14ac:dyDescent="0.25">
      <c r="D54" s="39" t="s">
        <v>99</v>
      </c>
      <c r="E54" s="39" t="s">
        <v>100</v>
      </c>
      <c r="F54" s="39" t="s">
        <v>101</v>
      </c>
    </row>
    <row r="55" spans="4:15" ht="20.100000000000001" customHeight="1" x14ac:dyDescent="0.25">
      <c r="D55" s="88">
        <f>'Input - Feedlot'!$E$9</f>
        <v>90</v>
      </c>
      <c r="E55" s="88">
        <f>'Input - Feedlot'!$F$9</f>
        <v>140</v>
      </c>
      <c r="F55" s="88">
        <f>'Input - Feedlot'!$G$9</f>
        <v>250</v>
      </c>
      <c r="G55" s="2" t="str">
        <f>G48</f>
        <v>days</v>
      </c>
    </row>
    <row r="56" spans="4:15" ht="20.100000000000001" customHeight="1" x14ac:dyDescent="0.25"/>
    <row r="57" spans="4:15" ht="20.100000000000001" customHeight="1" x14ac:dyDescent="0.25">
      <c r="D57" s="86" t="s">
        <v>89</v>
      </c>
    </row>
    <row r="58" spans="4:15" ht="20.100000000000001" customHeight="1" x14ac:dyDescent="0.25">
      <c r="D58" s="85" t="s">
        <v>90</v>
      </c>
    </row>
    <row r="59" spans="4:15" ht="20.100000000000001" customHeight="1" x14ac:dyDescent="0.25">
      <c r="D59" s="39" t="s">
        <v>99</v>
      </c>
      <c r="E59" s="39" t="s">
        <v>100</v>
      </c>
      <c r="F59" s="39" t="s">
        <v>101</v>
      </c>
    </row>
    <row r="60" spans="4:15" ht="20.100000000000001" customHeight="1" x14ac:dyDescent="0.25">
      <c r="D60" s="88">
        <f>'Input - Feedlot'!$E$8</f>
        <v>4300</v>
      </c>
      <c r="E60" s="88">
        <f>'Input - Feedlot'!$F$8</f>
        <v>100</v>
      </c>
      <c r="F60" s="88">
        <f>'Input - Feedlot'!$G$8</f>
        <v>100</v>
      </c>
      <c r="G60" s="2" t="str">
        <f>G50</f>
        <v>head</v>
      </c>
    </row>
    <row r="61" spans="4:15" ht="20.100000000000001" customHeight="1" x14ac:dyDescent="0.25"/>
    <row r="62" spans="4:15" ht="20.100000000000001" customHeight="1" x14ac:dyDescent="0.25">
      <c r="D62" s="86" t="s">
        <v>91</v>
      </c>
      <c r="M62" s="86" t="s">
        <v>91</v>
      </c>
    </row>
    <row r="63" spans="4:15" ht="20.100000000000001" customHeight="1" x14ac:dyDescent="0.25">
      <c r="D63" s="85" t="s">
        <v>92</v>
      </c>
      <c r="M63" s="85" t="s">
        <v>92</v>
      </c>
    </row>
    <row r="64" spans="4:15" ht="20.100000000000001" customHeight="1" x14ac:dyDescent="0.25">
      <c r="D64" s="49" t="s">
        <v>99</v>
      </c>
      <c r="E64" s="49" t="s">
        <v>100</v>
      </c>
      <c r="F64" s="49" t="s">
        <v>101</v>
      </c>
      <c r="M64" s="49" t="s">
        <v>99</v>
      </c>
      <c r="N64" s="49" t="s">
        <v>100</v>
      </c>
      <c r="O64" s="49" t="s">
        <v>101</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179</v>
      </c>
      <c r="E67" s="90">
        <f>SUM(D65:F65)</f>
        <v>35.420230000000004</v>
      </c>
      <c r="F67" s="91" t="str">
        <f>$E$46</f>
        <v>t CH4</v>
      </c>
      <c r="M67" s="89" t="s">
        <v>180</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115</v>
      </c>
      <c r="E72" s="45" cm="1">
        <f t="array" ref="E72">Common_Equations.Common_ConvertCH4ToCO2e(G69,G70)</f>
        <v>991.7664400000001</v>
      </c>
      <c r="F72" s="93" t="str" cm="1">
        <f t="array" ref="F72">Common_Equations.Common_ConvertN2OToCO2e_Unit()</f>
        <v>t CO2e</v>
      </c>
      <c r="M72" s="45" t="s">
        <v>116</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abSelected="1" topLeftCell="B78" workbookViewId="0">
      <selection activeCell="I89" sqref="I89:M9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98</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84</v>
      </c>
      <c r="G25" s="6" t="s">
        <v>123</v>
      </c>
      <c r="J25" s="6" t="s">
        <v>125</v>
      </c>
      <c r="M25" s="1"/>
    </row>
    <row r="26" spans="1:13" ht="20.100000000000001" customHeight="1" x14ac:dyDescent="0.25">
      <c r="M26" s="1"/>
    </row>
    <row r="27" spans="1:13" ht="20.100000000000001" customHeight="1" x14ac:dyDescent="0.25">
      <c r="D27" s="84" t="s">
        <v>50</v>
      </c>
      <c r="E27" s="37" t="s">
        <v>63</v>
      </c>
      <c r="G27" s="37" t="s">
        <v>124</v>
      </c>
      <c r="J27" s="37" t="s">
        <v>122</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126</v>
      </c>
      <c r="M28" s="1"/>
    </row>
    <row r="29" spans="1:13" ht="20.100000000000001" customHeight="1" x14ac:dyDescent="0.25">
      <c r="D29" s="37" t="str">
        <f>'Constants - Livestock'!$E$15</f>
        <v>Solid storage</v>
      </c>
      <c r="E29" s="37" t="str">
        <f>'Constants - Livestock'!$F$15</f>
        <v>Solid storage (m=4)</v>
      </c>
      <c r="G29" s="1" t="str">
        <f>'Constants - Common'!$F$187</f>
        <v>Pasture</v>
      </c>
      <c r="J29" s="37" t="s">
        <v>127</v>
      </c>
      <c r="M29" s="1"/>
    </row>
    <row r="30" spans="1:13" ht="20.100000000000001" customHeight="1" x14ac:dyDescent="0.25">
      <c r="D30" s="37" t="str">
        <f>'Constants - Livestock'!$E$17</f>
        <v>Composting (passive windrow)</v>
      </c>
      <c r="E30" s="37" t="str">
        <f>'Constants - Livestock'!$F$17</f>
        <v>Composting (passive windrow) (m=6)</v>
      </c>
      <c r="J30" s="1" t="s">
        <v>128</v>
      </c>
      <c r="M30" s="1"/>
    </row>
    <row r="31" spans="1:13" ht="20.100000000000001" customHeight="1" x14ac:dyDescent="0.25">
      <c r="D31" s="37" t="str">
        <f>'Constants - Livestock'!$E$26</f>
        <v>Direct application</v>
      </c>
      <c r="E31" s="37" t="str">
        <f>'Constants - Livestock'!$F$26</f>
        <v>Direct application (m=13)</v>
      </c>
      <c r="J31" s="1" t="s">
        <v>129</v>
      </c>
      <c r="M31" s="1"/>
    </row>
    <row r="32" spans="1:13" ht="20.100000000000001" customHeight="1" x14ac:dyDescent="0.25">
      <c r="D32" s="1" t="str">
        <f>'Constants - Livestock'!$E$10</f>
        <v>Anaerobic lagoon</v>
      </c>
      <c r="E32" s="1" t="str">
        <f>'Constants - Livestock'!$F$10</f>
        <v>Anaerobic lagoon (m=1)</v>
      </c>
      <c r="J32" s="1" t="s">
        <v>130</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93</v>
      </c>
      <c r="E38" s="37" t="s">
        <v>106</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93</v>
      </c>
      <c r="E49" s="37" t="s">
        <v>103</v>
      </c>
      <c r="F49" s="37" t="s">
        <v>11</v>
      </c>
      <c r="G49" s="37" t="s">
        <v>104</v>
      </c>
      <c r="H49" s="37" t="s">
        <v>95</v>
      </c>
      <c r="I49" s="37" t="s">
        <v>96</v>
      </c>
      <c r="J49" s="37" t="s">
        <v>97</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93</v>
      </c>
      <c r="E66" s="37" t="s">
        <v>94</v>
      </c>
      <c r="F66" s="37" t="s">
        <v>11</v>
      </c>
      <c r="G66" s="37" t="s">
        <v>95</v>
      </c>
      <c r="H66" s="37" t="s">
        <v>96</v>
      </c>
      <c r="I66" s="37" t="s">
        <v>97</v>
      </c>
      <c r="J66" s="37" t="s">
        <v>102</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83</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83</v>
      </c>
      <c r="E100" s="37" t="s">
        <v>80</v>
      </c>
      <c r="F100" s="37" t="s">
        <v>107</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83</v>
      </c>
      <c r="E112" s="95" t="s">
        <v>80</v>
      </c>
      <c r="F112" s="95" t="s">
        <v>108</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topLeftCell="C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136</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119</v>
      </c>
      <c r="E186" s="37" t="s">
        <v>120</v>
      </c>
      <c r="F186" s="37" t="s">
        <v>121</v>
      </c>
      <c r="G186" s="37" t="s">
        <v>122</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138</v>
      </c>
      <c r="E212" s="37" t="s">
        <v>139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149</v>
      </c>
      <c r="F231" s="36" t="s">
        <v>150</v>
      </c>
      <c r="G231" s="37" t="s">
        <v>151</v>
      </c>
      <c r="H231" s="37" t="s">
        <v>152</v>
      </c>
      <c r="I231" s="37" t="s">
        <v>153</v>
      </c>
      <c r="J231" s="37" t="s">
        <v>154</v>
      </c>
      <c r="K231" s="37" t="s">
        <v>155</v>
      </c>
      <c r="L231" s="37" t="s">
        <v>156</v>
      </c>
      <c r="M231" s="37" t="s">
        <v>157</v>
      </c>
      <c r="N231" s="37" t="s">
        <v>158</v>
      </c>
      <c r="O231" s="37" t="s">
        <v>159</v>
      </c>
      <c r="P231" s="37" t="s">
        <v>160</v>
      </c>
      <c r="Q231" s="37" t="s">
        <v>146</v>
      </c>
      <c r="R231" s="37" t="s">
        <v>161</v>
      </c>
      <c r="S231" s="37" t="s">
        <v>162</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JwBjAGgAYQByAGEAYwB0AGUAcgBpAHMAdABpAGMAJwAgAGMAbwBsAHUAbQBuACAALQAgAG8AcgBpAGcAaQBuAGEAbAAgAGgAYQBzACAAaABlAGEAZABlAHIAIAAnAFUAbgBpAHQAJ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J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FwAIgAsAFwAIgBsAGUAbgBnAHQAaAAgAG8AZgAgAHMAdABhAHkAIABvAGYAIABlAGEAYwBoACAAYwBhAHQAdABsAGUAIABnAHIAbwB1AHAAXAAiACwAIABcACIAZABhAHkAcwBcACIALAAgAFwAIgBJAG4AcAB1AHQAXAAiADsAXABuACAAIAAgACAAIAAgACAAIAAgACAAXAAiAE0AXwBqAG0AVABcACIALABcACIAbQBlAHQAaABhAG4AZQAgAHAAcgBvAGQAdQBjAHQAaQBvAG4AIABmAHIAbwBtACAAbQBhAG4AdQByAGUAIABwAGUAcgAgAGMAYQB0AHQAbABlACAAZwByAG8AdQBwACwAIABNAE0AUwAsACAAYQBuAGQAIAB0AHIAZQBhAHQAbQBlAG4AdAAgAHMAdABhAGcAZQBcACIALAAgAFwAIgBrAGcAIABDAEgANAAvAGgAZQBhAGQALwBkAGEAeQBcACIALAAgAFwAIgBDAGEAbABjAHUAbABhAHQAZQBkACAAZgByAG8AbQAgADQALgAxAC4AMQAuADEAIAAoADIAKQAoADMAKQAoADQAKQBcACIAOwBcAG4AIAAgACAAIAAgACAAIAAgACAAIABcACIATgBfAGoAXAAiACwAXAAiAG4AdQBtAGIAZQByAHMAIABvAGYAIABiAGUAZQBmACAAYwBhAHQAdABsAGUAIABpAG4AIABlAGEAYwBoACAAZwByAG8AdQBw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XwBqAG0ANQBUADEAXABuAGsAZwAgAEMASAA0AC8AaABlAGEAZAAvAGQAYQB5AFwAbgBNAF8AewBqAG0APQA1ACwAVAA9ADEAfQA9AFYAUwBfAHsAagB9AFwAXAB0AGkAbQBlAHMAIABCAE8AXABcAHQAaQBtAGUAcwAgAE0ATQBTAF8AewBtAD0ANQAsAFQAPQAxAH0AXABcAHQAaQBtAGUAcwAgAE0AQwBGAF8AewBpAG0APQA1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UAVAAxACAAPQAgAGYAcgBhAGMAdABpAG8AbgAgAG8AZgAgAG0AYQBuAHUAcgBlACAAaQBuACAAcAByAGkAbQBhAHIAeQAgAHMAeQBzAHQAZQBtACAAZAByAHkAbABvAHQAIABNAE0AUwAgADoAIABmAHIAYQBjAHQAaQBvAG4AXABuAE0AQwBGAF8AaQBtADUAIAA9ACAAbQBlAHQAaABhAG4AZQAgAGMAbwBuAHYAZQByAHMAaQBvAG4AIABmAGEAYwB0AG8AcgAgAGYAbwByACAAbQBlAGEAbgAgAGEAbgBuAHUAYQBsACAAdABlAG0AcABlAHIAYQB0AHUAc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1AFQAMQBcACIALABcACIAZgByAGEAYwB0AGkAbwBuACAAbwBmACAAbQBhAG4AdQByAGUAIABpAG4AIABwAHIAaQBtAGEAcgB5ACAAcwB5AHMAdABlAG0AIABkAHIAeQBsAG8AdAAgAE0ATQBTAFwAIgAsACAAXAAiAGYAcgBhAGMAdABpAG8AbgBcACIALAAgAFwAIgBJAG4AcAB1AHQAXAAiADsAXABuACAAIAAgACAAIAAgACAAIAAgACAAXAAiAE0AQwBGAF8AaQBtADUAXAAiACwAXAAiAG0AZQB0AGgAYQBuAGUAIABjAG8AbgB2AGUAcgBzAGkAbwBuACAAZgBhAGMAdABvAHIAIABmAG8AcgAgAHMAdABhAHQAZQAgAGEAbgBkACAAZAByAHkAbABvAH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gBfAFMAdABhAGcAZQAxAE0AZQB0AGgAYQBuAGUAUAByAG8AZAB1AGMAdABpAG8AbgBEAHIAeQBsAG8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G0AZQBhAG4AIABhAG4AbgB1AGEAbAAgAHQAZQBtAHAAZQByAGEAdAB1AHI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MAdABhAHQ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xAF8AMQBfADEAXwBfADMAXwBTAHQAYQBnAGUAMgBNAGUAdABoAGEAbgBlAFAAcgBvAGQAdQBjAHQAaQBvAG4AXwBBAHIAZwB1AG0AZQBuAHQAcwBfAE0AZQB0AGgAbwBkADIAXABuACAAIAA9AEwAQQBNAEIARABBACgAXABuACAAIAAgACAATQBBAEsARQBBAFIAUgBBAFkAKAA3ACwAIAA0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BcACIALAAgAFwAIgBmAHIAYQBjAHQAaQBvAG4AXAAiACwAIABcACIAQwBvAG4AcwB0AGEAbgB0AFwAIgA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tAGUAYQBuACAAYQBuAG4AdQBhAGwAIAB0AGUAbQBwAGUAcgBhAHQAdQBy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E0AZQBhAG4AIABhAG4AbgB1AGEAbAAgAHQAZQBtAHAAZQByAGEAdAB1AHI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G0AZQBhAG4AIABhAG4AbgB1AGEAbAAgAHQAZQBtAHAAZQByAGEAdAB1AHI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F8AagAsACAAQgBPACwAIABNAE0AUwBfAG0AMQBUADMALAAgAE0AQwBGAF8AaQBtADEALAAgAHIAaABvACwAXABuACAAIAAgACAAVgBTAF8AagAgACoAIABCAE8AIAAqACAATQBNAFMAXwBtADEAVAAzACAAKgAgAE0AQwBGAF8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F8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zAHQAYQB0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NABfAFMAdABhAGcAZQAzAE0AZQB0AGgAYQBuAGUAUAByAG8AZAB1AGMAdABpAG8AbgBBAG4AYQBlAHIAbwBiAGkAYwBMAGEAZwBv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xAFQAMwBcACIALABcACIAZgByAGEAYwB0AGkAbwBuACAAbwBmACAAbQBhAG4AdQByAGUAIAB0AG8AIAB0AGUAcgB0AGkAYQByAHkAIABhAG4AYQBlAHIAbwBiAGkAYwAgAGwAYQBnAG8AbwBuACAAcwB5AHMAdABlAG0AXAAiACwAIABcACIAZgByAGEAYwB0AGkAbwBuAFwAIgAsACAAXAAiAEkAbgBwAHUAdABcACIAOwBcAG4AIAAgACAAIAAgACAAIAAgACAAIABcACIATQBDAEYAXwBpAG0AMQBcACIALABcACIAbQBlAHQAaABhAG4AZQAgAGMAbwBuAHYAZQByAHMAaQBvAG4AIABmAGEAYwB0AG8AcgAgAGYAbwByACAAbQBlAGEAbgAgAGEAbgBuAHUAYQBsACAAdABlAG0AcABlAHIAYQB0AHUAcgBlACAAYQBuAGQAIABhAG4AYQBlAHIAbwBiAGkAYwAgAGwAYQBnAG8AbwBu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CAAZgBvAHIAIABlAGEAYwBoACAAZwByAG8AdQBwACAAagBcACIALAAgAFwAIgBrAGcAIABEAE0ALwBoAGUAYQBkAC8AZABhAHkAXAAiACwAIABcACIASQBuAHAAdQB0AFwAIgA7AFwAbgAgACAAIAAgACAAIAAgACAAIAAgAFwAIgBEAE0ARABfAGoAXAAiACwAXAAiAGQAcgB5ACAAbQBhAHQAdABlAHIAIABkAGkAZwBlAHMAdABpAGIAaQBsAGkAdAB5ACAAZgBvAHIAIABlAGEAYwBoACAAZwByAG8AdQBwACAAagBcACIALAAgAFwAIgBmAHIAYQBjAHQAaQBvAG4AXAAiACwAIABcACIASQBuAHAAdQB0AFwAIgA7AFwAbgAgACAAIAAgACAAIAAgACAAIAAgAFwAIgBBAFwAIgAsAFwAIgBhAHMAaAAgAGMAbwBuAHQAZQBuAHQAIABvAGYAIABtAGEAbgB1AHIAZQBcACIALAAgAFwAIgBmAHIAYQBjAHQAaQBvAG4AXAAiACwAIABcACIAQwBvAG4AcwB0AGEAbgB0AFwAIgBcAG4AIAAgACAAIAAgACAAIAAgAH0ALAAgAHIALAAgAGMAKQBcAG4AIAAgACAAIAAgACAAKQBcAG4AIAAgACAAIAApAFwAbgAgACAAKQA7AFwAbgBcAG4AXABuAFwAbgBcAG4AXABu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MQ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UAXwBfADIAXwBWAG8AbABhAHQAaQBsAGkAcwBlAGQATgBpAHQAcgBvAGcAZQBuAEYAcgBvAG0ATQBhAG4AdQByAGUATQBhAG4AYQBnAGUAbQBlAG4AdABcAG4AVgBvAGwAYQB0AGkAbABpAHMAZQBkACAAbgBpAHQAcgBvAGcAZQBuACAAZgByAG8AbQAgAG0AYQBuAHUAcgBlACAAbQBhAG4AYQBnAGUAbQBlAG4AdA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GkAbgAgAGUAYQBjAGgAIAB0AHIAZQBhAHQAbQBlAG4AdAAgAHMAdABhAGcAZQAgAE0ATQBTACAAKABlAHgAYwBsAHUAZABpAG4AZwAgAE0ATgBfAGkAag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EAXwAxAF8ANQBfAF8AMgBfAFYAbwBsAGEAdABpAGwAaQBzAGUAZABOAGkAdAByAG8AZwBlAG4ARgByAG8AbQBNAGEAbgB1AHIAZQBNAGEAbgBhAGcAZQBtAGUAbgB0AFwAbgAgACAAPQBMAEEATQBCAEQAQQAoAFwAbgAgACAAIAAgAE0ATgBfAGoAbQBUACwAIABGAHIAYQBjAEcAQQBTAE0AXwBtAFQALABcAG4AIAAgACAAIABNAE4AXwBqAG0AVAAgACoAIABGAHIAYQBjAEcAQQBTAE0AXwBtAFQAXABuACAAIAApADsAXABuAFwAbgBWAEUARQBSAEcAXwA0AF8AMQBfADEAXwA1AF8AXwAyAF8AVgBvAGwAYQB0AGkAbABpAHMAZQBkAE4AaQB0AHIAbwBnAGUAbgBGAHIAbwBtAE0AYQBuAHUAcgBlAE0AYQBuAGEAZwBlAG0AZQBuAHQAXwBUAGkAdABsAGUAXABuACAAIAA9AEwAQQBNAEIARABBACgAXAAiAFYAbwBsAGEAdABpAGwAaQBzAGUAZAAgAG4AaQB0AHIAbwBnAGUAbgAgAGYAcgBvAG0AIABtAGEAbgB1AHIAZQAgAG0AYQBuAGEAZwBlAG0AZQBuAHQAXAAiACkAOwBcAG4AXABuAFYARQBFAFIARwBfADQAXwAxAF8AMQBfADUAXwBfADIAXwBWAG8AbABhAHQAaQBsAGkAcwBlAGQATgBpAHQAcgBvAGcAZQBuAEYAcgBvAG0ATQBhAG4AdQByAGUATQBhAG4AYQBnAGUAbQBlAG4AdABfAFYAYQByAGkAYQBiAGwAZQBcAG4AIAAgAD0ATABBAE0AQgBEAEEAKABcACIATQBNAFMAXwBBAFQATQBPAFMAXAAiACkAOwBcAG4AXABuAFYARQBFAFIARwBfADQAXwAxAF8AMQBfADUAXwBfADIAXwBWAG8AbABhAHQAaQBsAGkAcwBlAGQATgBpAHQAcgBvAGcAZQBuAEYAcgBvAG0ATQBhAG4AdQByAGUATQBhAG4AYQBnAGUAbQBlAG4AdABfAFUAbgBpAHQAXABuACAAIAA9AEwAQQBNAEIARABBACgAXAAiAGsAZwAgAE4AXAAiACkAOwBcAG4AXABuAFYARQBFAFIARwBfADQAXwAxAF8AMQBfADUAXwBfADIAXwBWAG8AbABhAHQAaQBsAGkAcwBlAGQATgBpAHQAcgBvAGcAZQBuAEYAcgBvAG0ATQBhAG4AdQByAGUATQBhAG4AYQBnAGUAbQBlAG4AdABfAFMAbwB1AHIAYwBlAFwAbgAgACAAPQBMAEEATQBCAEQAQQAoAFwAIgBWAEUARQBSAEcAIAAyADAAMgA2ADoAIAA0AC4AMQAuADEALgA1ACwAIABFAHEAdQBhAHQAaQBvAG4AIAAoADIAKQBcACIAKQA7AFwAbgBcAG4AVgBFAEUAUgBHAF8ANABfADEAXwAxAF8ANQBfAF8AMgBfAFYAbwBsAGEAdABpAGwAaQBzAGUAZABOAGkAdAByAG8AZwBlAG4ARgByAG8AbQBNAGEAbgB1AHIAZQBNAGEAbgBhAGcAZQBtAGUAbgB0AF8ATgBJAFIAUgBlAGYAZQByAGUAbgBjAGUAXABuACAAIAA9AEwAQQBNAEIARABBACgAXAAiAFwAIgApADsAXABuAFwAbgBWAEUARQBSAEcAXwA0AF8AMQBfADEAXwA1AF8AXwAyAF8AVgBvAGwAYQB0AGkAbABpAHMAZQBkAE4AaQB0AHIAbwBnAGUAbgBGAHIAbwBtAE0AYQBuAHUAcgBlAE0AYQBuAGEAZwBlAG0AZQBuAHQ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MQBfADEAXwA1AF8AXwAyAF8AVgBvAGwAYQB0AGkAbABpAHMAZQBkAE4AaQB0AHIAbwBnAGUAbgBGAHIAbwBtAE0AYQBuAHUAcgBlAE0AYQBuAGEAZwBlAG0AZQBuAHQAXwBBAHIAZwB1AG0AZQBuAHQAcwBcAG4AIAAgAD0ATABBAE0AQgBEAEEAKABcAG4AIAAgACAAIABNAEEASwBFAEEAUgBSAEEAWQAoADIALAAgADQALABcAG4AIAAgACAAIAAgACAATABBAE0AQgBEAEEAKAByACwAYwAsAFwAbgAgACAAIAAgACAAIAAgACAASQBOAEQARQBYACgAewBcAG4AIAAgACAAIAAgACAAIAAgACAAIABcACIATQBOAF8AagBtAFQAXAAiACwAXAAiAG4AaQB0AHIAbwBnAGUAbgAgAGkAbgAgAGUAYQBjAGgAIAB0AHIAZQBhAHQAbQBlAG4AdAAgAHMAdABhAGcAZQAgAE0ATQBTACAAKABlAHgAYwBsAHUAZABpAG4AZwAgAE0ATgBfAGkAagBtADEAMwBUADIAKQBcACIALAAgAFwAIgBrAGcAIABOAFwAIgAsACAAXAAiAEMAYQBsAGMAdQBsAGEAdABlAGQAIABmAHIAbwBtACAANAAuADEALgAxAC4AMwAgACgAMgApACgANgApACgAOA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EYAZQBlAGQAbABvAHQ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MAIABNAGUAdABoAG8AZAAgADEAIAAtACAATQBhAG4AdQByAGUAIABEAGkAcgBlAGMAdAAgAE4AMgBP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zAF8AXwAxAF8AVABvAHQAYQBsAEEAbgBuAHUAYQBsAEQAaQByAGUAYwB0AE4AaQB0AHIAbwB1AHMATwB4AGkAZABlAEUAbQBpAHMAcwBpAG8AbgBz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jAGEAdAB0AGwAZQAgAGcAcgBvAHUAcA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zAF8AXwAxAF8AVABvAHQAYQBsAEEAbgBuAHUAYQBsAEQAaQByAGUAYwB0AE4AaQB0AHIAbwB1AHMATwB4AGkAZABlAEUAbQBpAHMAcwBpAG8AbgBzAFwAbgAgACAAPQBMAEEATQBCAEQAQQAoAFwAbgAgACAAIAAgAE0ATgBfAGoAbQBUACwAIABFAEYAXwBqAG0ALAAgAEMAXwBOADIATwAsAFwAbgAgACAAIAAgAFMAVQBNAFAAUgBPAEQAVQBDAFQAKABNAE4AXwBqAG0AVAAsACAARQBGAF8AagBtACwAIABDAF8ATgAyAE8AKQAgACoAIAAxADAAIABeACAALQAzAFwAbgAgACAAKQA7AFwAbgBcAG4AVgBFAEUAUgBHAF8ANABfADEAXwAxAF8AMwBfAF8AMQBfAFQAbwB0AGEAbABBAG4AbgB1AGEAbABEAGkAcgBlAGMAdABOAGkAdAByAG8AdQBzAE8AeABpAGQAZQBFAG0AaQBzAHMAaQBvAG4Ac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QBfADEAXwAzAF8AXwAxAF8AVABvAHQAYQBsAEEAbgBuAHUAYQBsAEQAaQByAGUAYwB0AE4AaQB0AHIAbwB1AHMATwB4AGkAZABlAEUAbQBpAHMAcwBpAG8AbgBzAF8AVgBhAHIAaQBhAGIAbABlAFwAbgAgACAAPQBMAEEATQBCAEQAQQAoAFwAIgBFAF8ATgAyAE8AZABpAHIAXAAiACkAOwBcAG4AXABuAFYARQBFAFIARwBfADQAXwAxAF8AMQBfADMAXwBfADEAXwBUAG8AdABhAGwAQQBuAG4AdQBhAGwARABpAHIAZQBjAHQATgBpAHQAcgBvAHUAcwBPAHgAaQBkAGUARQBtAGkAcwBzAGkAbwBuAHMAXwBVAG4AaQB0AFwAbgAgACAAPQBMAEEATQBCAEQAQQAoAFwAIgB0ACAATgAyAE8AXAAiACkAOwBcAG4AXABuAFYARQBFAFIARwBfADQAXwAxAF8AMQBfADMAXwBfADEAXwBUAG8AdABhAGwAQQBuAG4AdQBhAGwARABpAHIAZQBjAHQATgBpAHQAcgBvAHUAcwBPAHgAaQBkAGUARQBtAGkAcwBzAGkAbwBuAHMAXwBTAG8AdQByAGMAZQBcAG4AIAAgAD0ATABBAE0AQgBEAEEAKABcACIAVgBFAEUAUgBHACAAMgAwADIANgA6ACAANAAuADEALgAxAC4AMwAsACAARQBxAHUAYQB0AGkAbwBuACAAKAAxACkAXAAiACkAOwBcAG4AXABuAFYARQBFAFIARwBfADQAXwAxAF8AMQBfADMAXwBfADEAXwBUAG8AdABhAGwAQQBuAG4AdQBhAGwARABpAHIAZQBjAHQATgBpAHQAcgBvAHUAcwBPAHgAaQBkAGUARQBtAGkAcwBzAGkAbwBuAHMAXwBOAEkAUgBSAGUAZgBlAHIAZQBuAGMAZQBcAG4AIAAgAD0ATABBAE0AQgBEAEEAKABcACIAXAAiACkAOwBcAG4AXABuAFYARQBFAFIARwBfADQAXwAxAF8AMQBfADMAXwBfADEAXwBUAG8AdABhAGwAQQBuAG4AdQBhAGwARABpAHIAZQBjAHQATgBpAHQAcgBvAHUAcwBPAHgAaQBkAGUARQBtAGkAcwBzAGkAbwBuAH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EAXwAxAF8AMwBfAF8AMQBfAFQAbwB0AGEAbABBAG4AbgB1AGEAbABEAGkAcgBlAGMAdABOAGkAdAByAG8AdQBzAE8AeABpAGQAZQBFAG0AaQBzAHMAaQBvAG4AcwBfAEEAcgBnAHUAbQBlAG4AdABzAFwAbgAgACAAPQBMAEEATQBCAEQAQQAoAFwAbgAgACAAIAAgAE0AQQBLAEUAQQBSAFIAQQBZACgAMwAsACAANAAsAFwAbgAgACAAIAAgACAAIABMAEEATQBCAEQAQQAoAHIALABjACwAXABuACAAIAAgACAAIAAgACAAIABJAE4ARABFAFgAKAB7AFwAbgAgACAAIAAgACAAIAAgACAAIAAgAFwAIgBNAE4AXwBqAG0AVABcACIALABcACIAbgBpAHQAcgBvAGcAZQBuACAAcABlAHIAIABjAGEAdAB0AGwAZQAgAGcAcgBvAHUAcAAsACAATQBNAFMAIABhAG4AZAAgAHQAcgBlAGEAdABtAGUAbgB0ACAAcwB0AGEAZwBlAFwAIgAsACAAXAAiAGsAZwAgAE4AXAAiACwAIABcACIAQwBhAGwAYwB1AGwAYQB0AGUAZAAgAGYAcgBvAG0AIAA0AC4AMQAuADEALgAzACAAKAAyACkAKAA2ACkAKAA4ACkAXAAiADsAXABuACAAIAAgACAAIAAgACAAIAAgACAAXAAiAEUARgBfAGoAbQBcACIALABcACIAbgBpAHQAcgBvAHUAcwAgAG8AeABpAGQAZQAgAGUAbQBpAHMAcwBpAG8AbgAgAGYAYQBjAHQAbwByACAAZgBvAHIAIABNAE0AUwBcACIAL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UAVAAxAFwAIgAsAFwAIgBmAHIAYQBjAHQAaQBvAG4AIABvAGYAIABtAGEAbgB1AHIAZQAgAGkAbgAgAHAAcgBpAG0AYQByAHkAIABzAHkAcwB0AGUAbQAgAGQAcgB5AGwAbwB0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zAF8AQQBuAG4AdQBhAGwATgBpAHQAcgBvAGcAZQBuAEUAeABjAHIAZQB0AGkAbwBuAFwAbgBBAG4AbgB1AGEAbAAgAG4AaQB0AHIAbwBnAGUAbgAgAGUAeABjAHIAZQB0AGkAbwBuACAAZgByAG8AbQAgAGUAYQBjAGgAIABmAGUAZQBkAGwAbwB0ACAAYwBhAHQAdABsAGUAIABnAHIAbwB1AHAAXABuAEEARQBfAGoAXABuAGsAZwAgAE4AXABuAEEARQBfAHsAagB9AD0ATgBfAHsAagB9AFwAXAB0AGkAbQBlAHMAIABOAEUAXwB7AGoAfQBcAFwAdABpAG0AZQBzACAARABfAHsAagB9AFwAbgBOAF8AagAgAD0AIABuAHUAbQBiAGUAcgAgAG8AZgAgAGMAYQB0AHQAbABlACAAaQBuACAAZQBhAGMAaAAgAGcAcgBvAHUAcAAgADoAIABoAGUAYQBkAFwAbgBOAEUAXwBqACAAPQAgAG4AaQB0AHIAbwBnAGUAbgAgAGUAeABjAHIAZQB0AGkAbwBuACAAOgAgAGsAZwAgAE4ALwBoAGUAYQBkAC8AZABhAHkAXABuAEQAXwBqACAAPQAgAGQAdQByAGEAdABpAG8AbgAgAG8AZgAgAHMAdABhAHkAIABvAGYAIABjAGEAdAB0AGwAZQAgAGcAcgBvAHUAcAAgADoAIABkAGEAeQBzAFwAbgAtAC0ALQAtAC0ALQAtAC0ALQAtAC0ALQAtAC0ALQAtAC0ALQAtAC0ALQAtAC0ALQAtAC0ALQAtAC0ALQAtAC0ALQAtAC0ALQAtAC0AXABuACoALwBcAG4AXABuAFYARQBFAFIARwBfADQAXwAxAF8AMQBfADMAXwBfADMAXwBBAG4AbgB1AGEAbABOAGkAdAByAG8AZwBlAG4ARQB4AGMAcgBlAHQAaQBvAG4AXABuACAAIAA9AEwAQQBNAEIARABBACgAXABuACAAIAAgACAATgBfAGoALAAgAE4ARQBfAGoALAAgAEQAXwBqACwAXABuACAAIAAgACAATgBfAGoAIAAqACAATgBFAF8AagAgACoAIABEAF8AagBcAG4AIAAgACkAOwBcAG4AXABuAFYARQBFAFIARwBfADQAXwAxAF8AMQBfADMAXwBfADMAXwBBAG4AbgB1AGEAbABOAGkAdAByAG8AZwBlAG4ARQB4AGMAcgBlAHQAaQBvAG4AXwBUAGkAdABsAGUAXABuACAAIAA9AEwAQQBNAEIARABBACgAXAAiAEEAbgBuAHUAYQBsACAAbgBpAHQAcgBvAGcAZQBuACAAZQB4AGMAcgBlAHQAaQBvAG4AIABmAHIAbwBtACAAZQBhAGMAaAAgAGYAZQBlAGQAbABvAHQAIABjAGEAdAB0AGwAZQAgAGcAcgBvAHUAcABcACIAKQA7AFwAbgBcAG4AVgBFAEUAUgBHAF8ANABfADEAXwAxAF8AMwBfAF8AMwBfAEEAbgBuAHUAYQBsAE4AaQB0AHIAbwBnAGUAbgBFAHgAYwByAGUAdABpAG8AbgBfAFYAYQByAGkAYQBiAGwAZQBcAG4AIAAgAD0ATABBAE0AQgBEAEEAKABcACIAQQBFAF8AagBcACIAKQA7AFwAbgBcAG4AVgBFAEUAUgBHAF8ANABfADEAXwAxAF8AMwBfAF8AMwBfAEEAbgBuAHUAYQBsAE4AaQB0AHIAbwBnAGUAbgBFAHgAYwByAGUAdABpAG8AbgBfAFUAbgBpAHQAXABuACAAIAA9AEwAQQBNAEIARABBACgAXAAiAGsAZwAgAE4AXAAiACkAOwBcAG4AXABuAFYARQBFAFIARwBfADQAXwAxAF8AMQBfADMAXwBfADMAXwBBAG4AbgB1AGEAbABOAGkAdAByAG8AZwBlAG4ARQB4AGMAcgBlAHQAaQBvAG4AXwBTAG8AdQByAGMAZQBcAG4AIAAgAD0ATABBAE0AQgBEAEEAKABcACIAVgBFAEUAUgBHACAAMgAwADIANgA6ACAANAAuADEALgAxAC4AMwAsACAARQBxAHUAYQB0AGkAbwBuACAAKAAzACkAXAAiACkAOwBcAG4AXABuAFYARQBFAFIARwBfADQAXwAxAF8AMQBfADMAXwBfADMAXwBBAG4AbgB1AGEAbABOAGkAdAByAG8AZwBlAG4ARQB4AGMAcgBlAHQAaQBvAG4AXwBOAEkAUgBSAGUAZgBlAHIAZQBuAGMAZQBcAG4AIAAgAD0ATABBAE0AQgBEAEEAKABcACIAXAAiACkAOwBcAG4AXABuAFYARQBFAFIARwBfADQAXwAxAF8AMQBfADMAXwBfADMAXwBBAG4AbgB1AGEAbABOAGkAdAByAG8AZwBlAG4ARQB4AGMAcgBlAHQAaQBvAG4AXwBMAGEAdABlAHgARQBxAHUAYQB0AGkAbwBuAFwAbgAgACAAPQBMAEEATQBCAEQAQQAoAFwAIgBBAEUAXwB7AGoAfQA9AE4AXwB7AGoAfQBcAFwAdABpAG0AZQBzACAATgBFAF8AewBqAH0AXABcAHQAaQBtAGUAcwAgAEQAXwB7AGoAfQBcACIAKQA7AFwAbgBcAG4AVgBFAEUAUgBHAF8ANABfADE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BcACIAbgB1AG0AYgBlAHIAIABvAGYAIABjAGEAdAB0AGwAZQAgAGkAbgAgAGUAYQBjAGgAIABnAHIAbwB1AHAAXAAiACwAIABcACIAaABlAGEAZABcACIALAAgAFwAIgBJAG4AcAB1AHQAXAAiADsAXABuACAAIAAgACAAIAAgACAAIAAgACAAXAAiAE4ARQBfAGoAXAAiACwAXAAiAG4AaQB0AHIAbwBnAGUAbgAgAGUAeABjAHIAZQB0AGkAbwBuAFwAIgAsACAAXAAiAGsAZwAgAE4ALwBoAGUAYQBkAC8AZABhAHkAXAAiACwAIABcACIAQwBhAGwAYwB1AGwAYQB0AGUAZAAgAGYAcgBvAG0AIAA0AC4AMQAuADEALgAzACAAKAA0ACkAXAAiADsAXABuACAAIAAgACAAIAAgACAAIAAgACAAXAAiAEQAXwBqAFwAIgAsAFwAIgBkAHUAcgBhAHQAaQBvAG4AIABvAGYAIABzAHQAYQB5ACAAbwBmACAAYwBhAHQAdABs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NAAsAFwAbgAgACAAIAAgACAAIABMAEEATQBCAEQAQQAoAHIALABjACwAXABuACAAIAAgACAAIAAgACAAIABJAE4ARABFAFgAKAB7AFwAbgAgACAAIAAgACAAIAAgACAAIAAgAFwAIgBOAEkAXwBqAFwAIgAsAFwAIgBuAGkAdAByAG8AZwBlAG4AIABpAG4AdABhAGsAZQBcACIALAAgAFwAIgBrAGcAIABOAC8AaABlAGEAZAAvAGQAYQB5AFwAIgAsACAAXAAiAEMAYQBsAGMAdQBsAGEAdABlAGQAIABmAHIAbwBtACAANAAuADEALgAxAC4AMwAgACgANQApAFwAIgA7AFwAbgAgACAAIAAgACAAIAAgACAAIAAgAFwAIgBOAFIAXwBqAFwAIgAsAFwAIgBuAGkAdAByAG8AZwBlAG4AIAByAGUAdABlAG4AdABpAG8AbgAgAGUAeABwAHIAZQBzAHMAZQBkACAAYQBzACAAYQAgAGYAcgBhAGMAdABpAG8AbgAgAG8AZg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QBfAE4AaQB0AHIAbwBnAGUAbgBJAG4AdABhAGsAZQBcAG4ATgBpAHQAcgBvAGcAZQBuACAAaQBuAHQAYQBrAGUAIABvAGYAIABmAGUAZQBkAGwAbwB0ACAAYwBhAHQAdABsAGUAXABuAE4ASQBfAGoAXABuAGsAZwAgAE4ALwBoAGUAYQBkAC8AZABhAHkAXABuAE4ASQBfAHsAagB9AD0ASQBfAHsAagB9AFwAXAB0AGkAbQBlAHMAIABDAFAAXwB7AGoAfQBcAFwAZABpAHYAIAA2AC4AMgA1AFwAbgBJAF8AagAgAD0AIABkAHIAeQAgAG0AYQB0AHQAZQByACAAaQBuAHQAYQBrAGUAIAA6ACAAawBnACAARABNAC8AaABlAGEAZAAvAGQAYQB5AFwAbgBDAFAAXwBq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EAXwAxAF8AMwBfAF8ANQBfAE4AaQB0AHIAbwBnAGUAbgBJAG4AdABhAGsAZQBcAG4AIAAgAD0ATABBAE0AQgBEAEEAKABcAG4AIAAgACAAIABJAF8AagAsACAAQwBQAF8AagAsAFwAbgAgACAAIAAgAEkAXwBqACAAKgAgAEMAUABfAGoAIAAvACAANgAuADIANQBcAG4AIAAgACkAOwBcAG4AXABuAFYARQBFAFIARwBfADQAXwAxAF8AMQBfADMAXwBfADUAXwBOAGkAdAByAG8AZwBlAG4ASQBuAHQAYQBrAGUAXwBUAGkAdABsAGUAXABuACAAIAA9AEwAQQBNAEIARABBACgAXAAiAE4AaQB0AHIAbwBnAGUAbgAgAGkAbgB0AGEAawBlACAAbwBmACAAZgBlAGUAZABsAG8AdAAgAGMAYQB0AHQAbABlAFwAIgApADsAXABuAFwAbgBWAEUARQBSAEcAXwA0AF8AMQBfADEAXwAzAF8AXwA1AF8ATgBpAHQAcgBvAGcAZQBuAEkAbgB0AGEAawBlAF8AVgBhAHIAaQBhAGIAbABlAFwAbgAgACAAPQBMAEEATQBCAEQAQQAoAFwAIgBOAEkAXwBqAFwAIgApADsAXABuAFwAbgBWAEUARQBSAEcAXwA0AF8AMQBfADEAXwAzAF8AXwA1AF8ATgBpAHQAcgBvAGcAZQBuAEkAbgB0AGEAawBlAF8AVQBuAGkAdABcAG4AIAAgAD0ATABBAE0AQgBEAEEAKABcACIAawBnACAATgAvAGgAZQBhAGQALwBkAGEAeQBcACIAKQA7AFwAbgBcAG4AVgBFAEUAUgBHAF8ANABfADEAXwAxAF8AMwBfAF8ANQBfAE4AaQB0AHIAbwBnAGUAbgBJAG4AdABhAGsAZQBfAFMAbwB1AHIAYwBlAFwAbgAgACAAPQBMAEEATQBCAEQAQQAoAFwAIgBWAEUARQBSAEcAIAAyADAAMgA2ADoAIAA0AC4AMQAuADEALgAzACwAIABFAHEAdQBhAHQAaQBvAG4AIAAoADUAKQBcACIAKQA7AFwAbgBcAG4AVgBFAEUAUgBHAF8ANABfADEAXwAxAF8AMwBfAF8ANQBfAE4AaQB0AHIAbwBnAGUAbgBJAG4AdABhAGsAZQBfAE4ASQBSAFIAZQBmAGUAcgBlAG4AYwBlAFwAbgAgACAAPQBMAEEATQBCAEQAQQAoAFwAIgBcACIAKQA7AFwAbgBcAG4AVgBFAEUAUgBHAF8ANABfADEAXwAxAF8AMwBfAF8ANQBfAE4AaQB0AHIAbwBnAGUAbgBJAG4AdABhAGsAZQBfAEwAYQB0AGUAeABFAHEAdQBhAHQAaQBvAG4AXABuACAAIAA9AEwAQQBNAEIARABBACgAXAAiAE4ASQBfAHsAagB9AD0ASQBfAHsAagB9AFwAXAB0AGkAbQBlAHMAIABDAFAAXwB7AGoAfQBcAFwAZABpAHYAIAA2AC4AMgA1AFwAIgApADsAXABuAFwAbgBWAEUARQBSAEcAXwA0AF8AMQ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XAAiACwAIABcACIAawBnACAARABNAC8AaABlAGEAZAAvAGQAYQB5AFwAIgAsACAAXAAiAEkAbgBwAHUAdABcACIAOwBcAG4AIAAgACAAIAAgACAAIAAgACAAIABcACIAQwBQAF8Aag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OgAgAGsAZwAgAE4AXABuAE0ATQBTAF8AagBtAFQAMgAgAD0AIABmAHIAYQBjAHQAaQBvAG4AIABvAGYAIABtAGEAbgB1AHIAZQAgAGkAbgAgAGUAYQBjAGgAIABzAGUAYwBvAG4AZABhAHIAeQAgAHMAeQBzAHQAZQBtACAAOgAgAGYAcgBhAGMAdABpAG8AbgBcAG4ALQAtAC0ALQAtAC0ALQAtAC0ALQAtAC0ALQAtAC0ALQAtAC0ALQAtAC0ALQAtAC0ALQAtAC0ALQAtAC0ALQAtAC0ALQAtAC0ALQAtAFwAbgAqAC8AXABuAFwAbgBWAEUARQBSAEcAXwA0AF8AM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xAF8AMQBfADMAXwBfADYAXwBTAHQAYQBnAGUAMgBOAGkAdAByAG8AZwBlAG4ASQBuAE0ATQBTAF8AVABpAHQAbABlAFwAbgAgACAAPQBMAEEATQBCAEQAQQAoAFwAIgBOAGkAdAByAG8AZwBlAG4AIABpAG4AIAB0AHIAZQBhAHQAbQBlAG4AdAAgAHMAdABhAGcAZQAgADIAIABNAE0AUwBcACIAKQA7AFwAbgBcAG4AVgBFAEUAUgBHAF8ANABfADEAXwAxAF8AMwBfAF8ANgBfAFMAdABhAGcAZQAyAE4AaQB0AHIAbwBnAGUAbgBJAG4ATQBNAFMAXwBWAGEAcgBpAGEAYgBsAGUAXABuACAAIAA9AEwAQQBNAEIARABBACgAXAAiAE0ATgBfAGoAbQBUADIAXAAiACkAOwBcAG4AXABuAFYARQBFAFIARwBfADQAXwAxAF8AMQBfADMAXwBfADYAXwBTAHQAYQBnAGUAMgBOAGkAdAByAG8AZwBlAG4ASQBuAE0ATQBTAF8AVQBuAGkAdABcAG4AIAAgAD0ATABBAE0AQgBEAEEAKABcACIAawBnACAATgBcACIAKQA7AFwAbgBcAG4AVgBFAEUAUgBHAF8ANABfADEAXwAxAF8AMwBfAF8ANgBfAFMAdABhAGcAZQAyAE4AaQB0AHIAbwBnAGUAbgBJAG4ATQBNAFMAXwBTAG8AdQByAGMAZQBcAG4AIAAgAD0ATABBAE0AQgBEAEEAKABcACIAVgBFAEUAUgBHACAAMgAwADIANgA6ACAANAAuADEALgAxAC4AMwAsACAARQBxAHUAYQB0AGkAbwBuACAAKAA2ACkAXAAiACkAOwBcAG4AXABuAFYARQBFAFIARwBfADQAXwAxAF8AMQBfADMAXwBfADYAXwBTAHQAYQBnAGUAMgBOAGkAdAByAG8AZwBlAG4ASQBuAE0ATQBTAF8ATgBJAFIAUgBlAGYAZQByAGUAbgBjAGUAXABuACAAIAA9AEwAQQBNAEIARABBACgAXAAiAFwAIgApADsAXABuAFwAbgBWAEUARQBSAEcAXwA0AF8AM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x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XAAiAG4AaQB0AHIAbwBnAGUAbgAgAHQAcgBhAG4AcwBmAGUAcgByAGUAZAAgAHQAbwAgAHMAZQBjAG8AbgBkAGEAcgB5ACAAdAByAGUAYQB0AG0AZQBuAHQAIABNAE0AUwBcACIALAAgAFwAIgBrAGcAIABOAFwAIgAsACAAXAAiAEMAYQBsAGMAdQBsAGEAdABlAGQAIABmAHIAbwBtACAANAAuADEALgAxAC4AMwAgACgANwApAFwAIgA7AFwAbgAgACAAIAAgACAAIAAgACAAIAAgAFwAIgBNAE0AUwBfAGo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3AF8ATgBpAHQAcgBvAGcAZQBuAFQAcgBhAG4AcwBmAGUAcgByAGUAZABUAG8AUwB0AGEAZwBlADIAXABuAE4AaQB0AHIAbwBnAGUAbgAgAHQAcgBhAG4AcwBmAGUAcgByAGUAZAAgAHQAbwAgAHQAcgBlAGEAdABtAGUAbgB0ACAAcwB0AGEAZwBlACAAMgAgAE0ATQBTAFwAbgBOAFQAXwBqAG0AVAAyAFwAbgBrAGcAIABOAFwAbgBOAFQAXwB7AGoAbQAsAFQAPQAyAH0APQAoAE0ATgBfAHsAagBtAD0ANQAsAFQAPQAxAH0AXABcAHQAaQBtAGUAcwAoADEALQBGAHIAYQBjAEcAQQBTAE0AXwB7AG0APQA1AH0ALQBFAEYAXwB7AG0APQA1AH0AKQApAC0ATQBOAF8AewBqAG0ALABUAD0AMwB9AFwAbgBNAE4AXwBqAG0ANQBUADEAIAA9ACAAbgBpAHQAcgBvAGcAZQBuACAAaQBuACAATQBNAFMAIAB0AHIAZQBhAHQAbQBlAG4AdAAgAHMAdABhAGcAZQAgADEAIAA6ACAAawBnACAATgBcAG4ARgByAGEAYwBHAEEAUwBNAF8AbQA1ACAAPQAgAGYAcgBhAGMAdABpAG8AbgAgAG8AZgAgAE4AIAB2AG8AbABhAHQAaQBsAGkAcwBlAGQAIABmAHIAbwBtACAAZAByAHkAbABvAHQAIABNAE0AUwAgADoAIABmAHIAYQBjAHQAaQBvAG4AXABuAEUARgBfAG0ANQAgAD0AIABuAGkAdAByAG8AdQBzACAAbwB4AGkAZABlACAAZQBtAGkAcwBzAGkAbwBuACAAZgBhAGMAdABvAHIAIABmAG8AcgAgAGQAcgB5AGwAbwB0ACAATQBNAFMAIAA6ACAAawBnACAATgAyAE8ALQBOAC8AawBnACAATgAgAGQAZQBwAG8AcwBpAHQAZQBkAFwAbgBNAE4AXwBqAG0AVAAzACAAPQAgAG4AaQB0AHIAbwBnAGUAbgAgAGkAbgAgAE0ATQBTACAAdAByAGUAYQB0AG0AZQBuAHQAIABzAHQAYQBnAGUAIAAzACAAOgAgAGsAZwAgAE4AXABuAC0ALQAtAC0ALQAtAC0ALQAtAC0ALQAtAC0ALQAtAC0ALQAtAC0ALQAtAC0ALQAtAC0ALQAtAC0ALQAtAC0ALQAtAC0ALQAtAC0ALQBcAG4AKgAvAFwAbgBcAG4AVgBFAEUAUgBHAF8ANABfADEAXwAxAF8AMwBfAF8ANwBfAE4AaQB0AHIAbwBnAGUAbgBUAHIAYQBuAHMAZgBlAHIAcgBlAGQAVABvAFMAdABhAGcAZQAyAFwAbgAgACAAPQBMAEEATQBCAEQAQQAoAFwAbgAgACAAIAAgAE0ATgBfAGoAbQA1AFQAMQAsACAARgByAGEAYwBHAEEAUwBNAF8AbQA1ACwAIABFAEYAXwBtADUALAAgAE0ATgBfAGoAbQBUADMALABcAG4AIAAgACAAIAAoAE0ATgBfAGoAbQA1AFQAMQAgACoAIAAoADEAIAAtACAARgByAGEAYwBHAEEAUwBNAF8AbQA1ACAALQAgAEUARgBfAG0ANQApACkAIAAtACAATQBOAF8AagBtAFQAMwBcAG4AIAAgACkAOwBcAG4AXABuAFYARQBFAFIARwBfADQAXwAxAF8AMQBfADMAXwBfADcAXwBOAGkAdAByAG8AZwBlAG4AVAByAGEAbgBzAGYAZQByAHIAZQBkAFQAbwBTAHQAYQBnAGUAMgBfAFQAaQB0AGwAZQBcAG4AIAAgAD0ATABBAE0AQgBEAEEAKABcACIATgBpAHQAcgBvAGcAZQBuACAAdAByAGEAbgBzAGYAZQByAHIAZQBkACAAdABvACAAdAByAGUAYQB0AG0AZQBuAHQAIABzAHQAYQBnAGUAIAAyACAATQBNAFMAXAAiACkAOwBcAG4AXABuAFYARQBFAFIARwBfADQAXwAxAF8AMQBfADMAXwBfADcAXwBOAGkAdAByAG8AZwBlAG4AVAByAGEAbgBzAGYAZQByAHIAZQBkAFQAbwBTAHQAYQBnAGUAMgBfAFYAYQByAGkAYQBiAGwAZQBcAG4AIAAgAD0ATABBAE0AQgBEAEEAKABcACIATgBUAF8AagBtAFQAMgBcACIAKQA7AFwAbgBcAG4AVgBFAEUAUgBHAF8ANABfADEAXwAxAF8AMwBfAF8ANwBfAE4AaQB0AHIAbwBnAGUAbgBUAHIAYQBuAHMAZgBlAHIAcgBlAGQAVABvAFMAdABhAGcAZQAyAF8AVQBuAGkAdABcAG4AIAAgAD0ATABBAE0AQgBEAEEAKABcACIAawBnACAATgBcACIAKQA7AFwAbgBcAG4AVgBFAEUAUgBHAF8ANABfADEAXwAxAF8AMwBfAF8ANwBfAE4AaQB0AHIAbwBnAGUAbgBUAHIAYQBuAHMAZgBlAHIAcgBlAGQAVABvAFMAdABhAGcAZQAyAF8AUwBvAHUAcgBjAGUAXABuACAAIAA9AEwAQQBNAEIARABBACgAXAAiAFYARQBFAFIARwAgADIAMAAyADYAOgAgADQALgAxAC4AMQAuADMALAAgAEUAcQB1AGEAdABpAG8AbgAgACgANwApAFwAIgApADsAXABuAFwAbgBWAEUARQBSAEcAXwA0AF8AMQBfADEAXwAzAF8AXwA3AF8ATgBpAHQAcgBvAGcAZQBuAFQAcgBhAG4AcwBmAGUAcgByAGUAZABUAG8AUwB0AGEAZwBlADIAXwBOAEkAUgBSAGUAZgBlAHIAZQBuAGMAZQBcAG4AIAAgAD0ATABBAE0AQgBEAEEAKABcACIAXAAiACkAOwBcAG4AXABuAFYARQBFAFIARwBfADQAXwAxAF8AMQBfADMAXwBfADcAXwBOAGkAdAByAG8AZwBlAG4AVAByAGEAbgBzAGYAZQByAHIAZQBkAFQAbwBTAHQAYQBnAGUAMgBfAEwAYQB0AGUAeABFAHEAdQBhAHQAaQBvAG4AXABuACAAIAA9AEwAQQBNAEIARABBACgAXAAiAE4AVABfAHsAagBtACwAVAA9ADIAfQA9ACgATQBOAF8AewBqAG0APQA1ACwAVAA9ADEAfQBcAFwAdABpAG0AZQBzACgAMQAtAEYAcgBhAGMARwBBAFMATQBfAHsAbQA9ADUAfQAtAEUARgBfAHsAbQA9ADUAfQApACkALQBNAE4AXwB7AGoAbQAsAFQAPQAzAH0AXAAiACkAOwBcAG4AXABuAFYARQBFAFIARwBfADQAXwAxAF8AMQBfADMAXwBfADcAXwBOAGkAdAByAG8AZwBlAG4AVAByAGEAbgBzAGYAZQByAHIAZQBkAFQAbwBTAHQAYQBnAGUAMgBfAEEAcgBnAHUAbQBlAG4AdABzAFwAbgAgACAAPQBMAEEATQBCAEQAQQAoAFwAbgAgACAAIAAgAE0AQQBLAEUAQQBSAFIAQQBZACgANAAsACAANAAsAFwAbgAgACAAIAAgACAAIABMAEEATQBCAEQAQQAoAHIALABjACwAXABuACAAIAAgACAAIAAgACAAIABJAE4ARABFAFgAKAB7AFwAbgAgACAAIAAgACAAIAAgACAAIAAgAFwAIgBNAE4AXwBqAG0ANQBUADEAXAAiACwAXAAiAG4AaQB0AHIAbwBnAGUAbgAgAGkAbgAgAE0ATQBTACAAdAByAGUAYQB0AG0AZQBuAHQAIABzAHQAYQBnAGUAIAAxAFwAIgAsACAAXAAiAGsAZwAgAE4AXAAiACwAIABcACIAQwBhAGwAYwB1AGwAYQB0AGUAZAAgAGYAcgBvAG0AIAA0AC4AMQAuADEALgAzACAAKAAyACkAXAAiADsAXABuACAAIAAgACAAIAAgACAAIAAgACAAXAAiAEYAcgBhAGMARwBBAFMATQBfAG0ANQBcACIALABcACIAZgByAGEAYwB0AGkAbwBuACAAbwBmACAATgAgAHYAbwBsAGEAdABpAGwAaQBzAGUAZAAgAGYAcgBvAG0AIABkAHIAeQBsAG8AdAAgAE0ATQBTAFwAIgAsACAAXAAiAGYAcgBhAGMAdABpAG8AbgBcACIALAAgAFwAIgBDAG8AbgBzAHQAYQBuAHQAXAAiADsAXABuACAAIAAgACAAIAAgACAAIAAgACAAXAAiAEUARgBfAG0ANQBcACIALABcACIAbgBpAHQAcgBvAHUAcwAgAG8AeABpAGQAZQAgAGUAbQBpAHMAcwBpAG8AbgAgAGYAYQBjAHQAbwByACAAZgBvAHIAIABkAHIAeQBsAG8AdAAgAE0ATQBTAFwAIgAsACAAXAAiAGsAZwAgAE4AMgBPAC0ATgAvAGsAZwAgAE4AIABkAGUAcABvAHMAaQB0AGUAZABcACIALAAgAFwAIgBDAG8AbgBzAHQAYQBuAHQAXAAiADsAXABuACAAIAAgACAAIAAgACAAIAAgACAAXAAiAE0ATgBfAGoAbQBUADMAXAAiACwAXAAiAG4AaQB0AHIAbwBnAGUAbgAgAGkAbgAgAE0ATQBTACAAdAByAGUAYQB0AG0AZQBuAHQAIABzAHQAYQBnAGUAIAAzAFwAIgAsACAAXAAiAGsAZwAgAE4AXAAiACwAIABcACIAQwBhAGwAYwB1AGwAYQB0AGUAZAAgAGYAcgBvAG0AIAA0AC4AMQAuADEALgAzACAAKAA4ACk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OABfAFMAdABhAGcAZQAzAE4AaQB0AHIAbwBnAGUAbgBJAG4ATQBNAFMAQQBuAGEAZQByAG8AYgBpAGMATABhAGcAbwBvAG4AXABuAE4AaQB0AHIAbwBnAGUAbgAgAGkAbgAgAHQAcgBlAGEAdABtAGUAbgB0ACAAcwB0AGEAZwBlACAAMwAgAE0ATQBTAFwAbgBNAE4AXwBqAG0AMQBUADMAXABuAGsAZwAgAE4AXABuAE0ATgBfAHsAagBtAD0AMQAsAFQAPQAzAH0APQBBAEUAXwB7AGoAfQBcAFwAdABpAG0AZQBzACAATQBNAFMAXwB7AGoAbQA9ADEALABUAD0AMwB9AFwAbgBBAEUAXwBqACAAPQAgAHQAbwB0AGEAbAAgAG4AaQB0AHIAbwBnAGUAbgAgAGUAeABjAHIAZQB0AGUAZAAgAGIAeQAgAGUAYQBjAGgAIABjAGEAdAB0AGwAZQAgAGcAcgBvAHUAcAAgADoAIABrAGcAIABOAFwAbgBNAE0AUwBfAGoAbQAxAFQAMwAgAD0AIABmAHIAYQBjAHQAaQBvAG4AIABvAGYAIABtAGEAbgB1AHIAZQAgAHQAbwAgAHQAZQByAHQAaQBhAHIAeQAgAGEAbgBhAGUAcgBvAGIAaQBjACAAbABhAGcAbwBvAG4AIABzAHkAcwB0AGUAbQAgADoAIABmAHIAYQBjAHQAaQBvAG4AXABuAC0ALQAtAC0ALQAtAC0ALQAtAC0ALQAtAC0ALQAtAC0ALQAtAC0ALQAtAC0ALQAtAC0ALQAtAC0ALQAtAC0ALQAtAC0ALQAtAC0ALQBcAG4AKgAvAFwAbgBcAG4AVgBFAEUAUgBHAF8ANABfADEAXwAxAF8AMwBfAF8AOABfAFMAdABhAGcAZQAzAE4AaQB0AHIAbwBnAGUAbgBJAG4ATQBNAFMAQQBuAGEAZQByAG8AYgBpAGMATABhAGcAbwBvAG4AXABuACAAIAA9AEwAQQBNAEIARABBACgAXABuACAAIAAgACAAQQBFAF8AagAsACAATQBNAFMAXwBqAG0AMQBUADMALABcAG4AIAAgACAAIABBAEUAXwBqACAAKgAgAE0ATQBTAF8AagBtADEAVAAzAFwAbgAgACAAKQA7AFwAbgBcAG4AVgBFAEUAUgBHAF8ANABfADEAXwAxAF8AMwBfAF8AOABfAFMAdABhAGcAZQAzAE4AaQB0AHIAbwBnAGUAbgBJAG4ATQBNAFMAQQBuAGEAZQByAG8AYgBpAGMATABhAGcAbwBvAG4AXwBUAGkAdABsAGUAXABuACAAIAA9AEwAQQBNAEIARABBACgAXAAiAE4AaQB0AHIAbwBnAGUAbgAgAGkAbgAgAHQAcgBlAGEAdABtAGUAbgB0ACAAcwB0AGEAZwBlACAAMwAgAE0ATQBTAFwAIgApADsAXABuAFwAbgBWAEUARQBSAEcAXwA0AF8AMQBfADEAXwAzAF8AXwA4AF8AUwB0AGEAZwBlADMATgBpAHQAcgBvAGcAZQBuAEkAbgBNAE0AUwBBAG4AYQBlAHIAbwBiAGkAYwBMAGEAZwBvAG8AbgBfAFYAYQByAGkAYQBiAGwAZQBcAG4AIAAgAD0ATABBAE0AQgBEAEEAKABcACIATQBOAF8AagBtADEAVAAzAFwAIgApADsAXABuAFwAbgBWAEUARQBSAEcAXwA0AF8AMQBfADEAXwAzAF8AXwA4AF8AUwB0AGEAZwBlADMATgBpAHQAcgBvAGcAZQBuAEkAbgBNAE0AUwBBAG4AYQBlAHIAbwBiAGkAYwBMAGEAZwBvAG8AbgBfAFUAbgBpAHQAXABuACAAIAA9AEwAQQBNAEIARABBACgAXAAiAGsAZwAgAE4AXAAiACkAOwBcAG4AXABuAFYARQBFAFIARwBfADQAXwAxAF8AMQBfADMAXwBfADgAXwBTAHQAYQBnAGUAMwBOAGkAdAByAG8AZwBlAG4ASQBuAE0ATQBTAEEAbgBhAGUAcgBvAGIAaQBjAEwAYQBnAG8AbwBuAF8AUwBvAHUAcgBjAGUAXABuACAAIAA9AEwAQQBNAEIARABBACgAXAAiAFYARQBFAFIARwAgADIAMAAyADYAOgAgADQALgAxAC4AMQAuADMALAAgAEUAcQB1AGEAdABpAG8AbgAgACgAOAApAFwAIgApADsAXABuAFwAbgBWAEUARQBSAEcAXwA0AF8AMQBfADEAXwAzAF8AXwA4AF8AUwB0AGEAZwBlADMATgBpAHQAcgBvAGcAZQBuAEkAbgBNAE0AUwBBAG4AYQBlAHIAbwBiAGkAYwBMAGEAZwBvAG8AbgBfAE4ASQBSAFIAZQBmAGUAcgBlAG4AYwBlAFwAbgAgACAAPQBMAEEATQBCAEQAQQAoAFwAIgBcACIAKQA7AFwAbgBcAG4AVgBFAEUAUgBHAF8ANABfADEAXwAxAF8AMwBfAF8AOABfAFMAdABhAGcAZQAzAE4AaQB0AHIAbwBnAGUAbgBJAG4ATQBNAFMAQQBuAGEAZQByAG8AYgBpAGMATABhAGcAbwBvAG4AXwBMAGEAdABlAHgARQBxAHUAYQB0AGkAbwBuAFwAbgAgACAAPQBMAEEATQBCAEQAQQAoAFwAIgBNAE4AXwB7AGoAbQA9ADEALABUAD0AMwB9AD0AQQBFAF8AewBqAH0AXABcAHQAaQBtAGUAcwAgAE0ATQBTAF8AewBqAG0APQAxACwAVAA9ADMAfQBcACIAKQA7AFwAbgBcAG4AVgBFAEUAUgBHAF8ANABfADEAXwAxAF8AMwBfAF8AOABfAFMAdABhAGcAZQAzAE4AaQB0AHIAbwBnAGUAbgBJAG4ATQBNAFMAQQBuAGEAZQByAG8AYgBpAGMATABhAGcAbwBvAG4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EAVAAzAFwAIgAsAFwAIgBmAHIAYQBjAHQAaQBvAG4AIABvAGYAIABtAGEAbgB1AHIAZQAgAHQAbwAgAHQAZQByAHQAaQBhAHIAeQAgAGEAbgBhAGUAcgBvAGIAaQBjACAAbABhAGcAbwBvAG4AIABzAHkAcwB0AGUAbQBcACIALAAgAFwAIgBmAHIAYQBjAHQAaQBvAG4AXAAiACwAIABcACIASQBuAHAAdQB0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2026-05-13T06:17:22Z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