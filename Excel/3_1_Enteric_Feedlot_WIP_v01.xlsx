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29D578C-F500-4437-9BEB-9407CFE8A088}" xr6:coauthVersionLast="47" xr6:coauthVersionMax="47" xr10:uidLastSave="{00000000-0000-0000-0000-000000000000}"/>
  <bookViews>
    <workbookView xWindow="3510" yWindow="351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4" r:id="rId8"/>
    <sheet name="Constants - Livestock" sheetId="43" r:id="rId9"/>
    <sheet name="Acknowledgements" sheetId="72" r:id="rId10"/>
    <sheet name="Tab template" sheetId="74" r:id="rId11"/>
  </sheets>
  <externalReferences>
    <externalReference r:id="rId12"/>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79" l="1"/>
  <c r="G28" i="79"/>
  <c r="P70" i="69"/>
  <c r="G70" i="69"/>
  <c r="E259" i="104" a="1"/>
  <c r="E259" i="104" s="1"/>
  <c r="D259" i="104" a="1"/>
  <c r="D259" i="104" s="1"/>
  <c r="E258" i="104" a="1"/>
  <c r="E258" i="104" s="1"/>
  <c r="D258" i="104" a="1"/>
  <c r="D258" i="104" s="1"/>
  <c r="D256" i="104"/>
  <c r="D256" i="104" a="1"/>
  <c r="D255" i="104" a="1"/>
  <c r="D255" i="104" s="1"/>
  <c r="D254" i="104"/>
  <c r="D254" i="104" a="1"/>
  <c r="D253" i="104" a="1"/>
  <c r="D253" i="104" s="1"/>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c r="D228" i="104" a="1"/>
  <c r="D227" i="104"/>
  <c r="D227" i="104" a="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c r="D211" i="104" a="1"/>
  <c r="E208" i="104" a="1"/>
  <c r="E208" i="104" s="1"/>
  <c r="D208" i="104" a="1"/>
  <c r="D208" i="104" s="1"/>
  <c r="E207" i="104" a="1"/>
  <c r="E207" i="104" s="1"/>
  <c r="D207" i="104" a="1"/>
  <c r="D207" i="104" s="1"/>
  <c r="D205" i="104" a="1"/>
  <c r="D205" i="104" s="1"/>
  <c r="D204" i="104" a="1"/>
  <c r="D204" i="104" s="1"/>
  <c r="D203" i="104" a="1"/>
  <c r="D203" i="104" s="1"/>
  <c r="D202" i="104" a="1"/>
  <c r="D202" i="104" s="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c r="D169" i="104" a="1"/>
  <c r="D168" i="104"/>
  <c r="D168" i="104" a="1"/>
  <c r="D167" i="104" a="1"/>
  <c r="D167" i="104" s="1"/>
  <c r="D164" i="104" a="1"/>
  <c r="D164" i="104" s="1"/>
  <c r="D163" i="104"/>
  <c r="D163" i="104" a="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c r="D141" i="104" a="1"/>
  <c r="D140" i="104"/>
  <c r="D140" i="104" a="1"/>
  <c r="D139" i="104"/>
  <c r="D139" i="104" a="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c r="D125" i="104" a="1"/>
  <c r="D124" i="104"/>
  <c r="D124" i="104" a="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c r="D105" i="104" a="1"/>
  <c r="D99" i="104" a="1"/>
  <c r="D99"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a="1"/>
  <c r="D19" i="104" s="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H52" i="104" l="1"/>
  <c r="H49" i="104"/>
  <c r="H50" i="104"/>
  <c r="H54" i="104"/>
  <c r="H48" i="104"/>
  <c r="H51" i="104"/>
  <c r="H53" i="104"/>
  <c r="E41" i="69"/>
  <c r="P20" i="69"/>
  <c r="P30" i="69"/>
  <c r="P25" i="69"/>
  <c r="G30" i="69"/>
  <c r="G25" i="69"/>
  <c r="E7" i="69"/>
  <c r="A9" i="13"/>
  <c r="A8" i="13"/>
  <c r="A5" i="13"/>
  <c r="A4" i="13"/>
  <c r="A3" i="13"/>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G14" i="70" a="1"/>
  <c r="G14" i="70" s="1"/>
  <c r="E15" i="70" a="1"/>
  <c r="E15" i="70" s="1"/>
  <c r="F14" i="70" a="1"/>
  <c r="F14" i="70" s="1"/>
  <c r="E14" i="70" a="1"/>
  <c r="E14" i="70" s="1"/>
  <c r="G21" i="70" a="1"/>
  <c r="G21" i="70" s="1"/>
  <c r="O30" i="69" s="1"/>
  <c r="F19" i="70" a="1"/>
  <c r="F19" i="70" s="1"/>
  <c r="G19" i="70" a="1"/>
  <c r="G19" i="70" s="1"/>
  <c r="G15" i="70" a="1"/>
  <c r="G15" i="70" s="1"/>
  <c r="E16" i="70" a="1"/>
  <c r="E16" i="70" s="1"/>
  <c r="D30" i="69" s="1"/>
  <c r="F16" i="70" a="1"/>
  <c r="F16" i="70" s="1"/>
  <c r="E30" i="69" s="1"/>
  <c r="G16" i="70" a="1"/>
  <c r="G16" i="70" s="1"/>
  <c r="F30" i="69" s="1"/>
  <c r="E20" i="70" a="1"/>
  <c r="E20" i="70" s="1"/>
  <c r="M25" i="69" s="1"/>
  <c r="E21" i="70" a="1"/>
  <c r="E21" i="70" s="1"/>
  <c r="M30" i="69" s="1"/>
  <c r="F21" i="70" a="1"/>
  <c r="F21" i="70" s="1"/>
  <c r="N30" i="69" s="1"/>
  <c r="F15" i="70" a="1"/>
  <c r="F15" i="70" s="1"/>
  <c r="F20" i="70" a="1"/>
  <c r="F20" i="70" s="1"/>
  <c r="N25" i="69" s="1"/>
  <c r="G20" i="70" a="1"/>
  <c r="G20" i="70" s="1"/>
  <c r="O25" i="69" s="1"/>
  <c r="D69" i="69" a="1"/>
  <c r="D69" i="69" s="1"/>
  <c r="F72" i="69" a="1"/>
  <c r="F72" i="69" s="1"/>
  <c r="M20" i="69" l="1"/>
  <c r="M35" i="69" s="1" a="1"/>
  <c r="M35" i="69" s="1"/>
  <c r="M65" i="69" s="1" a="1"/>
  <c r="M65" i="69" s="1"/>
  <c r="N20" i="69"/>
  <c r="N35" i="69" s="1" a="1"/>
  <c r="N35" i="69" s="1"/>
  <c r="N65" i="69" s="1" a="1"/>
  <c r="N65" i="69" s="1"/>
  <c r="O20" i="69"/>
  <c r="O35" i="69" s="1" a="1"/>
  <c r="O35" i="69" s="1"/>
  <c r="O65" i="69" s="1" a="1"/>
  <c r="O65" i="69" s="1"/>
  <c r="F60" i="69" l="1"/>
  <c r="E60" i="69"/>
  <c r="D60" i="69"/>
  <c r="F55" i="69"/>
  <c r="E55" i="69"/>
  <c r="D55" i="69"/>
  <c r="D8" i="70"/>
  <c r="D9" i="70"/>
  <c r="G35" i="69" l="1"/>
  <c r="P65" i="69"/>
  <c r="H69" i="69"/>
  <c r="Q69" i="69"/>
  <c r="G65" i="69"/>
  <c r="O67" i="69"/>
  <c r="F67" i="69"/>
  <c r="G7" i="13" s="1"/>
  <c r="F25" i="69"/>
  <c r="E25" i="69"/>
  <c r="D25" i="69"/>
  <c r="F20" i="69"/>
  <c r="F35" i="69" s="1" a="1"/>
  <c r="F35" i="69" s="1"/>
  <c r="F65" i="69" s="1" a="1"/>
  <c r="F65" i="69" s="1"/>
  <c r="E20" i="69"/>
  <c r="E35" i="69" s="1" a="1"/>
  <c r="E35" i="69" s="1"/>
  <c r="E65" i="69" s="1" a="1"/>
  <c r="E65" i="69" s="1"/>
  <c r="D20" i="69"/>
  <c r="D35" i="69" s="1"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G69" i="69" s="1"/>
  <c r="E72" i="69" s="1" a="1"/>
  <c r="E72" i="69" s="1"/>
  <c r="H7" i="13" s="1"/>
  <c r="H8" i="13" s="1"/>
  <c r="N67" i="69"/>
  <c r="P69" i="69" s="1"/>
  <c r="N72" i="69" s="1" a="1"/>
  <c r="N72" i="69" s="1"/>
  <c r="I7" i="13" s="1"/>
  <c r="I8" i="13" s="1"/>
  <c r="E7" i="13" l="1"/>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<sst xmlns="http://schemas.openxmlformats.org/spreadsheetml/2006/main" count="287" uniqueCount="186">
  <si>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</si>
  <si>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</si>
  <si>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</si>
  <si>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</si>
  <si>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</si>
  <si>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</si>
  <si>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</si>
  <si>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</si>
  <si>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</si>
  <si>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</si>
  <si>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</si>
  <si>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</si>
  <si>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</si>
  <si>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</si>
  <si>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</si>
  <si>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</si>
  <si>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</si>
  <si>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</si>
  <si>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</si>
  <si>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</si>
  <si>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</si>
  <si>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</si>
  <si>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</si>
  <si>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</si>
  <si>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</si>
  <si>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</si>
  <si>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</si>
  <si>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</si>
  <si>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</si>
  <si>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</si>
  <si>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</si>
  <si>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</si>
  <si>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</si>
  <si>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</si>
  <si>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</si>
  <si>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</si>
  <si>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</si>
  <si>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</si>
  <si>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</si>
  <si>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</si>
  <si>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</si>
  <si>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</si>
  <si>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</si>
  <si>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</si>
  <si>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</si>
  <si>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</si>
  <si>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</si>
  <si>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</si>
  <si>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</si>
  <si>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</si>
  <si>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</si>
  <si>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</si>
  <si>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</si>
  <si>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</si>
  <si>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</si>
  <si>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</si>
  <si>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</si>
  <si>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</si>
  <si>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</si>
  <si>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</si>
  <si>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</si>
  <si>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</si>
  <si>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</si>
  <si>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</si>
  <si>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</si>
  <si>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</si>
  <si>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</si>
  <si>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</si>
  <si>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</si>
  <si>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</si>
  <si>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</si>
  <si>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</si>
  <si>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</si>
  <si>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</si>
  <si>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</si>
  <si>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</si>
  <si>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</si>
  <si>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</si>
  <si>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</si>
  <si>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</si>
  <si>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</si>
  <si>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</si>
  <si>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</si>
  <si>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</si>
  <si>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</si>
  <si>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</si>
  <si>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</si>
  <si>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</si>
  <si>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</si>
  <si>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</si>
  <si>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Table_E_CH4</t>
  </si>
  <si>
    <t>Methane emissions for each group, MMS and treatment stage</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</si>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</sst>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160F4D5-69C3-498B-8768-94305C20B0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1475CB9-98D1-4367-81FE-766354D03859}" name="State/Territory">
      <calculatedColumnFormula array="1">Common_InputFunctions.Utility_DisplayArrayInTable(Common_SourceData.Common_SourceData_AustralianStatesTerritories_Data(),Table_AustralianStates[[#Headers],[State/Territory]],0)</calculatedColumnFormula>
    </tableColumn>
    <tableColumn id="2" xr3:uid="{E5F4A4C1-F79D-42CE-8C7B-73B43952AF82}" name="Common Name">
      <calculatedColumnFormula array="1">Common_InputFunctions.Utility_DisplayArrayInTable(Common_SourceData.Common_SourceData_AustralianStatesTerritories_Data(),Table_AustralianStates[[#Headers],[State/Territory]],0)</calculatedColumnFormula>
    </tableColumn>
    <tableColumn id="3" xr3:uid="{1ED2BE90-6504-4529-96D4-F2168C2206D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E790257-56EE-4D3A-9E9F-63BBBD489E9B}" name="Table_WASA4Areas" displayName="Table_WASA4Areas" ref="D20:D30" totalsRowShown="0">
  <autoFilter ref="D20:D30" xr:uid="{5FA81339-C6C8-4D36-BEEA-6C4AEDD9E676}">
    <filterColumn colId="0" hiddenButton="1"/>
  </autoFilter>
  <tableColumns count="1">
    <tableColumn id="1" xr3:uid="{4834DA3C-E2C6-46A6-8B67-669901690AE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748BD76-E957-4735-8DCC-4AA536F7251B}" name="Table_GWPData" displayName="Table_GWPData" ref="D36:E43" totalsRowShown="0">
  <autoFilter ref="D36:E43" xr:uid="{B8E87A66-3E41-4AD3-925D-01EE21B43D7A}">
    <filterColumn colId="0" hiddenButton="1"/>
    <filterColumn colId="1" hiddenButton="1"/>
  </autoFilter>
  <tableColumns count="2">
    <tableColumn id="1" xr3:uid="{BC533CA1-A19D-4D88-851F-C6B55789EEF0}" name="Gas">
      <calculatedColumnFormula array="1">Common_InputFunctions.Utility_DisplayArrayInTable(Common_SourceData.Common_SourceData_GWP_Data(), Table_GWPData[[#Headers],[Gas]], 0)</calculatedColumnFormula>
    </tableColumn>
    <tableColumn id="2" xr3:uid="{0744ED04-F9F9-4292-9C48-DCEC4CDB7B4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DA84FD9-456A-4D76-8824-68BDCA1A024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E8A5F5D-380F-444B-895F-03A04F993303}" name="Gas">
      <calculatedColumnFormula array="1">Common_InputFunctions.Utility_DisplayArrayInTable(Common_SourceData.Common_SourceData_ConvertGasElementalToMolecular_Data(),Table_GasToMolecularConversionFactor[[#Headers],[Gas]], 0)</calculatedColumnFormula>
    </tableColumn>
    <tableColumn id="5" xr3:uid="{04DD10EA-0C74-4AE3-847F-091B6E17E288}" name="Conversion factor">
      <calculatedColumnFormula array="1">Common_InputFunctions.Utility_DisplayArrayInTable(Common_SourceData.Common_SourceData_ConvertGasElementalToMolecular_Data(),Table_GasToMolecularConversionFactor[[#Headers],[Gas]], 0)</calculatedColumnFormula>
    </tableColumn>
    <tableColumn id="2" xr3:uid="{B3B93DCD-8572-498D-8FD9-DE5161A7023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AEFFF08-7C7F-45E3-BC84-7908AF11C80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1AE1CC4-4B45-4D28-ACD1-DCB5A0BDE3F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E2FCFF0-2F5D-46AD-A562-2B5CA89C224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B64EF18-D941-4F52-A1B2-667BE97CB8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8934DD4-8710-4F12-95E3-FF8487499DD5}"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06CB93CF-EB6F-4172-85A6-ABDCD87EBE4A}"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9031FFF8-3C81-4F0A-BD57-02808D6AA1A2}"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BEBBB14D-687E-40D7-8A5C-830F1BF21708}"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59D992F0-26FC-4409-8EFD-219C6E95F62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9E1C5BA7-00D4-456C-BD35-A1A477A849E3}"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E08E46-7D40-4A1B-85A5-2CBC68950E27}"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8DB33ADB-7FE8-4683-A42A-7B517C31FB73}"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66872F0F-8733-4F0D-BAA4-7FB3E232EC5B}"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5BE2D3A3-9488-4CDA-A5C9-C914DE17BBD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87A2B35F-81EF-49FE-8E1C-DF65C2C68825}"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511CC549-5A99-4B0F-A28E-3A5AB574B811}"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9C4D55D3-27D4-4F56-AA8B-6A3586706EBF}"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6690360-D247-477E-86B7-F95A760E53DE}"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ADA6D733-164A-4027-9A96-8515CB5C69F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4F274C9-B9BB-4501-85EC-CEB9C416829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D84D891-CBE0-4BBE-A645-C24CA6B914E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F4189CF-7E91-483C-B1DA-119B7CA28079}"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652E3F2-AB22-4ACF-92AA-A6AEB37E80B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3C0E923-E589-4E34-8701-DB8EC6258A11}" name="Temperature Zone">
      <calculatedColumnFormula array="1">Common_InputFunctions.Utility_DisplayArrayInTable(Common_SourceData.Common_SourceData_TemperatureZones_Data(),Table_SourceData_TemperatureZones[[#Headers],[Temperature Zone]],0)</calculatedColumnFormula>
    </tableColumn>
    <tableColumn id="2" xr3:uid="{2B796427-73F3-481B-866C-FC3D56EAC122}" name="MAT">
      <calculatedColumnFormula array="1">Common_InputFunctions.Utility_DisplayArrayInTable(Common_SourceData.Common_SourceData_TemperatureZones_Data(),Table_SourceData_TemperatureZones[[#Headers],[Temperature Zone]],0)</calculatedColumnFormula>
    </tableColumn>
    <tableColumn id="3" xr3:uid="{72A35A9F-A175-428E-B2EB-AC78527D302C}" name="Min MAT">
      <calculatedColumnFormula array="1">Common_InputFunctions.Utility_DisplayArrayInTable(Common_SourceData.Common_SourceData_TemperatureZones_Data(),Table_SourceData_TemperatureZones[[#Headers],[Temperature Zone]],0)</calculatedColumnFormula>
    </tableColumn>
    <tableColumn id="4" xr3:uid="{CD803C3A-FF96-4FB2-82D8-DF68F7FD4FA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1B19C0A-7DDB-4C72-962E-11F810EE97D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69E5E8D-C34D-47F5-B252-308C64B2880E}" name="Rainfall Zone">
      <calculatedColumnFormula array="1">Common_InputFunctions.Utility_DisplayArrayInTable(Common_SourceData.Common_SourceData_RainfallZones_Data(),Table_SourceData_RainfallZones[[#Headers],[Rainfall Zone]],0)</calculatedColumnFormula>
    </tableColumn>
    <tableColumn id="2" xr3:uid="{8CFE46F1-75D3-4205-9E55-D423C5463F3F}" name="Annual rainfall">
      <calculatedColumnFormula array="1">Common_InputFunctions.Utility_DisplayArrayInTable(Common_SourceData.Common_SourceData_RainfallZones_Data(),Table_SourceData_RainfallZones[[#Headers],[Rainfall Zone]],0)</calculatedColumnFormula>
    </tableColumn>
    <tableColumn id="3" xr3:uid="{4B1B458B-AD21-49F5-8369-2CD9ED4BD265}" name="Min rainfall">
      <calculatedColumnFormula array="1">Common_InputFunctions.Utility_DisplayArrayInTable(Common_SourceData.Common_SourceData_RainfallZones_Data(),Table_SourceData_RainfallZones[[#Headers],[Rainfall Zone]],0)</calculatedColumnFormula>
    </tableColumn>
    <tableColumn id="4" xr3:uid="{AF4E98C3-D944-414B-AF4E-208AC435F00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C9C6153-67ED-43A0-BB11-3152817F4A3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82FB12E-F809-4A9A-B37A-85414450FA6F}" name="Leaching Zone">
      <calculatedColumnFormula array="1">Common_InputFunctions.Utility_DisplayArrayInTable(Common_SourceData.Common_SourceData_LeachingZones_Data(), Table_SourceData_LeachingZones[[#Headers],[Leaching Zone]], 0)</calculatedColumnFormula>
    </tableColumn>
    <tableColumn id="2" xr3:uid="{0FD0F4F6-7D42-4B2D-8796-FBB825513B1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164EC0D-8973-4934-B8F1-FE2B07D75D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EDF6BC1-FBEA-43D1-BAB8-589DC6D872BB}" name="Data source">
      <calculatedColumnFormula array="1">Common_InputFunctions.Utility_DisplayArrayInTable(Common_SourceData.Common_SourceData_DataScores_Scope3_Data(), Table_SourceData_DataScores_Scope3[[#Headers],[Data source]], 0)</calculatedColumnFormula>
    </tableColumn>
    <tableColumn id="2" xr3:uid="{79475CCF-6312-464A-BB69-601104A11D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AACEA5C-382D-4B14-A21A-584728A7A10A}" name="Table_SourceData_FracWET" displayName="Table_SourceData_FracWET" ref="D134:E136" totalsRowShown="0">
  <autoFilter ref="D134:E136" xr:uid="{308E99BE-FE1F-47A4-B2CA-97217277C4E9}">
    <filterColumn colId="0" hiddenButton="1"/>
    <filterColumn colId="1" hiddenButton="1"/>
  </autoFilter>
  <tableColumns count="2">
    <tableColumn id="1" xr3:uid="{1E665611-2A06-4990-943E-3A4799B10AB6}" name="Is in leaching zone">
      <calculatedColumnFormula array="1">Common_InputFunctions.Utility_DisplayArrayInTable(Common_SourceData.Common_SourceData_FracWET_Data(),Table_SourceData_FracWET[[#Headers],[Is in leaching zone]],0)</calculatedColumnFormula>
    </tableColumn>
    <tableColumn id="2" xr3:uid="{134E4DE7-4018-49B4-A248-DB8DC2091153}"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954D004-F7FF-487B-8ECC-8B6762D9145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A40F661-DD2F-48D3-BEE9-E870DCD60A1F}" name="Production system j">
      <calculatedColumnFormula array="1">Common_InputFunctions.Utility_DisplayArrayInTable(Common_SourceData.Common_SourceData_EFN2O_Data(), Table_SourceData_Common_EFN2O[[#Headers],[Production system j]], 0)</calculatedColumnFormula>
    </tableColumn>
    <tableColumn id="2" xr3:uid="{DA9A0C1F-9EF4-45CB-83CE-2B2305C02ED1}" name="EFN2O">
      <calculatedColumnFormula array="1">Common_InputFunctions.Utility_DisplayArrayInTable(Common_SourceData.Common_SourceData_EFN2O_Data(), Table_SourceData_Common_EFN2O[[#Headers],[Production system j]], 0)</calculatedColumnFormula>
    </tableColumn>
    <tableColumn id="3" xr3:uid="{962D76BC-C77F-4BA9-B913-0F026AA43412}" name="Production system only">
      <calculatedColumnFormula array="1">Common_InputFunctions.Utility_DisplayArrayInTable(Common_SourceData.Common_SourceData_EFN2O_Data(), Table_SourceData_Common_EFN2O[[#Headers],[Production system j]], 0)</calculatedColumnFormula>
    </tableColumn>
    <tableColumn id="4" xr3:uid="{A3125B9E-6342-4A8E-8C3E-42B994D345EF}" name="Irrigation method">
      <calculatedColumnFormula array="1">Common_InputFunctions.Utility_DisplayArrayInTable(Common_SourceData.Common_SourceData_EFN2O_Data(), Table_SourceData_Common_EFN2O[[#Headers],[Production system j]], 0)</calculatedColumnFormula>
    </tableColumn>
    <tableColumn id="5" xr3:uid="{95E9A13E-A6A1-455A-A238-C6E400DACCB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A81D7DF-D521-47CD-9997-D2FA82C2043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3A046A8-F626-4FF3-907F-4B0DAD89B65D}" name="Irrigation type i">
      <calculatedColumnFormula array="1">Common_InputFunctions.Utility_DisplayArrayInTable(Common_SourceData.Common_SourceData_FracWETIrrigation_Data(), Table_SourceData_FracWETIrrigation[[#Headers],[Irrigation type i]], 0)</calculatedColumnFormula>
    </tableColumn>
    <tableColumn id="2" xr3:uid="{EC56680E-26F7-4CD4-9B4E-8D94050B8B3A}"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BF6CDDB-DBF7-4904-BC00-BEC1CE565B2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A7DA6D-4FD9-48B7-8692-976739B5EBF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856FD95-9BF9-4137-9F2E-6A19B9836C4C}"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768C421-456F-43F8-B739-653A2BE4EBE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FF9A772-EFFC-444F-BBE8-44684CE6962C}" name="Month">
      <calculatedColumnFormula array="1">Common_InputFunctions.Utility_DisplayArrayInTable(Common_SourceData.Common_SourceData_MonthsToSeasons_Data(), Table_SourceData_Common_MonthToSeason[[#Headers],[Month]], 0)</calculatedColumnFormula>
    </tableColumn>
    <tableColumn id="2" xr3:uid="{421B5A67-A1A2-4019-8983-556D10F00BD3}"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E07D5C-E8D0-4C56-A75B-4F8F7065DEC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6135E2F-47ED-4165-BCE8-E09A9339B6E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A87C324-8830-481A-BA66-519246FF91B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98192B9B-A9EF-4BCA-8213-AD89F4FB17D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DF4811D-6FFB-47B7-9A7A-BD1A91562CF1}"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C930055-7DE9-48EA-9192-907B77F27A4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7D04A66-911D-48C0-B67E-E2E95C60F3DB}"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9CE292C-B840-4D27-8590-8257B11311C1}"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227B547-816D-47AC-A539-76F90520D98E}"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B1F7993-5EA3-44BA-AD58-97AAE49863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B863BF6-1410-4A46-8164-4B2A89B2BDC4}"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ED0BC85-C592-41E0-B3A6-CFF080241C64}"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306A651-7FD4-4E5E-9FDA-21CC5A7F4900}"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4EBB78D-AEC6-4FC6-9C0E-0A40C564C66F}"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1AEE62D-B3E4-4300-8533-926546EAB1D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101CAF7-41B1-4308-B1E9-17F4ED339B8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C26A283-2E03-4AEC-B940-7DE455FCC417}"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CE6C831-099B-49FD-A2C5-4C34BCDB4A3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5AAD2A-CB71-4DC4-987D-F99C09AD1EE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A889B50-9EC8-44AA-9CB8-C6FD4BE457A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8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63" t="e" vm="1">
        <v>#VALUE!</v>
      </c>
      <c r="C1" s="109" t="s">
        <v>179</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181</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161</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180</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116</v>
      </c>
      <c r="E6" s="100" t="s">
        <v>139</v>
      </c>
      <c r="F6" s="100" t="s">
        <v>140</v>
      </c>
      <c r="G6" s="100" t="s">
        <v>130</v>
      </c>
      <c r="H6" s="100" t="s">
        <v>141</v>
      </c>
      <c r="I6" s="100" t="s">
        <v>143</v>
      </c>
      <c r="J6" s="100" t="s">
        <v>131</v>
      </c>
      <c r="K6" s="24"/>
      <c r="L6" s="24"/>
    </row>
    <row r="7" spans="1:12" ht="20.100000000000001" customHeight="1" x14ac:dyDescent="0.25">
      <c r="A7" s="20" t="s">
        <v>3</v>
      </c>
      <c r="C7" s="24"/>
      <c r="D7" s="1" t="s">
        <v>162</v>
      </c>
      <c r="E7" s="98">
        <f>'3.1.1.1-2 Enteric Methane'!E67</f>
        <v>35.420230000000004</v>
      </c>
      <c r="F7" s="98">
        <f>'3.1.1.1-2 Enteric Methane'!N67</f>
        <v>35.420230000000004</v>
      </c>
      <c r="G7" s="52" t="str">
        <f>'3.1.1.1-2 Enteric Methane'!F67</f>
        <v>t CH4</v>
      </c>
      <c r="H7" s="98">
        <f>'3.1.1.1-2 Enteric Methane'!E72</f>
        <v>991.7664400000001</v>
      </c>
      <c r="I7" s="98">
        <f>'3.1.1.1-2 Enteric Methane'!N72</f>
        <v>991.7664400000001</v>
      </c>
      <c r="J7" s="52" t="s">
        <v>142</v>
      </c>
      <c r="K7" s="24"/>
      <c r="L7" s="24"/>
    </row>
    <row r="8" spans="1:12" ht="20.100000000000001" customHeight="1" x14ac:dyDescent="0.3">
      <c r="A8" s="17" t="str">
        <f>HYPERLINK("#'Input - Site'!A1", "Site")</f>
        <v>Site</v>
      </c>
      <c r="C8" s="24"/>
      <c r="D8" s="31" t="s">
        <v>129</v>
      </c>
      <c r="E8" s="25"/>
      <c r="F8" s="31"/>
      <c r="G8" s="31"/>
      <c r="H8" s="99">
        <f>SUM(H7:H7)</f>
        <v>991.7664400000001</v>
      </c>
      <c r="I8" s="99">
        <f>SUM(I7:I7)</f>
        <v>991.7664400000001</v>
      </c>
      <c r="J8" s="93" t="s">
        <v>142</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C2" sqref="C2"/>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183</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84</v>
      </c>
    </row>
    <row r="6" spans="1:21" ht="20.100000000000001" customHeight="1" x14ac:dyDescent="0.25">
      <c r="A6" s="16"/>
    </row>
    <row r="7" spans="1:21" ht="20.100000000000001" customHeight="1" x14ac:dyDescent="0.25">
      <c r="A7" s="20" t="s">
        <v>3</v>
      </c>
      <c r="D7" s="58"/>
      <c r="E7" s="39" t="s">
        <v>98</v>
      </c>
      <c r="F7" s="39" t="s">
        <v>99</v>
      </c>
      <c r="G7" s="39" t="s">
        <v>100</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86</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145</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132</v>
      </c>
      <c r="E13" s="39" t="s">
        <v>98</v>
      </c>
      <c r="F13" s="39" t="s">
        <v>99</v>
      </c>
      <c r="G13" s="39" t="s">
        <v>100</v>
      </c>
    </row>
    <row r="14" spans="1:21" ht="20.100000000000001" customHeight="1" x14ac:dyDescent="0.25">
      <c r="A14" s="18" t="s">
        <v>4</v>
      </c>
      <c r="D14" s="1" t="s">
        <v>104</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81</v>
      </c>
      <c r="I14" s="2"/>
      <c r="J14" s="2"/>
      <c r="K14" s="2"/>
    </row>
    <row r="15" spans="1:21" ht="20.100000000000001" customHeight="1" x14ac:dyDescent="0.25">
      <c r="A15" s="17" t="str">
        <f>HYPERLINK("#'Constants - Feedlot'!A1", "Constants - Feedlot")</f>
        <v>Constants - Feedlot</v>
      </c>
      <c r="D15" s="1" t="s">
        <v>163</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146</v>
      </c>
      <c r="I15" s="2"/>
      <c r="J15" s="2"/>
      <c r="K15" s="2"/>
    </row>
    <row r="16" spans="1:21" ht="20.100000000000001" customHeight="1" x14ac:dyDescent="0.25">
      <c r="A16" s="17" t="str">
        <f>HYPERLINK("#'Constants - Livestock'!A1", "Constants - Livestock")</f>
        <v>Constants - Livestock</v>
      </c>
      <c r="D16" s="1" t="s">
        <v>164</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146</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133</v>
      </c>
      <c r="E18" s="39" t="s">
        <v>98</v>
      </c>
      <c r="F18" s="39" t="s">
        <v>99</v>
      </c>
      <c r="G18" s="39" t="s">
        <v>100</v>
      </c>
    </row>
    <row r="19" spans="1:11" ht="20.100000000000001" customHeight="1" x14ac:dyDescent="0.25">
      <c r="D19" s="1" t="s">
        <v>104</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81</v>
      </c>
      <c r="I19" s="2"/>
    </row>
    <row r="20" spans="1:11" ht="20.100000000000001" customHeight="1" x14ac:dyDescent="0.25">
      <c r="D20" s="1" t="s">
        <v>163</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146</v>
      </c>
      <c r="I20" s="2"/>
      <c r="J20" s="2"/>
      <c r="K20" s="2"/>
    </row>
    <row r="21" spans="1:11" ht="20.100000000000001" customHeight="1" x14ac:dyDescent="0.25">
      <c r="A21" s="17"/>
      <c r="D21" s="1" t="s">
        <v>164</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146</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182</v>
      </c>
      <c r="K1"/>
    </row>
    <row r="2" spans="1:19" s="9" customFormat="1" ht="20.100000000000001" customHeight="1" x14ac:dyDescent="0.25">
      <c r="K2"/>
    </row>
    <row r="3" spans="1:19" ht="20.100000000000001" customHeight="1" x14ac:dyDescent="0.25">
      <c r="A3" s="17" t="str">
        <f>HYPERLINK("#'Home'!A1", "Home")</f>
        <v>Home</v>
      </c>
      <c r="C3" s="4"/>
      <c r="D3" s="4" t="s">
        <v>110</v>
      </c>
      <c r="E3" s="4"/>
      <c r="F3" s="4"/>
      <c r="G3" s="4"/>
      <c r="H3" s="4"/>
      <c r="I3" s="4"/>
      <c r="J3" s="4"/>
      <c r="L3" s="4"/>
      <c r="M3" s="4" t="s">
        <v>111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108</v>
      </c>
      <c r="M17" s="86" t="s">
        <v>109</v>
      </c>
    </row>
    <row r="18" spans="1:16" ht="20.100000000000001" customHeight="1" x14ac:dyDescent="0.25">
      <c r="A18" s="17" t="str">
        <f>HYPERLINK("#'Acknowledgements'!A1", "Acknowledgements")</f>
        <v>Acknowledgements</v>
      </c>
      <c r="D18" s="85" t="s">
        <v>112</v>
      </c>
      <c r="M18" s="85" t="s">
        <v>113</v>
      </c>
    </row>
    <row r="19" spans="1:16" ht="20.100000000000001" customHeight="1" x14ac:dyDescent="0.25">
      <c r="D19" s="39" t="s">
        <v>98</v>
      </c>
      <c r="E19" s="39" t="s">
        <v>99</v>
      </c>
      <c r="F19" s="39" t="s">
        <v>100</v>
      </c>
      <c r="M19" s="39" t="s">
        <v>98</v>
      </c>
      <c r="N19" s="39" t="s">
        <v>99</v>
      </c>
      <c r="O19" s="39" t="s">
        <v>100</v>
      </c>
    </row>
    <row r="20" spans="1:16" ht="20.100000000000001" customHeight="1" x14ac:dyDescent="0.25">
      <c r="D20" s="50">
        <f>'Input - Feedlot'!$E$14</f>
        <v>10.4</v>
      </c>
      <c r="E20" s="50">
        <f>'Input - Feedlot'!$F$14</f>
        <v>10.8</v>
      </c>
      <c r="F20" s="50">
        <f>'Input - Feedlot'!$G$14</f>
        <v>8.1999999999999993</v>
      </c>
      <c r="G20" s="2" t="str">
        <f>$G$13</f>
        <v>kg DM/head/day</v>
      </c>
      <c r="M20" s="50">
        <f>'Input - Feedlot'!$E$19</f>
        <v>10.4</v>
      </c>
      <c r="N20" s="50">
        <f>'Input - Feedlot'!$F$19</f>
        <v>10.8</v>
      </c>
      <c r="O20" s="50">
        <f>'Input - Feedlot'!$G$19</f>
        <v>8.1999999999999993</v>
      </c>
      <c r="P20" s="2" t="str">
        <f>$G$13</f>
        <v>kg DM/head/day</v>
      </c>
    </row>
    <row r="21" spans="1:16" ht="20.100000000000001" customHeight="1" x14ac:dyDescent="0.25">
      <c r="A21" s="17"/>
    </row>
    <row r="22" spans="1:16" ht="20.100000000000001" customHeight="1" x14ac:dyDescent="0.25">
      <c r="D22" s="86" t="s">
        <v>165</v>
      </c>
      <c r="M22" s="86" t="s">
        <v>173</v>
      </c>
    </row>
    <row r="23" spans="1:16" ht="20.100000000000001" customHeight="1" x14ac:dyDescent="0.25">
      <c r="D23" s="85" t="s">
        <v>166</v>
      </c>
      <c r="M23" s="85" t="s">
        <v>174</v>
      </c>
    </row>
    <row r="24" spans="1:16" ht="20.100000000000001" customHeight="1" x14ac:dyDescent="0.25">
      <c r="D24" s="39" t="s">
        <v>98</v>
      </c>
      <c r="E24" s="39" t="s">
        <v>99</v>
      </c>
      <c r="F24" s="39" t="s">
        <v>100</v>
      </c>
      <c r="M24" s="39" t="s">
        <v>98</v>
      </c>
      <c r="N24" s="39" t="s">
        <v>99</v>
      </c>
      <c r="O24" s="39" t="s">
        <v>100</v>
      </c>
    </row>
    <row r="25" spans="1:16" ht="20.100000000000001" customHeight="1" x14ac:dyDescent="0.25">
      <c r="A25" s="17"/>
      <c r="D25" s="50">
        <f>'Input - Feedlot'!$E$15</f>
        <v>4.8</v>
      </c>
      <c r="E25" s="50">
        <f>'Input - Feedlot'!$F$15</f>
        <v>5</v>
      </c>
      <c r="F25" s="50">
        <f>'Input - Feedlot'!$G$15</f>
        <v>5.5</v>
      </c>
      <c r="G25" s="2" t="str">
        <f>$G$14</f>
        <v>per cent</v>
      </c>
      <c r="M25" s="50">
        <f>'Input - Feedlot'!$E$20</f>
        <v>4.8</v>
      </c>
      <c r="N25" s="50">
        <f>'Input - Feedlot'!$F$20</f>
        <v>5</v>
      </c>
      <c r="O25" s="50">
        <f>'Input - Feedlot'!$G$20</f>
        <v>5.5</v>
      </c>
      <c r="P25" s="2" t="str">
        <f>$G$14</f>
        <v>per cent</v>
      </c>
    </row>
    <row r="26" spans="1:16" ht="20.100000000000001" customHeight="1" x14ac:dyDescent="0.25"/>
    <row r="27" spans="1:16" ht="20.100000000000001" customHeight="1" x14ac:dyDescent="0.25">
      <c r="D27" s="86" t="s">
        <v>167</v>
      </c>
      <c r="M27" s="86" t="s">
        <v>175</v>
      </c>
    </row>
    <row r="28" spans="1:16" ht="20.100000000000001" customHeight="1" x14ac:dyDescent="0.25">
      <c r="D28" s="85" t="s">
        <v>168</v>
      </c>
      <c r="M28" s="85" t="s">
        <v>176</v>
      </c>
    </row>
    <row r="29" spans="1:16" ht="20.100000000000001" customHeight="1" x14ac:dyDescent="0.25">
      <c r="D29" s="39" t="s">
        <v>98</v>
      </c>
      <c r="E29" s="39" t="s">
        <v>99</v>
      </c>
      <c r="F29" s="39" t="s">
        <v>100</v>
      </c>
      <c r="M29" s="39" t="s">
        <v>98</v>
      </c>
      <c r="N29" s="39" t="s">
        <v>99</v>
      </c>
      <c r="O29" s="39" t="s">
        <v>100</v>
      </c>
    </row>
    <row r="30" spans="1:16" ht="20.100000000000001" customHeight="1" x14ac:dyDescent="0.25">
      <c r="D30" s="50">
        <f>'Input - Feedlot'!$E$16</f>
        <v>22</v>
      </c>
      <c r="E30" s="50">
        <f>'Input - Feedlot'!$F$16</f>
        <v>22</v>
      </c>
      <c r="F30" s="50">
        <f>'Input - Feedlot'!$G$16</f>
        <v>24</v>
      </c>
      <c r="G30" s="2" t="str">
        <f>$G$15</f>
        <v>per cent</v>
      </c>
      <c r="M30" s="50">
        <f>'Input - Feedlot'!$E$21</f>
        <v>22</v>
      </c>
      <c r="N30" s="50">
        <f>'Input - Feedlot'!$F$21</f>
        <v>22</v>
      </c>
      <c r="O30" s="50">
        <f>'Input - Feedlot'!$G$21</f>
        <v>24</v>
      </c>
      <c r="P30" s="2" t="str">
        <f>$G$15</f>
        <v>per cent</v>
      </c>
    </row>
    <row r="31" spans="1:16" ht="20.100000000000001" customHeight="1" x14ac:dyDescent="0.25"/>
    <row r="32" spans="1:16" ht="20.100000000000001" customHeight="1" x14ac:dyDescent="0.25">
      <c r="D32" s="86" t="s">
        <v>169</v>
      </c>
      <c r="M32" s="86" t="s">
        <v>171</v>
      </c>
    </row>
    <row r="33" spans="3:18" ht="20.100000000000001" customHeight="1" x14ac:dyDescent="0.25">
      <c r="D33" s="85" t="s">
        <v>170</v>
      </c>
      <c r="M33" s="85" t="s">
        <v>172</v>
      </c>
    </row>
    <row r="34" spans="3:18" ht="20.100000000000001" customHeight="1" x14ac:dyDescent="0.25">
      <c r="D34" s="49" t="s">
        <v>98</v>
      </c>
      <c r="E34" s="49" t="s">
        <v>99</v>
      </c>
      <c r="F34" s="49" t="s">
        <v>100</v>
      </c>
      <c r="M34" s="49" t="s">
        <v>98</v>
      </c>
      <c r="N34" s="49" t="s">
        <v>99</v>
      </c>
      <c r="O34" s="49" t="s">
        <v>100</v>
      </c>
    </row>
    <row r="35" spans="3:18" ht="20.100000000000001" customHeight="1" x14ac:dyDescent="0.25">
      <c r="D35" s="50" cm="1">
        <f t="array" ref="D35">EntericMethane_Feedlot_Equations.VEERG_3_1_1_1__2_DailyEntericMethaneProduction(D20,D25,D30)</f>
        <v>8.3664000000000002E-2</v>
      </c>
      <c r="E35" s="50" cm="1">
        <f t="array" ref="E35">EntericMethane_Feedlot_Equations.VEERG_3_1_1_1__2_DailyEntericMethaneProduction(E20,E25,E30)</f>
        <v>8.4908000000000011E-2</v>
      </c>
      <c r="F35" s="50" cm="1">
        <f t="array" ref="F35">EntericMethane_Feedlot_Equations.VEERG_3_1_1_1__2_DailyEntericMethaneProduction(F20,F25,F30)</f>
        <v>7.4142E-2</v>
      </c>
      <c r="G35" s="2" t="str">
        <f>$E$11</f>
        <v>kg CH4/head/day</v>
      </c>
      <c r="M35" s="50" cm="1">
        <f t="array" ref="M35">EntericMethane_Feedlot_Equations.VEERG_3_1_1_1__2_DailyEntericMethaneProduction(M20,M25,M30)</f>
        <v>8.3664000000000002E-2</v>
      </c>
      <c r="N35" s="50" cm="1">
        <f t="array" ref="N35">EntericMethane_Feedlot_Equations.VEERG_3_1_1_1__2_DailyEntericMethaneProduction(N20,N25,N30)</f>
        <v>8.4908000000000011E-2</v>
      </c>
      <c r="O35" s="50" cm="1">
        <f t="array" ref="O35">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87</v>
      </c>
    </row>
    <row r="53" spans="4:15" ht="20.100000000000001" customHeight="1" x14ac:dyDescent="0.25">
      <c r="D53" s="85" t="s">
        <v>85</v>
      </c>
    </row>
    <row r="54" spans="4:15" ht="20.100000000000001" customHeight="1" x14ac:dyDescent="0.25">
      <c r="D54" s="39" t="s">
        <v>98</v>
      </c>
      <c r="E54" s="39" t="s">
        <v>99</v>
      </c>
      <c r="F54" s="39" t="s">
        <v>100</v>
      </c>
    </row>
    <row r="55" spans="4:15" ht="20.100000000000001" customHeight="1" x14ac:dyDescent="0.25">
      <c r="D55" s="88">
        <f>'Input - Feedlot'!$E$9</f>
        <v>90</v>
      </c>
      <c r="E55" s="88">
        <f>'Input - Feedlot'!$F$9</f>
        <v>140</v>
      </c>
      <c r="F55" s="88">
        <f>'Input - Feedlot'!$G$9</f>
        <v>250</v>
      </c>
      <c r="G55" s="2" t="str">
        <f>G48</f>
        <v>days</v>
      </c>
    </row>
    <row r="56" spans="4:15" ht="20.100000000000001" customHeight="1" x14ac:dyDescent="0.25"/>
    <row r="57" spans="4:15" ht="20.100000000000001" customHeight="1" x14ac:dyDescent="0.25">
      <c r="D57" s="86" t="s">
        <v>88</v>
      </c>
    </row>
    <row r="58" spans="4:15" ht="20.100000000000001" customHeight="1" x14ac:dyDescent="0.25">
      <c r="D58" s="85" t="s">
        <v>89</v>
      </c>
    </row>
    <row r="59" spans="4:15" ht="20.100000000000001" customHeight="1" x14ac:dyDescent="0.25">
      <c r="D59" s="39" t="s">
        <v>98</v>
      </c>
      <c r="E59" s="39" t="s">
        <v>99</v>
      </c>
      <c r="F59" s="39" t="s">
        <v>100</v>
      </c>
    </row>
    <row r="60" spans="4:15" ht="20.100000000000001" customHeight="1" x14ac:dyDescent="0.25">
      <c r="D60" s="88">
        <f>'Input - Feedlot'!$E$8</f>
        <v>4300</v>
      </c>
      <c r="E60" s="88">
        <f>'Input - Feedlot'!$F$8</f>
        <v>100</v>
      </c>
      <c r="F60" s="88">
        <f>'Input - Feedlot'!$G$8</f>
        <v>100</v>
      </c>
      <c r="G60" s="2" t="str">
        <f>G50</f>
        <v>head</v>
      </c>
    </row>
    <row r="61" spans="4:15" ht="20.100000000000001" customHeight="1" x14ac:dyDescent="0.25"/>
    <row r="62" spans="4:15" ht="20.100000000000001" customHeight="1" x14ac:dyDescent="0.25">
      <c r="D62" s="86" t="s">
        <v>90</v>
      </c>
      <c r="M62" s="86" t="s">
        <v>90</v>
      </c>
    </row>
    <row r="63" spans="4:15" ht="20.100000000000001" customHeight="1" x14ac:dyDescent="0.25">
      <c r="D63" s="85" t="s">
        <v>91</v>
      </c>
      <c r="M63" s="85" t="s">
        <v>91</v>
      </c>
    </row>
    <row r="64" spans="4:15" ht="20.100000000000001" customHeight="1" x14ac:dyDescent="0.25">
      <c r="D64" s="49" t="s">
        <v>98</v>
      </c>
      <c r="E64" s="49" t="s">
        <v>99</v>
      </c>
      <c r="F64" s="49" t="s">
        <v>100</v>
      </c>
      <c r="M64" s="49" t="s">
        <v>98</v>
      </c>
      <c r="N64" s="49" t="s">
        <v>99</v>
      </c>
      <c r="O64" s="49" t="s">
        <v>100</v>
      </c>
    </row>
    <row r="65" spans="4:17" ht="20.100000000000001" customHeight="1" x14ac:dyDescent="0.25">
      <c r="D65" s="50" cm="1">
        <f t="array" ref="D65">EntericMethane_Feedlot_Equations.VEERG_3_1_1_1__1_TotalAnnualMethaneFromEntericFermentation(D55,D35,D60)</f>
        <v>32.377968000000003</v>
      </c>
      <c r="E65" s="50" cm="1">
        <f t="array" ref="E65">EntericMethane_Feedlot_Equations.VEERG_3_1_1_1__1_TotalAnnualMethaneFromEntericFermentation(E55,E35,E60)</f>
        <v>1.1887120000000002</v>
      </c>
      <c r="F65" s="50" cm="1">
        <f t="array" ref="F65">EntericMethane_Feedlot_Equations.VEERG_3_1_1_1__1_TotalAnnualMethaneFromEntericFermentation(F55,F35,F60)</f>
        <v>1.85355</v>
      </c>
      <c r="G65" s="2" t="str">
        <f>$E$46</f>
        <v>t CH4</v>
      </c>
      <c r="M65" s="50" cm="1">
        <f t="array" ref="M65">EntericMethane_Feedlot_Equations.VEERG_3_1_1_1__1_TotalAnnualMethaneFromEntericFermentation(D55,M35,D60)</f>
        <v>32.377968000000003</v>
      </c>
      <c r="N65" s="50" cm="1">
        <f t="array" ref="N65">EntericMethane_Feedlot_Equations.VEERG_3_1_1_1__1_TotalAnnualMethaneFromEntericFermentation(E55,N35,E60)</f>
        <v>1.1887120000000002</v>
      </c>
      <c r="O65" s="50" cm="1">
        <f t="array" ref="O65">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177</v>
      </c>
      <c r="E67" s="90">
        <f>SUM(D65:F65)</f>
        <v>35.420230000000004</v>
      </c>
      <c r="F67" s="91" t="str">
        <f>$E$46</f>
        <v>t CH4</v>
      </c>
      <c r="M67" s="89" t="s">
        <v>178</v>
      </c>
      <c r="N67" s="90">
        <f>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E67</f>
        <v>35.420230000000004</v>
      </c>
      <c r="H69" s="2" t="str">
        <f>$E$46</f>
        <v>t CH4</v>
      </c>
      <c r="M69" s="55" t="str" cm="1">
        <f t="array" ref="M69:N70">Common_Equations.Common_ConvertCH4ToCO2e_Arguments()</f>
        <v>ECH4</v>
      </c>
      <c r="N69" s="56" t="str">
        <v>Methane emissions (t CH4)</v>
      </c>
      <c r="O69" s="92"/>
      <c r="P69" s="50">
        <f>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114</v>
      </c>
      <c r="E72" s="45" cm="1">
        <f t="array" ref="E72">Common_Equations.Common_ConvertCH4ToCO2e(G69,G70)</f>
        <v>991.7664400000001</v>
      </c>
      <c r="F72" s="93" t="str" cm="1">
        <f t="array" ref="F72">Common_Equations.Common_ConvertN2OToCO2e_Unit()</f>
        <v>t CO2e</v>
      </c>
      <c r="M72" s="45" t="s">
        <v>115</v>
      </c>
      <c r="N72" s="45" cm="1">
        <f t="array" ref="N72">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B78" workbookViewId="0">
      <selection activeCell="I89" sqref="I89:M93"/>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97</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83</v>
      </c>
      <c r="G25" s="6" t="s">
        <v>121</v>
      </c>
      <c r="J25" s="6" t="s">
        <v>123</v>
      </c>
      <c r="M25" s="1"/>
    </row>
    <row r="26" spans="1:13" ht="20.100000000000001" customHeight="1" x14ac:dyDescent="0.25">
      <c r="M26" s="1"/>
    </row>
    <row r="27" spans="1:13" ht="20.100000000000001" customHeight="1" x14ac:dyDescent="0.25">
      <c r="D27" s="84" t="s">
        <v>50</v>
      </c>
      <c r="E27" s="37" t="s">
        <v>63</v>
      </c>
      <c r="G27" s="37" t="s">
        <v>122</v>
      </c>
      <c r="J27" s="37" t="s">
        <v>120</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124</v>
      </c>
      <c r="M28" s="1"/>
    </row>
    <row r="29" spans="1:13" ht="20.100000000000001" customHeight="1" x14ac:dyDescent="0.25">
      <c r="D29" s="37" t="str">
        <f>'Constants - Livestock'!$E$15</f>
        <v>Solid storage</v>
      </c>
      <c r="E29" s="37" t="str">
        <f>'Constants - Livestock'!$F$15</f>
        <v>Solid storage (m=4)</v>
      </c>
      <c r="G29" s="1" t="str">
        <f>'Constants - Common'!$F$187</f>
        <v>Pasture</v>
      </c>
      <c r="J29" s="37" t="s">
        <v>125</v>
      </c>
      <c r="M29" s="1"/>
    </row>
    <row r="30" spans="1:13" ht="20.100000000000001" customHeight="1" x14ac:dyDescent="0.25">
      <c r="D30" s="37" t="str">
        <f>'Constants - Livestock'!$E$17</f>
        <v>Composting (passive windrow)</v>
      </c>
      <c r="E30" s="37" t="str">
        <f>'Constants - Livestock'!$F$17</f>
        <v>Composting (passive windrow) (m=6)</v>
      </c>
      <c r="J30" s="1" t="s">
        <v>126</v>
      </c>
      <c r="M30" s="1"/>
    </row>
    <row r="31" spans="1:13" ht="20.100000000000001" customHeight="1" x14ac:dyDescent="0.25">
      <c r="D31" s="37" t="str">
        <f>'Constants - Livestock'!$E$26</f>
        <v>Direct application</v>
      </c>
      <c r="E31" s="37" t="str">
        <f>'Constants - Livestock'!$F$26</f>
        <v>Direct application (m=13)</v>
      </c>
      <c r="J31" s="1" t="s">
        <v>127</v>
      </c>
      <c r="M31" s="1"/>
    </row>
    <row r="32" spans="1:13" ht="20.100000000000001" customHeight="1" x14ac:dyDescent="0.25">
      <c r="D32" s="1" t="str">
        <f>'Constants - Livestock'!$E$10</f>
        <v>Anaerobic lagoon</v>
      </c>
      <c r="E32" s="1" t="str">
        <f>'Constants - Livestock'!$F$10</f>
        <v>Anaerobic lagoon (m=1)</v>
      </c>
      <c r="J32" s="1" t="s">
        <v>128</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92</v>
      </c>
      <c r="E38" s="37" t="s">
        <v>105</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92</v>
      </c>
      <c r="E49" s="37" t="s">
        <v>102</v>
      </c>
      <c r="F49" s="37" t="s">
        <v>11</v>
      </c>
      <c r="G49" s="37" t="s">
        <v>103</v>
      </c>
      <c r="H49" s="37" t="s">
        <v>94</v>
      </c>
      <c r="I49" s="37" t="s">
        <v>95</v>
      </c>
      <c r="J49" s="37" t="s">
        <v>96</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92</v>
      </c>
      <c r="E66" s="37" t="s">
        <v>93</v>
      </c>
      <c r="F66" s="37" t="s">
        <v>11</v>
      </c>
      <c r="G66" s="37" t="s">
        <v>94</v>
      </c>
      <c r="H66" s="37" t="s">
        <v>95</v>
      </c>
      <c r="I66" s="37" t="s">
        <v>96</v>
      </c>
      <c r="J66" s="37" t="s">
        <v>101</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82</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82</v>
      </c>
      <c r="E100" s="37" t="s">
        <v>80</v>
      </c>
      <c r="F100" s="37" t="s">
        <v>106</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82</v>
      </c>
      <c r="E112" s="95" t="s">
        <v>80</v>
      </c>
      <c r="F112" s="95" t="s">
        <v>107</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5BB2-1C48-48CB-B0A9-6744D232A85A}">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134</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117</v>
      </c>
      <c r="E186" s="37" t="s">
        <v>118</v>
      </c>
      <c r="F186" s="37" t="s">
        <v>119</v>
      </c>
      <c r="G186" s="37" t="s">
        <v>120</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135</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136</v>
      </c>
      <c r="E212" s="37" t="s">
        <v>137</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147</v>
      </c>
      <c r="F231" s="36" t="s">
        <v>148</v>
      </c>
      <c r="G231" s="37" t="s">
        <v>149</v>
      </c>
      <c r="H231" s="37" t="s">
        <v>150</v>
      </c>
      <c r="I231" s="37" t="s">
        <v>151</v>
      </c>
      <c r="J231" s="37" t="s">
        <v>152</v>
      </c>
      <c r="K231" s="37" t="s">
        <v>153</v>
      </c>
      <c r="L231" s="37" t="s">
        <v>154</v>
      </c>
      <c r="M231" s="37" t="s">
        <v>155</v>
      </c>
      <c r="N231" s="37" t="s">
        <v>156</v>
      </c>
      <c r="O231" s="37" t="s">
        <v>157</v>
      </c>
      <c r="P231" s="37" t="s">
        <v>158</v>
      </c>
      <c r="Q231" s="37" t="s">
        <v>144</v>
      </c>
      <c r="R231" s="37" t="s">
        <v>159</v>
      </c>
      <c r="S231" s="37" t="s">
        <v>160</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184</v>
      </c>
      <c r="E257" s="37" t="s">
        <v>185</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FMAbwB1AHIAYwBlAEQAYQB0AGEAXwBGAGUAZQBkAGwAbwB0AF8AUwB0AGEAZwBlADEATQBNAFMATwBwAHQAaQBvAG4AcwBcAG4AIAAgAD0ATABBAE0AQgBEAEEAKABcAG4AIAAgACAAIABNAEEASwBFAEEAUgBSAEEAWQAoADEALAAgADEALABcAG4AIAAgACAAIAAgACAATABBAE0AQgBEAEEAKAByACwAYwAsAFwAbgAgACAAIAAgACAAIAAgACAASQBOAEQARQBYACgAewBcAG4AIAAgACAAIAAgACAAIAAgACAAIABcACIARAByAHkAbABvAHQAIAAoAGYAZQBlAGQAIABwAGEAZAApAFwAIgBcAG4AIAAgACAAIAAgACAAIAAgAH0ALAAgAHIALAAgAGMAKQBcAG4AIAAgACAAIAAgACAAKQBcAG4AIAAgACAAIAApAFwAbgAgACAAKQA7AFwAbgBcAG4AUwBvAHUAcgBjAGUARABhAHQAYQBfAEYAZQBlAGQAbABvAHQAXwBTAHQAYQBnAGUAMgBNAE0AUwBPAHAAdABpAG8AbgBzAFwAbgAgACAAPQBMAEEATQBCAEQAQQAoAFwAbgAgACAAIAAgAE0AQQBLAEUAQQBSAFIAQQBZACgANAAsACAAMQAsAFwAbgAgACAAIAAgACAAIABMAEEATQBCAEQAQQAoAHIALABjACwAXABuACAAIAAgACAAIAAgACAAIABJAE4ARABFAFgAKAB7AFwAbgAgACAAIAAgACAAIAAgACAAIAAgAFwAIgBTAG8AbABpAGQAIABzAHQAbwByAGEAZwBlAFwAIgA7AFwAbgAgACAAIAAgACAAIAAgACAAIAAgAFwAIgBDAG8AbQBwAG8AcwB0AGkAbgBnACAAKABwAGEAcwBzAGkAdgBlACAAdwBpAG4AZAByAG8AdwApAFwAIgA7AFwAbgAgACAAIAAgACAAIAAgACAAIAAgAFwAIgBEAGkAcgBlAGMAdAAgAGEAcABwAGwAaQBjAGEAdABpAG8AbgBcACIAOwBcAG4AIAAgACAAIAAgACAAIAAgACAAIABcACIATgBvACAATQBNAFMAXAAiAFwAbgAgACAAIAAgACAAIAAgACAAfQAsACAAcgAsACAAYwApAFwAbgAgACAAIAAgACAAIAApAFwAbgAgACAAIAAgACkAXABuACAAIAApADsAXABuAFwAbgBTAG8AdQByAGMAZQBEAGEAdABhAF8ARgBlAGUAZABsAG8AdABfAFMAdABhAGcAZQAzAE0ATQBTAE8AcAB0AGkAbwBuAHMAXABuACAAIAA9AEwAQQBNAEIARABBACgAXABuACAAIAAgACAATQBBAEsARQBBAFIAUgBBAFkAKAAxACwAIAAxACwAXABuACAAIAAgACAAIAAgAEwAQQBNAEIARABBACgAcgAsAGMALABcAG4AIAAgACAAIAAgACAAIAAgAEkATgBEAEUAWAAoAHsAXABuACAAIAAgACAAIAAgACAAIAAgACAAXAAiAEEAbgBhAGUAcgBvAGIAaQBjACAAbABhAGcAbwBvAG4AXAAiAFwAbgAgACAAIAAgACAAIAAgACAAfQAsACAAcgAsACAAYwApAFwAbgAgACAAIAAgACAAIAApAFwAbgAgACAAIAAgACkAXABuACAAIAApADsAXABuAFwAbgBTAG8AdQByAGMAZQBEAGEAdABhAF8ARgBlAGUAZABsAG8AdABfAEwAaQB2AGUAcwB0AG8AYwBrAEMAbABhAHMAcwBlAHMAXABuACAAIAA9AEwAQQBNAEIARABBACgAXABuACAAIAAgACAATQBBAEsARQBBAFIAUgBBAFkAKAAzACwAIAAxACwAXABuACAAIAAgACAAIAAgAEwAQQBNAEIARABBACgAcgAsAGMALABcAG4AIAAgACAAIAAgACAAIAAgAEkATgBEAEUAWAAoAHsAXABuACAAIAAgACAAIAAgACAAIAAgACAAXAAiAEQAbwBtAGUAcwB0AGkAYwBcACIAOwAgAFwAbgAgACAAIAAgACAAIAAgACAAIAAgAFwAIgBFAHgAcABvAHIAdAAgAG0AaQBkACAAZgBlAGQAXAAiADsAIABcAG4AIAAgACAAIAAgACAAIAAgACAAIABcACIARQB4AHAAbwByAHQAIABsAG8AbgBnACAAZgBlAGQAXAAi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EAHUAcgBhAHQAaQBvAG4ATwBmAFMAdABhAHkAXABuAFQAYQBiAGwAZQAgAEEALgAxAC4AMQAuADEAOgAgAEIAZQBlAGYAIABmAGUAZQBkAGwAbwB0ACAAYwBhAHQAdABsAGUAIAAtACAARAB1AHIAYQB0AGkAbwBuACAAbwBmACAAcwB0AGEAeQAgACgAZABhAHkAcwApAFwAbgAtAC0ALQAtAC0ALQAtAC0ALQAtAC0ALQAtAC0ALQAtAC0ALQAtAC0ALQAtAC0ALQAtAC0ALQAtAC0ALQAtAC0ALQAtAC0ALQAtAC0AXABuACoALwBcAG4AXABuAFMAbwB1AHIAYwBlAEQAYQB0AGEAXwBGAGUAZQBkAGwAbwB0AF8ARAB1AHIAYQB0AGkAbwBuAE8AZgBTAHQAYQB5AF8AVABpAHQAbABlAFwAbgAgACAAPQBMAEEATQBCAEQAQQAoAFwAIgBCAGUAZQBmACAAZgBlAGUAZABsAG8AdAAgAGMAYQB0AHQAbABlACAALQAgAEQAdQByAGEAdABpAG8AbgAgAG8AZgAgAHMAdABhAHkAIAAoAGQAYQB5AHMAKQBcACIAKQA7AFwAbgBcAG4AUwBvAHUAcgBjAGUARABhAHQAYQBfAEYAZQBlAGQAbABvAHQAXwBEAHUAcgBhAHQAaQBvAG4ATwBmAFMAdABhAHkAXwBVAG4AaQB0AFwAbgAgACAAPQBMAEEATQBCAEQAQQAoAFwAIgBcACIAKQA7AFwAbgBcAG4AUwBvAHUAcgBjAGUARABhAHQAYQBfAEYAZQBlAGQAbABvAHQAXwBEAHUAcgBhAHQAaQBvAG4ATwBmAFMAdABhAHkAXwBTAG8AdQByAGMAZQBcAG4AIAAgAD0ATABBAE0AQgBEAEEAKABcACIAVgBFAEUAUgBHACAAMgAwADIANgA6ACAAVABhAGIAbABlACAAQQAuADEALgAxAC4AMQA6ACAAQgBlAGUAZgAgAGYAZQBlAGQAbABvAHQAIABjAGEAdAB0AGwAZQAgAC0AIABEAHUAcgBhAHQAaQBvAG4AIABvAGYAIABzAHQAYQB5ACAAKABkAGEAeQBzACkAXAAiACkAOwBcAG4AXABuAFMAbwB1AHIAYwBlAEQAYQB0AGEAXwBGAGUAZQBkAGwAbwB0AF8ARAB1AHIAYQB0AGkAbwBuAE8AZgBTAHQAYQB5AF8AVgBhAHIAaQBhAHQAaQBvAG4AXABuACAAIAA9AEwAQQBNAEIARABBACgAXAAiAFwAIgApADsAXABuAFwAbgBTAG8AdQByAGMAZQBEAGEAdABhAF8ARgBlAGUAZABsAG8AdABfAEQAdQByAGEAdABpAG8AbgBPAGYAUwB0AGEAeQBfAEQAYQB0AGEAXABuACAAIAA9AEwAQQBNAEIARABBACgAXABuACAAIAAgACAATQBBAEsARQBBAFIAUgBBAFkAKAA0ACwAIAAyACwAIABcAG4AIAAgACAAIAAgACAATABBAE0AQgBEAEEAKAByACwAYwAsACAAXABuACAAIAAgACAAIAAgACAAIABJAE4ARABFAFgAKAB7AFwAbgAgACAAIAAgACAAIAAgACAAIAAgAFwAIgBGAGUAZQBkAGwAbwB0ACAAdAB5AHAAZQBcACIALAAgAFwAIgBMAGUAbgBnAHQAaAAgAG8AZgAgAFMAdABhAHkAXAAiADsAXABuACAAIAAgACAAIAAgACAAIAAgACAAXAAiAEQAbwBtAGUAcwB0AGkAYwBcACIALAAgAFwAIgAxAC0AOAAwACAAZABhAHkAcwBcACIAOwBcAG4AIAAgACAAIAAgACAAIAAgACAAIABcACIATQBpAGQALQBmAGUAZABcACIALAAgAFwAIgA4ADEALQAyADAAMAAgAGQAYQB5AHMAXAAiADsAXABuACAAIAAgACAAIAAgACAAIAAgACAAXAAiAEwAbwBuAGcALQBmAGUAZABcACIALAAgAFwAIgAyADAAMQArACAAZABhAHkAcw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BAG4AaQBtAGEAbABDAGgAYQByAGEAYwB0AGUAcgBpAHMAdABpAGMAcwBcAG4AVABhAGIAbABlACAAQQAuADEALgAxAC4AMgA6ACAAQgBlAGUAZgAgAGYAZQBlAGQAbABvAHQAIABjAGEAdAB0AGwAZQAgAC0AIABBAG4AaQBtAGEAbAAgAGMAaABhAHIAYQBjAHQAZQByAGkAcwB0AGkAYwBzAFwAbgAtAC0ALQAtAC0ALQAtAC0ALQAtAC0ALQAtAC0ALQAtAC0ALQAtAC0ALQAtAC0ALQAtAC0ALQAtAC0ALQAtAC0ALQAtAC0ALQAtAC0AXABuACoALwBcAG4AXABuAFMAbwB1AHIAYwBlAEQAYQB0AGEAXwBGAGUAZQBkAGwAbwB0AF8AQQBuAGkAbQBhAGwAQwBoAGEAcgBhAGMAdABlAHIAaQBzAHQAaQBjAHMAXwBUAGkAdABsAGUAXABuACAAIAA9AEwAQQBNAEIARABBACgAXAAiAEIAZQBlAGYAIABmAGUAZQBkAGwAbwB0ACAAYwBhAHQAdABsAGUAIAAtACAAQQBuAGkAbQBhAGwAIABjAGgAYQByAGEAYwB0AGUAcgBpAHMAdABpAGMAcwBcACIAKQA7AFwAbgBcAG4AUwBvAHUAcgBjAGUARABhAHQAYQBfAEYAZQBlAGQAbABvAHQAXwBBAG4AaQBtAGEAbABDAGgAYQByAGEAYwB0AGUAcgBpAHMAdABpAGMAcwBfAFUAbgBpAHQAXABuACAAIAA9AEwAQQBNAEIARABBACgAXAAiAFwAIgApADsAXABuAFwAbgBTAG8AdQByAGMAZQBEAGEAdABhAF8ARgBlAGUAZABsAG8AdABfAEEAbgBpAG0AYQBsAEMAaABhAHIAYQBjAHQAZQByAGkAcwB0AGkAYwBzAF8AUwBvAHUAcgBjAGUAXABuACAAIAA9AEwAQQBNAEIARABBACgAXAAiAFYARQBFAFIARwAgADIAMAAyADYAOgAgAFQAYQBiAGwAZQAgAEEALgAxAC4AMQAuADIAOgAgAEIAZQBlAGYAIABmAGUAZQBkAGwAbwB0ACAAYwBhAHQAdABsAGUAIAAtACAAQQBuAGkAbQBhAGwAIABjAGgAYQByAGEAYwB0AGUAcgBpAHMAdABpAGMAcwBcACIAKQA7AFwAbgBcAG4AUwBvAHUAcgBjAGUARABhAHQAYQBfAEYAZQBlAGQAbABvAHQAXwBBAG4AaQBtAGEAbABDAGgAYQByAGEAYwB0AGUAcgBpAHMAdABpAGM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NAG8AdgBlAGQAIABmAGUAZQBkAGwAbwB0ACAAdAB5AHAAZQBzACAAdABvACAAYQAgAHMAZQBwAGEAcgBhAHQAZQAgAGMAbwBsAHUAbQBuACAAdABvACAAYQBpAGQAIABsAG8AbwBrAHUAcAAuAFwAIgA7AFwAbgAgACAAIAAgACAAIAAgACAAIAAgAFwAIgBOAGEAbQBlAGQAIABcAHUAMAAwADIANwBjAGgAYQByAGEAYwB0AGUAcgBpAHMAdABpAGMAXAB1ADAAMAAyADcAIABjAG8AbAB1AG0AbgAgAC0AIABvAHIAaQBnAGkAbgBhAGwAIABoAGEAcwAgAGgAZQBhAGQAZQByACAAXAB1ADAAMAAyADcAVQBuAGkAdABcAHUAMAAwADIAN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QwBvAG4AdgBlAHIAdABlAGQAIAB0AG8AIABmAHIAYQBjAHQAaQBvAG4AIABjAG8AbAB1AG0AbgAgAGEAbgBkACAAYwBvAG4AdgBlAHIAdABlAGQAIABOAEQARgAgAGEAbgBkACAARQB0AGgAZQByACAAZQB4AHQAcgBhAGMAdAAgAHYAYQBsAHUAZQBzACAAdABvACAAZgByAGEAYwB0AGkAbwBuAHMALgBcACIAOwBcAG4AIAAgACAAIAAgACAAIAAgACAAIABcACIATQBvAHYAZQBkACAAZgBlAGUAZABsAG8AdAAgAHQAeQBwAGUAcwAgAHQAbwAgAGEAIABzAGUAcABhAHIAYQB0AGUAIABjAG8AbAB1AG0AbgAgAHQAbwAgAGEAaQBkACAAbABvAG8AawB1AHAALgBcACIAXABuACAAIAAgACAAIAAgACAAIAB9ACwAIAByACwAIABjACkAXABuACAAIAAgACAAIAAgACkAXABuACAAIAAgACAAKQBcAG4AIAAgACkAOwBcAG4AXABuAFMAbwB1AHIAYwBlAEQAYQB0AGEAXwBGAGUAZQBkAGwAbwB0AF8ARABpAGUAdABQAHIAbwBwAGUAcgB0AGkAZQBzAF8ARABhAHQAYQBcAG4AIAAgAD0ATABBAE0AQgBEAEEAKABcAG4AIAAgACAAIABNAEEASwBFAEEAUgBSAEEAWQAoADEAMwAsACAAOAAsACAAXABuACAAIAAgACAAIAAgAEwAQQBNAEIARABBACgAcgAsAGMALAAgAFwAbgAgACAAIAAgACAAIAAgACAASQBOAEQARQBYACgAewBcAG4AIAAgACAAIAAgACAAIAAgACAAIABcACIARgBlAGUAZABsAG8AdAAgAHQAeQBwAGUAXAAiACwAIABcACIATgB1AHQAcgBpAGUAbgB0ACAAYQBuAGEAbAB5AHMAaQBzAFwAIgAsACAAXAAiAFUAbgBpAHQAXAAiACwAIABcACIAMgAwADAANQAtADIAMAAwADkAXAAiACwAIABcACIAMgAwADEAMAAtADIAMAAxADQAXAAiACwAIABcACIAMgAwADEANQAtADIAMAAxADkAXAAiACwAIABcACIAMgAwADIAMAAtADIAMAAyADMAXAAiACwAIABcACIAQwBvAG4AdgBlAHIAdABlAGQAIAB0AG8AIABmAHIAYQBjAHQAaQBvAG4AXAAiADsAXABuACAAIAAgACAAIAAgACAAIAAgACAAXAAiAEQAbwBtAGUAcwB0AGkAYwBcACIALAAgAFwAIgBEAHIAeQAgAG0AYQB0AHQAZQByACAAZABpAGcAZQBzAHQAaQBiAGkAbABpAHQAeQBcACIALAAgAFwAIgBmAHIAYQBjAHQAaQBvAG4AXAAiACwAIAAwAC4AOAAxACwAIAAwAC4AOAAxACwAIAAwAC4AOAAxACwAIAAwAC4AOAAxACwAIAAwAC4AOAAxADsAXABuACAAIAAgACAAIAAgACAAIAAgACAAXAAiAEQAbwBtAGUAcwB0AGkAYwBcACIALAAgAFwAIgBDAHIAdQBkAGUAIABwAHIAbwB0AGUAaQBuAFwAIgAsACAAXAAiAGYAcgBhAGMAdABpAG8AbgBcACIALAAgADAALgAxADQALAAgADAALgAxADQALAAgADAALgAxADQALAAgADAALgAxADQALAAgADAALgAxADQAOwBcAG4AIAAgACAAIAAgACAAIAAgACAAIABcACIARABvAG0AZQBzAHQAaQBjAFwAIgAsACAAXAAiAE4ARABGAFwAIgAsACAAXAAiAHAAZQByACAAYwBlAG4AdABcACIALAAgADIAMwAuADAALAAgADIAMgAuADAALAAgADIAMgAuADAALAAgADIAMgAuADAALAAgADAALgAyADIAOwBcAG4AIAAgACAAIAAgACAAIAAgACAAIABcACIARABvAG0AZQBzAHQAaQBjAFwAIgAsACAAXAAiAEUAdABoAGUAcgAgAEUAeAB0AHIAYQBjAHQAXAAiACwAIABcACIAcABlAHIAIABjAGUAbgB0AFwAIgAsACAANAAuADUALAAgADQALgA1ACwAIAA0AC4AOAAsACAANAAuADgALAAgADAALgAwADQAOAA7AFwAbgAgACAAIAAgACAAIAAgACAAIAAgAFwAIgBNAGkAZAAtAGYAZQBkAFwAIgAsACAAXAAiAEQAcgB5ACAAbQBhAHQAdABlAHIAIABkAGkAZwBlAHMAdABpAGIAaQBsAGkAdAB5AFwAIgAsACAAXAAiAGYAcgBhAGMAdABpAG8AbgBcACIALAAgADAALgA4ADEALAAgADAALgA4ADEALAAgADAALgA4ADEALAAgADAALgA4ADEALAAgADAALgA4ADEAOwBcAG4AIAAgACAAIAAgACAAIAAgACAAIABcACIATQBpAGQALQBmAGUAZABcACIALAAgAFwAIgBDAHIAdQBkAGUAIABwAHIAbwB0AGUAaQBuAFwAIgAsACAAXAAiAGYAcgBhAGMAdABpAG8AbgBcACIALAAgADAALgAxADMALAAgADAALgAxADIANQAsACAAMAAuADEAMgAsACAAMAAuADEAMgAsACAAMAAuADEAMgA7AFwAbgAgACAAIAAgACAAIAAgACAAIAAgAFwAIgBNAGkAZAAtAGYAZQBkAFwAIgAsACAAXAAiAE4ARABGAFwAIgAsACAAXAAiAHAAZQByACAAYwBlAG4AdABcACIALAAgADIANAAuADAALAAgADIAMgAuADAALAAgADIAMgAuADAALAAgADIAMgAuADAALAAgADAALgAyADIAOwBcAG4AIAAgACAAIAAgACAAIAAgACAAIABcACIATQBpAGQALQBmAGUAZABcACIALAAgAFwAIgBFAHQAaABlAHIAIABFAHgAdAByAGEAYwB0AFwAIgAsACAAXAAiAHAAZQByACAAYwBlAG4AdABcACIALAAgADUALgAwACwAIAA1AC4AMAAsACAANQAuADAALAAgADUALgAwACwAIAAwAC4AMAA1ADsAXABuACAAIAAgACAAIAAgACAAIAAgACAAXAAiAEwAbwBuAGcALQBGAGUAZABcACIALAAgAFwAIgBEAHIAeQAgAG0AYQB0AHQAZQByACAAZABpAGcAZQBzAHQAaQBiAGkAbABpAHQAeQBcACIALAAgAFwAIgBmAHIAYQBjAHQAaQBvAG4AXAAiACwAIAAwAC4AOAAxACwAIAAwAC4AOAAxACwAIAAwAC4AOAAxACwAIAAwAC4AOAAxACwAIAAwAC4AOAAxADsAXABuACAAIAAgACAAIAAgACAAIAAgACAAXAAiAEwAbwBuAGcALQBGAGUAZABcACIALAAgAFwAIgBDAHIAdQBkAGUAIABwAHIAbwB0AGUAaQBuAFwAIgAsACAAXAAiAGYAcgBhAGMAdABpAG8AbgBcACIALAAgADAALgAxADMALAAgADAALgAxADIANQAsACAAMAAuADEAMgAsACAAMAAuADEAMgAsACAAMAAuADEAMgA7AFwAbgAgACAAIAAgACAAIAAgACAAIAAgAFwAIgBMAG8AbgBnAC0ARgBlAGQAXAAiACwAIABcACIATgBEAEYAXAAiACwAIABcACIAcABlAHIAIABjAGUAbgB0AFwAIgAsACAAMgA0AC4AMAAsACAAMgA0AC4AMAAsACAAMgA0AC4AMAAsACAAMgA0AC4AMAAsACAAMAAuADIANAA7AFwAbgAgACAAIAAgACAAIAAgACAAIAAgAFwAIgBMAG8AbgBnAC0ARgBlAGQAXAAiACwAIABcACIARQB0AGgAZQByACAARQB4AHQAcgBhAGMAdABcACIALAAgAFwAIgBwAGUAcgAgAGMAZQBuAHQAXAAiACwAIAA1AC4AMAAsACAANQAuADAALAAgADUALgA1ACwAIAA1AC4ANQAsACAAMAAuADAANQA1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NAEMARgBcAG4AVABhAGIAbABlACAAQQAuADEALgAxAC4ANAA6ACAAQgBlAGUAZgAgAGYAZQBlAGQAbABvAHQAIABjAGEAdAB0AGwAZQAgAC0AIABNAEMARgBzACAAKABmAHIAYQBjAHQAaQBvAG4AKQAgACgATQBDAEYAaQBtAFQAKQBcAG4ALQAtAC0ALQAtAC0ALQAtAC0ALQAtAC0ALQAtAC0ALQAtAC0ALQAtAC0ALQAtAC0ALQAtAC0ALQAtAC0ALQAtAC0ALQAtAC0ALQAtAFwAbgAqAC8AXABuAFwAbgBTAG8AdQByAGMAZQBEAGEAdABhAF8ARgBlAGUAZABsAG8AdABfAE0AQwBGAF8AVABpAHQAbABlAFwAbgAgACAAPQBMAEEATQBCAEQAQQAoAFwAIgBGAGUAZQBkAGwAbwB0ACAALQAgAE0AQwBGAHMAXAAiACkAOwBcAG4AXABuAFMAbwB1AHIAYwBlAEQAYQB0AGEAXwBGAGUAZQBkAGwAbwB0AF8ATQBDAEYAXwBVAG4AaQB0AFwAbgAgACAAPQBMAEEATQBCAEQAQQAoAFwAIgBcACIAKQA7AFwAbgBcAG4AUwBvAHUAcgBjAGUARABhAHQAYQBfAEYAZQBlAGQAbABvAHQAXwBNAEMARgBfAFMAbwB1AHIAYwBlAFwAbgAgACAAPQBMAEEATQBCAEQAQQAoAFwAIgBWAEUARQBSAEcAIAAyADAAMgA2ADoAIABUAGEAYgBsAGUAIABBAC4AMQAuADEALgA0ADoAIABCAGUAZQBmACAAZgBlAGUAZABsAG8AdAAgAGMAYQB0AHQAbABlACAALQAgAE0AQwBGAHMAIAAoAGYAcgBhAGMAdABpAG8AbgApACAAKABNAEMARgBpAG0AVAApAFwAIgApADsAXABuAFwAbgBTAG8AdQByAGMAZQBEAGEAdABhAF8ARgBlAGUAZABsAG8AdABfAE0AQwBGAF8AVgBhAHIAaQBhAHQAaQBvAG4AXABuACAAIAA9AEwAQQBNAEIARABBACgAXABuACAAIAAgACAATQBBAEsARQBBAFIAUgBBAFkAKAA0ACwAIAAxACwAIABcAG4AIAAgACAAIAAgACAATABBAE0AQgBEAEEAKAByACwAYwAsACAAXABuACAAIAAgACAAIAAgACAAIABJAE4ARABFAFgAKAB7AFwAbgAgACAAIAAgACAAIAAgACAAIAAgAFwAIgBWAEEAUgBJAEEAVABJAE8ATgAgAE8ATgAgAFMATwBVAFIAQwBFADoAXAAiADsAXABuACAAIAAgACAAIAAgACAAIAAgACAAXAAiAEQAdQBwAGwAaQBjAGEAdABlAGQAIABOAFMAVwAgAHYAYQBsAHUAZQBzACAAZgBvAHIAIABBAEMAVABcACIAOwBcAG4AIAAgACAAIAAgACAAIAAgACAAIABcACIAQQBkAGQAZQBkACAATgBUACAAYwBvAGwAdQBtAG4AIAB0AGgAYQB0ACAAZAB1AHAAbABpAGMAYQB0AGUAcwAgAFEATABEACAAdgBhAGwAdQBlAHMAIABhAHMAIABwAGUAcgAgAGEAZAB2AGkAYwBlACAAZgByAG8AbQAgAHMAbwB1AHIAYwBlACAAZABhAHQAYQAgAHAAcgBvAHYAaQBkAGUAcgAuAFwAIgA7AFwAbgAgACAAIAAgACAAIAAgACAAIAAgAFwAIgBBAGQAZABlAGQAIABUAEEAUwAgAGMAbwBsAHUAbQBuACAAdABoAGEAdAAgAGQAdQBwAGwAaQBjAGEAdABlAHMAIABWAEkAQwAgAHYAYQBsAHUAZQBzACAAYQBzACAAcABlAHIAIABhAGQAdgBpAGMAZQAgAGYAcgBvAG0AIABzAG8AdQByAGMAZQAgAGQAYQB0AGEAIABwAHIAbwB2AGkAZABlAHIAL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AwAC4AMAAzACwAIAAwAC4AMAAxACwAIAAwAC4AMAAxACwAIAAwAC4AMAAxACwAIAAwAC4AMAAxACwAIABcACIARAByAHkAbABvAHQAIAAoAGYAZQBlAGQAIABwAGEAZAApAFwAIgA7ACAAXABuACAAIAAgACAAIAAgACAAIAAgACAAXAAiAFMAZQBjAG8AbgBkAGEAcgB5AFwAIgAsACAAXAAiAFMAbwBsAGkAZAAgAFMAdABvAHIAYQBnAGUAIAAoAFMAdABvAGMAawBwAGkAbABlACkAXAAiACwAIAAwAC4AMAAyACwAIAAwAC4AMAAyACwAIAAwAC4AMAAyACwAIAAwAC4AMAAyACwAIAAwAC4AMAAyACwAIAAwAC4AMAAyACwAIAAwAC4AMAAyACwAIAAwAC4AMAAyACwAIABcACIAUwBvAGwAaQBkACAAcwB0AG8AcgBhAGcAZQBcACIAOwAgAFwAbgAgACAAIAAgACAAIAAgACAAIAAgAFwAIgBTAGUAYwBvAG4AZABhAHIAeQBcACIALAAgAFwAIgBDAG8AbQBwAG8AcwB0AGkAbgBnACAAKABQAGEAcwBzAGkAdgBlACAAVwBpAG4AZAByAG8AdwApAFwAIgAsACAAMAAuADAAMQAsACAAMAAuADAAMQAsACAAMAAuADAAMQAsACAAMAAuADAAMQAsACAAMAAuADAAMQAsACAAMAAuADAAMQAsACAAMAAuADAAMQAsACAAMAAuADAAMQAsACAAXAAiAEMAbwBtAHAAbwBzAHQAaQBuAGcAIAAoAHAAYQBzAHMAaQB2AGUAIAB3AGkAbgBkAHIAbwB3ACkAXAAiADsAIABcAG4AIAAgACAAIAAgACAAIAAgACAAIABcACIAUwBlAGMAbwBuAGQAYQByAHkAXAAiACwAIABcACIARABpAHIAZQBjAHQAIABBAHAAcABsAGkAYwBhAHQAaQBvAG4AIAB0AG8AIABzAG8AaQBsAFwAIgAsACAAMAAsACAAMAAsACAAMAAsACAAMAAsACAAMAAsACAAMAAsACAAMAAsACAAMA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DAALgA3ADcALAAgADAALgA3ADUALAAgADAALgA3ADUALAAgADAALgA3ADcALAAgADAALgA3ADU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4AaQB0AHIAbwB1AHMATwB4AGkAZABlAEUARgBzAFwAbgBUAGEAYgBsAGUAIABBAC4AMQAuADEALgA1ADoAIABCAGUAZQBmACAAZgBlAGUAZABsAG8AdAAgAGMAYQB0AHQAbABlACAALQAgAE4AaQB0AHIAbwB1AHMAIABvAHgAaQBkAGUAIABFAEYAcwAgACgARQBGAG0AVAApAFwAbgAtAC0ALQAtAC0ALQAtAC0ALQAtAC0ALQAtAC0ALQAtAC0ALQAtAC0ALQAtAC0ALQAtAC0ALQAtAC0ALQAtAC0ALQAtAC0ALQAtAC0AXABuACoALwBcAG4AXABuAFMAbwB1AHIAYwBlAEQAYQB0AGEAXwBGAGUAZQBkAGwAbwB0AF8ATgBpAHQAcgBvAHUAcwBPAHgAaQBkAGUARQBGAHMAXwBUAGkAdABsAGUAXABuACAAIAA9AEwAQQBNAEIARABBACgAXAAiAEYAZQBlAGQAbABvAHQAIAAtACAATgBpAHQAcgBvAHUAcwAgAG8AeABpAGQAZQAgAEUARgBzAFwAIgApADsAXABuAFwAbgBTAG8AdQByAGMAZQBEAGEAdABhAF8ARgBlAGUAZABsAG8AdABfAE4AaQB0AHIAbwB1AHMATwB4AGkAZABlAEUARgBzAF8AVQBuAGkAdABcAG4AIAAgAD0ATABBAE0AQgBEAEEAKABcACIAXAAiACkAOwBcAG4AXABuAFMAbwB1AHIAYwBlAEQAYQB0AGEAXwBGAGUAZQBkAGwAbwB0AF8ATgBpAHQAcgBvAHUAcwBPAHgAaQBkAGUARQBGAHMAXwBTAG8AdQByAGMAZQBcAG4AIAAgAD0ATABBAE0AQgBEAEEAKABcACIAVgBFAEUAUgBHACAAMgAwADIANgA6ACAAVABhAGIAbABlACAAQQAuADEALgAxAC4ANQA6ACAAQgBlAGUAZgAgAGYAZQBlAGQAbABvAHQAIABjAGEAdAB0AGwAZQAgAC0AIABOAGkAdAByAG8AdQBzACAAbwB4AGkAZABlACAARQBGAHMAIAAoAEUARgBtAFQAKQBcACIAKQA7AFwAbgBcAG4AUwBvAHUAcgBjAGUARABhAHQAYQBfAEYAZQBlAGQAbABvAHQAXwBOAGkAdAByAG8AdQBzAE8AeABpAGQAZQBFAEYAcw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OAGkAdAByAG8AdQBzAE8AeABpAGQAZQBFAEYAcw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UARgBtAFQAIAAoAGsAZwAgAE4AMgBPAC0ATgAvAGsAZwAgAE4AKQBcACIALAAgAFwAIgBOAEkAUgAgAGQAZQBmAGkAbgBpAHQAaQBvAG4AXAAiADsAXABuACAAIAAgACAAIAAgACAAIAAgACAAXAAiAFAAcgBpAG0AYQByAHkAXAAiACwAIABcACIARAByAHkAIABsAG8AdAAgACgARgBlAGUAZABwAGEAZAApAFwAIgAsACAAMAAuADAAMAA1ADQALAAgAFwAIgBEAHIAeQBsAG8AdAAgACgAZgBlAGUAZAAgAHAAYQBkACkAXAAiADsAXABuACAAIAAgACAAIAAgACAAIAAgACAAXAAiAFMAZQBjAG8AbgBkAGEAcgB5AFwAIgAsACAAXAAiAFMAbwBsAGkAZAAgAFMAdABvAHIAYQBnAGUAIAAoAFMAdABvAGMAawBwAGkAbABlACkAXAAiACwAIAAwAC4AMAAwADUALAAgAFwAIgBTAG8AbABpAGQAIABzAHQAbwByAGEAZwBlAFwAIgA7AFwAbgAgACAAIAAgACAAIAAgACAAIAAgAFwAIgBTAGUAYwBvAG4AZABhAHIAeQBcACIALAAgAFwAIgBDAG8AbQBwAG8AcwB0AGkAbgBnACAAKABQAGEAcwBzAGkAdgBlACAAVwBpAG4AZAByAG8AdwApAFwAIgAsACAAMAAuADAAMQ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UABvAG4AZAApAFwAIgAsACAAMA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RgByAGEAYwBOAFYAbwBsAGEAdABpAGwAaQBzAGUAZABcAG4AVABhAGIAbABlACAAQQAuADEALgAxAC4ANgA6ACAAQgBlAGUAZgAgAGYAZQBlAGQAbABvAHQAIABjAGEAdAB0AGwAZQAgAC0AIABGAHIAYQBjAHQAaQBvAG4AIABvAGYAIABOACAAdgBvAGwAYQB0AGkAbABpAHMAZQBkACAAYgB5ACAATQBNAFMAIAAoAEYAcgBhAGMARwBBAFMATQBtAFQAKQBcAG4ALQAtAC0ALQAtAC0ALQAtAC0ALQAtAC0ALQAtAC0ALQAtAC0ALQAtAC0ALQAtAC0ALQAtAC0ALQAtAC0ALQAtAC0ALQAtAC0ALQAtAFwAbgAqAC8AXABuAFwAbgBTAG8AdQByAGMAZQBEAGEAdABhAF8ARgBlAGUAZABsAG8AdABfAEYAcgBhAGMATgBWAG8AbABhAHQAaQBsAGkAcwBlAGQAXwBUAGkAdABsAGUAXABuACAAIAA9AEwAQQBNAEIARABBACgAXAAiAEYAZQBlAGQAbABvAHQAIAAtACAARgByAGEAYwB0AGkAbwBuACAAbwBmACAATgAgAHYAbwBsAGEAdABpAGwAaQBzAGUAZAAgAGIAeQAgAE0ATQBTACAAKABGAHIAYQBjAEcAQQBTAE0AbQBUACkAXAAiACkAOwBcAG4AXABuAFMAbwB1AHIAYwBlAEQAYQB0AGEAXwBGAGUAZQBkAGwAbwB0AF8ARgByAGEAYwBOAFYAbwBsAGEAdABpAGwAaQBzAGUAZABfAFUAbgBpAHQAXABuACAAIAA9AEwAQQBNAEIARABBACgAXAAiAFwAIgApADsAXABuAFwAbgBTAG8AdQByAGMAZQBEAGEAdABhAF8ARgBlAGUAZABsAG8AdABfAEYAcgBhAGMATgBWAG8AbABhAHQAaQBsAGkAcwBlAGQAXwBTAG8AdQByAGMAZQBcAG4AIAAgAD0ATABBAE0AQgBEAEEAKABcACIAVgBFAEUAUgBHACAAMgAwADIANgA6ACAAVABhAGIAbABlACAAQQAuADEALgAxAC4ANgA6ACAAQgBlAGUAZgAgAGYAZQBlAGQAbABvAHQAIABjAGEAdAB0AGwAZQAgAC0AIABGAHIAYQBjAHQAaQBvAG4AIABvAGYAIABOACAAdgBvAGwAYQB0AGkAbABpAHMAZQBkACAAYgB5ACAATQBNAFMAIAAoAEYAcgBhAGMARwBBAFMATQBtAFQAKQBcACIAKQA7AFwAbgBcAG4AUwBvAHUAcgBjAGUARABhAHQAYQBfAEYAZQBlAGQAbABvAHQAXwBGAHIAYQBjAE4AVgBvAGwAYQB0AGkAbABpAHMAZQBk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YAcgBhAGMATgBWAG8AbABhAHQAaQBsAGkAcwBlAGQ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GAHIAYQBjAEcAQQBTAE0AbQBUACAAKABrAGcAIABOAEgAMwAtAE4AIAArACAATgBPAHgALQBOACkALwBrAGcAIABOAFwAIgAsACAAXAAiAE4ASQBSACAAZABlAGYAaQBuAGkAdABpAG8AbgBcACIAOwBcAG4AIAAgACAAIAAgACAAIAAgACAAIABcACIAUAByAGkAbQBhAHIAeQBcACIALAAgAFwAIgBEAHIAeQAgAGwAbwB0ACAAKABGAGUAZQBkAHAAYQBkACkAXAAiACwAIAAwAC4ANgAsACAAXAAiAEQAcgB5AGwAbwB0ACAAKABmAGUAZQBkACAAcABhAGQAKQBcACIAOwBcAG4AIAAgACAAIAAgACAAIAAgACAAIABcACIAUwBlAGMAbwBuAGQAYQByAHkAXAAiACwAIABcACIAUwBvAGwAaQBkACAAUwB0AG8AcgBhAGcAZQAgACgAUwB0AG8AYwBrAHAAaQBsAGUAKQBcACIALAAgADAALgAyADUALAAgAFwAIgBTAG8AbABpAGQAIABzAHQAbwByAGEAZwBlAFwAIgA7AFwAbgAgACAAIAAgACAAIAAgACAAIAAgAFwAIgBTAGUAYwBvAG4AZABhAHIAeQBcACIALAAgAFwAIgBDAG8AbQBwAG8AcwB0AGkAbgBnACAAKABQAGEAcwBzAGkAdgBlACAAVwBpAG4AZAByAG8AdwApAFwAIgAsACAAMAAuADQ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HAAbwBuAGQAKQBcACIALAAgADAALgAzADUALAAgAFwAIgBBAG4AYQBlAHIAbwBiAGkAYwAgAGwAYQBnAG8AbwBuAFwAIgBcAG4AIAAgACAAIAAgACAAIAAgAH0ALAAgAHIALAAgAGMAKQBcAG4AIAAgACAAIAAgACAAKQBcAG4AIAAgACAAIAApAFwAbgAgACAAKQA7AFwAbgBcAG4AIgB9ACwAewAiAHAAYQB0AGgAIgA6ACIALwBwAHIAbwBqAGUAYwB0AHMALwBFAG4AdABlAHIAaQBjAE0AZQB0AGgAYQBuAGUAXwBGAGUAZQBkAGwAbwB0AF8ARQBxAHUAYQB0AGkAbwBuAHMAIgAsACIAdABlAHgAdAAiADoAIgAvACoAXABuAD0APQA9AD0APQA9AD0APQA9AD0APQA9AD0APQA9AD0APQA9AD0APQA9AD0APQA9AD0APQA9AD0APQA9AD0APQA9AD0APQA9AD0APQA9AD0APQA9AD0APQA9AD0APQA9AD0APQA9AD0APQA9AD0APQA9AD0APQA9AD0APQA9AD0APQA9AD0APQA9AD0APQA9AD0APQA9AD0AXABuADMALgAxADoAIABFAG4AdABlAHIAaQBjACAATQBlAHQAaABhAG4AZQAgAC0AIABGAGUAZQBkAGwAbwB0ACAAQgBlAGUAZgBcAG4APQA9AD0APQA9AD0APQA9AD0APQA9AD0APQA9AD0APQA9AD0APQA9AD0APQA9AD0APQA9AD0APQA9AD0APQA9AD0APQA9AD0APQA9AD0APQA9AD0APQA9AD0APQA9AD0APQA9AD0APQA9AD0APQA9AD0APQA9AD0APQA9AD0APQA9AD0APQA9AD0APQA9AD0APQA9AD0APQBcAG4AMwAuADEALgAxAC4AMQAgAE0AZQB0AGgAbwBkACAAMQAgAC0AIABFAG4AdABlAHIAaQBj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YAZQBlAGQAbABvAHQAIABiAGUAZQBmACAAYwBhAHQAdABsAGUAXABuAEUAXwBlAG4AdABlAHIAaQBjAFwAbgB0ACAAQwBIADQAXABuAEUAXwB7AGUAbgB0AGUAcgBpAGMAfQA9AFwAXABzAHUAbQBcAFwAbgBvAGwAaQBtAGkAdABzAF8AagAoAEQAXwBqAFwAXAB0AGkAbQBlAHMAIABNAF8AagBcAFwAdABpAG0AZQBzACAATgBfAGoAKQBcAFwAdABpAG0AZQBzACAAMQAwAF4AewAtADMAfQBcAG4ARABfAGoAIAA9ACAAZAB1AHIAYQB0AGkAbwBuACAAbwBmACAAcwB0AGEAeQAgAG8AZgAgAGUAYQBjAGgAIABjAGEAdAB0AGwAZQAgAGwAbwB0ACAAKABkAGEAeQBzACkAXABuAE0AXwBqACAAPQAgAGQAYQBpAGwAeQAgAG0AZQB0AGgAYQBuAGUAIABwAHIAbwBkAHUAYwB0AGkAbwBuACAAKABrAGcAIABDAEgANAAvAGgAZQBhAGQALwBkAGEAeQApAFwAbgBOAF8AagAgAD0AIABuAHUAbQBiAGUAcgBzACAAbwBmACAAZgBlAGUAZABsAG8AdAAgAGMAYQB0AHQAbABlACAAaQBuACAAZQBhAGMAaAAgAGMAYQB0AHQAbABlACAAbABvAHQAIAAoAGgAZQBhAGQAKQBcAG4ALQAtAC0ALQAtAC0ALQAtAC0ALQAtAC0ALQAtAC0ALQAtAC0ALQAtAC0ALQAtAC0ALQAtAC0ALQAtAC0ALQAtAC0ALQAtAC0ALQAtAFwAbgAqAC8AXABuAFwAbgBWAEUARQBSAEcAXwAzAF8AMQBfADEAXwAxAF8AXwAxAF8AVABvAHQAYQBsAEEAbgBuAHUAYQBsAE0AZQB0AGgAYQBuAGUARgByAG8AbQBFAG4AdABlAHIAaQBjAEYAZQByAG0AZQBuAHQAYQB0AGkAbwBuAFwAbgAgACAAPQBMAEEATQBCAEQAQQAoAFwAbgAgACAAIAAgAEQAXwBqACwAIABNAF8AagAsACAATgBfAGoALABcAG4AIAAgACAAIAAoAEQAXwBqACAAKgAgAE0AXwBqACAAKgAgAE4AXwBqACkAIAAqACAAMQAwACAAXgAgAC0AMwBcAG4AIAAgACkAOwBcAG4AXABuAFYARQBFAFIARwBfADMAXwAx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gBlAGUAZABsAG8AdAAgAGIAZQBlAGYAIABjAGEAdAB0AGwAZQBcACIAKQA7AFwAbgBcAG4AVgBFAEUAUgBHAF8AMwBfADEAXwAxAF8AMQBfAF8AMQBfAFQAbwB0AGEAbABBAG4AbgB1AGEAbABNAGUAdABoAGEAbgBlAEYAcgBvAG0ARQBuAHQAZQByAGkAYwBGAGUAcgBtAGUAbgB0AGEAdABpAG8AbgBfAFYAYQByAGkAYQBiAGwAZQBcAG4AIAAgAD0ATABBAE0AQgBEAEEAKABcACIARQBfAGUAbgB0AGUAcgBpAGMAXAAiACkAOwBcAG4AXABuAFYARQBFAFIARwBfADMAXwAxAF8AMQBfADEAXwBfADEAXwBUAG8AdABhAGwAQQBuAG4AdQBhAGwATQBlAHQAaABhAG4AZQBGAHIAbwBtAEUAbgB0AGUAcgBpAGMARgBlAHIAbQBlAG4AdABhAHQAaQBvAG4AXwBVAG4AaQB0AFwAbgAgACAAPQBMAEEATQBCAEQAQQAoAFwAIgB0ACAAQwBIADQAXAAiACkAOwBcAG4AXABuAFYARQBFAFIARwBfADMAXwAxAF8AMQBfADEAXwBfADEAXwBUAG8AdABhAGwAQQBuAG4AdQBhAGwATQBlAHQAaABhAG4AZQBGAHIAbwBtAEUAbgB0AGUAcgBpAGMARgBlAHIAbQBlAG4AdABhAHQAaQBvAG4AXwBTAG8AdQByAGMAZQBcAG4AIAAgAD0ATABBAE0AQgBEAEEAKABcACIAVgBFAEUAUgBHACAAMgAwADIANgA6ACAAMwAuADEALgAxAC4AMQAsACAARQBxAHUAYQB0AGkAbwBuACAAKAAxACkAXAAiACkAOwBcAG4AXABuAFYARQBFAFIARwBfADMAXwAxAF8AMQBfADEAXwBfADEAXwBUAG8AdABhAGwAQQBuAG4AdQBhAGwATQBlAHQAaABhAG4AZQBGAHIAbwBtAEUAbgB0AGUAcgBpAGMARgBlAHIAbQBlAG4AdABhAHQAaQBvAG4AXwBOAEkAUgBSAGUAZgBlAHIAZQBuAGMAZQBcAG4AIAAgAD0ATABBAE0AQgBEAEEAKABcACIAXAAiACkAOwBcAG4AXABuAFYARQBFAFIARwBfADMAXwAx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EAF8AagBcAFwAdABpAG0AZQBzACAATQBfAGoAXABcAHQAaQBtAGUAcwAgAE4AXwBqACkAXABcAHQAaQBtAGUAcwAgADEAMABeAHsALQAzAH0AXAAiACkAOwBcAG4AXABuAFYARQBFAFIARwBfADMAXwAx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ZAB1AHIAYQB0AGkAbwBuACAAbwBmACAAcwB0AGEAeQAgAG8AZgAgAGUAYQBjAGgAIABjAGEAdAB0AGwAZQAgAGwAbwB0AFwAIgAsACAAXAAiAGQAYQB5AHMAXAAiACwAIABcACIASQBuAHAAdQB0AFwAIgA7AFwAbgAgACAAIAAgACAAIAAgACAAIAAgAFwAIgBNAF8AagBcACIALAAgAFwAIgBkAGEAaQBsAHkAIABtAGUAdABoAGEAbgBlACAAcAByAG8AZAB1AGMAdABpAG8AbgBcACIALAAgAFwAIgBrAGcAIABDAEgANAAvAGgAZQBhAGQALwBkAGEAeQBcACIALAAgAFwAIgBDAGEAbABjAHUAbABhAHQAZQBkACAAZgByAG8AbQAgADMALgAxAC4AMQAuADEALAAgACgAMgApAFwAIgA7AFwAbgAgACAAIAAgACAAIAAgACAAIAAgAFwAIgBOAF8AagBcACIALAAgAFwAIgBuAHUAbQBiAGUAcgBzACAAbwBmACAAZgBlAGUAZABsAG8AdAAgAGMAYQB0AHQAbABlACAAaQBuACAAZQBhAGMAaAAgAGMAYQB0AHQAbABlACAAbABvAHQ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EAXwAxAF8AMQBfAF8AMgBfAEQAYQBpAGwAeQBFAG4AdABlAHIAaQBjAE0AZQB0AGgAYQBuAGUAUAByAG8AZAB1AGMAdABpAG8AbgBcAG4ARABhAGkAbAB5ACAAcAByAG8AZAB1AGMAdABpAG8AbgAgAG8AZgAgAGUAbgB0AGUAcgBpAGMAIABtAGUAdABoAGEAbgBlAFwAbgBNAF8AagBcAG4AawBnACAAQwBIADQALwBoAGUAYQBkAC8AZABhAHkAXABuAE0AXwBqAD0AKAA1AC4AMQAxAFwAXAB0AGkAbQBlAHMAIABJAF8AagAtADQALgAwADAAXABcAHQAaQBtAGUAcwAgAEUARQBfAGoAKwAyAC4AMgA2AFwAXAB0AGkAbQBlAHMAIABOAEQARgBfAGoAKQBcAFwAdABpAG0AZQBzACAAMQAwAF4AewAtADMAfQBcAG4ASQBfAGoAIAA9ACAAZAByAHkAIABtAGEAdAB0AGUAcgAgAGkAbgB0AGEAawBlACAAKABrAGcAIABEAE0ALwBoAGUAYQBkAC8AZABhAHkAKQBcAG4ARQBFAF8AagAgAD0AIABlAHQAaABlAHIAIABlAHgAdAByAGEAYwB0ACAAYQBzACAAYQAgAHAAZQByAGMAZQBuAHQAYQBnAGUAIABvAGYAIABJAF8AagAgACgAcABlAHIAIABjAGUAbgB0ACkAXABuAE4ARABGAF8AagAgAD0AIABuAGUAdQB0AHIAYQBsACAAZABlAHQAZQByAGcAZQBuAHQAIABmAGkAYgByAGUAIABhAHMAIABhACAAcABlAHIAYwBlAG4AdABhAGcAZQAgAG8AZgAgAEkAXwBqACAAKABwAGUAcgAgAGMAZQBuAHQAKQBcAG4ALQAtAC0ALQAtAC0ALQAtAC0ALQAtAC0ALQAtAC0ALQAtAC0ALQAtAC0ALQAtAC0ALQAtAC0ALQAtAC0ALQAtAC0ALQAtAC0ALQAtAFwAbgAqAC8AXABuAFwAbgBWAEUARQBSAEcAXwAzAF8AMQBfADEAXwAxAF8AXwAyAF8ARABhAGkAbAB5AEUAbgB0AGUAcgBpAGMATQBlAHQAaABhAG4AZQBQAHIAbwBkAHUAYwB0AGkAbwBuAFwAbgAgACAAPQBMAEEATQBCAEQAQQAoAFwAbgAgACAAIAAgAEkAXwBqACwAIABFAEUAXwBqACwAIABOAEQARgBfAGoALABcAG4AIAAgACAAIAAoADUALgAxADEAIAAqACAASQBfAGoAIAAtACAANAAuADAAMAAgACoAIABFAEUAXwBqACAAKwAgADIALgAyADYAIAAqACAATgBEAEYAXwBqACkAIAAqACAAMQAwACAAXgAgAC0AMwBcAG4AIAAgACkAOwBcAG4AXABuAFYARQBFAFIARwBfADMAXwAx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EAXwAxAF8AMQBfAF8AMgBfAEQAYQBpAGwAeQBFAG4AdABlAHIAaQBjAE0AZQB0AGgAYQBuAGUAUAByAG8AZAB1AGMAdABpAG8AbgBfAFYAYQByAGkAYQBiAGwAZQBcAG4AIAAgAD0ATABBAE0AQgBEAEEAKABcACIATQBfAGoAXAAiACkAOwBcAG4AXABuAFYARQBFAFIARwBfADMAXwAxAF8AMQBfADEAXwBfADIAXwBEAGEAaQBsAHkARQBuAHQAZQByAGkAYwBNAGUAdABoAGEAbgBlAFAAcgBvAGQAdQBjAHQAaQBvAG4AXwBVAG4AaQB0AFwAbgAgACAAPQBMAEEATQBCAEQAQQAoAFwAIgBrAGcAIABDAEgANAAvAGgAZQBhAGQALwBkAGEAeQBcACIAKQA7AFwAbgBcAG4AVgBFAEUAUgBHAF8AMwBfADEAXwAxAF8AMQBfAF8AMgBfAEQAYQBpAGwAeQBFAG4AdABlAHIAaQBjAE0AZQB0AGgAYQBuAGUAUAByAG8AZAB1AGMAdABpAG8AbgBfAFMAbwB1AHIAYwBlAFwAbgAgACAAPQBMAEEATQBCAEQAQQAoAFwAIgBWAEUARQBSAEcAIAAyADAAMgA2ADoAIAAzAC4AMQAuADEALgAxACwAIABFAHEAdQBhAHQAaQBvAG4AIAAoADIAKQBcACIAKQA7AFwAbgBcAG4AVgBFAEUAUgBHAF8AMwBfADEAXwAxAF8AMQBfAF8AMgBfAEQAYQBpAGwAeQBFAG4AdABlAHIAaQBjAE0AZQB0AGgAYQBuAGUAUAByAG8AZAB1AGMAdABpAG8AbgBfAE4ASQBSAFIAZQBmAGUAcgBlAG4AYwBlAFwAbgAgACAAPQBMAEEATQBCAEQAQQAoAFwAIgBBAGwAbQBlAGkAZABhACAAZQB0ACAAYQBsAC4AIAAoADIAMAAyADUAKQBcACIAKQA7AFwAbgBcAG4AVgBFAEUAUgBHAF8AMwBfADEAXwAxAF8AMQBfAF8AMgBfAEQAYQBpAGwAeQBFAG4AdABlAHIAaQBjAE0AZQB0AGgAYQBuAGUAUAByAG8AZAB1AGMAdABpAG8AbgBfAEwAYQB0AGUAeABFAHEAdQBhAHQAaQBvAG4AXABuACAAIAA9AEwAQQBNAEIARABBACgAXAAiAE0AXwBqAD0AKAA1AC4AMQAxAFwAXAB0AGkAbQBlAHMAIABJAF8AagAtADQALgAwADAAXABcAHQAaQBtAGUAcwAgAEUARQBfAGoAKwAyAC4AMgA2AFwAXAB0AGkAbQBlAHMAIABOAEQARgBfAGoAKQBcAFwAdABpAG0AZQBzACAAMQAwAF4AewAtADMAfQBcACIAKQA7AFwAbgBcAG4AVgBFAEUAUgBHAF8AMwBfADEAXwAxAF8AMQBfAF8AMgBfAEQAYQBpAGwAeQBFAG4AdABlAHIAaQBjAE0AZQB0AGgAYQBuAGU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aQBuAHQAYQBrAGUAXAAiACwAIABcACIAawBnACAARABNAC8AaABlAGEAZAAvAGQAYQB5AFwAIgAsACAAXAAiAEkAbgBwAHUAdABcACIAOwBcAG4AIAAgACAAIAAgACAAIAAgACAAIABcACIARQBFAF8AagBcACIALAAgAFwAIgBlAHQAaABlAHIAIABlAHgAdAByAGEAYwB0ACAAYQBzACAAYQAgAHAAZQByAGMAZQBuAHQAYQBnAGUAIABvAGYAIABJAF8AagBcACIALAAgAFwAIgBwAGUAcgAgAGMAZQBuAHQAXAAiACwAIABcACIASQBuAHAAdQB0AFwAIgA7AFwAbgAgACAAIAAgACAAIAAgACAAIAAgAFwAIgBOAEQARgBfAGoAXAAiACwAIABcACIAbgBlAHUAdAByAGEAbAAgAGQAZQB0AGUAcgBnAGUAbgB0ACAAZgBpAGIAcgBlACAAYQBzACAAYQAgAHAAZQByAGMAZQBuAHQAYQBnAGUAIABvAGYAIABJAF8AagBcACIALAAgAFwAIgBwAGUAcgAgAGMAZQBuAHQ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UAbgB0AGUAcgBpAGMATQBlAHQAaABhAG4AZQBfAEYAZQBlAGQAbABvAHQAXwBFAHEAdQBhAHQAaQBvAG4AcwAuAFYARQBFAFIARwBfADMAXwAxAF8AMQBfADEAXwBfADEAXwBUAG8AdABhAGwAQQBuAG4AdQBhAGwATQBlAHQAaABhAG4AZQBGAHIAbwBtAEUAbgB0AGUAcgBpAGMARgBlAHIAbQBlAG4AdABhAHQAaQBvAG4AIgAsACIARQBuAHQAZQByAGkAYwBNAGUAdABoAGEAbgBlAF8ARgBlAGUAZABsAG8AdABfAEUAcQB1AGEAdABpAG8AbgBzAC4AVgBFAEUAUgBHAF8AMwBfADEAXwAxAF8AMQBfAF8AMQBfAFQAbwB0AGEAbABBAG4AbgB1AGEAbABNAGUAdABoAGEAbgBlAEYAcgBvAG0ARQBuAHQAZQByAGkAYwBGAGUAcgBtAGUAbgB0AGEAdABpAG8AbgBfAFQAaQB0AGwAZQAiACwAIgBFAG4AdABlAHIAaQBjAE0AZQB0AGgAYQBuAGUAXwBGAGUAZQBkAGwAbwB0AF8ARQBxAHUAYQB0AGkAbwBuAHMALgBWAEUARQBSAEcAXwAzAF8AMQBfADEAXwAxAF8AXwAxAF8AVABvAHQAYQBsAEEAbgBuAHUAYQBsAE0AZQB0AGgAYQBuAGUARgByAG8AbQBFAG4AdABlAHIAaQBjAEYAZQByAG0AZQBuAHQAYQB0AGkAbwBuAF8AVgBhAHIAaQBhAGIAbABlACIALAAiAEUAbgB0AGUAcgBpAGMATQBlAHQAaABhAG4AZQBfAEYAZQBlAGQAbABvAHQAXwBFAHEAdQBhAHQAaQBvAG4AcwAuAFYARQBFAFIARwBfADMAXwAxAF8AMQBfADEAXwBfADEAXwBUAG8AdABhAGwAQQBuAG4AdQBhAGwATQBlAHQAaABhAG4AZQBGAHIAbwBtAEUAbgB0AGUAcgBpAGMARgBlAHIAbQBlAG4AdABhAHQAaQBvAG4AXwBVAG4AaQB0ACIALAAiAEUAbgB0AGUAcgBpAGMATQBlAHQAaABhAG4AZQBfAEYAZQBlAGQAbABvAHQAXwBFAHEAdQBhAHQAaQBvAG4AcwAuAFYARQBFAFIARwBfADMAXwAxAF8AMQBfADEAXwBfADEAXwBUAG8AdABhAGwAQQBuAG4AdQBhAGwATQBlAHQAaABhAG4AZQBGAHIAbwBtAEUAbgB0AGUAcgBpAGMARgBlAHIAbQBlAG4AdABhAHQAaQBvAG4AXwBTAG8AdQByAGMAZQAiACwAIgBFAG4AdABlAHIAaQBjAE0AZQB0AGgAYQBuAGUAXwBGAGUAZQBkAGwAbwB0AF8ARQBxAHUAYQB0AGkAbwBuAHMALgBWAEUARQBSAEcAXwAzAF8AMQBfADEAXwAxAF8AXwAxAF8AVABvAHQAYQBsAEEAbgBuAHUAYQBsAE0AZQB0AGgAYQBuAGUARgByAG8AbQBFAG4AdABlAHIAaQBjAEYAZQByAG0AZQBuAHQAYQB0AGkAbwBuAF8ATgBJAFIAUgBlAGYAZQByAGUAbgBjAGUAIgAsACIARQBuAHQAZQByAGkAYwBNAGUAdABoAGEAbgBlAF8ARgBlAGUAZABsAG8AdABfAEUAcQB1AGEAdABpAG8AbgBzAC4AVgBFAEUAUgBHAF8AMwBfADEAXwAxAF8AMQBfAF8AMQBfAFQAbwB0AGEAbABBAG4AbgB1AGEAbABNAGUAdABoAGEAbgBlAEYAcgBvAG0ARQBuAHQAZQByAGkAYwBGAGUAcgBtAGUAbgB0AGEAdABpAG8AbgBfAEwAYQB0AGUAeABFAHEAdQBhAHQAaQBvAG4AIgAsACIARQBuAHQAZQByAGkAYwBNAGUAdABoAGEAbgBlAF8ARgBlAGUAZABsAG8AdABfAEUAcQB1AGEAdABpAG8AbgBzAC4AVgBFAEUAUgBHAF8AMwBfADEAXwAxAF8AMQBfAF8AMQBfAFQAbwB0AGEAbABBAG4AbgB1AGEAbABNAGUAdABoAGEAbgBlAEYAcgBvAG0ARQBuAHQAZQByAGkAYwBGAGUAcgBtAGUAbgB0AGEAdABpAG8AbgBfAEEAcgBnAHUAbQBlAG4AdABzACIALAAiAEUAbgB0AGUAcgBpAGMATQBlAHQAaABhAG4AZQBfAEYAZQBlAGQAbABvAHQAXwBFAHEAdQBhAHQAaQBvAG4AcwAuAFYARQBFAFIARwBfADMAXwAxAF8AMQBfADEAXwBfADIAXwBEAGEAaQBsAHkARQBuAHQAZQByAGkAYwBNAGUAdABoAGEAbgBlAFAAcgBvAGQAdQBjAHQAaQBvAG4AIgAsACIARQBuAHQAZQByAGkAYwBNAGUAdABoAGEAbgBlAF8ARgBlAGUAZABsAG8AdABfAEUAcQB1AGEAdABpAG8AbgBzAC4AVgBFAEUAUgBHAF8AMwBfADEAXwAxAF8AMQBfAF8AMgBfAEQAYQBpAGwAeQBFAG4AdABlAHIAaQBjAE0AZQB0AGgAYQBuAGUAUAByAG8AZAB1AGMAdABpAG8AbgBfAFQAaQB0AGwAZQAiACwAIgBFAG4AdABlAHIAaQBjAE0AZQB0AGgAYQBuAGUAXwBGAGUAZQBkAGwAbwB0AF8ARQBxAHUAYQB0AGkAbwBuAHMALgBWAEUARQBSAEcAXwAzAF8AMQBfADEAXwAxAF8AXwAyAF8ARABhAGkAbAB5AEUAbgB0AGUAcgBpAGMATQBlAHQAaABhAG4AZQBQAHIAbwBkAHUAYwB0AGkAbwBuAF8AVgBhAHIAaQBhAGIAbABlACIALAAiAEUAbgB0AGUAcgBpAGMATQBlAHQAaABhAG4AZQBfAEYAZQBlAGQAbABvAHQAXwBFAHEAdQBhAHQAaQBvAG4AcwAuAFYARQBFAFIARwBfADMAXwAxAF8AMQBfADEAXwBfADIAXwBEAGEAaQBsAHkARQBuAHQAZQByAGkAYwBNAGUAdABoAGEAbgBlAFAAcgBvAGQAdQBjAHQAaQBvAG4AXwBVAG4AaQB0ACIALAAiAEUAbgB0AGUAcgBpAGMATQBlAHQAaABhAG4AZQBfAEYAZQBlAGQAbABvAHQAXwBFAHEAdQBhAHQAaQBvAG4AcwAuAFYARQBFAFIARwBfADMAXwAxAF8AMQBfADEAXwBfADIAXwBEAGEAaQBsAHkARQBuAHQAZQByAGkAYwBNAGUAdABoAGEAbgBlAFAAcgBvAGQAdQBjAHQAaQBvAG4AXwBTAG8AdQByAGMAZQAiACwAIgBFAG4AdABlAHIAaQBjAE0AZQB0AGgAYQBuAGUAXwBGAGUAZQBkAGwAbwB0AF8ARQBxAHUAYQB0AGkAbwBuAHMALgBWAEUARQBSAEcAXwAzAF8AMQBfADEAXwAxAF8AXwAyAF8ARABhAGkAbAB5AEUAbgB0AGUAcgBpAGMATQBlAHQAaABhAG4AZQBQAHIAbwBkAHUAYwB0AGkAbwBuAF8ATgBJAFIAUgBlAGYAZQByAGUAbgBjAGUAIgAsACIARQBuAHQAZQByAGkAYwBNAGUAdABoAGEAbgBlAF8ARgBlAGUAZABsAG8AdABfAEUAcQB1AGEAdABpAG8AbgBzAC4AVgBFAEUAUgBHAF8AMwBfADEAXwAxAF8AMQBfAF8AMgBfAEQAYQBpAGwAeQBFAG4AdABlAHIAaQBjAE0AZQB0AGgAYQBuAGUAUAByAG8AZAB1AGMAdABpAG8AbgBfAEwAYQB0AGUAeABFAHEAdQBhAHQAaQBvAG4AIgAsACIARQBuAHQAZQByAGkAYwBNAGUAdABoAGEAbgBlAF8ARgBlAGUAZABsAG8AdABfAEUAcQB1AGEAdABpAG8AbgBzAC4AVgBFAEUAUgBHAF8AMwBfADEAXwAxAF8AMQBfAF8AMgBfAEQAYQBpAGwAeQBFAG4AdABlAHIAaQBjAE0AZQB0AGgAYQBuAGUAUAByAG8AZAB1AGMAdABp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2026-06-10T02:09:30Z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