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F9E1FB4-B44E-4D0B-BFDB-55176F3BC188}" xr6:coauthVersionLast="47" xr6:coauthVersionMax="47" xr10:uidLastSave="{00000000-0000-0000-0000-000000000000}"/>
  <bookViews>
    <workbookView xWindow="5070" yWindow="507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6"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Feedlot_AverageHead_Domestic">'Input - Feedlot'!$E$8</definedName>
    <definedName name="Input_Feedlot_AverageHead_LongFed">'Input - Feedlot'!$G$8</definedName>
    <definedName name="Input_Feedlot_AverageHead_MidFed">'Input - Feedlot'!$F$8</definedName>
    <definedName name="Input_Feedlot_DurationOfStay_Domestic">'Input - Feedlot'!$E$9</definedName>
    <definedName name="Input_Feedlot_DurationOfStay_LongFed">'Input - Feedlot'!$G$9</definedName>
    <definedName name="Input_Feedlot_DurationOfStay_MidFed">'Input - Feedlot'!$F$9</definedName>
    <definedName name="Input_Feedlot_EtherExtract_Domestic">'Input - Feedlot'!$E$20</definedName>
    <definedName name="Input_Feedlot_EtherExtract_LongFed">'Input - Feedlot'!$G$20</definedName>
    <definedName name="Input_Feedlot_EtherExtract_MidFed">'Input - Feedlot'!$F$20</definedName>
    <definedName name="Input_Feedlot_FeedIntake_Domestic">'Input - Feedlot'!$E$19</definedName>
    <definedName name="Input_Feedlot_FeedIntake_LongFed">'Input - Feedlot'!$G$19</definedName>
    <definedName name="Input_Feedlot_FeedIntake_MidFed">'Input - Feedlot'!$F$19</definedName>
    <definedName name="Input_Feedlot_NDF_Domestic">'Input - Feedlot'!$E$21</definedName>
    <definedName name="Input_Feedlot_NDF_LongFed">'Input - Feedlot'!$G$21</definedName>
    <definedName name="Input_Feedlot_NDF_MidFed">'Input - Feedlot'!$F$21</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c r="D169" i="106" a="1"/>
  <c r="D168" i="106"/>
  <c r="D168" i="106" a="1"/>
  <c r="D167" i="106" a="1"/>
  <c r="D167" i="106" s="1"/>
  <c r="D164" i="106" a="1"/>
  <c r="D164" i="106" s="1"/>
  <c r="D163" i="106" a="1"/>
  <c r="D163" i="106" s="1"/>
  <c r="D162" i="106" a="1"/>
  <c r="D162" i="106" s="1"/>
  <c r="D161" i="106"/>
  <c r="D161" i="106" a="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c r="D115" i="106" a="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c r="D106" i="106" a="1"/>
  <c r="D105" i="106"/>
  <c r="D105" i="106" a="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c r="D19" i="106" a="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c r="D5" i="106" a="1"/>
  <c r="F60" i="69"/>
  <c r="E60" i="69"/>
  <c r="D60" i="69"/>
  <c r="F55" i="69"/>
  <c r="E55" i="69"/>
  <c r="D55"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7" i="69" a="1"/>
  <c r="E41" i="69" a="1"/>
  <c r="H53" i="106" l="1"/>
  <c r="H52" i="106"/>
  <c r="H50" i="106"/>
  <c r="H51" i="106"/>
  <c r="H48" i="106"/>
  <c r="H54" i="106"/>
  <c r="H49" i="106"/>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M20" i="69" s="1"/>
  <c r="G14" i="70" a="1"/>
  <c r="G14" i="70" s="1"/>
  <c r="E15" i="70" a="1"/>
  <c r="E15" i="70" s="1"/>
  <c r="F14" i="70" a="1"/>
  <c r="F14" i="70" s="1"/>
  <c r="E14" i="70" a="1"/>
  <c r="E14" i="70" s="1"/>
  <c r="G21" i="70" a="1"/>
  <c r="G21" i="70" s="1"/>
  <c r="O30" i="69" s="1"/>
  <c r="F19" i="70" a="1"/>
  <c r="F19" i="70" s="1"/>
  <c r="N20" i="69" s="1"/>
  <c r="G19" i="70" a="1"/>
  <c r="G19" i="70" s="1"/>
  <c r="O20" i="69"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35" i="69" l="1" a="1"/>
  <c r="M35" i="69" s="1"/>
  <c r="M65" i="69" s="1" a="1"/>
  <c r="M65" i="69" s="1"/>
  <c r="N35" i="69" a="1"/>
  <c r="N35" i="69" s="1"/>
  <c r="N65" i="69" s="1" a="1"/>
  <c r="N65" i="69" s="1"/>
  <c r="O35" i="69" a="1"/>
  <c r="O35" i="69" s="1"/>
  <c r="O65" i="69" s="1" a="1"/>
  <c r="O65" i="69" s="1"/>
  <c r="D8" i="70" l="1"/>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<sst xmlns="http://schemas.openxmlformats.org/spreadsheetml/2006/main" count="287" uniqueCount="188">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</sst>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BCFE02-801F-4332-BC45-7E9990A8CB1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B27AE94-83F2-40B1-B174-CB2DE9B3ED8A}" name="State/Territory">
      <calculatedColumnFormula array="1">Common_InputFunctions.Utility_DisplayArrayInTable(Common_SourceData.Common_SourceData_AustralianStatesTerritories_Data(),Table_AustralianStates[[#Headers],[State/Territory]],0)</calculatedColumnFormula>
    </tableColumn>
    <tableColumn id="2" xr3:uid="{6EFEF5C7-3464-467F-90AF-E88DFAC7F943}" name="Common Name">
      <calculatedColumnFormula array="1">Common_InputFunctions.Utility_DisplayArrayInTable(Common_SourceData.Common_SourceData_AustralianStatesTerritories_Data(),Table_AustralianStates[[#Headers],[State/Territory]],0)</calculatedColumnFormula>
    </tableColumn>
    <tableColumn id="3" xr3:uid="{6E93BB32-C9C8-4BF0-AD30-4EC2FF55F2C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FFC9A8-7115-47B5-8A20-EE07DDB9D7D2}" name="Table_WASA4Areas" displayName="Table_WASA4Areas" ref="D20:D30" totalsRowShown="0">
  <autoFilter ref="D20:D30" xr:uid="{5FA81339-C6C8-4D36-BEEA-6C4AEDD9E676}">
    <filterColumn colId="0" hiddenButton="1"/>
  </autoFilter>
  <tableColumns count="1">
    <tableColumn id="1" xr3:uid="{E62BB226-F936-4DB3-8E81-8426DAC75CE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EC4EB5B-FBFA-4076-83CB-8F30BC1F407E}" name="Table_GWPData" displayName="Table_GWPData" ref="D36:E43" totalsRowShown="0">
  <autoFilter ref="D36:E43" xr:uid="{B8E87A66-3E41-4AD3-925D-01EE21B43D7A}">
    <filterColumn colId="0" hiddenButton="1"/>
    <filterColumn colId="1" hiddenButton="1"/>
  </autoFilter>
  <tableColumns count="2">
    <tableColumn id="1" xr3:uid="{32FA1116-DBC3-40B2-8D07-C052AE00A663}" name="Gas">
      <calculatedColumnFormula array="1">Common_InputFunctions.Utility_DisplayArrayInTable(Common_SourceData.Common_SourceData_GWP_Data(), Table_GWPData[[#Headers],[Gas]], 0)</calculatedColumnFormula>
    </tableColumn>
    <tableColumn id="2" xr3:uid="{E621910C-BFE3-4E07-AE59-FC92936164C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0F5992F-4C5D-47D7-9429-DB431635EC4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4EDB1E3-0118-4578-A831-02557664BA00}" name="Gas">
      <calculatedColumnFormula array="1">Common_InputFunctions.Utility_DisplayArrayInTable(Common_SourceData.Common_SourceData_ConvertGasElementalToMolecular_Data(),Table_GasToMolecularConversionFactor[[#Headers],[Gas]], 0)</calculatedColumnFormula>
    </tableColumn>
    <tableColumn id="5" xr3:uid="{5C593E3B-EEE6-43B8-B838-C99CFF879065}" name="Conversion factor">
      <calculatedColumnFormula array="1">Common_InputFunctions.Utility_DisplayArrayInTable(Common_SourceData.Common_SourceData_ConvertGasElementalToMolecular_Data(),Table_GasToMolecularConversionFactor[[#Headers],[Gas]], 0)</calculatedColumnFormula>
    </tableColumn>
    <tableColumn id="2" xr3:uid="{2E9855D3-B86A-4753-821E-8D3E6C72E53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1FCE6E-8700-470A-AB54-D29A7C0530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B2DE0E8-DB89-477E-82D3-18CC7A80503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6384845-8167-440F-A7C5-87C5A09D9BD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55038C7-B33A-493D-A648-DF4BC5A90A0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8D41744-4D96-41B0-9F1C-EBB7E014CA88}"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55BF24E-2F1D-47A1-AC95-A50D186474F7}"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610EDDB-486B-47D3-969A-A11037EFB7A8}"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2ABE532-F155-4453-8729-CDBB37CAAF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F4D531E7-CB07-4525-B03A-9FBF1F17F0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90BD846-37A2-46CF-A85F-7A3BB3FDE5A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6B537540-E2B9-44C7-99A3-BAC01F3C240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FEDAA7CB-5BBE-4D60-AC12-4F217AD0096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0EF1BC68-06AE-40C2-A998-961E043958D7}"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280234E-33AD-4903-9235-962363930848}"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42DBD633-36CC-46E3-B5BB-D7E4DB3125BD}"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F71A54CA-5C83-4F0C-B6A2-F048B391A99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68CA63D3-9B65-4A6E-B168-747523D6DF3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041E196B-FEF8-4CAB-80BA-B64930DD188F}"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D9FFB08A-1B78-413E-8699-72975399318C}"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B60D47C-EE82-4A29-9CAA-6979410D6F8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41FA5AD-62CD-4C68-92B3-7AEE45020EE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4B0737D-DA33-4F67-B73F-30BF6C2BED3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8A7741-83E9-4634-B375-8503D6F94C0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1C15A26-12EB-4C0B-B07A-54868CBD3EFA}" name="Temperature Zone">
      <calculatedColumnFormula array="1">Common_InputFunctions.Utility_DisplayArrayInTable(Common_SourceData.Common_SourceData_TemperatureZones_Data(),Table_SourceData_TemperatureZones[[#Headers],[Temperature Zone]],0)</calculatedColumnFormula>
    </tableColumn>
    <tableColumn id="2" xr3:uid="{5B84CE97-DDD0-4970-B883-B3E492F7491C}" name="MAT">
      <calculatedColumnFormula array="1">Common_InputFunctions.Utility_DisplayArrayInTable(Common_SourceData.Common_SourceData_TemperatureZones_Data(),Table_SourceData_TemperatureZones[[#Headers],[Temperature Zone]],0)</calculatedColumnFormula>
    </tableColumn>
    <tableColumn id="3" xr3:uid="{465DBE7D-554D-4C3A-9FB3-3CE245BBD93A}" name="Min MAT">
      <calculatedColumnFormula array="1">Common_InputFunctions.Utility_DisplayArrayInTable(Common_SourceData.Common_SourceData_TemperatureZones_Data(),Table_SourceData_TemperatureZones[[#Headers],[Temperature Zone]],0)</calculatedColumnFormula>
    </tableColumn>
    <tableColumn id="4" xr3:uid="{462C9B6A-DD86-4494-B697-68ED69435E3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523FABC-A667-40A7-8C5E-4489ECA049C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9DACA93-8CE7-4FE9-9D15-2F05F9199644}" name="Rainfall Zone">
      <calculatedColumnFormula array="1">Common_InputFunctions.Utility_DisplayArrayInTable(Common_SourceData.Common_SourceData_RainfallZones_Data(),Table_SourceData_RainfallZones[[#Headers],[Rainfall Zone]],0)</calculatedColumnFormula>
    </tableColumn>
    <tableColumn id="2" xr3:uid="{82F9D84D-16D3-4837-930C-E361B773B0D6}" name="Annual rainfall">
      <calculatedColumnFormula array="1">Common_InputFunctions.Utility_DisplayArrayInTable(Common_SourceData.Common_SourceData_RainfallZones_Data(),Table_SourceData_RainfallZones[[#Headers],[Rainfall Zone]],0)</calculatedColumnFormula>
    </tableColumn>
    <tableColumn id="3" xr3:uid="{828A2EF2-383C-41C8-97DC-51FF02CE694C}" name="Min rainfall">
      <calculatedColumnFormula array="1">Common_InputFunctions.Utility_DisplayArrayInTable(Common_SourceData.Common_SourceData_RainfallZones_Data(),Table_SourceData_RainfallZones[[#Headers],[Rainfall Zone]],0)</calculatedColumnFormula>
    </tableColumn>
    <tableColumn id="4" xr3:uid="{B8684FDA-6C16-4117-B207-22D1CE8B465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1E49554-E4AE-4E77-B3DB-51D346CA36C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202A6BE-32C2-4368-BEE9-8752534AAA00}" name="Leaching Zone">
      <calculatedColumnFormula array="1">Common_InputFunctions.Utility_DisplayArrayInTable(Common_SourceData.Common_SourceData_LeachingZones_Data(), Table_SourceData_LeachingZones[[#Headers],[Leaching Zone]], 0)</calculatedColumnFormula>
    </tableColumn>
    <tableColumn id="2" xr3:uid="{93541ED3-0662-4E0A-9861-5EDAF43122A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080F6AE-5275-4FC5-82F0-F26DCB9B782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5136D65-3B02-413A-817E-AAB08DBFFE99}" name="Data source">
      <calculatedColumnFormula array="1">Common_InputFunctions.Utility_DisplayArrayInTable(Common_SourceData.Common_SourceData_DataScores_Scope3_Data(), Table_SourceData_DataScores_Scope3[[#Headers],[Data source]], 0)</calculatedColumnFormula>
    </tableColumn>
    <tableColumn id="2" xr3:uid="{FF7E59DA-BB18-4723-836D-F612DAE9BB8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EF1F60E-3697-419E-8DC6-841A3228807A}" name="Table_SourceData_FracWET" displayName="Table_SourceData_FracWET" ref="D134:E136" totalsRowShown="0">
  <autoFilter ref="D134:E136" xr:uid="{308E99BE-FE1F-47A4-B2CA-97217277C4E9}">
    <filterColumn colId="0" hiddenButton="1"/>
    <filterColumn colId="1" hiddenButton="1"/>
  </autoFilter>
  <tableColumns count="2">
    <tableColumn id="1" xr3:uid="{29F58003-C3F4-44E5-871E-B2870FE81AB0}" name="Is in leaching zone">
      <calculatedColumnFormula array="1">Common_InputFunctions.Utility_DisplayArrayInTable(Common_SourceData.Common_SourceData_FracWET_Data(),Table_SourceData_FracWET[[#Headers],[Is in leaching zone]],0)</calculatedColumnFormula>
    </tableColumn>
    <tableColumn id="2" xr3:uid="{22B71A5C-39B9-406D-9FD5-ADF68F92943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604920E-2D0C-4C2F-A354-93A572C50A4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236E6F1-265D-41AE-BE9F-6CB6ADD6916F}" name="Production system j">
      <calculatedColumnFormula array="1">Common_InputFunctions.Utility_DisplayArrayInTable(Common_SourceData.Common_SourceData_EFN2O_Data(), Table_SourceData_Common_EFN2O[[#Headers],[Production system j]], 0)</calculatedColumnFormula>
    </tableColumn>
    <tableColumn id="2" xr3:uid="{B8BA2925-7B33-4A57-8866-A1BF18DF3559}" name="EFN2O">
      <calculatedColumnFormula array="1">Common_InputFunctions.Utility_DisplayArrayInTable(Common_SourceData.Common_SourceData_EFN2O_Data(), Table_SourceData_Common_EFN2O[[#Headers],[Production system j]], 0)</calculatedColumnFormula>
    </tableColumn>
    <tableColumn id="3" xr3:uid="{C7E49DDE-8D08-48A8-88AE-D513C4962EC0}" name="Production system only">
      <calculatedColumnFormula array="1">Common_InputFunctions.Utility_DisplayArrayInTable(Common_SourceData.Common_SourceData_EFN2O_Data(), Table_SourceData_Common_EFN2O[[#Headers],[Production system j]], 0)</calculatedColumnFormula>
    </tableColumn>
    <tableColumn id="4" xr3:uid="{F7664097-880D-41F2-B81A-5CAE11DF9850}" name="Irrigation method">
      <calculatedColumnFormula array="1">Common_InputFunctions.Utility_DisplayArrayInTable(Common_SourceData.Common_SourceData_EFN2O_Data(), Table_SourceData_Common_EFN2O[[#Headers],[Production system j]], 0)</calculatedColumnFormula>
    </tableColumn>
    <tableColumn id="5" xr3:uid="{52D541B1-97C2-4922-A1C5-59B34082CE1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C5077C5-808F-4ECE-AC28-2601A6C8F3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3B149A7-83C5-484A-BE11-4C1648150ED4}" name="Irrigation type i">
      <calculatedColumnFormula array="1">Common_InputFunctions.Utility_DisplayArrayInTable(Common_SourceData.Common_SourceData_FracWETIrrigation_Data(), Table_SourceData_FracWETIrrigation[[#Headers],[Irrigation type i]], 0)</calculatedColumnFormula>
    </tableColumn>
    <tableColumn id="2" xr3:uid="{1DE421E8-395C-455A-9C8F-38E9EE95C9D2}"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F97677E-BB4E-408B-A041-6839EE1357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7B77D66-C19D-4595-96FF-EFB4A03C86E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165658-E7C1-4F57-B495-FE23220368A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CF49F12-5C40-4857-B34C-E086E3FA745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674CA1-4DA0-48CA-A17E-3CE4038CDAEF}" name="Month">
      <calculatedColumnFormula array="1">Common_InputFunctions.Utility_DisplayArrayInTable(Common_SourceData.Common_SourceData_MonthsToSeasons_Data(), Table_SourceData_Common_MonthToSeason[[#Headers],[Month]], 0)</calculatedColumnFormula>
    </tableColumn>
    <tableColumn id="2" xr3:uid="{EFA18066-3B7E-4E71-873E-754E93A441BC}"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2139FC75-3444-4614-8B88-170A7B506C9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9806CA3-9F70-49CA-97CA-B6C98150173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FDD71CC-39A1-455A-9382-FE7E431166F4}"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9697AE4-56C6-43F9-B5BE-6B06B728220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9DA3EC0-6460-4413-B9CE-2EFAD0755B8A}"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267460C-4728-446F-B960-F10C283B459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684E2F3-0B87-4698-A296-054D5F5C993D}"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8FC91F0-9B8C-4DF3-8363-8054B175398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D2F49FF-5037-46FB-B535-4EEE98C9D8E8}"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A42E72C-8473-49AC-9FB2-3E2B4A01E7C9}"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9549067-6DC3-4117-A8C4-32F25CEB7B9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565A343-4BB6-4DB1-A687-C2010D6B1038}"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CE0381-4AC3-4CCA-8B83-708B39B9CDC6}"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342EC42-73B6-48D4-ABFC-D66C54ACD730}"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68DF81C-6832-4564-BBD4-D87B512DEB8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6EA16D-A334-46C8-90F8-62FAA15B351F}"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7478945-C50B-4620-8222-A47776151D6E}"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B0099C2-C18C-462C-B75A-EE768348034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80C669C-3BD2-4C6E-A636-0C15E18950B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33F960D-9405-411C-88C1-F5CF246D9B9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VEERG_3_1_1_1__1_TotalAnnualMethaneFromEntericFermentation_Result</f>
        <v>35.420230000000004</v>
      </c>
      <c r="F7" s="98">
        <f>'3.1.1.1-2 Enteric Methane'!N67</f>
        <v>35.420230000000004</v>
      </c>
      <c r="G7" s="52" t="str">
        <f>'3.1.1.1-2 Enteric Methane'!F67</f>
        <v>t CH4</v>
      </c>
      <c r="H7" s="98">
        <f>'3.1.1.1-2 Enteric Methane'!E72</f>
        <v>991.7664400000001</v>
      </c>
      <c r="I7" s="98">
        <f>'3.1.1.1-2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SUM(H7:H7)</f>
        <v>991.7664400000001</v>
      </c>
      <c r="I8" s="99">
        <f>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7" sqref="E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G20" sqref="G2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f>'Input - Feedlot'!$E$14</f>
        <v>10.4</v>
      </c>
      <c r="E20" s="50">
        <f>'Input - Feedlot'!$F$14</f>
        <v>10.8</v>
      </c>
      <c r="F20" s="50">
        <f>'Input - Feedlot'!$G$14</f>
        <v>8.1999999999999993</v>
      </c>
      <c r="G20" s="2" t="str">
        <f>$G$13</f>
        <v>kg DM/head/day</v>
      </c>
      <c r="M20" s="50">
        <f>Input_Feedlot_FeedIntake_Domestic</f>
        <v>10.4</v>
      </c>
      <c r="N20" s="50">
        <f>Input_Feedlot_FeedIntake_MidFed</f>
        <v>10.8</v>
      </c>
      <c r="O20" s="50">
        <f>Input_Feedlot_FeedIntake_LongFed</f>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f>'Input - Feedlot'!$E$15</f>
        <v>4.8</v>
      </c>
      <c r="E25" s="50">
        <f>'Input - Feedlot'!$F$15</f>
        <v>5</v>
      </c>
      <c r="F25" s="50">
        <f>'Input - Feedlot'!$G$15</f>
        <v>5.5</v>
      </c>
      <c r="G25" s="2" t="str">
        <f>$G$14</f>
        <v>per cent</v>
      </c>
      <c r="M25" s="50">
        <f>Input_Feedlot_EtherExtract_Domestic</f>
        <v>4.8</v>
      </c>
      <c r="N25" s="50">
        <f>Input_Feedlot_EtherExtract_MidFed</f>
        <v>5</v>
      </c>
      <c r="O25" s="50">
        <f>Input_Feedlot_EtherExtract_LongFed</f>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f>'Input - Feedlot'!$E$16</f>
        <v>22</v>
      </c>
      <c r="E30" s="50">
        <f>'Input - Feedlot'!$F$16</f>
        <v>22</v>
      </c>
      <c r="F30" s="50">
        <f>'Input - Feedlot'!$G$16</f>
        <v>24</v>
      </c>
      <c r="G30" s="2" t="str">
        <f>$G$15</f>
        <v>per cent</v>
      </c>
      <c r="M30" s="50">
        <f>Input_Feedlot_NDF_Domestic</f>
        <v>22</v>
      </c>
      <c r="N30" s="50">
        <f>Input_Feedlot_NDF_MidFed</f>
        <v>22</v>
      </c>
      <c r="O30" s="50">
        <f>Input_Feedlot_NDF_LongFed</f>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f>Input_Feedlot_DurationOfStay_Domestic</f>
        <v>90</v>
      </c>
      <c r="E55" s="88">
        <f>Input_Feedlot_DurationOfStay_MidFed</f>
        <v>140</v>
      </c>
      <c r="F55" s="88">
        <f>Input_Feedlot_DurationOfStay_LongFed</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f>Input_Feedlot_AverageHead_Domestic</f>
        <v>4300</v>
      </c>
      <c r="E60" s="88">
        <f>Input_Feedlot_AverageHead_MidFed</f>
        <v>100</v>
      </c>
      <c r="F60" s="88">
        <f>Input_Feedlot_AverageHead_LongFed</f>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SUM(D65:F65)</f>
        <v>35.420230000000004</v>
      </c>
      <c r="F67" s="91" t="str">
        <f>$E$46</f>
        <v>t CH4</v>
      </c>
      <c r="M67" s="89" t="s">
        <v>176</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ref="E72">Common_Equations.Common_ConvertCH4ToCO2e(G69,G70)</f>
        <v>991.7664400000001</v>
      </c>
      <c r="F72" s="93" t="str" cm="1">
        <f t="array" ref="F72">Common_Equations.Common_ConvertN2OToCO2e_Unit()</f>
        <v>t CO2e</v>
      </c>
      <c r="M72" s="45" t="s">
        <v>113</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5A5D3-2B86-4616-AB0B-71D392517EF8}">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36</vt:i4>
      </vt:variant>
    </vt:vector>
  </HeadingPairs>
  <TitlesOfParts>
    <vt:vector size="47"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Input_Feedlot_AverageHead_Domestic</vt:lpstr>
      <vt:lpstr>Input_Feedlot_AverageHead_LongFed</vt:lpstr>
      <vt:lpstr>Input_Feedlot_AverageHead_MidFed</vt:lpstr>
      <vt:lpstr>Input_Feedlot_DurationOfStay_Domestic</vt:lpstr>
      <vt:lpstr>Input_Feedlot_DurationOfStay_LongFed</vt:lpstr>
      <vt:lpstr>Input_Feedlot_DurationOfStay_MidFed</vt:lpstr>
      <vt:lpstr>Input_Feedlot_EtherExtract_Domestic</vt:lpstr>
      <vt:lpstr>Input_Feedlot_EtherExtract_LongFed</vt:lpstr>
      <vt:lpstr>Input_Feedlot_EtherExtract_MidFed</vt:lpstr>
      <vt:lpstr>Input_Feedlot_FeedIntake_Domestic</vt:lpstr>
      <vt:lpstr>Input_Feedlot_FeedIntake_LongFed</vt:lpstr>
      <vt:lpstr>Input_Feedlot_FeedIntake_MidFed</vt:lpstr>
      <vt:lpstr>Input_Feedlot_NDF_Domestic</vt:lpstr>
      <vt:lpstr>Input_Feedlot_NDF_LongFed</vt:lpstr>
      <vt:lpstr>Input_Feedlot_NDF_MidFed</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2026-07-23T08:53:05Z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