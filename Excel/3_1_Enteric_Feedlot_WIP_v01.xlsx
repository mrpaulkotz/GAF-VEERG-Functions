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9A01D1E-8ECC-4661-8E6C-09A28F8532E0}" xr6:coauthVersionLast="47" xr6:coauthVersionMax="47" xr10:uidLastSave="{00000000-0000-0000-0000-000000000000}"/>
  <bookViews>
    <workbookView xWindow="1350" yWindow="360" windowWidth="36255" windowHeight="19140" activeTab="3"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4"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Feedlot_AverageHead_Domestic">'Input - Feedlot'!$E$8</definedName>
    <definedName name="Input_Feedlot_AverageHead_LongFed">'Input - Feedlot'!$G$8</definedName>
    <definedName name="Input_Feedlot_AverageHead_MidFed">'Input - Feedlot'!$F$8</definedName>
    <definedName name="Input_Feedlot_DurationOfStay_Domestic">'Input - Feedlot'!$E$9</definedName>
    <definedName name="Input_Feedlot_DurationOfStay_LongFed">'Input - Feedlot'!$G$9</definedName>
    <definedName name="Input_Feedlot_DurationOfStay_MidFed">'Input - Feedlot'!$F$9</definedName>
    <definedName name="Input_Feedlot_EtherExtract_Domestic">'Input - Feedlot'!$E$20</definedName>
    <definedName name="Input_Feedlot_EtherExtract_LongFed">'Input - Feedlot'!$G$20</definedName>
    <definedName name="Input_Feedlot_EtherExtract_MidFed">'Input - Feedlot'!$F$20</definedName>
    <definedName name="Input_Feedlot_FeedIntake_Domestic">'Input - Feedlot'!$E$19</definedName>
    <definedName name="Input_Feedlot_FeedIntake_LongFed">'Input - Feedlot'!$G$19</definedName>
    <definedName name="Input_Feedlot_FeedIntake_MidFed">'Input - Feedlot'!$F$19</definedName>
    <definedName name="Input_Feedlot_NDF_Domestic">'Input - Feedlot'!$E$21</definedName>
    <definedName name="Input_Feedlot_NDF_LongFed">'Input - Feedlot'!$G$21</definedName>
    <definedName name="Input_Feedlot_NDF_MidFed">'Input - Feedlot'!$F$21</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 i="69" l="1"/>
  <c r="E60" i="69"/>
  <c r="D60" i="69"/>
  <c r="F55" i="69"/>
  <c r="E55" i="69"/>
  <c r="D55" i="69"/>
  <c r="O30" i="69"/>
  <c r="N30" i="69"/>
  <c r="M30" i="69"/>
  <c r="O25" i="69"/>
  <c r="N25" i="69"/>
  <c r="M25" i="69"/>
  <c r="O20" i="69"/>
  <c r="N20" i="69"/>
  <c r="M20" i="69"/>
  <c r="G29" i="79"/>
  <c r="G28" i="79"/>
  <c r="P70" i="69"/>
  <c r="G70" i="69"/>
  <c r="E259" i="104" a="1"/>
  <c r="E259" i="104" s="1"/>
  <c r="D259" i="104" a="1"/>
  <c r="D259" i="104" s="1"/>
  <c r="E258" i="104" a="1"/>
  <c r="E258" i="104" s="1"/>
  <c r="D258" i="104" a="1"/>
  <c r="D258" i="104" s="1"/>
  <c r="D256" i="104"/>
  <c r="D256" i="104" a="1"/>
  <c r="D255" i="104" a="1"/>
  <c r="D255" i="104" s="1"/>
  <c r="D254" i="104"/>
  <c r="D254" i="104" a="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c r="D228" i="104" a="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c r="D169" i="104" a="1"/>
  <c r="D168" i="104"/>
  <c r="D168" i="104" a="1"/>
  <c r="D167" i="104" a="1"/>
  <c r="D167" i="104" s="1"/>
  <c r="D164" i="104" a="1"/>
  <c r="D164" i="104" s="1"/>
  <c r="D163" i="104"/>
  <c r="D163" i="104" a="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c r="D141" i="104" a="1"/>
  <c r="D140" i="104"/>
  <c r="D140" i="104" a="1"/>
  <c r="D139" i="104"/>
  <c r="D139" i="104" a="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c r="D124" i="104" a="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c r="D105" i="104" a="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H52" i="104" l="1"/>
  <c r="H49" i="104"/>
  <c r="H50" i="104"/>
  <c r="H54" i="104"/>
  <c r="H48" i="104"/>
  <c r="H51" i="104"/>
  <c r="H53" i="104"/>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D30" i="69" s="1"/>
  <c r="F16" i="70" a="1"/>
  <c r="F16" i="70" s="1"/>
  <c r="E30" i="69" s="1"/>
  <c r="G16" i="70" a="1"/>
  <c r="G16" i="70" s="1"/>
  <c r="F30" i="69" s="1"/>
  <c r="E20" i="70" a="1"/>
  <c r="E20" i="70" s="1"/>
  <c r="E21" i="70" a="1"/>
  <c r="E21" i="70" s="1"/>
  <c r="F21" i="70" a="1"/>
  <c r="F21" i="70" s="1"/>
  <c r="F15" i="70" a="1"/>
  <c r="F15" i="70" s="1"/>
  <c r="F20" i="70" a="1"/>
  <c r="F20" i="70" s="1"/>
  <c r="G20" i="70" a="1"/>
  <c r="G20" i="70" s="1"/>
  <c r="D69" i="69" a="1"/>
  <c r="D69" i="69" s="1"/>
  <c r="F72" i="69" a="1"/>
  <c r="F72" i="69" s="1"/>
  <c r="M35" i="69" l="1" a="1"/>
  <c r="M35" i="69" s="1"/>
  <c r="M65" i="69" s="1" a="1"/>
  <c r="M65" i="69" s="1"/>
  <c r="N35" i="69" a="1"/>
  <c r="N35" i="69" s="1"/>
  <c r="N65" i="69" s="1" a="1"/>
  <c r="N65" i="69" s="1"/>
  <c r="O35" i="69" a="1"/>
  <c r="O35" i="69" s="1"/>
  <c r="O65" i="69" s="1" a="1"/>
  <c r="O65" i="69" s="1"/>
  <c r="D8" i="70" l="1"/>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<sst xmlns="http://schemas.openxmlformats.org/spreadsheetml/2006/main" count="287" uniqueCount="188">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</sst>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60F4D5-69C3-498B-8768-94305C20B0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1475CB9-98D1-4367-81FE-766354D03859}" name="State/Territory">
      <calculatedColumnFormula array="1">Common_InputFunctions.Utility_DisplayArrayInTable(Common_SourceData.Common_SourceData_AustralianStatesTerritories_Data(),Table_AustralianStates[[#Headers],[State/Territory]],0)</calculatedColumnFormula>
    </tableColumn>
    <tableColumn id="2" xr3:uid="{E5F4A4C1-F79D-42CE-8C7B-73B43952AF82}" name="Common Name">
      <calculatedColumnFormula array="1">Common_InputFunctions.Utility_DisplayArrayInTable(Common_SourceData.Common_SourceData_AustralianStatesTerritories_Data(),Table_AustralianStates[[#Headers],[State/Territory]],0)</calculatedColumnFormula>
    </tableColumn>
    <tableColumn id="3" xr3:uid="{1ED2BE90-6504-4529-96D4-F2168C2206D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790257-56EE-4D3A-9E9F-63BBBD489E9B}" name="Table_WASA4Areas" displayName="Table_WASA4Areas" ref="D20:D30" totalsRowShown="0">
  <autoFilter ref="D20:D30" xr:uid="{5FA81339-C6C8-4D36-BEEA-6C4AEDD9E676}">
    <filterColumn colId="0" hiddenButton="1"/>
  </autoFilter>
  <tableColumns count="1">
    <tableColumn id="1" xr3:uid="{4834DA3C-E2C6-46A6-8B67-669901690AE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748BD76-E957-4735-8DCC-4AA536F7251B}" name="Table_GWPData" displayName="Table_GWPData" ref="D36:E43" totalsRowShown="0">
  <autoFilter ref="D36:E43" xr:uid="{B8E87A66-3E41-4AD3-925D-01EE21B43D7A}">
    <filterColumn colId="0" hiddenButton="1"/>
    <filterColumn colId="1" hiddenButton="1"/>
  </autoFilter>
  <tableColumns count="2">
    <tableColumn id="1" xr3:uid="{BC533CA1-A19D-4D88-851F-C6B55789EEF0}" name="Gas">
      <calculatedColumnFormula array="1">Common_InputFunctions.Utility_DisplayArrayInTable(Common_SourceData.Common_SourceData_GWP_Data(), Table_GWPData[[#Headers],[Gas]], 0)</calculatedColumnFormula>
    </tableColumn>
    <tableColumn id="2" xr3:uid="{0744ED04-F9F9-4292-9C48-DCEC4CDB7B4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A84FD9-456A-4D76-8824-68BDCA1A024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E8A5F5D-380F-444B-895F-03A04F993303}" name="Gas">
      <calculatedColumnFormula array="1">Common_InputFunctions.Utility_DisplayArrayInTable(Common_SourceData.Common_SourceData_ConvertGasElementalToMolecular_Data(),Table_GasToMolecularConversionFactor[[#Headers],[Gas]], 0)</calculatedColumnFormula>
    </tableColumn>
    <tableColumn id="5" xr3:uid="{04DD10EA-0C74-4AE3-847F-091B6E17E288}" name="Conversion factor">
      <calculatedColumnFormula array="1">Common_InputFunctions.Utility_DisplayArrayInTable(Common_SourceData.Common_SourceData_ConvertGasElementalToMolecular_Data(),Table_GasToMolecularConversionFactor[[#Headers],[Gas]], 0)</calculatedColumnFormula>
    </tableColumn>
    <tableColumn id="2" xr3:uid="{B3B93DCD-8572-498D-8FD9-DE5161A7023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AEFFF08-7C7F-45E3-BC84-7908AF11C80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AE1CC4-4B45-4D28-ACD1-DCB5A0BDE3F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E2FCFF0-2F5D-46AD-A562-2B5CA89C224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64EF18-D941-4F52-A1B2-667BE97CB8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8934DD4-8710-4F12-95E3-FF8487499DD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6CB93CF-EB6F-4172-85A6-ABDCD87EBE4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031FFF8-3C81-4F0A-BD57-02808D6AA1A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EBBB14D-687E-40D7-8A5C-830F1BF2170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9D992F0-26FC-4409-8EFD-219C6E95F62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E1C5BA7-00D4-456C-BD35-A1A477A849E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E08E46-7D40-4A1B-85A5-2CBC68950E2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DB33ADB-7FE8-4683-A42A-7B517C31FB73}"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6872F0F-8733-4F0D-BAA4-7FB3E232EC5B}"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BE2D3A3-9488-4CDA-A5C9-C914DE17BBD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7A2B35F-81EF-49FE-8E1C-DF65C2C6882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11CC549-5A99-4B0F-A28E-3A5AB574B81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C4D55D3-27D4-4F56-AA8B-6A3586706EB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6690360-D247-477E-86B7-F95A760E53D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DA6D733-164A-4027-9A96-8515CB5C69F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4F274C9-B9BB-4501-85EC-CEB9C416829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D84D891-CBE0-4BBE-A645-C24CA6B914E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4189CF-7E91-483C-B1DA-119B7CA2807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652E3F2-AB22-4ACF-92AA-A6AEB37E80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3C0E923-E589-4E34-8701-DB8EC6258A11}" name="Temperature Zone">
      <calculatedColumnFormula array="1">Common_InputFunctions.Utility_DisplayArrayInTable(Common_SourceData.Common_SourceData_TemperatureZones_Data(),Table_SourceData_TemperatureZones[[#Headers],[Temperature Zone]],0)</calculatedColumnFormula>
    </tableColumn>
    <tableColumn id="2" xr3:uid="{2B796427-73F3-481B-866C-FC3D56EAC122}" name="MAT">
      <calculatedColumnFormula array="1">Common_InputFunctions.Utility_DisplayArrayInTable(Common_SourceData.Common_SourceData_TemperatureZones_Data(),Table_SourceData_TemperatureZones[[#Headers],[Temperature Zone]],0)</calculatedColumnFormula>
    </tableColumn>
    <tableColumn id="3" xr3:uid="{72A35A9F-A175-428E-B2EB-AC78527D302C}" name="Min MAT">
      <calculatedColumnFormula array="1">Common_InputFunctions.Utility_DisplayArrayInTable(Common_SourceData.Common_SourceData_TemperatureZones_Data(),Table_SourceData_TemperatureZones[[#Headers],[Temperature Zone]],0)</calculatedColumnFormula>
    </tableColumn>
    <tableColumn id="4" xr3:uid="{CD803C3A-FF96-4FB2-82D8-DF68F7FD4FA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B19C0A-7DDB-4C72-962E-11F810EE97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9E5E8D-C34D-47F5-B252-308C64B2880E}" name="Rainfall Zone">
      <calculatedColumnFormula array="1">Common_InputFunctions.Utility_DisplayArrayInTable(Common_SourceData.Common_SourceData_RainfallZones_Data(),Table_SourceData_RainfallZones[[#Headers],[Rainfall Zone]],0)</calculatedColumnFormula>
    </tableColumn>
    <tableColumn id="2" xr3:uid="{8CFE46F1-75D3-4205-9E55-D423C5463F3F}" name="Annual rainfall">
      <calculatedColumnFormula array="1">Common_InputFunctions.Utility_DisplayArrayInTable(Common_SourceData.Common_SourceData_RainfallZones_Data(),Table_SourceData_RainfallZones[[#Headers],[Rainfall Zone]],0)</calculatedColumnFormula>
    </tableColumn>
    <tableColumn id="3" xr3:uid="{4B1B458B-AD21-49F5-8369-2CD9ED4BD265}" name="Min rainfall">
      <calculatedColumnFormula array="1">Common_InputFunctions.Utility_DisplayArrayInTable(Common_SourceData.Common_SourceData_RainfallZones_Data(),Table_SourceData_RainfallZones[[#Headers],[Rainfall Zone]],0)</calculatedColumnFormula>
    </tableColumn>
    <tableColumn id="4" xr3:uid="{AF4E98C3-D944-414B-AF4E-208AC435F0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C9C6153-67ED-43A0-BB11-3152817F4A3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82FB12E-F809-4A9A-B37A-85414450FA6F}" name="Leaching Zone">
      <calculatedColumnFormula array="1">Common_InputFunctions.Utility_DisplayArrayInTable(Common_SourceData.Common_SourceData_LeachingZones_Data(), Table_SourceData_LeachingZones[[#Headers],[Leaching Zone]], 0)</calculatedColumnFormula>
    </tableColumn>
    <tableColumn id="2" xr3:uid="{0FD0F4F6-7D42-4B2D-8796-FBB825513B1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164EC0D-8973-4934-B8F1-FE2B07D75D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EDF6BC1-FBEA-43D1-BAB8-589DC6D872BB}" name="Data source">
      <calculatedColumnFormula array="1">Common_InputFunctions.Utility_DisplayArrayInTable(Common_SourceData.Common_SourceData_DataScores_Scope3_Data(), Table_SourceData_DataScores_Scope3[[#Headers],[Data source]], 0)</calculatedColumnFormula>
    </tableColumn>
    <tableColumn id="2" xr3:uid="{79475CCF-6312-464A-BB69-601104A11D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AACEA5C-382D-4B14-A21A-584728A7A10A}" name="Table_SourceData_FracWET" displayName="Table_SourceData_FracWET" ref="D134:E136" totalsRowShown="0">
  <autoFilter ref="D134:E136" xr:uid="{308E99BE-FE1F-47A4-B2CA-97217277C4E9}">
    <filterColumn colId="0" hiddenButton="1"/>
    <filterColumn colId="1" hiddenButton="1"/>
  </autoFilter>
  <tableColumns count="2">
    <tableColumn id="1" xr3:uid="{1E665611-2A06-4990-943E-3A4799B10AB6}" name="Is in leaching zone">
      <calculatedColumnFormula array="1">Common_InputFunctions.Utility_DisplayArrayInTable(Common_SourceData.Common_SourceData_FracWET_Data(),Table_SourceData_FracWET[[#Headers],[Is in leaching zone]],0)</calculatedColumnFormula>
    </tableColumn>
    <tableColumn id="2" xr3:uid="{134E4DE7-4018-49B4-A248-DB8DC209115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954D004-F7FF-487B-8ECC-8B6762D914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40F661-DD2F-48D3-BEE9-E870DCD60A1F}" name="Production system j">
      <calculatedColumnFormula array="1">Common_InputFunctions.Utility_DisplayArrayInTable(Common_SourceData.Common_SourceData_EFN2O_Data(), Table_SourceData_Common_EFN2O[[#Headers],[Production system j]], 0)</calculatedColumnFormula>
    </tableColumn>
    <tableColumn id="2" xr3:uid="{DA9A0C1F-9EF4-45CB-83CE-2B2305C02ED1}" name="EFN2O">
      <calculatedColumnFormula array="1">Common_InputFunctions.Utility_DisplayArrayInTable(Common_SourceData.Common_SourceData_EFN2O_Data(), Table_SourceData_Common_EFN2O[[#Headers],[Production system j]], 0)</calculatedColumnFormula>
    </tableColumn>
    <tableColumn id="3" xr3:uid="{962D76BC-C77F-4BA9-B913-0F026AA43412}" name="Production system only">
      <calculatedColumnFormula array="1">Common_InputFunctions.Utility_DisplayArrayInTable(Common_SourceData.Common_SourceData_EFN2O_Data(), Table_SourceData_Common_EFN2O[[#Headers],[Production system j]], 0)</calculatedColumnFormula>
    </tableColumn>
    <tableColumn id="4" xr3:uid="{A3125B9E-6342-4A8E-8C3E-42B994D345EF}" name="Irrigation method">
      <calculatedColumnFormula array="1">Common_InputFunctions.Utility_DisplayArrayInTable(Common_SourceData.Common_SourceData_EFN2O_Data(), Table_SourceData_Common_EFN2O[[#Headers],[Production system j]], 0)</calculatedColumnFormula>
    </tableColumn>
    <tableColumn id="5" xr3:uid="{95E9A13E-A6A1-455A-A238-C6E400DACCB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81D7DF-D521-47CD-9997-D2FA82C2043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3A046A8-F626-4FF3-907F-4B0DAD89B65D}" name="Irrigation type i">
      <calculatedColumnFormula array="1">Common_InputFunctions.Utility_DisplayArrayInTable(Common_SourceData.Common_SourceData_FracWETIrrigation_Data(), Table_SourceData_FracWETIrrigation[[#Headers],[Irrigation type i]], 0)</calculatedColumnFormula>
    </tableColumn>
    <tableColumn id="2" xr3:uid="{EC56680E-26F7-4CD4-9B4E-8D94050B8B3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BF6CDDB-DBF7-4904-BC00-BEC1CE565B2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A7DA6D-4FD9-48B7-8692-976739B5EBF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856FD95-9BF9-4137-9F2E-6A19B9836C4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68C421-456F-43F8-B739-653A2BE4EBE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F9A772-EFFC-444F-BBE8-44684CE6962C}" name="Month">
      <calculatedColumnFormula array="1">Common_InputFunctions.Utility_DisplayArrayInTable(Common_SourceData.Common_SourceData_MonthsToSeasons_Data(), Table_SourceData_Common_MonthToSeason[[#Headers],[Month]], 0)</calculatedColumnFormula>
    </tableColumn>
    <tableColumn id="2" xr3:uid="{421B5A67-A1A2-4019-8983-556D10F00B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E07D5C-E8D0-4C56-A75B-4F8F7065DEC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6135E2F-47ED-4165-BCE8-E09A9339B6E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A87C324-8830-481A-BA66-519246FF9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8192B9B-A9EF-4BCA-8213-AD89F4FB17D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DF4811D-6FFB-47B7-9A7A-BD1A91562CF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930055-7DE9-48EA-9192-907B77F27A4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7D04A66-911D-48C0-B67E-E2E95C60F3D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CE292C-B840-4D27-8590-8257B11311C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227B547-816D-47AC-A539-76F90520D98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1F7993-5EA3-44BA-AD58-97AAE49863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B863BF6-1410-4A46-8164-4B2A89B2BDC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ED0BC85-C592-41E0-B3A6-CFF080241C64}"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306A651-7FD4-4E5E-9FDA-21CC5A7F4900}"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4EBB78D-AEC6-4FC6-9C0E-0A40C564C66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AEE62D-B3E4-4300-8533-926546EAB1D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101CAF7-41B1-4308-B1E9-17F4ED339B8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C26A283-2E03-4AEC-B940-7DE455FCC41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E6C831-099B-49FD-A2C5-4C34BCDB4A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5AAD2A-CB71-4DC4-987D-F99C09AD1E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889B50-9EC8-44AA-9CB8-C6FD4BE457A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VEERG_3_1_1_1__1_TotalAnnualMethaneFromEntericFermentation_Result</f>
        <v>35.420230000000004</v>
      </c>
      <c r="F7" s="98">
        <f>'3.1.1.1-2 Enteric Methane'!N67</f>
        <v>35.420230000000004</v>
      </c>
      <c r="G7" s="52" t="str">
        <f>'3.1.1.1-2 Enteric Methane'!F67</f>
        <v>t CH4</v>
      </c>
      <c r="H7" s="98">
        <f>'3.1.1.1-2 Enteric Methane'!E72</f>
        <v>991.7664400000001</v>
      </c>
      <c r="I7" s="98">
        <f>'3.1.1.1-2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SUM(H7:H7)</f>
        <v>991.7664400000001</v>
      </c>
      <c r="I8" s="99">
        <f>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abSelected="1" zoomScaleNormal="100" workbookViewId="0">
      <selection activeCell="E27" sqref="E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G21" sqref="G21"/>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G20" sqref="G2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f>'Input - Feedlot'!$E$14</f>
        <v>10.4</v>
      </c>
      <c r="E20" s="50">
        <f>'Input - Feedlot'!$F$14</f>
        <v>10.8</v>
      </c>
      <c r="F20" s="50">
        <f>'Input - Feedlot'!$G$14</f>
        <v>8.1999999999999993</v>
      </c>
      <c r="G20" s="2" t="str">
        <f>$G$13</f>
        <v>kg DM/head/day</v>
      </c>
      <c r="M20" s="50">
        <f>Input_Feedlot_FeedIntake_Domestic</f>
        <v>10.4</v>
      </c>
      <c r="N20" s="50">
        <f>Input_Feedlot_FeedIntake_MidFed</f>
        <v>10.8</v>
      </c>
      <c r="O20" s="50">
        <f>Input_Feedlot_FeedIntake_LongFed</f>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f>'Input - Feedlot'!$E$15</f>
        <v>4.8</v>
      </c>
      <c r="E25" s="50">
        <f>'Input - Feedlot'!$F$15</f>
        <v>5</v>
      </c>
      <c r="F25" s="50">
        <f>'Input - Feedlot'!$G$15</f>
        <v>5.5</v>
      </c>
      <c r="G25" s="2" t="str">
        <f>$G$14</f>
        <v>per cent</v>
      </c>
      <c r="M25" s="50">
        <f>Input_Feedlot_EtherExtract_Domestic</f>
        <v>4.8</v>
      </c>
      <c r="N25" s="50">
        <f>Input_Feedlot_EtherExtract_MidFed</f>
        <v>5</v>
      </c>
      <c r="O25" s="50">
        <f>Input_Feedlot_EtherExtract_LongFed</f>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f>'Input - Feedlot'!$E$16</f>
        <v>22</v>
      </c>
      <c r="E30" s="50">
        <f>'Input - Feedlot'!$F$16</f>
        <v>22</v>
      </c>
      <c r="F30" s="50">
        <f>'Input - Feedlot'!$G$16</f>
        <v>24</v>
      </c>
      <c r="G30" s="2" t="str">
        <f>$G$15</f>
        <v>per cent</v>
      </c>
      <c r="M30" s="50">
        <f>Input_Feedlot_NDF_Domestic</f>
        <v>22</v>
      </c>
      <c r="N30" s="50">
        <f>Input_Feedlot_NDF_MidFed</f>
        <v>22</v>
      </c>
      <c r="O30" s="50">
        <f>Input_Feedlot_NDF_LongFed</f>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f>Input_Feedlot_DurationOfStay_Domestic</f>
        <v>90</v>
      </c>
      <c r="E55" s="88">
        <f>Input_Feedlot_DurationOfStay_MidFed</f>
        <v>140</v>
      </c>
      <c r="F55" s="88">
        <f>Input_Feedlot_DurationOfStay_LongFed</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f>Input_Feedlot_AverageHead_Domestic</f>
        <v>4300</v>
      </c>
      <c r="E60" s="88">
        <f>Input_Feedlot_AverageHead_MidFed</f>
        <v>100</v>
      </c>
      <c r="F60" s="88">
        <f>Input_Feedlot_AverageHead_LongFed</f>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SUM(D65:F65)</f>
        <v>35.420230000000004</v>
      </c>
      <c r="F67" s="91" t="str">
        <f>$E$46</f>
        <v>t CH4</v>
      </c>
      <c r="M67" s="89" t="s">
        <v>176</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ref="E72">Common_Equations.Common_ConvertCH4ToCO2e(G69,G70)</f>
        <v>991.7664400000001</v>
      </c>
      <c r="F72" s="93" t="str" cm="1">
        <f t="array" ref="F72">Common_Equations.Common_ConvertN2OToCO2e_Unit()</f>
        <v>t CO2e</v>
      </c>
      <c r="M72" s="45" t="s">
        <v>113</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5BB2-1C48-48CB-B0A9-6744D232A85A}">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wBvAGwAdQBtAG4AIAB0AGgAYQB0ACAAZAB1AHAAbABpAGMAYQB0AGUAcwAgAFEATABEACAAdgBhAGwAdQBlAHMAIABhAHMAIABwAGUAcgAgAGEAZAB2AGkAYwBlACAAZgByAG8AbQAgAHMAbwB1AHIAYwBlACAAZABhAHQAYQAgAHAAcgBvAHYAaQBkAGUAcgAuAFwAIgA7AFwAbgAgACAAIAAgACAAIAAgACAAIAAgAFwAIgBBAGQAZABlAGQAIABUAEEAUwAgAGMAbwBsAHUAbQBuACAAdABoAGEAdAAgAGQAdQBwAGwAaQBjAGEAdABlAHMAIABWAEkAQwAgAHYAYQBsAHUAZQBzACAAYQBzACAAcABlAHIAIABhAGQAdgBpAGMAZQAgAGYAcgBvAG0AIABzAG8AdQByAGMAZQAgAGQAYQB0AGEAIABwAHIAbwB2AGkAZABlAHIAL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36</vt:i4>
      </vt:variant>
    </vt:vector>
  </HeadingPairs>
  <TitlesOfParts>
    <vt:vector size="47"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Input_Feedlot_AverageHead_Domestic</vt:lpstr>
      <vt:lpstr>Input_Feedlot_AverageHead_LongFed</vt:lpstr>
      <vt:lpstr>Input_Feedlot_AverageHead_MidFed</vt:lpstr>
      <vt:lpstr>Input_Feedlot_DurationOfStay_Domestic</vt:lpstr>
      <vt:lpstr>Input_Feedlot_DurationOfStay_LongFed</vt:lpstr>
      <vt:lpstr>Input_Feedlot_DurationOfStay_MidFed</vt:lpstr>
      <vt:lpstr>Input_Feedlot_EtherExtract_Domestic</vt:lpstr>
      <vt:lpstr>Input_Feedlot_EtherExtract_LongFed</vt:lpstr>
      <vt:lpstr>Input_Feedlot_EtherExtract_MidFed</vt:lpstr>
      <vt:lpstr>Input_Feedlot_FeedIntake_Domestic</vt:lpstr>
      <vt:lpstr>Input_Feedlot_FeedIntake_LongFed</vt:lpstr>
      <vt:lpstr>Input_Feedlot_FeedIntake_MidFed</vt:lpstr>
      <vt:lpstr>Input_Feedlot_NDF_Domestic</vt:lpstr>
      <vt:lpstr>Input_Feedlot_NDF_LongFed</vt:lpstr>
      <vt:lpstr>Input_Feedlot_NDF_MidFed</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