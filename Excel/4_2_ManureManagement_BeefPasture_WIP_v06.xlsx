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70CA349-D0FA-4604-90A6-D7B9156ED899}" xr6:coauthVersionLast="47" xr6:coauthVersionMax="47" xr10:uidLastSave="{00000000-0000-0000-0000-000000000000}"/>
  <bookViews>
    <workbookView xWindow="330" yWindow="60" windowWidth="37995" windowHeight="20115" activeTab="8"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ture Beef" sheetId="79" r:id="rId9"/>
    <sheet name="Constants - Common" sheetId="104" r:id="rId10"/>
    <sheet name="Constants - Livestock" sheetId="43" r:id="rId11"/>
    <sheet name="Acknowledgements" sheetId="72" r:id="rId12"/>
    <sheet name="Tab template" sheetId="74"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9" i="79" l="1"/>
  <c r="O149" i="79"/>
  <c r="N149" i="79"/>
  <c r="M149" i="79"/>
  <c r="L149" i="79"/>
  <c r="K149" i="79"/>
  <c r="J149" i="79"/>
  <c r="I149" i="79"/>
  <c r="H149" i="79"/>
  <c r="G149" i="79"/>
  <c r="F149" i="79"/>
  <c r="P148" i="79"/>
  <c r="O148" i="79"/>
  <c r="N148" i="79"/>
  <c r="M148" i="79"/>
  <c r="L148" i="79"/>
  <c r="K148" i="79"/>
  <c r="J148" i="79"/>
  <c r="I148" i="79"/>
  <c r="H148" i="79"/>
  <c r="G148" i="79"/>
  <c r="F148" i="79"/>
  <c r="P147" i="79"/>
  <c r="O147" i="79"/>
  <c r="N147" i="79"/>
  <c r="M147" i="79"/>
  <c r="L147" i="79"/>
  <c r="K147" i="79"/>
  <c r="J147" i="79"/>
  <c r="I147" i="79"/>
  <c r="H147" i="79"/>
  <c r="G147" i="79"/>
  <c r="F147" i="79"/>
  <c r="P146" i="79"/>
  <c r="O146" i="79"/>
  <c r="N146" i="79"/>
  <c r="M146" i="79"/>
  <c r="L146" i="79"/>
  <c r="K146" i="79"/>
  <c r="J146" i="79"/>
  <c r="I146" i="79"/>
  <c r="H146" i="79"/>
  <c r="G146" i="79"/>
  <c r="F146" i="79"/>
  <c r="O120" i="70"/>
  <c r="O123" i="70"/>
  <c r="O122" i="70"/>
  <c r="O121" i="70"/>
  <c r="M120" i="70"/>
  <c r="N120" i="70" s="1"/>
  <c r="N121" i="70"/>
  <c r="N122" i="70"/>
  <c r="N123" i="70"/>
  <c r="M121" i="70"/>
  <c r="M122" i="70"/>
  <c r="M123" i="70"/>
  <c r="L123" i="70"/>
  <c r="L122" i="70"/>
  <c r="L121" i="70"/>
  <c r="L120" i="70"/>
  <c r="J123" i="70"/>
  <c r="J122" i="70"/>
  <c r="J121" i="70"/>
  <c r="J120" i="70"/>
  <c r="K122" i="70"/>
  <c r="K121" i="70"/>
  <c r="K120" i="70"/>
  <c r="K123" i="70"/>
  <c r="M113" i="70"/>
  <c r="M112" i="70"/>
  <c r="M111" i="70"/>
  <c r="M110" i="70"/>
  <c r="L113" i="70"/>
  <c r="L112" i="70"/>
  <c r="L110" i="70"/>
  <c r="L111"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X163" i="69" l="1"/>
  <c r="X172" i="69" s="1" a="1"/>
  <c r="X172" i="69" s="1"/>
  <c r="W172" i="69"/>
  <c r="W171" i="69"/>
  <c r="X171" i="69" l="1" a="1"/>
  <c r="X171" i="69" s="1"/>
  <c r="U191" i="76"/>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X92" i="76"/>
  <c r="G87" i="76"/>
  <c r="F87" i="76"/>
  <c r="E87" i="76"/>
  <c r="D87" i="76"/>
  <c r="J16" i="69"/>
  <c r="W39" i="69"/>
  <c r="W38" i="69"/>
  <c r="W37" i="69"/>
  <c r="W36" i="69"/>
  <c r="W35" i="69"/>
  <c r="W34" i="69"/>
  <c r="W33" i="69"/>
  <c r="W32" i="69"/>
  <c r="W31" i="69"/>
  <c r="W30" i="69"/>
  <c r="W29" i="69"/>
  <c r="W28" i="69"/>
  <c r="D110" i="70"/>
  <c r="F127" i="70"/>
  <c r="Y22" i="69" s="1"/>
  <c r="E127" i="70"/>
  <c r="V92" i="76" s="1"/>
  <c r="G127" i="70"/>
  <c r="Z22" i="69" s="1"/>
  <c r="D124" i="70"/>
  <c r="W22" i="69" s="1"/>
  <c r="E120" i="70"/>
  <c r="D126" i="70" s="1"/>
  <c r="U93" i="76" s="1"/>
  <c r="E119" i="70"/>
  <c r="D125" i="70" s="1"/>
  <c r="U92" i="76" s="1"/>
  <c r="D6" i="69" a="1"/>
  <c r="D6" i="69" s="1"/>
  <c r="D9" i="79"/>
  <c r="D8" i="79"/>
  <c r="G33" i="98"/>
  <c r="I158" i="69"/>
  <c r="E30" i="15"/>
  <c r="E33" i="15"/>
  <c r="E32" i="15"/>
  <c r="E31" i="15"/>
  <c r="G34" i="98"/>
  <c r="H30" i="97"/>
  <c r="H226" i="76"/>
  <c r="N39" i="98"/>
  <c r="G39" i="98"/>
  <c r="O38" i="97"/>
  <c r="G38" i="97"/>
  <c r="X270" i="76"/>
  <c r="G232" i="76"/>
  <c r="Z279" i="69"/>
  <c r="G247" i="69"/>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c r="D175" i="104" a="1"/>
  <c r="D174" i="104" a="1"/>
  <c r="D174" i="104" s="1"/>
  <c r="D173" i="104" a="1"/>
  <c r="D173" i="104" s="1"/>
  <c r="D170" i="104" a="1"/>
  <c r="D170" i="104" s="1"/>
  <c r="D169" i="104" a="1"/>
  <c r="D169" i="104" s="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c r="D116" i="104" a="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X158" i="76"/>
  <c r="X157" i="76"/>
  <c r="X156" i="76"/>
  <c r="X155" i="76"/>
  <c r="X154" i="76"/>
  <c r="X153" i="76"/>
  <c r="U153" i="76" a="1"/>
  <c r="U153" i="76" s="1"/>
  <c r="G147" i="76"/>
  <c r="G148" i="76"/>
  <c r="V181" i="76" l="1" a="1"/>
  <c r="V181" i="76" s="1"/>
  <c r="D127" i="70"/>
  <c r="W23" i="69"/>
  <c r="X30" i="69" s="1" a="1"/>
  <c r="X30" i="69" s="1"/>
  <c r="Y30" i="69" s="1" a="1"/>
  <c r="Y30" i="69" s="1"/>
  <c r="X22" i="69"/>
  <c r="W92" i="76"/>
  <c r="V104" i="76" a="1"/>
  <c r="V104" i="76" s="1"/>
  <c r="W104" i="76" s="1" a="1"/>
  <c r="W104" i="76" s="1"/>
  <c r="AC104" i="76" s="1" a="1"/>
  <c r="AC104" i="76" s="1"/>
  <c r="V191" i="76" a="1"/>
  <c r="V191" i="76" s="1"/>
  <c r="V105" i="76" a="1"/>
  <c r="V105" i="76" s="1"/>
  <c r="W105" i="76" s="1" a="1"/>
  <c r="W105" i="76" s="1"/>
  <c r="AC105" i="76" s="1" a="1"/>
  <c r="AC105" i="76" s="1"/>
  <c r="V182" i="76" a="1"/>
  <c r="V182" i="76" s="1"/>
  <c r="V106" i="76" a="1"/>
  <c r="V106" i="76" s="1"/>
  <c r="W106" i="76" s="1" a="1"/>
  <c r="W106" i="76" s="1"/>
  <c r="AC106" i="76" s="1" a="1"/>
  <c r="AC106" i="76" s="1"/>
  <c r="V107" i="76" a="1"/>
  <c r="V107" i="76" s="1"/>
  <c r="V183" i="76" a="1"/>
  <c r="V183" i="76" s="1"/>
  <c r="V108" i="76" a="1"/>
  <c r="V108" i="76" s="1"/>
  <c r="V109" i="76" a="1"/>
  <c r="V109" i="76" s="1"/>
  <c r="V184" i="76" a="1"/>
  <c r="V184" i="76" s="1"/>
  <c r="V110" i="76" a="1"/>
  <c r="V110" i="76" s="1"/>
  <c r="V111" i="76" a="1"/>
  <c r="V111" i="76" s="1"/>
  <c r="V185" i="76" a="1"/>
  <c r="V185" i="76" s="1"/>
  <c r="V186" i="76" a="1"/>
  <c r="V186" i="76" s="1"/>
  <c r="V100" i="76" a="1"/>
  <c r="V100" i="76" s="1"/>
  <c r="V187" i="76" a="1"/>
  <c r="V187" i="76" s="1"/>
  <c r="V101" i="76" a="1"/>
  <c r="V101" i="76" s="1"/>
  <c r="W101" i="76" s="1" a="1"/>
  <c r="W101" i="76" s="1"/>
  <c r="AC101" i="76" s="1" a="1"/>
  <c r="AC101" i="76" s="1"/>
  <c r="V180" i="76" a="1"/>
  <c r="V180" i="76" s="1"/>
  <c r="V188" i="76" a="1"/>
  <c r="V188" i="76" s="1"/>
  <c r="V102" i="76" a="1"/>
  <c r="V102" i="76" s="1"/>
  <c r="W102" i="76" s="1" a="1"/>
  <c r="W102" i="76" s="1"/>
  <c r="AA102" i="76" s="1" a="1"/>
  <c r="AA102" i="76" s="1"/>
  <c r="V189" i="76" a="1"/>
  <c r="V189" i="76" s="1"/>
  <c r="V103" i="76" a="1"/>
  <c r="V103" i="76" s="1"/>
  <c r="W103" i="76" s="1" a="1"/>
  <c r="W103" i="76" s="1"/>
  <c r="AC103" i="76" s="1" a="1"/>
  <c r="AC103" i="76" s="1"/>
  <c r="V190" i="76" a="1"/>
  <c r="V190" i="76" s="1"/>
  <c r="H54" i="104"/>
  <c r="H48" i="104"/>
  <c r="H50" i="104"/>
  <c r="E164" i="76" a="1"/>
  <c r="E164" i="76" s="1"/>
  <c r="E163" i="76" a="1"/>
  <c r="E163" i="76" s="1"/>
  <c r="E162" i="76" a="1"/>
  <c r="E162" i="76" s="1"/>
  <c r="E161" i="76" a="1"/>
  <c r="E161" i="76" s="1"/>
  <c r="H53" i="104"/>
  <c r="H49" i="104"/>
  <c r="H52" i="104"/>
  <c r="H51" i="104"/>
  <c r="M41" i="98" a="1"/>
  <c r="M41" i="98" s="1"/>
  <c r="K38" i="98" a="1"/>
  <c r="K38" i="98" s="1"/>
  <c r="K32" i="98" a="1"/>
  <c r="K32" i="98" s="1"/>
  <c r="F41" i="98" a="1"/>
  <c r="F41" i="98" s="1"/>
  <c r="D38" i="98" a="1"/>
  <c r="D38" i="98" s="1"/>
  <c r="D32" i="98" a="1"/>
  <c r="D32" i="98" s="1"/>
  <c r="E30" i="98" a="1"/>
  <c r="E30" i="98" s="1"/>
  <c r="M36" i="98" s="1"/>
  <c r="E29" i="98" a="1"/>
  <c r="E29" i="98" s="1"/>
  <c r="D25" i="98" a="1"/>
  <c r="D25" i="98" s="1"/>
  <c r="D24" i="98" a="1"/>
  <c r="D24" i="98" s="1"/>
  <c r="K13" i="98" a="1"/>
  <c r="K13" i="98" s="1"/>
  <c r="G18" i="98"/>
  <c r="G14" i="98" s="1"/>
  <c r="G17" i="98"/>
  <c r="G16" i="98"/>
  <c r="D13" i="98" a="1"/>
  <c r="D13" i="98" s="1"/>
  <c r="E11" i="98" a="1"/>
  <c r="E11" i="98" s="1"/>
  <c r="F20" i="98" s="1"/>
  <c r="E10" i="98" a="1"/>
  <c r="E10" i="98" s="1"/>
  <c r="D6" i="98" a="1"/>
  <c r="D6" i="98" s="1"/>
  <c r="D5" i="98" a="1"/>
  <c r="D5" i="98" s="1"/>
  <c r="N40" i="97" a="1"/>
  <c r="N40" i="97" s="1"/>
  <c r="L37" i="97" a="1"/>
  <c r="L37" i="97" s="1"/>
  <c r="L28" i="97" a="1"/>
  <c r="L28" i="97" s="1"/>
  <c r="N16" i="97"/>
  <c r="L13" i="97" a="1"/>
  <c r="L13" i="97" s="1"/>
  <c r="F40" i="97" a="1"/>
  <c r="F40" i="97" s="1"/>
  <c r="D37" i="97" a="1"/>
  <c r="D37" i="97" s="1"/>
  <c r="H32" i="97"/>
  <c r="H31" i="97"/>
  <c r="D28" i="97" a="1"/>
  <c r="D28" i="97" s="1"/>
  <c r="E26" i="97" a="1"/>
  <c r="E26" i="97" s="1"/>
  <c r="F35" i="97" s="1"/>
  <c r="G9" i="13" s="1"/>
  <c r="E25" i="97" a="1"/>
  <c r="E25" i="97" s="1"/>
  <c r="D21" i="97" a="1"/>
  <c r="D21" i="97" s="1"/>
  <c r="D20" i="97" a="1"/>
  <c r="D20" i="97" s="1"/>
  <c r="D440" i="79" a="1"/>
  <c r="D440" i="79" s="1"/>
  <c r="G15" i="98" s="1"/>
  <c r="D439" i="79" a="1"/>
  <c r="D439" i="79" s="1"/>
  <c r="D438" i="79" a="1"/>
  <c r="D438" i="79" s="1"/>
  <c r="D437" i="79" a="1"/>
  <c r="D437" i="79" s="1"/>
  <c r="D436" i="79" a="1"/>
  <c r="D436" i="79" s="1"/>
  <c r="D434" i="79" a="1"/>
  <c r="D434" i="79" s="1"/>
  <c r="H14" i="97" s="1"/>
  <c r="D433" i="79" a="1"/>
  <c r="D433" i="79" s="1"/>
  <c r="D432" i="79" a="1"/>
  <c r="D432" i="79" s="1"/>
  <c r="D431" i="79" a="1"/>
  <c r="D431" i="79" s="1"/>
  <c r="D430" i="79" a="1"/>
  <c r="D430" i="79" s="1"/>
  <c r="E7" i="98" a="1"/>
  <c r="E7" i="97" a="1"/>
  <c r="E26" i="98" a="1"/>
  <c r="E22" i="97" a="1"/>
  <c r="X38" i="69" l="1" a="1"/>
  <c r="X38" i="69" s="1"/>
  <c r="X33" i="69" a="1"/>
  <c r="X33" i="69" s="1"/>
  <c r="Y33" i="69" s="1" a="1"/>
  <c r="Y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AA104" i="76" a="1"/>
  <c r="AA104" i="76" s="1"/>
  <c r="X36" i="69" a="1"/>
  <c r="X36" i="69" s="1"/>
  <c r="X35" i="69" a="1"/>
  <c r="X35" i="69" s="1"/>
  <c r="X34" i="69" a="1"/>
  <c r="X34" i="69" s="1"/>
  <c r="Y34" i="69" s="1" a="1"/>
  <c r="Y34" i="69" s="1"/>
  <c r="AD34" i="69" s="1" a="1"/>
  <c r="AD34" i="69" s="1"/>
  <c r="X31" i="69" a="1"/>
  <c r="X31" i="69" s="1"/>
  <c r="Y31" i="69" s="1" a="1"/>
  <c r="Y31" i="69" s="1"/>
  <c r="AD31" i="69" s="1" a="1"/>
  <c r="AD31" i="69" s="1"/>
  <c r="AA101" i="76" a="1"/>
  <c r="AA101" i="76" s="1"/>
  <c r="AB104" i="76" a="1"/>
  <c r="AB104" i="76" s="1"/>
  <c r="AB101" i="76" a="1"/>
  <c r="AB101" i="76" s="1"/>
  <c r="AB103" i="76" a="1"/>
  <c r="AB103" i="76" s="1"/>
  <c r="AC102" i="76" a="1"/>
  <c r="AC102" i="76" s="1"/>
  <c r="AB106" i="76" a="1"/>
  <c r="AB106" i="76" s="1"/>
  <c r="AA105" i="76" a="1"/>
  <c r="AA105" i="76" s="1"/>
  <c r="AA106" i="76" a="1"/>
  <c r="AA106" i="76" s="1"/>
  <c r="AB105" i="76" a="1"/>
  <c r="AB105" i="76" s="1"/>
  <c r="AA103" i="76" a="1"/>
  <c r="AA103" i="76" s="1"/>
  <c r="AB102" i="76" a="1"/>
  <c r="AB102" i="76" s="1"/>
  <c r="H29" i="97"/>
  <c r="AC32" i="69" a="1"/>
  <c r="AC32" i="69" s="1"/>
  <c r="AD33" i="69" a="1"/>
  <c r="AD33" i="69" s="1"/>
  <c r="AC33" i="69" a="1"/>
  <c r="AC33" i="69" s="1"/>
  <c r="AE33" i="69" a="1"/>
  <c r="AE33" i="69" s="1"/>
  <c r="AD30" i="69" a="1"/>
  <c r="AD30" i="69" s="1"/>
  <c r="AE30" i="69" a="1"/>
  <c r="AE30" i="69" s="1"/>
  <c r="AC30" i="69" a="1"/>
  <c r="AC30" i="69" s="1"/>
  <c r="N35" i="97"/>
  <c r="F36" i="98"/>
  <c r="G10" i="13" s="1"/>
  <c r="E26" i="98"/>
  <c r="M20" i="98"/>
  <c r="E7" i="98"/>
  <c r="E22" i="97"/>
  <c r="E7" i="97"/>
  <c r="AC29" i="69" l="1" a="1"/>
  <c r="AC29" i="69" s="1"/>
  <c r="AD32" i="69" a="1"/>
  <c r="AD32" i="69" s="1"/>
  <c r="AD29" i="69" a="1"/>
  <c r="AD29" i="69" s="1"/>
  <c r="AE31" i="69" a="1"/>
  <c r="AE31" i="69" s="1"/>
  <c r="AE34" i="69" a="1"/>
  <c r="AE34" i="69" s="1"/>
  <c r="AC34" i="69" a="1"/>
  <c r="AC34" i="69" s="1"/>
  <c r="AC31" i="69" a="1"/>
  <c r="AC31" i="69" s="1"/>
  <c r="D13" i="97" a="1"/>
  <c r="D13" i="97"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D184" i="76" a="1"/>
  <c r="D184" i="76" s="1"/>
  <c r="E182" i="76" a="1"/>
  <c r="E182" i="76" s="1"/>
  <c r="AF257" i="76" s="1"/>
  <c r="E181" i="76" a="1"/>
  <c r="E181" i="76" s="1"/>
  <c r="D177" i="76" a="1"/>
  <c r="D177" i="76" s="1"/>
  <c r="D176" i="76" a="1"/>
  <c r="D176" i="76" s="1"/>
  <c r="U151" i="76" a="1"/>
  <c r="U151" i="76" s="1"/>
  <c r="D142" i="76" a="1"/>
  <c r="D142" i="76" s="1"/>
  <c r="E140" i="76" a="1"/>
  <c r="E140" i="76" s="1"/>
  <c r="AF206" i="76" s="1"/>
  <c r="E139" i="76" a="1"/>
  <c r="E139" i="76" s="1"/>
  <c r="D135" i="76" a="1"/>
  <c r="D135" i="76" s="1"/>
  <c r="D134" i="76" a="1"/>
  <c r="D134" i="76" s="1"/>
  <c r="U115" i="76" a="1"/>
  <c r="U115" i="76" s="1"/>
  <c r="D111" i="76" a="1"/>
  <c r="D111" i="76" s="1"/>
  <c r="E109" i="76" a="1"/>
  <c r="E109" i="76" s="1"/>
  <c r="E108" i="76" a="1"/>
  <c r="E108" i="76" s="1"/>
  <c r="D103" i="76" a="1"/>
  <c r="D103" i="76" s="1"/>
  <c r="D102" i="76" a="1"/>
  <c r="D102" i="76" s="1"/>
  <c r="U87" i="76" a="1"/>
  <c r="U87" i="76" s="1"/>
  <c r="D78" i="76" a="1"/>
  <c r="D78" i="76" s="1"/>
  <c r="E76" i="76" a="1"/>
  <c r="E76" i="76" s="1"/>
  <c r="AH111" i="76" s="1"/>
  <c r="E75" i="76" a="1"/>
  <c r="E75" i="76" s="1"/>
  <c r="D70" i="76" a="1"/>
  <c r="D70" i="76" s="1"/>
  <c r="D69" i="76" a="1"/>
  <c r="D69" i="76" s="1"/>
  <c r="U51" i="76" a="1"/>
  <c r="U51" i="76" s="1"/>
  <c r="D48" i="76" a="1"/>
  <c r="D48" i="76" s="1"/>
  <c r="E46" i="76" a="1"/>
  <c r="E46" i="76" s="1"/>
  <c r="AF82" i="76" s="1"/>
  <c r="E45" i="76" a="1"/>
  <c r="E45" i="76" s="1"/>
  <c r="D41" i="76" a="1"/>
  <c r="D41" i="76" s="1"/>
  <c r="D40" i="76" a="1"/>
  <c r="D40" i="76" s="1"/>
  <c r="D13" i="76" a="1"/>
  <c r="D13"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AE227" i="76"/>
  <c r="AD227" i="76"/>
  <c r="AC227" i="76"/>
  <c r="AB227" i="76"/>
  <c r="AA227" i="76"/>
  <c r="Z227" i="76"/>
  <c r="Y227" i="76"/>
  <c r="X227" i="76"/>
  <c r="W227" i="76"/>
  <c r="V227" i="76"/>
  <c r="AE226" i="76"/>
  <c r="AD226" i="76"/>
  <c r="AC226" i="76"/>
  <c r="AB226" i="76"/>
  <c r="AA226" i="76"/>
  <c r="Z226" i="76"/>
  <c r="Y226" i="76"/>
  <c r="X226" i="76"/>
  <c r="W226" i="76"/>
  <c r="V226" i="76"/>
  <c r="AE225" i="76"/>
  <c r="AD225" i="76"/>
  <c r="AC225" i="76"/>
  <c r="AB225" i="76"/>
  <c r="AA225" i="76"/>
  <c r="Z225" i="76"/>
  <c r="Y225" i="76"/>
  <c r="X225" i="76"/>
  <c r="W225" i="76"/>
  <c r="V225" i="76"/>
  <c r="AE224" i="76"/>
  <c r="AD224" i="76"/>
  <c r="AC224" i="76"/>
  <c r="AB224" i="76"/>
  <c r="AA224" i="76"/>
  <c r="Z224" i="76"/>
  <c r="Y224" i="76"/>
  <c r="X224" i="76"/>
  <c r="W224" i="76"/>
  <c r="V224" i="76"/>
  <c r="AE223" i="76"/>
  <c r="AD223" i="76"/>
  <c r="AC223" i="76"/>
  <c r="AB223" i="76"/>
  <c r="AA223" i="76"/>
  <c r="Z223" i="76"/>
  <c r="Y223" i="76"/>
  <c r="X223" i="76"/>
  <c r="W223" i="76"/>
  <c r="V223" i="76"/>
  <c r="AE222" i="76"/>
  <c r="AD222" i="76"/>
  <c r="AC222" i="76"/>
  <c r="AB222" i="76"/>
  <c r="AA222" i="76"/>
  <c r="Z222" i="76"/>
  <c r="Y222" i="76"/>
  <c r="X222" i="76"/>
  <c r="W222" i="76"/>
  <c r="V222" i="76"/>
  <c r="AE221" i="76"/>
  <c r="AD221" i="76"/>
  <c r="AC221" i="76"/>
  <c r="AB221" i="76"/>
  <c r="AA221" i="76"/>
  <c r="Z221" i="76"/>
  <c r="Y221" i="76"/>
  <c r="X221" i="76"/>
  <c r="W221" i="76"/>
  <c r="V221" i="76"/>
  <c r="AE220" i="76"/>
  <c r="AD220" i="76"/>
  <c r="AC220" i="76"/>
  <c r="AB220" i="76"/>
  <c r="AA220" i="76"/>
  <c r="Z220" i="76"/>
  <c r="Y220" i="76"/>
  <c r="X220" i="76"/>
  <c r="W220" i="76"/>
  <c r="V220" i="76"/>
  <c r="AE219" i="76"/>
  <c r="AD219" i="76"/>
  <c r="AC219" i="76"/>
  <c r="AB219" i="76"/>
  <c r="AA219" i="76"/>
  <c r="Z219" i="76"/>
  <c r="Y219" i="76"/>
  <c r="X219" i="76"/>
  <c r="W219" i="76"/>
  <c r="V219" i="76"/>
  <c r="AE218" i="76"/>
  <c r="AD218" i="76"/>
  <c r="AC218" i="76"/>
  <c r="AB218" i="76"/>
  <c r="AA218" i="76"/>
  <c r="Z218" i="76"/>
  <c r="Y218" i="76"/>
  <c r="X218" i="76"/>
  <c r="W218" i="76"/>
  <c r="V218" i="76"/>
  <c r="AE217" i="76"/>
  <c r="AD217" i="76"/>
  <c r="AC217" i="76"/>
  <c r="AB217" i="76"/>
  <c r="AA217" i="76"/>
  <c r="Z217" i="76"/>
  <c r="Y217" i="76"/>
  <c r="X217" i="76"/>
  <c r="W217" i="76"/>
  <c r="V217" i="76"/>
  <c r="AE216" i="76"/>
  <c r="AD216" i="76"/>
  <c r="AC216" i="76"/>
  <c r="AB216" i="76"/>
  <c r="AA216" i="76"/>
  <c r="Z216" i="76"/>
  <c r="Y216" i="76"/>
  <c r="X216" i="76"/>
  <c r="W216" i="76"/>
  <c r="V216"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H185" i="76"/>
  <c r="H184" i="76"/>
  <c r="H186" i="76"/>
  <c r="N202" i="76"/>
  <c r="M202" i="76"/>
  <c r="L202" i="76"/>
  <c r="K202" i="76"/>
  <c r="J202" i="76"/>
  <c r="I202" i="76"/>
  <c r="H202" i="76"/>
  <c r="G202" i="76"/>
  <c r="F202" i="76"/>
  <c r="E202" i="76"/>
  <c r="N201" i="76"/>
  <c r="M201" i="76"/>
  <c r="L201" i="76"/>
  <c r="K201" i="76"/>
  <c r="J201" i="76"/>
  <c r="I201" i="76"/>
  <c r="H201" i="76"/>
  <c r="G201" i="76"/>
  <c r="F201" i="76"/>
  <c r="E201" i="76"/>
  <c r="N200" i="76"/>
  <c r="M200" i="76"/>
  <c r="L200" i="76"/>
  <c r="K200" i="76"/>
  <c r="J200" i="76"/>
  <c r="I200" i="76"/>
  <c r="H200" i="76"/>
  <c r="G200" i="76"/>
  <c r="F200" i="76"/>
  <c r="E200" i="76"/>
  <c r="N199" i="76"/>
  <c r="M199" i="76"/>
  <c r="L199" i="76"/>
  <c r="K199" i="76"/>
  <c r="J199" i="76"/>
  <c r="I199" i="76"/>
  <c r="H199" i="76"/>
  <c r="G199" i="76"/>
  <c r="F199" i="76"/>
  <c r="E199" i="76"/>
  <c r="N194" i="76"/>
  <c r="M194" i="76"/>
  <c r="L194" i="76"/>
  <c r="K194" i="76"/>
  <c r="J194" i="76"/>
  <c r="I194" i="76"/>
  <c r="H194" i="76"/>
  <c r="G194" i="76"/>
  <c r="F194" i="76"/>
  <c r="E194" i="76"/>
  <c r="N193" i="76"/>
  <c r="M193" i="76"/>
  <c r="L193" i="76"/>
  <c r="K193" i="76"/>
  <c r="J193" i="76"/>
  <c r="I193" i="76"/>
  <c r="H193" i="76"/>
  <c r="G193" i="76"/>
  <c r="F193" i="76"/>
  <c r="E193" i="76"/>
  <c r="N192" i="76"/>
  <c r="M192" i="76"/>
  <c r="L192" i="76"/>
  <c r="K192" i="76"/>
  <c r="J192" i="76"/>
  <c r="I192" i="76"/>
  <c r="H192" i="76"/>
  <c r="G192" i="76"/>
  <c r="F192" i="76"/>
  <c r="E192" i="76"/>
  <c r="N191" i="76"/>
  <c r="M191" i="76"/>
  <c r="L191" i="76"/>
  <c r="K191" i="76"/>
  <c r="J191" i="76"/>
  <c r="I191" i="76"/>
  <c r="H191" i="76"/>
  <c r="G191" i="76"/>
  <c r="F191" i="76"/>
  <c r="E191" i="76"/>
  <c r="G144" i="76"/>
  <c r="G143" i="76"/>
  <c r="G146" i="76"/>
  <c r="G145" i="76"/>
  <c r="G142" i="76"/>
  <c r="D122" i="76"/>
  <c r="D121" i="76"/>
  <c r="D120" i="76"/>
  <c r="D119" i="76"/>
  <c r="G114" i="76"/>
  <c r="G112" i="76"/>
  <c r="G111" i="76"/>
  <c r="G113" i="76"/>
  <c r="D98" i="76"/>
  <c r="D97" i="76"/>
  <c r="D96" i="76"/>
  <c r="D95" i="76"/>
  <c r="I79" i="76"/>
  <c r="I82" i="76"/>
  <c r="I78" i="76"/>
  <c r="G49" i="76"/>
  <c r="G48" i="76"/>
  <c r="U47" i="76"/>
  <c r="U46" i="76"/>
  <c r="U45" i="76"/>
  <c r="U44" i="76"/>
  <c r="U43" i="76"/>
  <c r="U42" i="76"/>
  <c r="U41" i="76"/>
  <c r="U40" i="76"/>
  <c r="U39" i="76"/>
  <c r="U38" i="76"/>
  <c r="U37" i="76"/>
  <c r="U36" i="76"/>
  <c r="U31" i="76"/>
  <c r="U30" i="76"/>
  <c r="U29" i="76"/>
  <c r="U28" i="76"/>
  <c r="U27" i="76"/>
  <c r="U26" i="76"/>
  <c r="U25" i="76"/>
  <c r="U24" i="76"/>
  <c r="U23" i="76"/>
  <c r="U22" i="76"/>
  <c r="U21" i="76"/>
  <c r="U20" i="76"/>
  <c r="D36" i="76"/>
  <c r="D35" i="76"/>
  <c r="D34" i="76"/>
  <c r="D33" i="76"/>
  <c r="D20" i="76"/>
  <c r="F14" i="76"/>
  <c r="F13" i="76"/>
  <c r="D23" i="76"/>
  <c r="D22" i="76"/>
  <c r="D21"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W246" i="69"/>
  <c r="X262" i="69" s="1"/>
  <c r="W245" i="69"/>
  <c r="X261" i="69" s="1"/>
  <c r="W244" i="69"/>
  <c r="X260" i="69" s="1"/>
  <c r="W243" i="69"/>
  <c r="X259" i="69" s="1"/>
  <c r="W242" i="69"/>
  <c r="X258" i="69" s="1"/>
  <c r="W241" i="69"/>
  <c r="X257" i="69" s="1"/>
  <c r="W240" i="69"/>
  <c r="X256" i="69" s="1"/>
  <c r="W239" i="69"/>
  <c r="X255" i="69" s="1"/>
  <c r="W238" i="69"/>
  <c r="X254" i="69" s="1"/>
  <c r="W237" i="69"/>
  <c r="X253" i="69" s="1"/>
  <c r="W236" i="69"/>
  <c r="X264" i="69" s="1"/>
  <c r="W235" i="69"/>
  <c r="X263" i="69" s="1"/>
  <c r="AG230" i="69"/>
  <c r="AF230" i="69"/>
  <c r="AE230" i="69"/>
  <c r="AD230" i="69"/>
  <c r="AC230" i="69"/>
  <c r="AB230" i="69"/>
  <c r="AA230" i="69"/>
  <c r="Z230" i="69"/>
  <c r="Y230" i="69"/>
  <c r="X230" i="69"/>
  <c r="AG229" i="69"/>
  <c r="AF229" i="69"/>
  <c r="AE229" i="69"/>
  <c r="AD229" i="69"/>
  <c r="AC229" i="69"/>
  <c r="AB229" i="69"/>
  <c r="AA229" i="69"/>
  <c r="Z229" i="69"/>
  <c r="Y229" i="69"/>
  <c r="X229" i="69"/>
  <c r="AG228" i="69"/>
  <c r="AF228" i="69"/>
  <c r="AE228" i="69"/>
  <c r="AD228" i="69"/>
  <c r="AC228" i="69"/>
  <c r="AB228" i="69"/>
  <c r="AA228" i="69"/>
  <c r="Z228" i="69"/>
  <c r="Y228" i="69"/>
  <c r="X228" i="69"/>
  <c r="AG227" i="69"/>
  <c r="AF227" i="69"/>
  <c r="AE227" i="69"/>
  <c r="AD227" i="69"/>
  <c r="AC227" i="69"/>
  <c r="AB227" i="69"/>
  <c r="AA227" i="69"/>
  <c r="Z227" i="69"/>
  <c r="Y227" i="69"/>
  <c r="X227" i="69"/>
  <c r="AG226" i="69"/>
  <c r="AF226" i="69"/>
  <c r="AE226" i="69"/>
  <c r="AD226" i="69"/>
  <c r="AC226" i="69"/>
  <c r="AB226" i="69"/>
  <c r="AA226" i="69"/>
  <c r="Z226" i="69"/>
  <c r="Y226" i="69"/>
  <c r="X226" i="69"/>
  <c r="AG225" i="69"/>
  <c r="AF225" i="69"/>
  <c r="AE225" i="69"/>
  <c r="AD225" i="69"/>
  <c r="AC225" i="69"/>
  <c r="AB225" i="69"/>
  <c r="AA225" i="69"/>
  <c r="Z225" i="69"/>
  <c r="Y225" i="69"/>
  <c r="X225" i="69"/>
  <c r="AG224" i="69"/>
  <c r="AF224" i="69"/>
  <c r="AE224" i="69"/>
  <c r="AD224" i="69"/>
  <c r="AC224" i="69"/>
  <c r="AB224" i="69"/>
  <c r="AA224" i="69"/>
  <c r="Z224" i="69"/>
  <c r="Y224" i="69"/>
  <c r="X224" i="69"/>
  <c r="AG223" i="69"/>
  <c r="AF223" i="69"/>
  <c r="AE223" i="69"/>
  <c r="AD223" i="69"/>
  <c r="AC223" i="69"/>
  <c r="AB223" i="69"/>
  <c r="AA223" i="69"/>
  <c r="Z223" i="69"/>
  <c r="Y223" i="69"/>
  <c r="X223" i="69"/>
  <c r="AG222" i="69"/>
  <c r="AF222" i="69"/>
  <c r="AE222" i="69"/>
  <c r="AD222" i="69"/>
  <c r="AC222" i="69"/>
  <c r="AB222" i="69"/>
  <c r="AA222" i="69"/>
  <c r="Z222" i="69"/>
  <c r="Y222" i="69"/>
  <c r="X222" i="69"/>
  <c r="AG221" i="69"/>
  <c r="AF221" i="69"/>
  <c r="AE221" i="69"/>
  <c r="AD221" i="69"/>
  <c r="AC221" i="69"/>
  <c r="AB221" i="69"/>
  <c r="AA221" i="69"/>
  <c r="Z221" i="69"/>
  <c r="Y221" i="69"/>
  <c r="X221" i="69"/>
  <c r="AG220" i="69"/>
  <c r="AF220" i="69"/>
  <c r="AE220" i="69"/>
  <c r="AD220" i="69"/>
  <c r="AC220" i="69"/>
  <c r="AB220" i="69"/>
  <c r="AA220" i="69"/>
  <c r="Z220" i="69"/>
  <c r="Y220" i="69"/>
  <c r="X220" i="69"/>
  <c r="AG219" i="69"/>
  <c r="AF219" i="69"/>
  <c r="AE219" i="69"/>
  <c r="AD219" i="69"/>
  <c r="AC219" i="69"/>
  <c r="AB219" i="69"/>
  <c r="AA219" i="69"/>
  <c r="Z219" i="69"/>
  <c r="Y219" i="69"/>
  <c r="X219" i="69"/>
  <c r="W230" i="69"/>
  <c r="W229" i="69"/>
  <c r="W228" i="69"/>
  <c r="W227" i="69"/>
  <c r="W226" i="69"/>
  <c r="W225" i="69"/>
  <c r="W224" i="69"/>
  <c r="W223" i="69"/>
  <c r="W222" i="69"/>
  <c r="W221" i="69"/>
  <c r="W220" i="69"/>
  <c r="W219" i="69"/>
  <c r="D246" i="69" a="1"/>
  <c r="D246" i="69" s="1"/>
  <c r="F249" i="69" a="1"/>
  <c r="F249" i="69" s="1"/>
  <c r="D242" i="69"/>
  <c r="D241" i="69"/>
  <c r="D240" i="69"/>
  <c r="D239" i="69"/>
  <c r="D238" i="69"/>
  <c r="D237" i="69"/>
  <c r="D236" i="69"/>
  <c r="D235" i="69"/>
  <c r="D204" i="69" a="1"/>
  <c r="D204" i="69" s="1"/>
  <c r="N230" i="69"/>
  <c r="M230" i="69"/>
  <c r="L230" i="69"/>
  <c r="K230" i="69"/>
  <c r="J230" i="69"/>
  <c r="I230" i="69"/>
  <c r="H230" i="69"/>
  <c r="G230" i="69"/>
  <c r="F230" i="69"/>
  <c r="E230" i="69"/>
  <c r="N229" i="69"/>
  <c r="M229" i="69"/>
  <c r="L229" i="69"/>
  <c r="K229" i="69"/>
  <c r="J229" i="69"/>
  <c r="I229" i="69"/>
  <c r="H229" i="69"/>
  <c r="G229" i="69"/>
  <c r="F229" i="69"/>
  <c r="E229" i="69"/>
  <c r="N228" i="69"/>
  <c r="M228" i="69"/>
  <c r="L228" i="69"/>
  <c r="K228" i="69"/>
  <c r="J228" i="69"/>
  <c r="I228" i="69"/>
  <c r="H228" i="69"/>
  <c r="G228" i="69"/>
  <c r="F228" i="69"/>
  <c r="E228" i="69"/>
  <c r="N227" i="69"/>
  <c r="M227" i="69"/>
  <c r="L227" i="69"/>
  <c r="K227" i="69"/>
  <c r="J227" i="69"/>
  <c r="I227" i="69"/>
  <c r="H227" i="69"/>
  <c r="G227" i="69"/>
  <c r="F227" i="69"/>
  <c r="E227" i="69"/>
  <c r="N222" i="69"/>
  <c r="M222" i="69"/>
  <c r="L222" i="69"/>
  <c r="K222" i="69"/>
  <c r="J222" i="69"/>
  <c r="I222" i="69"/>
  <c r="H222" i="69"/>
  <c r="G222" i="69"/>
  <c r="F222" i="69"/>
  <c r="E222" i="69"/>
  <c r="N221" i="69"/>
  <c r="M221" i="69"/>
  <c r="L221" i="69"/>
  <c r="K221" i="69"/>
  <c r="J221" i="69"/>
  <c r="I221" i="69"/>
  <c r="H221" i="69"/>
  <c r="G221" i="69"/>
  <c r="F221" i="69"/>
  <c r="E221" i="69"/>
  <c r="N220" i="69"/>
  <c r="M220" i="69"/>
  <c r="L220" i="69"/>
  <c r="K220" i="69"/>
  <c r="J220" i="69"/>
  <c r="I220" i="69"/>
  <c r="H220" i="69"/>
  <c r="G220" i="69"/>
  <c r="F220" i="69"/>
  <c r="E220" i="69"/>
  <c r="N219" i="69"/>
  <c r="M219" i="69"/>
  <c r="L219" i="69"/>
  <c r="K219" i="69"/>
  <c r="J219" i="69"/>
  <c r="I219" i="69"/>
  <c r="H219" i="69"/>
  <c r="G219" i="69"/>
  <c r="F219" i="69"/>
  <c r="E219" i="69"/>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I160"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15" i="69"/>
  <c r="W131" i="69" s="1"/>
  <c r="X177" i="69" s="1"/>
  <c r="D171" i="70"/>
  <c r="D170" i="70"/>
  <c r="W125" i="69" s="1"/>
  <c r="W141" i="69" s="1"/>
  <c r="X187" i="69" s="1"/>
  <c r="D169" i="70"/>
  <c r="W124" i="69" s="1"/>
  <c r="W140" i="69" s="1"/>
  <c r="X186" i="69" s="1"/>
  <c r="D168" i="70"/>
  <c r="W123" i="69" s="1"/>
  <c r="W139" i="69" s="1"/>
  <c r="D167" i="70"/>
  <c r="W122" i="69" s="1"/>
  <c r="W138" i="69" s="1"/>
  <c r="D166" i="70"/>
  <c r="W121" i="69" s="1"/>
  <c r="W137" i="69" s="1"/>
  <c r="D165" i="70"/>
  <c r="W120" i="69" s="1"/>
  <c r="W136" i="69" s="1"/>
  <c r="D164" i="70"/>
  <c r="W119" i="69" s="1"/>
  <c r="W135" i="69" s="1"/>
  <c r="D163" i="70"/>
  <c r="W118" i="69" s="1"/>
  <c r="W134" i="69" s="1"/>
  <c r="X180" i="69" s="1"/>
  <c r="D162" i="70"/>
  <c r="W117" i="69" s="1"/>
  <c r="W133" i="69" s="1"/>
  <c r="X179" i="69" s="1"/>
  <c r="D161" i="70"/>
  <c r="W116" i="69" s="1"/>
  <c r="W132" i="69" s="1"/>
  <c r="X178" i="69" s="1"/>
  <c r="D160" i="70"/>
  <c r="D149" i="70"/>
  <c r="D148" i="70"/>
  <c r="D147" i="70"/>
  <c r="D146" i="70"/>
  <c r="D145" i="70"/>
  <c r="D144" i="70"/>
  <c r="D143" i="70"/>
  <c r="D142" i="70"/>
  <c r="D141" i="70"/>
  <c r="D140" i="70"/>
  <c r="D139" i="70"/>
  <c r="D138" i="70"/>
  <c r="D422" i="79" a="1"/>
  <c r="D422" i="79" s="1"/>
  <c r="I110" i="69" s="1"/>
  <c r="D421" i="79" a="1"/>
  <c r="D421" i="79" s="1"/>
  <c r="D420" i="79" a="1"/>
  <c r="D420" i="79" s="1"/>
  <c r="D419" i="79" a="1"/>
  <c r="D419" i="79" s="1"/>
  <c r="D418" i="79" a="1"/>
  <c r="D418" i="79" s="1"/>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E206" i="69" a="1"/>
  <c r="E39" i="69" a="1"/>
  <c r="E218" i="76" a="1"/>
  <c r="E104" i="76" a="1"/>
  <c r="E101" i="69" a="1"/>
  <c r="E136" i="76" a="1"/>
  <c r="E148" i="69" a="1"/>
  <c r="E178" i="76" a="1"/>
  <c r="E7" i="76" a="1"/>
  <c r="E42" i="76" a="1"/>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26" i="69"/>
  <c r="W142" i="69" s="1"/>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X200" i="69"/>
  <c r="D71" i="69"/>
  <c r="D70" i="69"/>
  <c r="D69" i="69"/>
  <c r="D68" i="69"/>
  <c r="D55" i="69"/>
  <c r="D54" i="69"/>
  <c r="D53" i="69"/>
  <c r="D52"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E106" i="69" a="1"/>
  <c r="E106" i="69" s="1"/>
  <c r="E105" i="69" a="1"/>
  <c r="E105" i="69" s="1"/>
  <c r="D100" i="69" a="1"/>
  <c r="D100" i="69" s="1"/>
  <c r="D99" i="69" a="1"/>
  <c r="D99" i="69" s="1"/>
  <c r="A20" i="98"/>
  <c r="A19" i="98"/>
  <c r="A18" i="98"/>
  <c r="A7" i="98"/>
  <c r="A4" i="98"/>
  <c r="A3" i="98"/>
  <c r="J14" i="69" l="1"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7" i="69"/>
  <c r="AJ36" i="69"/>
  <c r="AJ35" i="69"/>
  <c r="AJ34" i="69"/>
  <c r="AJ33" i="69"/>
  <c r="AJ32" i="69"/>
  <c r="AJ41" i="69"/>
  <c r="AJ40" i="69"/>
  <c r="AJ39" i="69"/>
  <c r="AJ38" i="69"/>
  <c r="L170" i="70"/>
  <c r="H169" i="70"/>
  <c r="N167" i="70"/>
  <c r="J166" i="70"/>
  <c r="F165" i="70"/>
  <c r="L163" i="70"/>
  <c r="H162" i="70"/>
  <c r="N160" i="70"/>
  <c r="J149" i="70"/>
  <c r="F148" i="70"/>
  <c r="L146" i="70"/>
  <c r="H145" i="70"/>
  <c r="N143" i="70"/>
  <c r="J142" i="70"/>
  <c r="F141" i="70"/>
  <c r="L139" i="70"/>
  <c r="H138" i="70"/>
  <c r="J157" i="70"/>
  <c r="F156" i="70"/>
  <c r="L154" i="70"/>
  <c r="H135" i="70"/>
  <c r="N133" i="70"/>
  <c r="J132" i="70"/>
  <c r="G157" i="70"/>
  <c r="M155" i="70"/>
  <c r="I154" i="70"/>
  <c r="E135" i="70"/>
  <c r="K133" i="70"/>
  <c r="K170" i="70"/>
  <c r="G169" i="70"/>
  <c r="M167" i="70"/>
  <c r="I166" i="70"/>
  <c r="E165" i="70"/>
  <c r="K163" i="70"/>
  <c r="G162" i="70"/>
  <c r="M160" i="70"/>
  <c r="I149" i="70"/>
  <c r="E148" i="70"/>
  <c r="K146" i="70"/>
  <c r="G145" i="70"/>
  <c r="M143" i="70"/>
  <c r="I142" i="70"/>
  <c r="E141" i="70"/>
  <c r="K139" i="70"/>
  <c r="G138" i="70"/>
  <c r="I157" i="70"/>
  <c r="E156" i="70"/>
  <c r="K154" i="70"/>
  <c r="G135" i="70"/>
  <c r="M133" i="70"/>
  <c r="I132" i="70"/>
  <c r="G155" i="70"/>
  <c r="N171" i="70"/>
  <c r="J170" i="70"/>
  <c r="F169" i="70"/>
  <c r="L167" i="70"/>
  <c r="H166" i="70"/>
  <c r="N164" i="70"/>
  <c r="J163" i="70"/>
  <c r="F162" i="70"/>
  <c r="L160" i="70"/>
  <c r="H149" i="70"/>
  <c r="N147" i="70"/>
  <c r="J146" i="70"/>
  <c r="F145" i="70"/>
  <c r="L143" i="70"/>
  <c r="H142" i="70"/>
  <c r="N140" i="70"/>
  <c r="J139" i="70"/>
  <c r="F138" i="70"/>
  <c r="H157" i="70"/>
  <c r="N155" i="70"/>
  <c r="J154" i="70"/>
  <c r="F135" i="70"/>
  <c r="L133" i="70"/>
  <c r="H132" i="70"/>
  <c r="G132" i="70"/>
  <c r="M171" i="70"/>
  <c r="I170" i="70"/>
  <c r="E169" i="70"/>
  <c r="K167" i="70"/>
  <c r="G166" i="70"/>
  <c r="M164" i="70"/>
  <c r="I163" i="70"/>
  <c r="E162" i="70"/>
  <c r="K160" i="70"/>
  <c r="G149" i="70"/>
  <c r="M147" i="70"/>
  <c r="I146" i="70"/>
  <c r="E145" i="70"/>
  <c r="K143" i="70"/>
  <c r="G142" i="70"/>
  <c r="M140" i="70"/>
  <c r="I139" i="70"/>
  <c r="E138" i="70"/>
  <c r="M135" i="70"/>
  <c r="N132" i="70"/>
  <c r="L171" i="70"/>
  <c r="H170" i="70"/>
  <c r="N168" i="70"/>
  <c r="J167" i="70"/>
  <c r="F166" i="70"/>
  <c r="L164" i="70"/>
  <c r="H163" i="70"/>
  <c r="N161" i="70"/>
  <c r="J160" i="70"/>
  <c r="F149" i="70"/>
  <c r="L147" i="70"/>
  <c r="H146" i="70"/>
  <c r="N144" i="70"/>
  <c r="J143" i="70"/>
  <c r="F142" i="70"/>
  <c r="L140" i="70"/>
  <c r="H139" i="70"/>
  <c r="F157" i="70"/>
  <c r="L155" i="70"/>
  <c r="H154" i="70"/>
  <c r="N134" i="70"/>
  <c r="J133" i="70"/>
  <c r="F132" i="70"/>
  <c r="K171" i="70"/>
  <c r="G170" i="70"/>
  <c r="M168" i="70"/>
  <c r="I167" i="70"/>
  <c r="E166" i="70"/>
  <c r="K164" i="70"/>
  <c r="G163" i="70"/>
  <c r="M161" i="70"/>
  <c r="I160" i="70"/>
  <c r="E149" i="70"/>
  <c r="K147" i="70"/>
  <c r="G146" i="70"/>
  <c r="M144" i="70"/>
  <c r="I143" i="70"/>
  <c r="E142" i="70"/>
  <c r="K140" i="70"/>
  <c r="G139" i="70"/>
  <c r="E157" i="70"/>
  <c r="K155" i="70"/>
  <c r="G154" i="70"/>
  <c r="M134" i="70"/>
  <c r="I133" i="70"/>
  <c r="E132" i="70"/>
  <c r="F154" i="70"/>
  <c r="J171" i="70"/>
  <c r="F170" i="70"/>
  <c r="L168" i="70"/>
  <c r="H167" i="70"/>
  <c r="N165" i="70"/>
  <c r="J164" i="70"/>
  <c r="F163" i="70"/>
  <c r="L161" i="70"/>
  <c r="H160" i="70"/>
  <c r="N148" i="70"/>
  <c r="J147" i="70"/>
  <c r="F146" i="70"/>
  <c r="L144" i="70"/>
  <c r="H143" i="70"/>
  <c r="N141" i="70"/>
  <c r="J140" i="70"/>
  <c r="F139" i="70"/>
  <c r="N156" i="70"/>
  <c r="J155" i="70"/>
  <c r="L134" i="70"/>
  <c r="H133" i="70"/>
  <c r="L156" i="70"/>
  <c r="N135" i="70"/>
  <c r="I134" i="70"/>
  <c r="I171" i="70"/>
  <c r="E170" i="70"/>
  <c r="K168" i="70"/>
  <c r="G167" i="70"/>
  <c r="M165" i="70"/>
  <c r="I164" i="70"/>
  <c r="E163" i="70"/>
  <c r="K161" i="70"/>
  <c r="G160" i="70"/>
  <c r="M148" i="70"/>
  <c r="I147" i="70"/>
  <c r="E146" i="70"/>
  <c r="K144" i="70"/>
  <c r="G143" i="70"/>
  <c r="M141" i="70"/>
  <c r="I140" i="70"/>
  <c r="E139" i="70"/>
  <c r="M156" i="70"/>
  <c r="I155" i="70"/>
  <c r="E154" i="70"/>
  <c r="K134" i="70"/>
  <c r="G133" i="70"/>
  <c r="E180" i="70"/>
  <c r="H155" i="70"/>
  <c r="J134" i="70"/>
  <c r="F133" i="70"/>
  <c r="E179" i="70"/>
  <c r="E133" i="70"/>
  <c r="H171" i="70"/>
  <c r="N169" i="70"/>
  <c r="J168" i="70"/>
  <c r="F167" i="70"/>
  <c r="L165" i="70"/>
  <c r="H164" i="70"/>
  <c r="N162" i="70"/>
  <c r="J161" i="70"/>
  <c r="F160" i="70"/>
  <c r="L148" i="70"/>
  <c r="H147" i="70"/>
  <c r="N145" i="70"/>
  <c r="J144" i="70"/>
  <c r="F143" i="70"/>
  <c r="L141" i="70"/>
  <c r="H140" i="70"/>
  <c r="N138" i="70"/>
  <c r="G171" i="70"/>
  <c r="M169" i="70"/>
  <c r="I168" i="70"/>
  <c r="E167" i="70"/>
  <c r="K165" i="70"/>
  <c r="G164" i="70"/>
  <c r="M162" i="70"/>
  <c r="I161" i="70"/>
  <c r="E160" i="70"/>
  <c r="K148" i="70"/>
  <c r="G147" i="70"/>
  <c r="M145" i="70"/>
  <c r="I144" i="70"/>
  <c r="E143" i="70"/>
  <c r="K141" i="70"/>
  <c r="G140" i="70"/>
  <c r="M138" i="70"/>
  <c r="K156" i="70"/>
  <c r="F171" i="70"/>
  <c r="L169" i="70"/>
  <c r="H168" i="70"/>
  <c r="N166" i="70"/>
  <c r="J165" i="70"/>
  <c r="F164" i="70"/>
  <c r="L162" i="70"/>
  <c r="H161" i="70"/>
  <c r="N149" i="70"/>
  <c r="J148" i="70"/>
  <c r="F147" i="70"/>
  <c r="L145" i="70"/>
  <c r="H144" i="70"/>
  <c r="N142" i="70"/>
  <c r="J141" i="70"/>
  <c r="F140" i="70"/>
  <c r="L138" i="70"/>
  <c r="N157" i="70"/>
  <c r="J156" i="70"/>
  <c r="F155" i="70"/>
  <c r="L135" i="70"/>
  <c r="H134" i="70"/>
  <c r="E171" i="70"/>
  <c r="K169" i="70"/>
  <c r="G168" i="70"/>
  <c r="M166" i="70"/>
  <c r="I165" i="70"/>
  <c r="E164" i="70"/>
  <c r="K162" i="70"/>
  <c r="G161" i="70"/>
  <c r="M149" i="70"/>
  <c r="I148" i="70"/>
  <c r="E147" i="70"/>
  <c r="K145" i="70"/>
  <c r="G144" i="70"/>
  <c r="M142" i="70"/>
  <c r="I141" i="70"/>
  <c r="E140" i="70"/>
  <c r="K138" i="70"/>
  <c r="M157" i="70"/>
  <c r="I156" i="70"/>
  <c r="E155" i="70"/>
  <c r="K135" i="70"/>
  <c r="G134" i="70"/>
  <c r="M132" i="70"/>
  <c r="N170" i="70"/>
  <c r="J169" i="70"/>
  <c r="F168" i="70"/>
  <c r="L166" i="70"/>
  <c r="H165" i="70"/>
  <c r="N163" i="70"/>
  <c r="J162" i="70"/>
  <c r="F161" i="70"/>
  <c r="L149" i="70"/>
  <c r="H148" i="70"/>
  <c r="N146" i="70"/>
  <c r="J145" i="70"/>
  <c r="F144" i="70"/>
  <c r="L142" i="70"/>
  <c r="H141" i="70"/>
  <c r="N139" i="70"/>
  <c r="J138" i="70"/>
  <c r="L157" i="70"/>
  <c r="H156" i="70"/>
  <c r="N154" i="70"/>
  <c r="J135" i="70"/>
  <c r="F134" i="70"/>
  <c r="L132" i="70"/>
  <c r="K132" i="70"/>
  <c r="M170" i="70"/>
  <c r="I169" i="70"/>
  <c r="E168" i="70"/>
  <c r="K166" i="70"/>
  <c r="G165" i="70"/>
  <c r="M163" i="70"/>
  <c r="I162" i="70"/>
  <c r="E161" i="70"/>
  <c r="K149" i="70"/>
  <c r="G148" i="70"/>
  <c r="M146" i="70"/>
  <c r="I145" i="70"/>
  <c r="E144" i="70"/>
  <c r="K142" i="70"/>
  <c r="G141" i="70"/>
  <c r="M139" i="70"/>
  <c r="I138" i="70"/>
  <c r="K157" i="70"/>
  <c r="G156" i="70"/>
  <c r="M154" i="70"/>
  <c r="I135" i="70"/>
  <c r="E134" i="70"/>
  <c r="I159" i="69"/>
  <c r="F15" i="76"/>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AE239" i="76"/>
  <c r="AG242" i="69"/>
  <c r="AD240" i="76"/>
  <c r="AF243" i="69"/>
  <c r="AC241" i="76"/>
  <c r="AE244" i="69"/>
  <c r="AB242" i="76"/>
  <c r="AD245" i="69"/>
  <c r="V243" i="76"/>
  <c r="X246" i="69"/>
  <c r="AE238" i="76"/>
  <c r="AG241" i="69"/>
  <c r="K33" i="70"/>
  <c r="AD235" i="69"/>
  <c r="AB232" i="76"/>
  <c r="AD233" i="76"/>
  <c r="AF236" i="69"/>
  <c r="AE234" i="76"/>
  <c r="AG237" i="69"/>
  <c r="AG238" i="69"/>
  <c r="AE235" i="76"/>
  <c r="AA236" i="76"/>
  <c r="AC239" i="69"/>
  <c r="AD237" i="76"/>
  <c r="AF240" i="69"/>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31" i="69"/>
  <c r="AJ30" i="69"/>
  <c r="F32"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K87" i="79"/>
  <c r="N87" i="79"/>
  <c r="G91" i="79"/>
  <c r="K92" i="79"/>
  <c r="O91" i="79"/>
  <c r="K97" i="79"/>
  <c r="O95" i="79"/>
  <c r="L98" i="79"/>
  <c r="O99" i="79"/>
  <c r="L103" i="79"/>
  <c r="P103" i="79"/>
  <c r="L115" i="79"/>
  <c r="P106" i="79"/>
  <c r="P113" i="79"/>
  <c r="G88" i="79"/>
  <c r="K88" i="79"/>
  <c r="O87" i="79"/>
  <c r="K93" i="79"/>
  <c r="O92" i="79"/>
  <c r="L94" i="79"/>
  <c r="O96" i="79"/>
  <c r="L99" i="79"/>
  <c r="P99" i="79"/>
  <c r="L104" i="79"/>
  <c r="O104" i="79"/>
  <c r="L116" i="79"/>
  <c r="N112" i="79"/>
  <c r="O107" i="79"/>
  <c r="O114" i="79"/>
  <c r="H88" i="79"/>
  <c r="K89" i="79"/>
  <c r="P87" i="79"/>
  <c r="I91" i="79"/>
  <c r="L90" i="79"/>
  <c r="O93" i="79"/>
  <c r="L95" i="79"/>
  <c r="O97" i="79"/>
  <c r="L100" i="79"/>
  <c r="O100" i="79"/>
  <c r="L105" i="79"/>
  <c r="P104" i="79"/>
  <c r="L117" i="79"/>
  <c r="P107" i="79"/>
  <c r="P114" i="79"/>
  <c r="G89" i="79"/>
  <c r="L86" i="79"/>
  <c r="N88" i="79"/>
  <c r="J91" i="79"/>
  <c r="L91" i="79"/>
  <c r="O90" i="79"/>
  <c r="L96" i="79"/>
  <c r="P94" i="79"/>
  <c r="L101" i="79"/>
  <c r="P100" i="79"/>
  <c r="O105" i="79"/>
  <c r="N113" i="79"/>
  <c r="O108" i="79"/>
  <c r="O115" i="79"/>
  <c r="H89" i="79"/>
  <c r="L87" i="79"/>
  <c r="O88" i="79"/>
  <c r="L92" i="79"/>
  <c r="P90" i="79"/>
  <c r="P95" i="79"/>
  <c r="O101" i="79"/>
  <c r="P105" i="79"/>
  <c r="K107" i="79"/>
  <c r="K109" i="79"/>
  <c r="K111" i="79"/>
  <c r="K113" i="79"/>
  <c r="P108" i="79"/>
  <c r="P115" i="79"/>
  <c r="I86" i="79"/>
  <c r="P88" i="79"/>
  <c r="L93" i="79"/>
  <c r="P91" i="79"/>
  <c r="P96" i="79"/>
  <c r="P101" i="79"/>
  <c r="N103" i="79"/>
  <c r="L106" i="79"/>
  <c r="O109" i="79"/>
  <c r="O116" i="79"/>
  <c r="N89" i="79"/>
  <c r="I92" i="79"/>
  <c r="M90" i="79"/>
  <c r="P92" i="79"/>
  <c r="P97" i="79"/>
  <c r="F102" i="79"/>
  <c r="E73" i="70" s="1"/>
  <c r="P109" i="79"/>
  <c r="P116" i="79"/>
  <c r="O89" i="79"/>
  <c r="J92" i="79"/>
  <c r="M91" i="79"/>
  <c r="P93" i="79"/>
  <c r="L108" i="79"/>
  <c r="O110" i="79"/>
  <c r="O117" i="79"/>
  <c r="I89" i="79"/>
  <c r="P89" i="79"/>
  <c r="P110" i="79"/>
  <c r="P117" i="79"/>
  <c r="J86" i="79"/>
  <c r="M88" i="79"/>
  <c r="L110" i="79"/>
  <c r="O111" i="79"/>
  <c r="M89" i="79"/>
  <c r="G90" i="79"/>
  <c r="N102" i="79"/>
  <c r="P111" i="79"/>
  <c r="N86" i="79"/>
  <c r="H90" i="79"/>
  <c r="J93" i="79"/>
  <c r="N98" i="79"/>
  <c r="O102" i="79"/>
  <c r="K112" i="79"/>
  <c r="K114" i="79"/>
  <c r="O112" i="79"/>
  <c r="O86" i="79"/>
  <c r="K90" i="79"/>
  <c r="N94" i="79"/>
  <c r="O98" i="79"/>
  <c r="K102" i="79"/>
  <c r="N106" i="79"/>
  <c r="P86" i="79"/>
  <c r="E89" i="70" l="1"/>
  <c r="L68" i="70"/>
  <c r="M68" i="70"/>
  <c r="E71" i="70"/>
  <c r="F71" i="70"/>
  <c r="J68" i="70"/>
  <c r="J70" i="70"/>
  <c r="H69" i="70"/>
  <c r="N68" i="70"/>
  <c r="K75" i="70"/>
  <c r="F67" i="70"/>
  <c r="I75" i="70"/>
  <c r="H70" i="70"/>
  <c r="L90" i="70"/>
  <c r="L75" i="70"/>
  <c r="E72" i="70"/>
  <c r="H67" i="70"/>
  <c r="F72" i="70"/>
  <c r="F70" i="70"/>
  <c r="J85" i="70"/>
  <c r="N61" i="70"/>
  <c r="E77" i="70"/>
  <c r="E62" i="70"/>
  <c r="I63" i="70"/>
  <c r="G77" i="70"/>
  <c r="K98" i="70"/>
  <c r="L63" i="70"/>
  <c r="H61" i="70"/>
  <c r="K88" i="70"/>
  <c r="L98" i="70"/>
  <c r="M97" i="70"/>
  <c r="M95" i="70"/>
  <c r="N85" i="70"/>
  <c r="L62" i="70"/>
  <c r="E85" i="70"/>
  <c r="E91" i="70"/>
  <c r="M98" i="70"/>
  <c r="N97" i="70"/>
  <c r="N95" i="70"/>
  <c r="J61" i="70"/>
  <c r="M76" i="70"/>
  <c r="E97" i="70"/>
  <c r="K66" i="70"/>
  <c r="F76" i="70"/>
  <c r="K90" i="70"/>
  <c r="F97" i="70"/>
  <c r="E94" i="70"/>
  <c r="H84" i="70"/>
  <c r="I73" i="70"/>
  <c r="F94" i="70"/>
  <c r="G74" i="70"/>
  <c r="M90" i="70"/>
  <c r="G94" i="70"/>
  <c r="K63" i="70"/>
  <c r="H74" i="70"/>
  <c r="E83" i="70"/>
  <c r="E93" i="70"/>
  <c r="I84" i="70"/>
  <c r="F93" i="70"/>
  <c r="J75" i="70"/>
  <c r="G67" i="70"/>
  <c r="G93" i="70"/>
  <c r="M88" i="70"/>
  <c r="F69" i="70"/>
  <c r="F75" i="70"/>
  <c r="L72" i="70"/>
  <c r="M71" i="70"/>
  <c r="H68" i="70"/>
  <c r="N96" i="70"/>
  <c r="N70" i="70"/>
  <c r="J95" i="70"/>
  <c r="J66" i="70"/>
  <c r="L93" i="70"/>
  <c r="N83" i="70"/>
  <c r="K82" i="70"/>
  <c r="H63" i="70"/>
  <c r="N82" i="70"/>
  <c r="M62" i="70"/>
  <c r="N92" i="70"/>
  <c r="G88" i="70"/>
  <c r="L99" i="70"/>
  <c r="J76" i="70"/>
  <c r="F73" i="70"/>
  <c r="F89" i="70"/>
  <c r="H98" i="70"/>
  <c r="I98" i="70"/>
  <c r="G69" i="70"/>
  <c r="G75" i="70"/>
  <c r="N72" i="70"/>
  <c r="K97" i="70"/>
  <c r="K68" i="70"/>
  <c r="E96" i="70"/>
  <c r="E70" i="70"/>
  <c r="K95" i="70"/>
  <c r="M94" i="70"/>
  <c r="M93" i="70"/>
  <c r="H85" i="70"/>
  <c r="E84" i="70"/>
  <c r="M60" i="70"/>
  <c r="F84" i="70"/>
  <c r="I83" i="70"/>
  <c r="G82" i="70"/>
  <c r="M77" i="70"/>
  <c r="I88" i="70"/>
  <c r="M99" i="70"/>
  <c r="K76" i="70"/>
  <c r="G73" i="70"/>
  <c r="E74" i="70"/>
  <c r="J98" i="70"/>
  <c r="H75" i="70"/>
  <c r="K72" i="70"/>
  <c r="L97" i="70"/>
  <c r="I68" i="70"/>
  <c r="F96" i="70"/>
  <c r="G70" i="70"/>
  <c r="L95" i="70"/>
  <c r="N94" i="70"/>
  <c r="N93" i="70"/>
  <c r="I85" i="70"/>
  <c r="G62" i="70"/>
  <c r="K83" i="70"/>
  <c r="N77" i="70"/>
  <c r="J88" i="70"/>
  <c r="N99" i="70"/>
  <c r="L76" i="70"/>
  <c r="H73" i="70"/>
  <c r="F74" i="70"/>
  <c r="F60" i="70"/>
  <c r="F77" i="70"/>
  <c r="L88" i="70"/>
  <c r="F91" i="70"/>
  <c r="N76" i="70"/>
  <c r="J73" i="70"/>
  <c r="I74" i="70"/>
  <c r="I67" i="70"/>
  <c r="K70" i="70"/>
  <c r="L66" i="70"/>
  <c r="H94" i="70"/>
  <c r="H93" i="70"/>
  <c r="K61" i="70"/>
  <c r="M85" i="70"/>
  <c r="N60" i="70"/>
  <c r="E61" i="70"/>
  <c r="F61" i="70"/>
  <c r="J83" i="70"/>
  <c r="N62" i="70"/>
  <c r="F92" i="70"/>
  <c r="H77" i="70"/>
  <c r="N88" i="70"/>
  <c r="H91" i="70"/>
  <c r="G76" i="70"/>
  <c r="H89" i="70"/>
  <c r="J74" i="70"/>
  <c r="H62" i="70"/>
  <c r="I62" i="70"/>
  <c r="J62" i="70"/>
  <c r="M82" i="70"/>
  <c r="N84" i="70"/>
  <c r="L60" i="70"/>
  <c r="H82" i="70"/>
  <c r="G92" i="70"/>
  <c r="J77" i="70"/>
  <c r="E99" i="70"/>
  <c r="I91" i="70"/>
  <c r="E76" i="70"/>
  <c r="I89" i="70"/>
  <c r="K74" i="70"/>
  <c r="F82" i="70"/>
  <c r="G91" i="70"/>
  <c r="N98" i="70"/>
  <c r="I71" i="70"/>
  <c r="M66" i="70"/>
  <c r="J60" i="70"/>
  <c r="J69" i="70"/>
  <c r="F90" i="70"/>
  <c r="N75" i="70"/>
  <c r="G71" i="70"/>
  <c r="H97" i="70"/>
  <c r="H96" i="70"/>
  <c r="E67" i="70"/>
  <c r="L70" i="70"/>
  <c r="N66" i="70"/>
  <c r="J94" i="70"/>
  <c r="M83" i="70"/>
  <c r="K60" i="70"/>
  <c r="F62" i="70"/>
  <c r="F83" i="70"/>
  <c r="M63" i="70"/>
  <c r="N63" i="70"/>
  <c r="K85" i="70"/>
  <c r="G61" i="70"/>
  <c r="L83" i="70"/>
  <c r="H92" i="70"/>
  <c r="I77" i="70"/>
  <c r="F99" i="70"/>
  <c r="J91" i="70"/>
  <c r="H76" i="70"/>
  <c r="J89" i="70"/>
  <c r="L74" i="70"/>
  <c r="M75" i="70"/>
  <c r="I70" i="70"/>
  <c r="K69" i="70"/>
  <c r="G90" i="70"/>
  <c r="G72" i="70"/>
  <c r="H71" i="70"/>
  <c r="I97" i="70"/>
  <c r="I96" i="70"/>
  <c r="L67" i="70"/>
  <c r="E95" i="70"/>
  <c r="E66" i="70"/>
  <c r="K94" i="70"/>
  <c r="G60" i="70"/>
  <c r="G84" i="70"/>
  <c r="J63" i="70"/>
  <c r="J84" i="70"/>
  <c r="G83" i="70"/>
  <c r="H83" i="70"/>
  <c r="K62" i="70"/>
  <c r="F85" i="70"/>
  <c r="I92" i="70"/>
  <c r="K77" i="70"/>
  <c r="G99" i="70"/>
  <c r="K91" i="70"/>
  <c r="K73" i="70"/>
  <c r="K89" i="70"/>
  <c r="M74" i="70"/>
  <c r="E90" i="70"/>
  <c r="I94" i="70"/>
  <c r="H90" i="70"/>
  <c r="K71" i="70"/>
  <c r="J96" i="70"/>
  <c r="M67" i="70"/>
  <c r="F95" i="70"/>
  <c r="F66" i="70"/>
  <c r="L94" i="70"/>
  <c r="I82" i="70"/>
  <c r="H60" i="70"/>
  <c r="L85" i="70"/>
  <c r="K84" i="70"/>
  <c r="L84" i="70"/>
  <c r="E82" i="70"/>
  <c r="J92" i="70"/>
  <c r="L77" i="70"/>
  <c r="H99" i="70"/>
  <c r="L91" i="70"/>
  <c r="L73" i="70"/>
  <c r="L89" i="70"/>
  <c r="N74" i="70"/>
  <c r="H30" i="69"/>
  <c r="H32" i="69"/>
  <c r="H31" i="69"/>
  <c r="G89" i="70"/>
  <c r="I69" i="70"/>
  <c r="J67" i="70"/>
  <c r="E63" i="70"/>
  <c r="L69" i="70"/>
  <c r="H72" i="70"/>
  <c r="J97" i="70"/>
  <c r="E98" i="70"/>
  <c r="M69" i="70"/>
  <c r="I90" i="70"/>
  <c r="I72" i="70"/>
  <c r="J71" i="70"/>
  <c r="E68" i="70"/>
  <c r="K96" i="70"/>
  <c r="K67" i="70"/>
  <c r="G95" i="70"/>
  <c r="G66" i="70"/>
  <c r="I93" i="70"/>
  <c r="G85" i="70"/>
  <c r="L61" i="70"/>
  <c r="I60" i="70"/>
  <c r="M84" i="70"/>
  <c r="K92" i="70"/>
  <c r="E88" i="70"/>
  <c r="I99" i="70"/>
  <c r="M91" i="70"/>
  <c r="M73" i="70"/>
  <c r="M89" i="70"/>
  <c r="G97" i="70"/>
  <c r="F98" i="70"/>
  <c r="N69" i="70"/>
  <c r="J90" i="70"/>
  <c r="J72" i="70"/>
  <c r="L71" i="70"/>
  <c r="F68" i="70"/>
  <c r="L96" i="70"/>
  <c r="N67" i="70"/>
  <c r="H95" i="70"/>
  <c r="H66" i="70"/>
  <c r="J93" i="70"/>
  <c r="F63" i="70"/>
  <c r="M61" i="70"/>
  <c r="L82" i="70"/>
  <c r="E60" i="70"/>
  <c r="L92" i="70"/>
  <c r="F88" i="70"/>
  <c r="J99" i="70"/>
  <c r="N91" i="70"/>
  <c r="N73" i="70"/>
  <c r="N89" i="70"/>
  <c r="E92" i="70"/>
  <c r="N90" i="70"/>
  <c r="G96" i="70"/>
  <c r="G98" i="70"/>
  <c r="E69" i="70"/>
  <c r="E75" i="70"/>
  <c r="M72" i="70"/>
  <c r="N71" i="70"/>
  <c r="G68" i="70"/>
  <c r="M96" i="70"/>
  <c r="M70" i="70"/>
  <c r="I95" i="70"/>
  <c r="I66" i="70"/>
  <c r="K93" i="70"/>
  <c r="J82" i="70"/>
  <c r="G63" i="70"/>
  <c r="I61" i="70"/>
  <c r="M92" i="70"/>
  <c r="H88" i="70"/>
  <c r="K99" i="70"/>
  <c r="I76" i="70"/>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I28" i="76"/>
  <c r="D28" i="76"/>
  <c r="M28" i="76"/>
  <c r="L28" i="76"/>
  <c r="F28" i="76"/>
  <c r="E28" i="76"/>
  <c r="K28" i="76"/>
  <c r="H28" i="76"/>
  <c r="J28" i="76"/>
  <c r="G28" i="76"/>
  <c r="E171" i="69"/>
  <c r="E172" i="69"/>
  <c r="X159" i="76"/>
  <c r="X239" i="76"/>
  <c r="Z242" i="69"/>
  <c r="AB236" i="76"/>
  <c r="AD239" i="69"/>
  <c r="AB235" i="76"/>
  <c r="AD238" i="69"/>
  <c r="AB245" i="69"/>
  <c r="Z242" i="76"/>
  <c r="AC234" i="76"/>
  <c r="AE237" i="69"/>
  <c r="AE240" i="76"/>
  <c r="AG243" i="69"/>
  <c r="X243" i="76"/>
  <c r="Z246" i="69"/>
  <c r="W236" i="76"/>
  <c r="Y239" i="69"/>
  <c r="Y236" i="76"/>
  <c r="AA239" i="69"/>
  <c r="X232" i="76"/>
  <c r="Z235" i="69"/>
  <c r="AB240" i="76"/>
  <c r="AD243" i="69"/>
  <c r="Y236" i="69"/>
  <c r="W233" i="76"/>
  <c r="Y243" i="76"/>
  <c r="AA246" i="69"/>
  <c r="X240" i="76"/>
  <c r="Z243" i="69"/>
  <c r="V242" i="76"/>
  <c r="X245" i="69"/>
  <c r="AD235" i="76"/>
  <c r="AF238" i="69"/>
  <c r="W242" i="76"/>
  <c r="Y245" i="69"/>
  <c r="Y238" i="76"/>
  <c r="AA241" i="69"/>
  <c r="AC244" i="69"/>
  <c r="AA241" i="76"/>
  <c r="AD242" i="69"/>
  <c r="AB239" i="76"/>
  <c r="W243" i="76"/>
  <c r="Y246" i="69"/>
  <c r="AD238" i="76"/>
  <c r="AF241" i="69"/>
  <c r="X244" i="69"/>
  <c r="V241" i="76"/>
  <c r="AC238" i="76"/>
  <c r="AE241" i="69"/>
  <c r="AB234" i="76"/>
  <c r="AD237" i="69"/>
  <c r="AD242" i="76"/>
  <c r="AF245" i="69"/>
  <c r="W237" i="76"/>
  <c r="Y240" i="69"/>
  <c r="AB238" i="69"/>
  <c r="Z235" i="76"/>
  <c r="AD232" i="76"/>
  <c r="AF235" i="69"/>
  <c r="Y241" i="69"/>
  <c r="W238" i="76"/>
  <c r="AC242" i="69"/>
  <c r="AA239" i="76"/>
  <c r="Z239" i="76"/>
  <c r="AB242" i="69"/>
  <c r="AC237" i="76"/>
  <c r="AE240" i="69"/>
  <c r="AA242" i="76"/>
  <c r="AC245" i="69"/>
  <c r="AB233" i="76"/>
  <c r="AD236" i="69"/>
  <c r="V237" i="76"/>
  <c r="X240" i="69"/>
  <c r="AC242" i="76"/>
  <c r="AE245" i="69"/>
  <c r="X242" i="76"/>
  <c r="Z245" i="69"/>
  <c r="Z236" i="76"/>
  <c r="AB239" i="69"/>
  <c r="W240" i="76"/>
  <c r="Y243" i="69"/>
  <c r="Z241" i="69"/>
  <c r="X238" i="76"/>
  <c r="AD241" i="76"/>
  <c r="AF244" i="69"/>
  <c r="AA233" i="76"/>
  <c r="AC236" i="69"/>
  <c r="Y241" i="76"/>
  <c r="AA244" i="69"/>
  <c r="V239" i="76"/>
  <c r="X242" i="69"/>
  <c r="Y276" i="69" s="1"/>
  <c r="X237" i="76"/>
  <c r="Z240" i="69"/>
  <c r="AC240" i="76"/>
  <c r="AE243" i="69"/>
  <c r="Z238" i="76"/>
  <c r="AB241" i="69"/>
  <c r="AB238" i="76"/>
  <c r="AD241" i="69"/>
  <c r="AC232" i="76"/>
  <c r="AE235" i="69"/>
  <c r="W241" i="76"/>
  <c r="Y244" i="69"/>
  <c r="Z234" i="76"/>
  <c r="AB237" i="69"/>
  <c r="Y233" i="76"/>
  <c r="AA236" i="69"/>
  <c r="W235" i="76"/>
  <c r="Y238" i="69"/>
  <c r="AE236" i="76"/>
  <c r="AG239" i="69"/>
  <c r="Z237" i="76"/>
  <c r="AB240" i="69"/>
  <c r="X241" i="76"/>
  <c r="Z244" i="69"/>
  <c r="AA240" i="76"/>
  <c r="AC243" i="69"/>
  <c r="AE243" i="76"/>
  <c r="AG246" i="69"/>
  <c r="AC239" i="76"/>
  <c r="AE242" i="69"/>
  <c r="AA238" i="69"/>
  <c r="Y235" i="76"/>
  <c r="AE232" i="76"/>
  <c r="AG235" i="69"/>
  <c r="X236" i="76"/>
  <c r="Z239" i="69"/>
  <c r="W239" i="76"/>
  <c r="Y242" i="69"/>
  <c r="Y239" i="76"/>
  <c r="AA242" i="69"/>
  <c r="AA240" i="69"/>
  <c r="Y237" i="76"/>
  <c r="Z233" i="76"/>
  <c r="AB236" i="69"/>
  <c r="AB237" i="76"/>
  <c r="AD240" i="69"/>
  <c r="AE246" i="69"/>
  <c r="AC243" i="76"/>
  <c r="V233" i="76"/>
  <c r="X236" i="69"/>
  <c r="Z241" i="76"/>
  <c r="AB244" i="69"/>
  <c r="AD234" i="76"/>
  <c r="AF237" i="69"/>
  <c r="Y240" i="76"/>
  <c r="AA243" i="69"/>
  <c r="Z232" i="76"/>
  <c r="AB235" i="69"/>
  <c r="V236" i="76"/>
  <c r="X239" i="69"/>
  <c r="AC235" i="69"/>
  <c r="AA232" i="76"/>
  <c r="AA234" i="76"/>
  <c r="AC237" i="69"/>
  <c r="AE237" i="76"/>
  <c r="AG240" i="69"/>
  <c r="AA237" i="76"/>
  <c r="AC240" i="69"/>
  <c r="AA235" i="76"/>
  <c r="AC238" i="69"/>
  <c r="AA238" i="76"/>
  <c r="AC241" i="69"/>
  <c r="AE241" i="76"/>
  <c r="AG244" i="69"/>
  <c r="Z240" i="76"/>
  <c r="AB243" i="69"/>
  <c r="AA245" i="69"/>
  <c r="Y242" i="76"/>
  <c r="X233" i="76"/>
  <c r="Z236" i="69"/>
  <c r="X234" i="76"/>
  <c r="Z237" i="69"/>
  <c r="AD239" i="76"/>
  <c r="AF242" i="69"/>
  <c r="AG236" i="69"/>
  <c r="AE233" i="76"/>
  <c r="X235" i="76"/>
  <c r="Z238" i="69"/>
  <c r="Y232" i="76"/>
  <c r="AA235" i="69"/>
  <c r="AE242" i="76"/>
  <c r="AG245" i="69"/>
  <c r="AC235" i="76"/>
  <c r="AE238" i="69"/>
  <c r="AE239" i="69"/>
  <c r="AC236" i="76"/>
  <c r="W234" i="76"/>
  <c r="Y237" i="69"/>
  <c r="AF246" i="69"/>
  <c r="AD243" i="76"/>
  <c r="V238" i="76"/>
  <c r="X241" i="69"/>
  <c r="AC233" i="76"/>
  <c r="AE236" i="69"/>
  <c r="Z243" i="76"/>
  <c r="AB246" i="69"/>
  <c r="AF239" i="69"/>
  <c r="AD236" i="76"/>
  <c r="V232" i="76"/>
  <c r="X235" i="69"/>
  <c r="W232" i="76"/>
  <c r="Y235" i="69"/>
  <c r="AA243" i="76"/>
  <c r="AC246" i="69"/>
  <c r="AB241" i="76"/>
  <c r="AD244" i="69"/>
  <c r="V240" i="76"/>
  <c r="X243" i="69"/>
  <c r="Y234" i="76"/>
  <c r="AA237" i="69"/>
  <c r="V235" i="76"/>
  <c r="X238" i="69"/>
  <c r="X237" i="69"/>
  <c r="V234" i="76"/>
  <c r="AB243" i="76"/>
  <c r="AD246" i="69"/>
  <c r="L98" i="76" l="1"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E165" i="69" l="1"/>
  <c r="E166" i="69"/>
  <c r="AC22" i="76"/>
  <c r="AC38" i="76" s="1" a="1"/>
  <c r="AC38" i="76" s="1"/>
  <c r="Y22" i="76"/>
  <c r="Y38" i="76" s="1" a="1"/>
  <c r="Y38" i="76" s="1"/>
  <c r="AD22" i="76"/>
  <c r="AD38" i="76" s="1" a="1"/>
  <c r="AD38" i="76" s="1"/>
  <c r="X22" i="76"/>
  <c r="X38" i="76" s="1" a="1"/>
  <c r="X38" i="76" s="1"/>
  <c r="V22" i="76"/>
  <c r="V38" i="76" s="1" a="1"/>
  <c r="V38" i="76" s="1"/>
  <c r="AA22" i="76"/>
  <c r="AA38" i="76" s="1" a="1"/>
  <c r="AA38" i="76" s="1"/>
  <c r="AB22" i="76"/>
  <c r="AB38" i="76" s="1" a="1"/>
  <c r="AB38" i="76" s="1"/>
  <c r="W22" i="76"/>
  <c r="W38" i="76" s="1" a="1"/>
  <c r="W38" i="76" s="1"/>
  <c r="Z22" i="76"/>
  <c r="Z38" i="76" s="1" a="1"/>
  <c r="Z38" i="76" s="1"/>
  <c r="H227" i="76"/>
  <c r="H225" i="76" s="1"/>
  <c r="H33" i="97"/>
  <c r="F69" i="69" l="1"/>
  <c r="F120" i="76"/>
  <c r="AF51" i="69"/>
  <c r="AD27" i="76"/>
  <c r="AD43" i="76" s="1" a="1"/>
  <c r="AD43" i="76" s="1"/>
  <c r="I68" i="69"/>
  <c r="I119" i="76"/>
  <c r="AA66" i="69"/>
  <c r="Y126" i="76"/>
  <c r="AD51" i="69"/>
  <c r="AB27" i="76"/>
  <c r="AB43" i="76" s="1" a="1"/>
  <c r="AB43" i="76" s="1"/>
  <c r="M68" i="69"/>
  <c r="M119" i="76"/>
  <c r="AB54" i="69"/>
  <c r="Z30" i="76"/>
  <c r="Z46" i="76" s="1" a="1"/>
  <c r="Z46" i="76" s="1"/>
  <c r="AG63" i="69"/>
  <c r="AE123" i="76"/>
  <c r="AC68" i="69"/>
  <c r="AA128" i="76"/>
  <c r="AC67" i="69"/>
  <c r="AA127" i="76"/>
  <c r="AE49" i="69"/>
  <c r="AC25" i="76"/>
  <c r="AC41" i="76" s="1" a="1"/>
  <c r="AC41" i="76" s="1"/>
  <c r="AF54" i="69"/>
  <c r="AD30" i="76"/>
  <c r="AD46" i="76" s="1" a="1"/>
  <c r="AD46" i="76" s="1"/>
  <c r="AD53" i="69"/>
  <c r="AB29" i="76"/>
  <c r="AB45" i="76" s="1" a="1"/>
  <c r="AB45" i="76" s="1"/>
  <c r="AB71" i="69"/>
  <c r="Z131" i="76"/>
  <c r="AE51" i="69"/>
  <c r="AC27" i="76"/>
  <c r="AC43" i="76" s="1" a="1"/>
  <c r="AC43" i="76" s="1"/>
  <c r="AD49" i="69"/>
  <c r="AB25" i="76"/>
  <c r="AB41" i="76" s="1" a="1"/>
  <c r="AB41" i="76" s="1"/>
  <c r="AC50" i="69"/>
  <c r="AA26" i="76"/>
  <c r="AA42" i="76" s="1" a="1"/>
  <c r="AA42" i="76" s="1"/>
  <c r="AF70" i="69"/>
  <c r="AD130" i="76"/>
  <c r="X49" i="69"/>
  <c r="V25" i="76"/>
  <c r="V41" i="76" s="1" a="1"/>
  <c r="V41" i="76" s="1"/>
  <c r="AD62" i="69"/>
  <c r="AB122" i="76"/>
  <c r="AF69" i="69"/>
  <c r="AD129" i="76"/>
  <c r="X47" i="69"/>
  <c r="V23" i="76"/>
  <c r="V39" i="76" s="1" a="1"/>
  <c r="V39" i="76" s="1"/>
  <c r="AC49" i="69"/>
  <c r="AA25" i="76"/>
  <c r="AA41" i="76" s="1" a="1"/>
  <c r="AA41" i="76" s="1"/>
  <c r="AB49" i="69"/>
  <c r="Z25" i="76"/>
  <c r="Z41" i="76" s="1" a="1"/>
  <c r="Z41" i="76" s="1"/>
  <c r="AA53" i="69"/>
  <c r="Y29" i="76"/>
  <c r="Y45" i="76" s="1" a="1"/>
  <c r="Y45" i="76" s="1"/>
  <c r="F70" i="69"/>
  <c r="F121" i="76"/>
  <c r="AB122" i="69"/>
  <c r="Z171" i="76"/>
  <c r="Z115" i="69"/>
  <c r="X164" i="76"/>
  <c r="AG120" i="69"/>
  <c r="AE169" i="76"/>
  <c r="F117" i="69"/>
  <c r="F155" i="76"/>
  <c r="AB116" i="69"/>
  <c r="Z165" i="76"/>
  <c r="G116" i="69"/>
  <c r="G154" i="76"/>
  <c r="Y115" i="69"/>
  <c r="W164" i="76"/>
  <c r="AF115" i="69"/>
  <c r="AD164" i="76"/>
  <c r="AB115" i="69"/>
  <c r="Z164" i="76"/>
  <c r="AF124" i="69"/>
  <c r="AD173" i="76"/>
  <c r="M117" i="69"/>
  <c r="M155" i="76"/>
  <c r="Y65" i="69"/>
  <c r="W125" i="76"/>
  <c r="AC64" i="69"/>
  <c r="AA124" i="76"/>
  <c r="AA50" i="69"/>
  <c r="Y26" i="76"/>
  <c r="Y42" i="76" s="1" a="1"/>
  <c r="Y42" i="76" s="1"/>
  <c r="X67" i="69"/>
  <c r="V127" i="76"/>
  <c r="AD52" i="69"/>
  <c r="AB28" i="76"/>
  <c r="AB44" i="76" s="1" a="1"/>
  <c r="AB44" i="76" s="1"/>
  <c r="AD70" i="69"/>
  <c r="AB130" i="76"/>
  <c r="AA52" i="69"/>
  <c r="Y28" i="76"/>
  <c r="Y44" i="76" s="1" a="1"/>
  <c r="Y44" i="76" s="1"/>
  <c r="H70" i="69"/>
  <c r="H121" i="76"/>
  <c r="L70" i="69"/>
  <c r="L121" i="76"/>
  <c r="Z64" i="69"/>
  <c r="X124" i="76"/>
  <c r="AB55" i="69"/>
  <c r="Z31" i="76"/>
  <c r="Z47" i="76" s="1" a="1"/>
  <c r="Z47" i="76" s="1"/>
  <c r="AA55" i="69"/>
  <c r="Y31" i="76"/>
  <c r="Y47" i="76" s="1" a="1"/>
  <c r="Y47" i="76" s="1"/>
  <c r="H68" i="69"/>
  <c r="H119" i="76"/>
  <c r="Z62" i="69"/>
  <c r="X122" i="76"/>
  <c r="G71" i="69"/>
  <c r="G122" i="76"/>
  <c r="AD48" i="69"/>
  <c r="AB24" i="76"/>
  <c r="AB40" i="76" s="1" a="1"/>
  <c r="AB40" i="76" s="1"/>
  <c r="AG49" i="69"/>
  <c r="AE25" i="76"/>
  <c r="AE41" i="76" s="1" a="1"/>
  <c r="AE41" i="76" s="1"/>
  <c r="AD71" i="69"/>
  <c r="AB131" i="76"/>
  <c r="AB52" i="69"/>
  <c r="Z28" i="76"/>
  <c r="Z44" i="76" s="1" a="1"/>
  <c r="Z44" i="76" s="1"/>
  <c r="Y62" i="69"/>
  <c r="W122" i="76"/>
  <c r="AD50" i="69"/>
  <c r="AB26" i="76"/>
  <c r="AB42" i="76" s="1" a="1"/>
  <c r="AB42" i="76" s="1"/>
  <c r="I71" i="69"/>
  <c r="I122" i="76"/>
  <c r="F118" i="69"/>
  <c r="F156" i="76"/>
  <c r="F115" i="69"/>
  <c r="F153" i="76"/>
  <c r="Z125" i="69"/>
  <c r="X174" i="76"/>
  <c r="G117" i="69"/>
  <c r="G155" i="76"/>
  <c r="AE121" i="69"/>
  <c r="AC170" i="76"/>
  <c r="AA126" i="69"/>
  <c r="Y175" i="76"/>
  <c r="AB126" i="69"/>
  <c r="Z175" i="76"/>
  <c r="Y120" i="69"/>
  <c r="W169" i="76"/>
  <c r="AC122" i="69"/>
  <c r="AA171" i="76"/>
  <c r="I116" i="69"/>
  <c r="I154" i="76"/>
  <c r="AC126" i="69"/>
  <c r="AA175" i="76"/>
  <c r="AE68" i="69"/>
  <c r="AC128" i="76"/>
  <c r="AG60" i="69"/>
  <c r="AE120" i="76"/>
  <c r="AE53" i="69"/>
  <c r="AC29" i="76"/>
  <c r="AC45" i="76" s="1" a="1"/>
  <c r="AC45" i="76" s="1"/>
  <c r="Z70" i="69"/>
  <c r="X130" i="76"/>
  <c r="AC51" i="69"/>
  <c r="AA27" i="76"/>
  <c r="AA43" i="76" s="1" a="1"/>
  <c r="AA43" i="76" s="1"/>
  <c r="AF62" i="69"/>
  <c r="AD122" i="76"/>
  <c r="AB60" i="69"/>
  <c r="Z120" i="76"/>
  <c r="Y63" i="69"/>
  <c r="W123" i="76"/>
  <c r="M71" i="69"/>
  <c r="M122" i="76"/>
  <c r="AB47" i="69"/>
  <c r="Z23" i="76"/>
  <c r="Z39" i="76" s="1" a="1"/>
  <c r="Z39" i="76" s="1"/>
  <c r="Y47" i="69"/>
  <c r="W23" i="76"/>
  <c r="W39" i="76" s="1" a="1"/>
  <c r="W39" i="76" s="1"/>
  <c r="X55" i="69"/>
  <c r="V31" i="76"/>
  <c r="V47" i="76" s="1" a="1"/>
  <c r="V47" i="76" s="1"/>
  <c r="N69" i="69"/>
  <c r="N120" i="76"/>
  <c r="AG51" i="69"/>
  <c r="AE27" i="76"/>
  <c r="AE43" i="76" s="1" a="1"/>
  <c r="AE43" i="76" s="1"/>
  <c r="AF50" i="69"/>
  <c r="AD26" i="76"/>
  <c r="AD42" i="76" s="1" a="1"/>
  <c r="AD42" i="76" s="1"/>
  <c r="AA67" i="69"/>
  <c r="Y127" i="76"/>
  <c r="Y60" i="69"/>
  <c r="W120" i="76"/>
  <c r="AC70" i="69"/>
  <c r="AA130" i="76"/>
  <c r="AF48" i="69"/>
  <c r="AD24" i="76"/>
  <c r="AD40" i="76" s="1" a="1"/>
  <c r="AD40" i="76" s="1"/>
  <c r="L69" i="69"/>
  <c r="L120" i="76"/>
  <c r="H118" i="69"/>
  <c r="H156" i="76"/>
  <c r="X121" i="69"/>
  <c r="V170" i="76"/>
  <c r="I115" i="69"/>
  <c r="I153" i="76"/>
  <c r="X126" i="69"/>
  <c r="V175" i="76"/>
  <c r="AD123" i="69"/>
  <c r="AB172" i="76"/>
  <c r="AC124" i="69"/>
  <c r="AA173" i="76"/>
  <c r="K116" i="69"/>
  <c r="K154" i="76"/>
  <c r="Z120" i="69"/>
  <c r="X169" i="76"/>
  <c r="Z121" i="69"/>
  <c r="X170" i="76"/>
  <c r="Y124" i="69"/>
  <c r="W173" i="76"/>
  <c r="AC119" i="69"/>
  <c r="AA168" i="76"/>
  <c r="AD119" i="69"/>
  <c r="AB168" i="76"/>
  <c r="AC48" i="69"/>
  <c r="AA24" i="76"/>
  <c r="AA40" i="76" s="1" a="1"/>
  <c r="AA40" i="76" s="1"/>
  <c r="AF67" i="69"/>
  <c r="AD127" i="76"/>
  <c r="AG62" i="69"/>
  <c r="AE122" i="76"/>
  <c r="AG54" i="69"/>
  <c r="AE30" i="76"/>
  <c r="AE46" i="76" s="1" a="1"/>
  <c r="AE46" i="76" s="1"/>
  <c r="AB63" i="69"/>
  <c r="Z123" i="76"/>
  <c r="AC55" i="69"/>
  <c r="AA31" i="76"/>
  <c r="AA47" i="76" s="1" a="1"/>
  <c r="AA47" i="76" s="1"/>
  <c r="AG67" i="69"/>
  <c r="AE127" i="76"/>
  <c r="Z45" i="69"/>
  <c r="X21" i="76"/>
  <c r="X37" i="76" s="1" a="1"/>
  <c r="X37" i="76" s="1"/>
  <c r="AC63" i="69"/>
  <c r="AA123" i="76"/>
  <c r="AB50" i="69"/>
  <c r="Z26" i="76"/>
  <c r="Z42" i="76" s="1" a="1"/>
  <c r="Z42" i="76" s="1"/>
  <c r="AE44" i="69"/>
  <c r="AC20" i="76"/>
  <c r="AC36" i="76" s="1" a="1"/>
  <c r="AC36" i="76" s="1"/>
  <c r="K69" i="69"/>
  <c r="K120" i="76"/>
  <c r="Z124" i="69"/>
  <c r="X173" i="76"/>
  <c r="H115" i="69"/>
  <c r="H153" i="76"/>
  <c r="AC117" i="69"/>
  <c r="AA166" i="76"/>
  <c r="AA121" i="69"/>
  <c r="Y170" i="76"/>
  <c r="X115" i="69"/>
  <c r="V164" i="76"/>
  <c r="Y125" i="69"/>
  <c r="W174" i="76"/>
  <c r="J117" i="69"/>
  <c r="J155" i="76"/>
  <c r="AE119" i="69"/>
  <c r="AC168" i="76"/>
  <c r="Z117" i="69"/>
  <c r="X166" i="76"/>
  <c r="M118" i="69"/>
  <c r="M156" i="76"/>
  <c r="Z118" i="69"/>
  <c r="X167" i="76"/>
  <c r="AE126" i="69"/>
  <c r="AC175" i="76"/>
  <c r="Y51" i="69"/>
  <c r="W27" i="76"/>
  <c r="W43" i="76" s="1" a="1"/>
  <c r="W43" i="76" s="1"/>
  <c r="AE61" i="69"/>
  <c r="AC121" i="76"/>
  <c r="AC71" i="69"/>
  <c r="AA131" i="76"/>
  <c r="Z52" i="69"/>
  <c r="X28" i="76"/>
  <c r="X44" i="76" s="1" a="1"/>
  <c r="X44" i="76" s="1"/>
  <c r="AC69" i="69"/>
  <c r="AA129" i="76"/>
  <c r="AC45" i="69"/>
  <c r="AA21" i="76"/>
  <c r="AA37" i="76" s="1" a="1"/>
  <c r="AA37" i="76" s="1"/>
  <c r="X60" i="69"/>
  <c r="V120" i="76"/>
  <c r="AG69" i="69"/>
  <c r="AE129" i="76"/>
  <c r="F68" i="69"/>
  <c r="F119" i="76"/>
  <c r="AB48" i="69"/>
  <c r="Z24" i="76"/>
  <c r="Z40" i="76" s="1" a="1"/>
  <c r="Z40" i="76" s="1"/>
  <c r="Z63" i="69"/>
  <c r="X123" i="76"/>
  <c r="Z54" i="69"/>
  <c r="X30" i="76"/>
  <c r="X46" i="76" s="1" a="1"/>
  <c r="X46" i="76" s="1"/>
  <c r="AA63" i="69"/>
  <c r="Y123" i="76"/>
  <c r="AB65" i="69"/>
  <c r="Z125" i="76"/>
  <c r="AD47" i="69"/>
  <c r="AB23" i="76"/>
  <c r="AB39" i="76" s="1" a="1"/>
  <c r="AB39" i="76" s="1"/>
  <c r="H69" i="69"/>
  <c r="H120" i="76"/>
  <c r="E71" i="69"/>
  <c r="E122" i="76"/>
  <c r="I69" i="69"/>
  <c r="I120" i="76"/>
  <c r="AC118" i="69"/>
  <c r="AA167" i="76"/>
  <c r="AF126" i="69"/>
  <c r="AD175" i="76"/>
  <c r="AF121" i="69"/>
  <c r="AD170" i="76"/>
  <c r="L115" i="69"/>
  <c r="L153" i="76"/>
  <c r="AG124" i="69"/>
  <c r="AE173" i="76"/>
  <c r="AC115" i="69"/>
  <c r="AA164" i="76"/>
  <c r="AF117" i="69"/>
  <c r="AD166" i="76"/>
  <c r="AB118" i="69"/>
  <c r="Z167" i="76"/>
  <c r="AC121" i="69"/>
  <c r="AA170" i="76"/>
  <c r="Y119" i="69"/>
  <c r="W168" i="76"/>
  <c r="AA125" i="69"/>
  <c r="Y174" i="76"/>
  <c r="AB125" i="69"/>
  <c r="Z174" i="76"/>
  <c r="AA61" i="69"/>
  <c r="Y121" i="76"/>
  <c r="AD44" i="69"/>
  <c r="AB20" i="76"/>
  <c r="AB36" i="76" s="1" a="1"/>
  <c r="AB36" i="76" s="1"/>
  <c r="Z49" i="69"/>
  <c r="X25" i="76"/>
  <c r="X41" i="76" s="1" a="1"/>
  <c r="X41" i="76" s="1"/>
  <c r="H71" i="69"/>
  <c r="H122" i="76"/>
  <c r="AG71" i="69"/>
  <c r="AE131" i="76"/>
  <c r="G68" i="69"/>
  <c r="G119" i="76"/>
  <c r="AG55" i="69"/>
  <c r="AE31" i="76"/>
  <c r="AE47" i="76" s="1" a="1"/>
  <c r="AE47" i="76" s="1"/>
  <c r="L68" i="69"/>
  <c r="L119" i="76"/>
  <c r="AD63" i="69"/>
  <c r="AB123" i="76"/>
  <c r="AC61" i="69"/>
  <c r="AA121" i="76"/>
  <c r="AG52" i="69"/>
  <c r="AE28" i="76"/>
  <c r="AE44" i="76" s="1" a="1"/>
  <c r="AE44" i="76" s="1"/>
  <c r="Z51" i="69"/>
  <c r="X27" i="76"/>
  <c r="X43" i="76" s="1" a="1"/>
  <c r="X43" i="76" s="1"/>
  <c r="AD60" i="69"/>
  <c r="AB120" i="76"/>
  <c r="AF65" i="69"/>
  <c r="AD125" i="76"/>
  <c r="Z69" i="69"/>
  <c r="X129" i="76"/>
  <c r="AF47" i="69"/>
  <c r="AD23" i="76"/>
  <c r="AD39" i="76" s="1" a="1"/>
  <c r="AD39" i="76" s="1"/>
  <c r="AE69" i="69"/>
  <c r="AC129" i="76"/>
  <c r="AG44" i="69"/>
  <c r="AE20" i="76"/>
  <c r="AE36" i="76" s="1" a="1"/>
  <c r="AE36" i="76" s="1"/>
  <c r="K71" i="69"/>
  <c r="K122" i="76"/>
  <c r="M69" i="69"/>
  <c r="M120" i="76"/>
  <c r="G69" i="69"/>
  <c r="G120" i="76"/>
  <c r="Y126" i="69"/>
  <c r="W175" i="76"/>
  <c r="M115" i="69"/>
  <c r="M153" i="76"/>
  <c r="AA120" i="69"/>
  <c r="Y169" i="76"/>
  <c r="AB119" i="69"/>
  <c r="Z168" i="76"/>
  <c r="Z122" i="69"/>
  <c r="X171" i="76"/>
  <c r="AD115" i="69"/>
  <c r="AB164" i="76"/>
  <c r="H116" i="69"/>
  <c r="H154" i="76"/>
  <c r="I118" i="69"/>
  <c r="I156" i="76"/>
  <c r="AE115" i="69"/>
  <c r="AC164" i="76"/>
  <c r="AD121" i="69"/>
  <c r="AB170" i="76"/>
  <c r="AB123" i="69"/>
  <c r="Z172" i="76"/>
  <c r="X124" i="69"/>
  <c r="V173" i="76"/>
  <c r="AB121" i="69"/>
  <c r="Z170" i="76"/>
  <c r="AA64" i="69"/>
  <c r="Y124" i="76"/>
  <c r="AA69" i="69"/>
  <c r="Y129" i="76"/>
  <c r="Z71" i="69"/>
  <c r="X131" i="76"/>
  <c r="Y55" i="69"/>
  <c r="W31" i="76"/>
  <c r="W47" i="76" s="1" a="1"/>
  <c r="W47" i="76" s="1"/>
  <c r="Y50" i="69"/>
  <c r="W26" i="76"/>
  <c r="W42" i="76" s="1" a="1"/>
  <c r="W42" i="76" s="1"/>
  <c r="AD67" i="69"/>
  <c r="AB127" i="76"/>
  <c r="AB67" i="69"/>
  <c r="Z127" i="76"/>
  <c r="F71" i="69"/>
  <c r="F122" i="76"/>
  <c r="AA70" i="69"/>
  <c r="Y130" i="76"/>
  <c r="AE50" i="69"/>
  <c r="AC26" i="76"/>
  <c r="AC42" i="76" s="1" a="1"/>
  <c r="AC42" i="76" s="1"/>
  <c r="AA45" i="69"/>
  <c r="Y21" i="76"/>
  <c r="Y37" i="76" s="1" a="1"/>
  <c r="Y37" i="76" s="1"/>
  <c r="E69" i="69"/>
  <c r="E120" i="76"/>
  <c r="AG65" i="69"/>
  <c r="AE125" i="76"/>
  <c r="Y45" i="69"/>
  <c r="W21" i="76"/>
  <c r="W37" i="76" s="1" a="1"/>
  <c r="W37" i="76" s="1"/>
  <c r="AB64" i="69"/>
  <c r="Z124" i="76"/>
  <c r="AA68" i="69"/>
  <c r="Y128" i="76"/>
  <c r="Y61" i="69"/>
  <c r="W121" i="76"/>
  <c r="Y52" i="69"/>
  <c r="W28" i="76"/>
  <c r="W44" i="76" s="1" a="1"/>
  <c r="W44" i="76" s="1"/>
  <c r="AE45" i="69"/>
  <c r="AC21" i="76"/>
  <c r="AC37" i="76" s="1" a="1"/>
  <c r="AC37" i="76" s="1"/>
  <c r="AE120" i="69"/>
  <c r="AC169" i="76"/>
  <c r="AD124" i="69"/>
  <c r="AB173" i="76"/>
  <c r="AE123" i="69"/>
  <c r="AC172" i="76"/>
  <c r="K115" i="69"/>
  <c r="K153" i="76"/>
  <c r="X125" i="69"/>
  <c r="V174" i="76"/>
  <c r="AE118" i="69"/>
  <c r="AC167" i="76"/>
  <c r="E116" i="69"/>
  <c r="E154" i="76"/>
  <c r="AF71" i="69"/>
  <c r="AD131" i="76"/>
  <c r="E115" i="69"/>
  <c r="E153" i="76"/>
  <c r="X120" i="69"/>
  <c r="V169" i="76"/>
  <c r="AE125" i="69"/>
  <c r="AC174" i="76"/>
  <c r="AE65" i="69"/>
  <c r="AC125" i="76"/>
  <c r="AE64" i="69"/>
  <c r="AC124" i="76"/>
  <c r="AB53" i="69"/>
  <c r="Z29" i="76"/>
  <c r="Z45" i="76" s="1" a="1"/>
  <c r="Z45" i="76" s="1"/>
  <c r="AB61" i="69"/>
  <c r="Z121" i="76"/>
  <c r="AG70" i="69"/>
  <c r="AE130" i="76"/>
  <c r="Z47" i="69"/>
  <c r="X23" i="76"/>
  <c r="X39" i="76" s="1" a="1"/>
  <c r="X39" i="76" s="1"/>
  <c r="X118" i="69"/>
  <c r="V167" i="76"/>
  <c r="K117" i="69"/>
  <c r="K155" i="76"/>
  <c r="L116" i="69"/>
  <c r="L154" i="76"/>
  <c r="AG115" i="69"/>
  <c r="AE164" i="76"/>
  <c r="G115" i="69"/>
  <c r="G153" i="76"/>
  <c r="AF118" i="69"/>
  <c r="AD167" i="76"/>
  <c r="AA116" i="69"/>
  <c r="Y165" i="76"/>
  <c r="Y118" i="69"/>
  <c r="W167" i="76"/>
  <c r="AA124" i="69"/>
  <c r="Y173" i="76"/>
  <c r="AF125" i="69"/>
  <c r="AD174" i="76"/>
  <c r="Z67" i="69"/>
  <c r="X127" i="76"/>
  <c r="AB62" i="69"/>
  <c r="Z122" i="76"/>
  <c r="AC62" i="69"/>
  <c r="AA122" i="76"/>
  <c r="AG46" i="69"/>
  <c r="AE22" i="76"/>
  <c r="AE38" i="76" s="1" a="1"/>
  <c r="AE38" i="76" s="1"/>
  <c r="AA71" i="69"/>
  <c r="Y131" i="76"/>
  <c r="AF53" i="69"/>
  <c r="AD29" i="76"/>
  <c r="AD45" i="76" s="1" a="1"/>
  <c r="AD45" i="76" s="1"/>
  <c r="Y48" i="69"/>
  <c r="W24" i="76"/>
  <c r="W40" i="76" s="1" a="1"/>
  <c r="W40" i="76" s="1"/>
  <c r="AE66" i="69"/>
  <c r="AC126" i="76"/>
  <c r="AC44" i="69"/>
  <c r="AA20" i="76"/>
  <c r="AA36" i="76" s="1" a="1"/>
  <c r="AA36" i="76" s="1"/>
  <c r="Y54" i="69"/>
  <c r="W30" i="76"/>
  <c r="W46" i="76" s="1" a="1"/>
  <c r="W46" i="76" s="1"/>
  <c r="AE70" i="69"/>
  <c r="AC130" i="76"/>
  <c r="J69" i="69"/>
  <c r="J120" i="76"/>
  <c r="AF68" i="69"/>
  <c r="AD128" i="76"/>
  <c r="AA51" i="69"/>
  <c r="Y27" i="76"/>
  <c r="Y43" i="76" s="1" a="1"/>
  <c r="Y43" i="76" s="1"/>
  <c r="Z68" i="69"/>
  <c r="X128" i="76"/>
  <c r="AA44" i="69"/>
  <c r="Y20" i="76"/>
  <c r="Y36" i="76" s="1" a="1"/>
  <c r="Y36" i="76" s="1"/>
  <c r="AD64" i="69"/>
  <c r="AB124" i="76"/>
  <c r="AF60" i="69"/>
  <c r="AD120" i="76"/>
  <c r="AF49" i="69"/>
  <c r="AD25" i="76"/>
  <c r="AD41" i="76" s="1" a="1"/>
  <c r="AD41" i="76" s="1"/>
  <c r="AD61" i="69"/>
  <c r="AB121" i="76"/>
  <c r="AG48" i="69"/>
  <c r="AE24" i="76"/>
  <c r="AE40" i="76" s="1" a="1"/>
  <c r="AE40" i="76" s="1"/>
  <c r="AF64" i="69"/>
  <c r="AD124" i="76"/>
  <c r="AF55" i="69"/>
  <c r="AD31" i="76"/>
  <c r="AD47" i="76" s="1" a="1"/>
  <c r="AD47" i="76" s="1"/>
  <c r="X48" i="69"/>
  <c r="V24" i="76"/>
  <c r="V40" i="76" s="1" a="1"/>
  <c r="V40" i="76" s="1"/>
  <c r="Y116" i="69"/>
  <c r="W165" i="76"/>
  <c r="AA115" i="69"/>
  <c r="Y164" i="76"/>
  <c r="AC123" i="69"/>
  <c r="AA172" i="76"/>
  <c r="G118" i="69"/>
  <c r="G156" i="76"/>
  <c r="Z123" i="69"/>
  <c r="X172" i="76"/>
  <c r="X116" i="69"/>
  <c r="V165" i="76"/>
  <c r="AA118" i="69"/>
  <c r="Y167" i="76"/>
  <c r="AD120" i="69"/>
  <c r="AB169" i="76"/>
  <c r="AG119" i="69"/>
  <c r="AE168" i="76"/>
  <c r="AD69" i="69"/>
  <c r="AB129" i="76"/>
  <c r="AF116" i="69"/>
  <c r="AD165" i="76"/>
  <c r="AB124" i="69"/>
  <c r="Z173" i="76"/>
  <c r="AE60" i="69"/>
  <c r="AC120" i="76"/>
  <c r="J71" i="69"/>
  <c r="J122" i="76"/>
  <c r="Y64" i="69"/>
  <c r="W124" i="76"/>
  <c r="X70" i="69"/>
  <c r="V130" i="76"/>
  <c r="I70" i="69"/>
  <c r="I121" i="76"/>
  <c r="K68" i="69"/>
  <c r="K119" i="76"/>
  <c r="J68" i="69"/>
  <c r="J119" i="76"/>
  <c r="X53" i="69"/>
  <c r="V29" i="76"/>
  <c r="V45" i="76" s="1" a="1"/>
  <c r="V45" i="76" s="1"/>
  <c r="AE71" i="69"/>
  <c r="AC131" i="76"/>
  <c r="AC53" i="69"/>
  <c r="AA29" i="76"/>
  <c r="AA45" i="76" s="1" a="1"/>
  <c r="AA45" i="76" s="1"/>
  <c r="G70" i="69"/>
  <c r="G121" i="76"/>
  <c r="AD55" i="69"/>
  <c r="AB31" i="76"/>
  <c r="AB47" i="76" s="1" a="1"/>
  <c r="AB47" i="76" s="1"/>
  <c r="Z61" i="69"/>
  <c r="X121" i="76"/>
  <c r="AG53" i="69"/>
  <c r="AG85" i="69" s="1" a="1"/>
  <c r="AG85" i="69" s="1"/>
  <c r="AE29" i="76"/>
  <c r="AE45" i="76" s="1" a="1"/>
  <c r="AE45" i="76" s="1"/>
  <c r="Z50" i="69"/>
  <c r="X26" i="76"/>
  <c r="X42" i="76" s="1" a="1"/>
  <c r="X42" i="76" s="1"/>
  <c r="AC47" i="69"/>
  <c r="AA23" i="76"/>
  <c r="AA39" i="76" s="1" a="1"/>
  <c r="AA39" i="76" s="1"/>
  <c r="Z65" i="69"/>
  <c r="X125" i="76"/>
  <c r="AD65" i="69"/>
  <c r="AB125" i="76"/>
  <c r="AF122" i="69"/>
  <c r="AD171" i="76"/>
  <c r="AB120" i="69"/>
  <c r="Z169" i="76"/>
  <c r="AF123" i="69"/>
  <c r="AD172" i="76"/>
  <c r="AF120" i="69"/>
  <c r="AD169" i="76"/>
  <c r="AG126" i="69"/>
  <c r="AE175" i="76"/>
  <c r="Y122" i="69"/>
  <c r="W171" i="76"/>
  <c r="X117" i="69"/>
  <c r="V166" i="76"/>
  <c r="AC116" i="69"/>
  <c r="AA165" i="76"/>
  <c r="I117" i="69"/>
  <c r="I155" i="76"/>
  <c r="AG123" i="69"/>
  <c r="AE172" i="76"/>
  <c r="Y53" i="69"/>
  <c r="W29" i="76"/>
  <c r="W45" i="76" s="1" a="1"/>
  <c r="W45" i="76" s="1"/>
  <c r="AB69" i="69"/>
  <c r="Z129" i="76"/>
  <c r="X64" i="69"/>
  <c r="V124" i="76"/>
  <c r="AD68" i="69"/>
  <c r="AB128" i="76"/>
  <c r="AE55" i="69"/>
  <c r="AC31" i="76"/>
  <c r="AC47" i="76" s="1" a="1"/>
  <c r="AC47" i="76" s="1"/>
  <c r="AF61" i="69"/>
  <c r="AD121" i="76"/>
  <c r="Z60" i="69"/>
  <c r="X120" i="76"/>
  <c r="AE63" i="69"/>
  <c r="AC123" i="76"/>
  <c r="X61" i="69"/>
  <c r="V121" i="76"/>
  <c r="Y66" i="69"/>
  <c r="W126" i="76"/>
  <c r="AA60" i="69"/>
  <c r="Y120" i="76"/>
  <c r="AE52" i="69"/>
  <c r="AE84" i="69" s="1" a="1"/>
  <c r="AE84" i="69" s="1"/>
  <c r="AC28" i="76"/>
  <c r="AC44" i="76" s="1" a="1"/>
  <c r="AC44" i="76" s="1"/>
  <c r="AG66" i="69"/>
  <c r="AE126" i="76"/>
  <c r="AG50" i="69"/>
  <c r="AE26" i="76"/>
  <c r="AE42" i="76" s="1" a="1"/>
  <c r="AE42" i="76" s="1"/>
  <c r="AE47" i="69"/>
  <c r="AE79" i="69" s="1" a="1"/>
  <c r="AE79" i="69" s="1"/>
  <c r="AC23" i="76"/>
  <c r="AC39" i="76" s="1" a="1"/>
  <c r="AC39" i="76" s="1"/>
  <c r="AE62" i="69"/>
  <c r="AC122" i="76"/>
  <c r="X54" i="69"/>
  <c r="V30" i="76"/>
  <c r="V46" i="76" s="1" a="1"/>
  <c r="V46" i="76" s="1"/>
  <c r="X71" i="69"/>
  <c r="V131" i="76"/>
  <c r="AF44" i="69"/>
  <c r="AD20" i="76"/>
  <c r="AD36" i="76" s="1" a="1"/>
  <c r="AD36" i="76" s="1"/>
  <c r="E68" i="69"/>
  <c r="E119" i="76"/>
  <c r="AA54" i="69"/>
  <c r="Y30" i="76"/>
  <c r="Y46" i="76" s="1" a="1"/>
  <c r="Y46" i="76" s="1"/>
  <c r="AC66" i="69"/>
  <c r="AA126" i="76"/>
  <c r="J115" i="69"/>
  <c r="J153" i="76"/>
  <c r="AE124" i="69"/>
  <c r="AC173" i="76"/>
  <c r="L118" i="69"/>
  <c r="L156" i="76"/>
  <c r="AG116" i="69"/>
  <c r="AE165" i="76"/>
  <c r="AA122" i="69"/>
  <c r="Y171" i="76"/>
  <c r="J118" i="69"/>
  <c r="J156" i="76"/>
  <c r="E117" i="69"/>
  <c r="E155" i="76"/>
  <c r="N116" i="69"/>
  <c r="N154" i="76"/>
  <c r="J116" i="69"/>
  <c r="J154" i="76"/>
  <c r="AE117" i="69"/>
  <c r="AC166" i="76"/>
  <c r="AD122" i="69"/>
  <c r="AB171" i="76"/>
  <c r="H117" i="69"/>
  <c r="H155" i="76"/>
  <c r="Y67" i="69"/>
  <c r="W127" i="76"/>
  <c r="AF45" i="69"/>
  <c r="AD21" i="76"/>
  <c r="AD37" i="76" s="1" a="1"/>
  <c r="AD37" i="76" s="1"/>
  <c r="Z44" i="69"/>
  <c r="X20" i="76"/>
  <c r="X36" i="76" s="1" a="1"/>
  <c r="X36" i="76" s="1"/>
  <c r="AD54" i="69"/>
  <c r="AB30" i="76"/>
  <c r="AB46" i="76" s="1" a="1"/>
  <c r="AB46" i="76" s="1"/>
  <c r="AC60" i="69"/>
  <c r="AA120" i="76"/>
  <c r="AB51" i="69"/>
  <c r="AB83" i="69" s="1" a="1"/>
  <c r="AB83" i="69" s="1"/>
  <c r="Z27" i="76"/>
  <c r="Z43" i="76" s="1" a="1"/>
  <c r="Z43" i="76" s="1"/>
  <c r="AA65" i="69"/>
  <c r="Y125" i="76"/>
  <c r="X62" i="69"/>
  <c r="V122" i="76"/>
  <c r="Y68" i="69"/>
  <c r="W128" i="76"/>
  <c r="AB70" i="69"/>
  <c r="Z130" i="76"/>
  <c r="AE48" i="69"/>
  <c r="AC24" i="76"/>
  <c r="AC40" i="76" s="1" a="1"/>
  <c r="AC40" i="76" s="1"/>
  <c r="Y70" i="69"/>
  <c r="W130" i="76"/>
  <c r="Z55" i="69"/>
  <c r="Z87" i="69" s="1" a="1"/>
  <c r="Z87" i="69" s="1"/>
  <c r="X31" i="76"/>
  <c r="X47" i="76" s="1" a="1"/>
  <c r="X47" i="76" s="1"/>
  <c r="X66" i="69"/>
  <c r="V126" i="76"/>
  <c r="X45" i="69"/>
  <c r="X77" i="69" s="1" a="1"/>
  <c r="X77" i="69" s="1"/>
  <c r="V21" i="76"/>
  <c r="V37" i="76" s="1" a="1"/>
  <c r="V37" i="76" s="1"/>
  <c r="AF63" i="69"/>
  <c r="AD123" i="76"/>
  <c r="AG68" i="69"/>
  <c r="AE128" i="76"/>
  <c r="Y44" i="69"/>
  <c r="W20" i="76"/>
  <c r="W36" i="76" s="1" a="1"/>
  <c r="W36" i="76" s="1"/>
  <c r="X63" i="69"/>
  <c r="V123" i="76"/>
  <c r="Y71" i="69"/>
  <c r="W131" i="76"/>
  <c r="AA119" i="69"/>
  <c r="Y168" i="76"/>
  <c r="X119" i="69"/>
  <c r="V168" i="76"/>
  <c r="Y117" i="69"/>
  <c r="W166" i="76"/>
  <c r="AD126" i="69"/>
  <c r="AB175" i="76"/>
  <c r="K118" i="69"/>
  <c r="K156" i="76"/>
  <c r="AA117" i="69"/>
  <c r="Y166" i="76"/>
  <c r="AG125" i="69"/>
  <c r="AE174" i="76"/>
  <c r="E118" i="69"/>
  <c r="E156" i="76"/>
  <c r="X122" i="69"/>
  <c r="V171" i="76"/>
  <c r="AD118" i="69"/>
  <c r="AB167" i="76"/>
  <c r="N115" i="69"/>
  <c r="N153" i="76"/>
  <c r="AD117" i="69"/>
  <c r="AB166" i="76"/>
  <c r="AG61" i="69"/>
  <c r="AE121" i="76"/>
  <c r="X44" i="69"/>
  <c r="V20" i="76"/>
  <c r="V36" i="76" s="1" a="1"/>
  <c r="V36" i="76" s="1"/>
  <c r="X52" i="69"/>
  <c r="V28" i="76"/>
  <c r="V44" i="76" s="1" a="1"/>
  <c r="V44" i="76" s="1"/>
  <c r="Y49" i="69"/>
  <c r="W25" i="76"/>
  <c r="W41" i="76" s="1" a="1"/>
  <c r="W41" i="76" s="1"/>
  <c r="AB45" i="69"/>
  <c r="AB77" i="69" s="1" a="1"/>
  <c r="AB77" i="69" s="1"/>
  <c r="Z21" i="76"/>
  <c r="Z37" i="76" s="1" a="1"/>
  <c r="Z37" i="76" s="1"/>
  <c r="AG45" i="69"/>
  <c r="AE21" i="76"/>
  <c r="AE37" i="76" s="1" a="1"/>
  <c r="AE37" i="76" s="1"/>
  <c r="J70" i="69"/>
  <c r="J121" i="76"/>
  <c r="N71" i="69"/>
  <c r="N122" i="76"/>
  <c r="AA47" i="69"/>
  <c r="Y23" i="76"/>
  <c r="Y39" i="76" s="1" a="1"/>
  <c r="Y39" i="76" s="1"/>
  <c r="X68" i="69"/>
  <c r="V128" i="76"/>
  <c r="AE67" i="69"/>
  <c r="AC127" i="76"/>
  <c r="AG47" i="69"/>
  <c r="AE23" i="76"/>
  <c r="AE39" i="76" s="1" a="1"/>
  <c r="AE39" i="76" s="1"/>
  <c r="AF66" i="69"/>
  <c r="AD126" i="76"/>
  <c r="X69" i="69"/>
  <c r="V129" i="76"/>
  <c r="AD116" i="69"/>
  <c r="AB165" i="76"/>
  <c r="AA123" i="69"/>
  <c r="Y172" i="76"/>
  <c r="AD125" i="69"/>
  <c r="AB174" i="76"/>
  <c r="M116" i="69"/>
  <c r="M154" i="76"/>
  <c r="Y123" i="69"/>
  <c r="W172" i="76"/>
  <c r="AB117" i="69"/>
  <c r="Z166" i="76"/>
  <c r="N118" i="69"/>
  <c r="N156" i="76"/>
  <c r="Y121" i="69"/>
  <c r="W170" i="76"/>
  <c r="AG117" i="69"/>
  <c r="AE166" i="76"/>
  <c r="AG122" i="69"/>
  <c r="AE171" i="76"/>
  <c r="Z116" i="69"/>
  <c r="X165" i="76"/>
  <c r="AB68" i="69"/>
  <c r="Z128" i="76"/>
  <c r="AG121" i="69"/>
  <c r="AE170" i="76"/>
  <c r="Y69" i="69"/>
  <c r="W129" i="76"/>
  <c r="X50" i="69"/>
  <c r="V26" i="76"/>
  <c r="V42" i="76" s="1" a="1"/>
  <c r="V42" i="76" s="1"/>
  <c r="N68" i="69"/>
  <c r="N119" i="76"/>
  <c r="AB66" i="69"/>
  <c r="Z126" i="76"/>
  <c r="Z53" i="69"/>
  <c r="X29" i="76"/>
  <c r="X45" i="76" s="1" a="1"/>
  <c r="X45" i="76" s="1"/>
  <c r="E70" i="69"/>
  <c r="E121" i="76"/>
  <c r="AG64" i="69"/>
  <c r="AE124" i="76"/>
  <c r="AA48" i="69"/>
  <c r="AA80" i="69" s="1" a="1"/>
  <c r="AA80" i="69" s="1"/>
  <c r="Y24" i="76"/>
  <c r="Y40" i="76" s="1" a="1"/>
  <c r="Y40" i="76" s="1"/>
  <c r="AE54" i="69"/>
  <c r="AC30" i="76"/>
  <c r="AC46" i="76" s="1" a="1"/>
  <c r="AC46" i="76" s="1"/>
  <c r="L71" i="69"/>
  <c r="L122" i="76"/>
  <c r="X65" i="69"/>
  <c r="V125" i="76"/>
  <c r="X51" i="69"/>
  <c r="X83" i="69" s="1" a="1"/>
  <c r="X83" i="69" s="1"/>
  <c r="V27" i="76"/>
  <c r="V43" i="76" s="1" a="1"/>
  <c r="V43" i="76" s="1"/>
  <c r="AA49" i="69"/>
  <c r="Y25" i="76"/>
  <c r="Y41" i="76" s="1" a="1"/>
  <c r="Y41" i="76" s="1"/>
  <c r="AA62" i="69"/>
  <c r="Y122" i="76"/>
  <c r="AF52" i="69"/>
  <c r="AD28" i="76"/>
  <c r="AD44" i="76" s="1" a="1"/>
  <c r="AD44" i="76" s="1"/>
  <c r="AC52" i="69"/>
  <c r="AA28" i="76"/>
  <c r="AA44" i="76" s="1" a="1"/>
  <c r="AA44" i="76" s="1"/>
  <c r="AB44" i="69"/>
  <c r="Z20" i="76"/>
  <c r="Z36" i="76" s="1" a="1"/>
  <c r="Z36" i="76" s="1"/>
  <c r="AD66" i="69"/>
  <c r="AB126" i="76"/>
  <c r="AC65" i="69"/>
  <c r="AA125" i="76"/>
  <c r="AC54" i="69"/>
  <c r="AA30" i="76"/>
  <c r="AA46" i="76" s="1" a="1"/>
  <c r="AA46" i="76" s="1"/>
  <c r="AD45" i="69"/>
  <c r="AB21" i="76"/>
  <c r="AB37" i="76" s="1" a="1"/>
  <c r="AB37" i="76" s="1"/>
  <c r="K70" i="69"/>
  <c r="K121" i="76"/>
  <c r="N70" i="69"/>
  <c r="N121" i="76"/>
  <c r="Z48" i="69"/>
  <c r="X24" i="76"/>
  <c r="X40" i="76" s="1" a="1"/>
  <c r="X40" i="76" s="1"/>
  <c r="Z66" i="69"/>
  <c r="X126" i="76"/>
  <c r="M70" i="69"/>
  <c r="M121" i="76"/>
  <c r="N117" i="69"/>
  <c r="N155" i="76"/>
  <c r="L117" i="69"/>
  <c r="L155" i="76"/>
  <c r="AE122" i="69"/>
  <c r="AC171" i="76"/>
  <c r="AC125" i="69"/>
  <c r="AA174" i="76"/>
  <c r="F116" i="69"/>
  <c r="F154" i="76"/>
  <c r="AG118" i="69"/>
  <c r="AE167" i="76"/>
  <c r="Z119" i="69"/>
  <c r="X168" i="76"/>
  <c r="AF119" i="69"/>
  <c r="AD168" i="76"/>
  <c r="AE116" i="69"/>
  <c r="AC165" i="76"/>
  <c r="X123" i="69"/>
  <c r="V172" i="76"/>
  <c r="AC120" i="69"/>
  <c r="AA169" i="76"/>
  <c r="Z126" i="69"/>
  <c r="X175" i="76"/>
  <c r="L52" i="69"/>
  <c r="L20" i="76"/>
  <c r="L33" i="76" s="1" a="1"/>
  <c r="L33" i="76" s="1"/>
  <c r="J55" i="69"/>
  <c r="J23" i="76"/>
  <c r="J36" i="76" s="1" a="1"/>
  <c r="J36" i="76" s="1"/>
  <c r="AC46" i="69"/>
  <c r="K54" i="69"/>
  <c r="K22" i="76"/>
  <c r="K35" i="76" s="1" a="1"/>
  <c r="K35" i="76" s="1"/>
  <c r="E55" i="69"/>
  <c r="E23" i="76"/>
  <c r="E36" i="76" s="1" a="1"/>
  <c r="E36" i="76" s="1"/>
  <c r="I54" i="69"/>
  <c r="I22" i="76"/>
  <c r="I35" i="76" s="1" a="1"/>
  <c r="I35" i="76" s="1"/>
  <c r="N54" i="69"/>
  <c r="N22" i="76"/>
  <c r="N35" i="76" s="1" a="1"/>
  <c r="N35" i="76" s="1"/>
  <c r="I52" i="69"/>
  <c r="I20" i="76"/>
  <c r="I33" i="76" s="1" a="1"/>
  <c r="I33" i="76" s="1"/>
  <c r="N52" i="69"/>
  <c r="N20" i="76"/>
  <c r="N33" i="76" s="1" a="1"/>
  <c r="N33" i="76" s="1"/>
  <c r="Z46" i="69"/>
  <c r="K52" i="69"/>
  <c r="K20" i="76"/>
  <c r="K33" i="76" s="1" a="1"/>
  <c r="K33" i="76" s="1"/>
  <c r="F55" i="69"/>
  <c r="F23" i="76"/>
  <c r="F36" i="76" s="1" a="1"/>
  <c r="F36" i="76" s="1"/>
  <c r="I53" i="69"/>
  <c r="I21" i="76"/>
  <c r="I34" i="76" s="1" a="1"/>
  <c r="I34" i="76" s="1"/>
  <c r="H52" i="69"/>
  <c r="H20" i="76"/>
  <c r="H33" i="76" s="1" a="1"/>
  <c r="H33" i="76" s="1"/>
  <c r="N55" i="69"/>
  <c r="N23" i="76"/>
  <c r="N36" i="76" s="1" a="1"/>
  <c r="N36" i="76" s="1"/>
  <c r="G55" i="69"/>
  <c r="G23" i="76"/>
  <c r="G36" i="76" s="1" a="1"/>
  <c r="G36" i="76" s="1"/>
  <c r="K53" i="69"/>
  <c r="K21" i="76"/>
  <c r="K34" i="76" s="1" a="1"/>
  <c r="K34" i="76" s="1"/>
  <c r="M55" i="69"/>
  <c r="M23" i="76"/>
  <c r="M36" i="76" s="1" a="1"/>
  <c r="M36" i="76" s="1"/>
  <c r="AE46" i="69"/>
  <c r="AE78" i="69" s="1" a="1"/>
  <c r="AE78" i="69" s="1"/>
  <c r="E52" i="69"/>
  <c r="E20" i="76"/>
  <c r="E33" i="76" s="1" a="1"/>
  <c r="E33" i="76" s="1"/>
  <c r="L55" i="69"/>
  <c r="L23" i="76"/>
  <c r="L36" i="76" s="1" a="1"/>
  <c r="L36" i="76" s="1"/>
  <c r="F53" i="69"/>
  <c r="F21" i="76"/>
  <c r="F34" i="76" s="1" a="1"/>
  <c r="F34" i="76" s="1"/>
  <c r="E54" i="69"/>
  <c r="E22" i="76"/>
  <c r="E35" i="76" s="1" a="1"/>
  <c r="E35" i="76" s="1"/>
  <c r="J54" i="69"/>
  <c r="J22" i="76"/>
  <c r="J35" i="76" s="1" a="1"/>
  <c r="J35" i="76" s="1"/>
  <c r="AA46" i="69"/>
  <c r="AA78" i="69" s="1" a="1"/>
  <c r="AA78" i="69" s="1"/>
  <c r="H54" i="69"/>
  <c r="H22" i="76"/>
  <c r="H35" i="76" s="1" a="1"/>
  <c r="H35" i="76" s="1"/>
  <c r="I55" i="69"/>
  <c r="I23" i="76"/>
  <c r="I36" i="76" s="1" a="1"/>
  <c r="I36" i="76" s="1"/>
  <c r="F52" i="69"/>
  <c r="F20" i="76"/>
  <c r="F33" i="76" s="1" a="1"/>
  <c r="F33" i="76" s="1"/>
  <c r="L54" i="69"/>
  <c r="L22" i="76"/>
  <c r="L35" i="76" s="1" a="1"/>
  <c r="L35" i="76" s="1"/>
  <c r="M52" i="69"/>
  <c r="M20" i="76"/>
  <c r="M33" i="76" s="1" a="1"/>
  <c r="M33" i="76" s="1"/>
  <c r="G53" i="69"/>
  <c r="G21" i="76"/>
  <c r="G34" i="76" s="1" a="1"/>
  <c r="G34" i="76" s="1"/>
  <c r="E53" i="69"/>
  <c r="E21" i="76"/>
  <c r="E34" i="76" s="1" a="1"/>
  <c r="E34" i="76" s="1"/>
  <c r="J52" i="69"/>
  <c r="J20" i="76"/>
  <c r="J33" i="76" s="1" a="1"/>
  <c r="J33" i="76" s="1"/>
  <c r="H55" i="69"/>
  <c r="H23" i="76"/>
  <c r="H36" i="76" s="1" a="1"/>
  <c r="H36" i="76" s="1"/>
  <c r="X46" i="69"/>
  <c r="Y46" i="69"/>
  <c r="M53" i="69"/>
  <c r="M21" i="76"/>
  <c r="M34" i="76" s="1" a="1"/>
  <c r="M34" i="76" s="1"/>
  <c r="N53" i="69"/>
  <c r="N21" i="76"/>
  <c r="N34" i="76" s="1" a="1"/>
  <c r="N34" i="76" s="1"/>
  <c r="G54" i="69"/>
  <c r="G22" i="76"/>
  <c r="G35" i="76" s="1" a="1"/>
  <c r="G35" i="76" s="1"/>
  <c r="L53" i="69"/>
  <c r="L21" i="76"/>
  <c r="L34" i="76" s="1" a="1"/>
  <c r="L34" i="76" s="1"/>
  <c r="AB46" i="69"/>
  <c r="AB78" i="69" s="1" a="1"/>
  <c r="AB78" i="69" s="1"/>
  <c r="AD46" i="69"/>
  <c r="M54" i="69"/>
  <c r="M22" i="76"/>
  <c r="M35" i="76" s="1" a="1"/>
  <c r="M35" i="76" s="1"/>
  <c r="G52" i="69"/>
  <c r="G20" i="76"/>
  <c r="G33" i="76" s="1" a="1"/>
  <c r="G33" i="76" s="1"/>
  <c r="F54" i="69"/>
  <c r="F22" i="76"/>
  <c r="F35" i="76" s="1" a="1"/>
  <c r="F35" i="76" s="1"/>
  <c r="AF46" i="69"/>
  <c r="J53" i="69"/>
  <c r="J21" i="76"/>
  <c r="J34" i="76" s="1" a="1"/>
  <c r="J34" i="76" s="1"/>
  <c r="K55" i="69"/>
  <c r="K23" i="76"/>
  <c r="K36" i="76" s="1" a="1"/>
  <c r="K36" i="76" s="1"/>
  <c r="H53" i="69"/>
  <c r="H21" i="76"/>
  <c r="H34" i="76" s="1" a="1"/>
  <c r="H34" i="76" s="1"/>
  <c r="AD78" i="69" l="1" a="1"/>
  <c r="AD78" i="69" s="1"/>
  <c r="AC78" i="69" a="1"/>
  <c r="AC78" i="69" s="1"/>
  <c r="AC86" i="69" a="1"/>
  <c r="AC86" i="69" s="1"/>
  <c r="AC141" i="69" s="1" a="1"/>
  <c r="AC141" i="69" s="1"/>
  <c r="AD199" i="69" s="1" a="1"/>
  <c r="AD199" i="69" s="1"/>
  <c r="AD273" i="69" s="1" a="1"/>
  <c r="AD273" i="69" s="1"/>
  <c r="AG79" i="69" a="1"/>
  <c r="AG79" i="69" s="1"/>
  <c r="AA76" i="69" a="1"/>
  <c r="AA76" i="69" s="1"/>
  <c r="AA131" i="69" s="1" a="1"/>
  <c r="AA131" i="69" s="1"/>
  <c r="AB86" i="69" a="1"/>
  <c r="AB86" i="69" s="1"/>
  <c r="AB141" i="69" s="1" a="1"/>
  <c r="AB141" i="69" s="1"/>
  <c r="AC187" i="69" s="1" a="1"/>
  <c r="AC187" i="69" s="1"/>
  <c r="AC261" i="69" s="1" a="1"/>
  <c r="AC261" i="69" s="1"/>
  <c r="AG80" i="69" a="1"/>
  <c r="AG80" i="69" s="1"/>
  <c r="AE87" i="69" a="1"/>
  <c r="AE87" i="69" s="1"/>
  <c r="AE142" i="69" s="1" a="1"/>
  <c r="AE142" i="69" s="1"/>
  <c r="AF200" i="69" s="1" a="1"/>
  <c r="AF200" i="69" s="1"/>
  <c r="AF274" i="69" s="1" a="1"/>
  <c r="AF274" i="69" s="1"/>
  <c r="Y79" i="69" a="1"/>
  <c r="Y79" i="69" s="1"/>
  <c r="W59" i="76" s="1"/>
  <c r="Y78" i="69" a="1"/>
  <c r="Y78" i="69" s="1"/>
  <c r="Y133" i="69" s="1" a="1"/>
  <c r="Y133" i="69" s="1"/>
  <c r="Z179" i="69" s="1" a="1"/>
  <c r="Z179" i="69" s="1"/>
  <c r="Z253" i="69" s="1" a="1"/>
  <c r="Z253" i="69" s="1"/>
  <c r="AD86" i="69" a="1"/>
  <c r="AD86" i="69" s="1"/>
  <c r="AD141" i="69" s="1" a="1"/>
  <c r="AD141" i="69" s="1"/>
  <c r="AE199" i="69" s="1" a="1"/>
  <c r="AE199" i="69" s="1"/>
  <c r="AE273" i="69" s="1" a="1"/>
  <c r="AE273" i="69" s="1"/>
  <c r="AA77" i="69" a="1"/>
  <c r="AA77" i="69" s="1"/>
  <c r="AC83" i="69" a="1"/>
  <c r="AC83" i="69" s="1"/>
  <c r="AC138" i="69" s="1" a="1"/>
  <c r="AC138" i="69" s="1"/>
  <c r="AD196" i="69" s="1" a="1"/>
  <c r="AD196" i="69" s="1"/>
  <c r="AD270" i="69" s="1" a="1"/>
  <c r="AD270" i="69" s="1"/>
  <c r="Z86" i="69" a="1"/>
  <c r="Z86" i="69" s="1"/>
  <c r="AC80" i="69" a="1"/>
  <c r="AC80" i="69" s="1"/>
  <c r="AG83" i="69" a="1"/>
  <c r="AG83" i="69" s="1"/>
  <c r="AG138" i="69" s="1" a="1"/>
  <c r="AG138" i="69" s="1"/>
  <c r="AH184" i="69" s="1" a="1"/>
  <c r="AH184" i="69" s="1"/>
  <c r="AH258" i="69" s="1" a="1"/>
  <c r="AH258" i="69" s="1"/>
  <c r="AA82" i="69" a="1"/>
  <c r="AA82" i="69" s="1"/>
  <c r="AB85" i="69" a="1"/>
  <c r="AB85" i="69" s="1"/>
  <c r="AB140" i="69" s="1" a="1"/>
  <c r="AB140" i="69" s="1"/>
  <c r="AC186" i="69" s="1" a="1"/>
  <c r="AC186" i="69" s="1"/>
  <c r="AC260" i="69" s="1" a="1"/>
  <c r="AC260" i="69" s="1"/>
  <c r="Y87" i="69" a="1"/>
  <c r="Y87" i="69" s="1"/>
  <c r="W67" i="76" s="1"/>
  <c r="AF86" i="69" a="1"/>
  <c r="AF86" i="69" s="1"/>
  <c r="AF141" i="69" s="1" a="1"/>
  <c r="AF141" i="69" s="1"/>
  <c r="AF84" i="69" a="1"/>
  <c r="AF84" i="69" s="1"/>
  <c r="AF139" i="69" s="1" a="1"/>
  <c r="AF139" i="69" s="1"/>
  <c r="AG197" i="69" s="1" a="1"/>
  <c r="AG197" i="69" s="1"/>
  <c r="AG271" i="69" s="1" a="1"/>
  <c r="AG271" i="69" s="1"/>
  <c r="Y76" i="69" a="1"/>
  <c r="Y76" i="69" s="1"/>
  <c r="Y131" i="69" s="1" a="1"/>
  <c r="Y131" i="69" s="1"/>
  <c r="Z189" i="69" s="1" a="1"/>
  <c r="Z189" i="69" s="1"/>
  <c r="Z263" i="69" s="1" a="1"/>
  <c r="Z263" i="69" s="1"/>
  <c r="Z83" i="69" a="1"/>
  <c r="Z83" i="69" s="1"/>
  <c r="Z138" i="69" s="1" a="1"/>
  <c r="Z138" i="69" s="1"/>
  <c r="AA184" i="69" s="1" a="1"/>
  <c r="AA184" i="69" s="1"/>
  <c r="AA258" i="69" s="1" a="1"/>
  <c r="AA258" i="69" s="1"/>
  <c r="AA79" i="69" a="1"/>
  <c r="AA79" i="69" s="1"/>
  <c r="Y59" i="76" s="1"/>
  <c r="AD87" i="69" a="1"/>
  <c r="AD87" i="69" s="1"/>
  <c r="AD142" i="69" s="1" a="1"/>
  <c r="AD142" i="69" s="1"/>
  <c r="AE188" i="69" s="1" a="1"/>
  <c r="AE188" i="69" s="1"/>
  <c r="AE262" i="69" s="1" a="1"/>
  <c r="AE262" i="69" s="1"/>
  <c r="AF78" i="69" a="1"/>
  <c r="AF78" i="69" s="1"/>
  <c r="AD58" i="76" s="1"/>
  <c r="AF80" i="69" a="1"/>
  <c r="AF80" i="69" s="1"/>
  <c r="X78" i="69" a="1"/>
  <c r="X78" i="69" s="1"/>
  <c r="X133" i="69" s="1" a="1"/>
  <c r="X133" i="69" s="1"/>
  <c r="Y191" i="69" s="1" a="1"/>
  <c r="Y191" i="69" s="1"/>
  <c r="Y265" i="69" s="1" a="1"/>
  <c r="Y265" i="69" s="1"/>
  <c r="AA81" i="69" a="1"/>
  <c r="AA81" i="69" s="1"/>
  <c r="AA136" i="69" s="1" a="1"/>
  <c r="AA136" i="69" s="1"/>
  <c r="AF77" i="69" a="1"/>
  <c r="AF77" i="69" s="1"/>
  <c r="Z82" i="69" a="1"/>
  <c r="Z82" i="69" s="1"/>
  <c r="AC76" i="69" a="1"/>
  <c r="AC76" i="69" s="1"/>
  <c r="AC131" i="69" s="1" a="1"/>
  <c r="AC131" i="69" s="1"/>
  <c r="AD177" i="69" s="1" a="1"/>
  <c r="AD177" i="69" s="1"/>
  <c r="AD251" i="69" s="1" a="1"/>
  <c r="AD251" i="69" s="1"/>
  <c r="AB82" i="69" a="1"/>
  <c r="AB82" i="69" s="1"/>
  <c r="Z62" i="76" s="1"/>
  <c r="AA87" i="69" a="1"/>
  <c r="AA87" i="69" s="1"/>
  <c r="AA142" i="69" s="1" a="1"/>
  <c r="AA142" i="69" s="1"/>
  <c r="AD84" i="69" a="1"/>
  <c r="AD84" i="69" s="1"/>
  <c r="AD139" i="69" s="1" a="1"/>
  <c r="AD139" i="69" s="1"/>
  <c r="Y81" i="69" a="1"/>
  <c r="Y81" i="69" s="1"/>
  <c r="Y136" i="69" s="1" a="1"/>
  <c r="Y136" i="69" s="1"/>
  <c r="Z194" i="69" s="1" a="1"/>
  <c r="Z194" i="69" s="1"/>
  <c r="Z268" i="69" s="1" a="1"/>
  <c r="Z268" i="69" s="1"/>
  <c r="X86" i="69" a="1"/>
  <c r="X86" i="69" s="1"/>
  <c r="X141" i="69" s="1" a="1"/>
  <c r="X141" i="69" s="1"/>
  <c r="Y199" i="69" s="1" a="1"/>
  <c r="Y199" i="69" s="1"/>
  <c r="Y273" i="69" s="1" a="1"/>
  <c r="Y273" i="69" s="1"/>
  <c r="AA84" i="69" a="1"/>
  <c r="AA84" i="69" s="1"/>
  <c r="Y64" i="76" s="1"/>
  <c r="AG78" i="69" a="1"/>
  <c r="AG78" i="69" s="1"/>
  <c r="AG133" i="69" s="1" a="1"/>
  <c r="AG133" i="69" s="1"/>
  <c r="AH191" i="69" s="1" a="1"/>
  <c r="AH191" i="69" s="1"/>
  <c r="AH265" i="69" s="1" a="1"/>
  <c r="AH265" i="69" s="1"/>
  <c r="Z79" i="69" a="1"/>
  <c r="Z79" i="69" s="1"/>
  <c r="AG87" i="69" a="1"/>
  <c r="AG87" i="69" s="1"/>
  <c r="AG142" i="69" s="1" a="1"/>
  <c r="AG142" i="69" s="1"/>
  <c r="AH188" i="69" s="1" a="1"/>
  <c r="AH188" i="69" s="1"/>
  <c r="AH262" i="69" s="1" a="1"/>
  <c r="AH262" i="69" s="1"/>
  <c r="AD82" i="69" a="1"/>
  <c r="AD82" i="69" s="1"/>
  <c r="AB62" i="76" s="1"/>
  <c r="AC81" i="69" a="1"/>
  <c r="AC81" i="69" s="1"/>
  <c r="AC136" i="69" s="1" a="1"/>
  <c r="AC136" i="69" s="1"/>
  <c r="AD194" i="69" s="1" a="1"/>
  <c r="AD194" i="69" s="1"/>
  <c r="AD268" i="69" s="1" a="1"/>
  <c r="AD268" i="69" s="1"/>
  <c r="AD81" i="69" a="1"/>
  <c r="AD81" i="69" s="1"/>
  <c r="AB61" i="76" s="1"/>
  <c r="AF83" i="69" a="1"/>
  <c r="AF83" i="69" s="1"/>
  <c r="AD63" i="76" s="1"/>
  <c r="AE80" i="69" a="1"/>
  <c r="AE80" i="69" s="1"/>
  <c r="AE135" i="69" s="1" a="1"/>
  <c r="AE135" i="69" s="1"/>
  <c r="AC85" i="69" a="1"/>
  <c r="AC85" i="69" s="1"/>
  <c r="AA65" i="76" s="1"/>
  <c r="AD77" i="69" a="1"/>
  <c r="AD77" i="69" s="1"/>
  <c r="AD132" i="69" s="1" a="1"/>
  <c r="AD132" i="69" s="1"/>
  <c r="AE190" i="69" s="1" a="1"/>
  <c r="AE190" i="69" s="1"/>
  <c r="AE264" i="69" s="1" a="1"/>
  <c r="AE264" i="69" s="1"/>
  <c r="AC79" i="69" a="1"/>
  <c r="AC79" i="69" s="1"/>
  <c r="AA59" i="76" s="1"/>
  <c r="AB84" i="69" a="1"/>
  <c r="AB84" i="69" s="1"/>
  <c r="Z64" i="76" s="1"/>
  <c r="Z78" i="69" a="1"/>
  <c r="Z78" i="69" s="1"/>
  <c r="Z133" i="69" s="1" a="1"/>
  <c r="Z133" i="69" s="1"/>
  <c r="AA179" i="69" s="1" a="1"/>
  <c r="AA179" i="69" s="1"/>
  <c r="AA253" i="69" s="1" a="1"/>
  <c r="AA253" i="69" s="1"/>
  <c r="Z85" i="69" a="1"/>
  <c r="Z85" i="69" s="1"/>
  <c r="Z140" i="69" s="1" a="1"/>
  <c r="Z140" i="69" s="1"/>
  <c r="AA186" i="69" s="1" a="1"/>
  <c r="AA186" i="69" s="1"/>
  <c r="AA260" i="69" s="1" a="1"/>
  <c r="AA260" i="69" s="1"/>
  <c r="AA86" i="69" a="1"/>
  <c r="AA86" i="69" s="1"/>
  <c r="AA141" i="69" s="1" a="1"/>
  <c r="AA141" i="69" s="1"/>
  <c r="AB199" i="69" s="1" a="1"/>
  <c r="AB199" i="69" s="1"/>
  <c r="AB273" i="69" s="1" a="1"/>
  <c r="AB273" i="69" s="1"/>
  <c r="AG82" i="69" a="1"/>
  <c r="AG82" i="69" s="1"/>
  <c r="AG137" i="69" s="1" a="1"/>
  <c r="AG137" i="69" s="1"/>
  <c r="AE77" i="69" a="1"/>
  <c r="AE77" i="69" s="1"/>
  <c r="AE132" i="69" s="1" a="1"/>
  <c r="AE132" i="69" s="1"/>
  <c r="Y82" i="69" a="1"/>
  <c r="Y82" i="69" s="1"/>
  <c r="Y137" i="69" s="1" a="1"/>
  <c r="Y137" i="69" s="1"/>
  <c r="Z195" i="69" s="1" a="1"/>
  <c r="Z195" i="69" s="1"/>
  <c r="Z269" i="69" s="1" a="1"/>
  <c r="Z269" i="69" s="1"/>
  <c r="AG76" i="69" a="1"/>
  <c r="AG76" i="69" s="1"/>
  <c r="AE56" i="76" s="1"/>
  <c r="AG84" i="69" a="1"/>
  <c r="AG84" i="69" s="1"/>
  <c r="AG139" i="69" s="1" a="1"/>
  <c r="AG139" i="69" s="1"/>
  <c r="AH185" i="69" s="1" a="1"/>
  <c r="AH185" i="69" s="1"/>
  <c r="AH259" i="69" s="1" a="1"/>
  <c r="AH259" i="69" s="1"/>
  <c r="AC77" i="69" a="1"/>
  <c r="AC77" i="69" s="1"/>
  <c r="AA57" i="76" s="1"/>
  <c r="AB87" i="69" a="1"/>
  <c r="AB87" i="69" s="1"/>
  <c r="Z67" i="76" s="1"/>
  <c r="AD85" i="69" a="1"/>
  <c r="AD85" i="69" s="1"/>
  <c r="AD140" i="69" s="1" a="1"/>
  <c r="AD140" i="69" s="1"/>
  <c r="AE186" i="69" s="1" a="1"/>
  <c r="AE186" i="69" s="1"/>
  <c r="AE260" i="69" s="1" a="1"/>
  <c r="AE260" i="69" s="1"/>
  <c r="X85" i="69" a="1"/>
  <c r="X85" i="69" s="1"/>
  <c r="X140" i="69" s="1" a="1"/>
  <c r="X140" i="69" s="1"/>
  <c r="AF87" i="69" a="1"/>
  <c r="AF87" i="69" s="1"/>
  <c r="AD67" i="76" s="1"/>
  <c r="AA83" i="69" a="1"/>
  <c r="AA83" i="69" s="1"/>
  <c r="Y63" i="76" s="1"/>
  <c r="Z81" i="69" a="1"/>
  <c r="Z81" i="69" s="1"/>
  <c r="Z136" i="69" s="1" a="1"/>
  <c r="Z136" i="69" s="1"/>
  <c r="AA194" i="69" s="1" a="1"/>
  <c r="AA194" i="69" s="1"/>
  <c r="AA268" i="69" s="1" a="1"/>
  <c r="AA268" i="69" s="1"/>
  <c r="Z77" i="69" a="1"/>
  <c r="Z77" i="69" s="1"/>
  <c r="Z132" i="69" s="1" a="1"/>
  <c r="Z132" i="69" s="1"/>
  <c r="X87" i="69" a="1"/>
  <c r="X87" i="69" s="1"/>
  <c r="X142" i="69" s="1" a="1"/>
  <c r="X142" i="69" s="1"/>
  <c r="Y200" i="69" s="1" a="1"/>
  <c r="Y200" i="69" s="1"/>
  <c r="Y274" i="69" s="1" a="1"/>
  <c r="Y274" i="69" s="1"/>
  <c r="AG81" i="69" a="1"/>
  <c r="AG81" i="69" s="1"/>
  <c r="AG136" i="69" s="1" a="1"/>
  <c r="AG136" i="69" s="1"/>
  <c r="AH182" i="69" s="1" a="1"/>
  <c r="AH182" i="69" s="1"/>
  <c r="AH256" i="69" s="1" a="1"/>
  <c r="AH256" i="69" s="1"/>
  <c r="AD83" i="69" a="1"/>
  <c r="AD83" i="69" s="1"/>
  <c r="AD138" i="69" s="1" a="1"/>
  <c r="AD138" i="69" s="1"/>
  <c r="AE184" i="69" s="1" a="1"/>
  <c r="AE184" i="69" s="1"/>
  <c r="AE258" i="69" s="1" a="1"/>
  <c r="AE258" i="69" s="1"/>
  <c r="X84" i="69" a="1"/>
  <c r="X84" i="69" s="1"/>
  <c r="Y80" i="69" a="1"/>
  <c r="Y80" i="69" s="1"/>
  <c r="Y135" i="69" s="1" a="1"/>
  <c r="Y135" i="69" s="1"/>
  <c r="Z193" i="69" s="1" a="1"/>
  <c r="Z193" i="69" s="1"/>
  <c r="Z267" i="69" s="1" a="1"/>
  <c r="Z267" i="69" s="1"/>
  <c r="Y84" i="69" a="1"/>
  <c r="Y84" i="69" s="1"/>
  <c r="Y139" i="69" s="1" a="1"/>
  <c r="Y139" i="69" s="1"/>
  <c r="Z197" i="69" s="1" a="1"/>
  <c r="Z197" i="69" s="1"/>
  <c r="Z271" i="69" s="1" a="1"/>
  <c r="Z271" i="69" s="1"/>
  <c r="X81" i="69" a="1"/>
  <c r="X81" i="69" s="1"/>
  <c r="V61" i="76" s="1"/>
  <c r="Z80" i="69" a="1"/>
  <c r="Z80" i="69" s="1"/>
  <c r="X60" i="76" s="1"/>
  <c r="AB76" i="69" a="1"/>
  <c r="AB76" i="69" s="1"/>
  <c r="Z56" i="76" s="1"/>
  <c r="X76" i="69" a="1"/>
  <c r="X76" i="69" s="1"/>
  <c r="V56" i="76" s="1"/>
  <c r="AF76" i="69" a="1"/>
  <c r="AF76" i="69" s="1"/>
  <c r="AF131" i="69" s="1" a="1"/>
  <c r="AF131" i="69" s="1"/>
  <c r="AG177" i="69" s="1" a="1"/>
  <c r="AG177" i="69" s="1"/>
  <c r="AG251" i="69" s="1" a="1"/>
  <c r="AG251" i="69" s="1"/>
  <c r="AF85" i="69" a="1"/>
  <c r="AF85" i="69" s="1"/>
  <c r="AD65" i="76" s="1"/>
  <c r="AE82" i="69" a="1"/>
  <c r="AE82" i="69" s="1"/>
  <c r="AE137" i="69" s="1" a="1"/>
  <c r="AE137" i="69" s="1"/>
  <c r="AF195" i="69" s="1" a="1"/>
  <c r="AF195" i="69" s="1"/>
  <c r="AF269" i="69" s="1" a="1"/>
  <c r="AF269" i="69" s="1"/>
  <c r="AF79" i="69" a="1"/>
  <c r="AF79" i="69" s="1"/>
  <c r="AD59" i="76" s="1"/>
  <c r="AD76" i="69" a="1"/>
  <c r="AD76" i="69" s="1"/>
  <c r="AB56" i="76" s="1"/>
  <c r="Z84" i="69" a="1"/>
  <c r="Z84" i="69" s="1"/>
  <c r="Z139" i="69" s="1" a="1"/>
  <c r="Z139" i="69" s="1"/>
  <c r="AA185" i="69" s="1" a="1"/>
  <c r="AA185" i="69" s="1"/>
  <c r="AA259" i="69" s="1" a="1"/>
  <c r="AA259" i="69" s="1"/>
  <c r="AD80" i="69" a="1"/>
  <c r="AD80" i="69" s="1"/>
  <c r="AB60" i="76" s="1"/>
  <c r="AA85" i="69" a="1"/>
  <c r="AA85" i="69" s="1"/>
  <c r="AA140" i="69" s="1" a="1"/>
  <c r="AA140" i="69" s="1"/>
  <c r="AE81" i="69" a="1"/>
  <c r="AE81" i="69" s="1"/>
  <c r="AC61" i="76" s="1"/>
  <c r="Y85" i="69" a="1"/>
  <c r="Y85" i="69" s="1"/>
  <c r="Y140" i="69" s="1" a="1"/>
  <c r="Y140" i="69" s="1"/>
  <c r="AC84" i="69" a="1"/>
  <c r="AC84" i="69" s="1"/>
  <c r="AC139" i="69" s="1" a="1"/>
  <c r="AC139" i="69" s="1"/>
  <c r="AD197" i="69" s="1" a="1"/>
  <c r="AD197" i="69" s="1"/>
  <c r="AD271" i="69" s="1" a="1"/>
  <c r="AD271" i="69" s="1"/>
  <c r="AE86" i="69" a="1"/>
  <c r="AE86" i="69" s="1"/>
  <c r="AE141" i="69" s="1" a="1"/>
  <c r="AE141" i="69" s="1"/>
  <c r="AF199" i="69" s="1" a="1"/>
  <c r="AF199" i="69" s="1"/>
  <c r="AF273" i="69" s="1" a="1"/>
  <c r="AF273" i="69" s="1"/>
  <c r="X82" i="69" a="1"/>
  <c r="X82" i="69" s="1"/>
  <c r="X137" i="69" s="1" a="1"/>
  <c r="X137" i="69" s="1"/>
  <c r="AF81" i="69" a="1"/>
  <c r="AF81" i="69" s="1"/>
  <c r="AF136" i="69" s="1" a="1"/>
  <c r="AF136" i="69" s="1"/>
  <c r="AG182" i="69" s="1" a="1"/>
  <c r="AG182" i="69" s="1"/>
  <c r="AG256" i="69" s="1" a="1"/>
  <c r="AG256" i="69" s="1"/>
  <c r="AB80" i="69" a="1"/>
  <c r="AB80" i="69" s="1"/>
  <c r="AC87" i="69" a="1"/>
  <c r="AC87" i="69" s="1"/>
  <c r="AA67" i="76" s="1"/>
  <c r="AB79" i="69" a="1"/>
  <c r="AB79" i="69" s="1"/>
  <c r="AB134" i="69" s="1" a="1"/>
  <c r="AB134" i="69" s="1"/>
  <c r="AC192" i="69" s="1" a="1"/>
  <c r="AC192" i="69" s="1"/>
  <c r="AC266" i="69" s="1" a="1"/>
  <c r="AC266" i="69" s="1"/>
  <c r="AE85" i="69" a="1"/>
  <c r="AE85" i="69" s="1"/>
  <c r="AB81" i="69" a="1"/>
  <c r="AB81" i="69" s="1"/>
  <c r="AB136" i="69" s="1" a="1"/>
  <c r="AB136" i="69" s="1"/>
  <c r="AC82" i="69" a="1"/>
  <c r="AC82" i="69" s="1"/>
  <c r="AC137" i="69" s="1" a="1"/>
  <c r="AC137" i="69" s="1"/>
  <c r="AG77" i="69" a="1"/>
  <c r="AG77" i="69" s="1"/>
  <c r="AE57" i="76" s="1"/>
  <c r="Z76" i="69" a="1"/>
  <c r="Z76" i="69" s="1"/>
  <c r="Z131" i="69" s="1" a="1"/>
  <c r="Z131" i="69" s="1"/>
  <c r="AA189" i="69" s="1" a="1"/>
  <c r="AA189" i="69" s="1"/>
  <c r="AA263" i="69" s="1" a="1"/>
  <c r="AA263" i="69" s="1"/>
  <c r="X80" i="69" a="1"/>
  <c r="X80" i="69" s="1"/>
  <c r="X135" i="69" s="1" a="1"/>
  <c r="X135" i="69" s="1"/>
  <c r="Y86" i="69" a="1"/>
  <c r="Y86" i="69" s="1"/>
  <c r="W66" i="76" s="1"/>
  <c r="Y77" i="69" a="1"/>
  <c r="Y77" i="69" s="1"/>
  <c r="AD79" i="69" a="1"/>
  <c r="AD79" i="69" s="1"/>
  <c r="AB59" i="76" s="1"/>
  <c r="Y83" i="69" a="1"/>
  <c r="Y83" i="69" s="1"/>
  <c r="Y138" i="69" s="1" a="1"/>
  <c r="Y138" i="69" s="1"/>
  <c r="Z184" i="69" s="1" a="1"/>
  <c r="Z184" i="69" s="1"/>
  <c r="Z258" i="69" s="1" a="1"/>
  <c r="Z258" i="69" s="1"/>
  <c r="AE76" i="69" a="1"/>
  <c r="AE76" i="69" s="1"/>
  <c r="AE131" i="69" s="1" a="1"/>
  <c r="AE131" i="69" s="1"/>
  <c r="AF189" i="69" s="1" a="1"/>
  <c r="AF189" i="69" s="1"/>
  <c r="AF263" i="69" s="1" a="1"/>
  <c r="AF263" i="69" s="1"/>
  <c r="AG86" i="69" a="1"/>
  <c r="AG86" i="69" s="1"/>
  <c r="AF82" i="69" a="1"/>
  <c r="AF82" i="69" s="1"/>
  <c r="AD62" i="76" s="1"/>
  <c r="X79" i="69" a="1"/>
  <c r="X79" i="69" s="1"/>
  <c r="V59" i="76" s="1"/>
  <c r="AE83" i="69" a="1"/>
  <c r="AE83" i="69" s="1"/>
  <c r="AC63" i="76" s="1"/>
  <c r="Y58" i="76"/>
  <c r="AG134" i="69" a="1"/>
  <c r="AG134" i="69" s="1"/>
  <c r="AH192" i="69" s="1" a="1"/>
  <c r="AH192" i="69" s="1"/>
  <c r="AH266" i="69" s="1" a="1"/>
  <c r="AH266" i="69" s="1"/>
  <c r="H84" i="69" a="1"/>
  <c r="H84" i="69" s="1"/>
  <c r="H131" i="69" s="1" a="1"/>
  <c r="H131" i="69" s="1"/>
  <c r="I181" i="69" s="1" a="1"/>
  <c r="I181" i="69" s="1"/>
  <c r="I239" i="69" s="1" a="1"/>
  <c r="I239" i="69" s="1"/>
  <c r="G84" i="69" a="1"/>
  <c r="G84" i="69" s="1"/>
  <c r="G131" i="69" s="1" a="1"/>
  <c r="G131" i="69" s="1"/>
  <c r="H177" i="69" s="1" a="1"/>
  <c r="H177" i="69" s="1"/>
  <c r="H235" i="69" s="1" a="1"/>
  <c r="H235" i="69" s="1"/>
  <c r="AE134" i="69" a="1"/>
  <c r="AE134" i="69" s="1"/>
  <c r="AF192" i="69" s="1" a="1"/>
  <c r="AF192" i="69" s="1"/>
  <c r="AF266" i="69" s="1" a="1"/>
  <c r="AF266" i="69" s="1"/>
  <c r="J87" i="69" a="1"/>
  <c r="J87" i="69" s="1"/>
  <c r="J134" i="69" s="1" a="1"/>
  <c r="J134" i="69" s="1"/>
  <c r="K184" i="69" s="1" a="1"/>
  <c r="K184" i="69" s="1"/>
  <c r="K242" i="69" s="1" a="1"/>
  <c r="K242" i="69" s="1"/>
  <c r="X132" i="69" a="1"/>
  <c r="X132" i="69" s="1"/>
  <c r="Y178" i="69" s="1" a="1"/>
  <c r="Y178" i="69" s="1"/>
  <c r="Y252" i="69" s="1" a="1"/>
  <c r="Y252" i="69" s="1"/>
  <c r="AG140" i="69" a="1"/>
  <c r="AG140" i="69" s="1"/>
  <c r="AH186" i="69" s="1" a="1"/>
  <c r="AH186" i="69" s="1"/>
  <c r="AH260" i="69" s="1" a="1"/>
  <c r="AH260" i="69" s="1"/>
  <c r="N84" i="69" a="1"/>
  <c r="N84" i="69" s="1"/>
  <c r="N131" i="69" s="1" a="1"/>
  <c r="N131" i="69" s="1"/>
  <c r="O177" i="69" s="1" a="1"/>
  <c r="O177" i="69" s="1"/>
  <c r="O235" i="69" s="1" a="1"/>
  <c r="O235" i="69" s="1"/>
  <c r="AG135" i="69" a="1"/>
  <c r="AG135" i="69" s="1"/>
  <c r="AH193" i="69" s="1" a="1"/>
  <c r="AH193" i="69" s="1"/>
  <c r="AH267" i="69" s="1" a="1"/>
  <c r="AH267" i="69" s="1"/>
  <c r="Z141" i="69" a="1"/>
  <c r="Z141" i="69" s="1"/>
  <c r="AA199" i="69" s="1" a="1"/>
  <c r="AA199" i="69" s="1"/>
  <c r="AA273" i="69" s="1" a="1"/>
  <c r="AA273" i="69" s="1"/>
  <c r="AA60" i="76"/>
  <c r="Y62" i="76"/>
  <c r="I86" i="69" a="1"/>
  <c r="I86" i="69" s="1"/>
  <c r="I56" i="76" s="1"/>
  <c r="I64" i="76" s="1" a="1"/>
  <c r="I64" i="76" s="1"/>
  <c r="I129" i="76" s="1" a="1"/>
  <c r="I129" i="76" s="1"/>
  <c r="I171" i="76" s="1" a="1"/>
  <c r="I171" i="76" s="1"/>
  <c r="I209" i="76" s="1" a="1"/>
  <c r="I209" i="76" s="1"/>
  <c r="I85" i="69" a="1"/>
  <c r="I85" i="69" s="1"/>
  <c r="I55" i="76" s="1"/>
  <c r="I63" i="76" s="1" a="1"/>
  <c r="I63" i="76" s="1"/>
  <c r="I128" i="76" s="1" a="1"/>
  <c r="I128" i="76" s="1"/>
  <c r="I170" i="76" s="1" a="1"/>
  <c r="I170" i="76" s="1"/>
  <c r="I208" i="76" s="1" a="1"/>
  <c r="I208" i="76" s="1"/>
  <c r="Z134" i="69" a="1"/>
  <c r="Z134" i="69" s="1"/>
  <c r="AA192" i="69" s="1" a="1"/>
  <c r="AA192" i="69" s="1"/>
  <c r="AA266" i="69" s="1" a="1"/>
  <c r="AA266" i="69" s="1"/>
  <c r="L87" i="69" a="1"/>
  <c r="L87" i="69" s="1"/>
  <c r="L57" i="76" s="1"/>
  <c r="L65" i="76" s="1" a="1"/>
  <c r="L65" i="76" s="1"/>
  <c r="L130" i="76" s="1" a="1"/>
  <c r="L130" i="76" s="1"/>
  <c r="L172" i="76" s="1" a="1"/>
  <c r="L172" i="76" s="1"/>
  <c r="L210" i="76" s="1" a="1"/>
  <c r="L210" i="76" s="1"/>
  <c r="E85" i="69" a="1"/>
  <c r="E85" i="69" s="1"/>
  <c r="E132" i="69" s="1" a="1"/>
  <c r="E132" i="69" s="1"/>
  <c r="F178" i="69" s="1" a="1"/>
  <c r="F178" i="69" s="1"/>
  <c r="F236" i="69" s="1" a="1"/>
  <c r="F236" i="69" s="1"/>
  <c r="G87" i="69" a="1"/>
  <c r="G87" i="69" s="1"/>
  <c r="G57" i="76" s="1"/>
  <c r="E86" i="69" a="1"/>
  <c r="E86" i="69" s="1"/>
  <c r="E133" i="69" s="1" a="1"/>
  <c r="E133" i="69" s="1"/>
  <c r="F179" i="69" s="1" a="1"/>
  <c r="F179" i="69" s="1"/>
  <c r="F237" i="69" s="1" a="1"/>
  <c r="F237" i="69" s="1"/>
  <c r="E87" i="69" a="1"/>
  <c r="E87" i="69" s="1"/>
  <c r="E134" i="69" s="1" a="1"/>
  <c r="E134" i="69" s="1"/>
  <c r="F184" i="69" s="1" a="1"/>
  <c r="F184" i="69" s="1"/>
  <c r="F242" i="69" s="1" a="1"/>
  <c r="F242" i="69" s="1"/>
  <c r="Z58" i="76"/>
  <c r="K87" i="69" a="1"/>
  <c r="K87" i="69" s="1"/>
  <c r="K57" i="76" s="1"/>
  <c r="M85" i="69" a="1"/>
  <c r="M85" i="69" s="1"/>
  <c r="M132" i="69" s="1" a="1"/>
  <c r="M132" i="69" s="1"/>
  <c r="N178" i="69" s="1" a="1"/>
  <c r="N178" i="69" s="1"/>
  <c r="N236" i="69" s="1" a="1"/>
  <c r="N236" i="69" s="1"/>
  <c r="F85" i="69" a="1"/>
  <c r="F85" i="69" s="1"/>
  <c r="F132" i="69" s="1" a="1"/>
  <c r="F132" i="69" s="1"/>
  <c r="G178" i="69" s="1" a="1"/>
  <c r="G178" i="69" s="1"/>
  <c r="G236" i="69" s="1" a="1"/>
  <c r="G236" i="69" s="1"/>
  <c r="H86" i="69" a="1"/>
  <c r="H86" i="69" s="1"/>
  <c r="H56" i="76" s="1"/>
  <c r="H64" i="76" s="1" a="1"/>
  <c r="H64" i="76" s="1"/>
  <c r="H129" i="76" s="1" a="1"/>
  <c r="H129" i="76" s="1"/>
  <c r="H171" i="76" s="1" a="1"/>
  <c r="H171" i="76" s="1"/>
  <c r="H209" i="76" s="1" a="1"/>
  <c r="H209" i="76" s="1"/>
  <c r="AF135" i="69" a="1"/>
  <c r="AF135" i="69" s="1"/>
  <c r="AG193" i="69" s="1" a="1"/>
  <c r="AG193" i="69" s="1"/>
  <c r="AG267" i="69" s="1" a="1"/>
  <c r="AG267" i="69" s="1"/>
  <c r="M84" i="69" a="1"/>
  <c r="M84" i="69" s="1"/>
  <c r="M131" i="69" s="1" a="1"/>
  <c r="M131" i="69" s="1"/>
  <c r="N177" i="69" s="1" a="1"/>
  <c r="N177" i="69" s="1"/>
  <c r="N235" i="69" s="1" a="1"/>
  <c r="N235" i="69" s="1"/>
  <c r="N87" i="69" a="1"/>
  <c r="N87" i="69" s="1"/>
  <c r="N57" i="76" s="1"/>
  <c r="N65" i="76" s="1" a="1"/>
  <c r="N65" i="76" s="1"/>
  <c r="N130" i="76" s="1" a="1"/>
  <c r="N130" i="76" s="1"/>
  <c r="N172" i="76" s="1" a="1"/>
  <c r="N172" i="76" s="1"/>
  <c r="N210" i="76" s="1" a="1"/>
  <c r="N210" i="76" s="1"/>
  <c r="N85" i="69" a="1"/>
  <c r="N85" i="69" s="1"/>
  <c r="N132" i="69" s="1" a="1"/>
  <c r="N132" i="69" s="1"/>
  <c r="L84" i="69" a="1"/>
  <c r="L84" i="69" s="1"/>
  <c r="L131" i="69" s="1" a="1"/>
  <c r="L131" i="69" s="1"/>
  <c r="M177" i="69" s="1" a="1"/>
  <c r="M177" i="69" s="1"/>
  <c r="M235" i="69" s="1" a="1"/>
  <c r="M235" i="69" s="1"/>
  <c r="Y57" i="76"/>
  <c r="I84" i="69" a="1"/>
  <c r="I84" i="69" s="1"/>
  <c r="I131" i="69" s="1" a="1"/>
  <c r="I131" i="69" s="1"/>
  <c r="J177" i="69" s="1" a="1"/>
  <c r="J177" i="69" s="1"/>
  <c r="J235" i="69" s="1" a="1"/>
  <c r="J235" i="69" s="1"/>
  <c r="AB138" i="69" a="1"/>
  <c r="AB138" i="69" s="1"/>
  <c r="AE139" i="69" a="1"/>
  <c r="AE139" i="69" s="1"/>
  <c r="M86" i="69" a="1"/>
  <c r="M86" i="69" s="1"/>
  <c r="M133" i="69" s="1" a="1"/>
  <c r="M133" i="69" s="1"/>
  <c r="N179" i="69" s="1" a="1"/>
  <c r="N179" i="69" s="1"/>
  <c r="N237" i="69" s="1" a="1"/>
  <c r="N237" i="69" s="1"/>
  <c r="H87" i="69" a="1"/>
  <c r="H87" i="69" s="1"/>
  <c r="H134" i="69" s="1" a="1"/>
  <c r="H134" i="69" s="1"/>
  <c r="I180" i="69" s="1" a="1"/>
  <c r="I180" i="69" s="1"/>
  <c r="I238" i="69" s="1" a="1"/>
  <c r="I238" i="69" s="1"/>
  <c r="F84" i="69" a="1"/>
  <c r="F84" i="69" s="1"/>
  <c r="F131" i="69" s="1" a="1"/>
  <c r="F131" i="69" s="1"/>
  <c r="AD133" i="69" a="1"/>
  <c r="AD133" i="69" s="1"/>
  <c r="AE179" i="69" s="1" a="1"/>
  <c r="AE179" i="69" s="1"/>
  <c r="AE253" i="69" s="1" a="1"/>
  <c r="AE253" i="69" s="1"/>
  <c r="L85" i="69" a="1"/>
  <c r="L85" i="69" s="1"/>
  <c r="L132" i="69" s="1" a="1"/>
  <c r="L132" i="69" s="1"/>
  <c r="J84" i="69" a="1"/>
  <c r="J84" i="69" s="1"/>
  <c r="J131" i="69" s="1" a="1"/>
  <c r="J131" i="69" s="1"/>
  <c r="K181" i="69" s="1" a="1"/>
  <c r="K181" i="69" s="1"/>
  <c r="K239" i="69" s="1" a="1"/>
  <c r="K239" i="69" s="1"/>
  <c r="K85" i="69" a="1"/>
  <c r="K85" i="69" s="1"/>
  <c r="K55" i="76" s="1"/>
  <c r="J85" i="69" a="1"/>
  <c r="J85" i="69" s="1"/>
  <c r="J132" i="69" s="1" a="1"/>
  <c r="J132" i="69" s="1"/>
  <c r="K182" i="69" s="1" a="1"/>
  <c r="K182" i="69" s="1"/>
  <c r="K240" i="69" s="1" a="1"/>
  <c r="K240" i="69" s="1"/>
  <c r="G85" i="69" a="1"/>
  <c r="G85" i="69" s="1"/>
  <c r="G132" i="69" s="1" a="1"/>
  <c r="G132" i="69" s="1"/>
  <c r="H178" i="69" s="1" a="1"/>
  <c r="H178" i="69" s="1"/>
  <c r="H236" i="69" s="1" a="1"/>
  <c r="H236" i="69" s="1"/>
  <c r="L86" i="69" a="1"/>
  <c r="L86" i="69" s="1"/>
  <c r="L133" i="69" s="1" a="1"/>
  <c r="L133" i="69" s="1"/>
  <c r="M179" i="69" s="1" a="1"/>
  <c r="M179" i="69" s="1"/>
  <c r="M237" i="69" s="1" a="1"/>
  <c r="M237" i="69" s="1"/>
  <c r="N86" i="69" a="1"/>
  <c r="N86" i="69" s="1"/>
  <c r="N133" i="69" s="1" a="1"/>
  <c r="N133" i="69" s="1"/>
  <c r="O183" i="69" s="1" a="1"/>
  <c r="O183" i="69" s="1"/>
  <c r="O241" i="69" s="1" a="1"/>
  <c r="O241" i="69" s="1"/>
  <c r="I87" i="69" a="1"/>
  <c r="I87" i="69" s="1"/>
  <c r="I57" i="76" s="1"/>
  <c r="I65" i="76" s="1" a="1"/>
  <c r="I65" i="76" s="1"/>
  <c r="I130" i="76" s="1" a="1"/>
  <c r="I130" i="76" s="1"/>
  <c r="I172" i="76" s="1" a="1"/>
  <c r="I172" i="76" s="1"/>
  <c r="I210" i="76" s="1" a="1"/>
  <c r="I210" i="76" s="1"/>
  <c r="F87" i="69" a="1"/>
  <c r="F87" i="69" s="1"/>
  <c r="F57" i="76" s="1"/>
  <c r="F65" i="76" s="1" a="1"/>
  <c r="F65" i="76" s="1"/>
  <c r="F130" i="76" s="1" a="1"/>
  <c r="F130" i="76" s="1"/>
  <c r="F172" i="76" s="1" a="1"/>
  <c r="F172" i="76" s="1"/>
  <c r="F210" i="76" s="1" a="1"/>
  <c r="F210" i="76" s="1"/>
  <c r="H85" i="69" a="1"/>
  <c r="H85" i="69" s="1"/>
  <c r="H132" i="69" s="1" a="1"/>
  <c r="H132" i="69" s="1"/>
  <c r="I178" i="69" s="1" a="1"/>
  <c r="I178" i="69" s="1"/>
  <c r="I236" i="69" s="1" a="1"/>
  <c r="I236" i="69" s="1"/>
  <c r="M87" i="69" a="1"/>
  <c r="M87" i="69" s="1"/>
  <c r="M134" i="69" s="1" a="1"/>
  <c r="M134" i="69" s="1"/>
  <c r="N180" i="69" s="1" a="1"/>
  <c r="N180" i="69" s="1"/>
  <c r="N238" i="69" s="1" a="1"/>
  <c r="N238" i="69" s="1"/>
  <c r="K84" i="69" a="1"/>
  <c r="K84" i="69" s="1"/>
  <c r="K131" i="69" s="1" a="1"/>
  <c r="K131" i="69" s="1"/>
  <c r="K86" i="69" a="1"/>
  <c r="K86" i="69" s="1"/>
  <c r="K133" i="69" s="1" a="1"/>
  <c r="K133" i="69" s="1"/>
  <c r="F86" i="69" a="1"/>
  <c r="F86" i="69" s="1"/>
  <c r="F56" i="76" s="1"/>
  <c r="F64" i="76" s="1" a="1"/>
  <c r="F64" i="76" s="1"/>
  <c r="F129" i="76" s="1" a="1"/>
  <c r="F129" i="76" s="1"/>
  <c r="F171" i="76" s="1" a="1"/>
  <c r="F171" i="76" s="1"/>
  <c r="F209" i="76" s="1" a="1"/>
  <c r="F209" i="76" s="1"/>
  <c r="AD57" i="76"/>
  <c r="Z137" i="69" a="1"/>
  <c r="Z137" i="69" s="1"/>
  <c r="G86" i="69" a="1"/>
  <c r="G86" i="69" s="1"/>
  <c r="G56" i="76" s="1"/>
  <c r="AE133" i="69" a="1"/>
  <c r="AE133" i="69" s="1"/>
  <c r="AF191" i="69" s="1" a="1"/>
  <c r="AF191" i="69" s="1"/>
  <c r="AF265" i="69" s="1" a="1"/>
  <c r="AF265" i="69" s="1"/>
  <c r="AC58" i="76"/>
  <c r="E84" i="69" a="1"/>
  <c r="E84" i="69" s="1"/>
  <c r="AB132" i="69" a="1"/>
  <c r="AB132" i="69" s="1"/>
  <c r="Z57" i="76"/>
  <c r="J86" i="69" a="1"/>
  <c r="J86" i="69" s="1"/>
  <c r="AA135" i="69" a="1"/>
  <c r="AA135" i="69" s="1"/>
  <c r="AB193" i="69" s="1" a="1"/>
  <c r="AB193" i="69" s="1"/>
  <c r="AB267" i="69" s="1" a="1"/>
  <c r="AB267" i="69" s="1"/>
  <c r="Y60" i="76"/>
  <c r="Z142" i="69" a="1"/>
  <c r="Z142" i="69" s="1"/>
  <c r="AA188" i="69" s="1" a="1"/>
  <c r="AA188" i="69" s="1"/>
  <c r="AA262" i="69" s="1" a="1"/>
  <c r="AA262" i="69" s="1"/>
  <c r="X67" i="76"/>
  <c r="X138" i="69" a="1"/>
  <c r="X138" i="69" s="1"/>
  <c r="Y196" i="69" s="1" a="1"/>
  <c r="Y196" i="69" s="1"/>
  <c r="Y270" i="69" s="1" a="1"/>
  <c r="Y270" i="69" s="1"/>
  <c r="V63" i="76"/>
  <c r="AD137" i="69" a="1"/>
  <c r="AD137" i="69" s="1"/>
  <c r="AE195" i="69" s="1" a="1"/>
  <c r="AE195" i="69" s="1"/>
  <c r="AE269" i="69" s="1" a="1"/>
  <c r="AE269" i="69" s="1"/>
  <c r="A39" i="74"/>
  <c r="A38" i="74"/>
  <c r="A37" i="74"/>
  <c r="A36" i="74"/>
  <c r="A33" i="74"/>
  <c r="A30" i="74"/>
  <c r="A29" i="74"/>
  <c r="A28" i="74"/>
  <c r="A27" i="74"/>
  <c r="A26" i="74"/>
  <c r="A25" i="74"/>
  <c r="A24" i="74"/>
  <c r="A19" i="74"/>
  <c r="A18" i="74"/>
  <c r="A15" i="74"/>
  <c r="A14" i="74"/>
  <c r="A13" i="74"/>
  <c r="A12" i="74"/>
  <c r="A11" i="74"/>
  <c r="A10" i="74"/>
  <c r="A9" i="74"/>
  <c r="A8" i="74"/>
  <c r="A7" i="74"/>
  <c r="A4" i="74"/>
  <c r="W58" i="76" l="1"/>
  <c r="AF142" i="69" a="1"/>
  <c r="AF142" i="69" s="1"/>
  <c r="AG200" i="69" s="1" a="1"/>
  <c r="AG200" i="69" s="1"/>
  <c r="AG274" i="69" s="1" a="1"/>
  <c r="AG274" i="69" s="1"/>
  <c r="AD83" i="76" a="1"/>
  <c r="AD83" i="76" s="1"/>
  <c r="AD147" i="76" s="1" a="1"/>
  <c r="AD147" i="76" s="1"/>
  <c r="AD207" i="76" s="1" a="1"/>
  <c r="AD207" i="76" s="1"/>
  <c r="AD259" i="76" s="1" a="1"/>
  <c r="AD259" i="76" s="1"/>
  <c r="AF137" i="69" a="1"/>
  <c r="AF137" i="69" s="1"/>
  <c r="AG195" i="69" s="1" a="1"/>
  <c r="AG195" i="69" s="1"/>
  <c r="AG269" i="69" s="1" a="1"/>
  <c r="AG269" i="69" s="1"/>
  <c r="AC59" i="76"/>
  <c r="AC75" i="76" s="1" a="1"/>
  <c r="AC75" i="76" s="1"/>
  <c r="AC139" i="76" s="1" a="1"/>
  <c r="AC139" i="76" s="1"/>
  <c r="H54" i="76"/>
  <c r="H62" i="76" s="1" a="1"/>
  <c r="H62" i="76" s="1"/>
  <c r="H127" i="76" s="1" a="1"/>
  <c r="H127" i="76" s="1"/>
  <c r="H169" i="76" s="1" a="1"/>
  <c r="H169" i="76" s="1"/>
  <c r="H207" i="76" s="1" a="1"/>
  <c r="H207" i="76" s="1"/>
  <c r="AE138" i="69" a="1"/>
  <c r="AE138" i="69" s="1"/>
  <c r="AF184" i="69" s="1" a="1"/>
  <c r="AF184" i="69" s="1"/>
  <c r="AF258" i="69" s="1" a="1"/>
  <c r="AF258" i="69" s="1"/>
  <c r="AA133" i="69" a="1"/>
  <c r="AA133" i="69" s="1"/>
  <c r="AB191" i="69" s="1" a="1"/>
  <c r="AB191" i="69" s="1"/>
  <c r="AB265" i="69" s="1" a="1"/>
  <c r="AB265" i="69" s="1"/>
  <c r="AE59" i="76"/>
  <c r="AC67" i="76"/>
  <c r="W63" i="76"/>
  <c r="X56" i="76"/>
  <c r="X65" i="76"/>
  <c r="G54" i="76"/>
  <c r="AD134" i="69" a="1"/>
  <c r="AD134" i="69" s="1"/>
  <c r="AE180" i="69" s="1" a="1"/>
  <c r="AE180" i="69" s="1"/>
  <c r="AE254" i="69" s="1" a="1"/>
  <c r="AE254" i="69" s="1"/>
  <c r="Y134" i="69" a="1"/>
  <c r="Y134" i="69" s="1"/>
  <c r="Z180" i="69" s="1" a="1"/>
  <c r="Z180" i="69" s="1"/>
  <c r="Z254" i="69" s="1" a="1"/>
  <c r="Z254"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W74" i="76" a="1"/>
  <c r="W74" i="76" s="1"/>
  <c r="W138" i="76" s="1" a="1"/>
  <c r="W138" i="76" s="1"/>
  <c r="W198" i="76" s="1" a="1"/>
  <c r="W198"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V57" i="76"/>
  <c r="J57" i="76"/>
  <c r="J65" i="76" s="1" a="1"/>
  <c r="J65" i="76" s="1"/>
  <c r="J130" i="76" s="1" a="1"/>
  <c r="J130" i="76" s="1"/>
  <c r="J172" i="76" s="1" a="1"/>
  <c r="J172" i="76" s="1"/>
  <c r="J210" i="76" s="1" a="1"/>
  <c r="J210" i="76" s="1"/>
  <c r="AE65" i="76"/>
  <c r="AG132" i="69" a="1"/>
  <c r="AG132" i="69" s="1"/>
  <c r="AH178" i="69" s="1" a="1"/>
  <c r="AH178" i="69" s="1"/>
  <c r="AH252" i="69" s="1" a="1"/>
  <c r="AH252" i="69" s="1"/>
  <c r="AC66" i="76"/>
  <c r="AA64" i="76"/>
  <c r="X134" i="69" a="1"/>
  <c r="X134" i="69" s="1"/>
  <c r="Y180" i="69" s="1" a="1"/>
  <c r="Y180" i="69" s="1"/>
  <c r="Y254" i="69" s="1" a="1"/>
  <c r="Y254" i="69" s="1"/>
  <c r="AG188" i="69" a="1"/>
  <c r="AG188" i="69" s="1"/>
  <c r="AG262" i="69" s="1" a="1"/>
  <c r="AG262" i="69" s="1"/>
  <c r="Y141" i="69" a="1"/>
  <c r="Y141" i="69" s="1"/>
  <c r="Z199" i="69" s="1" a="1"/>
  <c r="Z199" i="69" s="1"/>
  <c r="Z273" i="69" s="1" a="1"/>
  <c r="Z273" i="69" s="1"/>
  <c r="AD136" i="69" a="1"/>
  <c r="AD136" i="69" s="1"/>
  <c r="AE194" i="69" s="1" a="1"/>
  <c r="AE194" i="69" s="1"/>
  <c r="AE268" i="69" s="1" a="1"/>
  <c r="AE268" i="69" s="1"/>
  <c r="G134" i="69" a="1"/>
  <c r="G134" i="69" s="1"/>
  <c r="H180" i="69" s="1" a="1"/>
  <c r="H180" i="69" s="1"/>
  <c r="H238" i="69" s="1" a="1"/>
  <c r="H238" i="69" s="1"/>
  <c r="Z65" i="76"/>
  <c r="AF140" i="69" a="1"/>
  <c r="AF140" i="69" s="1"/>
  <c r="AG198" i="69" s="1" a="1"/>
  <c r="AG198" i="69" s="1"/>
  <c r="AG272" i="69" s="1" a="1"/>
  <c r="AG272" i="69" s="1"/>
  <c r="M55" i="76"/>
  <c r="M63" i="76" s="1" a="1"/>
  <c r="M63" i="76" s="1"/>
  <c r="M128" i="76" s="1" a="1"/>
  <c r="M128" i="76" s="1"/>
  <c r="M170" i="76" s="1" a="1"/>
  <c r="M170" i="76" s="1"/>
  <c r="M208" i="76" s="1" a="1"/>
  <c r="M208" i="76" s="1"/>
  <c r="W62" i="76"/>
  <c r="AG131" i="69" a="1"/>
  <c r="AG131" i="69" s="1"/>
  <c r="AH189" i="69" s="1" a="1"/>
  <c r="AH189" i="69" s="1"/>
  <c r="AH263" i="69" s="1" a="1"/>
  <c r="AH263" i="69" s="1"/>
  <c r="E55" i="76"/>
  <c r="E63" i="76" s="1" a="1"/>
  <c r="E63" i="76" s="1"/>
  <c r="E128" i="76" s="1" a="1"/>
  <c r="E128" i="76" s="1"/>
  <c r="E170" i="76" s="1" a="1"/>
  <c r="E170" i="76" s="1"/>
  <c r="E208" i="76" s="1" a="1"/>
  <c r="E208" i="76" s="1"/>
  <c r="I132" i="69" a="1"/>
  <c r="I132" i="69" s="1"/>
  <c r="J178" i="69" s="1" a="1"/>
  <c r="J178" i="69" s="1"/>
  <c r="J236" i="69" s="1" a="1"/>
  <c r="J236" i="69" s="1"/>
  <c r="AD66" i="76"/>
  <c r="AE64" i="76"/>
  <c r="J55" i="76"/>
  <c r="J63" i="76" s="1" a="1"/>
  <c r="J63" i="76" s="1"/>
  <c r="J128" i="76" s="1" a="1"/>
  <c r="J128" i="76" s="1"/>
  <c r="J170" i="76" s="1" a="1"/>
  <c r="J170" i="76" s="1"/>
  <c r="J208" i="76" s="1" a="1"/>
  <c r="J208" i="76" s="1"/>
  <c r="AD61" i="76"/>
  <c r="AF138" i="69" a="1"/>
  <c r="AF138" i="69" s="1"/>
  <c r="AG184" i="69" s="1" a="1"/>
  <c r="AG184" i="69" s="1"/>
  <c r="AG258" i="69" s="1" a="1"/>
  <c r="AG258" i="69" s="1"/>
  <c r="W61" i="76"/>
  <c r="AB65" i="76"/>
  <c r="F55" i="76"/>
  <c r="F63" i="76" s="1" a="1"/>
  <c r="F63" i="76" s="1"/>
  <c r="F128" i="76" s="1" a="1"/>
  <c r="F128" i="76" s="1"/>
  <c r="F170" i="76" s="1" a="1"/>
  <c r="F170" i="76" s="1"/>
  <c r="F208" i="76" s="1" a="1"/>
  <c r="F208" i="76" s="1"/>
  <c r="AA132" i="69" a="1"/>
  <c r="AA132" i="69" s="1"/>
  <c r="AB190" i="69" s="1" a="1"/>
  <c r="AB190" i="69" s="1"/>
  <c r="AB264" i="69" s="1" a="1"/>
  <c r="AB264" i="69" s="1"/>
  <c r="AA134" i="69" a="1"/>
  <c r="AA134" i="69" s="1"/>
  <c r="AB180" i="69" s="1" a="1"/>
  <c r="AB180" i="69" s="1"/>
  <c r="AB254" i="69" s="1" a="1"/>
  <c r="AB254" i="69" s="1"/>
  <c r="AC134" i="69" a="1"/>
  <c r="AC134" i="69" s="1"/>
  <c r="AD180" i="69" s="1" a="1"/>
  <c r="AD180" i="69" s="1"/>
  <c r="AD254" i="69" s="1" a="1"/>
  <c r="AD254" i="69" s="1"/>
  <c r="L134" i="69" a="1"/>
  <c r="L134" i="69" s="1"/>
  <c r="M180" i="69" s="1" a="1"/>
  <c r="M180" i="69" s="1"/>
  <c r="M238" i="69" s="1" a="1"/>
  <c r="M238" i="69" s="1"/>
  <c r="Z135" i="69" a="1"/>
  <c r="Z135" i="69" s="1"/>
  <c r="AA193" i="69" s="1" a="1"/>
  <c r="AA193" i="69" s="1"/>
  <c r="AA267" i="69" s="1" a="1"/>
  <c r="AA267" i="69" s="1"/>
  <c r="AA139" i="69" a="1"/>
  <c r="AA139" i="69" s="1"/>
  <c r="AB197" i="69" s="1" a="1"/>
  <c r="AB197" i="69" s="1"/>
  <c r="AB271" i="69" s="1" a="1"/>
  <c r="AB271" i="69" s="1"/>
  <c r="V67" i="76"/>
  <c r="AC135" i="69" a="1"/>
  <c r="AC135" i="69" s="1"/>
  <c r="AD181" i="69" s="1" a="1"/>
  <c r="AD181" i="69" s="1"/>
  <c r="AD255" i="69" s="1" a="1"/>
  <c r="AD255" i="69" s="1"/>
  <c r="X59" i="76"/>
  <c r="M57" i="76"/>
  <c r="M65" i="76" s="1" a="1"/>
  <c r="M65" i="76" s="1"/>
  <c r="M130" i="76" s="1" a="1"/>
  <c r="M130" i="76" s="1"/>
  <c r="M172" i="76" s="1" a="1"/>
  <c r="M172" i="76" s="1"/>
  <c r="M210" i="76" s="1" a="1"/>
  <c r="M210" i="76" s="1"/>
  <c r="AB131" i="69" a="1"/>
  <c r="AB131" i="69" s="1"/>
  <c r="AC177" i="69" s="1" a="1"/>
  <c r="AC177" i="69" s="1"/>
  <c r="AC251" i="69" s="1" a="1"/>
  <c r="AC251" i="69" s="1"/>
  <c r="K134" i="69" a="1"/>
  <c r="K134" i="69" s="1"/>
  <c r="L184" i="69" s="1" a="1"/>
  <c r="L184" i="69" s="1"/>
  <c r="L242" i="69" s="1" a="1"/>
  <c r="L242" i="69" s="1"/>
  <c r="X58" i="76"/>
  <c r="AA200" i="69" a="1"/>
  <c r="AA200" i="69" s="1"/>
  <c r="AA274" i="69" s="1" a="1"/>
  <c r="AA274" i="69" s="1"/>
  <c r="AA137" i="69" a="1"/>
  <c r="AA137" i="69" s="1"/>
  <c r="AB195" i="69" s="1" a="1"/>
  <c r="AB195" i="69" s="1"/>
  <c r="AB269" i="69" s="1" a="1"/>
  <c r="AB269" i="69" s="1"/>
  <c r="I134" i="69" a="1"/>
  <c r="I134" i="69" s="1"/>
  <c r="J184" i="69" s="1" a="1"/>
  <c r="J184" i="69" s="1"/>
  <c r="J242" i="69" s="1" a="1"/>
  <c r="J242" i="69" s="1"/>
  <c r="AB57" i="76"/>
  <c r="AC132" i="69" a="1"/>
  <c r="AC132" i="69" s="1"/>
  <c r="AD178" i="69" s="1" a="1"/>
  <c r="AD178" i="69" s="1"/>
  <c r="AD252" i="69" s="1" a="1"/>
  <c r="AD252" i="69" s="1"/>
  <c r="Z196" i="69" a="1"/>
  <c r="Z196" i="69" s="1"/>
  <c r="Z270" i="69" s="1" a="1"/>
  <c r="Z270" i="69" s="1"/>
  <c r="E57" i="76"/>
  <c r="E65" i="76" s="1" a="1"/>
  <c r="E65" i="76" s="1"/>
  <c r="E130" i="76" s="1" a="1"/>
  <c r="E130" i="76" s="1"/>
  <c r="E172" i="76" s="1" a="1"/>
  <c r="E172" i="76" s="1"/>
  <c r="E210" i="76" s="1" a="1"/>
  <c r="E210" i="76" s="1"/>
  <c r="AD135" i="69" a="1"/>
  <c r="AD135" i="69" s="1"/>
  <c r="AE181" i="69" s="1" a="1"/>
  <c r="AE181" i="69" s="1"/>
  <c r="AE255" i="69" s="1" a="1"/>
  <c r="AE255" i="69" s="1"/>
  <c r="L56" i="76"/>
  <c r="L64" i="76" s="1" a="1"/>
  <c r="L64" i="76" s="1"/>
  <c r="L129" i="76" s="1" a="1"/>
  <c r="L129" i="76" s="1"/>
  <c r="L171" i="76" s="1" a="1"/>
  <c r="L171" i="76" s="1"/>
  <c r="L209" i="76" s="1" a="1"/>
  <c r="L209" i="76" s="1"/>
  <c r="L54" i="76"/>
  <c r="L62" i="76" s="1" a="1"/>
  <c r="L62" i="76" s="1"/>
  <c r="L127" i="76" s="1" a="1"/>
  <c r="L127" i="76" s="1"/>
  <c r="L169" i="76" s="1" a="1"/>
  <c r="L169" i="76" s="1"/>
  <c r="L207" i="76" s="1" a="1"/>
  <c r="L207" i="76" s="1"/>
  <c r="Z66" i="76"/>
  <c r="AG183" i="69" a="1"/>
  <c r="AG183" i="69" s="1"/>
  <c r="AG257" i="69" s="1" a="1"/>
  <c r="AG257" i="69" s="1"/>
  <c r="AB66" i="76"/>
  <c r="AB142" i="69" a="1"/>
  <c r="AB142" i="69" s="1"/>
  <c r="AC200" i="69" s="1" a="1"/>
  <c r="AC200" i="69" s="1"/>
  <c r="AC274" i="69" s="1" a="1"/>
  <c r="AC274" i="69" s="1"/>
  <c r="W60" i="76"/>
  <c r="H55" i="76"/>
  <c r="H63" i="76" s="1" a="1"/>
  <c r="H63" i="76" s="1"/>
  <c r="H128" i="76" s="1" a="1"/>
  <c r="H128" i="76" s="1"/>
  <c r="H170" i="76" s="1" a="1"/>
  <c r="H170" i="76" s="1"/>
  <c r="H208" i="76" s="1" a="1"/>
  <c r="H208" i="76" s="1"/>
  <c r="I54" i="76"/>
  <c r="I62" i="76" s="1" a="1"/>
  <c r="I62" i="76" s="1"/>
  <c r="I127" i="76" s="1" a="1"/>
  <c r="I127" i="76" s="1"/>
  <c r="I169" i="76" s="1" a="1"/>
  <c r="I169" i="76" s="1"/>
  <c r="I207" i="76" s="1" a="1"/>
  <c r="I207" i="76" s="1"/>
  <c r="X131" i="69" a="1"/>
  <c r="X131" i="69" s="1"/>
  <c r="Y177" i="69" s="1" a="1"/>
  <c r="Y177" i="69" s="1"/>
  <c r="Y251" i="69" s="1" a="1"/>
  <c r="Y251" i="69" s="1"/>
  <c r="AH198" i="69" a="1"/>
  <c r="AH198" i="69" s="1"/>
  <c r="AH272" i="69" s="1" a="1"/>
  <c r="AH272" i="69" s="1"/>
  <c r="N54" i="76"/>
  <c r="N62" i="76" s="1" a="1"/>
  <c r="N62" i="76" s="1"/>
  <c r="N127" i="76" s="1" a="1"/>
  <c r="N127" i="76" s="1"/>
  <c r="N169" i="76" s="1" a="1"/>
  <c r="N169" i="76" s="1"/>
  <c r="N207" i="76" s="1" a="1"/>
  <c r="N207" i="76" s="1"/>
  <c r="M54" i="76"/>
  <c r="M62" i="76" s="1" a="1"/>
  <c r="M62" i="76" s="1"/>
  <c r="M127" i="76" s="1" a="1"/>
  <c r="M127" i="76" s="1"/>
  <c r="M169" i="76" s="1" a="1"/>
  <c r="M169" i="76" s="1"/>
  <c r="M207" i="76" s="1" a="1"/>
  <c r="M207" i="76" s="1"/>
  <c r="AE63" i="76"/>
  <c r="W64" i="76"/>
  <c r="G133" i="69" a="1"/>
  <c r="G133" i="69" s="1"/>
  <c r="H179" i="69" s="1" a="1"/>
  <c r="H179" i="69" s="1"/>
  <c r="H237" i="69" s="1" a="1"/>
  <c r="H237" i="69" s="1"/>
  <c r="Z59" i="76"/>
  <c r="AD131" i="69" a="1"/>
  <c r="AD131" i="69" s="1"/>
  <c r="AE189" i="69" s="1" a="1"/>
  <c r="AE189" i="69" s="1"/>
  <c r="AE263" i="69" s="1" a="1"/>
  <c r="AE263" i="69" s="1"/>
  <c r="F133" i="69" a="1"/>
  <c r="F133" i="69" s="1"/>
  <c r="G179" i="69" s="1" a="1"/>
  <c r="G179" i="69" s="1"/>
  <c r="G237" i="69" s="1" a="1"/>
  <c r="G237" i="69" s="1"/>
  <c r="I133" i="69" a="1"/>
  <c r="I133" i="69" s="1"/>
  <c r="J183" i="69" s="1" a="1"/>
  <c r="J183" i="69" s="1"/>
  <c r="J241" i="69" s="1" a="1"/>
  <c r="J241" i="69" s="1"/>
  <c r="E56" i="76"/>
  <c r="E64" i="76" s="1" a="1"/>
  <c r="E64" i="76" s="1"/>
  <c r="E129" i="76" s="1" a="1"/>
  <c r="E129" i="76" s="1"/>
  <c r="E171" i="76" s="1" a="1"/>
  <c r="E171" i="76" s="1"/>
  <c r="E209" i="76" s="1" a="1"/>
  <c r="E209" i="76" s="1"/>
  <c r="AB64" i="76"/>
  <c r="AD64" i="76"/>
  <c r="Y61" i="76"/>
  <c r="AE197" i="69" a="1"/>
  <c r="AE197" i="69" s="1"/>
  <c r="AE271" i="69" s="1" a="1"/>
  <c r="AE271" i="69" s="1"/>
  <c r="AE185" i="69" a="1"/>
  <c r="AE185" i="69" s="1"/>
  <c r="AE259" i="69" s="1" a="1"/>
  <c r="AE259" i="69" s="1"/>
  <c r="Y142" i="69" a="1"/>
  <c r="Y142" i="69" s="1"/>
  <c r="Z188" i="69" s="1" a="1"/>
  <c r="Z188" i="69" s="1"/>
  <c r="Z262" i="69" s="1" a="1"/>
  <c r="Z262" i="69" s="1"/>
  <c r="X136" i="69" a="1"/>
  <c r="X136" i="69" s="1"/>
  <c r="Y194" i="69" s="1" a="1"/>
  <c r="Y194" i="69" s="1"/>
  <c r="Y268" i="69" s="1" a="1"/>
  <c r="Y268" i="69" s="1"/>
  <c r="M56" i="76"/>
  <c r="M64" i="76" s="1" a="1"/>
  <c r="M64" i="76" s="1"/>
  <c r="M129" i="76" s="1" a="1"/>
  <c r="M129" i="76" s="1"/>
  <c r="M171" i="76" s="1" a="1"/>
  <c r="M171" i="76" s="1"/>
  <c r="M209" i="76" s="1" a="1"/>
  <c r="M209" i="76" s="1"/>
  <c r="X66" i="76"/>
  <c r="AE67" i="76"/>
  <c r="AB139" i="69" a="1"/>
  <c r="AB139" i="69" s="1"/>
  <c r="AC197" i="69" s="1" a="1"/>
  <c r="AC197" i="69" s="1"/>
  <c r="AC271" i="69" s="1" a="1"/>
  <c r="AC271" i="69" s="1"/>
  <c r="AF133" i="69" a="1"/>
  <c r="AF133" i="69" s="1"/>
  <c r="AG179" i="69" s="1" a="1"/>
  <c r="AG179" i="69" s="1"/>
  <c r="AG253" i="69" s="1" a="1"/>
  <c r="AG253" i="69" s="1"/>
  <c r="X63" i="76"/>
  <c r="N184" i="69" a="1"/>
  <c r="N184" i="69" s="1"/>
  <c r="N242" i="69" s="1" a="1"/>
  <c r="N242" i="69" s="1"/>
  <c r="AB133" i="69" a="1"/>
  <c r="AB133" i="69" s="1"/>
  <c r="AC179" i="69" s="1" a="1"/>
  <c r="AC179" i="69" s="1"/>
  <c r="AC253" i="69" s="1" a="1"/>
  <c r="AC253" i="69" s="1"/>
  <c r="AE183" i="69" a="1"/>
  <c r="AE183" i="69" s="1"/>
  <c r="AE257" i="69" s="1" a="1"/>
  <c r="AE257" i="69" s="1"/>
  <c r="Y66" i="76"/>
  <c r="AC142" i="69" a="1"/>
  <c r="AC142" i="69" s="1"/>
  <c r="AD188" i="69" s="1" a="1"/>
  <c r="AD188" i="69" s="1"/>
  <c r="AD262" i="69" s="1" a="1"/>
  <c r="AD262" i="69" s="1"/>
  <c r="AE60" i="76"/>
  <c r="AF134" i="69" a="1"/>
  <c r="AF134" i="69" s="1"/>
  <c r="AG192" i="69" s="1" a="1"/>
  <c r="AG192" i="69" s="1"/>
  <c r="AG266" i="69" s="1" a="1"/>
  <c r="AG266" i="69" s="1"/>
  <c r="Y56" i="76"/>
  <c r="X64" i="76"/>
  <c r="AB181" i="69" a="1"/>
  <c r="AB181" i="69" s="1"/>
  <c r="AB255" i="69" s="1" a="1"/>
  <c r="AB255" i="69" s="1"/>
  <c r="AA61" i="76"/>
  <c r="AB137" i="69" a="1"/>
  <c r="AB137" i="69" s="1"/>
  <c r="AC195" i="69" s="1" a="1"/>
  <c r="AC195" i="69" s="1"/>
  <c r="AC269" i="69" s="1" a="1"/>
  <c r="AC269" i="69" s="1"/>
  <c r="X61" i="76"/>
  <c r="AA191" i="69" a="1"/>
  <c r="AA191" i="69" s="1"/>
  <c r="AA265" i="69" s="1" a="1"/>
  <c r="AA265" i="69" s="1"/>
  <c r="AB67" i="76"/>
  <c r="AC62" i="76"/>
  <c r="V65" i="76"/>
  <c r="Z182" i="69" a="1"/>
  <c r="Z182" i="69" s="1"/>
  <c r="Z256" i="69" s="1" a="1"/>
  <c r="Z256" i="69" s="1"/>
  <c r="AA196" i="69" a="1"/>
  <c r="AA196" i="69" s="1"/>
  <c r="AA270" i="69" s="1" a="1"/>
  <c r="AA270" i="69" s="1"/>
  <c r="AD56" i="76"/>
  <c r="AB63" i="76"/>
  <c r="AA56" i="76"/>
  <c r="L177" i="69" a="1"/>
  <c r="L177" i="69" s="1"/>
  <c r="L235" i="69" s="1" a="1"/>
  <c r="L235" i="69" s="1"/>
  <c r="L181" i="69" a="1"/>
  <c r="L181" i="69" s="1"/>
  <c r="L239" i="69" s="1" a="1"/>
  <c r="L239" i="69" s="1"/>
  <c r="Z191" i="69" a="1"/>
  <c r="Z191" i="69" s="1"/>
  <c r="Z265" i="69" s="1" a="1"/>
  <c r="Z265" i="69" s="1"/>
  <c r="X57" i="76"/>
  <c r="F54" i="76"/>
  <c r="F62" i="76" s="1" a="1"/>
  <c r="F62" i="76" s="1"/>
  <c r="F127" i="76" s="1" a="1"/>
  <c r="F127" i="76" s="1"/>
  <c r="F169" i="76" s="1" a="1"/>
  <c r="F169" i="76" s="1"/>
  <c r="F207" i="76" s="1" a="1"/>
  <c r="F207" i="76" s="1"/>
  <c r="K54" i="76"/>
  <c r="K62" i="76" s="1" a="1"/>
  <c r="K62" i="76" s="1"/>
  <c r="K127" i="76" s="1" a="1"/>
  <c r="K127" i="76" s="1"/>
  <c r="K169" i="76" s="1" a="1"/>
  <c r="K169" i="76" s="1"/>
  <c r="K207" i="76" s="1" a="1"/>
  <c r="K207" i="76" s="1"/>
  <c r="Y190" i="69" a="1"/>
  <c r="Y190" i="69" s="1"/>
  <c r="Y264" i="69" s="1" a="1"/>
  <c r="Y264" i="69" s="1"/>
  <c r="AA187" i="69" a="1"/>
  <c r="AA187" i="69" s="1"/>
  <c r="AA261" i="69" s="1" a="1"/>
  <c r="AA261" i="69" s="1"/>
  <c r="W56" i="76"/>
  <c r="AC196" i="69" a="1"/>
  <c r="AC196" i="69" s="1"/>
  <c r="AC270" i="69" s="1" a="1"/>
  <c r="AC270" i="69" s="1"/>
  <c r="AC184" i="69" a="1"/>
  <c r="AC184" i="69" s="1"/>
  <c r="AC258" i="69" s="1" a="1"/>
  <c r="AC258" i="69" s="1"/>
  <c r="AF179" i="69" a="1"/>
  <c r="AF179" i="69" s="1"/>
  <c r="AF253" i="69" s="1" a="1"/>
  <c r="AF253" i="69" s="1"/>
  <c r="AG185" i="69" a="1"/>
  <c r="AG185" i="69" s="1"/>
  <c r="AG259" i="69" s="1" a="1"/>
  <c r="AG259" i="69" s="1"/>
  <c r="V66" i="76"/>
  <c r="AD60" i="76"/>
  <c r="AB58" i="76"/>
  <c r="AE200" i="69" a="1"/>
  <c r="AE200" i="69" s="1"/>
  <c r="AE274" i="69" s="1" a="1"/>
  <c r="AE274" i="69" s="1"/>
  <c r="AD185" i="69" a="1"/>
  <c r="AD185" i="69" s="1"/>
  <c r="AD259" i="69" s="1" a="1"/>
  <c r="AD259" i="69" s="1"/>
  <c r="Z63" i="76"/>
  <c r="AC140" i="69" a="1"/>
  <c r="AC140" i="69" s="1"/>
  <c r="AD198" i="69" s="1" a="1"/>
  <c r="AD198" i="69" s="1"/>
  <c r="AD272" i="69" s="1" a="1"/>
  <c r="AD272" i="69" s="1"/>
  <c r="AC64" i="76"/>
  <c r="G177" i="69" a="1"/>
  <c r="G177" i="69" s="1"/>
  <c r="G235" i="69" s="1" a="1"/>
  <c r="G235" i="69" s="1"/>
  <c r="G181" i="69" a="1"/>
  <c r="G181" i="69" s="1"/>
  <c r="G239" i="69" s="1" a="1"/>
  <c r="G239" i="69" s="1"/>
  <c r="Z181" i="69" a="1"/>
  <c r="Z181" i="69" s="1"/>
  <c r="Z255" i="69" s="1" a="1"/>
  <c r="Z255" i="69" s="1"/>
  <c r="AG194" i="69" a="1"/>
  <c r="AG194" i="69" s="1"/>
  <c r="AG268" i="69" s="1" a="1"/>
  <c r="AG268" i="69" s="1"/>
  <c r="AF183" i="69" a="1"/>
  <c r="AF183" i="69" s="1"/>
  <c r="AF257" i="69" s="1" a="1"/>
  <c r="AF257" i="69" s="1"/>
  <c r="AE58" i="76"/>
  <c r="AF187" i="69" a="1"/>
  <c r="AF187" i="69" s="1"/>
  <c r="AF261" i="69" s="1" a="1"/>
  <c r="AF261" i="69" s="1"/>
  <c r="AC57" i="76"/>
  <c r="K180" i="69" a="1"/>
  <c r="K180" i="69" s="1"/>
  <c r="K238" i="69" s="1" a="1"/>
  <c r="K238" i="69" s="1"/>
  <c r="Z61" i="76"/>
  <c r="AB194" i="69" a="1"/>
  <c r="AB194" i="69" s="1"/>
  <c r="AB268" i="69" s="1" a="1"/>
  <c r="AB268" i="69" s="1"/>
  <c r="AB182" i="69" a="1"/>
  <c r="AB182" i="69" s="1"/>
  <c r="AB256" i="69" s="1" a="1"/>
  <c r="AB256" i="69" s="1"/>
  <c r="Y181" i="69" a="1"/>
  <c r="Y181" i="69" s="1"/>
  <c r="Y255" i="69" s="1" a="1"/>
  <c r="Y255" i="69" s="1"/>
  <c r="Y193" i="69" a="1"/>
  <c r="Y193" i="69" s="1"/>
  <c r="Y267" i="69" s="1" a="1"/>
  <c r="Y267" i="69" s="1"/>
  <c r="AH183" i="69" a="1"/>
  <c r="AH183" i="69" s="1"/>
  <c r="AH257" i="69" s="1" a="1"/>
  <c r="AH257" i="69" s="1"/>
  <c r="AH195" i="69" a="1"/>
  <c r="AH195" i="69" s="1"/>
  <c r="AH269" i="69" s="1" a="1"/>
  <c r="AH269" i="69" s="1"/>
  <c r="AF193" i="69" a="1"/>
  <c r="AF193" i="69" s="1"/>
  <c r="AF267" i="69" s="1" a="1"/>
  <c r="AF267" i="69" s="1"/>
  <c r="AF181" i="69" a="1"/>
  <c r="AF181" i="69" s="1"/>
  <c r="AF255" i="69" s="1" a="1"/>
  <c r="AF255" i="69" s="1"/>
  <c r="H181" i="69" a="1"/>
  <c r="H181" i="69" s="1"/>
  <c r="H239" i="69" s="1" a="1"/>
  <c r="H239" i="69" s="1"/>
  <c r="AC60" i="76"/>
  <c r="V60" i="76"/>
  <c r="G182" i="69" a="1"/>
  <c r="G182" i="69" s="1"/>
  <c r="G240" i="69" s="1" a="1"/>
  <c r="G240" i="69" s="1"/>
  <c r="AE62" i="76"/>
  <c r="N183" i="69" a="1"/>
  <c r="N183" i="69" s="1"/>
  <c r="N241" i="69" s="1" a="1"/>
  <c r="N241" i="69" s="1"/>
  <c r="Y67" i="76"/>
  <c r="N182" i="69" a="1"/>
  <c r="N182" i="69" s="1"/>
  <c r="N240" i="69" s="1" a="1"/>
  <c r="N240" i="69" s="1"/>
  <c r="AE136" i="69" a="1"/>
  <c r="AE136" i="69" s="1"/>
  <c r="AF194" i="69" s="1" a="1"/>
  <c r="AF194" i="69" s="1"/>
  <c r="AF268" i="69" s="1" a="1"/>
  <c r="AF268" i="69" s="1"/>
  <c r="H133" i="69" a="1"/>
  <c r="H133" i="69" s="1"/>
  <c r="K132" i="69" a="1"/>
  <c r="K132" i="69" s="1"/>
  <c r="L178" i="69" s="1" a="1"/>
  <c r="L178" i="69" s="1"/>
  <c r="L236" i="69" s="1" a="1"/>
  <c r="L236" i="69" s="1"/>
  <c r="AC56" i="76"/>
  <c r="F134" i="69" a="1"/>
  <c r="F134" i="69" s="1"/>
  <c r="G184" i="69" s="1" a="1"/>
  <c r="G184" i="69" s="1"/>
  <c r="G242" i="69" s="1" a="1"/>
  <c r="G242" i="69" s="1"/>
  <c r="M181" i="69" a="1"/>
  <c r="M181" i="69" s="1"/>
  <c r="M239" i="69" s="1" a="1"/>
  <c r="M239" i="69" s="1"/>
  <c r="AE61" i="76"/>
  <c r="AC180" i="69" a="1"/>
  <c r="AC180" i="69" s="1"/>
  <c r="AC254" i="69" s="1" a="1"/>
  <c r="AC254" i="69" s="1"/>
  <c r="L55" i="76"/>
  <c r="L63" i="76" s="1" a="1"/>
  <c r="L63" i="76" s="1"/>
  <c r="L128" i="76" s="1" a="1"/>
  <c r="L128" i="76" s="1"/>
  <c r="L170" i="76" s="1" a="1"/>
  <c r="L170" i="76" s="1"/>
  <c r="L208" i="76" s="1" a="1"/>
  <c r="L208" i="76" s="1"/>
  <c r="N134" i="69" a="1"/>
  <c r="N134" i="69" s="1"/>
  <c r="O184" i="69" s="1" a="1"/>
  <c r="O184" i="69" s="1"/>
  <c r="O242" i="69" s="1" a="1"/>
  <c r="O242" i="69" s="1"/>
  <c r="F182" i="69" a="1"/>
  <c r="F182" i="69" s="1"/>
  <c r="F240" i="69" s="1" a="1"/>
  <c r="F240" i="69" s="1"/>
  <c r="V62" i="76"/>
  <c r="AE198" i="69" a="1"/>
  <c r="AE198" i="69" s="1"/>
  <c r="AE272" i="69" s="1" a="1"/>
  <c r="AE272" i="69" s="1"/>
  <c r="AF132" i="69" a="1"/>
  <c r="AF132" i="69" s="1"/>
  <c r="AG190" i="69" s="1" a="1"/>
  <c r="AG190" i="69" s="1"/>
  <c r="AG264" i="69" s="1" a="1"/>
  <c r="AG264" i="69" s="1"/>
  <c r="M183" i="69" a="1"/>
  <c r="M183" i="69" s="1"/>
  <c r="M241" i="69" s="1" a="1"/>
  <c r="M241" i="69" s="1"/>
  <c r="AA63" i="76"/>
  <c r="G55" i="76"/>
  <c r="G63" i="76" s="1" a="1"/>
  <c r="G63" i="76" s="1"/>
  <c r="G128" i="76" s="1" a="1"/>
  <c r="G128" i="76" s="1"/>
  <c r="G170" i="76" s="1" a="1"/>
  <c r="G170" i="76" s="1"/>
  <c r="G208" i="76" s="1" a="1"/>
  <c r="G208" i="76" s="1"/>
  <c r="N55" i="76"/>
  <c r="N63" i="76" s="1" a="1"/>
  <c r="N63" i="76" s="1"/>
  <c r="N128" i="76" s="1" a="1"/>
  <c r="N128" i="76" s="1"/>
  <c r="N170" i="76" s="1" a="1"/>
  <c r="N170" i="76" s="1"/>
  <c r="N208" i="76" s="1" a="1"/>
  <c r="N208" i="76" s="1"/>
  <c r="H57" i="76"/>
  <c r="H65" i="76" s="1" a="1"/>
  <c r="H65" i="76" s="1"/>
  <c r="H130" i="76" s="1" a="1"/>
  <c r="H130" i="76" s="1"/>
  <c r="H172" i="76" s="1" a="1"/>
  <c r="H172" i="76" s="1"/>
  <c r="H210" i="76" s="1" a="1"/>
  <c r="H210" i="76" s="1"/>
  <c r="Z177" i="69" a="1"/>
  <c r="Z177" i="69" s="1"/>
  <c r="Z251" i="69" s="1" a="1"/>
  <c r="Z251" i="69" s="1"/>
  <c r="AA178" i="69" a="1"/>
  <c r="AA178" i="69" s="1"/>
  <c r="AA252" i="69" s="1" a="1"/>
  <c r="AA252" i="69" s="1"/>
  <c r="AA190" i="69" a="1"/>
  <c r="AA190" i="69" s="1"/>
  <c r="AA264" i="69" s="1" a="1"/>
  <c r="AA264" i="69" s="1"/>
  <c r="AD195" i="69" a="1"/>
  <c r="AD195" i="69" s="1"/>
  <c r="AD269" i="69" s="1" a="1"/>
  <c r="AD269" i="69" s="1"/>
  <c r="AD183" i="69" a="1"/>
  <c r="AD183" i="69" s="1"/>
  <c r="AD257" i="69" s="1" a="1"/>
  <c r="AD257" i="69" s="1"/>
  <c r="Y183" i="69" a="1"/>
  <c r="Y183" i="69" s="1"/>
  <c r="Y257" i="69" s="1" a="1"/>
  <c r="Y257" i="69" s="1"/>
  <c r="Y195" i="69" a="1"/>
  <c r="Y195" i="69" s="1"/>
  <c r="Y269" i="69" s="1" a="1"/>
  <c r="Y269" i="69" s="1"/>
  <c r="AC194" i="69" a="1"/>
  <c r="AC194" i="69" s="1"/>
  <c r="AC268" i="69" s="1" a="1"/>
  <c r="AC268" i="69" s="1"/>
  <c r="AC182" i="69" a="1"/>
  <c r="AC182" i="69" s="1"/>
  <c r="AC256" i="69" s="1" a="1"/>
  <c r="AC256" i="69" s="1"/>
  <c r="O182" i="69" a="1"/>
  <c r="O182" i="69" s="1"/>
  <c r="O240" i="69" s="1" a="1"/>
  <c r="O240" i="69" s="1"/>
  <c r="O178" i="69" a="1"/>
  <c r="O178" i="69" s="1"/>
  <c r="O236" i="69" s="1" a="1"/>
  <c r="O236" i="69" s="1"/>
  <c r="AB188" i="69" a="1"/>
  <c r="AB188" i="69" s="1"/>
  <c r="AB262" i="69" s="1" a="1"/>
  <c r="AB262" i="69" s="1"/>
  <c r="AB200" i="69" a="1"/>
  <c r="AB200" i="69" s="1"/>
  <c r="AB274" i="69" s="1" a="1"/>
  <c r="AB274" i="69" s="1"/>
  <c r="M182" i="69" a="1"/>
  <c r="M182" i="69" s="1"/>
  <c r="M240" i="69" s="1" a="1"/>
  <c r="M240" i="69" s="1"/>
  <c r="M178" i="69" a="1"/>
  <c r="M178" i="69" s="1"/>
  <c r="M236" i="69" s="1" a="1"/>
  <c r="M236" i="69" s="1"/>
  <c r="AB186" i="69" a="1"/>
  <c r="AB186" i="69" s="1"/>
  <c r="AB260" i="69" s="1" a="1"/>
  <c r="AB260" i="69" s="1"/>
  <c r="AB198" i="69" a="1"/>
  <c r="AB198" i="69" s="1"/>
  <c r="AB272" i="69" s="1" a="1"/>
  <c r="AB272" i="69" s="1"/>
  <c r="AB177" i="69" a="1"/>
  <c r="AB177" i="69" s="1"/>
  <c r="AB251" i="69" s="1" a="1"/>
  <c r="AB251" i="69" s="1"/>
  <c r="AB189" i="69" a="1"/>
  <c r="AB189" i="69" s="1"/>
  <c r="AB263" i="69" s="1" a="1"/>
  <c r="AB263" i="69" s="1"/>
  <c r="AF197" i="69" a="1"/>
  <c r="AF197" i="69" s="1"/>
  <c r="AF271" i="69" s="1" a="1"/>
  <c r="AF271" i="69" s="1"/>
  <c r="AF185" i="69" a="1"/>
  <c r="AF185" i="69" s="1"/>
  <c r="AF259" i="69" s="1" a="1"/>
  <c r="AF259" i="69" s="1"/>
  <c r="Y187" i="69" a="1"/>
  <c r="Y187" i="69" s="1"/>
  <c r="Y261" i="69" s="1" a="1"/>
  <c r="Y261" i="69" s="1"/>
  <c r="N56" i="76"/>
  <c r="N64" i="76" s="1" a="1"/>
  <c r="N64" i="76" s="1"/>
  <c r="N129" i="76" s="1" a="1"/>
  <c r="N129" i="76" s="1"/>
  <c r="N171" i="76" s="1" a="1"/>
  <c r="N171" i="76" s="1"/>
  <c r="N209" i="76" s="1" a="1"/>
  <c r="N209" i="76" s="1"/>
  <c r="V58" i="76"/>
  <c r="AA66" i="76"/>
  <c r="Y65" i="76"/>
  <c r="AE187" i="69" a="1"/>
  <c r="AE187" i="69" s="1"/>
  <c r="AE261" i="69" s="1" a="1"/>
  <c r="AE261" i="69" s="1"/>
  <c r="AA62" i="76"/>
  <c r="AF177" i="69" a="1"/>
  <c r="AF177" i="69" s="1"/>
  <c r="AF251" i="69" s="1" a="1"/>
  <c r="AF251" i="69" s="1"/>
  <c r="O181" i="69" a="1"/>
  <c r="O181" i="69" s="1"/>
  <c r="O239" i="69" s="1" a="1"/>
  <c r="O239" i="69" s="1"/>
  <c r="Z185" i="69" a="1"/>
  <c r="Z185" i="69" s="1"/>
  <c r="Z259" i="69" s="1" a="1"/>
  <c r="Z259" i="69" s="1"/>
  <c r="N181" i="69" a="1"/>
  <c r="N181" i="69" s="1"/>
  <c r="N239" i="69" s="1" a="1"/>
  <c r="N239" i="69" s="1"/>
  <c r="AE192" i="69" a="1"/>
  <c r="AE192" i="69" s="1"/>
  <c r="AE266" i="69" s="1" a="1"/>
  <c r="AE266" i="69" s="1"/>
  <c r="J54" i="76"/>
  <c r="J62" i="76" s="1" a="1"/>
  <c r="J62" i="76" s="1"/>
  <c r="J127" i="76" s="1" a="1"/>
  <c r="J127" i="76" s="1"/>
  <c r="J169" i="76" s="1" a="1"/>
  <c r="J169" i="76" s="1"/>
  <c r="J207" i="76" s="1" a="1"/>
  <c r="J207" i="76" s="1"/>
  <c r="X62" i="76"/>
  <c r="I182" i="69" a="1"/>
  <c r="I182" i="69" s="1"/>
  <c r="I240" i="69" s="1" a="1"/>
  <c r="I240" i="69" s="1"/>
  <c r="AD182" i="69" a="1"/>
  <c r="AD182" i="69" s="1"/>
  <c r="AD256" i="69" s="1" a="1"/>
  <c r="AD256" i="69" s="1"/>
  <c r="AG189" i="69" a="1"/>
  <c r="AG189" i="69" s="1"/>
  <c r="AG263" i="69" s="1" a="1"/>
  <c r="AG263" i="69" s="1"/>
  <c r="AE191" i="69" a="1"/>
  <c r="AE191" i="69" s="1"/>
  <c r="AE265" i="69" s="1" a="1"/>
  <c r="AE265" i="69" s="1"/>
  <c r="AG181" i="69" a="1"/>
  <c r="AG181" i="69" s="1"/>
  <c r="AG255" i="69" s="1" a="1"/>
  <c r="AG255" i="69" s="1"/>
  <c r="W65" i="76"/>
  <c r="AA138" i="69" a="1"/>
  <c r="AA138" i="69" s="1"/>
  <c r="AA180" i="69" a="1"/>
  <c r="AA180" i="69" s="1"/>
  <c r="AA254" i="69" s="1" a="1"/>
  <c r="AA254" i="69" s="1"/>
  <c r="L179" i="69" a="1"/>
  <c r="L179" i="69" s="1"/>
  <c r="L237" i="69" s="1" a="1"/>
  <c r="L237" i="69" s="1"/>
  <c r="L183" i="69" a="1"/>
  <c r="L183" i="69" s="1"/>
  <c r="L241" i="69" s="1" a="1"/>
  <c r="L241" i="69" s="1"/>
  <c r="Z186" i="69" a="1"/>
  <c r="Z186" i="69" s="1"/>
  <c r="Z260" i="69" s="1" a="1"/>
  <c r="Z260" i="69" s="1"/>
  <c r="Z198" i="69" a="1"/>
  <c r="Z198" i="69" s="1"/>
  <c r="Z272" i="69" s="1" a="1"/>
  <c r="Z272" i="69" s="1"/>
  <c r="O179" i="69" a="1"/>
  <c r="O179" i="69" s="1"/>
  <c r="O237" i="69" s="1" a="1"/>
  <c r="O237" i="69" s="1"/>
  <c r="I184" i="69" a="1"/>
  <c r="I184" i="69" s="1"/>
  <c r="I242" i="69" s="1" a="1"/>
  <c r="I242" i="69" s="1"/>
  <c r="Y179" i="69" a="1"/>
  <c r="Y179" i="69" s="1"/>
  <c r="Y253" i="69" s="1" a="1"/>
  <c r="Y253" i="69" s="1"/>
  <c r="AD187" i="69" a="1"/>
  <c r="AD187" i="69" s="1"/>
  <c r="AD261" i="69" s="1" a="1"/>
  <c r="AD261" i="69" s="1"/>
  <c r="K56" i="76"/>
  <c r="K64" i="76" s="1" a="1"/>
  <c r="K64" i="76" s="1"/>
  <c r="K129" i="76" s="1" a="1"/>
  <c r="K129" i="76" s="1"/>
  <c r="K171" i="76" s="1" a="1"/>
  <c r="K171" i="76" s="1"/>
  <c r="K209" i="76" s="1" a="1"/>
  <c r="K209" i="76" s="1"/>
  <c r="Y184" i="69" a="1"/>
  <c r="Y184" i="69" s="1"/>
  <c r="Y258" i="69" s="1" a="1"/>
  <c r="Y258" i="69" s="1"/>
  <c r="F183" i="69" a="1"/>
  <c r="F183" i="69" s="1"/>
  <c r="F241" i="69" s="1" a="1"/>
  <c r="F241" i="69" s="1"/>
  <c r="AA182" i="69" a="1"/>
  <c r="AA182" i="69" s="1"/>
  <c r="AA256" i="69" s="1" a="1"/>
  <c r="AA256" i="69" s="1"/>
  <c r="Y188" i="69" a="1"/>
  <c r="Y188" i="69" s="1"/>
  <c r="Y262" i="69" s="1" a="1"/>
  <c r="Y262" i="69" s="1"/>
  <c r="H182" i="69" a="1"/>
  <c r="H182" i="69" s="1"/>
  <c r="H240" i="69" s="1" a="1"/>
  <c r="H240" i="69" s="1"/>
  <c r="AF180" i="69" a="1"/>
  <c r="AF180" i="69" s="1"/>
  <c r="AF254" i="69" s="1" a="1"/>
  <c r="AF254" i="69" s="1"/>
  <c r="AD189" i="69" a="1"/>
  <c r="AD189" i="69" s="1"/>
  <c r="AD263" i="69" s="1" a="1"/>
  <c r="AD263" i="69" s="1"/>
  <c r="AD184" i="69" a="1"/>
  <c r="AD184" i="69" s="1"/>
  <c r="AD258" i="69" s="1" a="1"/>
  <c r="AD258" i="69" s="1"/>
  <c r="AH196" i="69" a="1"/>
  <c r="AH196" i="69" s="1"/>
  <c r="AH270" i="69" s="1" a="1"/>
  <c r="AH270" i="69" s="1"/>
  <c r="F180" i="69" a="1"/>
  <c r="F180" i="69" s="1"/>
  <c r="F238" i="69" s="1" a="1"/>
  <c r="F238" i="69" s="1"/>
  <c r="Z183" i="69" a="1"/>
  <c r="Z183" i="69" s="1"/>
  <c r="Z257" i="69" s="1" a="1"/>
  <c r="Z257" i="69" s="1"/>
  <c r="AA198" i="69" a="1"/>
  <c r="AA198" i="69" s="1"/>
  <c r="AA272" i="69" s="1" a="1"/>
  <c r="AA272" i="69" s="1"/>
  <c r="AH197" i="69" a="1"/>
  <c r="AH197" i="69" s="1"/>
  <c r="AH271" i="69" s="1" a="1"/>
  <c r="AH271" i="69" s="1"/>
  <c r="AF188" i="69" a="1"/>
  <c r="AF188" i="69" s="1"/>
  <c r="AF262" i="69" s="1" a="1"/>
  <c r="AF262" i="69" s="1"/>
  <c r="AH179" i="69" a="1"/>
  <c r="AH179" i="69" s="1"/>
  <c r="AH253" i="69" s="1" a="1"/>
  <c r="AH253" i="69" s="1"/>
  <c r="AA177" i="69" a="1"/>
  <c r="AA177" i="69" s="1"/>
  <c r="AA251" i="69" s="1" a="1"/>
  <c r="AA251" i="69" s="1"/>
  <c r="AE196" i="69" a="1"/>
  <c r="AE196" i="69" s="1"/>
  <c r="AE270" i="69" s="1" a="1"/>
  <c r="AE270" i="69" s="1"/>
  <c r="AC199" i="69" a="1"/>
  <c r="AC199" i="69" s="1"/>
  <c r="AC273" i="69" s="1" a="1"/>
  <c r="AC273" i="69" s="1"/>
  <c r="K177" i="69" a="1"/>
  <c r="K177" i="69" s="1"/>
  <c r="K235" i="69" s="1" a="1"/>
  <c r="K235" i="69" s="1"/>
  <c r="V77" i="76" a="1"/>
  <c r="V77" i="76" s="1"/>
  <c r="V141" i="76" s="1" a="1"/>
  <c r="V141" i="76" s="1"/>
  <c r="V201" i="76" s="1" a="1"/>
  <c r="V201" i="76" s="1"/>
  <c r="AG199" i="69" a="1"/>
  <c r="AG199" i="69" s="1"/>
  <c r="AG273" i="69" s="1" a="1"/>
  <c r="AG273" i="69" s="1"/>
  <c r="AG187" i="69" a="1"/>
  <c r="AG187" i="69" s="1"/>
  <c r="AG261" i="69" s="1" a="1"/>
  <c r="AG261" i="69" s="1"/>
  <c r="AB135" i="69" a="1"/>
  <c r="AB135" i="69" s="1"/>
  <c r="Z60" i="76"/>
  <c r="AH181" i="69" a="1"/>
  <c r="AH181" i="69" s="1"/>
  <c r="AH255" i="69" s="1" a="1"/>
  <c r="AH255" i="69" s="1"/>
  <c r="X76" i="76" a="1"/>
  <c r="X76" i="76" s="1"/>
  <c r="X140" i="76" s="1" a="1"/>
  <c r="X140" i="76" s="1"/>
  <c r="X200" i="76" s="1" a="1"/>
  <c r="X200" i="76" s="1"/>
  <c r="V75" i="76" a="1"/>
  <c r="V75" i="76" s="1"/>
  <c r="V139" i="76" s="1" a="1"/>
  <c r="V139" i="76" s="1"/>
  <c r="V199" i="76" s="1" a="1"/>
  <c r="V199" i="76" s="1"/>
  <c r="AH194" i="69" a="1"/>
  <c r="AH194" i="69" s="1"/>
  <c r="AH268" i="69" s="1" a="1"/>
  <c r="AH268" i="69" s="1"/>
  <c r="AE178" i="69" a="1"/>
  <c r="AE178" i="69" s="1"/>
  <c r="AE252" i="69" s="1" a="1"/>
  <c r="AE252" i="69" s="1"/>
  <c r="E131" i="69" a="1"/>
  <c r="E131" i="69" s="1"/>
  <c r="E54" i="76"/>
  <c r="K178" i="69" a="1"/>
  <c r="K178" i="69" s="1"/>
  <c r="K236" i="69" s="1" a="1"/>
  <c r="K236" i="69" s="1"/>
  <c r="AB77" i="76" a="1"/>
  <c r="AB77" i="76" s="1"/>
  <c r="AB141" i="76" s="1" a="1"/>
  <c r="AB141" i="76" s="1"/>
  <c r="AB201" i="76" s="1" a="1"/>
  <c r="AB201" i="76" s="1"/>
  <c r="Y198" i="69" a="1"/>
  <c r="Y198" i="69" s="1"/>
  <c r="Y272" i="69" s="1" a="1"/>
  <c r="Y272" i="69" s="1"/>
  <c r="Y186" i="69" a="1"/>
  <c r="Y186" i="69" s="1"/>
  <c r="Y260" i="69" s="1" a="1"/>
  <c r="Y260" i="69" s="1"/>
  <c r="AA197" i="69" a="1"/>
  <c r="AA197" i="69" s="1"/>
  <c r="AA271" i="69" s="1" a="1"/>
  <c r="AA271" i="69" s="1"/>
  <c r="J181" i="69" a="1"/>
  <c r="J181" i="69" s="1"/>
  <c r="J239" i="69" s="1" a="1"/>
  <c r="J239" i="69" s="1"/>
  <c r="V79" i="76" a="1"/>
  <c r="V79" i="76" s="1"/>
  <c r="V143" i="76" s="1" a="1"/>
  <c r="V143" i="76" s="1"/>
  <c r="V203" i="76" s="1" a="1"/>
  <c r="V203" i="76" s="1"/>
  <c r="AA195" i="69" a="1"/>
  <c r="AA195" i="69" s="1"/>
  <c r="AA269" i="69" s="1" a="1"/>
  <c r="AA269" i="69" s="1"/>
  <c r="AA183" i="69" a="1"/>
  <c r="AA183" i="69" s="1"/>
  <c r="AA257" i="69" s="1" a="1"/>
  <c r="AA257" i="69" s="1"/>
  <c r="G65" i="76" a="1"/>
  <c r="G65" i="76" s="1"/>
  <c r="G130" i="76" s="1" a="1"/>
  <c r="G130" i="76" s="1"/>
  <c r="G172" i="76" s="1" a="1"/>
  <c r="G172" i="76" s="1"/>
  <c r="G210" i="76" s="1" a="1"/>
  <c r="G210" i="76" s="1"/>
  <c r="J133" i="69" a="1"/>
  <c r="J133" i="69" s="1"/>
  <c r="J56" i="76"/>
  <c r="J64" i="76" s="1" a="1"/>
  <c r="J64" i="76" s="1"/>
  <c r="J129" i="76" s="1" a="1"/>
  <c r="J129" i="76" s="1"/>
  <c r="J171" i="76" s="1" a="1"/>
  <c r="J171" i="76" s="1"/>
  <c r="J209" i="76" s="1" a="1"/>
  <c r="J209" i="76" s="1"/>
  <c r="G64" i="76" a="1"/>
  <c r="G64" i="76" s="1"/>
  <c r="G129" i="76" s="1" a="1"/>
  <c r="G129" i="76" s="1"/>
  <c r="G171" i="76" s="1" a="1"/>
  <c r="G171" i="76" s="1"/>
  <c r="G209" i="76" s="1" a="1"/>
  <c r="G209" i="76" s="1"/>
  <c r="AC178" i="69" a="1"/>
  <c r="AC178" i="69" s="1"/>
  <c r="AC252" i="69" s="1" a="1"/>
  <c r="AC252" i="69" s="1"/>
  <c r="AC190" i="69" a="1"/>
  <c r="AC190" i="69" s="1"/>
  <c r="AC264" i="69" s="1" a="1"/>
  <c r="AC264" i="69" s="1"/>
  <c r="AF178" i="69" a="1"/>
  <c r="AF178" i="69" s="1"/>
  <c r="AF252" i="69" s="1" a="1"/>
  <c r="AF252" i="69" s="1"/>
  <c r="AF190" i="69" a="1"/>
  <c r="AF190" i="69" s="1"/>
  <c r="AF264" i="69" s="1" a="1"/>
  <c r="AF264" i="69" s="1"/>
  <c r="K63" i="76" a="1"/>
  <c r="K63" i="76" s="1"/>
  <c r="K128" i="76" s="1" a="1"/>
  <c r="K128" i="76" s="1"/>
  <c r="K170" i="76" s="1" a="1"/>
  <c r="K170" i="76" s="1"/>
  <c r="K208" i="76" s="1" a="1"/>
  <c r="K208" i="76" s="1"/>
  <c r="X139" i="69" a="1"/>
  <c r="X139" i="69" s="1"/>
  <c r="V64" i="76"/>
  <c r="V72" i="76" a="1"/>
  <c r="V72" i="76" s="1"/>
  <c r="V136" i="76" s="1" a="1"/>
  <c r="V136" i="76" s="1"/>
  <c r="V196" i="76" s="1" a="1"/>
  <c r="V196" i="76" s="1"/>
  <c r="AH180" i="69" a="1"/>
  <c r="AH180" i="69" s="1"/>
  <c r="AH254" i="69" s="1" a="1"/>
  <c r="AH254" i="69" s="1"/>
  <c r="X83" i="76" a="1"/>
  <c r="X83" i="76" s="1"/>
  <c r="X147" i="76" s="1" a="1"/>
  <c r="X147" i="76" s="1"/>
  <c r="X207" i="76" s="1" a="1"/>
  <c r="X207" i="76" s="1"/>
  <c r="AE66" i="76"/>
  <c r="AG141" i="69" a="1"/>
  <c r="AG141" i="69" s="1"/>
  <c r="AC198" i="69" a="1"/>
  <c r="AC198" i="69" s="1"/>
  <c r="AC272" i="69" s="1" a="1"/>
  <c r="AC272" i="69" s="1"/>
  <c r="AB187" i="69" a="1"/>
  <c r="AB187" i="69" s="1"/>
  <c r="AB261" i="69" s="1" a="1"/>
  <c r="AB261" i="69" s="1"/>
  <c r="W57" i="76"/>
  <c r="Y132" i="69" a="1"/>
  <c r="Y132" i="69" s="1"/>
  <c r="AA58" i="76"/>
  <c r="AC133" i="69" a="1"/>
  <c r="AC133" i="69" s="1"/>
  <c r="AB76" i="76" a="1"/>
  <c r="AB76" i="76" s="1"/>
  <c r="AB140" i="76" s="1" a="1"/>
  <c r="AB140" i="76" s="1"/>
  <c r="AB200" i="76" s="1" a="1"/>
  <c r="AB200" i="76" s="1"/>
  <c r="AH200" i="69" a="1"/>
  <c r="AH200" i="69" s="1"/>
  <c r="AH274" i="69" s="1" a="1"/>
  <c r="AH274" i="69" s="1"/>
  <c r="K65" i="76" a="1"/>
  <c r="K65" i="76" s="1"/>
  <c r="K130" i="76" s="1" a="1"/>
  <c r="K130" i="76" s="1"/>
  <c r="K172" i="76" s="1" a="1"/>
  <c r="K172" i="76" s="1"/>
  <c r="K210" i="76" s="1" a="1"/>
  <c r="K210" i="76" s="1"/>
  <c r="AC65" i="76"/>
  <c r="AE140" i="69" a="1"/>
  <c r="AE140" i="69" s="1"/>
  <c r="AB75" i="76" a="1"/>
  <c r="AB75" i="76" s="1"/>
  <c r="AB139" i="76" s="1" a="1"/>
  <c r="AB139" i="76" s="1"/>
  <c r="AB199" i="76" s="1" a="1"/>
  <c r="AB199" i="76" s="1"/>
  <c r="AB72" i="76" a="1"/>
  <c r="AB72" i="76" s="1"/>
  <c r="AB136" i="76" s="1" a="1"/>
  <c r="AB136" i="76" s="1"/>
  <c r="AB196" i="76" s="1" a="1"/>
  <c r="AB196" i="76" s="1"/>
  <c r="G62" i="76" a="1"/>
  <c r="G62" i="76" s="1"/>
  <c r="G127" i="76" s="1" a="1"/>
  <c r="G127" i="76" s="1"/>
  <c r="G169" i="76" s="1" a="1"/>
  <c r="G169" i="76" s="1"/>
  <c r="G207" i="76" s="1" a="1"/>
  <c r="G207" i="76" s="1"/>
  <c r="I177" i="69" a="1"/>
  <c r="I177" i="69" s="1"/>
  <c r="I235" i="69" s="1" a="1"/>
  <c r="I235" i="69" s="1"/>
  <c r="AF196" i="69" l="1" a="1"/>
  <c r="AF196" i="69" s="1"/>
  <c r="AF270" i="69" s="1"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AH177" i="69" a="1"/>
  <c r="AH177" i="69" s="1"/>
  <c r="AH251" i="69" s="1" a="1"/>
  <c r="AH251" i="69" s="1"/>
  <c r="AB179" i="69" a="1"/>
  <c r="AB179" i="69" s="1"/>
  <c r="AB253" i="69" s="1" a="1"/>
  <c r="AB253" i="69" s="1"/>
  <c r="Z192" i="69" a="1"/>
  <c r="Z192" i="69" s="1"/>
  <c r="Z266" i="69" s="1"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190" i="69" a="1"/>
  <c r="AH190" i="69" s="1"/>
  <c r="AH264" i="69" s="1"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192" i="69" a="1"/>
  <c r="Y192" i="69" s="1"/>
  <c r="Y266" i="69" s="1" a="1"/>
  <c r="Y266" i="69" s="1"/>
  <c r="Z187" i="69" a="1"/>
  <c r="Z187" i="69" s="1"/>
  <c r="Z261" i="69" s="1" a="1"/>
  <c r="Z261" i="69" s="1"/>
  <c r="AG186" i="69" a="1"/>
  <c r="AG186" i="69" s="1"/>
  <c r="AG260" i="69" s="1" a="1"/>
  <c r="AG260" i="69" s="1"/>
  <c r="H184" i="69" a="1"/>
  <c r="H184" i="69" s="1"/>
  <c r="H242" i="69" s="1" a="1"/>
  <c r="H242" i="69" s="1"/>
  <c r="AE182" i="69" a="1"/>
  <c r="AE182" i="69" s="1"/>
  <c r="AE256" i="69" s="1" a="1"/>
  <c r="AE256" i="69" s="1"/>
  <c r="AB185" i="69" a="1"/>
  <c r="AB185" i="69" s="1"/>
  <c r="AB259" i="69" s="1" a="1"/>
  <c r="AB259" i="69" s="1"/>
  <c r="J182" i="69" a="1"/>
  <c r="J182" i="69" s="1"/>
  <c r="J240" i="69" s="1" a="1"/>
  <c r="J240" i="69" s="1"/>
  <c r="AG196" i="69" a="1"/>
  <c r="AG196" i="69" s="1"/>
  <c r="AG270" i="69" s="1" a="1"/>
  <c r="AG270" i="69" s="1"/>
  <c r="AB192" i="69" a="1"/>
  <c r="AB192" i="69" s="1"/>
  <c r="AB266" i="69" s="1" a="1"/>
  <c r="AB266" i="69" s="1"/>
  <c r="AB178" i="69" a="1"/>
  <c r="AB178" i="69" s="1"/>
  <c r="AB252" i="69" s="1" a="1"/>
  <c r="AB252" i="69" s="1"/>
  <c r="AC189" i="69" a="1"/>
  <c r="AC189" i="69" s="1"/>
  <c r="AC263" i="69" s="1" a="1"/>
  <c r="AC263" i="69" s="1"/>
  <c r="M184" i="69" a="1"/>
  <c r="M184" i="69" s="1"/>
  <c r="M242" i="69" s="1" a="1"/>
  <c r="M242" i="69" s="1"/>
  <c r="AE193" i="69" a="1"/>
  <c r="AE193" i="69" s="1"/>
  <c r="AE267" i="69" s="1" a="1"/>
  <c r="AE267" i="69" s="1"/>
  <c r="AA181" i="69" a="1"/>
  <c r="AA181" i="69" s="1"/>
  <c r="AA255" i="69" s="1" a="1"/>
  <c r="AA255" i="69" s="1"/>
  <c r="AD192" i="69" a="1"/>
  <c r="AD192" i="69" s="1"/>
  <c r="AD266" i="69" s="1" a="1"/>
  <c r="AD266" i="69" s="1"/>
  <c r="H183" i="69" a="1"/>
  <c r="H183" i="69" s="1"/>
  <c r="H241" i="69" s="1" a="1"/>
  <c r="H241" i="69" s="1"/>
  <c r="L180" i="69" a="1"/>
  <c r="L180" i="69" s="1"/>
  <c r="L238" i="69" s="1" a="1"/>
  <c r="L238" i="69" s="1"/>
  <c r="AD193" i="69" a="1"/>
  <c r="AD193" i="69" s="1"/>
  <c r="AD267" i="69" s="1" a="1"/>
  <c r="AD267" i="69" s="1"/>
  <c r="AG191" i="69" a="1"/>
  <c r="AG191" i="69" s="1"/>
  <c r="AG265" i="69" s="1" a="1"/>
  <c r="AG265" i="69" s="1"/>
  <c r="AC188" i="69" a="1"/>
  <c r="AC188" i="69" s="1"/>
  <c r="AC262" i="69" s="1" a="1"/>
  <c r="AC262" i="69" s="1"/>
  <c r="J179" i="69" a="1"/>
  <c r="J179" i="69" s="1"/>
  <c r="J237" i="69" s="1" a="1"/>
  <c r="J237" i="69" s="1"/>
  <c r="AB183" i="69" a="1"/>
  <c r="AB183" i="69" s="1"/>
  <c r="AB257" i="69" s="1" a="1"/>
  <c r="AB257" i="69" s="1"/>
  <c r="J180" i="69" a="1"/>
  <c r="J180" i="69" s="1"/>
  <c r="J238" i="69" s="1" a="1"/>
  <c r="J238" i="69" s="1"/>
  <c r="AD186" i="69" a="1"/>
  <c r="AD186" i="69" s="1"/>
  <c r="AD260" i="69" s="1" a="1"/>
  <c r="AD260" i="69" s="1"/>
  <c r="AE177" i="69" a="1"/>
  <c r="AE177" i="69" s="1"/>
  <c r="AE251" i="69" s="1" a="1"/>
  <c r="AE251" i="69" s="1"/>
  <c r="Y182" i="69" a="1"/>
  <c r="Y182" i="69" s="1"/>
  <c r="Y256" i="69" s="1" a="1"/>
  <c r="Y256" i="69" s="1"/>
  <c r="AD200" i="69" a="1"/>
  <c r="AD200" i="69" s="1"/>
  <c r="AD274" i="69" s="1" a="1"/>
  <c r="AD274" i="69" s="1"/>
  <c r="AD190" i="69" a="1"/>
  <c r="AD190" i="69" s="1"/>
  <c r="AD264" i="69" s="1" a="1"/>
  <c r="AD264" i="69" s="1"/>
  <c r="Y189" i="69" a="1"/>
  <c r="Y189" i="69" s="1"/>
  <c r="Y263" i="69" s="1" a="1"/>
  <c r="Y263" i="69" s="1"/>
  <c r="Z200" i="69" a="1"/>
  <c r="Z200" i="69" s="1"/>
  <c r="Z274" i="69" s="1" a="1"/>
  <c r="Z274" i="69" s="1"/>
  <c r="O180" i="69" a="1"/>
  <c r="O180" i="69" s="1"/>
  <c r="O238" i="69" s="1" a="1"/>
  <c r="O238" i="69" s="1"/>
  <c r="AC185" i="69" a="1"/>
  <c r="AC185" i="69" s="1"/>
  <c r="AC259" i="69" s="1" a="1"/>
  <c r="AC259" i="69" s="1"/>
  <c r="G183" i="69" a="1"/>
  <c r="G183" i="69" s="1"/>
  <c r="G241" i="69" s="1" a="1"/>
  <c r="G241" i="69" s="1"/>
  <c r="L182" i="69" a="1"/>
  <c r="L182" i="69" s="1"/>
  <c r="L240" i="69" s="1" a="1"/>
  <c r="L240" i="69" s="1"/>
  <c r="AC191" i="69" a="1"/>
  <c r="AC191" i="69" s="1"/>
  <c r="AC265" i="69" s="1" a="1"/>
  <c r="AC265" i="69" s="1"/>
  <c r="AC183" i="69" a="1"/>
  <c r="AC183" i="69" s="1"/>
  <c r="AC257" i="69" s="1" a="1"/>
  <c r="AC257" i="69" s="1"/>
  <c r="AG180" i="69" a="1"/>
  <c r="AG180" i="69" s="1"/>
  <c r="AG254" i="69" s="1" a="1"/>
  <c r="AG254" i="69" s="1"/>
  <c r="AG178" i="69" a="1"/>
  <c r="AG178" i="69" s="1"/>
  <c r="AG252" i="69" s="1" a="1"/>
  <c r="AG252" i="69" s="1"/>
  <c r="AF182" i="69" a="1"/>
  <c r="AF182" i="69" s="1"/>
  <c r="AF256" i="69" s="1" a="1"/>
  <c r="AF256" i="69" s="1"/>
  <c r="G180" i="69" a="1"/>
  <c r="G180" i="69" s="1"/>
  <c r="G238" i="69" s="1" a="1"/>
  <c r="G238" i="69" s="1"/>
  <c r="I179" i="69" a="1"/>
  <c r="I179" i="69" s="1"/>
  <c r="I237" i="69" s="1" a="1"/>
  <c r="I237" i="69" s="1"/>
  <c r="I183" i="69" a="1"/>
  <c r="I183" i="69" s="1"/>
  <c r="I241" i="69" s="1" a="1"/>
  <c r="I241" i="69" s="1"/>
  <c r="AB184" i="69" a="1"/>
  <c r="AB184" i="69" s="1"/>
  <c r="AB258" i="69" s="1" a="1"/>
  <c r="AB258" i="69" s="1"/>
  <c r="AB196" i="69" a="1"/>
  <c r="AB196" i="69" s="1"/>
  <c r="AB270" i="69" s="1" a="1"/>
  <c r="AB270" i="69" s="1"/>
  <c r="Z190" i="69" a="1"/>
  <c r="Z190" i="69" s="1"/>
  <c r="Z264" i="69" s="1" a="1"/>
  <c r="Z264" i="69" s="1"/>
  <c r="Z178" i="69" a="1"/>
  <c r="Z178" i="69" s="1"/>
  <c r="Z252" i="69" s="1" a="1"/>
  <c r="Z252" i="69" s="1"/>
  <c r="E62" i="76" a="1"/>
  <c r="E62" i="76" s="1"/>
  <c r="E127" i="76" s="1" a="1"/>
  <c r="E127" i="76" s="1"/>
  <c r="E169" i="76" s="1" a="1"/>
  <c r="E169" i="76" s="1"/>
  <c r="E207" i="76" s="1" a="1"/>
  <c r="E207" i="76" s="1"/>
  <c r="E212" i="76" s="1"/>
  <c r="G13" i="98" s="1"/>
  <c r="E20" i="98" s="1" a="1"/>
  <c r="E20" i="98" s="1"/>
  <c r="Y197" i="69" a="1"/>
  <c r="Y197" i="69" s="1"/>
  <c r="Y271" i="69" s="1" a="1"/>
  <c r="Y271" i="69" s="1"/>
  <c r="Y185" i="69" a="1"/>
  <c r="Y185" i="69" s="1"/>
  <c r="Y259" i="69" s="1" a="1"/>
  <c r="Y259" i="69" s="1"/>
  <c r="F177" i="69" a="1"/>
  <c r="F177" i="69" s="1"/>
  <c r="F235" i="69" s="1" a="1"/>
  <c r="F235" i="69" s="1"/>
  <c r="F181" i="69" a="1"/>
  <c r="F181" i="69" s="1"/>
  <c r="F239" i="69" s="1" a="1"/>
  <c r="F239" i="69" s="1"/>
  <c r="AC181" i="69" a="1"/>
  <c r="AC181" i="69" s="1"/>
  <c r="AC255" i="69" s="1" a="1"/>
  <c r="AC255" i="69" s="1"/>
  <c r="AC193" i="69" a="1"/>
  <c r="AC193" i="69" s="1"/>
  <c r="AC267" i="69" s="1" a="1"/>
  <c r="AC267" i="69" s="1"/>
  <c r="AH199" i="69" a="1"/>
  <c r="AH199" i="69" s="1"/>
  <c r="AH273" i="69" s="1" a="1"/>
  <c r="AH273" i="69" s="1"/>
  <c r="AH187" i="69" a="1"/>
  <c r="AH187" i="69" s="1"/>
  <c r="AH261" i="69" s="1" a="1"/>
  <c r="AH261" i="69" s="1"/>
  <c r="AD191" i="69" a="1"/>
  <c r="AD191" i="69" s="1"/>
  <c r="AD265" i="69" s="1" a="1"/>
  <c r="AD265" i="69" s="1"/>
  <c r="AD179" i="69" a="1"/>
  <c r="AD179" i="69" s="1"/>
  <c r="AD253" i="69" s="1" a="1"/>
  <c r="AD253" i="69" s="1"/>
  <c r="K179" i="69" a="1"/>
  <c r="K179" i="69" s="1"/>
  <c r="K237" i="69" s="1" a="1"/>
  <c r="K237" i="69" s="1"/>
  <c r="K183" i="69" a="1"/>
  <c r="K183" i="69" s="1"/>
  <c r="K241" i="69" s="1" a="1"/>
  <c r="K241" i="69" s="1"/>
  <c r="AF186" i="69" a="1"/>
  <c r="AF186" i="69" s="1"/>
  <c r="AF260" i="69" s="1" a="1"/>
  <c r="AF260" i="69" s="1"/>
  <c r="AF198" i="69" a="1"/>
  <c r="AF198" i="69" s="1"/>
  <c r="AF272" i="69" s="1" a="1"/>
  <c r="AF272"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Z255" i="76" l="1"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N32" i="98"/>
  <c r="L36" i="98" s="1" a="1"/>
  <c r="L36" i="98" s="1"/>
  <c r="G32" i="98"/>
  <c r="E36" i="98" s="1" a="1"/>
  <c r="E36" i="98" s="1"/>
  <c r="X276" i="69"/>
  <c r="Z278" i="69" s="1"/>
  <c r="X281" i="69" s="1" a="1"/>
  <c r="X281" i="69" s="1"/>
  <c r="I7" i="13" s="1"/>
  <c r="E244" i="69"/>
  <c r="G246" i="69" s="1"/>
  <c r="E249" i="69" s="1" a="1"/>
  <c r="E249" i="69" s="1"/>
  <c r="H7" i="13" s="1"/>
  <c r="E229" i="76" a="1"/>
  <c r="E229" i="76" s="1"/>
  <c r="H13" i="97"/>
  <c r="E16" i="97" s="1" a="1"/>
  <c r="E16" i="97" s="1"/>
  <c r="H28" i="97" s="1"/>
  <c r="E35" i="97" s="1" a="1"/>
  <c r="E35" i="97" s="1"/>
  <c r="E29" i="15"/>
  <c r="V261" i="76" l="1"/>
  <c r="E7" i="13"/>
  <c r="F7" i="13"/>
  <c r="E10" i="13"/>
  <c r="G38" i="98"/>
  <c r="E41" i="98" s="1" a="1"/>
  <c r="E41" i="98" s="1"/>
  <c r="H10" i="13" s="1"/>
  <c r="G37" i="97"/>
  <c r="E40" i="97" s="1" a="1"/>
  <c r="E40" i="97" s="1"/>
  <c r="H9" i="13" s="1"/>
  <c r="E9" i="13"/>
  <c r="F10" i="13"/>
  <c r="N38" i="98"/>
  <c r="L41" i="98" s="1" a="1"/>
  <c r="L41" i="98" s="1"/>
  <c r="I10" i="13" s="1"/>
  <c r="G231" i="76"/>
  <c r="E234" i="76" s="1" a="1"/>
  <c r="E234" i="76" s="1"/>
  <c r="H8" i="13" s="1"/>
  <c r="E8" i="13"/>
  <c r="E13" i="15"/>
  <c r="V267" i="76" l="1" a="1"/>
  <c r="V267" i="76" s="1"/>
  <c r="N13" i="98"/>
  <c r="L20" i="98" s="1" a="1"/>
  <c r="L20" i="98" s="1"/>
  <c r="P13" i="97"/>
  <c r="M16" i="97" s="1" a="1"/>
  <c r="M16" i="97" s="1"/>
  <c r="P28" i="97" s="1"/>
  <c r="M35" i="97" s="1" a="1"/>
  <c r="M35" i="97" s="1"/>
  <c r="H11" i="13"/>
  <c r="O37" i="97" l="1"/>
  <c r="M40" i="97" s="1" a="1"/>
  <c r="M40" i="97" s="1"/>
  <c r="I9" i="13" s="1"/>
  <c r="F9" i="13"/>
  <c r="X269" i="76"/>
  <c r="V272" i="76" s="1" a="1"/>
  <c r="V272" i="76" s="1"/>
  <c r="I8" i="13" s="1"/>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<sst xmlns="http://schemas.openxmlformats.org/spreadsheetml/2006/main" count="1868" uniqueCount="363">
  <si>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</si>
  <si>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</si>
  <si>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</si>
  <si>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</si>
  <si>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</si>
  <si>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</si>
  <si>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</si>
  <si>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</si>
  <si>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</si>
  <si>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</si>
  <si>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</si>
  <si>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</si>
  <si>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</si>
  <si>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</si>
  <si>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</si>
  <si>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</si>
  <si>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</si>
  <si>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</si>
  <si>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</si>
  <si>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</si>
  <si>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</si>
  <si>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</si>
  <si>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</si>
  <si>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</si>
  <si>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</si>
  <si>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</si>
  <si>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</si>
  <si>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</si>
  <si>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</si>
  <si>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</si>
  <si>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</si>
  <si>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</si>
  <si>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</si>
  <si>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</si>
  <si>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</si>
  <si>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</si>
  <si>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</si>
  <si>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</si>
  <si>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</si>
  <si>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</si>
  <si>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</si>
  <si>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</si>
  <si>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</si>
  <si>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</si>
  <si>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</si>
  <si>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</si>
  <si>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</si>
  <si>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</si>
  <si>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</si>
  <si>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</si>
  <si>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</si>
  <si>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</si>
  <si>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</si>
  <si>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</si>
  <si>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</si>
  <si>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</si>
  <si>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</si>
  <si>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</si>
  <si>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</si>
  <si>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</si>
  <si>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</si>
  <si>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</si>
  <si>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</si>
  <si>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</si>
  <si>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</si>
  <si>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</si>
  <si>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</si>
  <si>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</si>
  <si>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</si>
  <si>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</si>
  <si>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</si>
  <si>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</si>
  <si>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</si>
  <si>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</si>
  <si>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</si>
  <si>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</si>
  <si>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</si>
  <si>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</si>
  <si>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</si>
  <si>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</si>
  <si>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</si>
  <si>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</si>
  <si>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</si>
  <si>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</si>
  <si>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</si>
  <si>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</si>
  <si>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</si>
  <si>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</si>
  <si>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</si>
  <si>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</si>
  <si>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</si>
  <si>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</si>
  <si>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</si>
  <si>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</si>
  <si>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</si>
  <si>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</si>
  <si>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</si>
  <si>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</si>
  <si>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</si>
  <si>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</si>
  <si>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</si>
  <si>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</si>
  <si>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</si>
  <si>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</si>
  <si>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</si>
  <si>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</si>
  <si>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</si>
  <si>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</si>
  <si>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</si>
  <si>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</si>
  <si>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</si>
  <si>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</si>
  <si>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</si>
  <si>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</si>
  <si>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</si>
  <si>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</si>
  <si>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</si>
  <si>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</si>
  <si>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</si>
  <si>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</si>
  <si>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</si>
  <si>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</si>
  <si>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</si>
  <si>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</si>
  <si>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</si>
  <si>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</si>
  <si>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</si>
  <si>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</si>
  <si>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</si>
  <si>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</si>
  <si>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</si>
  <si>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</si>
  <si>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</si>
  <si>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</si>
  <si>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</si>
  <si>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</si>
  <si>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</si>
  <si>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</si>
  <si>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</si>
  <si>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</si>
  <si>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</si>
  <si>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</si>
  <si>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</si>
  <si>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</si>
  <si>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</si>
  <si>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</si>
  <si>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</si>
  <si>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</si>
  <si>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</si>
  <si>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</si>
  <si>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</si>
  <si>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</si>
  <si>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</si>
  <si>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</si>
  <si>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</si>
  <si>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</si>
  <si>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</si>
  <si>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</si>
  <si>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</si>
  <si>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</si>
  <si>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</si>
  <si>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</si>
  <si>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</si>
  <si>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</si>
  <si>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</si>
  <si>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</si>
  <si>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</si>
  <si>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</si>
  <si>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</si>
  <si>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</si>
  <si>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</si>
  <si>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</si>
  <si>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</si>
  <si>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</si>
  <si>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</si>
  <si>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</si>
  <si>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</si>
  <si>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</si>
  <si>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</si>
  <si>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</si>
  <si>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</si>
  <si>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</si>
  <si>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</si>
  <si>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</si>
  <si>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</si>
  <si>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</si>
  <si>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</si>
  <si>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</si>
  <si>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</si>
  <si>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</si>
  <si>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</si>
  <si>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</si>
  <si>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</si>
  <si>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</si>
  <si>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</si>
  <si>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</si>
  <si>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</si>
  <si>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</si>
  <si>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</si>
  <si>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</si>
  <si>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</si>
  <si>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</si>
  <si>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</si>
  <si>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</si>
  <si>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</si>
  <si>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</si>
  <si>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</si>
  <si>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</si>
  <si>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</si>
  <si>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</si>
  <si>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</si>
  <si>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</si>
  <si>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</si>
  <si>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</si>
  <si>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</si>
  <si>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</si>
  <si>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</si>
  <si>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</si>
  <si>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</si>
  <si>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</si>
  <si>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</si>
  <si>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</si>
  <si>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</si>
  <si>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</si>
  <si>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</si>
  <si>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</si>
  <si>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</si>
  <si>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</si>
  <si>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</si>
  <si>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</si>
  <si>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</si>
  <si>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</si>
  <si>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</si>
  <si>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</si>
  <si>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</si>
  <si>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</si>
  <si>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</si>
  <si>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</si>
  <si>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</si>
  <si>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</si>
  <si>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</si>
  <si>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</si>
  <si>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</si>
  <si>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</si>
  <si>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</si>
  <si>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</si>
  <si>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</si>
  <si>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</si>
  <si>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</si>
  <si>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</si>
  <si>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</si>
  <si>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</si>
  <si>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</si>
  <si>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</si>
  <si>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</si>
  <si>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</si>
  <si>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</si>
  <si>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</si>
  <si>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</si>
  <si>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</si>
  <si>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</si>
  <si>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</si>
  <si>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</si>
  <si>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</si>
  <si>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</si>
  <si>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</si>
  <si>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</si>
  <si>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</si>
  <si>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</si>
  <si>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</si>
  <si>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Methane conversion factor</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</si>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</sst>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4" borderId="2">
      <alignment horizontal="left" vertical="center"/>
    </xf>
    <xf numFmtId="0" fontId="35" fillId="4" borderId="2">
      <alignment horizontal="left" vertical="center"/>
    </xf>
    <xf numFmtId="0" fontId="61" fillId="15" borderId="2">
      <alignment horizontal="center" vertical="center"/>
    </xf>
    <xf numFmtId="0" fontId="62" fillId="16" borderId="2">
      <alignment horizontal="center" vertical="center"/>
    </xf>
  </cellStyleXfs>
  <cellXfs count="13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60" fillId="4" borderId="2" xfId="65">
      <alignment horizontal="left" vertical="center"/>
    </xf>
    <xf numFmtId="0" fontId="35" fillId="4" borderId="2" xfId="66">
      <alignment horizontal="left" vertical="center"/>
    </xf>
    <xf numFmtId="0" fontId="61" fillId="15" borderId="2" xfId="67">
      <alignment horizontal="center" vertical="center"/>
    </xf>
    <xf numFmtId="0" fontId="62"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35" fillId="14" borderId="2" xfId="55" applyFill="1">
      <alignment horizontal="center" vertical="center"/>
    </xf>
    <xf numFmtId="0" fontId="63" fillId="4" borderId="0" xfId="8" applyFont="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3B1D119-AE36-4882-A86A-C523EA50793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7C242BB-51B4-423F-A8D2-BC23E743AC2B}" name="State/Territory">
      <calculatedColumnFormula array="1">Common_InputFunctions.Utility_DisplayArrayInTable(Common_SourceData.Common_SourceData_AustralianStatesTerritories_Data(),Table_AustralianStates[[#Headers],[State/Territory]],0)</calculatedColumnFormula>
    </tableColumn>
    <tableColumn id="2" xr3:uid="{755EF525-9892-4708-8112-D3FC5D810E35}" name="Common Name">
      <calculatedColumnFormula array="1">Common_InputFunctions.Utility_DisplayArrayInTable(Common_SourceData.Common_SourceData_AustralianStatesTerritories_Data(),Table_AustralianStates[[#Headers],[State/Territory]],0)</calculatedColumnFormula>
    </tableColumn>
    <tableColumn id="3" xr3:uid="{F3E1EE38-CE4A-4E0B-B9E9-203FC2D4BCD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AD9DB27-C0F3-47F1-9E26-32B61AC03A74}" name="Table_WASA4Areas" displayName="Table_WASA4Areas" ref="D20:D30" totalsRowShown="0">
  <autoFilter ref="D20:D30" xr:uid="{5FA81339-C6C8-4D36-BEEA-6C4AEDD9E676}">
    <filterColumn colId="0" hiddenButton="1"/>
  </autoFilter>
  <tableColumns count="1">
    <tableColumn id="1" xr3:uid="{F63BCE24-4288-4C54-84AB-8F2BAEE7932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E6DF6A3-BEFD-4C6A-8BEF-804415ECB5E4}" name="Table_GWPData" displayName="Table_GWPData" ref="D36:E43" totalsRowShown="0">
  <autoFilter ref="D36:E43" xr:uid="{B8E87A66-3E41-4AD3-925D-01EE21B43D7A}">
    <filterColumn colId="0" hiddenButton="1"/>
    <filterColumn colId="1" hiddenButton="1"/>
  </autoFilter>
  <tableColumns count="2">
    <tableColumn id="1" xr3:uid="{3EB7F9C6-2222-4699-98C4-8D80995BB551}" name="Gas">
      <calculatedColumnFormula array="1">Common_InputFunctions.Utility_DisplayArrayInTable(Common_SourceData.Common_SourceData_GWP_Data(), Table_GWPData[[#Headers],[Gas]], 0)</calculatedColumnFormula>
    </tableColumn>
    <tableColumn id="2" xr3:uid="{5B792409-270E-419D-A290-B3B8D7C30B1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A0DE11D-BE36-4C25-A45B-65CA8679D17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CF3D168-A12F-43E8-85D7-62E6D0E507B6}" name="Gas">
      <calculatedColumnFormula array="1">Common_InputFunctions.Utility_DisplayArrayInTable(Common_SourceData.Common_SourceData_ConvertGasElementalToMolecular_Data(),Table_GasToMolecularConversionFactor[[#Headers],[Gas]], 0)</calculatedColumnFormula>
    </tableColumn>
    <tableColumn id="5" xr3:uid="{E4EAE0E1-2718-46DB-8C7D-3C9370742BE8}" name="Conversion factor">
      <calculatedColumnFormula array="1">Common_InputFunctions.Utility_DisplayArrayInTable(Common_SourceData.Common_SourceData_ConvertGasElementalToMolecular_Data(),Table_GasToMolecularConversionFactor[[#Headers],[Gas]], 0)</calculatedColumnFormula>
    </tableColumn>
    <tableColumn id="2" xr3:uid="{4646E153-46BA-42A4-ADFA-394C3D97CBC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F768D75-330E-4E1B-9C46-A5613B0AEEA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BE4B44-15A5-4798-963B-BB09DAB2460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8B6FD77-14E4-4BE8-9058-941E5E30D9E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0F6EBAD-BA5B-454C-915C-884A9A40AB7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D7AC8D9-9EB0-47D9-806E-AC81058A98BE}"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4C27ED9-1413-4931-9A4F-D4FFDA5E0746}"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99C890E6-523A-43B6-8EFF-3CED5099B43B}"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8404FAB5-F155-4A1D-9D5D-EF231D470CD5}"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B2149590-2AA4-472E-85C2-8EEE94F806D4}"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6FAF9C10-4F71-45EB-937E-A6B48F24AB3A}"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7865798-26C0-436E-8D22-A62570ABCFAE}"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5EBD3B07-2DF7-4F2C-AE47-709797F0CAFA}"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523DC766-99EB-4736-9468-530DEFD393C3}"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CAC9BDD-B280-46F9-8689-DEF713A90B48}"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0ED932C-C2F2-4BBF-A976-306EF039AFCC}"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97B86707-34B4-491C-B5B6-9C97A2C4B66C}"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91FAF29-BB9B-4F5C-90A2-F932A17B744D}"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2854EE77-5E7B-43E3-A57F-1BDDD57F86CB}"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CD758545-F6EE-4A63-B29E-F48B5FEAF0E2}"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6DF7ACF-0C48-4224-99C4-EC5059D1B819}"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271FBC5-1C52-420B-9141-769BD16BA4B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2944AC3-AD2E-4190-939D-478DA214D15F}"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9DC4EB0-B7E4-4583-BEA5-856AFD9E9776}"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121535-0315-4F9E-B52E-C199FA8B2AAB}" name="Temperature Zone">
      <calculatedColumnFormula array="1">Common_InputFunctions.Utility_DisplayArrayInTable(Common_SourceData.Common_SourceData_TemperatureZones_Data(),Table_SourceData_TemperatureZones[[#Headers],[Temperature Zone]],0)</calculatedColumnFormula>
    </tableColumn>
    <tableColumn id="2" xr3:uid="{BCBF1AAD-2CE9-475A-8CDF-928707F7DAA6}" name="MAT">
      <calculatedColumnFormula array="1">Common_InputFunctions.Utility_DisplayArrayInTable(Common_SourceData.Common_SourceData_TemperatureZones_Data(),Table_SourceData_TemperatureZones[[#Headers],[Temperature Zone]],0)</calculatedColumnFormula>
    </tableColumn>
    <tableColumn id="3" xr3:uid="{0B56E810-4EE5-4520-B13A-358A744F042C}" name="Min MAT">
      <calculatedColumnFormula array="1">Common_InputFunctions.Utility_DisplayArrayInTable(Common_SourceData.Common_SourceData_TemperatureZones_Data(),Table_SourceData_TemperatureZones[[#Headers],[Temperature Zone]],0)</calculatedColumnFormula>
    </tableColumn>
    <tableColumn id="4" xr3:uid="{3586F58B-6C8B-4C19-8B74-D9EB642150A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E0009E0-04B4-4C50-8030-D113C746F92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DF0AF09-AD65-4500-BF8B-3C364B125D3F}" name="Rainfall Zone">
      <calculatedColumnFormula array="1">Common_InputFunctions.Utility_DisplayArrayInTable(Common_SourceData.Common_SourceData_RainfallZones_Data(),Table_SourceData_RainfallZones[[#Headers],[Rainfall Zone]],0)</calculatedColumnFormula>
    </tableColumn>
    <tableColumn id="2" xr3:uid="{3F479EE2-0ADC-48A2-81F6-7195669EC16F}" name="Annual rainfall">
      <calculatedColumnFormula array="1">Common_InputFunctions.Utility_DisplayArrayInTable(Common_SourceData.Common_SourceData_RainfallZones_Data(),Table_SourceData_RainfallZones[[#Headers],[Rainfall Zone]],0)</calculatedColumnFormula>
    </tableColumn>
    <tableColumn id="3" xr3:uid="{66321ADA-6F22-4172-89F0-E78A3A96EF9F}" name="Min rainfall">
      <calculatedColumnFormula array="1">Common_InputFunctions.Utility_DisplayArrayInTable(Common_SourceData.Common_SourceData_RainfallZones_Data(),Table_SourceData_RainfallZones[[#Headers],[Rainfall Zone]],0)</calculatedColumnFormula>
    </tableColumn>
    <tableColumn id="4" xr3:uid="{56980B5B-88EC-4031-8C4A-B19CE7B44C7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D54477F-BE1F-43C2-8F1C-B6AA54EC00D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217CA27-53C4-4E35-A087-FDDBD9F94030}" name="Leaching Zone">
      <calculatedColumnFormula array="1">Common_InputFunctions.Utility_DisplayArrayInTable(Common_SourceData.Common_SourceData_LeachingZones_Data(), Table_SourceData_LeachingZones[[#Headers],[Leaching Zone]], 0)</calculatedColumnFormula>
    </tableColumn>
    <tableColumn id="2" xr3:uid="{ED90CE9D-0DE4-47F4-A6FB-385401DCE2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408603-DA46-421E-A8F5-AF040D1456A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CAC6AF4-946A-4525-B1B5-DE4FB3BF4592}" name="Data source">
      <calculatedColumnFormula array="1">Common_InputFunctions.Utility_DisplayArrayInTable(Common_SourceData.Common_SourceData_DataScores_Scope3_Data(), Table_SourceData_DataScores_Scope3[[#Headers],[Data source]], 0)</calculatedColumnFormula>
    </tableColumn>
    <tableColumn id="2" xr3:uid="{7663365C-00F2-466F-9DFC-03D11587663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0EB687A-8167-441C-A98A-B0093FFF5073}" name="Table_SourceData_FracWET" displayName="Table_SourceData_FracWET" ref="D134:E136" totalsRowShown="0">
  <autoFilter ref="D134:E136" xr:uid="{308E99BE-FE1F-47A4-B2CA-97217277C4E9}">
    <filterColumn colId="0" hiddenButton="1"/>
    <filterColumn colId="1" hiddenButton="1"/>
  </autoFilter>
  <tableColumns count="2">
    <tableColumn id="1" xr3:uid="{E0EDD8E8-5C30-4980-B532-D077D1342F55}" name="Is in leaching zone">
      <calculatedColumnFormula array="1">Common_InputFunctions.Utility_DisplayArrayInTable(Common_SourceData.Common_SourceData_FracWET_Data(),Table_SourceData_FracWET[[#Headers],[Is in leaching zone]],0)</calculatedColumnFormula>
    </tableColumn>
    <tableColumn id="2" xr3:uid="{640C967A-A7E6-47BC-A125-9E34FC97D19B}"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BBDED0F-A082-4E38-A730-6B54F100546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8A5E791-7EC8-471A-896B-79D9B8CA6B6D}" name="Production system j">
      <calculatedColumnFormula array="1">Common_InputFunctions.Utility_DisplayArrayInTable(Common_SourceData.Common_SourceData_EFN2O_Data(), Table_SourceData_Common_EFN2O[[#Headers],[Production system j]], 0)</calculatedColumnFormula>
    </tableColumn>
    <tableColumn id="2" xr3:uid="{A43EBE5D-8CC7-4C0A-8046-B8D0E86E212D}" name="EFN2O">
      <calculatedColumnFormula array="1">Common_InputFunctions.Utility_DisplayArrayInTable(Common_SourceData.Common_SourceData_EFN2O_Data(), Table_SourceData_Common_EFN2O[[#Headers],[Production system j]], 0)</calculatedColumnFormula>
    </tableColumn>
    <tableColumn id="3" xr3:uid="{73778775-C182-4844-A8DD-5D29CC4492D9}" name="Production system only">
      <calculatedColumnFormula array="1">Common_InputFunctions.Utility_DisplayArrayInTable(Common_SourceData.Common_SourceData_EFN2O_Data(), Table_SourceData_Common_EFN2O[[#Headers],[Production system j]], 0)</calculatedColumnFormula>
    </tableColumn>
    <tableColumn id="4" xr3:uid="{58F54CB8-EAEE-4B7E-95F9-516199121632}" name="Irrigation method">
      <calculatedColumnFormula array="1">Common_InputFunctions.Utility_DisplayArrayInTable(Common_SourceData.Common_SourceData_EFN2O_Data(), Table_SourceData_Common_EFN2O[[#Headers],[Production system j]], 0)</calculatedColumnFormula>
    </tableColumn>
    <tableColumn id="5" xr3:uid="{195F57C0-0476-4870-9B0B-8DC45478E73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890194F-3644-4E7E-9F32-1D8579630B2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660F8AF-06C4-444B-909A-C7DEB94C6063}" name="Irrigation type i">
      <calculatedColumnFormula array="1">Common_InputFunctions.Utility_DisplayArrayInTable(Common_SourceData.Common_SourceData_FracWETIrrigation_Data(), Table_SourceData_FracWETIrrigation[[#Headers],[Irrigation type i]], 0)</calculatedColumnFormula>
    </tableColumn>
    <tableColumn id="2" xr3:uid="{50F6B56B-7701-4FFA-96C8-33D110261069}"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0FC6200-342C-436C-8038-ED5EAF59376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E507615-79DC-4CFB-8830-FF8BE120BA7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34501F0-A89E-4116-BA95-70287FF5C983}"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7F4C072-3A77-4172-ABA5-E214F7D5DE6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831DA29-D20A-4178-8784-FD4E7BF8F065}" name="Month">
      <calculatedColumnFormula array="1">Common_InputFunctions.Utility_DisplayArrayInTable(Common_SourceData.Common_SourceData_MonthsToSeasons_Data(), Table_SourceData_Common_MonthToSeason[[#Headers],[Month]], 0)</calculatedColumnFormula>
    </tableColumn>
    <tableColumn id="2" xr3:uid="{D5DFBC4A-8915-4694-8151-AD8ABD10F441}"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7011D9F-092D-4F38-9A18-3D63607C3A3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EA3BB5D-268F-4AE9-B3B8-0C2F4E50C58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C94923A-D7C2-4051-BDD8-91C0D35864A5}"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CD5F318-6A9E-40FC-BC79-6EC488136CEC}"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9BBFE6C-F111-41EC-81E7-F4EAB0A9D5EC}"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013E0A3-185E-4369-9171-0F8BF77FDA96}"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E5B2E2-CAF4-471D-A0E0-0C926E7FBB62}"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4DABEB7-C68C-43FA-8A3E-E208ED444B93}"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67CF7-6361-4051-B2D3-6F9998387F6A}"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38D4E36-9D97-4B0B-81FF-3F86AD43AFE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FEC635F-D027-4431-AE82-0E41CC2F15E0}"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94B0ACC-CEDE-430C-AD86-FF115D425BB7}"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99F7296-C242-4F97-9551-5B322DDC23CA}"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D4D342D-7FBD-4C5F-AB1E-FC7ED5C82C79}"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5A7BA27-604E-4278-B1CE-EEF41D9A8F81}"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B987EE2-EC7C-493C-8A4A-AEEBD8F6AD6F}"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32D4467-904E-487F-8B40-0B769499F342}"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1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8" t="e" vm="1">
        <v>#VALUE!</v>
      </c>
      <c r="C1" s="116" t="s">
        <v>162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5" t="s">
        <v>114</v>
      </c>
      <c r="E6" s="115" t="s">
        <v>157</v>
      </c>
      <c r="F6" s="115" t="s">
        <v>158</v>
      </c>
      <c r="G6" s="115" t="s">
        <v>127</v>
      </c>
      <c r="H6" s="115" t="s">
        <v>159</v>
      </c>
      <c r="I6" s="115" t="s">
        <v>160</v>
      </c>
      <c r="J6" s="115" t="s">
        <v>128</v>
      </c>
      <c r="K6" s="22"/>
    </row>
    <row r="7" spans="1:11" ht="20.100000000000001" customHeight="1" x14ac:dyDescent="0.25">
      <c r="A7" s="17" t="str">
        <f>HYPERLINK("#'Input - Site'!A1", "Site")</f>
        <v>Site</v>
      </c>
      <c r="C7" s="22"/>
      <c r="D7" s="1" t="s">
        <v>163</v>
      </c>
      <c r="E7" s="112">
        <f>'4.2.1.1-2 Methane'!$E$244</f>
        <v>2.3956065897405399</v>
      </c>
      <c r="F7" s="112">
        <f>'4.2.1.1-2 Methane'!X276</f>
        <v>2.1745073472420153</v>
      </c>
      <c r="G7" s="54" t="s">
        <v>148</v>
      </c>
      <c r="H7" s="112">
        <f>'4.2.1.1-2 Methane'!$E$249</f>
        <v>67.076984512735123</v>
      </c>
      <c r="I7" s="112">
        <f>'4.2.1.1-2 Methane'!$X$281</f>
        <v>60.886205722776431</v>
      </c>
      <c r="J7" s="54" t="s">
        <v>153</v>
      </c>
      <c r="K7" s="22"/>
    </row>
    <row r="8" spans="1:11" ht="20.100000000000001" customHeight="1" x14ac:dyDescent="0.25">
      <c r="A8" s="17" t="str">
        <f>HYPERLINK("#'Input - Pasture Beef'!A1", "Pasture Beef")</f>
        <v>Pasture Beef</v>
      </c>
      <c r="C8" s="22"/>
      <c r="D8" s="1" t="s">
        <v>304</v>
      </c>
      <c r="E8" s="112">
        <f>'4.2.1.3-4 Soil direct N20'!$E$229</f>
        <v>0.21126043822504445</v>
      </c>
      <c r="F8" s="112">
        <f>'4.2.1.3-4 Soil direct N20'!$V$267</f>
        <v>0.18859599419036183</v>
      </c>
      <c r="G8" s="54" t="s">
        <v>303</v>
      </c>
      <c r="H8" s="112">
        <f>'4.2.1.3-4 Soil direct N20'!$E$234</f>
        <v>55.984016129636778</v>
      </c>
      <c r="I8" s="112">
        <f>'4.2.1.3-4 Soil direct N20'!$V$272</f>
        <v>49.977938460445884</v>
      </c>
      <c r="J8" s="54" t="s">
        <v>153</v>
      </c>
      <c r="K8" s="22"/>
    </row>
    <row r="9" spans="1:11" ht="20.100000000000001" customHeight="1" x14ac:dyDescent="0.25">
      <c r="A9" s="17"/>
      <c r="C9" s="22"/>
      <c r="D9" s="1" t="s">
        <v>305</v>
      </c>
      <c r="E9" s="112">
        <f>'4.2.1.5-6 Soil Atmos Dep'!$E$35</f>
        <v>3.9928222824533406E-2</v>
      </c>
      <c r="F9" s="112">
        <f>'4.2.1.5-6 Soil Atmos Dep'!$M$35</f>
        <v>3.5644642901978378E-2</v>
      </c>
      <c r="G9" s="54" t="str">
        <f>'4.2.1.5-6 Soil Atmos Dep'!$F$35</f>
        <v>t N2O</v>
      </c>
      <c r="H9" s="112">
        <f>'4.2.1.5-6 Soil Atmos Dep'!$E$40</f>
        <v>10.580979048501353</v>
      </c>
      <c r="I9" s="112">
        <f>'4.2.1.5-6 Soil Atmos Dep'!$M$40</f>
        <v>9.4458303690242698</v>
      </c>
      <c r="J9" s="54" t="s">
        <v>153</v>
      </c>
      <c r="K9" s="22"/>
    </row>
    <row r="10" spans="1:11" ht="20.100000000000001" customHeight="1" x14ac:dyDescent="0.25">
      <c r="A10" s="19" t="s">
        <v>77</v>
      </c>
      <c r="C10" s="22"/>
      <c r="D10" s="1" t="s">
        <v>306</v>
      </c>
      <c r="E10" s="112">
        <f>'4.2.1.7-8 Soil leach runoff'!$E$36</f>
        <v>0</v>
      </c>
      <c r="F10" s="112">
        <f>'4.2.1.7-8 Soil leach runoff'!$L$36</f>
        <v>0</v>
      </c>
      <c r="G10" s="54" t="str">
        <f>'4.2.1.7-8 Soil leach runoff'!$F$36</f>
        <v>t N2O</v>
      </c>
      <c r="H10" s="112">
        <f>'4.2.1.7-8 Soil leach runoff'!$E$41</f>
        <v>0</v>
      </c>
      <c r="I10" s="112">
        <f>'4.2.1.7-8 Soil leach runoff'!$L$41</f>
        <v>0</v>
      </c>
      <c r="J10" s="54" t="s">
        <v>153</v>
      </c>
      <c r="K10" s="22"/>
    </row>
    <row r="11" spans="1:11" ht="20.100000000000001" customHeight="1" x14ac:dyDescent="0.3">
      <c r="A11" s="17" t="str">
        <f>HYPERLINK("#'4.2.1.1-2 Methane'!A1", "4.2.1.1-2 Methane")</f>
        <v>4.2.1.1-2 Methane</v>
      </c>
      <c r="C11" s="22"/>
      <c r="D11" s="29" t="s">
        <v>126</v>
      </c>
      <c r="E11" s="23"/>
      <c r="F11" s="23"/>
      <c r="G11" s="29"/>
      <c r="H11" s="114">
        <f>SUM(H7:H10)</f>
        <v>133.64197969087326</v>
      </c>
      <c r="I11" s="114">
        <f>SUM(I7:I10)</f>
        <v>120.30997455224659</v>
      </c>
      <c r="J11" s="105" t="s">
        <v>153</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A3" sqref="A3:A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9"/>
      <c r="D4" s="69"/>
      <c r="E4" s="69"/>
      <c r="F4" s="69"/>
      <c r="G4" s="69"/>
      <c r="H4" s="69"/>
      <c r="I4" s="69"/>
      <c r="J4" s="69"/>
      <c r="K4" s="69"/>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7" t="str">
        <f>HYPERLINK("#'Input - Site'!A1", "Site")</f>
        <v>Site</v>
      </c>
      <c r="D7" s="1" t="s">
        <v>7</v>
      </c>
      <c r="E7" s="33" t="s">
        <v>6</v>
      </c>
      <c r="F7" s="2"/>
    </row>
    <row r="8" spans="1:24" ht="20.100000000000001" customHeight="1" x14ac:dyDescent="0.25">
      <c r="A8" s="17" t="str">
        <f>HYPERLINK("#'Input - Pasture Beef'!A1", "Pasture Beef")</f>
        <v>Pasture Beef</v>
      </c>
      <c r="D8" s="10" t="s">
        <v>73</v>
      </c>
      <c r="E8" s="33" t="s">
        <v>74</v>
      </c>
    </row>
    <row r="9" spans="1:24" ht="20.100000000000001" customHeight="1" x14ac:dyDescent="0.25">
      <c r="A9" s="17"/>
      <c r="N9" s="42"/>
    </row>
    <row r="10" spans="1:24" ht="20.100000000000001" customHeight="1" x14ac:dyDescent="0.25">
      <c r="A10" s="19" t="s">
        <v>77</v>
      </c>
      <c r="D10" s="94" t="s">
        <v>91</v>
      </c>
      <c r="E10" s="92"/>
      <c r="F10" s="95"/>
      <c r="G10" s="89"/>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97</v>
      </c>
      <c r="E12" s="64">
        <v>45292</v>
      </c>
      <c r="F12" s="2" t="s">
        <v>71</v>
      </c>
    </row>
    <row r="13" spans="1:24" ht="20.100000000000001" customHeight="1" x14ac:dyDescent="0.25">
      <c r="A13" s="17" t="str">
        <f>HYPERLINK("#'4.2.1.5-6 Soil Atmos Dep'!A1", "4.2.1.5-6 Soil atm. deposition")</f>
        <v>4.2.1.5-6 Soil atm. deposition</v>
      </c>
      <c r="D13" s="10" t="s">
        <v>98</v>
      </c>
      <c r="E13" s="70">
        <f>DATE(YEAR(E12)+1,MONTH(E12),DAY(E12))-1</f>
        <v>45657</v>
      </c>
      <c r="F13" s="2" t="s">
        <v>17</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14</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6" t="s">
        <v>16</v>
      </c>
      <c r="E18" s="91"/>
      <c r="F18" s="91"/>
      <c r="G18" s="87"/>
    </row>
    <row r="19" spans="1:25" ht="20.100000000000001" customHeight="1" x14ac:dyDescent="0.25">
      <c r="A19" s="17" t="str">
        <f>HYPERLINK("#'Constants - Common'!A1", "Constants - Common")</f>
        <v>Constants - Common</v>
      </c>
      <c r="D19" s="93" t="s">
        <v>72</v>
      </c>
      <c r="E19" s="90"/>
      <c r="F19" s="90"/>
      <c r="G19" s="88"/>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8</v>
      </c>
      <c r="E21" s="39" t="s">
        <v>218</v>
      </c>
      <c r="F21" s="2" t="s">
        <v>11</v>
      </c>
    </row>
    <row r="22" spans="1:25" ht="20.100000000000001" customHeight="1" x14ac:dyDescent="0.25">
      <c r="A22" s="17"/>
      <c r="D22" s="1" t="s">
        <v>26</v>
      </c>
      <c r="E22" s="39" t="s">
        <v>35</v>
      </c>
      <c r="F22" s="2" t="s">
        <v>11</v>
      </c>
      <c r="G22" s="1"/>
    </row>
    <row r="23" spans="1:25" ht="20.100000000000001" customHeight="1" x14ac:dyDescent="0.25">
      <c r="A23" s="17"/>
      <c r="D23" s="1" t="s">
        <v>9</v>
      </c>
      <c r="E23" s="39" t="s">
        <v>96</v>
      </c>
      <c r="F23" s="2" t="s">
        <v>11</v>
      </c>
    </row>
    <row r="24" spans="1:25" ht="20.100000000000001" customHeight="1" x14ac:dyDescent="0.25">
      <c r="A24" s="17"/>
      <c r="D24" s="1" t="s">
        <v>40</v>
      </c>
      <c r="E24" s="33">
        <v>307.7</v>
      </c>
      <c r="F24" s="2" t="s">
        <v>54</v>
      </c>
    </row>
    <row r="25" spans="1:25" ht="20.100000000000001" customHeight="1" x14ac:dyDescent="0.25">
      <c r="A25"/>
      <c r="D25" s="1" t="s">
        <v>62</v>
      </c>
      <c r="E25" s="33">
        <v>18</v>
      </c>
      <c r="F25" s="2" t="s">
        <v>12</v>
      </c>
      <c r="N25" s="41"/>
    </row>
    <row r="26" spans="1:25" ht="20.100000000000001" customHeight="1" x14ac:dyDescent="0.25">
      <c r="A26"/>
      <c r="D26" s="1" t="s">
        <v>63</v>
      </c>
      <c r="E26" s="33">
        <v>601</v>
      </c>
      <c r="F26" s="2" t="s">
        <v>13</v>
      </c>
    </row>
    <row r="27" spans="1:25" ht="20.100000000000001" customHeight="1" x14ac:dyDescent="0.25">
      <c r="A27"/>
      <c r="D27" s="10" t="s">
        <v>64</v>
      </c>
      <c r="E27" s="33">
        <v>1326</v>
      </c>
      <c r="F27" s="2" t="s">
        <v>13</v>
      </c>
    </row>
    <row r="28" spans="1:25" ht="20.100000000000001" customHeight="1" x14ac:dyDescent="0.25">
      <c r="A28"/>
      <c r="D28" s="1" t="s">
        <v>65</v>
      </c>
      <c r="E28" s="33">
        <v>7</v>
      </c>
      <c r="F28" s="2" t="s">
        <v>55</v>
      </c>
    </row>
    <row r="29" spans="1:25" ht="20.100000000000001" customHeight="1" x14ac:dyDescent="0.25">
      <c r="A29"/>
      <c r="D29" s="10" t="s">
        <v>61</v>
      </c>
      <c r="E29" s="52">
        <f>E26/E27</f>
        <v>0.45324283559577677</v>
      </c>
      <c r="F29" s="2"/>
    </row>
    <row r="30" spans="1:25" ht="20.100000000000001" customHeight="1" x14ac:dyDescent="0.25">
      <c r="A30"/>
      <c r="D30" s="10" t="s">
        <v>36</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93</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53</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G54" s="82"/>
    </row>
    <row r="55" spans="4:8" ht="20.100000000000001" customHeight="1" x14ac:dyDescent="0.25">
      <c r="D55" s="6"/>
    </row>
    <row r="56" spans="4:8" ht="20.100000000000001" customHeight="1" x14ac:dyDescent="0.25"/>
    <row r="57" spans="4:8" ht="20.100000000000001" customHeight="1" x14ac:dyDescent="0.25">
      <c r="D57" s="21"/>
      <c r="F57" s="83"/>
    </row>
    <row r="58" spans="4:8" ht="20.100000000000001" customHeight="1" x14ac:dyDescent="0.25">
      <c r="D58" s="1"/>
      <c r="E58" s="84"/>
    </row>
    <row r="59" spans="4:8" ht="20.100000000000001" customHeight="1" x14ac:dyDescent="0.25">
      <c r="D59" s="1"/>
      <c r="E59" s="84"/>
    </row>
    <row r="60" spans="4:8" ht="20.100000000000001" customHeight="1" x14ac:dyDescent="0.25">
      <c r="D60" s="1"/>
      <c r="E60" s="85"/>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4"/>
    </row>
    <row r="65" spans="4:9" ht="20.100000000000001" customHeight="1" x14ac:dyDescent="0.25">
      <c r="D65" s="1"/>
      <c r="E65" s="84"/>
    </row>
    <row r="66" spans="4:9" ht="20.100000000000001" customHeight="1" x14ac:dyDescent="0.25">
      <c r="D66" s="1"/>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H109" zoomScale="115" zoomScaleNormal="115" workbookViewId="0">
      <selection activeCell="N126" sqref="N12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8" customFormat="1" ht="30" customHeight="1" x14ac:dyDescent="0.35">
      <c r="A1" s="68" t="e" vm="1">
        <v>#VALUE!</v>
      </c>
      <c r="C1" s="68" t="s">
        <v>161</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101</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2" t="str">
        <f>'Input - Site'!$E$21</f>
        <v>Western Australia</v>
      </c>
      <c r="P7" s="3"/>
      <c r="T7" s="7"/>
    </row>
    <row r="8" spans="1:25" ht="20.100000000000001" customHeight="1" x14ac:dyDescent="0.25">
      <c r="A8" s="17" t="str">
        <f>HYPERLINK("#'Input - Pasture Beef'!A1", "Pasture Beef")</f>
        <v>Pasture Beef</v>
      </c>
      <c r="D8" s="1" t="s">
        <v>204</v>
      </c>
      <c r="E8" s="39" t="s">
        <v>209</v>
      </c>
      <c r="F8" s="2" t="s">
        <v>11</v>
      </c>
      <c r="P8" s="3"/>
      <c r="T8" s="7"/>
    </row>
    <row r="9" spans="1:25" ht="20.100000000000001" customHeight="1" x14ac:dyDescent="0.25">
      <c r="A9" s="17"/>
      <c r="D9" s="1" t="s">
        <v>231</v>
      </c>
      <c r="E9" s="39" t="s">
        <v>239</v>
      </c>
      <c r="F9" s="2" t="s">
        <v>11</v>
      </c>
      <c r="T9" s="7"/>
    </row>
    <row r="10" spans="1:25" ht="20.100000000000001" customHeight="1" x14ac:dyDescent="0.25">
      <c r="A10" s="19" t="s">
        <v>77</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4" t="s">
        <v>181</v>
      </c>
      <c r="E12" s="95"/>
      <c r="F12" s="95"/>
      <c r="G12" s="89"/>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178</v>
      </c>
      <c r="T14" s="38"/>
    </row>
    <row r="15" spans="1:25" ht="20.100000000000001" customHeight="1" x14ac:dyDescent="0.25">
      <c r="A15" s="17"/>
      <c r="D15" s="63" t="s">
        <v>179</v>
      </c>
      <c r="E15" s="63" t="s">
        <v>131</v>
      </c>
      <c r="F15" s="63" t="s">
        <v>130</v>
      </c>
      <c r="G15" s="63" t="s">
        <v>165</v>
      </c>
      <c r="H15" s="63" t="s">
        <v>166</v>
      </c>
      <c r="I15" s="63" t="s">
        <v>167</v>
      </c>
      <c r="J15" s="63" t="s">
        <v>168</v>
      </c>
      <c r="K15" s="63" t="s">
        <v>169</v>
      </c>
      <c r="L15" s="63" t="s">
        <v>170</v>
      </c>
      <c r="M15" s="63" t="s">
        <v>171</v>
      </c>
      <c r="N15" s="63" t="s">
        <v>172</v>
      </c>
      <c r="T15" s="38"/>
    </row>
    <row r="16" spans="1:25" ht="20.100000000000001" customHeight="1" x14ac:dyDescent="0.25">
      <c r="A16" s="18" t="s">
        <v>4</v>
      </c>
      <c r="D16" s="1" t="s">
        <v>173</v>
      </c>
      <c r="E16" s="52">
        <v>91.25</v>
      </c>
      <c r="F16" s="52">
        <v>91.25</v>
      </c>
      <c r="G16" s="52">
        <v>91.25</v>
      </c>
      <c r="H16" s="52">
        <v>91.25</v>
      </c>
      <c r="I16" s="52">
        <v>91.25</v>
      </c>
      <c r="J16" s="52">
        <v>91.25</v>
      </c>
      <c r="K16" s="52">
        <v>91.25</v>
      </c>
      <c r="L16" s="52">
        <v>91.25</v>
      </c>
      <c r="M16" s="52">
        <v>91.25</v>
      </c>
      <c r="N16" s="52">
        <v>91.25</v>
      </c>
      <c r="O16" s="2" t="s">
        <v>55</v>
      </c>
      <c r="T16" s="38"/>
    </row>
    <row r="17" spans="1:20" ht="20.100000000000001" customHeight="1" x14ac:dyDescent="0.25">
      <c r="A17" s="17" t="str">
        <f>HYPERLINK("#'Constants - Pasture Beef'!A1", "Constants - Pasture Beef")</f>
        <v>Constants - Pasture Beef</v>
      </c>
      <c r="D17" s="1" t="s">
        <v>174</v>
      </c>
      <c r="E17" s="52">
        <v>91.25</v>
      </c>
      <c r="F17" s="52">
        <v>91.25</v>
      </c>
      <c r="G17" s="52">
        <v>91.25</v>
      </c>
      <c r="H17" s="52">
        <v>91.25</v>
      </c>
      <c r="I17" s="52">
        <v>91.25</v>
      </c>
      <c r="J17" s="52">
        <v>91.25</v>
      </c>
      <c r="K17" s="52">
        <v>91.25</v>
      </c>
      <c r="L17" s="52">
        <v>91.25</v>
      </c>
      <c r="M17" s="52">
        <v>91.25</v>
      </c>
      <c r="N17" s="52">
        <v>91.25</v>
      </c>
      <c r="O17" s="2" t="s">
        <v>55</v>
      </c>
      <c r="T17" s="7"/>
    </row>
    <row r="18" spans="1:20" ht="20.100000000000001" customHeight="1" x14ac:dyDescent="0.25">
      <c r="A18" s="17" t="str">
        <f>HYPERLINK("#'Constants - Livestock'!A1", "Constants - Livestock")</f>
        <v>Constants - Livestock</v>
      </c>
      <c r="D18" s="1" t="s">
        <v>175</v>
      </c>
      <c r="E18" s="52">
        <v>91.25</v>
      </c>
      <c r="F18" s="52">
        <v>91.25</v>
      </c>
      <c r="G18" s="52">
        <v>91.25</v>
      </c>
      <c r="H18" s="52">
        <v>91.25</v>
      </c>
      <c r="I18" s="52">
        <v>91.25</v>
      </c>
      <c r="J18" s="52">
        <v>91.25</v>
      </c>
      <c r="K18" s="52">
        <v>91.25</v>
      </c>
      <c r="L18" s="52">
        <v>91.25</v>
      </c>
      <c r="M18" s="52">
        <v>91.25</v>
      </c>
      <c r="N18" s="52">
        <v>91.25</v>
      </c>
      <c r="O18" s="2" t="s">
        <v>55</v>
      </c>
      <c r="T18" s="7"/>
    </row>
    <row r="19" spans="1:20" ht="20.100000000000001" customHeight="1" x14ac:dyDescent="0.25">
      <c r="A19" s="17" t="str">
        <f>HYPERLINK("#'Constants - Common'!A1", "Constants - Common")</f>
        <v>Constants - Common</v>
      </c>
      <c r="D19" s="1" t="s">
        <v>176</v>
      </c>
      <c r="E19" s="52">
        <v>91.25</v>
      </c>
      <c r="F19" s="52">
        <v>91.25</v>
      </c>
      <c r="G19" s="52">
        <v>91.25</v>
      </c>
      <c r="H19" s="52">
        <v>91.25</v>
      </c>
      <c r="I19" s="52">
        <v>91.25</v>
      </c>
      <c r="J19" s="52">
        <v>91.25</v>
      </c>
      <c r="K19" s="52">
        <v>91.25</v>
      </c>
      <c r="L19" s="52">
        <v>91.25</v>
      </c>
      <c r="M19" s="52">
        <v>91.25</v>
      </c>
      <c r="N19" s="52">
        <v>91.25</v>
      </c>
      <c r="O19" s="2" t="s">
        <v>55</v>
      </c>
      <c r="T19" s="7"/>
    </row>
    <row r="20" spans="1:20" ht="20.100000000000001" customHeight="1" x14ac:dyDescent="0.25">
      <c r="A20" s="17" t="str">
        <f>HYPERLINK("#'Acknowledgements'!A1", "Acknowledgements")</f>
        <v>Acknowledgements</v>
      </c>
      <c r="T20" s="7"/>
    </row>
    <row r="21" spans="1:20" ht="20.100000000000001" customHeight="1" x14ac:dyDescent="0.25">
      <c r="D21" s="63" t="s">
        <v>180</v>
      </c>
      <c r="E21" s="63" t="s">
        <v>131</v>
      </c>
      <c r="F21" s="63" t="s">
        <v>130</v>
      </c>
      <c r="G21" s="63" t="s">
        <v>165</v>
      </c>
      <c r="H21" s="63" t="s">
        <v>166</v>
      </c>
      <c r="I21" s="63" t="s">
        <v>167</v>
      </c>
      <c r="J21" s="63" t="s">
        <v>168</v>
      </c>
      <c r="K21" s="63" t="s">
        <v>169</v>
      </c>
      <c r="L21" s="63" t="s">
        <v>170</v>
      </c>
      <c r="M21" s="63" t="s">
        <v>171</v>
      </c>
      <c r="N21" s="63" t="s">
        <v>172</v>
      </c>
      <c r="T21" s="7"/>
    </row>
    <row r="22" spans="1:20" ht="20.100000000000001" customHeight="1" x14ac:dyDescent="0.25">
      <c r="A22" s="17"/>
      <c r="D22" s="1" t="str">
        <f>TEXT('Input - Site'!$E$12, "mmmm yyyy")</f>
        <v>January 2024</v>
      </c>
      <c r="E22" s="66">
        <f t="shared" ref="E22:N33" si="0">DAY(EOMONTH($D22,0))</f>
        <v>31</v>
      </c>
      <c r="F22" s="66">
        <f t="shared" si="0"/>
        <v>31</v>
      </c>
      <c r="G22" s="66">
        <f t="shared" si="0"/>
        <v>31</v>
      </c>
      <c r="H22" s="66">
        <f t="shared" si="0"/>
        <v>31</v>
      </c>
      <c r="I22" s="66">
        <f t="shared" si="0"/>
        <v>31</v>
      </c>
      <c r="J22" s="66">
        <f t="shared" si="0"/>
        <v>31</v>
      </c>
      <c r="K22" s="66">
        <f t="shared" si="0"/>
        <v>31</v>
      </c>
      <c r="L22" s="66">
        <f t="shared" si="0"/>
        <v>31</v>
      </c>
      <c r="M22" s="66">
        <f t="shared" si="0"/>
        <v>31</v>
      </c>
      <c r="N22" s="66">
        <f t="shared" si="0"/>
        <v>31</v>
      </c>
      <c r="O22" s="2" t="s">
        <v>55</v>
      </c>
      <c r="T22" s="7"/>
    </row>
    <row r="23" spans="1:20" ht="20.100000000000001" customHeight="1" x14ac:dyDescent="0.25">
      <c r="A23" s="17"/>
      <c r="D23" s="1" t="str">
        <f>TEXT(EDATE('Input - Site'!$E$12,1), "mmmm yyyy")</f>
        <v>February 2024</v>
      </c>
      <c r="E23" s="66">
        <f t="shared" si="0"/>
        <v>29</v>
      </c>
      <c r="F23" s="66">
        <f t="shared" si="0"/>
        <v>29</v>
      </c>
      <c r="G23" s="66">
        <f t="shared" si="0"/>
        <v>29</v>
      </c>
      <c r="H23" s="66">
        <f t="shared" si="0"/>
        <v>29</v>
      </c>
      <c r="I23" s="66">
        <f t="shared" si="0"/>
        <v>29</v>
      </c>
      <c r="J23" s="66">
        <f t="shared" si="0"/>
        <v>29</v>
      </c>
      <c r="K23" s="66">
        <f t="shared" si="0"/>
        <v>29</v>
      </c>
      <c r="L23" s="66">
        <f t="shared" si="0"/>
        <v>29</v>
      </c>
      <c r="M23" s="66">
        <f t="shared" si="0"/>
        <v>29</v>
      </c>
      <c r="N23" s="66">
        <f t="shared" si="0"/>
        <v>29</v>
      </c>
      <c r="O23" s="2" t="s">
        <v>55</v>
      </c>
      <c r="T23" s="7"/>
    </row>
    <row r="24" spans="1:20" ht="20.100000000000001" customHeight="1" x14ac:dyDescent="0.25">
      <c r="A24" s="17"/>
      <c r="D24" s="1" t="str">
        <f>TEXT(EDATE('Input - Site'!$E$12,2), "mmmm yyyy")</f>
        <v>March 2024</v>
      </c>
      <c r="E24" s="66">
        <f t="shared" si="0"/>
        <v>31</v>
      </c>
      <c r="F24" s="66">
        <f t="shared" si="0"/>
        <v>31</v>
      </c>
      <c r="G24" s="66">
        <f t="shared" si="0"/>
        <v>31</v>
      </c>
      <c r="H24" s="66">
        <f t="shared" si="0"/>
        <v>31</v>
      </c>
      <c r="I24" s="66">
        <f t="shared" si="0"/>
        <v>31</v>
      </c>
      <c r="J24" s="66">
        <f t="shared" si="0"/>
        <v>31</v>
      </c>
      <c r="K24" s="66">
        <f t="shared" si="0"/>
        <v>31</v>
      </c>
      <c r="L24" s="66">
        <f t="shared" si="0"/>
        <v>31</v>
      </c>
      <c r="M24" s="66">
        <f t="shared" si="0"/>
        <v>31</v>
      </c>
      <c r="N24" s="66">
        <f t="shared" si="0"/>
        <v>31</v>
      </c>
      <c r="O24" s="2" t="s">
        <v>55</v>
      </c>
      <c r="T24" s="7"/>
    </row>
    <row r="25" spans="1:20" ht="20.100000000000001" customHeight="1" x14ac:dyDescent="0.25">
      <c r="D25" s="1" t="str">
        <f>TEXT(EDATE('Input - Site'!$E$12,3), "mmmm yyyy")</f>
        <v>April 2024</v>
      </c>
      <c r="E25" s="66">
        <f t="shared" si="0"/>
        <v>30</v>
      </c>
      <c r="F25" s="66">
        <f t="shared" si="0"/>
        <v>30</v>
      </c>
      <c r="G25" s="66">
        <f t="shared" si="0"/>
        <v>30</v>
      </c>
      <c r="H25" s="66">
        <f t="shared" si="0"/>
        <v>30</v>
      </c>
      <c r="I25" s="66">
        <f t="shared" si="0"/>
        <v>30</v>
      </c>
      <c r="J25" s="66">
        <f t="shared" si="0"/>
        <v>30</v>
      </c>
      <c r="K25" s="66">
        <f t="shared" si="0"/>
        <v>30</v>
      </c>
      <c r="L25" s="66">
        <f t="shared" si="0"/>
        <v>30</v>
      </c>
      <c r="M25" s="66">
        <f t="shared" si="0"/>
        <v>30</v>
      </c>
      <c r="N25" s="66">
        <f t="shared" si="0"/>
        <v>30</v>
      </c>
      <c r="O25" s="2" t="s">
        <v>55</v>
      </c>
      <c r="T25" s="7"/>
    </row>
    <row r="26" spans="1:20" ht="20.100000000000001" customHeight="1" x14ac:dyDescent="0.25">
      <c r="A26" s="17"/>
      <c r="D26" s="1" t="str">
        <f>TEXT(EDATE('Input - Site'!$E$12,4), "mmmm yyyy")</f>
        <v>May 2024</v>
      </c>
      <c r="E26" s="66">
        <f t="shared" si="0"/>
        <v>31</v>
      </c>
      <c r="F26" s="66">
        <f t="shared" si="0"/>
        <v>31</v>
      </c>
      <c r="G26" s="66">
        <f t="shared" si="0"/>
        <v>31</v>
      </c>
      <c r="H26" s="66">
        <f t="shared" si="0"/>
        <v>31</v>
      </c>
      <c r="I26" s="66">
        <f t="shared" si="0"/>
        <v>31</v>
      </c>
      <c r="J26" s="66">
        <f t="shared" si="0"/>
        <v>31</v>
      </c>
      <c r="K26" s="66">
        <f t="shared" si="0"/>
        <v>31</v>
      </c>
      <c r="L26" s="66">
        <f t="shared" si="0"/>
        <v>31</v>
      </c>
      <c r="M26" s="66">
        <f t="shared" si="0"/>
        <v>31</v>
      </c>
      <c r="N26" s="66">
        <f t="shared" si="0"/>
        <v>31</v>
      </c>
      <c r="O26" s="2" t="s">
        <v>55</v>
      </c>
      <c r="T26" s="7"/>
    </row>
    <row r="27" spans="1:20" ht="20.100000000000001" customHeight="1" x14ac:dyDescent="0.25">
      <c r="A27" s="17"/>
      <c r="D27" s="1" t="str">
        <f>TEXT(EDATE('Input - Site'!$E$12,5), "mmmm yyyy")</f>
        <v>June 2024</v>
      </c>
      <c r="E27" s="66">
        <f t="shared" si="0"/>
        <v>30</v>
      </c>
      <c r="F27" s="66">
        <f t="shared" si="0"/>
        <v>30</v>
      </c>
      <c r="G27" s="66">
        <f t="shared" si="0"/>
        <v>30</v>
      </c>
      <c r="H27" s="66">
        <f t="shared" si="0"/>
        <v>30</v>
      </c>
      <c r="I27" s="66">
        <f t="shared" si="0"/>
        <v>30</v>
      </c>
      <c r="J27" s="66">
        <f t="shared" si="0"/>
        <v>30</v>
      </c>
      <c r="K27" s="66">
        <f t="shared" si="0"/>
        <v>30</v>
      </c>
      <c r="L27" s="66">
        <f t="shared" si="0"/>
        <v>30</v>
      </c>
      <c r="M27" s="66">
        <f t="shared" si="0"/>
        <v>30</v>
      </c>
      <c r="N27" s="66">
        <f t="shared" si="0"/>
        <v>30</v>
      </c>
      <c r="O27" s="2" t="s">
        <v>55</v>
      </c>
      <c r="T27" s="7"/>
    </row>
    <row r="28" spans="1:20" ht="20.100000000000001" customHeight="1" x14ac:dyDescent="0.25">
      <c r="A28" s="17"/>
      <c r="D28" s="1" t="str">
        <f>TEXT(EDATE('Input - Site'!$E$12,6), "mmmm yyyy")</f>
        <v>July 2024</v>
      </c>
      <c r="E28" s="66">
        <f t="shared" si="0"/>
        <v>31</v>
      </c>
      <c r="F28" s="66">
        <f t="shared" si="0"/>
        <v>31</v>
      </c>
      <c r="G28" s="66">
        <f t="shared" si="0"/>
        <v>31</v>
      </c>
      <c r="H28" s="66">
        <f t="shared" si="0"/>
        <v>31</v>
      </c>
      <c r="I28" s="66">
        <f t="shared" si="0"/>
        <v>31</v>
      </c>
      <c r="J28" s="66">
        <f t="shared" si="0"/>
        <v>31</v>
      </c>
      <c r="K28" s="66">
        <f t="shared" si="0"/>
        <v>31</v>
      </c>
      <c r="L28" s="66">
        <f t="shared" si="0"/>
        <v>31</v>
      </c>
      <c r="M28" s="66">
        <f t="shared" si="0"/>
        <v>31</v>
      </c>
      <c r="N28" s="66">
        <f t="shared" si="0"/>
        <v>31</v>
      </c>
      <c r="O28" s="2" t="s">
        <v>55</v>
      </c>
      <c r="T28" s="7"/>
    </row>
    <row r="29" spans="1:20" ht="20.100000000000001" customHeight="1" x14ac:dyDescent="0.25">
      <c r="A29" s="17"/>
      <c r="D29" s="1" t="str">
        <f>TEXT(EDATE('Input - Site'!$E$12,7), "mmmm yyyy")</f>
        <v>August 2024</v>
      </c>
      <c r="E29" s="66">
        <f t="shared" si="0"/>
        <v>31</v>
      </c>
      <c r="F29" s="66">
        <f t="shared" si="0"/>
        <v>31</v>
      </c>
      <c r="G29" s="66">
        <f t="shared" si="0"/>
        <v>31</v>
      </c>
      <c r="H29" s="66">
        <f t="shared" si="0"/>
        <v>31</v>
      </c>
      <c r="I29" s="66">
        <f t="shared" si="0"/>
        <v>31</v>
      </c>
      <c r="J29" s="66">
        <f t="shared" si="0"/>
        <v>31</v>
      </c>
      <c r="K29" s="66">
        <f t="shared" si="0"/>
        <v>31</v>
      </c>
      <c r="L29" s="66">
        <f t="shared" si="0"/>
        <v>31</v>
      </c>
      <c r="M29" s="66">
        <f t="shared" si="0"/>
        <v>31</v>
      </c>
      <c r="N29" s="66">
        <f t="shared" si="0"/>
        <v>31</v>
      </c>
      <c r="O29" s="2" t="s">
        <v>55</v>
      </c>
      <c r="T29" s="7"/>
    </row>
    <row r="30" spans="1:20" ht="20.100000000000001" customHeight="1" x14ac:dyDescent="0.25">
      <c r="A30" s="17"/>
      <c r="D30" s="1" t="str">
        <f>TEXT(EDATE('Input - Site'!$E$12,8), "mmmm yyyy")</f>
        <v>September 2024</v>
      </c>
      <c r="E30" s="66">
        <f t="shared" si="0"/>
        <v>30</v>
      </c>
      <c r="F30" s="66">
        <f t="shared" si="0"/>
        <v>30</v>
      </c>
      <c r="G30" s="66">
        <f t="shared" si="0"/>
        <v>30</v>
      </c>
      <c r="H30" s="66">
        <f t="shared" si="0"/>
        <v>30</v>
      </c>
      <c r="I30" s="66">
        <f t="shared" si="0"/>
        <v>30</v>
      </c>
      <c r="J30" s="66">
        <f t="shared" si="0"/>
        <v>30</v>
      </c>
      <c r="K30" s="66">
        <f t="shared" si="0"/>
        <v>30</v>
      </c>
      <c r="L30" s="66">
        <f t="shared" si="0"/>
        <v>30</v>
      </c>
      <c r="M30" s="66">
        <f t="shared" si="0"/>
        <v>30</v>
      </c>
      <c r="N30" s="66">
        <f t="shared" si="0"/>
        <v>30</v>
      </c>
      <c r="O30" s="2" t="s">
        <v>55</v>
      </c>
      <c r="T30" s="7"/>
    </row>
    <row r="31" spans="1:20" ht="20.100000000000001" customHeight="1" x14ac:dyDescent="0.25">
      <c r="A31" s="67"/>
      <c r="D31" s="1" t="str">
        <f>TEXT(EDATE('Input - Site'!$E$12,9), "mmmm yyyy")</f>
        <v>October 2024</v>
      </c>
      <c r="E31" s="66">
        <f t="shared" si="0"/>
        <v>31</v>
      </c>
      <c r="F31" s="66">
        <f t="shared" si="0"/>
        <v>31</v>
      </c>
      <c r="G31" s="66">
        <f t="shared" si="0"/>
        <v>31</v>
      </c>
      <c r="H31" s="66">
        <f t="shared" si="0"/>
        <v>31</v>
      </c>
      <c r="I31" s="66">
        <f t="shared" si="0"/>
        <v>31</v>
      </c>
      <c r="J31" s="66">
        <f t="shared" si="0"/>
        <v>31</v>
      </c>
      <c r="K31" s="66">
        <f t="shared" si="0"/>
        <v>31</v>
      </c>
      <c r="L31" s="66">
        <f t="shared" si="0"/>
        <v>31</v>
      </c>
      <c r="M31" s="66">
        <f t="shared" si="0"/>
        <v>31</v>
      </c>
      <c r="N31" s="66">
        <f t="shared" si="0"/>
        <v>31</v>
      </c>
      <c r="O31" s="2" t="s">
        <v>55</v>
      </c>
      <c r="T31" s="7"/>
    </row>
    <row r="32" spans="1:20" ht="20.100000000000001" customHeight="1" x14ac:dyDescent="0.25">
      <c r="A32" s="67"/>
      <c r="D32" s="1" t="str">
        <f>TEXT(EDATE('Input - Site'!$E$12,10), "mmmm yyyy")</f>
        <v>November 2024</v>
      </c>
      <c r="E32" s="66">
        <f t="shared" si="0"/>
        <v>30</v>
      </c>
      <c r="F32" s="66">
        <f t="shared" si="0"/>
        <v>30</v>
      </c>
      <c r="G32" s="66">
        <f t="shared" si="0"/>
        <v>30</v>
      </c>
      <c r="H32" s="66">
        <f t="shared" si="0"/>
        <v>30</v>
      </c>
      <c r="I32" s="66">
        <f t="shared" si="0"/>
        <v>30</v>
      </c>
      <c r="J32" s="66">
        <f t="shared" si="0"/>
        <v>30</v>
      </c>
      <c r="K32" s="66">
        <f t="shared" si="0"/>
        <v>30</v>
      </c>
      <c r="L32" s="66">
        <f t="shared" si="0"/>
        <v>30</v>
      </c>
      <c r="M32" s="66">
        <f t="shared" si="0"/>
        <v>30</v>
      </c>
      <c r="N32" s="66">
        <f t="shared" si="0"/>
        <v>30</v>
      </c>
      <c r="O32" s="2" t="s">
        <v>55</v>
      </c>
      <c r="T32" s="7"/>
    </row>
    <row r="33" spans="1:20" ht="20.100000000000001" customHeight="1" x14ac:dyDescent="0.25">
      <c r="A33" s="17"/>
      <c r="D33" s="1" t="str">
        <f>TEXT(EDATE('Input - Site'!$E$12,11), "mmmm yyyy")</f>
        <v>December 2024</v>
      </c>
      <c r="E33" s="66">
        <f t="shared" si="0"/>
        <v>31</v>
      </c>
      <c r="F33" s="66">
        <f t="shared" si="0"/>
        <v>31</v>
      </c>
      <c r="G33" s="66">
        <f t="shared" si="0"/>
        <v>31</v>
      </c>
      <c r="H33" s="66">
        <f t="shared" si="0"/>
        <v>31</v>
      </c>
      <c r="I33" s="66">
        <f t="shared" si="0"/>
        <v>31</v>
      </c>
      <c r="J33" s="66">
        <f t="shared" si="0"/>
        <v>31</v>
      </c>
      <c r="K33" s="66">
        <f t="shared" si="0"/>
        <v>31</v>
      </c>
      <c r="L33" s="66">
        <f t="shared" si="0"/>
        <v>31</v>
      </c>
      <c r="M33" s="66">
        <f t="shared" si="0"/>
        <v>31</v>
      </c>
      <c r="N33" s="66">
        <f t="shared" si="0"/>
        <v>31</v>
      </c>
      <c r="O33" s="2" t="s">
        <v>55</v>
      </c>
      <c r="T33" s="7"/>
    </row>
    <row r="34" spans="1:20" ht="20.100000000000001" customHeight="1" x14ac:dyDescent="0.25">
      <c r="T34" s="7"/>
    </row>
    <row r="35" spans="1:20" ht="20.100000000000001" customHeight="1" x14ac:dyDescent="0.25">
      <c r="T35" s="7"/>
    </row>
    <row r="36" spans="1:20" ht="20.100000000000001" customHeight="1" x14ac:dyDescent="0.25">
      <c r="D36" s="48" t="s">
        <v>103</v>
      </c>
      <c r="T36" s="7"/>
    </row>
    <row r="37" spans="1:20" ht="20.100000000000001" customHeight="1" x14ac:dyDescent="0.25">
      <c r="D37" s="63" t="s">
        <v>136</v>
      </c>
      <c r="E37" s="63" t="s">
        <v>131</v>
      </c>
      <c r="F37" s="63" t="s">
        <v>130</v>
      </c>
      <c r="G37" s="63" t="s">
        <v>165</v>
      </c>
      <c r="H37" s="63" t="s">
        <v>166</v>
      </c>
      <c r="I37" s="63" t="s">
        <v>167</v>
      </c>
      <c r="J37" s="63" t="s">
        <v>168</v>
      </c>
      <c r="K37" s="63" t="s">
        <v>169</v>
      </c>
      <c r="L37" s="63" t="s">
        <v>170</v>
      </c>
      <c r="M37" s="63" t="s">
        <v>171</v>
      </c>
      <c r="N37" s="63" t="s">
        <v>172</v>
      </c>
      <c r="T37" s="7"/>
    </row>
    <row r="38" spans="1:20" ht="20.100000000000001" customHeight="1" x14ac:dyDescent="0.25">
      <c r="D38" s="1" t="s">
        <v>173</v>
      </c>
      <c r="E38" s="66">
        <v>100</v>
      </c>
      <c r="F38" s="66">
        <v>100</v>
      </c>
      <c r="G38" s="66">
        <v>100</v>
      </c>
      <c r="H38" s="66">
        <v>100</v>
      </c>
      <c r="I38" s="66">
        <v>100</v>
      </c>
      <c r="J38" s="66">
        <v>100</v>
      </c>
      <c r="K38" s="66">
        <v>100</v>
      </c>
      <c r="L38" s="66">
        <v>100</v>
      </c>
      <c r="M38" s="66">
        <v>100</v>
      </c>
      <c r="N38" s="66">
        <v>100</v>
      </c>
      <c r="O38" s="2" t="s">
        <v>103</v>
      </c>
      <c r="T38" s="7"/>
    </row>
    <row r="39" spans="1:20" ht="20.100000000000001" customHeight="1" x14ac:dyDescent="0.25">
      <c r="A39" s="17"/>
      <c r="D39" s="1" t="s">
        <v>174</v>
      </c>
      <c r="E39" s="66">
        <v>100</v>
      </c>
      <c r="F39" s="66">
        <v>100</v>
      </c>
      <c r="G39" s="66">
        <v>100</v>
      </c>
      <c r="H39" s="66">
        <v>100</v>
      </c>
      <c r="I39" s="66">
        <v>100</v>
      </c>
      <c r="J39" s="66">
        <v>100</v>
      </c>
      <c r="K39" s="66">
        <v>100</v>
      </c>
      <c r="L39" s="66">
        <v>100</v>
      </c>
      <c r="M39" s="66">
        <v>100</v>
      </c>
      <c r="N39" s="66">
        <v>100</v>
      </c>
      <c r="O39" s="2" t="s">
        <v>103</v>
      </c>
      <c r="T39" s="7"/>
    </row>
    <row r="40" spans="1:20" ht="20.100000000000001" customHeight="1" x14ac:dyDescent="0.25">
      <c r="D40" s="1" t="s">
        <v>175</v>
      </c>
      <c r="E40" s="66">
        <v>200</v>
      </c>
      <c r="F40" s="66">
        <v>100</v>
      </c>
      <c r="G40" s="66">
        <v>200</v>
      </c>
      <c r="H40" s="66">
        <v>100</v>
      </c>
      <c r="I40" s="66">
        <v>100</v>
      </c>
      <c r="J40" s="66">
        <v>100</v>
      </c>
      <c r="K40" s="66">
        <v>200</v>
      </c>
      <c r="L40" s="66">
        <v>100</v>
      </c>
      <c r="M40" s="66">
        <v>100</v>
      </c>
      <c r="N40" s="66">
        <v>100</v>
      </c>
      <c r="O40" s="2" t="s">
        <v>103</v>
      </c>
      <c r="T40" s="7"/>
    </row>
    <row r="41" spans="1:20" ht="20.100000000000001" customHeight="1" x14ac:dyDescent="0.25">
      <c r="A41" s="44"/>
      <c r="D41" s="1" t="s">
        <v>176</v>
      </c>
      <c r="E41" s="66">
        <v>250</v>
      </c>
      <c r="F41" s="66">
        <v>100</v>
      </c>
      <c r="G41" s="66">
        <v>250</v>
      </c>
      <c r="H41" s="66">
        <v>100</v>
      </c>
      <c r="I41" s="66">
        <v>100</v>
      </c>
      <c r="J41" s="66">
        <v>100</v>
      </c>
      <c r="K41" s="66">
        <v>250</v>
      </c>
      <c r="L41" s="66">
        <v>100</v>
      </c>
      <c r="M41" s="66">
        <v>100</v>
      </c>
      <c r="N41" s="66">
        <v>100</v>
      </c>
      <c r="O41" s="2" t="s">
        <v>103</v>
      </c>
      <c r="T41" s="7"/>
    </row>
    <row r="42" spans="1:20" ht="20.100000000000001" customHeight="1" x14ac:dyDescent="0.25">
      <c r="O42" s="2"/>
      <c r="T42" s="7"/>
    </row>
    <row r="43" spans="1:20" ht="20.100000000000001" customHeight="1" x14ac:dyDescent="0.25">
      <c r="D43" s="63" t="s">
        <v>137</v>
      </c>
      <c r="E43" s="63" t="s">
        <v>131</v>
      </c>
      <c r="F43" s="63" t="s">
        <v>130</v>
      </c>
      <c r="G43" s="63" t="s">
        <v>165</v>
      </c>
      <c r="H43" s="63" t="s">
        <v>166</v>
      </c>
      <c r="I43" s="63" t="s">
        <v>167</v>
      </c>
      <c r="J43" s="63" t="s">
        <v>168</v>
      </c>
      <c r="K43" s="63" t="s">
        <v>169</v>
      </c>
      <c r="L43" s="63" t="s">
        <v>170</v>
      </c>
      <c r="M43" s="63" t="s">
        <v>171</v>
      </c>
      <c r="N43" s="63" t="s">
        <v>172</v>
      </c>
      <c r="O43" s="2"/>
      <c r="T43" s="7"/>
    </row>
    <row r="44" spans="1:20" ht="20.100000000000001" customHeight="1" x14ac:dyDescent="0.25">
      <c r="D44" s="1" t="str">
        <f>TEXT('Input - Site'!$E$12, "mmmm yyyy")</f>
        <v>January 2024</v>
      </c>
      <c r="E44" s="66">
        <v>100</v>
      </c>
      <c r="F44" s="66">
        <v>100</v>
      </c>
      <c r="G44" s="66">
        <v>100</v>
      </c>
      <c r="H44" s="66">
        <v>100</v>
      </c>
      <c r="I44" s="66">
        <v>100</v>
      </c>
      <c r="J44" s="66">
        <v>100</v>
      </c>
      <c r="K44" s="66">
        <v>100</v>
      </c>
      <c r="L44" s="66">
        <v>100</v>
      </c>
      <c r="M44" s="66">
        <v>100</v>
      </c>
      <c r="N44" s="66">
        <v>100</v>
      </c>
      <c r="O44" s="2" t="s">
        <v>103</v>
      </c>
      <c r="T44" s="7"/>
    </row>
    <row r="45" spans="1:20" ht="20.100000000000001" customHeight="1" x14ac:dyDescent="0.25">
      <c r="D45" s="1" t="str">
        <f>TEXT(EDATE('Input - Site'!$E$12,1), "mmmm yyyy")</f>
        <v>February 2024</v>
      </c>
      <c r="E45" s="66">
        <v>100</v>
      </c>
      <c r="F45" s="66">
        <v>100</v>
      </c>
      <c r="G45" s="66">
        <v>100</v>
      </c>
      <c r="H45" s="66">
        <v>100</v>
      </c>
      <c r="I45" s="66">
        <v>100</v>
      </c>
      <c r="J45" s="66">
        <v>100</v>
      </c>
      <c r="K45" s="66">
        <v>100</v>
      </c>
      <c r="L45" s="66">
        <v>100</v>
      </c>
      <c r="M45" s="66">
        <v>100</v>
      </c>
      <c r="N45" s="66">
        <v>100</v>
      </c>
      <c r="O45" s="2" t="s">
        <v>103</v>
      </c>
      <c r="T45" s="7"/>
    </row>
    <row r="46" spans="1:20" ht="20.100000000000001" customHeight="1" x14ac:dyDescent="0.25">
      <c r="D46" s="1" t="str">
        <f>TEXT(EDATE('Input - Site'!$E$12,2), "mmmm yyyy")</f>
        <v>March 2024</v>
      </c>
      <c r="E46" s="66">
        <v>100</v>
      </c>
      <c r="F46" s="66">
        <v>100</v>
      </c>
      <c r="G46" s="66">
        <v>100</v>
      </c>
      <c r="H46" s="66">
        <v>100</v>
      </c>
      <c r="I46" s="66">
        <v>100</v>
      </c>
      <c r="J46" s="66">
        <v>100</v>
      </c>
      <c r="K46" s="66">
        <v>100</v>
      </c>
      <c r="L46" s="66">
        <v>100</v>
      </c>
      <c r="M46" s="66">
        <v>100</v>
      </c>
      <c r="N46" s="66">
        <v>100</v>
      </c>
      <c r="O46" s="2" t="s">
        <v>103</v>
      </c>
      <c r="T46" s="7"/>
    </row>
    <row r="47" spans="1:20" ht="20.100000000000001" customHeight="1" x14ac:dyDescent="0.25">
      <c r="D47" s="1" t="str">
        <f>TEXT(EDATE('Input - Site'!$E$12,3), "mmmm yyyy")</f>
        <v>April 2024</v>
      </c>
      <c r="E47" s="66">
        <v>100</v>
      </c>
      <c r="F47" s="66">
        <v>100</v>
      </c>
      <c r="G47" s="66">
        <v>100</v>
      </c>
      <c r="H47" s="66">
        <v>100</v>
      </c>
      <c r="I47" s="66">
        <v>100</v>
      </c>
      <c r="J47" s="66">
        <v>100</v>
      </c>
      <c r="K47" s="66">
        <v>100</v>
      </c>
      <c r="L47" s="66">
        <v>100</v>
      </c>
      <c r="M47" s="66">
        <v>100</v>
      </c>
      <c r="N47" s="66">
        <v>100</v>
      </c>
      <c r="O47" s="2" t="s">
        <v>103</v>
      </c>
      <c r="T47" s="7"/>
    </row>
    <row r="48" spans="1:20" ht="20.100000000000001" customHeight="1" x14ac:dyDescent="0.25">
      <c r="D48" s="1" t="str">
        <f>TEXT(EDATE('Input - Site'!$E$12,4), "mmmm yyyy")</f>
        <v>May 2024</v>
      </c>
      <c r="E48" s="66">
        <v>100</v>
      </c>
      <c r="F48" s="66">
        <v>100</v>
      </c>
      <c r="G48" s="66">
        <v>100</v>
      </c>
      <c r="H48" s="66">
        <v>100</v>
      </c>
      <c r="I48" s="66">
        <v>100</v>
      </c>
      <c r="J48" s="66">
        <v>100</v>
      </c>
      <c r="K48" s="66">
        <v>100</v>
      </c>
      <c r="L48" s="66">
        <v>100</v>
      </c>
      <c r="M48" s="66">
        <v>100</v>
      </c>
      <c r="N48" s="66">
        <v>100</v>
      </c>
      <c r="O48" s="2" t="s">
        <v>103</v>
      </c>
      <c r="T48" s="7"/>
    </row>
    <row r="49" spans="4:20" ht="20.100000000000001" customHeight="1" x14ac:dyDescent="0.25">
      <c r="D49" s="1" t="str">
        <f>TEXT(EDATE('Input - Site'!$E$12,5), "mmmm yyyy")</f>
        <v>June 2024</v>
      </c>
      <c r="E49" s="66">
        <v>100</v>
      </c>
      <c r="F49" s="66">
        <v>100</v>
      </c>
      <c r="G49" s="66">
        <v>100</v>
      </c>
      <c r="H49" s="66">
        <v>100</v>
      </c>
      <c r="I49" s="66">
        <v>100</v>
      </c>
      <c r="J49" s="66">
        <v>100</v>
      </c>
      <c r="K49" s="66">
        <v>100</v>
      </c>
      <c r="L49" s="66">
        <v>100</v>
      </c>
      <c r="M49" s="66">
        <v>100</v>
      </c>
      <c r="N49" s="66">
        <v>100</v>
      </c>
      <c r="O49" s="2" t="s">
        <v>103</v>
      </c>
      <c r="T49" s="7"/>
    </row>
    <row r="50" spans="4:20" ht="20.100000000000001" customHeight="1" x14ac:dyDescent="0.25">
      <c r="D50" s="1" t="str">
        <f>TEXT(EDATE('Input - Site'!$E$12,6), "mmmm yyyy")</f>
        <v>July 2024</v>
      </c>
      <c r="E50" s="66">
        <v>100</v>
      </c>
      <c r="F50" s="66">
        <v>100</v>
      </c>
      <c r="G50" s="66">
        <v>100</v>
      </c>
      <c r="H50" s="66">
        <v>100</v>
      </c>
      <c r="I50" s="66">
        <v>100</v>
      </c>
      <c r="J50" s="66">
        <v>100</v>
      </c>
      <c r="K50" s="66">
        <v>100</v>
      </c>
      <c r="L50" s="66">
        <v>100</v>
      </c>
      <c r="M50" s="66">
        <v>100</v>
      </c>
      <c r="N50" s="66">
        <v>100</v>
      </c>
      <c r="O50" s="2" t="s">
        <v>103</v>
      </c>
      <c r="P50" s="3"/>
      <c r="T50" s="7"/>
    </row>
    <row r="51" spans="4:20" ht="20.100000000000001" customHeight="1" x14ac:dyDescent="0.25">
      <c r="D51" s="1" t="str">
        <f>TEXT(EDATE('Input - Site'!$E$12,7), "mmmm yyyy")</f>
        <v>August 2024</v>
      </c>
      <c r="E51" s="66">
        <v>100</v>
      </c>
      <c r="F51" s="66">
        <v>100</v>
      </c>
      <c r="G51" s="66">
        <v>100</v>
      </c>
      <c r="H51" s="66">
        <v>100</v>
      </c>
      <c r="I51" s="66">
        <v>100</v>
      </c>
      <c r="J51" s="66">
        <v>100</v>
      </c>
      <c r="K51" s="66">
        <v>100</v>
      </c>
      <c r="L51" s="66">
        <v>100</v>
      </c>
      <c r="M51" s="66">
        <v>100</v>
      </c>
      <c r="N51" s="66">
        <v>100</v>
      </c>
      <c r="O51" s="2" t="s">
        <v>103</v>
      </c>
      <c r="P51" s="3"/>
      <c r="T51" s="7"/>
    </row>
    <row r="52" spans="4:20" ht="20.100000000000001" customHeight="1" x14ac:dyDescent="0.25">
      <c r="D52" s="1" t="str">
        <f>TEXT(EDATE('Input - Site'!$E$12,8), "mmmm yyyy")</f>
        <v>September 2024</v>
      </c>
      <c r="E52" s="66">
        <v>100</v>
      </c>
      <c r="F52" s="66">
        <v>100</v>
      </c>
      <c r="G52" s="66">
        <v>100</v>
      </c>
      <c r="H52" s="66">
        <v>100</v>
      </c>
      <c r="I52" s="66">
        <v>100</v>
      </c>
      <c r="J52" s="66">
        <v>100</v>
      </c>
      <c r="K52" s="66">
        <v>100</v>
      </c>
      <c r="L52" s="66">
        <v>100</v>
      </c>
      <c r="M52" s="66">
        <v>100</v>
      </c>
      <c r="N52" s="66">
        <v>100</v>
      </c>
      <c r="O52" s="2" t="s">
        <v>103</v>
      </c>
      <c r="P52" s="3"/>
      <c r="T52" s="7"/>
    </row>
    <row r="53" spans="4:20" ht="20.100000000000001" customHeight="1" x14ac:dyDescent="0.25">
      <c r="D53" s="1" t="str">
        <f>TEXT(EDATE('Input - Site'!$E$12,9), "mmmm yyyy")</f>
        <v>October 2024</v>
      </c>
      <c r="E53" s="66">
        <v>100</v>
      </c>
      <c r="F53" s="66">
        <v>100</v>
      </c>
      <c r="G53" s="66">
        <v>100</v>
      </c>
      <c r="H53" s="66">
        <v>100</v>
      </c>
      <c r="I53" s="66">
        <v>100</v>
      </c>
      <c r="J53" s="66">
        <v>100</v>
      </c>
      <c r="K53" s="66">
        <v>100</v>
      </c>
      <c r="L53" s="66">
        <v>100</v>
      </c>
      <c r="M53" s="66">
        <v>100</v>
      </c>
      <c r="N53" s="66">
        <v>100</v>
      </c>
      <c r="O53" s="2" t="s">
        <v>103</v>
      </c>
      <c r="P53" s="3"/>
      <c r="T53" s="7"/>
    </row>
    <row r="54" spans="4:20" ht="20.100000000000001" customHeight="1" x14ac:dyDescent="0.25">
      <c r="D54" s="1" t="str">
        <f>TEXT(EDATE('Input - Site'!$E$12,10), "mmmm yyyy")</f>
        <v>November 2024</v>
      </c>
      <c r="E54" s="66">
        <v>100</v>
      </c>
      <c r="F54" s="66">
        <v>100</v>
      </c>
      <c r="G54" s="66">
        <v>100</v>
      </c>
      <c r="H54" s="66">
        <v>100</v>
      </c>
      <c r="I54" s="66">
        <v>100</v>
      </c>
      <c r="J54" s="66">
        <v>100</v>
      </c>
      <c r="K54" s="66">
        <v>100</v>
      </c>
      <c r="L54" s="66">
        <v>100</v>
      </c>
      <c r="M54" s="66">
        <v>100</v>
      </c>
      <c r="N54" s="66">
        <v>100</v>
      </c>
      <c r="O54" s="2" t="s">
        <v>103</v>
      </c>
      <c r="P54" s="3"/>
      <c r="T54" s="7"/>
    </row>
    <row r="55" spans="4:20" ht="20.100000000000001" customHeight="1" x14ac:dyDescent="0.25">
      <c r="D55" s="1" t="str">
        <f>TEXT(EDATE('Input - Site'!$E$12,11), "mmmm yyyy")</f>
        <v>December 2024</v>
      </c>
      <c r="E55" s="66">
        <v>100</v>
      </c>
      <c r="F55" s="66">
        <v>100</v>
      </c>
      <c r="G55" s="66">
        <v>100</v>
      </c>
      <c r="H55" s="66">
        <v>100</v>
      </c>
      <c r="I55" s="66">
        <v>100</v>
      </c>
      <c r="J55" s="66">
        <v>100</v>
      </c>
      <c r="K55" s="66">
        <v>100</v>
      </c>
      <c r="L55" s="66">
        <v>100</v>
      </c>
      <c r="M55" s="66">
        <v>100</v>
      </c>
      <c r="N55" s="66">
        <v>100</v>
      </c>
      <c r="O55" s="2" t="s">
        <v>103</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140</v>
      </c>
      <c r="P58" s="3"/>
      <c r="T58" s="7"/>
    </row>
    <row r="59" spans="4:20" ht="20.100000000000001" customHeight="1" x14ac:dyDescent="0.25">
      <c r="D59" s="63" t="s">
        <v>179</v>
      </c>
      <c r="E59" s="63" t="s">
        <v>131</v>
      </c>
      <c r="F59" s="63" t="s">
        <v>130</v>
      </c>
      <c r="G59" s="63" t="s">
        <v>165</v>
      </c>
      <c r="H59" s="63" t="s">
        <v>166</v>
      </c>
      <c r="I59" s="63" t="s">
        <v>167</v>
      </c>
      <c r="J59" s="63" t="s">
        <v>168</v>
      </c>
      <c r="K59" s="63" t="s">
        <v>169</v>
      </c>
      <c r="L59" s="63" t="s">
        <v>170</v>
      </c>
      <c r="M59" s="63" t="s">
        <v>171</v>
      </c>
      <c r="N59" s="63" t="s">
        <v>172</v>
      </c>
      <c r="P59" s="3"/>
      <c r="T59" s="7"/>
    </row>
    <row r="60" spans="4:20" ht="20.100000000000001" customHeight="1" x14ac:dyDescent="0.25">
      <c r="D60" s="1" t="s">
        <v>173</v>
      </c>
      <c r="E60" s="52">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2">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2">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2">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2">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2">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2">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2">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2">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2">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133</v>
      </c>
      <c r="P60" s="3"/>
      <c r="T60" s="7"/>
    </row>
    <row r="61" spans="4:20" ht="20.100000000000001" customHeight="1" x14ac:dyDescent="0.25">
      <c r="D61" s="1" t="s">
        <v>174</v>
      </c>
      <c r="E61" s="52">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2">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2">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2">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2">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2">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2">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2">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2">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2">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133</v>
      </c>
      <c r="P61" s="3"/>
      <c r="T61" s="7"/>
    </row>
    <row r="62" spans="4:20" ht="20.100000000000001" customHeight="1" x14ac:dyDescent="0.25">
      <c r="D62" s="1" t="s">
        <v>175</v>
      </c>
      <c r="E62" s="52">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2">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2">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2">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2">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2">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2">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2">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2">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2">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133</v>
      </c>
      <c r="P62" s="3"/>
      <c r="T62" s="7"/>
    </row>
    <row r="63" spans="4:20" ht="20.100000000000001" customHeight="1" x14ac:dyDescent="0.25">
      <c r="D63" s="1" t="s">
        <v>176</v>
      </c>
      <c r="E63" s="52">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2">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2">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2">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2">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2">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2">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2">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2">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2">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133</v>
      </c>
      <c r="P63" s="3"/>
      <c r="T63" s="7"/>
    </row>
    <row r="64" spans="4:20" ht="20.100000000000001" customHeight="1" x14ac:dyDescent="0.25">
      <c r="O64" s="2"/>
      <c r="P64" s="3"/>
      <c r="T64" s="7"/>
    </row>
    <row r="65" spans="4:20" ht="20.100000000000001" customHeight="1" x14ac:dyDescent="0.25">
      <c r="D65" s="63" t="s">
        <v>180</v>
      </c>
      <c r="E65" s="63" t="s">
        <v>131</v>
      </c>
      <c r="F65" s="63" t="s">
        <v>130</v>
      </c>
      <c r="G65" s="63" t="s">
        <v>165</v>
      </c>
      <c r="H65" s="63" t="s">
        <v>166</v>
      </c>
      <c r="I65" s="63" t="s">
        <v>167</v>
      </c>
      <c r="J65" s="63" t="s">
        <v>168</v>
      </c>
      <c r="K65" s="63" t="s">
        <v>169</v>
      </c>
      <c r="L65" s="63" t="s">
        <v>170</v>
      </c>
      <c r="M65" s="63" t="s">
        <v>171</v>
      </c>
      <c r="N65" s="63" t="s">
        <v>172</v>
      </c>
      <c r="O65" s="2"/>
      <c r="P65" s="3"/>
      <c r="T65" s="7"/>
    </row>
    <row r="66" spans="4:20" ht="20.100000000000001" customHeight="1" x14ac:dyDescent="0.25">
      <c r="D66" s="1" t="str">
        <f>TEXT('Input - Site'!$E$12, "mmmm yyyy")</f>
        <v>January 2024</v>
      </c>
      <c r="E66" s="66">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6">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6">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6">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6">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6">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6">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6">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6">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6">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133</v>
      </c>
      <c r="P66" s="3"/>
      <c r="T66" s="7"/>
    </row>
    <row r="67" spans="4:20" ht="20.100000000000001" customHeight="1" x14ac:dyDescent="0.25">
      <c r="D67" s="1" t="str">
        <f>TEXT(EDATE('Input - Site'!$E$12,1), "mmmm yyyy")</f>
        <v>February 2024</v>
      </c>
      <c r="E67" s="66">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6">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6">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6">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6">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6">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6">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6">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6">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6">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133</v>
      </c>
      <c r="P67" s="3"/>
      <c r="T67" s="7"/>
    </row>
    <row r="68" spans="4:20" ht="20.100000000000001" customHeight="1" x14ac:dyDescent="0.25">
      <c r="D68" s="1" t="str">
        <f>TEXT(EDATE('Input - Site'!$E$12,2), "mmmm yyyy")</f>
        <v>March 2024</v>
      </c>
      <c r="E68" s="66">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6">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6">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6">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6">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6">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6">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6">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6">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6">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133</v>
      </c>
      <c r="P68" s="3"/>
      <c r="T68" s="7"/>
    </row>
    <row r="69" spans="4:20" ht="20.100000000000001" customHeight="1" x14ac:dyDescent="0.25">
      <c r="D69" s="1" t="str">
        <f>TEXT(EDATE('Input - Site'!$E$12,3), "mmmm yyyy")</f>
        <v>April 2024</v>
      </c>
      <c r="E69" s="66">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6">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6">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6">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6">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6">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6">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6">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6">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6">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133</v>
      </c>
      <c r="P69" s="3"/>
      <c r="T69" s="7"/>
    </row>
    <row r="70" spans="4:20" ht="20.100000000000001" customHeight="1" x14ac:dyDescent="0.25">
      <c r="D70" s="1" t="str">
        <f>TEXT(EDATE('Input - Site'!$E$12,4), "mmmm yyyy")</f>
        <v>May 2024</v>
      </c>
      <c r="E70" s="66">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6">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6">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6">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6">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6">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6">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6">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6">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6">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133</v>
      </c>
      <c r="P70" s="3"/>
      <c r="T70" s="7"/>
    </row>
    <row r="71" spans="4:20" ht="20.100000000000001" customHeight="1" x14ac:dyDescent="0.25">
      <c r="D71" s="1" t="str">
        <f>TEXT(EDATE('Input - Site'!$E$12,5), "mmmm yyyy")</f>
        <v>June 2024</v>
      </c>
      <c r="E71" s="66">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6">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6">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6">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6">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6">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6">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6">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6">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6">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133</v>
      </c>
      <c r="P71" s="3"/>
      <c r="T71" s="7"/>
    </row>
    <row r="72" spans="4:20" ht="20.100000000000001" customHeight="1" x14ac:dyDescent="0.25">
      <c r="D72" s="1" t="str">
        <f>TEXT(EDATE('Input - Site'!$E$12,6), "mmmm yyyy")</f>
        <v>July 2024</v>
      </c>
      <c r="E72" s="66">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6">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6">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6">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6">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6">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6">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6">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6">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6">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133</v>
      </c>
      <c r="T72" s="7"/>
    </row>
    <row r="73" spans="4:20" ht="20.100000000000001" customHeight="1" x14ac:dyDescent="0.25">
      <c r="D73" s="1" t="str">
        <f>TEXT(EDATE('Input - Site'!$E$12,7), "mmmm yyyy")</f>
        <v>August 2024</v>
      </c>
      <c r="E73" s="66">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6">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6">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6">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6">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6">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6">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6">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6">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6">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133</v>
      </c>
      <c r="T73" s="7"/>
    </row>
    <row r="74" spans="4:20" ht="20.100000000000001" customHeight="1" x14ac:dyDescent="0.25">
      <c r="D74" s="1" t="str">
        <f>TEXT(EDATE('Input - Site'!$E$12,8), "mmmm yyyy")</f>
        <v>September 2024</v>
      </c>
      <c r="E74" s="66">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6">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6">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6">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6">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6">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6">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6">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6">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6">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133</v>
      </c>
      <c r="T74" s="7"/>
    </row>
    <row r="75" spans="4:20" ht="20.100000000000001" customHeight="1" x14ac:dyDescent="0.25">
      <c r="D75" s="1" t="str">
        <f>TEXT(EDATE('Input - Site'!$E$12,9), "mmmm yyyy")</f>
        <v>October 2024</v>
      </c>
      <c r="E75" s="66">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6">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6">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6">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6">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6">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6">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6">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6">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6">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133</v>
      </c>
      <c r="T75" s="7"/>
    </row>
    <row r="76" spans="4:20" ht="20.100000000000001" customHeight="1" x14ac:dyDescent="0.25">
      <c r="D76" s="1" t="str">
        <f>TEXT(EDATE('Input - Site'!$E$12,10), "mmmm yyyy")</f>
        <v>November 2024</v>
      </c>
      <c r="E76" s="66">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6">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6">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6">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6">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6">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6">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6">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6">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6">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133</v>
      </c>
      <c r="T76" s="7"/>
    </row>
    <row r="77" spans="4:20" ht="20.100000000000001" customHeight="1" x14ac:dyDescent="0.25">
      <c r="D77" s="1" t="str">
        <f>TEXT(EDATE('Input - Site'!$E$12,11), "mmmm yyyy")</f>
        <v>December 2024</v>
      </c>
      <c r="E77" s="66">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6">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6">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6">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6">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6">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6">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6">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6">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6">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133</v>
      </c>
      <c r="T77" s="7"/>
    </row>
    <row r="78" spans="4:20" ht="20.100000000000001" customHeight="1" x14ac:dyDescent="0.25">
      <c r="T78" s="7"/>
    </row>
    <row r="79" spans="4:20" ht="20.100000000000001" customHeight="1" x14ac:dyDescent="0.25">
      <c r="T79" s="7"/>
    </row>
    <row r="80" spans="4:20" ht="20.100000000000001" customHeight="1" x14ac:dyDescent="0.25">
      <c r="D80" s="48" t="s">
        <v>177</v>
      </c>
      <c r="T80" s="7"/>
    </row>
    <row r="81" spans="4:20" ht="20.100000000000001" customHeight="1" x14ac:dyDescent="0.25">
      <c r="D81" s="63" t="s">
        <v>179</v>
      </c>
      <c r="E81" s="63" t="s">
        <v>131</v>
      </c>
      <c r="F81" s="63" t="s">
        <v>130</v>
      </c>
      <c r="G81" s="63" t="s">
        <v>165</v>
      </c>
      <c r="H81" s="63" t="s">
        <v>166</v>
      </c>
      <c r="I81" s="63" t="s">
        <v>167</v>
      </c>
      <c r="J81" s="63" t="s">
        <v>168</v>
      </c>
      <c r="K81" s="63" t="s">
        <v>169</v>
      </c>
      <c r="L81" s="63" t="s">
        <v>170</v>
      </c>
      <c r="M81" s="63" t="s">
        <v>171</v>
      </c>
      <c r="N81" s="63" t="s">
        <v>172</v>
      </c>
      <c r="T81" s="7"/>
    </row>
    <row r="82" spans="4:20" ht="20.100000000000001" customHeight="1" x14ac:dyDescent="0.25">
      <c r="D82" s="1" t="s">
        <v>173</v>
      </c>
      <c r="E82" s="52">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2">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2">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2">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2">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2">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2">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2">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2">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2">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134</v>
      </c>
      <c r="T82" s="7"/>
    </row>
    <row r="83" spans="4:20" ht="20.100000000000001" customHeight="1" x14ac:dyDescent="0.25">
      <c r="D83" s="1" t="s">
        <v>174</v>
      </c>
      <c r="E83" s="52">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2">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2">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2">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2">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2">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2">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2">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2">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2">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134</v>
      </c>
      <c r="T83" s="7"/>
    </row>
    <row r="84" spans="4:20" ht="20.100000000000001" customHeight="1" x14ac:dyDescent="0.25">
      <c r="D84" s="1" t="s">
        <v>175</v>
      </c>
      <c r="E84" s="52">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2">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2">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2">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2">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2">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2">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2">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2">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2">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134</v>
      </c>
      <c r="T84" s="7"/>
    </row>
    <row r="85" spans="4:20" ht="20.100000000000001" customHeight="1" x14ac:dyDescent="0.25">
      <c r="D85" s="1" t="s">
        <v>176</v>
      </c>
      <c r="E85" s="52">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2">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2">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2">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2">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2">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2">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2">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2">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2">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134</v>
      </c>
      <c r="T85" s="7"/>
    </row>
    <row r="86" spans="4:20" ht="20.100000000000001" customHeight="1" x14ac:dyDescent="0.25">
      <c r="O86" s="2"/>
      <c r="T86" s="7"/>
    </row>
    <row r="87" spans="4:20" ht="20.100000000000001" customHeight="1" x14ac:dyDescent="0.25">
      <c r="D87" s="63" t="s">
        <v>180</v>
      </c>
      <c r="E87" s="63" t="s">
        <v>131</v>
      </c>
      <c r="F87" s="63" t="s">
        <v>130</v>
      </c>
      <c r="G87" s="63" t="s">
        <v>165</v>
      </c>
      <c r="H87" s="63" t="s">
        <v>166</v>
      </c>
      <c r="I87" s="63" t="s">
        <v>167</v>
      </c>
      <c r="J87" s="63" t="s">
        <v>168</v>
      </c>
      <c r="K87" s="63" t="s">
        <v>169</v>
      </c>
      <c r="L87" s="63" t="s">
        <v>170</v>
      </c>
      <c r="M87" s="63" t="s">
        <v>171</v>
      </c>
      <c r="N87" s="63" t="s">
        <v>172</v>
      </c>
      <c r="O87" s="2"/>
      <c r="T87" s="7"/>
    </row>
    <row r="88" spans="4:20" ht="20.100000000000001" customHeight="1" x14ac:dyDescent="0.25">
      <c r="D88" s="1" t="str">
        <f>TEXT('Input - Site'!$E$12, "mmmm yyyy")</f>
        <v>January 2024</v>
      </c>
      <c r="E88" s="66">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6">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6">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6">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6">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6">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6">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6">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6">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6">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134</v>
      </c>
      <c r="T88" s="7"/>
    </row>
    <row r="89" spans="4:20" ht="20.100000000000001" customHeight="1" x14ac:dyDescent="0.25">
      <c r="D89" s="1" t="str">
        <f>TEXT(EDATE('Input - Site'!$E$12,1), "mmmm yyyy")</f>
        <v>February 2024</v>
      </c>
      <c r="E89" s="66">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6">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6">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6">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6">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6">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6">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6">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6">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6">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134</v>
      </c>
      <c r="T89" s="7"/>
    </row>
    <row r="90" spans="4:20" ht="20.100000000000001" customHeight="1" x14ac:dyDescent="0.25">
      <c r="D90" s="1" t="str">
        <f>TEXT(EDATE('Input - Site'!$E$12,2), "mmmm yyyy")</f>
        <v>March 2024</v>
      </c>
      <c r="E90" s="66">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6">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6">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6">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6">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6">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6">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6">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6">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6">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134</v>
      </c>
      <c r="T90" s="7"/>
    </row>
    <row r="91" spans="4:20" ht="20.100000000000001" customHeight="1" x14ac:dyDescent="0.25">
      <c r="D91" s="1" t="str">
        <f>TEXT(EDATE('Input - Site'!$E$12,3), "mmmm yyyy")</f>
        <v>April 2024</v>
      </c>
      <c r="E91" s="66">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6">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6">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6">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6">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6">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6">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6">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6">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6">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134</v>
      </c>
      <c r="T91" s="7"/>
    </row>
    <row r="92" spans="4:20" ht="20.100000000000001" customHeight="1" x14ac:dyDescent="0.25">
      <c r="D92" s="1" t="str">
        <f>TEXT(EDATE('Input - Site'!$E$12,4), "mmmm yyyy")</f>
        <v>May 2024</v>
      </c>
      <c r="E92" s="66">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6">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6">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6">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6">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6">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6">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6">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6">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6">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134</v>
      </c>
      <c r="T92" s="7"/>
    </row>
    <row r="93" spans="4:20" ht="20.100000000000001" customHeight="1" x14ac:dyDescent="0.25">
      <c r="D93" s="1" t="str">
        <f>TEXT(EDATE('Input - Site'!$E$12,5), "mmmm yyyy")</f>
        <v>June 2024</v>
      </c>
      <c r="E93" s="66">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6">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6">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6">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6">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6">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6">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6">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6">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6">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134</v>
      </c>
      <c r="T93" s="7"/>
    </row>
    <row r="94" spans="4:20" ht="20.100000000000001" customHeight="1" x14ac:dyDescent="0.25">
      <c r="D94" s="1" t="str">
        <f>TEXT(EDATE('Input - Site'!$E$12,6), "mmmm yyyy")</f>
        <v>July 2024</v>
      </c>
      <c r="E94" s="66">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6">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6">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6">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6">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6">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6">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6">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6">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6">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134</v>
      </c>
      <c r="T94" s="7"/>
    </row>
    <row r="95" spans="4:20" ht="20.100000000000001" customHeight="1" x14ac:dyDescent="0.25">
      <c r="D95" s="1" t="str">
        <f>TEXT(EDATE('Input - Site'!$E$12,7), "mmmm yyyy")</f>
        <v>August 2024</v>
      </c>
      <c r="E95" s="66">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6">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6">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6">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6">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6">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6">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6">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6">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6">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134</v>
      </c>
      <c r="T95" s="7"/>
    </row>
    <row r="96" spans="4:20" ht="20.100000000000001" customHeight="1" x14ac:dyDescent="0.25">
      <c r="D96" s="1" t="str">
        <f>TEXT(EDATE('Input - Site'!$E$12,8), "mmmm yyyy")</f>
        <v>September 2024</v>
      </c>
      <c r="E96" s="66">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6">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6">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6">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6">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6">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6">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6">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6">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6">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134</v>
      </c>
      <c r="T96" s="7"/>
    </row>
    <row r="97" spans="4:20" ht="20.100000000000001" customHeight="1" x14ac:dyDescent="0.25">
      <c r="D97" s="1" t="str">
        <f>TEXT(EDATE('Input - Site'!$E$12,9), "mmmm yyyy")</f>
        <v>October 2024</v>
      </c>
      <c r="E97" s="66">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6">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6">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6">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6">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6">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6">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6">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6">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6">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134</v>
      </c>
      <c r="T97" s="7"/>
    </row>
    <row r="98" spans="4:20" ht="20.100000000000001" customHeight="1" x14ac:dyDescent="0.25">
      <c r="D98" s="1" t="str">
        <f>TEXT(EDATE('Input - Site'!$E$12,10), "mmmm yyyy")</f>
        <v>November 2024</v>
      </c>
      <c r="E98" s="66">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6">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6">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6">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6">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6">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6">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6">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6">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6">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134</v>
      </c>
      <c r="T98" s="7"/>
    </row>
    <row r="99" spans="4:20" ht="20.100000000000001" customHeight="1" x14ac:dyDescent="0.25">
      <c r="D99" s="1" t="str">
        <f>TEXT(EDATE('Input - Site'!$E$12,11), "mmmm yyyy")</f>
        <v>December 2024</v>
      </c>
      <c r="E99" s="66">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6">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6">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6">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6">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6">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6">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6">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6">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6">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134</v>
      </c>
      <c r="T99" s="7"/>
    </row>
    <row r="100" spans="4:20" ht="20.100000000000001" customHeight="1" x14ac:dyDescent="0.25">
      <c r="T100" s="7"/>
    </row>
    <row r="101" spans="4:20" ht="20.100000000000001" customHeight="1" x14ac:dyDescent="0.25">
      <c r="T101" s="7"/>
    </row>
    <row r="102" spans="4:20" ht="20.100000000000001" customHeight="1" x14ac:dyDescent="0.25">
      <c r="D102" s="48" t="s">
        <v>229</v>
      </c>
      <c r="K102" s="2"/>
      <c r="L102" s="2"/>
      <c r="M102" s="2"/>
      <c r="N102" s="2"/>
      <c r="O102" s="2"/>
      <c r="T102" s="7"/>
    </row>
    <row r="103" spans="4:20" ht="20.100000000000001" customHeight="1" x14ac:dyDescent="0.25">
      <c r="D103" s="63" t="s">
        <v>136</v>
      </c>
      <c r="E103" s="63"/>
      <c r="F103" s="63"/>
      <c r="G103" s="63"/>
      <c r="T103" s="7"/>
    </row>
    <row r="104" spans="4:20" ht="20.100000000000001" customHeight="1" x14ac:dyDescent="0.25">
      <c r="D104" s="1" t="s">
        <v>246</v>
      </c>
      <c r="E104" s="39" t="s">
        <v>176</v>
      </c>
      <c r="F104" s="2" t="s">
        <v>11</v>
      </c>
      <c r="T104" s="7"/>
    </row>
    <row r="105" spans="4:20" ht="20.100000000000001" customHeight="1" x14ac:dyDescent="0.25">
      <c r="T105" s="7"/>
    </row>
    <row r="106" spans="4:20" ht="20.100000000000001" customHeight="1" x14ac:dyDescent="0.25">
      <c r="T106" s="7"/>
    </row>
    <row r="107" spans="4:20" ht="20.100000000000001" customHeight="1" x14ac:dyDescent="0.25">
      <c r="K107" s="1" t="s">
        <v>355</v>
      </c>
    </row>
    <row r="108" spans="4:20" ht="20.100000000000001" customHeight="1" x14ac:dyDescent="0.25"/>
    <row r="109" spans="4:20" ht="20.100000000000001" customHeight="1" x14ac:dyDescent="0.25">
      <c r="E109" s="63" t="s">
        <v>351</v>
      </c>
      <c r="F109" s="63" t="s">
        <v>166</v>
      </c>
      <c r="G109" s="63" t="s">
        <v>167</v>
      </c>
      <c r="H109" s="63" t="s">
        <v>168</v>
      </c>
      <c r="L109" s="1" t="s">
        <v>165</v>
      </c>
      <c r="M109" s="1" t="s">
        <v>169</v>
      </c>
      <c r="N109" s="2"/>
      <c r="O109" s="2"/>
    </row>
    <row r="110" spans="4:20" ht="20.100000000000001" customHeight="1" x14ac:dyDescent="0.25">
      <c r="D110" s="1" t="str">
        <f>"Proportion of cows &gt; 1 years in calf in " &amp; E104</f>
        <v>Proportion of cows &gt; 1 years in calf in Winter</v>
      </c>
      <c r="E110" s="39" t="s">
        <v>350</v>
      </c>
      <c r="F110" s="46">
        <v>0.7</v>
      </c>
      <c r="G110" s="46">
        <v>0.5</v>
      </c>
      <c r="H110" s="46">
        <v>0.5</v>
      </c>
      <c r="I110" s="2" t="s">
        <v>19</v>
      </c>
      <c r="L110" s="52">
        <f>MAX(0, G41-G40)</f>
        <v>50</v>
      </c>
      <c r="M110" s="52">
        <f>MAX(0,K41-K40)</f>
        <v>50</v>
      </c>
      <c r="N110" s="2"/>
      <c r="O110" s="2"/>
    </row>
    <row r="111" spans="4:20" ht="20.100000000000001" customHeight="1" x14ac:dyDescent="0.25">
      <c r="D111" s="1" t="s">
        <v>173</v>
      </c>
      <c r="E111" s="39" t="s">
        <v>350</v>
      </c>
      <c r="F111" s="46">
        <v>0.1</v>
      </c>
      <c r="G111" s="46">
        <v>0.4</v>
      </c>
      <c r="H111" s="46">
        <v>0.4</v>
      </c>
      <c r="I111" s="2" t="s">
        <v>19</v>
      </c>
      <c r="L111" s="52">
        <f>MAX(0, G38-G41)</f>
        <v>0</v>
      </c>
      <c r="M111" s="52">
        <f>MAX(0,K38-K41)</f>
        <v>0</v>
      </c>
    </row>
    <row r="112" spans="4:20" ht="20.100000000000001" customHeight="1" x14ac:dyDescent="0.25">
      <c r="D112" s="1" t="s">
        <v>174</v>
      </c>
      <c r="E112" s="39" t="s">
        <v>350</v>
      </c>
      <c r="F112" s="46">
        <v>0.1</v>
      </c>
      <c r="G112" s="46">
        <v>0</v>
      </c>
      <c r="H112" s="46">
        <v>0</v>
      </c>
      <c r="I112" s="2" t="s">
        <v>19</v>
      </c>
      <c r="L112" s="52">
        <f>MAX(0, G39-G38)</f>
        <v>0</v>
      </c>
      <c r="M112" s="52">
        <f>MAX(0,K39-K38)</f>
        <v>0</v>
      </c>
    </row>
    <row r="113" spans="4:15" ht="20.100000000000001" customHeight="1" x14ac:dyDescent="0.25">
      <c r="D113" s="1" t="s">
        <v>175</v>
      </c>
      <c r="E113" s="39" t="s">
        <v>139</v>
      </c>
      <c r="F113" s="46">
        <v>0</v>
      </c>
      <c r="G113" s="46">
        <v>0</v>
      </c>
      <c r="H113" s="46">
        <v>0</v>
      </c>
      <c r="I113" s="2" t="s">
        <v>19</v>
      </c>
      <c r="L113" s="52">
        <f>MAX(0,G40-G39)</f>
        <v>100</v>
      </c>
      <c r="M113" s="52">
        <f>MAX(0,K40-K39)</f>
        <v>100</v>
      </c>
    </row>
    <row r="114" spans="4:15" ht="20.100000000000001" customHeight="1" x14ac:dyDescent="0.25">
      <c r="J114" s="1" t="s">
        <v>356</v>
      </c>
    </row>
    <row r="115" spans="4:15" ht="20.100000000000001" customHeight="1" x14ac:dyDescent="0.25"/>
    <row r="116" spans="4:15" ht="20.100000000000001" customHeight="1" x14ac:dyDescent="0.25"/>
    <row r="117" spans="4:15" ht="20.100000000000001" customHeight="1" x14ac:dyDescent="0.25">
      <c r="D117" s="63" t="s">
        <v>137</v>
      </c>
      <c r="E117" s="63"/>
      <c r="F117" s="63"/>
      <c r="G117" s="63"/>
      <c r="L117" s="129" t="s">
        <v>361</v>
      </c>
    </row>
    <row r="118" spans="4:15" ht="20.100000000000001" customHeight="1" x14ac:dyDescent="0.25">
      <c r="D118" s="1" t="s">
        <v>347</v>
      </c>
      <c r="E118" s="39" t="s">
        <v>343</v>
      </c>
      <c r="F118" s="2" t="s">
        <v>11</v>
      </c>
      <c r="J118" s="53" t="s">
        <v>131</v>
      </c>
    </row>
    <row r="119" spans="4:15" ht="20.100000000000001" customHeight="1" x14ac:dyDescent="0.25">
      <c r="D119" s="1" t="s">
        <v>341</v>
      </c>
      <c r="E119" s="52" t="str">
        <f>TEXT(EDATE(E118,1), "mmmm yyyy")</f>
        <v>September 2024</v>
      </c>
      <c r="J119" s="1" t="s">
        <v>103</v>
      </c>
      <c r="K119" s="1" t="s">
        <v>359</v>
      </c>
      <c r="L119" s="1" t="s">
        <v>356</v>
      </c>
      <c r="M119" s="1" t="s">
        <v>357</v>
      </c>
      <c r="N119" s="1" t="s">
        <v>358</v>
      </c>
      <c r="O119" s="1" t="s">
        <v>360</v>
      </c>
    </row>
    <row r="120" spans="4:15" ht="20.100000000000001" customHeight="1" x14ac:dyDescent="0.25">
      <c r="D120" s="1" t="s">
        <v>342</v>
      </c>
      <c r="E120" s="52" t="str">
        <f>TEXT(EDATE(E118,2), "mmmm yyyy")</f>
        <v>October 2024</v>
      </c>
      <c r="J120" s="52">
        <f>E38</f>
        <v>100</v>
      </c>
      <c r="K120" s="52">
        <f>MAX(0, E38-E41)</f>
        <v>0</v>
      </c>
      <c r="L120" s="1">
        <f>K120/J120</f>
        <v>0</v>
      </c>
      <c r="M120" s="1">
        <f>K123/J120</f>
        <v>0.5</v>
      </c>
      <c r="N120" s="2">
        <f>1-(L120+M120)</f>
        <v>0.5</v>
      </c>
      <c r="O120" s="53">
        <f>(L120*6)+(M120*4)+(N120*0)</f>
        <v>2</v>
      </c>
    </row>
    <row r="121" spans="4:15" ht="20.100000000000001" customHeight="1" x14ac:dyDescent="0.25">
      <c r="J121" s="52">
        <f>E39</f>
        <v>100</v>
      </c>
      <c r="K121" s="52">
        <f>MAX(0, E39-E38)</f>
        <v>0</v>
      </c>
      <c r="L121" s="1">
        <f>K121/J121</f>
        <v>0</v>
      </c>
      <c r="M121" s="1">
        <f>K120/J121</f>
        <v>0</v>
      </c>
      <c r="N121" s="2">
        <f>1-(L121+M121)</f>
        <v>1</v>
      </c>
      <c r="O121" s="53">
        <f t="shared" ref="O121:O123" si="1">(L121*6)+(M121*4)+(N121*0)</f>
        <v>0</v>
      </c>
    </row>
    <row r="122" spans="4:15" ht="20.100000000000001" customHeight="1" x14ac:dyDescent="0.25">
      <c r="J122" s="52">
        <f>E40</f>
        <v>200</v>
      </c>
      <c r="K122" s="52">
        <f>MAX(0,E40-E39)</f>
        <v>100</v>
      </c>
      <c r="L122" s="1">
        <f>K122/J122</f>
        <v>0.5</v>
      </c>
      <c r="M122" s="1">
        <f>K121/J122</f>
        <v>0</v>
      </c>
      <c r="N122" s="2">
        <f>1-(L122+M122)</f>
        <v>0.5</v>
      </c>
      <c r="O122" s="53">
        <f t="shared" si="1"/>
        <v>3</v>
      </c>
    </row>
    <row r="123" spans="4:15" ht="20.100000000000001" customHeight="1" x14ac:dyDescent="0.25">
      <c r="E123" s="63" t="s">
        <v>166</v>
      </c>
      <c r="F123" s="63" t="s">
        <v>167</v>
      </c>
      <c r="G123" s="63" t="s">
        <v>168</v>
      </c>
      <c r="J123" s="52">
        <f>E41</f>
        <v>250</v>
      </c>
      <c r="K123" s="52">
        <f>MAX(0, E41-E40)</f>
        <v>50</v>
      </c>
      <c r="L123" s="1">
        <f>K123/J123</f>
        <v>0.2</v>
      </c>
      <c r="M123" s="2">
        <f>K122/J123</f>
        <v>0.4</v>
      </c>
      <c r="N123" s="2">
        <f>1-(L123+M123)</f>
        <v>0.39999999999999991</v>
      </c>
      <c r="O123" s="53">
        <f t="shared" si="1"/>
        <v>2.8000000000000003</v>
      </c>
    </row>
    <row r="124" spans="4:15" ht="20.100000000000001" customHeight="1" x14ac:dyDescent="0.25">
      <c r="D124" s="1" t="str">
        <f>E118</f>
        <v>August 2024</v>
      </c>
      <c r="E124" s="46">
        <v>0.25</v>
      </c>
      <c r="F124" s="46">
        <v>0.25</v>
      </c>
      <c r="G124" s="46">
        <v>0.25</v>
      </c>
      <c r="H124" s="2" t="s">
        <v>19</v>
      </c>
      <c r="L124" s="2"/>
      <c r="M124" s="2"/>
      <c r="N124" s="2"/>
      <c r="O124" s="2"/>
    </row>
    <row r="125" spans="4:15" ht="20.100000000000001" customHeight="1" x14ac:dyDescent="0.25">
      <c r="D125" s="1" t="str">
        <f>E119</f>
        <v>September 2024</v>
      </c>
      <c r="E125" s="46">
        <v>0.25</v>
      </c>
      <c r="F125" s="46">
        <v>0.25</v>
      </c>
      <c r="G125" s="46">
        <v>0.25</v>
      </c>
      <c r="H125" s="2" t="s">
        <v>19</v>
      </c>
    </row>
    <row r="126" spans="4:15" ht="20.100000000000001" customHeight="1" x14ac:dyDescent="0.25">
      <c r="D126" s="1" t="str">
        <f>E120</f>
        <v>October 2024</v>
      </c>
      <c r="E126" s="46">
        <v>0.25</v>
      </c>
      <c r="F126" s="46">
        <v>0.25</v>
      </c>
      <c r="G126" s="46">
        <v>0.25</v>
      </c>
      <c r="H126" s="2" t="s">
        <v>19</v>
      </c>
    </row>
    <row r="127" spans="4:15" ht="20.100000000000001" customHeight="1" x14ac:dyDescent="0.25">
      <c r="D127" s="1" t="str">
        <f>"Proportion of cows &gt; 1 years in calf in " &amp; D124 &amp; " to " &amp; D126</f>
        <v>Proportion of cows &gt; 1 years in calf in August 2024 to October 2024</v>
      </c>
      <c r="E127" s="97">
        <f>SUM(E124:E126)</f>
        <v>0.75</v>
      </c>
      <c r="F127" s="97">
        <f>SUM(F124:F126)</f>
        <v>0.75</v>
      </c>
      <c r="G127" s="97">
        <f>SUM(G124:G126)</f>
        <v>0.75</v>
      </c>
      <c r="H127" s="2" t="s">
        <v>19</v>
      </c>
    </row>
    <row r="128" spans="4:15" ht="20.100000000000001" customHeight="1" x14ac:dyDescent="0.25"/>
    <row r="129" spans="4:15" ht="20.100000000000001" customHeight="1" x14ac:dyDescent="0.25">
      <c r="K129" s="2"/>
      <c r="L129" s="2"/>
      <c r="M129" s="2"/>
      <c r="N129" s="2"/>
      <c r="O129" s="2"/>
    </row>
    <row r="130" spans="4:15" ht="20.100000000000001" customHeight="1" x14ac:dyDescent="0.25">
      <c r="D130" s="48" t="s">
        <v>18</v>
      </c>
      <c r="K130" s="2"/>
      <c r="L130" s="2"/>
      <c r="M130" s="2"/>
      <c r="N130" s="2"/>
      <c r="O130" s="2"/>
    </row>
    <row r="131" spans="4:15" ht="20.100000000000001" customHeight="1" x14ac:dyDescent="0.25">
      <c r="D131" s="63" t="s">
        <v>179</v>
      </c>
      <c r="E131" s="63" t="s">
        <v>131</v>
      </c>
      <c r="F131" s="63" t="s">
        <v>130</v>
      </c>
      <c r="G131" s="63" t="s">
        <v>165</v>
      </c>
      <c r="H131" s="63" t="s">
        <v>166</v>
      </c>
      <c r="I131" s="63" t="s">
        <v>167</v>
      </c>
      <c r="J131" s="63" t="s">
        <v>168</v>
      </c>
      <c r="K131" s="63" t="s">
        <v>169</v>
      </c>
      <c r="L131" s="63" t="s">
        <v>170</v>
      </c>
      <c r="M131" s="63" t="s">
        <v>171</v>
      </c>
      <c r="N131" s="63" t="s">
        <v>172</v>
      </c>
    </row>
    <row r="132" spans="4:15" ht="20.100000000000001" customHeight="1" x14ac:dyDescent="0.25">
      <c r="D132" s="1" t="s">
        <v>173</v>
      </c>
      <c r="E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2" s="52">
        <f>InputFunctions_PastureBeef.LookupValueFromStateRegionSeason($E$7,$E$8,$D132,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2" s="2" t="s">
        <v>141</v>
      </c>
    </row>
    <row r="133" spans="4:15" ht="20.100000000000001" customHeight="1" x14ac:dyDescent="0.25">
      <c r="D133" s="1" t="s">
        <v>174</v>
      </c>
      <c r="E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3" s="2" t="s">
        <v>141</v>
      </c>
    </row>
    <row r="134" spans="4:15" ht="20.100000000000001" customHeight="1" x14ac:dyDescent="0.25">
      <c r="D134" s="1" t="s">
        <v>175</v>
      </c>
      <c r="E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4" s="2" t="s">
        <v>141</v>
      </c>
    </row>
    <row r="135" spans="4:15" ht="20.100000000000001" customHeight="1" x14ac:dyDescent="0.25">
      <c r="D135" s="1" t="s">
        <v>176</v>
      </c>
      <c r="E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5" s="2" t="s">
        <v>141</v>
      </c>
    </row>
    <row r="136" spans="4:15" ht="20.100000000000001" customHeight="1" x14ac:dyDescent="0.25"/>
    <row r="137" spans="4:15" ht="20.100000000000001" customHeight="1" x14ac:dyDescent="0.25">
      <c r="D137" s="63" t="s">
        <v>180</v>
      </c>
      <c r="E137" s="63" t="s">
        <v>131</v>
      </c>
      <c r="F137" s="63" t="s">
        <v>130</v>
      </c>
      <c r="G137" s="63" t="s">
        <v>165</v>
      </c>
      <c r="H137" s="63" t="s">
        <v>166</v>
      </c>
      <c r="I137" s="63" t="s">
        <v>167</v>
      </c>
      <c r="J137" s="63" t="s">
        <v>168</v>
      </c>
      <c r="K137" s="63" t="s">
        <v>169</v>
      </c>
      <c r="L137" s="63" t="s">
        <v>170</v>
      </c>
      <c r="M137" s="63" t="s">
        <v>171</v>
      </c>
      <c r="N137" s="63" t="s">
        <v>172</v>
      </c>
    </row>
    <row r="138" spans="4:15" ht="20.100000000000001" customHeight="1" x14ac:dyDescent="0.25">
      <c r="D138" s="1" t="str">
        <f>TEXT('Input - Site'!$E$12, "mmmm yyyy")</f>
        <v>January 2024</v>
      </c>
      <c r="E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8" s="2" t="s">
        <v>141</v>
      </c>
    </row>
    <row r="139" spans="4:15" ht="20.100000000000001" customHeight="1" x14ac:dyDescent="0.25">
      <c r="D139" s="1" t="str">
        <f>TEXT(EDATE('Input - Site'!$E$12,1), "mmmm yyyy")</f>
        <v>February 2024</v>
      </c>
      <c r="E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141</v>
      </c>
    </row>
    <row r="140" spans="4:15" ht="20.100000000000001" customHeight="1" x14ac:dyDescent="0.25">
      <c r="D140" s="1" t="str">
        <f>TEXT(EDATE('Input - Site'!$E$12,2), "mmmm yyyy")</f>
        <v>March 2024</v>
      </c>
      <c r="E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0" s="2" t="s">
        <v>141</v>
      </c>
    </row>
    <row r="141" spans="4:15" ht="20.100000000000001" customHeight="1" x14ac:dyDescent="0.25">
      <c r="D141" s="1" t="str">
        <f>TEXT(EDATE('Input - Site'!$E$12,3), "mmmm yyyy")</f>
        <v>April 2024</v>
      </c>
      <c r="E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141</v>
      </c>
    </row>
    <row r="142" spans="4:15" ht="20.100000000000001" customHeight="1" x14ac:dyDescent="0.25">
      <c r="D142" s="1" t="str">
        <f>TEXT(EDATE('Input - Site'!$E$12,4), "mmmm yyyy")</f>
        <v>May 2024</v>
      </c>
      <c r="E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141</v>
      </c>
    </row>
    <row r="143" spans="4:15" ht="20.100000000000001" customHeight="1" x14ac:dyDescent="0.25">
      <c r="D143" s="1" t="str">
        <f>TEXT(EDATE('Input - Site'!$E$12,5), "mmmm yyyy")</f>
        <v>June 2024</v>
      </c>
      <c r="E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3" s="6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3" s="2" t="s">
        <v>141</v>
      </c>
    </row>
    <row r="144" spans="4:15" ht="20.100000000000001" customHeight="1" x14ac:dyDescent="0.25">
      <c r="D144" s="1" t="str">
        <f>TEXT(EDATE('Input - Site'!$E$12,6), "mmmm yyyy")</f>
        <v>July 2024</v>
      </c>
      <c r="E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141</v>
      </c>
    </row>
    <row r="145" spans="4:15" ht="20.100000000000001" customHeight="1" x14ac:dyDescent="0.25">
      <c r="D145" s="1" t="str">
        <f>TEXT(EDATE('Input - Site'!$E$12,7), "mmmm yyyy")</f>
        <v>August 2024</v>
      </c>
      <c r="E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141</v>
      </c>
    </row>
    <row r="146" spans="4:15" ht="20.100000000000001" customHeight="1" x14ac:dyDescent="0.25">
      <c r="D146" s="1" t="str">
        <f>TEXT(EDATE('Input - Site'!$E$12,8), "mmmm yyyy")</f>
        <v>September 2024</v>
      </c>
      <c r="E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6" s="6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6" s="2" t="s">
        <v>141</v>
      </c>
    </row>
    <row r="147" spans="4:15" ht="20.100000000000001" customHeight="1" x14ac:dyDescent="0.25">
      <c r="D147" s="1" t="str">
        <f>TEXT(EDATE('Input - Site'!$E$12,9), "mmmm yyyy")</f>
        <v>October 2024</v>
      </c>
      <c r="E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141</v>
      </c>
    </row>
    <row r="148" spans="4:15" ht="20.100000000000001" customHeight="1" x14ac:dyDescent="0.25">
      <c r="D148" s="1" t="str">
        <f>TEXT(EDATE('Input - Site'!$E$12,10), "mmmm yyyy")</f>
        <v>November 2024</v>
      </c>
      <c r="E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141</v>
      </c>
    </row>
    <row r="149" spans="4:15" ht="20.100000000000001" customHeight="1" x14ac:dyDescent="0.25">
      <c r="D149" s="1" t="str">
        <f>TEXT(EDATE('Input - Site'!$E$12,11), "mmmm yyyy")</f>
        <v>December 2024</v>
      </c>
      <c r="E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9" s="6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9" s="2" t="s">
        <v>141</v>
      </c>
    </row>
    <row r="150" spans="4:15" ht="20.100000000000001" customHeight="1" x14ac:dyDescent="0.25"/>
    <row r="151" spans="4:15" ht="20.100000000000001" customHeight="1" x14ac:dyDescent="0.25"/>
    <row r="152" spans="4:15" ht="20.100000000000001" customHeight="1" x14ac:dyDescent="0.25">
      <c r="D152" s="48" t="s">
        <v>105</v>
      </c>
      <c r="K152" s="2"/>
      <c r="L152" s="2"/>
      <c r="M152" s="2"/>
      <c r="N152" s="2"/>
      <c r="O152" s="2"/>
    </row>
    <row r="153" spans="4:15" ht="20.100000000000001" customHeight="1" x14ac:dyDescent="0.25">
      <c r="D153" s="63" t="s">
        <v>179</v>
      </c>
      <c r="E153" s="63" t="s">
        <v>131</v>
      </c>
      <c r="F153" s="63" t="s">
        <v>130</v>
      </c>
      <c r="G153" s="63" t="s">
        <v>165</v>
      </c>
      <c r="H153" s="63" t="s">
        <v>166</v>
      </c>
      <c r="I153" s="63" t="s">
        <v>167</v>
      </c>
      <c r="J153" s="63" t="s">
        <v>168</v>
      </c>
      <c r="K153" s="63" t="s">
        <v>169</v>
      </c>
      <c r="L153" s="63" t="s">
        <v>170</v>
      </c>
      <c r="M153" s="63" t="s">
        <v>171</v>
      </c>
      <c r="N153" s="63" t="s">
        <v>172</v>
      </c>
    </row>
    <row r="154" spans="4:15" ht="20.100000000000001" customHeight="1" x14ac:dyDescent="0.25">
      <c r="D154" s="1" t="s">
        <v>173</v>
      </c>
      <c r="E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F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G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H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I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J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K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L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M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N154" s="52">
        <f>InputFunctions_PastureBeef.LookupValueFromStateRegionSeason($E$7,$E$8,$D154, Table_SourceData_PastureBeef_CrudeProtein[State],Table_SourceData_PastureBeef_CrudeProtein[Region],Table_SourceData_PastureBeef_CrudeProtein[#Headers],Table_SourceData_PastureBeef_CrudeProtein[],Table_AustralianStates[Common Name],Table_AustralianStates[Abbreviation])</f>
        <v>0.2</v>
      </c>
      <c r="O154" s="2" t="s">
        <v>141</v>
      </c>
    </row>
    <row r="155" spans="4:15" ht="20.100000000000001" customHeight="1" x14ac:dyDescent="0.25">
      <c r="D155" s="1" t="s">
        <v>174</v>
      </c>
      <c r="E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F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G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H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I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J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K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L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M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N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0.09</v>
      </c>
      <c r="O155" s="2" t="s">
        <v>141</v>
      </c>
    </row>
    <row r="156" spans="4:15" ht="20.100000000000001" customHeight="1" x14ac:dyDescent="0.25">
      <c r="D156" s="1" t="s">
        <v>175</v>
      </c>
      <c r="E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F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G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H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I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J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K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L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M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N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0.06</v>
      </c>
      <c r="O156" s="2" t="s">
        <v>141</v>
      </c>
    </row>
    <row r="157" spans="4:15" ht="20.100000000000001" customHeight="1" x14ac:dyDescent="0.25">
      <c r="D157" s="1" t="s">
        <v>176</v>
      </c>
      <c r="E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F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G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H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I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J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K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L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M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N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0.2</v>
      </c>
      <c r="O157" s="2" t="s">
        <v>141</v>
      </c>
    </row>
    <row r="158" spans="4:15" ht="20.100000000000001" customHeight="1" x14ac:dyDescent="0.25"/>
    <row r="159" spans="4:15" ht="20.100000000000001" customHeight="1" x14ac:dyDescent="0.25">
      <c r="D159" s="63" t="s">
        <v>180</v>
      </c>
      <c r="E159" s="63" t="s">
        <v>131</v>
      </c>
      <c r="F159" s="63" t="s">
        <v>130</v>
      </c>
      <c r="G159" s="63" t="s">
        <v>165</v>
      </c>
      <c r="H159" s="63" t="s">
        <v>166</v>
      </c>
      <c r="I159" s="63" t="s">
        <v>167</v>
      </c>
      <c r="J159" s="63" t="s">
        <v>168</v>
      </c>
      <c r="K159" s="63" t="s">
        <v>169</v>
      </c>
      <c r="L159" s="63" t="s">
        <v>170</v>
      </c>
      <c r="M159" s="63" t="s">
        <v>171</v>
      </c>
      <c r="N159" s="63" t="s">
        <v>172</v>
      </c>
    </row>
    <row r="160" spans="4:15" ht="20.100000000000001" customHeight="1" x14ac:dyDescent="0.25">
      <c r="D160" s="1" t="str">
        <f>TEXT('Input - Site'!$E$12, "mmmm yyyy")</f>
        <v>January 2024</v>
      </c>
      <c r="E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0" s="2" t="s">
        <v>141</v>
      </c>
    </row>
    <row r="161" spans="4:15" ht="20.100000000000001" customHeight="1" x14ac:dyDescent="0.25">
      <c r="D161" s="1" t="str">
        <f>TEXT(EDATE('Input - Site'!$E$12,1), "mmmm yyyy")</f>
        <v>February 2024</v>
      </c>
      <c r="E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141</v>
      </c>
    </row>
    <row r="162" spans="4:15" ht="20.100000000000001" customHeight="1" x14ac:dyDescent="0.25">
      <c r="D162" s="1" t="str">
        <f>TEXT(EDATE('Input - Site'!$E$12,2), "mmmm yyyy")</f>
        <v>March 2024</v>
      </c>
      <c r="E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2" s="2" t="s">
        <v>141</v>
      </c>
    </row>
    <row r="163" spans="4:15" ht="20.100000000000001" customHeight="1" x14ac:dyDescent="0.25">
      <c r="D163" s="1" t="str">
        <f>TEXT(EDATE('Input - Site'!$E$12,3), "mmmm yyyy")</f>
        <v>April 2024</v>
      </c>
      <c r="E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141</v>
      </c>
    </row>
    <row r="164" spans="4:15" ht="20.100000000000001" customHeight="1" x14ac:dyDescent="0.25">
      <c r="D164" s="1" t="str">
        <f>TEXT(EDATE('Input - Site'!$E$12,4), "mmmm yyyy")</f>
        <v>May 2024</v>
      </c>
      <c r="E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141</v>
      </c>
    </row>
    <row r="165" spans="4:15" ht="20.100000000000001" customHeight="1" x14ac:dyDescent="0.25">
      <c r="D165" s="1" t="str">
        <f>TEXT(EDATE('Input - Site'!$E$12,5), "mmmm yyyy")</f>
        <v>June 2024</v>
      </c>
      <c r="E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5" s="66">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5" s="2" t="s">
        <v>141</v>
      </c>
    </row>
    <row r="166" spans="4:15" x14ac:dyDescent="0.25">
      <c r="D166" s="1" t="str">
        <f>TEXT(EDATE('Input - Site'!$E$12,6), "mmmm yyyy")</f>
        <v>July 2024</v>
      </c>
      <c r="E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6">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141</v>
      </c>
    </row>
    <row r="167" spans="4:15" x14ac:dyDescent="0.25">
      <c r="D167" s="1" t="str">
        <f>TEXT(EDATE('Input - Site'!$E$12,7), "mmmm yyyy")</f>
        <v>August 2024</v>
      </c>
      <c r="E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6">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141</v>
      </c>
    </row>
    <row r="168" spans="4:15" x14ac:dyDescent="0.25">
      <c r="D168" s="1" t="str">
        <f>TEXT(EDATE('Input - Site'!$E$12,8), "mmmm yyyy")</f>
        <v>September 2024</v>
      </c>
      <c r="E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6">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141</v>
      </c>
    </row>
    <row r="169" spans="4:15" x14ac:dyDescent="0.25">
      <c r="D169" s="1" t="str">
        <f>TEXT(EDATE('Input - Site'!$E$12,9), "mmmm yyyy")</f>
        <v>October 2024</v>
      </c>
      <c r="E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6">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141</v>
      </c>
    </row>
    <row r="170" spans="4:15" x14ac:dyDescent="0.25">
      <c r="D170" s="1" t="str">
        <f>TEXT(EDATE('Input - Site'!$E$12,10), "mmmm yyyy")</f>
        <v>November 2024</v>
      </c>
      <c r="E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6">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141</v>
      </c>
    </row>
    <row r="171" spans="4:15" x14ac:dyDescent="0.25">
      <c r="D171" s="1" t="str">
        <f>TEXT(EDATE('Input - Site'!$E$12,11), "mmmm yyyy")</f>
        <v>December 2024</v>
      </c>
      <c r="E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1" s="66">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1" s="2" t="s">
        <v>141</v>
      </c>
    </row>
    <row r="172" spans="4:15" x14ac:dyDescent="0.25">
      <c r="L172" s="2"/>
      <c r="M172" s="2"/>
      <c r="N172" s="2"/>
      <c r="O172" s="2"/>
    </row>
    <row r="173" spans="4:15" x14ac:dyDescent="0.25">
      <c r="L173" s="2"/>
      <c r="M173" s="2"/>
      <c r="N173" s="2"/>
      <c r="O173" s="2"/>
    </row>
    <row r="174" spans="4:15" ht="18.75" x14ac:dyDescent="0.25">
      <c r="D174" s="48" t="s">
        <v>263</v>
      </c>
      <c r="L174" s="2"/>
      <c r="M174" s="2"/>
      <c r="N174" s="2"/>
      <c r="O174" s="2"/>
    </row>
    <row r="176" spans="4:15" x14ac:dyDescent="0.25">
      <c r="D176" s="1" t="s">
        <v>264</v>
      </c>
      <c r="E176" s="39" t="s">
        <v>139</v>
      </c>
      <c r="F176" s="2" t="s">
        <v>11</v>
      </c>
      <c r="L176" s="2"/>
      <c r="M176" s="2"/>
      <c r="N176" s="2"/>
      <c r="O176" s="2"/>
    </row>
    <row r="178" spans="4:15" x14ac:dyDescent="0.25">
      <c r="D178" s="63" t="s">
        <v>21</v>
      </c>
      <c r="E178" s="63" t="s">
        <v>265</v>
      </c>
      <c r="L178" s="2"/>
      <c r="M178" s="2"/>
      <c r="N178" s="2"/>
      <c r="O178" s="2"/>
    </row>
    <row r="179" spans="4:15" x14ac:dyDescent="0.25">
      <c r="D179" s="1" t="s">
        <v>138</v>
      </c>
      <c r="E179" s="119">
        <f>IF($E$176="Yes",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9" s="2" t="s">
        <v>19</v>
      </c>
      <c r="L179" s="2"/>
      <c r="M179" s="2"/>
      <c r="N179" s="2"/>
      <c r="O179" s="2"/>
    </row>
    <row r="180" spans="4:15" x14ac:dyDescent="0.25">
      <c r="D180" s="1" t="s">
        <v>266</v>
      </c>
      <c r="E180" s="119">
        <f>IF($E$176="Yes",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0" s="2" t="s">
        <v>19</v>
      </c>
      <c r="L180" s="2"/>
      <c r="M180" s="2"/>
      <c r="N180" s="2"/>
      <c r="O180" s="2"/>
    </row>
    <row r="181" spans="4:15" x14ac:dyDescent="0.25">
      <c r="L181" s="2"/>
      <c r="M181" s="2"/>
      <c r="N181" s="2"/>
      <c r="O181" s="2"/>
    </row>
    <row r="183" spans="4:15" x14ac:dyDescent="0.25">
      <c r="D183" s="1" t="s">
        <v>321</v>
      </c>
      <c r="E183" s="39" t="s">
        <v>326</v>
      </c>
      <c r="F183" s="2" t="s">
        <v>11</v>
      </c>
      <c r="L183" s="2"/>
      <c r="M183" s="2"/>
      <c r="N183" s="2"/>
      <c r="O183" s="2"/>
    </row>
    <row r="184" spans="4:15" x14ac:dyDescent="0.25">
      <c r="E184" s="39" t="s">
        <v>121</v>
      </c>
      <c r="F184" s="2" t="s">
        <v>11</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6"/>
    </row>
  </sheetData>
  <conditionalFormatting sqref="E102:O102 L109:O110 M123:N123 I124 L124:O124 L172:O174 L176:O176 L178:O181 L183:O183 L199:O199 L202:O202 L207:O210 L212:O212 L214:O217 L219:O219 J223:J225 J228:J230 J243:K243 J248:K248 J253:K253 J258:K262 J264:K264 J266:K269 J271:K271 J277:K277 J282:K282 J287:K287 J292:K296 J298:K298 J300:K303 J305:K305">
    <cfRule type="cellIs" dxfId="12" priority="36" operator="lessThan">
      <formula>0</formula>
    </cfRule>
  </conditionalFormatting>
  <conditionalFormatting sqref="F245:F246">
    <cfRule type="cellIs" dxfId="11" priority="27" operator="lessThan">
      <formula>0</formula>
    </cfRule>
  </conditionalFormatting>
  <conditionalFormatting sqref="F250:F251">
    <cfRule type="cellIs" dxfId="10" priority="26" operator="lessThan">
      <formula>0</formula>
    </cfRule>
  </conditionalFormatting>
  <conditionalFormatting sqref="F255:F256">
    <cfRule type="cellIs" dxfId="9" priority="25" operator="lessThan">
      <formula>0</formula>
    </cfRule>
  </conditionalFormatting>
  <conditionalFormatting sqref="F279:F280">
    <cfRule type="cellIs" dxfId="8" priority="19" operator="lessThan">
      <formula>0</formula>
    </cfRule>
  </conditionalFormatting>
  <conditionalFormatting sqref="F284:F285">
    <cfRule type="cellIs" dxfId="7" priority="18" operator="lessThan">
      <formula>0</formula>
    </cfRule>
  </conditionalFormatting>
  <conditionalFormatting sqref="F289:F290">
    <cfRule type="cellIs" dxfId="6" priority="17" operator="lessThan">
      <formula>0</formula>
    </cfRule>
  </conditionalFormatting>
  <conditionalFormatting sqref="H123:K123">
    <cfRule type="cellIs" dxfId="5" priority="7" operator="lessThan">
      <formula>0</formula>
    </cfRule>
  </conditionalFormatting>
  <conditionalFormatting sqref="I129:O130">
    <cfRule type="cellIs" dxfId="4" priority="13" operator="lessThan">
      <formula>0</formula>
    </cfRule>
  </conditionalFormatting>
  <conditionalFormatting sqref="I152:O152">
    <cfRule type="cellIs" dxfId="3" priority="5" operator="lessThan">
      <formula>0</formula>
    </cfRule>
  </conditionalFormatting>
  <conditionalFormatting sqref="K122:K123">
    <cfRule type="cellIs" dxfId="2" priority="4" operator="lessThan">
      <formula>0</formula>
    </cfRule>
  </conditionalFormatting>
  <conditionalFormatting sqref="N120:N122">
    <cfRule type="cellIs" dxfId="1" priority="1" operator="lessThan">
      <formula>0</formula>
    </cfRule>
  </conditionalFormatting>
  <conditionalFormatting sqref="P43:R43">
    <cfRule type="cellIs" dxfId="0" priority="37"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76"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4" xr:uid="{964CB593-5D4D-4584-9033-0C54780AC43E}">
      <formula1>INDIRECT("Table_SourceData_PastureBeef_IrrigationMethods[Irrigation method]")</formula1>
    </dataValidation>
    <dataValidation type="list" allowBlank="1" showInputMessage="1" showErrorMessage="1" sqref="E183"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8"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A10" zoomScaleNormal="100" workbookViewId="0">
      <selection activeCell="K39" sqref="K39"/>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8" t="e" vm="1">
        <v>#VALUE!</v>
      </c>
      <c r="C1" s="8" t="s">
        <v>164</v>
      </c>
    </row>
    <row r="2" spans="1:37" s="9" customFormat="1" ht="20.100000000000001" customHeight="1" x14ac:dyDescent="0.25"/>
    <row r="3" spans="1:37" ht="20.100000000000001" customHeight="1" x14ac:dyDescent="0.25">
      <c r="A3" s="17" t="str">
        <f>HYPERLINK("#'Home'!A1", "Home")</f>
        <v>Home</v>
      </c>
      <c r="C3" s="4"/>
      <c r="D3" s="4" t="s">
        <v>108</v>
      </c>
      <c r="E3" s="4"/>
      <c r="F3" s="4"/>
      <c r="G3" s="4"/>
      <c r="H3" s="4"/>
      <c r="I3" s="4"/>
      <c r="J3" s="4"/>
      <c r="K3" s="4"/>
      <c r="L3" s="4"/>
      <c r="M3" s="4"/>
      <c r="N3" s="4"/>
      <c r="O3" s="4"/>
      <c r="P3" s="4"/>
      <c r="Q3" s="4"/>
      <c r="R3" s="4"/>
      <c r="S3" s="4"/>
      <c r="T3" s="4"/>
      <c r="V3" s="4"/>
      <c r="W3" s="4" t="s">
        <v>109</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A6" s="20" t="s">
        <v>3</v>
      </c>
      <c r="D6" s="5" t="str" cm="1">
        <f t="array" ref="D6">EntericMethane_PastureBeef_Equations.VEERG_3_2_1_1__4_AdditionalIntakeForMilkProduction_Source()</f>
        <v>VEERG 2026: 3.2.1.1, Equation (4)</v>
      </c>
    </row>
    <row r="7" spans="1:37" ht="20.100000000000001" customHeight="1" x14ac:dyDescent="0.25">
      <c r="A7" s="17" t="str">
        <f>HYPERLINK("#'Input - Site'!A1", "Site")</f>
        <v>Site</v>
      </c>
      <c r="D7" s="13" t="s">
        <v>27</v>
      </c>
      <c r="E7" s="13" t="s">
        <v>344</v>
      </c>
    </row>
    <row r="8" spans="1:37" ht="20.100000000000001" customHeight="1" x14ac:dyDescent="0.25">
      <c r="A8" s="17" t="str">
        <f>HYPERLINK("#'Input - Pasture Beef'!A1", "Pasture Beef")</f>
        <v>Pasture Beef</v>
      </c>
    </row>
    <row r="9" spans="1:37" ht="20.100000000000001" customHeight="1" x14ac:dyDescent="0.25">
      <c r="A9" s="17"/>
    </row>
    <row r="10" spans="1:37" ht="20.100000000000001" customHeight="1" x14ac:dyDescent="0.25">
      <c r="A10" s="19" t="s">
        <v>77</v>
      </c>
      <c r="D10" s="53" t="s">
        <v>30</v>
      </c>
      <c r="E10" s="1" t="str" cm="1">
        <f t="array" ref="E10">EntericMethane_PastureBeef_Equations.VEERG_3_2_1_1__4_AdditionalIntakeForMilkProduction_Variable()</f>
        <v>MA_jk45</v>
      </c>
    </row>
    <row r="11" spans="1:37" ht="20.100000000000001" customHeight="1" x14ac:dyDescent="0.25">
      <c r="A11" s="17" t="str">
        <f>HYPERLINK("#'4.2.1.1-2 Methane'!A1", "4.2.1.1-2 Methane")</f>
        <v>4.2.1.1-2 Methane</v>
      </c>
      <c r="D11" s="53" t="s">
        <v>20</v>
      </c>
      <c r="E11" s="54" t="str" cm="1">
        <f t="array" ref="E11">EntericMethane_PastureBeef_Equations.VEERG_3_2_1_1__4_AdditionalIntakeForMilkProduction_Unit()</f>
        <v>fraction</v>
      </c>
    </row>
    <row r="12" spans="1:37" ht="20.100000000000001" customHeight="1" x14ac:dyDescent="0.25">
      <c r="A12" s="17" t="str">
        <f>HYPERLINK("#'4.2.1.3-4 Soil direct N2O'!A1", "4.2.1.3-4 Soil direct N2O")</f>
        <v>4.2.1.3-4 Soil direct N2O</v>
      </c>
    </row>
    <row r="13" spans="1:37" ht="20.100000000000001" customHeight="1" x14ac:dyDescent="0.25">
      <c r="A13" s="17" t="str">
        <f>HYPERLINK("#'4.2.1.5-6 Soil Atmos Dep'!A1", "4.2.1.5-6 Soil atm. deposition")</f>
        <v>4.2.1.5-6 Soil atm. deposition</v>
      </c>
      <c r="D13" s="121" t="str" cm="1">
        <f t="array" ref="D13:E16">_xlfn.CHOOSECOLS(EntericMethane_PastureBeef_Equations.VEERG_3_2_1_1__4_AdditionalIntakeForMilkProduction_ArgumentsVariation(), 1, 2)</f>
        <v>LC_jk45</v>
      </c>
      <c r="E13" s="126" t="str">
        <v>proportion of cows greater than 1 year in calf in the season of calving expressed as a fraction</v>
      </c>
      <c r="F13" s="127"/>
      <c r="G13" s="125"/>
      <c r="H13" s="121" t="str" cm="1">
        <f t="array" ref="H13:I16">_xlfn.CHOOSECOLS(EntericMethane_PastureBeef_Equations.VEERG_3_2_1_1__4_AdditionalIntakeForMilkProduction_ArgumentsVariation(), 3,4)</f>
        <v>fraction</v>
      </c>
      <c r="I13" s="123" t="str">
        <v>Input</v>
      </c>
      <c r="J13" s="120" t="str" cm="1">
        <f t="array" aca="1" ref="J13" ca="1">HYPERLINK(Common_InputFunctions.Utility_SourceHyperlink($D$19), $D$19)</f>
        <v>M1_Table_LC_j_k-4-5</v>
      </c>
    </row>
    <row r="14" spans="1:37" ht="20.100000000000001" customHeight="1" x14ac:dyDescent="0.25">
      <c r="A14" s="17" t="str">
        <f>HYPERLINK("#'4.2.1.7-8 Soil leach runoff'!A1", "4.2.1.7-8 Soil leach &amp; runoff")</f>
        <v>4.2.1.7-8 Soil leach &amp; runoff</v>
      </c>
      <c r="D14" s="121" t="str">
        <v>FA_jk45calv</v>
      </c>
      <c r="E14" s="126" t="str">
        <v>feed adjustment value for lactating cows in the season of calving expressed as a fraction</v>
      </c>
      <c r="F14" s="127"/>
      <c r="G14" s="125"/>
      <c r="H14" s="121" t="str">
        <v>fraction</v>
      </c>
      <c r="I14" s="122" t="str">
        <v>Constant</v>
      </c>
      <c r="J14" s="121"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c r="D15" s="121" t="str">
        <v>FA_jk45after</v>
      </c>
      <c r="E15" s="126" t="str">
        <v>feed adjustment value for lactating cows in the season immediately after calving expressed as a fraction</v>
      </c>
      <c r="F15" s="127"/>
      <c r="G15" s="125"/>
      <c r="H15" s="121" t="str">
        <v>fraction</v>
      </c>
      <c r="I15" s="122" t="str">
        <v>Constant</v>
      </c>
      <c r="J15" s="121"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8" t="s">
        <v>4</v>
      </c>
      <c r="D16" s="121" t="str">
        <v>b</v>
      </c>
      <c r="E16" s="126" t="str">
        <v>breed of cattle</v>
      </c>
      <c r="F16" s="127"/>
      <c r="G16" s="125"/>
      <c r="H16" s="121" t="str">
        <v/>
      </c>
      <c r="I16" s="123" t="str">
        <v>Input</v>
      </c>
      <c r="J16" s="121" t="str">
        <f>'Input - Pasture Beef'!$E$9</f>
        <v>Hereford or Shorthorn breeds</v>
      </c>
    </row>
    <row r="17" spans="1:36" ht="20.100000000000001" customHeight="1" x14ac:dyDescent="0.25">
      <c r="A17" s="17" t="str">
        <f>HYPERLINK("#'Constants - Pasture Beef'!A1", "Constants - Pasture Beef")</f>
        <v>Constants - Pasture Beef</v>
      </c>
    </row>
    <row r="18" spans="1:36" ht="20.100000000000001" customHeight="1" x14ac:dyDescent="0.25">
      <c r="A18" s="17" t="str">
        <f>HYPERLINK("#'Constants - Livestock'!A1", "Constants - Livestock")</f>
        <v>Constants - Livestock</v>
      </c>
    </row>
    <row r="19" spans="1:36" ht="20.100000000000001" customHeight="1" x14ac:dyDescent="0.25">
      <c r="A19" s="17" t="str">
        <f>HYPERLINK("#'Constants - Common'!A1", "Constants - Common")</f>
        <v>Constants - Common</v>
      </c>
      <c r="D19" s="99" t="s">
        <v>230</v>
      </c>
      <c r="W19" s="99" t="s">
        <v>249</v>
      </c>
    </row>
    <row r="20" spans="1:36" ht="20.100000000000001" customHeight="1" x14ac:dyDescent="0.25">
      <c r="A20" s="17" t="str">
        <f>HYPERLINK("#'Acknowledgements'!A1", "Acknowledgements")</f>
        <v>Acknowledgements</v>
      </c>
      <c r="D20" s="98" t="s">
        <v>253</v>
      </c>
      <c r="W20" s="98" t="s">
        <v>250</v>
      </c>
    </row>
    <row r="21" spans="1:36" ht="20.100000000000001" customHeight="1" x14ac:dyDescent="0.25">
      <c r="D21" s="51" t="s">
        <v>184</v>
      </c>
      <c r="E21" s="124" t="s">
        <v>246</v>
      </c>
      <c r="F21" s="124" t="s">
        <v>166</v>
      </c>
      <c r="G21" s="124" t="s">
        <v>167</v>
      </c>
      <c r="H21" s="124" t="s">
        <v>168</v>
      </c>
      <c r="W21" s="51" t="s">
        <v>132</v>
      </c>
      <c r="X21" s="124" t="s">
        <v>166</v>
      </c>
      <c r="Y21" s="124" t="s">
        <v>167</v>
      </c>
      <c r="Z21" s="124" t="s">
        <v>168</v>
      </c>
    </row>
    <row r="22" spans="1:36" ht="20.100000000000001" customHeight="1" x14ac:dyDescent="0.25">
      <c r="A22" s="17"/>
      <c r="D22" s="52" t="s">
        <v>173</v>
      </c>
      <c r="E22" s="52" t="str">
        <f>'Input - Pasture Beef'!$E111</f>
        <v>Yes</v>
      </c>
      <c r="F22" s="52">
        <f>'Input - Pasture Beef'!$F111</f>
        <v>0.1</v>
      </c>
      <c r="G22" s="52">
        <f>'Input - Pasture Beef'!$G111</f>
        <v>0.4</v>
      </c>
      <c r="H22" s="52">
        <f>'Input - Pasture Beef'!$H111</f>
        <v>0.4</v>
      </c>
      <c r="I22" s="2" t="s">
        <v>100</v>
      </c>
      <c r="W22" s="52" t="str">
        <f>TEXT(EDATE('Input - Pasture Beef'!$D$124,0), "mmmm") &amp; ", " &amp; TEXT(EDATE('Input - Pasture Beef'!$D$125,0), "mmmm") &amp; ", " &amp; TEXT(EDATE('Input - Pasture Beef'!$D$126,0), "mmmm")</f>
        <v>August, September, October</v>
      </c>
      <c r="X22" s="52">
        <f>'Input - Pasture Beef'!$E$127</f>
        <v>0.75</v>
      </c>
      <c r="Y22" s="52">
        <f>'Input - Pasture Beef'!$F$127</f>
        <v>0.75</v>
      </c>
      <c r="Z22" s="52">
        <f>'Input - Pasture Beef'!$G$127</f>
        <v>0.75</v>
      </c>
      <c r="AA22" s="2" t="s">
        <v>100</v>
      </c>
    </row>
    <row r="23" spans="1:36" ht="20.100000000000001" customHeight="1" x14ac:dyDescent="0.25">
      <c r="A23" s="17"/>
      <c r="D23" s="52" t="s">
        <v>174</v>
      </c>
      <c r="E23" s="52" t="str">
        <f>'Input - Pasture Beef'!$E112</f>
        <v>Yes</v>
      </c>
      <c r="F23" s="52">
        <f>'Input - Pasture Beef'!$F112</f>
        <v>0.1</v>
      </c>
      <c r="G23" s="52">
        <f>'Input - Pasture Beef'!$G112</f>
        <v>0</v>
      </c>
      <c r="H23" s="52">
        <f>'Input - Pasture Beef'!$H112</f>
        <v>0</v>
      </c>
      <c r="W23" s="52" t="str">
        <f>TEXT(EDATE('Input - Pasture Beef'!$D$126,1), "mmmm") &amp; ", " &amp; TEXT(EDATE('Input - Pasture Beef'!$D$126,2), "mmmm") &amp; ", " &amp; TEXT(EDATE('Input - Pasture Beef'!$D$126,3), "mmmm")</f>
        <v>November, December, January</v>
      </c>
      <c r="AA23" s="2"/>
    </row>
    <row r="24" spans="1:36" ht="20.100000000000001" customHeight="1" x14ac:dyDescent="0.25">
      <c r="D24" s="52" t="s">
        <v>175</v>
      </c>
      <c r="E24" s="52" t="str">
        <f>'Input - Pasture Beef'!$E113</f>
        <v>No</v>
      </c>
      <c r="F24" s="52">
        <f>'Input - Pasture Beef'!$F113</f>
        <v>0</v>
      </c>
      <c r="G24" s="52">
        <f>'Input - Pasture Beef'!$G113</f>
        <v>0</v>
      </c>
      <c r="H24" s="52">
        <f>'Input - Pasture Beef'!$H113</f>
        <v>0</v>
      </c>
      <c r="AA24" s="2"/>
    </row>
    <row r="25" spans="1:36" ht="20.100000000000001" customHeight="1" x14ac:dyDescent="0.25">
      <c r="D25" s="52" t="s">
        <v>176</v>
      </c>
      <c r="E25" s="52" t="str">
        <f>'Input - Pasture Beef'!$E111</f>
        <v>Yes</v>
      </c>
      <c r="F25" s="52">
        <f>'Input - Pasture Beef'!$F$110</f>
        <v>0.7</v>
      </c>
      <c r="G25" s="52">
        <f>'Input - Pasture Beef'!$G$110</f>
        <v>0.5</v>
      </c>
      <c r="H25" s="52">
        <f>'Input - Pasture Beef'!$H$110</f>
        <v>0.5</v>
      </c>
      <c r="W25" s="99" t="s">
        <v>251</v>
      </c>
    </row>
    <row r="26" spans="1:36" ht="20.100000000000001" customHeight="1" x14ac:dyDescent="0.25">
      <c r="W26" s="98" t="s">
        <v>252</v>
      </c>
    </row>
    <row r="27" spans="1:36" ht="20.100000000000001" customHeight="1" x14ac:dyDescent="0.25">
      <c r="D27" s="99" t="s">
        <v>240</v>
      </c>
      <c r="W27" s="51" t="s">
        <v>132</v>
      </c>
      <c r="X27" s="51" t="s">
        <v>246</v>
      </c>
      <c r="Y27" s="51" t="s">
        <v>340</v>
      </c>
      <c r="Z27" s="51" t="s">
        <v>131</v>
      </c>
      <c r="AA27" s="51" t="s">
        <v>130</v>
      </c>
      <c r="AB27" s="51" t="s">
        <v>165</v>
      </c>
      <c r="AC27" s="51" t="s">
        <v>166</v>
      </c>
      <c r="AD27" s="51" t="s">
        <v>167</v>
      </c>
      <c r="AE27" s="51" t="s">
        <v>168</v>
      </c>
      <c r="AF27" s="51" t="s">
        <v>169</v>
      </c>
      <c r="AG27" s="51" t="s">
        <v>170</v>
      </c>
      <c r="AH27" s="51" t="s">
        <v>171</v>
      </c>
    </row>
    <row r="28" spans="1:36" ht="20.100000000000001" customHeight="1" x14ac:dyDescent="0.25">
      <c r="D28" s="98" t="s">
        <v>241</v>
      </c>
      <c r="W28" s="52" t="str">
        <f>TEXT('Input - Site'!$E$12,"mmmm")</f>
        <v>January</v>
      </c>
      <c r="X28" s="52" t="str" cm="1">
        <f t="array" ref="X28">IFERROR(_xlfn.IFS(SUMPRODUCT(ISNUMBER(SEARCH(TRIM(_xlfn.TEXTSPLIT($W$22,",")),W28))*1)&gt;0,"Calving season",SUMPRODUCT(ISNUMBER(SEARCH(TRIM(_xlfn.TEXTSPLIT($W$23,",")),W28))*1)&gt;0,"Season after calving"), "")</f>
        <v>Season after calving</v>
      </c>
      <c r="Y28" s="52" cm="1">
        <f t="array" ref="Y28">_xlfn.IFS(X28="Calving season", $J$14, X28="Season after calving", $J$15, X28="", "")</f>
        <v>1.1000000000000001</v>
      </c>
      <c r="Z28" s="52">
        <v>1</v>
      </c>
      <c r="AA28" s="52">
        <v>1</v>
      </c>
      <c r="AB28" s="52">
        <v>1</v>
      </c>
      <c r="AC28" s="52" cm="1">
        <f t="array" ref="AC28">IFERROR(EntericMethane_PastureBeef_Equations.VEERG_3_2_1_1__4_AdditionalIntakeForMilkProduction(X$22,$Y28), 1)</f>
        <v>1.0750000000000002</v>
      </c>
      <c r="AD28" s="52" cm="1">
        <f t="array" ref="AD28">IFERROR(EntericMethane_PastureBeef_Equations.VEERG_3_2_1_1__4_AdditionalIntakeForMilkProduction(Y$22,$Y28), 1)</f>
        <v>1.0750000000000002</v>
      </c>
      <c r="AE28" s="52" cm="1">
        <f t="array" ref="AE28">IFERROR(EntericMethane_PastureBeef_Equations.VEERG_3_2_1_1__4_AdditionalIntakeForMilkProduction(Z$22,$Y28), 1)</f>
        <v>1.0750000000000002</v>
      </c>
      <c r="AF28" s="52">
        <v>1</v>
      </c>
      <c r="AG28" s="52">
        <v>1</v>
      </c>
      <c r="AH28" s="52">
        <v>1</v>
      </c>
    </row>
    <row r="29" spans="1:36" ht="20.100000000000001" customHeight="1" x14ac:dyDescent="0.25">
      <c r="D29" s="51" t="s">
        <v>184</v>
      </c>
      <c r="E29" s="51" t="s">
        <v>246</v>
      </c>
      <c r="F29" s="51" t="s">
        <v>247</v>
      </c>
      <c r="G29" s="51" t="s">
        <v>340</v>
      </c>
      <c r="H29" s="51" t="s">
        <v>340</v>
      </c>
      <c r="I29" s="51" t="s">
        <v>131</v>
      </c>
      <c r="J29" s="51" t="s">
        <v>130</v>
      </c>
      <c r="K29" s="51" t="s">
        <v>165</v>
      </c>
      <c r="L29" s="51" t="s">
        <v>166</v>
      </c>
      <c r="M29" s="51" t="s">
        <v>167</v>
      </c>
      <c r="N29" s="51" t="s">
        <v>168</v>
      </c>
      <c r="O29" s="51" t="s">
        <v>169</v>
      </c>
      <c r="P29" s="51" t="s">
        <v>170</v>
      </c>
      <c r="Q29" s="51" t="s">
        <v>171</v>
      </c>
      <c r="R29" s="51" t="s">
        <v>172</v>
      </c>
      <c r="W29" s="52" t="str">
        <f>TEXT(EDATE('Input - Site'!$E$12,1), "mmmm")</f>
        <v>February</v>
      </c>
      <c r="X29" s="52" t="str" cm="1">
        <f t="array" ref="X29">IFERROR(_xlfn.IFS(SUMPRODUCT(ISNUMBER(SEARCH(TRIM(_xlfn.TEXTSPLIT($W$22,",")),W29))*1)&gt;0,"Calving season",SUMPRODUCT(ISNUMBER(SEARCH(TRIM(_xlfn.TEXTSPLIT($W$23,",")),W29))*1)&gt;0,"Season after calving"), "")</f>
        <v/>
      </c>
      <c r="Y29" s="52" t="str" cm="1">
        <f t="array" ref="Y29">_xlfn.IFS(X29="Calving season", $J$14, X29="Season after calving", $J$15, X29="", "")</f>
        <v/>
      </c>
      <c r="Z29" s="52">
        <v>1</v>
      </c>
      <c r="AA29" s="52">
        <v>1</v>
      </c>
      <c r="AB29" s="52">
        <v>1</v>
      </c>
      <c r="AC29" s="52" cm="1">
        <f t="array" ref="AC29">IFERROR(EntericMethane_PastureBeef_Equations.VEERG_3_2_1_1__4_AdditionalIntakeForMilkProduction(X$22,$Y29), 1)</f>
        <v>1</v>
      </c>
      <c r="AD29" s="52" cm="1">
        <f t="array" ref="AD29">IFERROR(EntericMethane_PastureBeef_Equations.VEERG_3_2_1_1__4_AdditionalIntakeForMilkProduction(Y$22,$Y29), 1)</f>
        <v>1</v>
      </c>
      <c r="AE29" s="52" cm="1">
        <f t="array" ref="AE29">IFERROR(EntericMethane_PastureBeef_Equations.VEERG_3_2_1_1__4_AdditionalIntakeForMilkProduction(Z$22,$Y29), 1)</f>
        <v>1</v>
      </c>
      <c r="AF29" s="52">
        <v>1</v>
      </c>
      <c r="AG29" s="52">
        <v>1</v>
      </c>
      <c r="AH29" s="52">
        <v>1</v>
      </c>
      <c r="AI29" s="51" t="s">
        <v>172</v>
      </c>
    </row>
    <row r="30" spans="1:36" ht="20.100000000000001" customHeight="1" x14ac:dyDescent="0.25">
      <c r="D30" s="52" t="s">
        <v>173</v>
      </c>
      <c r="E30" s="52" t="str">
        <f>IF('Input - Pasture Beef'!E111="Yes", "Calving season", "")</f>
        <v>Calving season</v>
      </c>
      <c r="F30" s="52" t="str">
        <f>IF('Input - Pasture Beef'!E110="Yes", "Season after calving","")</f>
        <v>Season after calving</v>
      </c>
      <c r="G30" s="52">
        <f>IF(E30="Calving season", $J$14, 1)</f>
        <v>1.3</v>
      </c>
      <c r="H30" s="52">
        <f>IF(F30="Season after calving", $J$15, 1)</f>
        <v>1.1000000000000001</v>
      </c>
      <c r="I30" s="52">
        <v>1</v>
      </c>
      <c r="J30" s="52">
        <v>1</v>
      </c>
      <c r="K30" s="52">
        <v>1</v>
      </c>
      <c r="L30" s="128" cm="1">
        <f t="array" ref="L30">EntericMethane_PastureBeef_Equations.VEERG_3_2_1_1__4_AdditionalIntakeForMilkProductionVariation(F22,F25,$G30,$H30)</f>
        <v>1.1000000000000001</v>
      </c>
      <c r="M30" s="128" cm="1">
        <f t="array" ref="M30">EntericMethane_PastureBeef_Equations.VEERG_3_2_1_1__4_AdditionalIntakeForMilkProductionVariation(G22,G25,$G30,$H30)</f>
        <v>1.17</v>
      </c>
      <c r="N30" s="128" cm="1">
        <f t="array" ref="N30">EntericMethane_PastureBeef_Equations.VEERG_3_2_1_1__4_AdditionalIntakeForMilkProductionVariation(H22,H25,$G30,$H30)</f>
        <v>1.17</v>
      </c>
      <c r="O30" s="52">
        <v>1</v>
      </c>
      <c r="P30" s="52">
        <v>1</v>
      </c>
      <c r="Q30" s="52">
        <v>1</v>
      </c>
      <c r="R30" s="52">
        <v>1</v>
      </c>
      <c r="S30" s="2" t="str">
        <f>$E$11</f>
        <v>fraction</v>
      </c>
      <c r="W30" s="52" t="str">
        <f>TEXT(EDATE('Input - Site'!$E$12,2), "mmmm")</f>
        <v>March</v>
      </c>
      <c r="X30" s="52" t="str" cm="1">
        <f t="array" ref="X30">IFERROR(_xlfn.IFS(SUMPRODUCT(ISNUMBER(SEARCH(TRIM(_xlfn.TEXTSPLIT($W$22,",")),W30))*1)&gt;0,"Calving season",SUMPRODUCT(ISNUMBER(SEARCH(TRIM(_xlfn.TEXTSPLIT($W$23,",")),W30))*1)&gt;0,"Season after calving"), "")</f>
        <v/>
      </c>
      <c r="Y30" s="52" t="str" cm="1">
        <f t="array" ref="Y30">_xlfn.IFS(X30="Calving season", $J$14, X30="Season after calving", $J$15, X30="", "")</f>
        <v/>
      </c>
      <c r="Z30" s="52">
        <v>1</v>
      </c>
      <c r="AA30" s="52">
        <v>1</v>
      </c>
      <c r="AB30" s="52">
        <v>1</v>
      </c>
      <c r="AC30" s="52" cm="1">
        <f t="array" ref="AC30">IFERROR(EntericMethane_PastureBeef_Equations.VEERG_3_2_1_1__4_AdditionalIntakeForMilkProduction(X$22,$Y30), 1)</f>
        <v>1</v>
      </c>
      <c r="AD30" s="52" cm="1">
        <f t="array" ref="AD30">IFERROR(EntericMethane_PastureBeef_Equations.VEERG_3_2_1_1__4_AdditionalIntakeForMilkProduction(Y$22,$Y30), 1)</f>
        <v>1</v>
      </c>
      <c r="AE30" s="52" cm="1">
        <f t="array" ref="AE30">IFERROR(EntericMethane_PastureBeef_Equations.VEERG_3_2_1_1__4_AdditionalIntakeForMilkProduction(Z$22,$Y30), 1)</f>
        <v>1</v>
      </c>
      <c r="AF30" s="52">
        <v>1</v>
      </c>
      <c r="AG30" s="52">
        <v>1</v>
      </c>
      <c r="AH30" s="52">
        <v>1</v>
      </c>
      <c r="AI30" s="52">
        <v>1</v>
      </c>
      <c r="AJ30" s="2" t="str">
        <f>$E$11</f>
        <v>fraction</v>
      </c>
    </row>
    <row r="31" spans="1:36" ht="20.100000000000001" customHeight="1" x14ac:dyDescent="0.25">
      <c r="D31" s="52" t="s">
        <v>174</v>
      </c>
      <c r="E31" s="52" t="str">
        <f>IF('Input - Pasture Beef'!E112="Yes", "Calving season", "")</f>
        <v>Calving season</v>
      </c>
      <c r="F31" s="52" t="str">
        <f>IF('Input - Pasture Beef'!E111="Yes", "Season after calving","")</f>
        <v>Season after calving</v>
      </c>
      <c r="G31" s="52">
        <f>IF(E31="Calving season", $J$14, 1)</f>
        <v>1.3</v>
      </c>
      <c r="H31" s="52">
        <f>IF(F31="Season after calving", $J$15, 1)</f>
        <v>1.1000000000000001</v>
      </c>
      <c r="I31" s="52">
        <v>1</v>
      </c>
      <c r="J31" s="52">
        <v>1</v>
      </c>
      <c r="K31" s="52">
        <v>1</v>
      </c>
      <c r="L31" s="128" cm="1">
        <f t="array" ref="L31">EntericMethane_PastureBeef_Equations.VEERG_3_2_1_1__4_AdditionalIntakeForMilkProductionVariation(F23,F22,$G31,$H31)</f>
        <v>1.04</v>
      </c>
      <c r="M31" s="128" cm="1">
        <f t="array" ref="M31">EntericMethane_PastureBeef_Equations.VEERG_3_2_1_1__4_AdditionalIntakeForMilkProductionVariation(G23,G22,$G31,$H31)</f>
        <v>1.04</v>
      </c>
      <c r="N31" s="128" cm="1">
        <f t="array" ref="N31">EntericMethane_PastureBeef_Equations.VEERG_3_2_1_1__4_AdditionalIntakeForMilkProductionVariation(H23,H22,$G31,$H31)</f>
        <v>1.04</v>
      </c>
      <c r="O31" s="52">
        <v>1</v>
      </c>
      <c r="P31" s="52">
        <v>1</v>
      </c>
      <c r="Q31" s="52">
        <v>1</v>
      </c>
      <c r="R31" s="52">
        <v>1</v>
      </c>
      <c r="S31" s="2" t="str">
        <f t="shared" ref="S31:S33" si="0">$E$11</f>
        <v>fraction</v>
      </c>
      <c r="W31" s="52" t="str">
        <f>TEXT(EDATE('Input - Site'!$E$12,3), "mmmm")</f>
        <v>April</v>
      </c>
      <c r="X31" s="52" t="str" cm="1">
        <f t="array" ref="X31">IFERROR(_xlfn.IFS(SUMPRODUCT(ISNUMBER(SEARCH(TRIM(_xlfn.TEXTSPLIT($W$22,",")),W31))*1)&gt;0,"Calving season",SUMPRODUCT(ISNUMBER(SEARCH(TRIM(_xlfn.TEXTSPLIT($W$23,",")),W31))*1)&gt;0,"Season after calving"), "")</f>
        <v/>
      </c>
      <c r="Y31" s="52" t="str" cm="1">
        <f t="array" ref="Y31">_xlfn.IFS(X31="Calving season", $J$14, X31="Season after calving", $J$15, X31="", "")</f>
        <v/>
      </c>
      <c r="Z31" s="52">
        <v>1</v>
      </c>
      <c r="AA31" s="52">
        <v>1</v>
      </c>
      <c r="AB31" s="52">
        <v>1</v>
      </c>
      <c r="AC31" s="52" cm="1">
        <f t="array" ref="AC31">IFERROR(EntericMethane_PastureBeef_Equations.VEERG_3_2_1_1__4_AdditionalIntakeForMilkProduction(X$22,$Y31), 1)</f>
        <v>1</v>
      </c>
      <c r="AD31" s="52" cm="1">
        <f t="array" ref="AD31">IFERROR(EntericMethane_PastureBeef_Equations.VEERG_3_2_1_1__4_AdditionalIntakeForMilkProduction(Y$22,$Y31), 1)</f>
        <v>1</v>
      </c>
      <c r="AE31" s="52" cm="1">
        <f t="array" ref="AE31">IFERROR(EntericMethane_PastureBeef_Equations.VEERG_3_2_1_1__4_AdditionalIntakeForMilkProduction(Z$22,$Y31), 1)</f>
        <v>1</v>
      </c>
      <c r="AF31" s="52">
        <v>1</v>
      </c>
      <c r="AG31" s="52">
        <v>1</v>
      </c>
      <c r="AH31" s="52">
        <v>1</v>
      </c>
      <c r="AI31" s="52">
        <v>1</v>
      </c>
      <c r="AJ31" s="2" t="str">
        <f t="shared" ref="AJ31:AJ41" si="1">$E$11</f>
        <v>fraction</v>
      </c>
    </row>
    <row r="32" spans="1:36" ht="20.100000000000001" customHeight="1" x14ac:dyDescent="0.25">
      <c r="D32" s="52" t="s">
        <v>175</v>
      </c>
      <c r="E32" s="52" t="str">
        <f>IF('Input - Pasture Beef'!E113="Yes", "Calving season", "")</f>
        <v/>
      </c>
      <c r="F32" s="52" t="str">
        <f>IF('Input - Pasture Beef'!E112="Yes", "Season after calving","")</f>
        <v>Season after calving</v>
      </c>
      <c r="G32" s="52">
        <f>IF(E32="Calving season", $J$14, 1)</f>
        <v>1</v>
      </c>
      <c r="H32" s="52">
        <f>IF(F32="Season after calving", $J$15, 1)</f>
        <v>1.1000000000000001</v>
      </c>
      <c r="I32" s="52">
        <v>1</v>
      </c>
      <c r="J32" s="52">
        <v>1</v>
      </c>
      <c r="K32" s="52">
        <v>1</v>
      </c>
      <c r="L32" s="128" cm="1">
        <f t="array" ref="L32">EntericMethane_PastureBeef_Equations.VEERG_3_2_1_1__4_AdditionalIntakeForMilkProductionVariation(F24,F23,$G32,$H32)</f>
        <v>1.01</v>
      </c>
      <c r="M32" s="128" cm="1">
        <f t="array" ref="M32">EntericMethane_PastureBeef_Equations.VEERG_3_2_1_1__4_AdditionalIntakeForMilkProductionVariation(G24,G23,$G32,$H32)</f>
        <v>1</v>
      </c>
      <c r="N32" s="128" cm="1">
        <f t="array" ref="N32">EntericMethane_PastureBeef_Equations.VEERG_3_2_1_1__4_AdditionalIntakeForMilkProductionVariation(H24,H23,$G32,$H32)</f>
        <v>1</v>
      </c>
      <c r="O32" s="52">
        <v>1</v>
      </c>
      <c r="P32" s="52">
        <v>1</v>
      </c>
      <c r="Q32" s="52">
        <v>1</v>
      </c>
      <c r="R32" s="52">
        <v>1</v>
      </c>
      <c r="S32" s="2" t="str">
        <f t="shared" si="0"/>
        <v>fraction</v>
      </c>
      <c r="W32" s="52" t="str">
        <f>TEXT(EDATE('Input - Site'!$E$12,4), "mmmm")</f>
        <v>May</v>
      </c>
      <c r="X32" s="52" t="str" cm="1">
        <f t="array" ref="X32">IFERROR(_xlfn.IFS(SUMPRODUCT(ISNUMBER(SEARCH(TRIM(_xlfn.TEXTSPLIT($W$22,",")),W32))*1)&gt;0,"Calving season",SUMPRODUCT(ISNUMBER(SEARCH(TRIM(_xlfn.TEXTSPLIT($W$23,",")),W32))*1)&gt;0,"Season after calving"), "")</f>
        <v/>
      </c>
      <c r="Y32" s="52" t="str" cm="1">
        <f t="array" ref="Y32">_xlfn.IFS(X32="Calving season", $J$14, X32="Season after calving", $J$15, X32="", "")</f>
        <v/>
      </c>
      <c r="Z32" s="52">
        <v>1</v>
      </c>
      <c r="AA32" s="52">
        <v>1</v>
      </c>
      <c r="AB32" s="52">
        <v>1</v>
      </c>
      <c r="AC32" s="52" cm="1">
        <f t="array" ref="AC32">IFERROR(EntericMethane_PastureBeef_Equations.VEERG_3_2_1_1__4_AdditionalIntakeForMilkProduction(X$22,$Y32), 1)</f>
        <v>1</v>
      </c>
      <c r="AD32" s="52" cm="1">
        <f t="array" ref="AD32">IFERROR(EntericMethane_PastureBeef_Equations.VEERG_3_2_1_1__4_AdditionalIntakeForMilkProduction(Y$22,$Y32), 1)</f>
        <v>1</v>
      </c>
      <c r="AE32" s="52" cm="1">
        <f t="array" ref="AE32">IFERROR(EntericMethane_PastureBeef_Equations.VEERG_3_2_1_1__4_AdditionalIntakeForMilkProduction(Z$22,$Y32), 1)</f>
        <v>1</v>
      </c>
      <c r="AF32" s="52">
        <v>1</v>
      </c>
      <c r="AG32" s="52">
        <v>1</v>
      </c>
      <c r="AH32" s="52">
        <v>1</v>
      </c>
      <c r="AI32" s="52">
        <v>1</v>
      </c>
      <c r="AJ32" s="2" t="str">
        <f t="shared" si="1"/>
        <v>fraction</v>
      </c>
    </row>
    <row r="33" spans="3:36" ht="20.100000000000001" customHeight="1" x14ac:dyDescent="0.25">
      <c r="D33" s="52" t="s">
        <v>176</v>
      </c>
      <c r="E33" s="52" t="str">
        <f>IF('Input - Pasture Beef'!E110="Yes", "Calving season", "")</f>
        <v>Calving season</v>
      </c>
      <c r="F33" s="52" t="str">
        <f>IF('Input - Pasture Beef'!E113="Yes", "Season after calving","")</f>
        <v/>
      </c>
      <c r="G33" s="52">
        <f>IF(E33="Calving season", $J$14, 1)</f>
        <v>1.3</v>
      </c>
      <c r="H33" s="52">
        <f>IF(F33="Season after calving", $J$15, 1)</f>
        <v>1</v>
      </c>
      <c r="I33" s="52">
        <v>1</v>
      </c>
      <c r="J33" s="52">
        <v>1</v>
      </c>
      <c r="K33" s="52">
        <v>1</v>
      </c>
      <c r="L33" s="128" cm="1">
        <f t="array" ref="L33">EntericMethane_PastureBeef_Equations.VEERG_3_2_1_1__4_AdditionalIntakeForMilkProductionVariation(F25,F24,$G33,$H33)</f>
        <v>1.21</v>
      </c>
      <c r="M33" s="128" cm="1">
        <f t="array" ref="M33">EntericMethane_PastureBeef_Equations.VEERG_3_2_1_1__4_AdditionalIntakeForMilkProductionVariation(G25,G24,$G33,$H33)</f>
        <v>1.1499999999999999</v>
      </c>
      <c r="N33" s="128" cm="1">
        <f t="array" ref="N33">EntericMethane_PastureBeef_Equations.VEERG_3_2_1_1__4_AdditionalIntakeForMilkProductionVariation(H25,H24,$G33,$H33)</f>
        <v>1.1499999999999999</v>
      </c>
      <c r="O33" s="52">
        <v>1</v>
      </c>
      <c r="P33" s="52">
        <v>1</v>
      </c>
      <c r="Q33" s="52">
        <v>1</v>
      </c>
      <c r="R33" s="52">
        <v>1</v>
      </c>
      <c r="S33" s="2" t="str">
        <f t="shared" si="0"/>
        <v>fraction</v>
      </c>
      <c r="W33" s="52" t="str">
        <f>TEXT(EDATE('Input - Site'!$E$12,5), "mmmm")</f>
        <v>June</v>
      </c>
      <c r="X33" s="52" t="str" cm="1">
        <f t="array" ref="X33">IFERROR(_xlfn.IFS(SUMPRODUCT(ISNUMBER(SEARCH(TRIM(_xlfn.TEXTSPLIT($W$22,",")),W33))*1)&gt;0,"Calving season",SUMPRODUCT(ISNUMBER(SEARCH(TRIM(_xlfn.TEXTSPLIT($W$23,",")),W33))*1)&gt;0,"Season after calving"), "")</f>
        <v/>
      </c>
      <c r="Y33" s="52" t="str" cm="1">
        <f t="array" ref="Y33">_xlfn.IFS(X33="Calving season", $J$14, X33="Season after calving", $J$15, X33="", "")</f>
        <v/>
      </c>
      <c r="Z33" s="52">
        <v>1</v>
      </c>
      <c r="AA33" s="52">
        <v>1</v>
      </c>
      <c r="AB33" s="52">
        <v>1</v>
      </c>
      <c r="AC33" s="52" cm="1">
        <f t="array" ref="AC33">IFERROR(EntericMethane_PastureBeef_Equations.VEERG_3_2_1_1__4_AdditionalIntakeForMilkProduction(X$22,$Y33), 1)</f>
        <v>1</v>
      </c>
      <c r="AD33" s="52" cm="1">
        <f t="array" ref="AD33">IFERROR(EntericMethane_PastureBeef_Equations.VEERG_3_2_1_1__4_AdditionalIntakeForMilkProduction(Y$22,$Y33), 1)</f>
        <v>1</v>
      </c>
      <c r="AE33" s="52" cm="1">
        <f t="array" ref="AE33">IFERROR(EntericMethane_PastureBeef_Equations.VEERG_3_2_1_1__4_AdditionalIntakeForMilkProduction(Z$22,$Y33), 1)</f>
        <v>1</v>
      </c>
      <c r="AF33" s="52">
        <v>1</v>
      </c>
      <c r="AG33" s="52">
        <v>1</v>
      </c>
      <c r="AH33" s="52">
        <v>1</v>
      </c>
      <c r="AI33" s="52">
        <v>1</v>
      </c>
      <c r="AJ33" s="2" t="str">
        <f t="shared" si="1"/>
        <v>fraction</v>
      </c>
    </row>
    <row r="34" spans="3:36" ht="20.100000000000001" customHeight="1" x14ac:dyDescent="0.25">
      <c r="W34" s="52" t="str">
        <f>TEXT(EDATE('Input - Site'!$E$12,6), "mmmm")</f>
        <v>July</v>
      </c>
      <c r="X34" s="52" t="str" cm="1">
        <f t="array" ref="X34">IFERROR(_xlfn.IFS(SUMPRODUCT(ISNUMBER(SEARCH(TRIM(_xlfn.TEXTSPLIT($W$22,",")),W34))*1)&gt;0,"Calving season",SUMPRODUCT(ISNUMBER(SEARCH(TRIM(_xlfn.TEXTSPLIT($W$23,",")),W34))*1)&gt;0,"Season after calving"), "")</f>
        <v/>
      </c>
      <c r="Y34" s="52" t="str" cm="1">
        <f t="array" ref="Y34">_xlfn.IFS(X34="Calving season", $J$14, X34="Season after calving", $J$15, X34="", "")</f>
        <v/>
      </c>
      <c r="Z34" s="52">
        <v>1</v>
      </c>
      <c r="AA34" s="52">
        <v>1</v>
      </c>
      <c r="AB34" s="52">
        <v>1</v>
      </c>
      <c r="AC34" s="52" cm="1">
        <f t="array" ref="AC34">IFERROR(EntericMethane_PastureBeef_Equations.VEERG_3_2_1_1__4_AdditionalIntakeForMilkProduction(X$22,$Y34), 1)</f>
        <v>1</v>
      </c>
      <c r="AD34" s="52" cm="1">
        <f t="array" ref="AD34">IFERROR(EntericMethane_PastureBeef_Equations.VEERG_3_2_1_1__4_AdditionalIntakeForMilkProduction(Y$22,$Y34), 1)</f>
        <v>1</v>
      </c>
      <c r="AE34" s="52" cm="1">
        <f t="array" ref="AE34">IFERROR(EntericMethane_PastureBeef_Equations.VEERG_3_2_1_1__4_AdditionalIntakeForMilkProduction(Z$22,$Y34), 1)</f>
        <v>1</v>
      </c>
      <c r="AF34" s="52">
        <v>1</v>
      </c>
      <c r="AG34" s="52">
        <v>1</v>
      </c>
      <c r="AH34" s="52">
        <v>1</v>
      </c>
      <c r="AI34" s="52">
        <v>1</v>
      </c>
      <c r="AJ34" s="2" t="str">
        <f t="shared" si="1"/>
        <v>fraction</v>
      </c>
    </row>
    <row r="35" spans="3:36" ht="20.100000000000001" customHeight="1" x14ac:dyDescent="0.25">
      <c r="W35" s="52" t="str">
        <f>TEXT(EDATE('Input - Site'!$E$12,7), "mmmm")</f>
        <v>August</v>
      </c>
      <c r="X35" s="52" t="str" cm="1">
        <f t="array" ref="X35">IFERROR(_xlfn.IFS(SUMPRODUCT(ISNUMBER(SEARCH(TRIM(_xlfn.TEXTSPLIT($W$22,",")),W35))*1)&gt;0,"Calving season",SUMPRODUCT(ISNUMBER(SEARCH(TRIM(_xlfn.TEXTSPLIT($W$23,",")),W35))*1)&gt;0,"Season after calving"), "")</f>
        <v>Calving season</v>
      </c>
      <c r="Y35" s="52" cm="1">
        <f t="array" ref="Y35">_xlfn.IFS(X35="Calving season", $J$14, X35="Season after calving", $J$15, X35="", "")</f>
        <v>1.3</v>
      </c>
      <c r="Z35" s="52">
        <v>1</v>
      </c>
      <c r="AA35" s="52">
        <v>1</v>
      </c>
      <c r="AB35" s="52">
        <v>1</v>
      </c>
      <c r="AC35" s="52" cm="1">
        <f t="array" ref="AC35">IFERROR(EntericMethane_PastureBeef_Equations.VEERG_3_2_1_1__4_AdditionalIntakeForMilkProduction(X$22,$Y35), 1)</f>
        <v>1.2250000000000001</v>
      </c>
      <c r="AD35" s="52" cm="1">
        <f t="array" ref="AD35">IFERROR(EntericMethane_PastureBeef_Equations.VEERG_3_2_1_1__4_AdditionalIntakeForMilkProduction(Y$22,$Y35), 1)</f>
        <v>1.2250000000000001</v>
      </c>
      <c r="AE35" s="52" cm="1">
        <f t="array" ref="AE35">IFERROR(EntericMethane_PastureBeef_Equations.VEERG_3_2_1_1__4_AdditionalIntakeForMilkProduction(Z$22,$Y35), 1)</f>
        <v>1.2250000000000001</v>
      </c>
      <c r="AF35" s="52">
        <v>1</v>
      </c>
      <c r="AG35" s="52">
        <v>1</v>
      </c>
      <c r="AH35" s="52">
        <v>1</v>
      </c>
      <c r="AI35" s="52">
        <v>1</v>
      </c>
      <c r="AJ35" s="2" t="str">
        <f t="shared" si="1"/>
        <v>fraction</v>
      </c>
    </row>
    <row r="36" spans="3:36" ht="20.100000000000001" customHeight="1" x14ac:dyDescent="0.25">
      <c r="C36" s="45"/>
      <c r="D36" s="45"/>
      <c r="E36" s="45"/>
      <c r="F36" s="45"/>
      <c r="G36" s="45"/>
      <c r="H36" s="45"/>
      <c r="I36" s="45"/>
      <c r="J36" s="45"/>
      <c r="K36" s="45"/>
      <c r="L36" s="45"/>
      <c r="M36" s="45"/>
      <c r="N36" s="45"/>
      <c r="O36" s="45"/>
      <c r="P36" s="45"/>
      <c r="Q36" s="45"/>
      <c r="R36" s="45"/>
      <c r="S36" s="45"/>
      <c r="T36" s="45"/>
      <c r="W36" s="52" t="str">
        <f>TEXT(EDATE('Input - Site'!$E$12,8), "mmmm")</f>
        <v>September</v>
      </c>
      <c r="X36" s="52" t="str" cm="1">
        <f t="array" ref="X36">IFERROR(_xlfn.IFS(SUMPRODUCT(ISNUMBER(SEARCH(TRIM(_xlfn.TEXTSPLIT($W$22,",")),W36))*1)&gt;0,"Calving season",SUMPRODUCT(ISNUMBER(SEARCH(TRIM(_xlfn.TEXTSPLIT($W$23,",")),W36))*1)&gt;0,"Season after calving"), "")</f>
        <v>Calving season</v>
      </c>
      <c r="Y36" s="52" cm="1">
        <f t="array" ref="Y36">_xlfn.IFS(X36="Calving season", $J$14, X36="Season after calving", $J$15, X36="", "")</f>
        <v>1.3</v>
      </c>
      <c r="Z36" s="52">
        <v>1</v>
      </c>
      <c r="AA36" s="52">
        <v>1</v>
      </c>
      <c r="AB36" s="52">
        <v>1</v>
      </c>
      <c r="AC36" s="52" cm="1">
        <f t="array" ref="AC36">IFERROR(EntericMethane_PastureBeef_Equations.VEERG_3_2_1_1__4_AdditionalIntakeForMilkProduction(X$22,$Y36), 1)</f>
        <v>1.2250000000000001</v>
      </c>
      <c r="AD36" s="52" cm="1">
        <f t="array" ref="AD36">IFERROR(EntericMethane_PastureBeef_Equations.VEERG_3_2_1_1__4_AdditionalIntakeForMilkProduction(Y$22,$Y36), 1)</f>
        <v>1.2250000000000001</v>
      </c>
      <c r="AE36" s="52" cm="1">
        <f t="array" ref="AE36">IFERROR(EntericMethane_PastureBeef_Equations.VEERG_3_2_1_1__4_AdditionalIntakeForMilkProduction(Z$22,$Y36), 1)</f>
        <v>1.2250000000000001</v>
      </c>
      <c r="AF36" s="52">
        <v>1</v>
      </c>
      <c r="AG36" s="52">
        <v>1</v>
      </c>
      <c r="AH36" s="52">
        <v>1</v>
      </c>
      <c r="AI36" s="52">
        <v>1</v>
      </c>
      <c r="AJ36" s="2" t="str">
        <f t="shared" si="1"/>
        <v>fraction</v>
      </c>
    </row>
    <row r="37" spans="3:36" ht="20.100000000000001" customHeight="1" x14ac:dyDescent="0.25">
      <c r="D37" s="6" t="str" cm="1">
        <f t="array" ref="D37">EntericMethane_PastureBeef_Equations.VEERG_3_2_1_1__3_FeedIntakeForGrazingBeef_Title()</f>
        <v>Feed intake for grazing beef cattle</v>
      </c>
      <c r="W37" s="52" t="str">
        <f>TEXT(EDATE('Input - Site'!$E$12,9), "mmmm")</f>
        <v>October</v>
      </c>
      <c r="X37" s="52" t="str" cm="1">
        <f t="array" ref="X37">IFERROR(_xlfn.IFS(SUMPRODUCT(ISNUMBER(SEARCH(TRIM(_xlfn.TEXTSPLIT($W$22,",")),W37))*1)&gt;0,"Calving season",SUMPRODUCT(ISNUMBER(SEARCH(TRIM(_xlfn.TEXTSPLIT($W$23,",")),W37))*1)&gt;0,"Season after calving"), "")</f>
        <v>Calving season</v>
      </c>
      <c r="Y37" s="52" cm="1">
        <f t="array" ref="Y37">_xlfn.IFS(X37="Calving season", $J$14, X37="Season after calving", $J$15, X37="", "")</f>
        <v>1.3</v>
      </c>
      <c r="Z37" s="52">
        <v>1</v>
      </c>
      <c r="AA37" s="52">
        <v>1</v>
      </c>
      <c r="AB37" s="52">
        <v>1</v>
      </c>
      <c r="AC37" s="52" cm="1">
        <f t="array" ref="AC37">IFERROR(EntericMethane_PastureBeef_Equations.VEERG_3_2_1_1__4_AdditionalIntakeForMilkProduction(X$22,$Y37), 1)</f>
        <v>1.2250000000000001</v>
      </c>
      <c r="AD37" s="52" cm="1">
        <f t="array" ref="AD37">IFERROR(EntericMethane_PastureBeef_Equations.VEERG_3_2_1_1__4_AdditionalIntakeForMilkProduction(Y$22,$Y37), 1)</f>
        <v>1.2250000000000001</v>
      </c>
      <c r="AE37" s="52" cm="1">
        <f t="array" ref="AE37">IFERROR(EntericMethane_PastureBeef_Equations.VEERG_3_2_1_1__4_AdditionalIntakeForMilkProduction(Z$22,$Y37), 1)</f>
        <v>1.2250000000000001</v>
      </c>
      <c r="AF37" s="52">
        <v>1</v>
      </c>
      <c r="AG37" s="52">
        <v>1</v>
      </c>
      <c r="AH37" s="52">
        <v>1</v>
      </c>
      <c r="AI37" s="52">
        <v>1</v>
      </c>
      <c r="AJ37" s="2" t="str">
        <f t="shared" si="1"/>
        <v>fraction</v>
      </c>
    </row>
    <row r="38" spans="3:36" ht="20.100000000000001" customHeight="1" x14ac:dyDescent="0.25">
      <c r="D38" s="5" t="str" cm="1">
        <f t="array" ref="D38">EntericMethane_PastureBeef_Equations.VEERG_3_2_1_1__3_FeedIntakeForGrazingBeef_Source()</f>
        <v>VEERG 2026: 3.2.1.1, Equation (3)</v>
      </c>
      <c r="K38" s="1" t="s">
        <v>354</v>
      </c>
      <c r="L38" s="1" t="s">
        <v>352</v>
      </c>
      <c r="M38" s="1" t="s">
        <v>353</v>
      </c>
      <c r="W38" s="52" t="str">
        <f>TEXT(EDATE('Input - Site'!$E$12,10), "mmmm")</f>
        <v>November</v>
      </c>
      <c r="X38" s="52" t="str" cm="1">
        <f t="array" ref="X38">IFERROR(_xlfn.IFS(SUMPRODUCT(ISNUMBER(SEARCH(TRIM(_xlfn.TEXTSPLIT($W$22,",")),W38))*1)&gt;0,"Calving season",SUMPRODUCT(ISNUMBER(SEARCH(TRIM(_xlfn.TEXTSPLIT($W$23,",")),W38))*1)&gt;0,"Season after calving"), "")</f>
        <v>Season after calving</v>
      </c>
      <c r="Y38" s="52" cm="1">
        <f t="array" ref="Y38">_xlfn.IFS(X38="Calving season", $J$14, X38="Season after calving", $J$15, X38="", "")</f>
        <v>1.1000000000000001</v>
      </c>
      <c r="Z38" s="52">
        <v>1</v>
      </c>
      <c r="AA38" s="52">
        <v>1</v>
      </c>
      <c r="AB38" s="52">
        <v>1</v>
      </c>
      <c r="AC38" s="52" cm="1">
        <f t="array" ref="AC38">IFERROR(EntericMethane_PastureBeef_Equations.VEERG_3_2_1_1__4_AdditionalIntakeForMilkProduction(X$22,$Y38), 1)</f>
        <v>1.0750000000000002</v>
      </c>
      <c r="AD38" s="52" cm="1">
        <f t="array" ref="AD38">IFERROR(EntericMethane_PastureBeef_Equations.VEERG_3_2_1_1__4_AdditionalIntakeForMilkProduction(Y$22,$Y38), 1)</f>
        <v>1.0750000000000002</v>
      </c>
      <c r="AE38" s="52" cm="1">
        <f t="array" ref="AE38">IFERROR(EntericMethane_PastureBeef_Equations.VEERG_3_2_1_1__4_AdditionalIntakeForMilkProduction(Z$22,$Y38), 1)</f>
        <v>1.0750000000000002</v>
      </c>
      <c r="AF38" s="52">
        <v>1</v>
      </c>
      <c r="AG38" s="52">
        <v>1</v>
      </c>
      <c r="AH38" s="52">
        <v>1</v>
      </c>
      <c r="AI38" s="52">
        <v>1</v>
      </c>
      <c r="AJ38" s="2" t="str">
        <f t="shared" si="1"/>
        <v>fraction</v>
      </c>
    </row>
    <row r="39" spans="3:36" ht="20.100000000000001" customHeight="1" x14ac:dyDescent="0.25">
      <c r="D39" s="13" t="s">
        <v>27</v>
      </c>
      <c r="E39" s="13" t="str" cm="1">
        <f t="array" aca="1" ref="E39" ca="1">Common_InputFunctions.Utility_DisplayFunctionName($E$84)</f>
        <v>=EntericMethane_PastureBeef_Equations.VEERG_3_2_1_1__3_FeedIntakeForGrazingBeef</v>
      </c>
      <c r="W39" s="52" t="str">
        <f>TEXT(EDATE('Input - Site'!$E$12,11), "mmmm")</f>
        <v>December</v>
      </c>
      <c r="X39" s="52" t="str" cm="1">
        <f t="array" ref="X39">IFERROR(_xlfn.IFS(SUMPRODUCT(ISNUMBER(SEARCH(TRIM(_xlfn.TEXTSPLIT($W$22,",")),W39))*1)&gt;0,"Calving season",SUMPRODUCT(ISNUMBER(SEARCH(TRIM(_xlfn.TEXTSPLIT($W$23,",")),W39))*1)&gt;0,"Season after calving"), "")</f>
        <v>Season after calving</v>
      </c>
      <c r="Y39" s="52" cm="1">
        <f t="array" ref="Y39">_xlfn.IFS(X39="Calving season", $J$14, X39="Season after calving", $J$15, X39="", "")</f>
        <v>1.1000000000000001</v>
      </c>
      <c r="Z39" s="52">
        <v>1</v>
      </c>
      <c r="AA39" s="52">
        <v>1</v>
      </c>
      <c r="AB39" s="52">
        <v>1</v>
      </c>
      <c r="AC39" s="52" cm="1">
        <f t="array" ref="AC39">IFERROR(EntericMethane_PastureBeef_Equations.VEERG_3_2_1_1__4_AdditionalIntakeForMilkProduction(X$22,$Y39), 1)</f>
        <v>1.0750000000000002</v>
      </c>
      <c r="AD39" s="52" cm="1">
        <f t="array" ref="AD39">IFERROR(EntericMethane_PastureBeef_Equations.VEERG_3_2_1_1__4_AdditionalIntakeForMilkProduction(Y$22,$Y39), 1)</f>
        <v>1.0750000000000002</v>
      </c>
      <c r="AE39" s="52" cm="1">
        <f t="array" ref="AE39">IFERROR(EntericMethane_PastureBeef_Equations.VEERG_3_2_1_1__4_AdditionalIntakeForMilkProduction(Z$22,$Y39), 1)</f>
        <v>1.0750000000000002</v>
      </c>
      <c r="AF39" s="52">
        <v>1</v>
      </c>
      <c r="AG39" s="52">
        <v>1</v>
      </c>
      <c r="AH39" s="52">
        <v>1</v>
      </c>
      <c r="AI39" s="52">
        <v>1</v>
      </c>
      <c r="AJ39" s="2" t="str">
        <f t="shared" si="1"/>
        <v>fraction</v>
      </c>
    </row>
    <row r="40" spans="3:36" ht="20.100000000000001" customHeight="1" x14ac:dyDescent="0.25">
      <c r="AI40" s="52">
        <v>1</v>
      </c>
      <c r="AJ40" s="2" t="str">
        <f t="shared" si="1"/>
        <v>fraction</v>
      </c>
    </row>
    <row r="41" spans="3:36" ht="20.100000000000001" customHeight="1" x14ac:dyDescent="0.25">
      <c r="W41" s="99" t="s">
        <v>348</v>
      </c>
      <c r="AI41" s="52">
        <v>1</v>
      </c>
      <c r="AJ41" s="2" t="str">
        <f t="shared" si="1"/>
        <v>fraction</v>
      </c>
    </row>
    <row r="42" spans="3:36" ht="20.100000000000001" customHeight="1" x14ac:dyDescent="0.25">
      <c r="D42" s="53" t="s">
        <v>30</v>
      </c>
      <c r="E42" s="1" t="str" cm="1">
        <f t="array" ref="E42">EntericMethane_PastureBeef_Equations.VEERG_3_2_1_1__3_FeedIntakeForGrazingBeef_Variable()</f>
        <v>I_jkl</v>
      </c>
      <c r="W42" s="98" t="s">
        <v>255</v>
      </c>
    </row>
    <row r="43" spans="3:36" ht="20.100000000000001" customHeight="1" x14ac:dyDescent="0.25">
      <c r="D43" s="53" t="s">
        <v>20</v>
      </c>
      <c r="E43" s="54" t="str" cm="1">
        <f t="array" ref="E43">EntericMethane_PastureBeef_Equations.VEERG_3_2_1_1__3_FeedIntakeForGrazingBeef_Unit()</f>
        <v>kg DM/head/day</v>
      </c>
      <c r="W43" s="51" t="s">
        <v>132</v>
      </c>
      <c r="X43" s="124" t="s">
        <v>131</v>
      </c>
      <c r="Y43" s="124" t="s">
        <v>130</v>
      </c>
      <c r="Z43" s="124" t="s">
        <v>165</v>
      </c>
      <c r="AA43" s="124" t="s">
        <v>166</v>
      </c>
      <c r="AB43" s="124" t="s">
        <v>167</v>
      </c>
      <c r="AC43" s="124" t="s">
        <v>168</v>
      </c>
      <c r="AD43" s="124" t="s">
        <v>169</v>
      </c>
      <c r="AE43" s="124" t="s">
        <v>170</v>
      </c>
      <c r="AF43" s="124" t="s">
        <v>171</v>
      </c>
      <c r="AG43" s="124" t="s">
        <v>172</v>
      </c>
      <c r="AH43" s="2"/>
    </row>
    <row r="44" spans="3:36" ht="20.100000000000001" customHeight="1" x14ac:dyDescent="0.25">
      <c r="W44" s="52" t="str">
        <f>TEXT('Input - Site'!$E$12, "mmmm yyyy")</f>
        <v>January 2024</v>
      </c>
      <c r="X44" s="52">
        <f>'Input - Pasture Beef'!E66</f>
        <v>380</v>
      </c>
      <c r="Y44" s="52">
        <f>'Input - Pasture Beef'!F66</f>
        <v>780</v>
      </c>
      <c r="Z44" s="52">
        <f>'Input - Pasture Beef'!G66</f>
        <v>300</v>
      </c>
      <c r="AA44" s="52">
        <f>'Input - Pasture Beef'!H66</f>
        <v>450</v>
      </c>
      <c r="AB44" s="52">
        <f>'Input - Pasture Beef'!I66</f>
        <v>530</v>
      </c>
      <c r="AC44" s="52">
        <f>'Input - Pasture Beef'!J66</f>
        <v>530</v>
      </c>
      <c r="AD44" s="52">
        <f>'Input - Pasture Beef'!K66</f>
        <v>340</v>
      </c>
      <c r="AE44" s="52">
        <f>'Input - Pasture Beef'!L66</f>
        <v>470</v>
      </c>
      <c r="AF44" s="52">
        <f>'Input - Pasture Beef'!M66</f>
        <v>470</v>
      </c>
      <c r="AG44" s="52">
        <f>'Input - Pasture Beef'!N66</f>
        <v>470</v>
      </c>
      <c r="AH44" s="2" t="s">
        <v>133</v>
      </c>
    </row>
    <row r="45" spans="3:36" ht="20.100000000000001" customHeight="1" x14ac:dyDescent="0.25">
      <c r="D45" s="121" t="str" cm="1">
        <f t="array" ref="D45:E47">_xlfn.CHOOSECOLS(EntericMethane_PastureBeef_Equations.VEERG_3_2_1_1__3_FeedIntakeForGrazingBeef_Arguments(), 1, 2)</f>
        <v>W_jkl</v>
      </c>
      <c r="E45" s="126" t="str">
        <v>liveweight (kg)</v>
      </c>
      <c r="F45" s="125"/>
      <c r="G45" s="121" t="str" cm="1">
        <f t="array" ref="G45:H47">_xlfn.CHOOSECOLS(EntericMethane_PastureBeef_Equations.VEERG_3_2_1_1__3_FeedIntakeForGrazingBeef_Arguments(), 3,4)</f>
        <v>kg</v>
      </c>
      <c r="H45" s="123" t="str">
        <v>Input</v>
      </c>
      <c r="I45" s="120" t="str" cm="1">
        <f t="array" aca="1" ref="I45" ca="1">HYPERLINK(Common_InputFunctions.Utility_SourceHyperlink($D$49), $D$49)</f>
        <v>M1_Table_W_j_k_l</v>
      </c>
      <c r="W45" s="52" t="str">
        <f>TEXT(EDATE('Input - Site'!$E$12,1), "mmmm yyyy")</f>
        <v>February 2024</v>
      </c>
      <c r="X45" s="52">
        <f>'Input - Pasture Beef'!E67</f>
        <v>380</v>
      </c>
      <c r="Y45" s="52">
        <f>'Input - Pasture Beef'!F67</f>
        <v>780</v>
      </c>
      <c r="Z45" s="52">
        <f>'Input - Pasture Beef'!G67</f>
        <v>300</v>
      </c>
      <c r="AA45" s="52">
        <f>'Input - Pasture Beef'!H67</f>
        <v>450</v>
      </c>
      <c r="AB45" s="52">
        <f>'Input - Pasture Beef'!I67</f>
        <v>530</v>
      </c>
      <c r="AC45" s="52">
        <f>'Input - Pasture Beef'!J67</f>
        <v>530</v>
      </c>
      <c r="AD45" s="52">
        <f>'Input - Pasture Beef'!K67</f>
        <v>340</v>
      </c>
      <c r="AE45" s="52">
        <f>'Input - Pasture Beef'!L67</f>
        <v>470</v>
      </c>
      <c r="AF45" s="52">
        <f>'Input - Pasture Beef'!M67</f>
        <v>470</v>
      </c>
      <c r="AG45" s="52">
        <f>'Input - Pasture Beef'!N67</f>
        <v>470</v>
      </c>
      <c r="AH45" s="2" t="s">
        <v>133</v>
      </c>
    </row>
    <row r="46" spans="3:36" ht="20.100000000000001" customHeight="1" x14ac:dyDescent="0.25">
      <c r="D46" s="121" t="str">
        <v>LWG_jkl</v>
      </c>
      <c r="E46" s="126" t="str">
        <v>live weight gain (kg/head/day)</v>
      </c>
      <c r="F46" s="125"/>
      <c r="G46" s="121" t="str">
        <v>kg/head/day</v>
      </c>
      <c r="H46" s="123" t="str">
        <v>Input</v>
      </c>
      <c r="I46" s="120" t="str" cm="1">
        <f t="array" aca="1" ref="I46" ca="1">HYPERLINK(Common_InputFunctions.Utility_SourceHyperlink($D$65), $D$65)</f>
        <v>M1_Table_LWG_j_k_l</v>
      </c>
      <c r="W46" s="52" t="str">
        <f>TEXT(EDATE('Input - Site'!$E$12,2), "mmmm yyyy")</f>
        <v>March 2024</v>
      </c>
      <c r="X46" s="52">
        <f>'Input - Pasture Beef'!E68</f>
        <v>100</v>
      </c>
      <c r="Y46" s="52">
        <f>'Input - Pasture Beef'!F68</f>
        <v>680</v>
      </c>
      <c r="Z46" s="52">
        <f>'Input - Pasture Beef'!G68</f>
        <v>80</v>
      </c>
      <c r="AA46" s="52">
        <f>'Input - Pasture Beef'!H68</f>
        <v>320</v>
      </c>
      <c r="AB46" s="52">
        <f>'Input - Pasture Beef'!I68</f>
        <v>480</v>
      </c>
      <c r="AC46" s="52">
        <f>'Input - Pasture Beef'!J68</f>
        <v>480</v>
      </c>
      <c r="AD46" s="52">
        <f>'Input - Pasture Beef'!K68</f>
        <v>100</v>
      </c>
      <c r="AE46" s="52">
        <f>'Input - Pasture Beef'!L68</f>
        <v>340</v>
      </c>
      <c r="AF46" s="52">
        <f>'Input - Pasture Beef'!M68</f>
        <v>340</v>
      </c>
      <c r="AG46" s="52">
        <f>'Input - Pasture Beef'!N68</f>
        <v>340</v>
      </c>
      <c r="AH46" s="2" t="s">
        <v>133</v>
      </c>
    </row>
    <row r="47" spans="3:36" ht="20.100000000000001" customHeight="1" x14ac:dyDescent="0.25">
      <c r="D47" s="121" t="str">
        <v>MA_jk45</v>
      </c>
      <c r="E47" s="126" t="str">
        <v>additional intake for milk production in cows greater than 2 years</v>
      </c>
      <c r="F47" s="125"/>
      <c r="G47" s="121" t="str">
        <v>kg/head/day</v>
      </c>
      <c r="H47" s="122" t="str">
        <v>Calculated from 3.2.1.1, (4)</v>
      </c>
      <c r="I47" s="120" t="str" cm="1">
        <f t="array" aca="1" ref="I47" ca="1">HYPERLINK(Common_InputFunctions.Utility_SourceHyperlink($D$27), $D$27)</f>
        <v>M1_Table_MA_j_k-4-5</v>
      </c>
      <c r="W47" s="52" t="str">
        <f>TEXT(EDATE('Input - Site'!$E$12,3), "mmmm yyyy")</f>
        <v>April 2024</v>
      </c>
      <c r="X47" s="52">
        <f>'Input - Pasture Beef'!E69</f>
        <v>100</v>
      </c>
      <c r="Y47" s="52">
        <f>'Input - Pasture Beef'!F69</f>
        <v>680</v>
      </c>
      <c r="Z47" s="52">
        <f>'Input - Pasture Beef'!G69</f>
        <v>80</v>
      </c>
      <c r="AA47" s="52">
        <f>'Input - Pasture Beef'!H69</f>
        <v>320</v>
      </c>
      <c r="AB47" s="52">
        <f>'Input - Pasture Beef'!I69</f>
        <v>480</v>
      </c>
      <c r="AC47" s="52">
        <f>'Input - Pasture Beef'!J69</f>
        <v>480</v>
      </c>
      <c r="AD47" s="52">
        <f>'Input - Pasture Beef'!K69</f>
        <v>100</v>
      </c>
      <c r="AE47" s="52">
        <f>'Input - Pasture Beef'!L69</f>
        <v>340</v>
      </c>
      <c r="AF47" s="52">
        <f>'Input - Pasture Beef'!M69</f>
        <v>340</v>
      </c>
      <c r="AG47" s="52">
        <f>'Input - Pasture Beef'!N69</f>
        <v>340</v>
      </c>
      <c r="AH47" s="2" t="s">
        <v>133</v>
      </c>
    </row>
    <row r="48" spans="3:36" ht="20.100000000000001" customHeight="1" x14ac:dyDescent="0.25">
      <c r="W48" s="52" t="str">
        <f>TEXT(EDATE('Input - Site'!$E$12,4), "mmmm yyyy")</f>
        <v>May 2024</v>
      </c>
      <c r="X48" s="52">
        <f>'Input - Pasture Beef'!E70</f>
        <v>100</v>
      </c>
      <c r="Y48" s="52">
        <f>'Input - Pasture Beef'!F70</f>
        <v>680</v>
      </c>
      <c r="Z48" s="52">
        <f>'Input - Pasture Beef'!G70</f>
        <v>80</v>
      </c>
      <c r="AA48" s="52">
        <f>'Input - Pasture Beef'!H70</f>
        <v>320</v>
      </c>
      <c r="AB48" s="52">
        <f>'Input - Pasture Beef'!I70</f>
        <v>480</v>
      </c>
      <c r="AC48" s="52">
        <f>'Input - Pasture Beef'!J70</f>
        <v>480</v>
      </c>
      <c r="AD48" s="52">
        <f>'Input - Pasture Beef'!K70</f>
        <v>100</v>
      </c>
      <c r="AE48" s="52">
        <f>'Input - Pasture Beef'!L70</f>
        <v>340</v>
      </c>
      <c r="AF48" s="52">
        <f>'Input - Pasture Beef'!M70</f>
        <v>340</v>
      </c>
      <c r="AG48" s="52">
        <f>'Input - Pasture Beef'!N70</f>
        <v>340</v>
      </c>
      <c r="AH48" s="2" t="s">
        <v>133</v>
      </c>
    </row>
    <row r="49" spans="4:36" ht="20.100000000000001" customHeight="1" x14ac:dyDescent="0.25">
      <c r="D49" s="99" t="s">
        <v>286</v>
      </c>
      <c r="W49" s="52" t="str">
        <f>TEXT(EDATE('Input - Site'!$E$12,5), "mmmm yyyy")</f>
        <v>June 2024</v>
      </c>
      <c r="X49" s="52">
        <f>'Input - Pasture Beef'!E71</f>
        <v>190</v>
      </c>
      <c r="Y49" s="52">
        <f>'Input - Pasture Beef'!F71</f>
        <v>700</v>
      </c>
      <c r="Z49" s="52">
        <f>'Input - Pasture Beef'!G71</f>
        <v>150</v>
      </c>
      <c r="AA49" s="52">
        <f>'Input - Pasture Beef'!H71</f>
        <v>330</v>
      </c>
      <c r="AB49" s="52">
        <f>'Input - Pasture Beef'!I71</f>
        <v>490</v>
      </c>
      <c r="AC49" s="52">
        <f>'Input - Pasture Beef'!J71</f>
        <v>490</v>
      </c>
      <c r="AD49" s="52">
        <f>'Input - Pasture Beef'!K71</f>
        <v>170</v>
      </c>
      <c r="AE49" s="52">
        <f>'Input - Pasture Beef'!L71</f>
        <v>360</v>
      </c>
      <c r="AF49" s="52">
        <f>'Input - Pasture Beef'!M71</f>
        <v>360</v>
      </c>
      <c r="AG49" s="52">
        <f>'Input - Pasture Beef'!N71</f>
        <v>360</v>
      </c>
      <c r="AH49" s="2" t="s">
        <v>133</v>
      </c>
    </row>
    <row r="50" spans="4:36" ht="20.100000000000001" customHeight="1" x14ac:dyDescent="0.25">
      <c r="D50" s="98" t="s">
        <v>244</v>
      </c>
      <c r="W50" s="52" t="str">
        <f>TEXT(EDATE('Input - Site'!$E$12,6), "mmmm yyyy")</f>
        <v>July 2024</v>
      </c>
      <c r="X50" s="52">
        <f>'Input - Pasture Beef'!E72</f>
        <v>190</v>
      </c>
      <c r="Y50" s="52">
        <f>'Input - Pasture Beef'!F72</f>
        <v>700</v>
      </c>
      <c r="Z50" s="52">
        <f>'Input - Pasture Beef'!G72</f>
        <v>150</v>
      </c>
      <c r="AA50" s="52">
        <f>'Input - Pasture Beef'!H72</f>
        <v>330</v>
      </c>
      <c r="AB50" s="52">
        <f>'Input - Pasture Beef'!I72</f>
        <v>490</v>
      </c>
      <c r="AC50" s="52">
        <f>'Input - Pasture Beef'!J72</f>
        <v>490</v>
      </c>
      <c r="AD50" s="52">
        <f>'Input - Pasture Beef'!K72</f>
        <v>170</v>
      </c>
      <c r="AE50" s="52">
        <f>'Input - Pasture Beef'!L72</f>
        <v>360</v>
      </c>
      <c r="AF50" s="52">
        <f>'Input - Pasture Beef'!M72</f>
        <v>360</v>
      </c>
      <c r="AG50" s="52">
        <f>'Input - Pasture Beef'!N72</f>
        <v>360</v>
      </c>
      <c r="AH50" s="2" t="s">
        <v>133</v>
      </c>
    </row>
    <row r="51" spans="4:36" ht="20.100000000000001" customHeight="1" x14ac:dyDescent="0.25">
      <c r="D51" s="51" t="s">
        <v>184</v>
      </c>
      <c r="E51" s="124" t="s">
        <v>131</v>
      </c>
      <c r="F51" s="124" t="s">
        <v>130</v>
      </c>
      <c r="G51" s="124" t="s">
        <v>165</v>
      </c>
      <c r="H51" s="124" t="s">
        <v>166</v>
      </c>
      <c r="I51" s="124" t="s">
        <v>167</v>
      </c>
      <c r="J51" s="124" t="s">
        <v>168</v>
      </c>
      <c r="K51" s="124" t="s">
        <v>169</v>
      </c>
      <c r="L51" s="124" t="s">
        <v>170</v>
      </c>
      <c r="M51" s="124" t="s">
        <v>171</v>
      </c>
      <c r="N51" s="124" t="s">
        <v>172</v>
      </c>
      <c r="W51" s="52" t="str">
        <f>TEXT(EDATE('Input - Site'!$E$12,7), "mmmm yyyy")</f>
        <v>August 2024</v>
      </c>
      <c r="X51" s="52">
        <f>'Input - Pasture Beef'!E73</f>
        <v>190</v>
      </c>
      <c r="Y51" s="52">
        <f>'Input - Pasture Beef'!F73</f>
        <v>700</v>
      </c>
      <c r="Z51" s="52">
        <f>'Input - Pasture Beef'!G73</f>
        <v>150</v>
      </c>
      <c r="AA51" s="52">
        <f>'Input - Pasture Beef'!H73</f>
        <v>330</v>
      </c>
      <c r="AB51" s="52">
        <f>'Input - Pasture Beef'!I73</f>
        <v>490</v>
      </c>
      <c r="AC51" s="52">
        <f>'Input - Pasture Beef'!J73</f>
        <v>490</v>
      </c>
      <c r="AD51" s="52">
        <f>'Input - Pasture Beef'!K73</f>
        <v>170</v>
      </c>
      <c r="AE51" s="52">
        <f>'Input - Pasture Beef'!L73</f>
        <v>360</v>
      </c>
      <c r="AF51" s="52">
        <f>'Input - Pasture Beef'!M73</f>
        <v>360</v>
      </c>
      <c r="AG51" s="52">
        <f>'Input - Pasture Beef'!N73</f>
        <v>360</v>
      </c>
      <c r="AH51" s="2" t="s">
        <v>133</v>
      </c>
      <c r="AI51" s="2"/>
      <c r="AJ51" s="2"/>
    </row>
    <row r="52" spans="4:36" ht="20.100000000000001" customHeight="1" x14ac:dyDescent="0.25">
      <c r="D52" s="52" t="str">
        <f>'Input - Pasture Beef'!D60</f>
        <v>Spring</v>
      </c>
      <c r="E52" s="52">
        <f>'Input - Pasture Beef'!E60</f>
        <v>340</v>
      </c>
      <c r="F52" s="52">
        <f>'Input - Pasture Beef'!F60</f>
        <v>800</v>
      </c>
      <c r="G52" s="52">
        <f>'Input - Pasture Beef'!G60</f>
        <v>260</v>
      </c>
      <c r="H52" s="52">
        <f>'Input - Pasture Beef'!H60</f>
        <v>420</v>
      </c>
      <c r="I52" s="52">
        <f>'Input - Pasture Beef'!I60</f>
        <v>550</v>
      </c>
      <c r="J52" s="52">
        <f>'Input - Pasture Beef'!J60</f>
        <v>550</v>
      </c>
      <c r="K52" s="52">
        <f>'Input - Pasture Beef'!K60</f>
        <v>300</v>
      </c>
      <c r="L52" s="52">
        <f>'Input - Pasture Beef'!L60</f>
        <v>480</v>
      </c>
      <c r="M52" s="52">
        <f>'Input - Pasture Beef'!M60</f>
        <v>480</v>
      </c>
      <c r="N52" s="52">
        <f>'Input - Pasture Beef'!N60</f>
        <v>480</v>
      </c>
      <c r="O52" s="2" t="s">
        <v>133</v>
      </c>
      <c r="P52" s="2"/>
      <c r="Q52" s="2"/>
      <c r="R52" s="2"/>
      <c r="S52" s="2"/>
      <c r="W52" s="52" t="str">
        <f>TEXT(EDATE('Input - Site'!$E$12,8), "mmmm yyyy")</f>
        <v>September 2024</v>
      </c>
      <c r="X52" s="52">
        <f>'Input - Pasture Beef'!E74</f>
        <v>340</v>
      </c>
      <c r="Y52" s="52">
        <f>'Input - Pasture Beef'!F74</f>
        <v>800</v>
      </c>
      <c r="Z52" s="52">
        <f>'Input - Pasture Beef'!G74</f>
        <v>260</v>
      </c>
      <c r="AA52" s="52">
        <f>'Input - Pasture Beef'!H74</f>
        <v>420</v>
      </c>
      <c r="AB52" s="52">
        <f>'Input - Pasture Beef'!I74</f>
        <v>550</v>
      </c>
      <c r="AC52" s="52">
        <f>'Input - Pasture Beef'!J74</f>
        <v>550</v>
      </c>
      <c r="AD52" s="52">
        <f>'Input - Pasture Beef'!K74</f>
        <v>300</v>
      </c>
      <c r="AE52" s="52">
        <f>'Input - Pasture Beef'!L74</f>
        <v>480</v>
      </c>
      <c r="AF52" s="52">
        <f>'Input - Pasture Beef'!M74</f>
        <v>480</v>
      </c>
      <c r="AG52" s="52">
        <f>'Input - Pasture Beef'!N74</f>
        <v>480</v>
      </c>
      <c r="AH52" s="2" t="s">
        <v>133</v>
      </c>
      <c r="AI52" s="2"/>
      <c r="AJ52" s="2"/>
    </row>
    <row r="53" spans="4:36" ht="20.100000000000001" customHeight="1" x14ac:dyDescent="0.25">
      <c r="D53" s="52" t="str">
        <f>'Input - Pasture Beef'!D61</f>
        <v>Summer</v>
      </c>
      <c r="E53" s="52">
        <f>'Input - Pasture Beef'!E61</f>
        <v>380</v>
      </c>
      <c r="F53" s="52">
        <f>'Input - Pasture Beef'!F61</f>
        <v>780</v>
      </c>
      <c r="G53" s="52">
        <f>'Input - Pasture Beef'!G61</f>
        <v>300</v>
      </c>
      <c r="H53" s="52">
        <f>'Input - Pasture Beef'!H61</f>
        <v>450</v>
      </c>
      <c r="I53" s="52">
        <f>'Input - Pasture Beef'!I61</f>
        <v>530</v>
      </c>
      <c r="J53" s="52">
        <f>'Input - Pasture Beef'!J61</f>
        <v>530</v>
      </c>
      <c r="K53" s="52">
        <f>'Input - Pasture Beef'!K61</f>
        <v>340</v>
      </c>
      <c r="L53" s="52">
        <f>'Input - Pasture Beef'!L61</f>
        <v>470</v>
      </c>
      <c r="M53" s="52">
        <f>'Input - Pasture Beef'!M61</f>
        <v>470</v>
      </c>
      <c r="N53" s="52">
        <f>'Input - Pasture Beef'!N61</f>
        <v>470</v>
      </c>
      <c r="O53" s="2" t="s">
        <v>133</v>
      </c>
      <c r="P53" s="2"/>
      <c r="Q53" s="2"/>
      <c r="R53" s="2"/>
      <c r="S53" s="2"/>
      <c r="W53" s="52" t="str">
        <f>TEXT(EDATE('Input - Site'!$E$12,9), "mmmm yyyy")</f>
        <v>October 2024</v>
      </c>
      <c r="X53" s="52">
        <f>'Input - Pasture Beef'!E75</f>
        <v>340</v>
      </c>
      <c r="Y53" s="52">
        <f>'Input - Pasture Beef'!F75</f>
        <v>800</v>
      </c>
      <c r="Z53" s="52">
        <f>'Input - Pasture Beef'!G75</f>
        <v>260</v>
      </c>
      <c r="AA53" s="52">
        <f>'Input - Pasture Beef'!H75</f>
        <v>420</v>
      </c>
      <c r="AB53" s="52">
        <f>'Input - Pasture Beef'!I75</f>
        <v>550</v>
      </c>
      <c r="AC53" s="52">
        <f>'Input - Pasture Beef'!J75</f>
        <v>550</v>
      </c>
      <c r="AD53" s="52">
        <f>'Input - Pasture Beef'!K75</f>
        <v>300</v>
      </c>
      <c r="AE53" s="52">
        <f>'Input - Pasture Beef'!L75</f>
        <v>480</v>
      </c>
      <c r="AF53" s="52">
        <f>'Input - Pasture Beef'!M75</f>
        <v>480</v>
      </c>
      <c r="AG53" s="52">
        <f>'Input - Pasture Beef'!N75</f>
        <v>480</v>
      </c>
      <c r="AH53" s="2" t="s">
        <v>133</v>
      </c>
      <c r="AI53" s="2"/>
      <c r="AJ53" s="2"/>
    </row>
    <row r="54" spans="4:36" ht="20.100000000000001" customHeight="1" x14ac:dyDescent="0.25">
      <c r="D54" s="52" t="str">
        <f>'Input - Pasture Beef'!D62</f>
        <v>Autumn</v>
      </c>
      <c r="E54" s="52">
        <f>'Input - Pasture Beef'!E62</f>
        <v>100</v>
      </c>
      <c r="F54" s="52">
        <f>'Input - Pasture Beef'!F62</f>
        <v>680</v>
      </c>
      <c r="G54" s="52">
        <f>'Input - Pasture Beef'!G62</f>
        <v>80</v>
      </c>
      <c r="H54" s="52">
        <f>'Input - Pasture Beef'!H62</f>
        <v>320</v>
      </c>
      <c r="I54" s="52">
        <f>'Input - Pasture Beef'!I62</f>
        <v>480</v>
      </c>
      <c r="J54" s="52">
        <f>'Input - Pasture Beef'!J62</f>
        <v>480</v>
      </c>
      <c r="K54" s="52">
        <f>'Input - Pasture Beef'!K62</f>
        <v>100</v>
      </c>
      <c r="L54" s="52">
        <f>'Input - Pasture Beef'!L62</f>
        <v>340</v>
      </c>
      <c r="M54" s="52">
        <f>'Input - Pasture Beef'!M62</f>
        <v>340</v>
      </c>
      <c r="N54" s="52">
        <f>'Input - Pasture Beef'!N62</f>
        <v>340</v>
      </c>
      <c r="O54" s="2" t="s">
        <v>133</v>
      </c>
      <c r="P54" s="2"/>
      <c r="Q54" s="2"/>
      <c r="R54" s="2"/>
      <c r="S54" s="2"/>
      <c r="W54" s="52" t="str">
        <f>TEXT(EDATE('Input - Site'!$E$12,10), "mmmm yyyy")</f>
        <v>November 2024</v>
      </c>
      <c r="X54" s="52">
        <f>'Input - Pasture Beef'!E76</f>
        <v>340</v>
      </c>
      <c r="Y54" s="52">
        <f>'Input - Pasture Beef'!F76</f>
        <v>800</v>
      </c>
      <c r="Z54" s="52">
        <f>'Input - Pasture Beef'!G76</f>
        <v>260</v>
      </c>
      <c r="AA54" s="52">
        <f>'Input - Pasture Beef'!H76</f>
        <v>420</v>
      </c>
      <c r="AB54" s="52">
        <f>'Input - Pasture Beef'!I76</f>
        <v>550</v>
      </c>
      <c r="AC54" s="52">
        <f>'Input - Pasture Beef'!J76</f>
        <v>550</v>
      </c>
      <c r="AD54" s="52">
        <f>'Input - Pasture Beef'!K76</f>
        <v>300</v>
      </c>
      <c r="AE54" s="52">
        <f>'Input - Pasture Beef'!L76</f>
        <v>480</v>
      </c>
      <c r="AF54" s="52">
        <f>'Input - Pasture Beef'!M76</f>
        <v>480</v>
      </c>
      <c r="AG54" s="52">
        <f>'Input - Pasture Beef'!N76</f>
        <v>480</v>
      </c>
      <c r="AH54" s="2" t="s">
        <v>133</v>
      </c>
      <c r="AI54" s="2"/>
      <c r="AJ54" s="2"/>
    </row>
    <row r="55" spans="4:36" ht="20.100000000000001" customHeight="1" x14ac:dyDescent="0.25">
      <c r="D55" s="52" t="str">
        <f>'Input - Pasture Beef'!D63</f>
        <v>Winter</v>
      </c>
      <c r="E55" s="52">
        <f>'Input - Pasture Beef'!E63</f>
        <v>190</v>
      </c>
      <c r="F55" s="52">
        <f>'Input - Pasture Beef'!F63</f>
        <v>700</v>
      </c>
      <c r="G55" s="52">
        <f>'Input - Pasture Beef'!G63</f>
        <v>150</v>
      </c>
      <c r="H55" s="52">
        <f>'Input - Pasture Beef'!H63</f>
        <v>330</v>
      </c>
      <c r="I55" s="52">
        <f>'Input - Pasture Beef'!I63</f>
        <v>490</v>
      </c>
      <c r="J55" s="52">
        <f>'Input - Pasture Beef'!J63</f>
        <v>490</v>
      </c>
      <c r="K55" s="52">
        <f>'Input - Pasture Beef'!K63</f>
        <v>170</v>
      </c>
      <c r="L55" s="52">
        <f>'Input - Pasture Beef'!L63</f>
        <v>360</v>
      </c>
      <c r="M55" s="52">
        <f>'Input - Pasture Beef'!M63</f>
        <v>360</v>
      </c>
      <c r="N55" s="52">
        <f>'Input - Pasture Beef'!N63</f>
        <v>360</v>
      </c>
      <c r="O55" s="2" t="s">
        <v>133</v>
      </c>
      <c r="P55" s="2"/>
      <c r="Q55" s="2"/>
      <c r="R55" s="2"/>
      <c r="S55" s="2"/>
      <c r="W55" s="52" t="str">
        <f>TEXT(EDATE('Input - Site'!$E$12,11), "mmmm yyyy")</f>
        <v>December 2024</v>
      </c>
      <c r="X55" s="52">
        <f>'Input - Pasture Beef'!E77</f>
        <v>380</v>
      </c>
      <c r="Y55" s="52">
        <f>'Input - Pasture Beef'!F77</f>
        <v>780</v>
      </c>
      <c r="Z55" s="52">
        <f>'Input - Pasture Beef'!G77</f>
        <v>300</v>
      </c>
      <c r="AA55" s="52">
        <f>'Input - Pasture Beef'!H77</f>
        <v>450</v>
      </c>
      <c r="AB55" s="52">
        <f>'Input - Pasture Beef'!I77</f>
        <v>530</v>
      </c>
      <c r="AC55" s="52">
        <f>'Input - Pasture Beef'!J77</f>
        <v>530</v>
      </c>
      <c r="AD55" s="52">
        <f>'Input - Pasture Beef'!K77</f>
        <v>340</v>
      </c>
      <c r="AE55" s="52">
        <f>'Input - Pasture Beef'!L77</f>
        <v>470</v>
      </c>
      <c r="AF55" s="52">
        <f>'Input - Pasture Beef'!M77</f>
        <v>470</v>
      </c>
      <c r="AG55" s="52">
        <f>'Input - Pasture Beef'!N77</f>
        <v>470</v>
      </c>
      <c r="AH55" s="2" t="s">
        <v>133</v>
      </c>
      <c r="AI55" s="2"/>
      <c r="AJ55" s="2"/>
    </row>
    <row r="56" spans="4:36" ht="20.100000000000001" customHeight="1" x14ac:dyDescent="0.25">
      <c r="AI56" s="2"/>
      <c r="AJ56" s="2"/>
    </row>
    <row r="57" spans="4:36" ht="20.100000000000001" customHeight="1" x14ac:dyDescent="0.25">
      <c r="W57" s="99" t="s">
        <v>256</v>
      </c>
      <c r="AI57" s="2"/>
      <c r="AJ57" s="2"/>
    </row>
    <row r="58" spans="4:36" ht="20.100000000000001" customHeight="1" x14ac:dyDescent="0.25">
      <c r="W58" s="98" t="s">
        <v>257</v>
      </c>
      <c r="AI58" s="2"/>
      <c r="AJ58" s="2"/>
    </row>
    <row r="59" spans="4:36" ht="20.100000000000001" customHeight="1" x14ac:dyDescent="0.25">
      <c r="W59" s="51" t="s">
        <v>132</v>
      </c>
      <c r="X59" s="124" t="s">
        <v>131</v>
      </c>
      <c r="Y59" s="124" t="s">
        <v>130</v>
      </c>
      <c r="Z59" s="124" t="s">
        <v>165</v>
      </c>
      <c r="AA59" s="124" t="s">
        <v>166</v>
      </c>
      <c r="AB59" s="124" t="s">
        <v>167</v>
      </c>
      <c r="AC59" s="124" t="s">
        <v>168</v>
      </c>
      <c r="AD59" s="124" t="s">
        <v>169</v>
      </c>
      <c r="AE59" s="124" t="s">
        <v>170</v>
      </c>
      <c r="AF59" s="124" t="s">
        <v>171</v>
      </c>
      <c r="AG59" s="124" t="s">
        <v>172</v>
      </c>
      <c r="AI59" s="2"/>
      <c r="AJ59" s="2"/>
    </row>
    <row r="60" spans="4:36" ht="20.100000000000001" customHeight="1" x14ac:dyDescent="0.25">
      <c r="W60" s="52" t="str">
        <f>TEXT('Input - Site'!$E$12, "mmmm yyyy")</f>
        <v>January 2024</v>
      </c>
      <c r="X60" s="52">
        <f>'Input - Pasture Beef'!E88</f>
        <v>0.44</v>
      </c>
      <c r="Y60" s="52">
        <f>'Input - Pasture Beef'!F88</f>
        <v>-0.22</v>
      </c>
      <c r="Z60" s="52">
        <f>'Input - Pasture Beef'!G88</f>
        <v>0.44</v>
      </c>
      <c r="AA60" s="52">
        <f>'Input - Pasture Beef'!H88</f>
        <v>0.33</v>
      </c>
      <c r="AB60" s="52">
        <f>'Input - Pasture Beef'!I88</f>
        <v>-0.22</v>
      </c>
      <c r="AC60" s="52">
        <f>'Input - Pasture Beef'!J88</f>
        <v>-0.22</v>
      </c>
      <c r="AD60" s="52">
        <f>'Input - Pasture Beef'!K88</f>
        <v>0.44</v>
      </c>
      <c r="AE60" s="52">
        <f>'Input - Pasture Beef'!L88</f>
        <v>-0.11</v>
      </c>
      <c r="AF60" s="52">
        <f>'Input - Pasture Beef'!M88</f>
        <v>-0.11</v>
      </c>
      <c r="AG60" s="52">
        <f>'Input - Pasture Beef'!N88</f>
        <v>-0.11</v>
      </c>
      <c r="AH60" s="2" t="s">
        <v>134</v>
      </c>
      <c r="AI60" s="2"/>
      <c r="AJ60" s="2"/>
    </row>
    <row r="61" spans="4:36" ht="20.100000000000001" customHeight="1" x14ac:dyDescent="0.25">
      <c r="W61" s="52" t="str">
        <f>TEXT(EDATE('Input - Site'!$E$12,1), "mmmm yyyy")</f>
        <v>February 2024</v>
      </c>
      <c r="X61" s="52">
        <f>'Input - Pasture Beef'!E89</f>
        <v>0.44</v>
      </c>
      <c r="Y61" s="52">
        <f>'Input - Pasture Beef'!F89</f>
        <v>-0.22</v>
      </c>
      <c r="Z61" s="52">
        <f>'Input - Pasture Beef'!G89</f>
        <v>0.44</v>
      </c>
      <c r="AA61" s="52">
        <f>'Input - Pasture Beef'!H89</f>
        <v>0.33</v>
      </c>
      <c r="AB61" s="52">
        <f>'Input - Pasture Beef'!I89</f>
        <v>-0.22</v>
      </c>
      <c r="AC61" s="52">
        <f>'Input - Pasture Beef'!J89</f>
        <v>-0.22</v>
      </c>
      <c r="AD61" s="52">
        <f>'Input - Pasture Beef'!K89</f>
        <v>0.44</v>
      </c>
      <c r="AE61" s="52">
        <f>'Input - Pasture Beef'!L89</f>
        <v>-0.11</v>
      </c>
      <c r="AF61" s="52">
        <f>'Input - Pasture Beef'!M89</f>
        <v>-0.11</v>
      </c>
      <c r="AG61" s="52">
        <f>'Input - Pasture Beef'!N89</f>
        <v>-0.11</v>
      </c>
      <c r="AH61" s="2" t="s">
        <v>134</v>
      </c>
      <c r="AI61" s="2"/>
      <c r="AJ61" s="2"/>
    </row>
    <row r="62" spans="4:36" ht="20.100000000000001" customHeight="1" x14ac:dyDescent="0.25">
      <c r="W62" s="52" t="str">
        <f>TEXT(EDATE('Input - Site'!$E$12,2), "mmmm yyyy")</f>
        <v>March 2024</v>
      </c>
      <c r="X62" s="52">
        <f>'Input - Pasture Beef'!E90</f>
        <v>0.6</v>
      </c>
      <c r="Y62" s="52">
        <f>'Input - Pasture Beef'!F90</f>
        <v>0</v>
      </c>
      <c r="Z62" s="52">
        <f>'Input - Pasture Beef'!G90</f>
        <v>0.6</v>
      </c>
      <c r="AA62" s="52">
        <f>'Input - Pasture Beef'!H90</f>
        <v>0.22</v>
      </c>
      <c r="AB62" s="52">
        <f>'Input - Pasture Beef'!I90</f>
        <v>-0.55000000000000004</v>
      </c>
      <c r="AC62" s="52">
        <f>'Input - Pasture Beef'!J90</f>
        <v>-0.55000000000000004</v>
      </c>
      <c r="AD62" s="52">
        <f>'Input - Pasture Beef'!K90</f>
        <v>0.6</v>
      </c>
      <c r="AE62" s="52">
        <f>'Input - Pasture Beef'!L90</f>
        <v>0</v>
      </c>
      <c r="AF62" s="52">
        <f>'Input - Pasture Beef'!M90</f>
        <v>0</v>
      </c>
      <c r="AG62" s="52">
        <f>'Input - Pasture Beef'!N90</f>
        <v>0</v>
      </c>
      <c r="AH62" s="2" t="s">
        <v>134</v>
      </c>
      <c r="AI62" s="2"/>
      <c r="AJ62" s="2"/>
    </row>
    <row r="63" spans="4:36" ht="20.100000000000001" customHeight="1" x14ac:dyDescent="0.25">
      <c r="W63" s="52" t="str">
        <f>TEXT(EDATE('Input - Site'!$E$12,3), "mmmm yyyy")</f>
        <v>April 2024</v>
      </c>
      <c r="X63" s="52">
        <f>'Input - Pasture Beef'!E91</f>
        <v>0.6</v>
      </c>
      <c r="Y63" s="52">
        <f>'Input - Pasture Beef'!F91</f>
        <v>0</v>
      </c>
      <c r="Z63" s="52">
        <f>'Input - Pasture Beef'!G91</f>
        <v>0.6</v>
      </c>
      <c r="AA63" s="52">
        <f>'Input - Pasture Beef'!H91</f>
        <v>0.22</v>
      </c>
      <c r="AB63" s="52">
        <f>'Input - Pasture Beef'!I91</f>
        <v>-0.55000000000000004</v>
      </c>
      <c r="AC63" s="52">
        <f>'Input - Pasture Beef'!J91</f>
        <v>-0.55000000000000004</v>
      </c>
      <c r="AD63" s="52">
        <f>'Input - Pasture Beef'!K91</f>
        <v>0.6</v>
      </c>
      <c r="AE63" s="52">
        <f>'Input - Pasture Beef'!L91</f>
        <v>0</v>
      </c>
      <c r="AF63" s="52">
        <f>'Input - Pasture Beef'!M91</f>
        <v>0</v>
      </c>
      <c r="AG63" s="52">
        <f>'Input - Pasture Beef'!N91</f>
        <v>0</v>
      </c>
      <c r="AH63" s="2" t="s">
        <v>134</v>
      </c>
      <c r="AI63" s="2"/>
      <c r="AJ63" s="2"/>
    </row>
    <row r="64" spans="4:36" ht="20.100000000000001" customHeight="1" x14ac:dyDescent="0.25">
      <c r="W64" s="52" t="str">
        <f>TEXT(EDATE('Input - Site'!$E$12,4), "mmmm yyyy")</f>
        <v>May 2024</v>
      </c>
      <c r="X64" s="52">
        <f>'Input - Pasture Beef'!E92</f>
        <v>0.6</v>
      </c>
      <c r="Y64" s="52">
        <f>'Input - Pasture Beef'!F92</f>
        <v>0</v>
      </c>
      <c r="Z64" s="52">
        <f>'Input - Pasture Beef'!G92</f>
        <v>0.6</v>
      </c>
      <c r="AA64" s="52">
        <f>'Input - Pasture Beef'!H92</f>
        <v>0.22</v>
      </c>
      <c r="AB64" s="52">
        <f>'Input - Pasture Beef'!I92</f>
        <v>-0.55000000000000004</v>
      </c>
      <c r="AC64" s="52">
        <f>'Input - Pasture Beef'!J92</f>
        <v>-0.55000000000000004</v>
      </c>
      <c r="AD64" s="52">
        <f>'Input - Pasture Beef'!K92</f>
        <v>0.6</v>
      </c>
      <c r="AE64" s="52">
        <f>'Input - Pasture Beef'!L92</f>
        <v>0</v>
      </c>
      <c r="AF64" s="52">
        <f>'Input - Pasture Beef'!M92</f>
        <v>0</v>
      </c>
      <c r="AG64" s="52">
        <f>'Input - Pasture Beef'!N92</f>
        <v>0</v>
      </c>
      <c r="AH64" s="2" t="s">
        <v>134</v>
      </c>
    </row>
    <row r="65" spans="4:36" ht="20.100000000000001" customHeight="1" x14ac:dyDescent="0.25">
      <c r="D65" s="99" t="s">
        <v>242</v>
      </c>
      <c r="W65" s="52" t="str">
        <f>TEXT(EDATE('Input - Site'!$E$12,5), "mmmm yyyy")</f>
        <v>June 2024</v>
      </c>
      <c r="X65" s="52">
        <f>'Input - Pasture Beef'!E93</f>
        <v>0.99</v>
      </c>
      <c r="Y65" s="52">
        <f>'Input - Pasture Beef'!F93</f>
        <v>0.22</v>
      </c>
      <c r="Z65" s="52">
        <f>'Input - Pasture Beef'!G93</f>
        <v>0.77</v>
      </c>
      <c r="AA65" s="52">
        <f>'Input - Pasture Beef'!H93</f>
        <v>0.11</v>
      </c>
      <c r="AB65" s="52">
        <f>'Input - Pasture Beef'!I93</f>
        <v>0.11</v>
      </c>
      <c r="AC65" s="52">
        <f>'Input - Pasture Beef'!J93</f>
        <v>0.11</v>
      </c>
      <c r="AD65" s="52">
        <f>'Input - Pasture Beef'!K93</f>
        <v>0.77</v>
      </c>
      <c r="AE65" s="52">
        <f>'Input - Pasture Beef'!L93</f>
        <v>0.44</v>
      </c>
      <c r="AF65" s="52">
        <f>'Input - Pasture Beef'!M93</f>
        <v>0.44</v>
      </c>
      <c r="AG65" s="52">
        <f>'Input - Pasture Beef'!N93</f>
        <v>0.44</v>
      </c>
      <c r="AH65" s="2" t="s">
        <v>134</v>
      </c>
    </row>
    <row r="66" spans="4:36" ht="20.100000000000001" customHeight="1" x14ac:dyDescent="0.25">
      <c r="D66" s="98" t="s">
        <v>243</v>
      </c>
      <c r="W66" s="52" t="str">
        <f>TEXT(EDATE('Input - Site'!$E$12,6), "mmmm yyyy")</f>
        <v>July 2024</v>
      </c>
      <c r="X66" s="52">
        <f>'Input - Pasture Beef'!E94</f>
        <v>0.99</v>
      </c>
      <c r="Y66" s="52">
        <f>'Input - Pasture Beef'!F94</f>
        <v>0.22</v>
      </c>
      <c r="Z66" s="52">
        <f>'Input - Pasture Beef'!G94</f>
        <v>0.77</v>
      </c>
      <c r="AA66" s="52">
        <f>'Input - Pasture Beef'!H94</f>
        <v>0.11</v>
      </c>
      <c r="AB66" s="52">
        <f>'Input - Pasture Beef'!I94</f>
        <v>0.11</v>
      </c>
      <c r="AC66" s="52">
        <f>'Input - Pasture Beef'!J94</f>
        <v>0.11</v>
      </c>
      <c r="AD66" s="52">
        <f>'Input - Pasture Beef'!K94</f>
        <v>0.77</v>
      </c>
      <c r="AE66" s="52">
        <f>'Input - Pasture Beef'!L94</f>
        <v>0.44</v>
      </c>
      <c r="AF66" s="52">
        <f>'Input - Pasture Beef'!M94</f>
        <v>0.44</v>
      </c>
      <c r="AG66" s="52">
        <f>'Input - Pasture Beef'!N94</f>
        <v>0.44</v>
      </c>
      <c r="AH66" s="2" t="s">
        <v>134</v>
      </c>
    </row>
    <row r="67" spans="4:36" ht="20.100000000000001" customHeight="1" x14ac:dyDescent="0.25">
      <c r="D67" s="51" t="s">
        <v>184</v>
      </c>
      <c r="E67" s="124" t="s">
        <v>131</v>
      </c>
      <c r="F67" s="124" t="s">
        <v>130</v>
      </c>
      <c r="G67" s="124" t="s">
        <v>165</v>
      </c>
      <c r="H67" s="124" t="s">
        <v>166</v>
      </c>
      <c r="I67" s="124" t="s">
        <v>167</v>
      </c>
      <c r="J67" s="124" t="s">
        <v>168</v>
      </c>
      <c r="K67" s="124" t="s">
        <v>169</v>
      </c>
      <c r="L67" s="124" t="s">
        <v>170</v>
      </c>
      <c r="M67" s="124" t="s">
        <v>171</v>
      </c>
      <c r="N67" s="124" t="s">
        <v>172</v>
      </c>
      <c r="W67" s="52" t="str">
        <f>TEXT(EDATE('Input - Site'!$E$12,7), "mmmm yyyy")</f>
        <v>August 2024</v>
      </c>
      <c r="X67" s="52">
        <f>'Input - Pasture Beef'!E95</f>
        <v>0.99</v>
      </c>
      <c r="Y67" s="52">
        <f>'Input - Pasture Beef'!F95</f>
        <v>0.22</v>
      </c>
      <c r="Z67" s="52">
        <f>'Input - Pasture Beef'!G95</f>
        <v>0.77</v>
      </c>
      <c r="AA67" s="52">
        <f>'Input - Pasture Beef'!H95</f>
        <v>0.11</v>
      </c>
      <c r="AB67" s="52">
        <f>'Input - Pasture Beef'!I95</f>
        <v>0.11</v>
      </c>
      <c r="AC67" s="52">
        <f>'Input - Pasture Beef'!J95</f>
        <v>0.11</v>
      </c>
      <c r="AD67" s="52">
        <f>'Input - Pasture Beef'!K95</f>
        <v>0.77</v>
      </c>
      <c r="AE67" s="52">
        <f>'Input - Pasture Beef'!L95</f>
        <v>0.44</v>
      </c>
      <c r="AF67" s="52">
        <f>'Input - Pasture Beef'!M95</f>
        <v>0.44</v>
      </c>
      <c r="AG67" s="52">
        <f>'Input - Pasture Beef'!N95</f>
        <v>0.44</v>
      </c>
      <c r="AH67" s="2" t="s">
        <v>134</v>
      </c>
    </row>
    <row r="68" spans="4:36" ht="20.100000000000001" customHeight="1" x14ac:dyDescent="0.25">
      <c r="D68" s="52" t="str">
        <f>'Input - Pasture Beef'!D82</f>
        <v>Spring</v>
      </c>
      <c r="E68" s="52">
        <f>'Input - Pasture Beef'!E82</f>
        <v>1.64</v>
      </c>
      <c r="F68" s="52">
        <f>'Input - Pasture Beef'!F82</f>
        <v>1.1000000000000001</v>
      </c>
      <c r="G68" s="52">
        <f>'Input - Pasture Beef'!G82</f>
        <v>1.21</v>
      </c>
      <c r="H68" s="52">
        <f>'Input - Pasture Beef'!H82</f>
        <v>0.99</v>
      </c>
      <c r="I68" s="52">
        <f>'Input - Pasture Beef'!I82</f>
        <v>0.66</v>
      </c>
      <c r="J68" s="52">
        <f>'Input - Pasture Beef'!J82</f>
        <v>0.66</v>
      </c>
      <c r="K68" s="52">
        <f>'Input - Pasture Beef'!K82</f>
        <v>1.42</v>
      </c>
      <c r="L68" s="52">
        <f>'Input - Pasture Beef'!L82</f>
        <v>1.1000000000000001</v>
      </c>
      <c r="M68" s="52">
        <f>'Input - Pasture Beef'!M82</f>
        <v>1.1000000000000001</v>
      </c>
      <c r="N68" s="52">
        <f>'Input - Pasture Beef'!N82</f>
        <v>1.1000000000000001</v>
      </c>
      <c r="O68" s="2" t="s">
        <v>133</v>
      </c>
      <c r="P68" s="2"/>
      <c r="Q68" s="2"/>
      <c r="R68" s="2"/>
      <c r="S68" s="2"/>
      <c r="W68" s="52" t="str">
        <f>TEXT(EDATE('Input - Site'!$E$12,8), "mmmm yyyy")</f>
        <v>September 2024</v>
      </c>
      <c r="X68" s="52">
        <f>'Input - Pasture Beef'!E96</f>
        <v>1.64</v>
      </c>
      <c r="Y68" s="52">
        <f>'Input - Pasture Beef'!F96</f>
        <v>1.1000000000000001</v>
      </c>
      <c r="Z68" s="52">
        <f>'Input - Pasture Beef'!G96</f>
        <v>1.21</v>
      </c>
      <c r="AA68" s="52">
        <f>'Input - Pasture Beef'!H96</f>
        <v>0.99</v>
      </c>
      <c r="AB68" s="52">
        <f>'Input - Pasture Beef'!I96</f>
        <v>0.66</v>
      </c>
      <c r="AC68" s="52">
        <f>'Input - Pasture Beef'!J96</f>
        <v>0.66</v>
      </c>
      <c r="AD68" s="52">
        <f>'Input - Pasture Beef'!K96</f>
        <v>1.42</v>
      </c>
      <c r="AE68" s="52">
        <f>'Input - Pasture Beef'!L96</f>
        <v>1.1000000000000001</v>
      </c>
      <c r="AF68" s="52">
        <f>'Input - Pasture Beef'!M96</f>
        <v>1.1000000000000001</v>
      </c>
      <c r="AG68" s="52">
        <f>'Input - Pasture Beef'!N96</f>
        <v>1.1000000000000001</v>
      </c>
      <c r="AH68" s="2" t="s">
        <v>134</v>
      </c>
      <c r="AI68" s="2"/>
      <c r="AJ68" s="2"/>
    </row>
    <row r="69" spans="4:36" ht="20.100000000000001" customHeight="1" x14ac:dyDescent="0.25">
      <c r="D69" s="52" t="str">
        <f>'Input - Pasture Beef'!D83</f>
        <v>Summer</v>
      </c>
      <c r="E69" s="52">
        <f>'Input - Pasture Beef'!E83</f>
        <v>0.44</v>
      </c>
      <c r="F69" s="52">
        <f>'Input - Pasture Beef'!F83</f>
        <v>-0.22</v>
      </c>
      <c r="G69" s="52">
        <f>'Input - Pasture Beef'!G83</f>
        <v>0.44</v>
      </c>
      <c r="H69" s="52">
        <f>'Input - Pasture Beef'!H83</f>
        <v>0.33</v>
      </c>
      <c r="I69" s="52">
        <f>'Input - Pasture Beef'!I83</f>
        <v>-0.22</v>
      </c>
      <c r="J69" s="52">
        <f>'Input - Pasture Beef'!J83</f>
        <v>-0.22</v>
      </c>
      <c r="K69" s="52">
        <f>'Input - Pasture Beef'!K83</f>
        <v>0.44</v>
      </c>
      <c r="L69" s="52">
        <f>'Input - Pasture Beef'!L83</f>
        <v>-0.11</v>
      </c>
      <c r="M69" s="52">
        <f>'Input - Pasture Beef'!M83</f>
        <v>-0.11</v>
      </c>
      <c r="N69" s="52">
        <f>'Input - Pasture Beef'!N83</f>
        <v>-0.11</v>
      </c>
      <c r="O69" s="2" t="s">
        <v>133</v>
      </c>
      <c r="P69" s="2"/>
      <c r="Q69" s="2"/>
      <c r="R69" s="2"/>
      <c r="S69" s="2"/>
      <c r="W69" s="52" t="str">
        <f>TEXT(EDATE('Input - Site'!$E$12,9), "mmmm yyyy")</f>
        <v>October 2024</v>
      </c>
      <c r="X69" s="52">
        <f>'Input - Pasture Beef'!E97</f>
        <v>1.64</v>
      </c>
      <c r="Y69" s="52">
        <f>'Input - Pasture Beef'!F97</f>
        <v>1.1000000000000001</v>
      </c>
      <c r="Z69" s="52">
        <f>'Input - Pasture Beef'!G97</f>
        <v>1.21</v>
      </c>
      <c r="AA69" s="52">
        <f>'Input - Pasture Beef'!H97</f>
        <v>0.99</v>
      </c>
      <c r="AB69" s="52">
        <f>'Input - Pasture Beef'!I97</f>
        <v>0.66</v>
      </c>
      <c r="AC69" s="52">
        <f>'Input - Pasture Beef'!J97</f>
        <v>0.66</v>
      </c>
      <c r="AD69" s="52">
        <f>'Input - Pasture Beef'!K97</f>
        <v>1.42</v>
      </c>
      <c r="AE69" s="52">
        <f>'Input - Pasture Beef'!L97</f>
        <v>1.1000000000000001</v>
      </c>
      <c r="AF69" s="52">
        <f>'Input - Pasture Beef'!M97</f>
        <v>1.1000000000000001</v>
      </c>
      <c r="AG69" s="52">
        <f>'Input - Pasture Beef'!N97</f>
        <v>1.1000000000000001</v>
      </c>
      <c r="AH69" s="2" t="s">
        <v>134</v>
      </c>
      <c r="AI69" s="2"/>
      <c r="AJ69" s="2"/>
    </row>
    <row r="70" spans="4:36" ht="20.100000000000001" customHeight="1" x14ac:dyDescent="0.25">
      <c r="D70" s="52" t="str">
        <f>'Input - Pasture Beef'!D84</f>
        <v>Autumn</v>
      </c>
      <c r="E70" s="52">
        <f>'Input - Pasture Beef'!E84</f>
        <v>0.6</v>
      </c>
      <c r="F70" s="52">
        <f>'Input - Pasture Beef'!F84</f>
        <v>0</v>
      </c>
      <c r="G70" s="52">
        <f>'Input - Pasture Beef'!G84</f>
        <v>0.6</v>
      </c>
      <c r="H70" s="52">
        <f>'Input - Pasture Beef'!H84</f>
        <v>0.22</v>
      </c>
      <c r="I70" s="52">
        <f>'Input - Pasture Beef'!I84</f>
        <v>-0.55000000000000004</v>
      </c>
      <c r="J70" s="52">
        <f>'Input - Pasture Beef'!J84</f>
        <v>-0.55000000000000004</v>
      </c>
      <c r="K70" s="52">
        <f>'Input - Pasture Beef'!K84</f>
        <v>0.6</v>
      </c>
      <c r="L70" s="52">
        <f>'Input - Pasture Beef'!L84</f>
        <v>0</v>
      </c>
      <c r="M70" s="52">
        <f>'Input - Pasture Beef'!M84</f>
        <v>0</v>
      </c>
      <c r="N70" s="52">
        <f>'Input - Pasture Beef'!N84</f>
        <v>0</v>
      </c>
      <c r="O70" s="2" t="s">
        <v>133</v>
      </c>
      <c r="P70" s="2"/>
      <c r="Q70" s="2"/>
      <c r="R70" s="2"/>
      <c r="S70" s="2"/>
      <c r="W70" s="52" t="str">
        <f>TEXT(EDATE('Input - Site'!$E$12,10), "mmmm yyyy")</f>
        <v>November 2024</v>
      </c>
      <c r="X70" s="52">
        <f>'Input - Pasture Beef'!E98</f>
        <v>1.64</v>
      </c>
      <c r="Y70" s="52">
        <f>'Input - Pasture Beef'!F98</f>
        <v>1.1000000000000001</v>
      </c>
      <c r="Z70" s="52">
        <f>'Input - Pasture Beef'!G98</f>
        <v>1.21</v>
      </c>
      <c r="AA70" s="52">
        <f>'Input - Pasture Beef'!H98</f>
        <v>0.99</v>
      </c>
      <c r="AB70" s="52">
        <f>'Input - Pasture Beef'!I98</f>
        <v>0.66</v>
      </c>
      <c r="AC70" s="52">
        <f>'Input - Pasture Beef'!J98</f>
        <v>0.66</v>
      </c>
      <c r="AD70" s="52">
        <f>'Input - Pasture Beef'!K98</f>
        <v>1.42</v>
      </c>
      <c r="AE70" s="52">
        <f>'Input - Pasture Beef'!L98</f>
        <v>1.1000000000000001</v>
      </c>
      <c r="AF70" s="52">
        <f>'Input - Pasture Beef'!M98</f>
        <v>1.1000000000000001</v>
      </c>
      <c r="AG70" s="52">
        <f>'Input - Pasture Beef'!N98</f>
        <v>1.1000000000000001</v>
      </c>
      <c r="AH70" s="2" t="s">
        <v>134</v>
      </c>
      <c r="AI70" s="2"/>
      <c r="AJ70" s="2"/>
    </row>
    <row r="71" spans="4:36" ht="20.100000000000001" customHeight="1" x14ac:dyDescent="0.25">
      <c r="D71" s="52" t="str">
        <f>'Input - Pasture Beef'!D85</f>
        <v>Winter</v>
      </c>
      <c r="E71" s="52">
        <f>'Input - Pasture Beef'!E85</f>
        <v>0.99</v>
      </c>
      <c r="F71" s="52">
        <f>'Input - Pasture Beef'!F85</f>
        <v>0.22</v>
      </c>
      <c r="G71" s="52">
        <f>'Input - Pasture Beef'!G85</f>
        <v>0.77</v>
      </c>
      <c r="H71" s="52">
        <f>'Input - Pasture Beef'!H85</f>
        <v>0.11</v>
      </c>
      <c r="I71" s="52">
        <f>'Input - Pasture Beef'!I85</f>
        <v>0.11</v>
      </c>
      <c r="J71" s="52">
        <f>'Input - Pasture Beef'!J85</f>
        <v>0.11</v>
      </c>
      <c r="K71" s="52">
        <f>'Input - Pasture Beef'!K85</f>
        <v>0.77</v>
      </c>
      <c r="L71" s="52">
        <f>'Input - Pasture Beef'!L85</f>
        <v>0.44</v>
      </c>
      <c r="M71" s="52">
        <f>'Input - Pasture Beef'!M85</f>
        <v>0.44</v>
      </c>
      <c r="N71" s="52">
        <f>'Input - Pasture Beef'!N85</f>
        <v>0.44</v>
      </c>
      <c r="O71" s="2" t="s">
        <v>133</v>
      </c>
      <c r="P71" s="2"/>
      <c r="Q71" s="2"/>
      <c r="R71" s="2"/>
      <c r="S71" s="2"/>
      <c r="W71" s="52" t="str">
        <f>TEXT(EDATE('Input - Site'!$E$12,11), "mmmm yyyy")</f>
        <v>December 2024</v>
      </c>
      <c r="X71" s="52">
        <f>'Input - Pasture Beef'!E99</f>
        <v>0.44</v>
      </c>
      <c r="Y71" s="52">
        <f>'Input - Pasture Beef'!F99</f>
        <v>-0.22</v>
      </c>
      <c r="Z71" s="52">
        <f>'Input - Pasture Beef'!G99</f>
        <v>0.44</v>
      </c>
      <c r="AA71" s="52">
        <f>'Input - Pasture Beef'!H99</f>
        <v>0.33</v>
      </c>
      <c r="AB71" s="52">
        <f>'Input - Pasture Beef'!I99</f>
        <v>-0.22</v>
      </c>
      <c r="AC71" s="52">
        <f>'Input - Pasture Beef'!J99</f>
        <v>-0.22</v>
      </c>
      <c r="AD71" s="52">
        <f>'Input - Pasture Beef'!K99</f>
        <v>0.44</v>
      </c>
      <c r="AE71" s="52">
        <f>'Input - Pasture Beef'!L99</f>
        <v>-0.11</v>
      </c>
      <c r="AF71" s="52">
        <f>'Input - Pasture Beef'!M99</f>
        <v>-0.11</v>
      </c>
      <c r="AG71" s="52">
        <f>'Input - Pasture Beef'!N99</f>
        <v>-0.11</v>
      </c>
      <c r="AH71" s="2" t="s">
        <v>134</v>
      </c>
      <c r="AI71" s="2"/>
      <c r="AJ71" s="2"/>
    </row>
    <row r="72" spans="4:36" ht="20.100000000000001" customHeight="1" x14ac:dyDescent="0.25">
      <c r="AI72" s="2"/>
      <c r="AJ72" s="2"/>
    </row>
    <row r="73" spans="4:36" ht="20.100000000000001" customHeight="1" x14ac:dyDescent="0.25">
      <c r="W73" s="99" t="s">
        <v>258</v>
      </c>
      <c r="AI73" s="2"/>
      <c r="AJ73" s="2"/>
    </row>
    <row r="74" spans="4:36" ht="20.100000000000001" customHeight="1" x14ac:dyDescent="0.25">
      <c r="W74" s="98" t="s">
        <v>143</v>
      </c>
      <c r="AI74" s="2"/>
      <c r="AJ74" s="2"/>
    </row>
    <row r="75" spans="4:36" ht="20.100000000000001" customHeight="1" x14ac:dyDescent="0.25">
      <c r="W75" s="51" t="s">
        <v>132</v>
      </c>
      <c r="X75" s="51" t="s">
        <v>131</v>
      </c>
      <c r="Y75" s="51" t="s">
        <v>130</v>
      </c>
      <c r="Z75" s="51" t="s">
        <v>165</v>
      </c>
      <c r="AA75" s="51" t="s">
        <v>166</v>
      </c>
      <c r="AB75" s="51" t="s">
        <v>167</v>
      </c>
      <c r="AC75" s="51" t="s">
        <v>168</v>
      </c>
      <c r="AD75" s="51" t="s">
        <v>169</v>
      </c>
      <c r="AE75" s="51" t="s">
        <v>170</v>
      </c>
      <c r="AF75" s="51" t="s">
        <v>171</v>
      </c>
      <c r="AG75" s="51" t="s">
        <v>172</v>
      </c>
      <c r="AI75" s="2"/>
      <c r="AJ75" s="2"/>
    </row>
    <row r="76" spans="4:36" ht="20.100000000000001" customHeight="1" x14ac:dyDescent="0.25">
      <c r="W76" s="52" t="str">
        <f>TEXT('Input - Site'!$E$12, "mmmm yyyy")</f>
        <v>January 2024</v>
      </c>
      <c r="X76" s="52" cm="1">
        <f t="array" ref="X76">EntericMethane_PastureBeef_Equations.VEERG_3_2_1_1__3_FeedIntakeForGrazingBeef(X44,X60,Z28)</f>
        <v>7.1468536895999959</v>
      </c>
      <c r="Y76" s="52" cm="1">
        <f t="array" ref="Y76">EntericMethane_PastureBeef_Equations.VEERG_3_2_1_1__3_FeedIntakeForGrazingBeef(Y44,Y60,AA28)</f>
        <v>9.4559940036000008</v>
      </c>
      <c r="Z76" s="52" cm="1">
        <f t="array" ref="Z76">EntericMethane_PastureBeef_Equations.VEERG_3_2_1_1__3_FeedIntakeForGrazingBeef(Z44,Z60,AB28)</f>
        <v>6.010342559999998</v>
      </c>
      <c r="AA76" s="52" cm="1">
        <f t="array" ref="AA76">EntericMethane_PastureBeef_Equations.VEERG_3_2_1_1__3_FeedIntakeForGrazingBeef(AA44,AA60,AC28)</f>
        <v>8.4608409301875014</v>
      </c>
      <c r="AB76" s="52" cm="1">
        <f t="array" ref="AB76">EntericMethane_PastureBeef_Equations.VEERG_3_2_1_1__3_FeedIntakeForGrazingBeef(AB44,AB60,AD28)</f>
        <v>8.3772677761199983</v>
      </c>
      <c r="AC76" s="52" cm="1">
        <f t="array" ref="AC76">EntericMethane_PastureBeef_Equations.VEERG_3_2_1_1__3_FeedIntakeForGrazingBeef(AC44,AC60,AE28)</f>
        <v>8.3772677761199983</v>
      </c>
      <c r="AD76" s="52" cm="1">
        <f t="array" ref="AD76">EntericMethane_PastureBeef_Equations.VEERG_3_2_1_1__3_FeedIntakeForGrazingBeef(AD44,AD60,AF28)</f>
        <v>6.5876408896000003</v>
      </c>
      <c r="AE76" s="52" cm="1">
        <f t="array" ref="AE76">EntericMethane_PastureBeef_Equations.VEERG_3_2_1_1__3_FeedIntakeForGrazingBeef(AE44,AE60,AG28)</f>
        <v>7.3430702361</v>
      </c>
      <c r="AF76" s="52" cm="1">
        <f t="array" ref="AF76">EntericMethane_PastureBeef_Equations.VEERG_3_2_1_1__3_FeedIntakeForGrazingBeef(AF44,AF60,AH28)</f>
        <v>7.3430702361</v>
      </c>
      <c r="AG76" s="52" cm="1">
        <f t="array" ref="AG76">EntericMethane_PastureBeef_Equations.VEERG_3_2_1_1__3_FeedIntakeForGrazingBeef(AG44,AG60,AI30)</f>
        <v>7.3430702361</v>
      </c>
      <c r="AH76" s="2" t="str">
        <f t="shared" ref="AH76:AH87" si="2">$E$43</f>
        <v>kg DM/head/day</v>
      </c>
      <c r="AI76" s="2"/>
      <c r="AJ76" s="2"/>
    </row>
    <row r="77" spans="4:36" ht="20.100000000000001" customHeight="1" x14ac:dyDescent="0.25">
      <c r="W77" s="52" t="str">
        <f>TEXT(EDATE('Input - Site'!$E$12,1), "mmmm yyyy")</f>
        <v>February 2024</v>
      </c>
      <c r="X77" s="52" cm="1">
        <f t="array" ref="X77">EntericMethane_PastureBeef_Equations.VEERG_3_2_1_1__3_FeedIntakeForGrazingBeef(X45,X61,Z29)</f>
        <v>7.1468536895999959</v>
      </c>
      <c r="Y77" s="52" cm="1">
        <f t="array" ref="Y77">EntericMethane_PastureBeef_Equations.VEERG_3_2_1_1__3_FeedIntakeForGrazingBeef(Y45,Y61,AA29)</f>
        <v>9.4559940036000008</v>
      </c>
      <c r="Z77" s="52" cm="1">
        <f t="array" ref="Z77">EntericMethane_PastureBeef_Equations.VEERG_3_2_1_1__3_FeedIntakeForGrazingBeef(Z45,Z61,AB29)</f>
        <v>6.010342559999998</v>
      </c>
      <c r="AA77" s="52" cm="1">
        <f t="array" ref="AA77">EntericMethane_PastureBeef_Equations.VEERG_3_2_1_1__3_FeedIntakeForGrazingBeef(AA45,AA61,AC29)</f>
        <v>7.8705497025</v>
      </c>
      <c r="AB77" s="52" cm="1">
        <f t="array" ref="AB77">EntericMethane_PastureBeef_Equations.VEERG_3_2_1_1__3_FeedIntakeForGrazingBeef(AB45,AB61,AD29)</f>
        <v>7.7928072335999978</v>
      </c>
      <c r="AC77" s="52" cm="1">
        <f t="array" ref="AC77">EntericMethane_PastureBeef_Equations.VEERG_3_2_1_1__3_FeedIntakeForGrazingBeef(AC45,AC61,AE29)</f>
        <v>7.7928072335999978</v>
      </c>
      <c r="AD77" s="52" cm="1">
        <f t="array" ref="AD77">EntericMethane_PastureBeef_Equations.VEERG_3_2_1_1__3_FeedIntakeForGrazingBeef(AD45,AD61,AF29)</f>
        <v>6.5876408896000003</v>
      </c>
      <c r="AE77" s="52" cm="1">
        <f t="array" ref="AE77">EntericMethane_PastureBeef_Equations.VEERG_3_2_1_1__3_FeedIntakeForGrazingBeef(AE45,AE61,AG29)</f>
        <v>7.3430702361</v>
      </c>
      <c r="AF77" s="52" cm="1">
        <f t="array" ref="AF77">EntericMethane_PastureBeef_Equations.VEERG_3_2_1_1__3_FeedIntakeForGrazingBeef(AF45,AF61,AH29)</f>
        <v>7.3430702361</v>
      </c>
      <c r="AG77" s="52" cm="1">
        <f t="array" ref="AG77">EntericMethane_PastureBeef_Equations.VEERG_3_2_1_1__3_FeedIntakeForGrazingBeef(AG45,AG61,AI31)</f>
        <v>7.3430702361</v>
      </c>
      <c r="AH77" s="2" t="str">
        <f t="shared" si="2"/>
        <v>kg DM/head/day</v>
      </c>
      <c r="AI77" s="2"/>
      <c r="AJ77" s="2"/>
    </row>
    <row r="78" spans="4:36" ht="20.100000000000001" customHeight="1" x14ac:dyDescent="0.25">
      <c r="W78" s="52" t="str">
        <f>TEXT(EDATE('Input - Site'!$E$12,2), "mmmm yyyy")</f>
        <v>March 2024</v>
      </c>
      <c r="X78" s="52" cm="1">
        <f t="array" ref="X78">EntericMethane_PastureBeef_Equations.VEERG_3_2_1_1__3_FeedIntakeForGrazingBeef(X46,X62,Z30)</f>
        <v>3.247204</v>
      </c>
      <c r="Y78" s="52" cm="1">
        <f t="array" ref="Y78">EntericMethane_PastureBeef_Equations.VEERG_3_2_1_1__3_FeedIntakeForGrazingBeef(Y46,Y62,AA30)</f>
        <v>9.4246544015999998</v>
      </c>
      <c r="Z78" s="52" cm="1">
        <f t="array" ref="Z78">EntericMethane_PastureBeef_Equations.VEERG_3_2_1_1__3_FeedIntakeForGrazingBeef(Z46,Z62,AB30)</f>
        <v>2.9603267136000002</v>
      </c>
      <c r="AA78" s="52" cm="1">
        <f t="array" ref="AA78">EntericMethane_PastureBeef_Equations.VEERG_3_2_1_1__3_FeedIntakeForGrazingBeef(AA46,AA62,AC30)</f>
        <v>5.9577975395999987</v>
      </c>
      <c r="AB78" s="52" cm="1">
        <f t="array" ref="AB78">EntericMethane_PastureBeef_Equations.VEERG_3_2_1_1__3_FeedIntakeForGrazingBeef(AB46,AB62,AD30)</f>
        <v>6.7179974480999993</v>
      </c>
      <c r="AC78" s="52" cm="1">
        <f t="array" ref="AC78">EntericMethane_PastureBeef_Equations.VEERG_3_2_1_1__3_FeedIntakeForGrazingBeef(AC46,AC62,AE30)</f>
        <v>6.7179974480999993</v>
      </c>
      <c r="AD78" s="52" cm="1">
        <f t="array" ref="AD78">EntericMethane_PastureBeef_Equations.VEERG_3_2_1_1__3_FeedIntakeForGrazingBeef(AD46,AD62,AF30)</f>
        <v>3.247204</v>
      </c>
      <c r="AE78" s="52" cm="1">
        <f t="array" ref="AE78">EntericMethane_PastureBeef_Equations.VEERG_3_2_1_1__3_FeedIntakeForGrazingBeef(AE46,AE62,AG30)</f>
        <v>5.8953782416000013</v>
      </c>
      <c r="AF78" s="52" cm="1">
        <f t="array" ref="AF78">EntericMethane_PastureBeef_Equations.VEERG_3_2_1_1__3_FeedIntakeForGrazingBeef(AF46,AF62,AH30)</f>
        <v>5.8953782416000013</v>
      </c>
      <c r="AG78" s="52" cm="1">
        <f t="array" ref="AG78">EntericMethane_PastureBeef_Equations.VEERG_3_2_1_1__3_FeedIntakeForGrazingBeef(AG46,AG62,AI32)</f>
        <v>5.8953782416000013</v>
      </c>
      <c r="AH78" s="2" t="str">
        <f t="shared" si="2"/>
        <v>kg DM/head/day</v>
      </c>
      <c r="AI78" s="2"/>
      <c r="AJ78" s="2"/>
    </row>
    <row r="79" spans="4:36" ht="20.100000000000001" customHeight="1" x14ac:dyDescent="0.25">
      <c r="W79" s="52" t="str">
        <f>TEXT(EDATE('Input - Site'!$E$12,3), "mmmm yyyy")</f>
        <v>April 2024</v>
      </c>
      <c r="X79" s="52" cm="1">
        <f t="array" ref="X79">EntericMethane_PastureBeef_Equations.VEERG_3_2_1_1__3_FeedIntakeForGrazingBeef(X47,X63,Z31)</f>
        <v>3.247204</v>
      </c>
      <c r="Y79" s="52" cm="1">
        <f t="array" ref="Y79">EntericMethane_PastureBeef_Equations.VEERG_3_2_1_1__3_FeedIntakeForGrazingBeef(Y47,Y63,AA31)</f>
        <v>9.4246544015999998</v>
      </c>
      <c r="Z79" s="52" cm="1">
        <f t="array" ref="Z79">EntericMethane_PastureBeef_Equations.VEERG_3_2_1_1__3_FeedIntakeForGrazingBeef(Z47,Z63,AB31)</f>
        <v>2.9603267136000002</v>
      </c>
      <c r="AA79" s="52" cm="1">
        <f t="array" ref="AA79">EntericMethane_PastureBeef_Equations.VEERG_3_2_1_1__3_FeedIntakeForGrazingBeef(AA47,AA63,AC31)</f>
        <v>5.9577975395999987</v>
      </c>
      <c r="AB79" s="52" cm="1">
        <f t="array" ref="AB79">EntericMethane_PastureBeef_Equations.VEERG_3_2_1_1__3_FeedIntakeForGrazingBeef(AB47,AB63,AD31)</f>
        <v>6.7179974480999993</v>
      </c>
      <c r="AC79" s="52" cm="1">
        <f t="array" ref="AC79">EntericMethane_PastureBeef_Equations.VEERG_3_2_1_1__3_FeedIntakeForGrazingBeef(AC47,AC63,AE31)</f>
        <v>6.7179974480999993</v>
      </c>
      <c r="AD79" s="52" cm="1">
        <f t="array" ref="AD79">EntericMethane_PastureBeef_Equations.VEERG_3_2_1_1__3_FeedIntakeForGrazingBeef(AD47,AD63,AF31)</f>
        <v>3.247204</v>
      </c>
      <c r="AE79" s="52" cm="1">
        <f t="array" ref="AE79">EntericMethane_PastureBeef_Equations.VEERG_3_2_1_1__3_FeedIntakeForGrazingBeef(AE47,AE63,AG31)</f>
        <v>5.8953782416000013</v>
      </c>
      <c r="AF79" s="52" cm="1">
        <f t="array" ref="AF79">EntericMethane_PastureBeef_Equations.VEERG_3_2_1_1__3_FeedIntakeForGrazingBeef(AF47,AF63,AH31)</f>
        <v>5.8953782416000013</v>
      </c>
      <c r="AG79" s="52" cm="1">
        <f t="array" ref="AG79">EntericMethane_PastureBeef_Equations.VEERG_3_2_1_1__3_FeedIntakeForGrazingBeef(AG47,AG63,AI33)</f>
        <v>5.8953782416000013</v>
      </c>
      <c r="AH79" s="2" t="str">
        <f t="shared" si="2"/>
        <v>kg DM/head/day</v>
      </c>
      <c r="AI79" s="2"/>
      <c r="AJ79" s="2"/>
    </row>
    <row r="80" spans="4:36" ht="20.100000000000001" customHeight="1" x14ac:dyDescent="0.25">
      <c r="W80" s="52" t="str">
        <f>TEXT(EDATE('Input - Site'!$E$12,4), "mmmm yyyy")</f>
        <v>May 2024</v>
      </c>
      <c r="X80" s="52" cm="1">
        <f t="array" ref="X80">EntericMethane_PastureBeef_Equations.VEERG_3_2_1_1__3_FeedIntakeForGrazingBeef(X48,X64,Z32)</f>
        <v>3.247204</v>
      </c>
      <c r="Y80" s="52" cm="1">
        <f t="array" ref="Y80">EntericMethane_PastureBeef_Equations.VEERG_3_2_1_1__3_FeedIntakeForGrazingBeef(Y48,Y64,AA32)</f>
        <v>9.4246544015999998</v>
      </c>
      <c r="Z80" s="52" cm="1">
        <f t="array" ref="Z80">EntericMethane_PastureBeef_Equations.VEERG_3_2_1_1__3_FeedIntakeForGrazingBeef(Z48,Z64,AB32)</f>
        <v>2.9603267136000002</v>
      </c>
      <c r="AA80" s="52" cm="1">
        <f t="array" ref="AA80">EntericMethane_PastureBeef_Equations.VEERG_3_2_1_1__3_FeedIntakeForGrazingBeef(AA48,AA64,AC32)</f>
        <v>5.9577975395999987</v>
      </c>
      <c r="AB80" s="52" cm="1">
        <f t="array" ref="AB80">EntericMethane_PastureBeef_Equations.VEERG_3_2_1_1__3_FeedIntakeForGrazingBeef(AB48,AB64,AD32)</f>
        <v>6.7179974480999993</v>
      </c>
      <c r="AC80" s="52" cm="1">
        <f t="array" ref="AC80">EntericMethane_PastureBeef_Equations.VEERG_3_2_1_1__3_FeedIntakeForGrazingBeef(AC48,AC64,AE32)</f>
        <v>6.7179974480999993</v>
      </c>
      <c r="AD80" s="52" cm="1">
        <f t="array" ref="AD80">EntericMethane_PastureBeef_Equations.VEERG_3_2_1_1__3_FeedIntakeForGrazingBeef(AD48,AD64,AF32)</f>
        <v>3.247204</v>
      </c>
      <c r="AE80" s="52" cm="1">
        <f t="array" ref="AE80">EntericMethane_PastureBeef_Equations.VEERG_3_2_1_1__3_FeedIntakeForGrazingBeef(AE48,AE64,AG32)</f>
        <v>5.8953782416000013</v>
      </c>
      <c r="AF80" s="52" cm="1">
        <f t="array" ref="AF80">EntericMethane_PastureBeef_Equations.VEERG_3_2_1_1__3_FeedIntakeForGrazingBeef(AF48,AF64,AH32)</f>
        <v>5.8953782416000013</v>
      </c>
      <c r="AG80" s="52" cm="1">
        <f t="array" ref="AG80">EntericMethane_PastureBeef_Equations.VEERG_3_2_1_1__3_FeedIntakeForGrazingBeef(AG48,AG64,AI34)</f>
        <v>5.8953782416000013</v>
      </c>
      <c r="AH80" s="2" t="str">
        <f t="shared" si="2"/>
        <v>kg DM/head/day</v>
      </c>
    </row>
    <row r="81" spans="4:36" ht="20.100000000000001" customHeight="1" x14ac:dyDescent="0.25">
      <c r="D81" s="99" t="s">
        <v>245</v>
      </c>
      <c r="W81" s="52" t="str">
        <f>TEXT(EDATE('Input - Site'!$E$12,5), "mmmm yyyy")</f>
        <v>June 2024</v>
      </c>
      <c r="X81" s="52" cm="1">
        <f t="array" ref="X81">EntericMethane_PastureBeef_Equations.VEERG_3_2_1_1__3_FeedIntakeForGrazingBeef(X49,X65,Z33)</f>
        <v>5.1328980481000004</v>
      </c>
      <c r="Y81" s="52" cm="1">
        <f t="array" ref="Y81">EntericMethane_PastureBeef_Equations.VEERG_3_2_1_1__3_FeedIntakeForGrazingBeef(Y49,Y65,AA33)</f>
        <v>9.9748588899999984</v>
      </c>
      <c r="Z81" s="52" cm="1">
        <f t="array" ref="Z81">EntericMethane_PastureBeef_Equations.VEERG_3_2_1_1__3_FeedIntakeForGrazingBeef(Z49,Z65,AB33)</f>
        <v>4.202705002500001</v>
      </c>
      <c r="AA81" s="52" cm="1">
        <f t="array" ref="AA81">EntericMethane_PastureBeef_Equations.VEERG_3_2_1_1__3_FeedIntakeForGrazingBeef(AA49,AA65,AC33)</f>
        <v>5.9278127841000021</v>
      </c>
      <c r="AB81" s="52" cm="1">
        <f t="array" ref="AB81">EntericMethane_PastureBeef_Equations.VEERG_3_2_1_1__3_FeedIntakeForGrazingBeef(AB49,AB65,AD33)</f>
        <v>7.952343600099999</v>
      </c>
      <c r="AC81" s="52" cm="1">
        <f t="array" ref="AC81">EntericMethane_PastureBeef_Equations.VEERG_3_2_1_1__3_FeedIntakeForGrazingBeef(AC49,AC65,AE33)</f>
        <v>7.952343600099999</v>
      </c>
      <c r="AD81" s="52" cm="1">
        <f t="array" ref="AD81">EntericMethane_PastureBeef_Equations.VEERG_3_2_1_1__3_FeedIntakeForGrazingBeef(AD49,AD65,AF33)</f>
        <v>4.5122681240999984</v>
      </c>
      <c r="AE81" s="52" cm="1">
        <f t="array" ref="AE81">EntericMethane_PastureBeef_Equations.VEERG_3_2_1_1__3_FeedIntakeForGrazingBeef(AE49,AE65,AG33)</f>
        <v>6.8698506815999991</v>
      </c>
      <c r="AF81" s="52" cm="1">
        <f t="array" ref="AF81">EntericMethane_PastureBeef_Equations.VEERG_3_2_1_1__3_FeedIntakeForGrazingBeef(AF49,AF65,AH33)</f>
        <v>6.8698506815999991</v>
      </c>
      <c r="AG81" s="52" cm="1">
        <f t="array" ref="AG81">EntericMethane_PastureBeef_Equations.VEERG_3_2_1_1__3_FeedIntakeForGrazingBeef(AG49,AG65,AI35)</f>
        <v>6.8698506815999991</v>
      </c>
      <c r="AH81" s="2" t="str">
        <f t="shared" si="2"/>
        <v>kg DM/head/day</v>
      </c>
    </row>
    <row r="82" spans="4:36" ht="20.100000000000001" customHeight="1" x14ac:dyDescent="0.25">
      <c r="D82" s="98" t="s">
        <v>144</v>
      </c>
      <c r="W82" s="52" t="str">
        <f>TEXT(EDATE('Input - Site'!$E$12,6), "mmmm yyyy")</f>
        <v>July 2024</v>
      </c>
      <c r="X82" s="52" cm="1">
        <f t="array" ref="X82">EntericMethane_PastureBeef_Equations.VEERG_3_2_1_1__3_FeedIntakeForGrazingBeef(X50,X66,Z34)</f>
        <v>5.1328980481000004</v>
      </c>
      <c r="Y82" s="52" cm="1">
        <f t="array" ref="Y82">EntericMethane_PastureBeef_Equations.VEERG_3_2_1_1__3_FeedIntakeForGrazingBeef(Y50,Y66,AA34)</f>
        <v>9.9748588899999984</v>
      </c>
      <c r="Z82" s="52" cm="1">
        <f t="array" ref="Z82">EntericMethane_PastureBeef_Equations.VEERG_3_2_1_1__3_FeedIntakeForGrazingBeef(Z50,Z66,AB34)</f>
        <v>4.202705002500001</v>
      </c>
      <c r="AA82" s="52" cm="1">
        <f t="array" ref="AA82">EntericMethane_PastureBeef_Equations.VEERG_3_2_1_1__3_FeedIntakeForGrazingBeef(AA50,AA66,AC34)</f>
        <v>5.9278127841000021</v>
      </c>
      <c r="AB82" s="52" cm="1">
        <f t="array" ref="AB82">EntericMethane_PastureBeef_Equations.VEERG_3_2_1_1__3_FeedIntakeForGrazingBeef(AB50,AB66,AD34)</f>
        <v>7.952343600099999</v>
      </c>
      <c r="AC82" s="52" cm="1">
        <f t="array" ref="AC82">EntericMethane_PastureBeef_Equations.VEERG_3_2_1_1__3_FeedIntakeForGrazingBeef(AC50,AC66,AE34)</f>
        <v>7.952343600099999</v>
      </c>
      <c r="AD82" s="52" cm="1">
        <f t="array" ref="AD82">EntericMethane_PastureBeef_Equations.VEERG_3_2_1_1__3_FeedIntakeForGrazingBeef(AD50,AD66,AF34)</f>
        <v>4.5122681240999984</v>
      </c>
      <c r="AE82" s="52" cm="1">
        <f t="array" ref="AE82">EntericMethane_PastureBeef_Equations.VEERG_3_2_1_1__3_FeedIntakeForGrazingBeef(AE50,AE66,AG34)</f>
        <v>6.8698506815999991</v>
      </c>
      <c r="AF82" s="52" cm="1">
        <f t="array" ref="AF82">EntericMethane_PastureBeef_Equations.VEERG_3_2_1_1__3_FeedIntakeForGrazingBeef(AF50,AF66,AH34)</f>
        <v>6.8698506815999991</v>
      </c>
      <c r="AG82" s="52" cm="1">
        <f t="array" ref="AG82">EntericMethane_PastureBeef_Equations.VEERG_3_2_1_1__3_FeedIntakeForGrazingBeef(AG50,AG66,AI36)</f>
        <v>6.8698506815999991</v>
      </c>
      <c r="AH82" s="2" t="str">
        <f t="shared" si="2"/>
        <v>kg DM/head/day</v>
      </c>
    </row>
    <row r="83" spans="4:36" ht="20.100000000000001" customHeight="1" x14ac:dyDescent="0.25">
      <c r="D83" s="51" t="s">
        <v>184</v>
      </c>
      <c r="E83" s="51" t="s">
        <v>131</v>
      </c>
      <c r="F83" s="51" t="s">
        <v>130</v>
      </c>
      <c r="G83" s="51" t="s">
        <v>165</v>
      </c>
      <c r="H83" s="51" t="s">
        <v>166</v>
      </c>
      <c r="I83" s="51" t="s">
        <v>167</v>
      </c>
      <c r="J83" s="51" t="s">
        <v>168</v>
      </c>
      <c r="K83" s="51" t="s">
        <v>169</v>
      </c>
      <c r="L83" s="51" t="s">
        <v>170</v>
      </c>
      <c r="M83" s="51" t="s">
        <v>171</v>
      </c>
      <c r="N83" s="51" t="s">
        <v>172</v>
      </c>
      <c r="W83" s="52" t="str">
        <f>TEXT(EDATE('Input - Site'!$E$12,7), "mmmm yyyy")</f>
        <v>August 2024</v>
      </c>
      <c r="X83" s="52" cm="1">
        <f t="array" ref="X83">EntericMethane_PastureBeef_Equations.VEERG_3_2_1_1__3_FeedIntakeForGrazingBeef(X51,X67,Z35)</f>
        <v>5.1328980481000004</v>
      </c>
      <c r="Y83" s="52" cm="1">
        <f t="array" ref="Y83">EntericMethane_PastureBeef_Equations.VEERG_3_2_1_1__3_FeedIntakeForGrazingBeef(Y51,Y67,AA35)</f>
        <v>9.9748588899999984</v>
      </c>
      <c r="Z83" s="52" cm="1">
        <f t="array" ref="Z83">EntericMethane_PastureBeef_Equations.VEERG_3_2_1_1__3_FeedIntakeForGrazingBeef(Z51,Z67,AB35)</f>
        <v>4.202705002500001</v>
      </c>
      <c r="AA83" s="52" cm="1">
        <f t="array" ref="AA83">EntericMethane_PastureBeef_Equations.VEERG_3_2_1_1__3_FeedIntakeForGrazingBeef(AA51,AA67,AC35)</f>
        <v>7.2615706605225032</v>
      </c>
      <c r="AB83" s="52" cm="1">
        <f t="array" ref="AB83">EntericMethane_PastureBeef_Equations.VEERG_3_2_1_1__3_FeedIntakeForGrazingBeef(AB51,AB67,AD35)</f>
        <v>9.7416209101224993</v>
      </c>
      <c r="AC83" s="52" cm="1">
        <f t="array" ref="AC83">EntericMethane_PastureBeef_Equations.VEERG_3_2_1_1__3_FeedIntakeForGrazingBeef(AC51,AC67,AE35)</f>
        <v>9.7416209101224993</v>
      </c>
      <c r="AD83" s="52" cm="1">
        <f t="array" ref="AD83">EntericMethane_PastureBeef_Equations.VEERG_3_2_1_1__3_FeedIntakeForGrazingBeef(AD51,AD67,AF35)</f>
        <v>4.5122681240999984</v>
      </c>
      <c r="AE83" s="52" cm="1">
        <f t="array" ref="AE83">EntericMethane_PastureBeef_Equations.VEERG_3_2_1_1__3_FeedIntakeForGrazingBeef(AE51,AE67,AG35)</f>
        <v>6.8698506815999991</v>
      </c>
      <c r="AF83" s="52" cm="1">
        <f t="array" ref="AF83">EntericMethane_PastureBeef_Equations.VEERG_3_2_1_1__3_FeedIntakeForGrazingBeef(AF51,AF67,AH35)</f>
        <v>6.8698506815999991</v>
      </c>
      <c r="AG83" s="52" cm="1">
        <f t="array" ref="AG83">EntericMethane_PastureBeef_Equations.VEERG_3_2_1_1__3_FeedIntakeForGrazingBeef(AG51,AG67,AI37)</f>
        <v>6.8698506815999991</v>
      </c>
      <c r="AH83" s="2" t="str">
        <f t="shared" si="2"/>
        <v>kg DM/head/day</v>
      </c>
    </row>
    <row r="84" spans="4:36" ht="20.100000000000001" customHeight="1" x14ac:dyDescent="0.25">
      <c r="D84" s="52" t="s">
        <v>173</v>
      </c>
      <c r="E84" s="52" cm="1">
        <f t="array" ref="E84">EntericMethane_PastureBeef_Equations.VEERG_3_2_1_1__3_FeedIntakeForGrazingBeef(E52,E68,I30)</f>
        <v>8.6709047296000001</v>
      </c>
      <c r="F84" s="52" cm="1">
        <f t="array" ref="F84">EntericMethane_PastureBeef_Equations.VEERG_3_2_1_1__3_FeedIntakeForGrazingBeef(F52,F68,J30)</f>
        <v>12.246500250000002</v>
      </c>
      <c r="G84" s="52" cm="1">
        <f t="array" ref="G84">EntericMethane_PastureBeef_Equations.VEERG_3_2_1_1__3_FeedIntakeForGrazingBeef(G52,G68,K30)</f>
        <v>6.6089612241000006</v>
      </c>
      <c r="H84" s="52" cm="1">
        <f t="array" ref="H84">EntericMethane_PastureBeef_Equations.VEERG_3_2_1_1__3_FeedIntakeForGrazingBeef(H52,H68,L30)</f>
        <v>9.5403922901100024</v>
      </c>
      <c r="I84" s="52" cm="1">
        <f t="array" ref="I84">EntericMethane_PastureBeef_Equations.VEERG_3_2_1_1__3_FeedIntakeForGrazingBeef(I52,I68,M30)</f>
        <v>11.268377125200001</v>
      </c>
      <c r="J84" s="52" cm="1">
        <f t="array" ref="J84">EntericMethane_PastureBeef_Equations.VEERG_3_2_1_1__3_FeedIntakeForGrazingBeef(J52,J68,N30)</f>
        <v>11.268377125200001</v>
      </c>
      <c r="K84" s="52" cm="1">
        <f t="array" ref="K84">EntericMethane_PastureBeef_Equations.VEERG_3_2_1_1__3_FeedIntakeForGrazingBeef(K52,K68,O30)</f>
        <v>7.6192560899999977</v>
      </c>
      <c r="L84" s="52" cm="1">
        <f t="array" ref="L84">EntericMethane_PastureBeef_Equations.VEERG_3_2_1_1__3_FeedIntakeForGrazingBeef(L52,L68,P30)</f>
        <v>9.6824279555999979</v>
      </c>
      <c r="M84" s="52" cm="1">
        <f t="array" ref="M84">EntericMethane_PastureBeef_Equations.VEERG_3_2_1_1__3_FeedIntakeForGrazingBeef(M52,M68,Q30)</f>
        <v>9.6824279555999979</v>
      </c>
      <c r="N84" s="52" cm="1">
        <f t="array" ref="N84">EntericMethane_PastureBeef_Equations.VEERG_3_2_1_1__3_FeedIntakeForGrazingBeef(N52,N68,R30)</f>
        <v>9.6824279555999979</v>
      </c>
      <c r="O84" s="2" t="str">
        <f>$E$43</f>
        <v>kg DM/head/day</v>
      </c>
      <c r="P84" s="2"/>
      <c r="Q84" s="2"/>
      <c r="R84" s="2"/>
      <c r="S84" s="2"/>
      <c r="W84" s="52" t="str">
        <f>TEXT(EDATE('Input - Site'!$E$12,8), "mmmm yyyy")</f>
        <v>September 2024</v>
      </c>
      <c r="X84" s="52" cm="1">
        <f t="array" ref="X84">EntericMethane_PastureBeef_Equations.VEERG_3_2_1_1__3_FeedIntakeForGrazingBeef(X52,X68,Z36)</f>
        <v>8.6709047296000001</v>
      </c>
      <c r="Y84" s="52" cm="1">
        <f t="array" ref="Y84">EntericMethane_PastureBeef_Equations.VEERG_3_2_1_1__3_FeedIntakeForGrazingBeef(Y52,Y68,AA36)</f>
        <v>12.246500250000002</v>
      </c>
      <c r="Z84" s="52" cm="1">
        <f t="array" ref="Z84">EntericMethane_PastureBeef_Equations.VEERG_3_2_1_1__3_FeedIntakeForGrazingBeef(Z52,Z68,AB36)</f>
        <v>6.6089612241000006</v>
      </c>
      <c r="AA84" s="52" cm="1">
        <f t="array" ref="AA84">EntericMethane_PastureBeef_Equations.VEERG_3_2_1_1__3_FeedIntakeForGrazingBeef(AA52,AA68,AC36)</f>
        <v>10.624527777622504</v>
      </c>
      <c r="AB84" s="52" cm="1">
        <f t="array" ref="AB84">EntericMethane_PastureBeef_Equations.VEERG_3_2_1_1__3_FeedIntakeForGrazingBeef(AB52,AB68,AD36)</f>
        <v>11.798087161000003</v>
      </c>
      <c r="AC84" s="52" cm="1">
        <f t="array" ref="AC84">EntericMethane_PastureBeef_Equations.VEERG_3_2_1_1__3_FeedIntakeForGrazingBeef(AC52,AC68,AE36)</f>
        <v>11.798087161000003</v>
      </c>
      <c r="AD84" s="52" cm="1">
        <f t="array" ref="AD84">EntericMethane_PastureBeef_Equations.VEERG_3_2_1_1__3_FeedIntakeForGrazingBeef(AD52,AD68,AF36)</f>
        <v>7.6192560899999977</v>
      </c>
      <c r="AE84" s="52" cm="1">
        <f t="array" ref="AE84">EntericMethane_PastureBeef_Equations.VEERG_3_2_1_1__3_FeedIntakeForGrazingBeef(AE52,AE68,AG36)</f>
        <v>9.6824279555999979</v>
      </c>
      <c r="AF84" s="52" cm="1">
        <f t="array" ref="AF84">EntericMethane_PastureBeef_Equations.VEERG_3_2_1_1__3_FeedIntakeForGrazingBeef(AF52,AF68,AH36)</f>
        <v>9.6824279555999979</v>
      </c>
      <c r="AG84" s="52" cm="1">
        <f t="array" ref="AG84">EntericMethane_PastureBeef_Equations.VEERG_3_2_1_1__3_FeedIntakeForGrazingBeef(AG52,AG68,AI38)</f>
        <v>9.6824279555999979</v>
      </c>
      <c r="AH84" s="2" t="str">
        <f t="shared" si="2"/>
        <v>kg DM/head/day</v>
      </c>
      <c r="AI84" s="2"/>
      <c r="AJ84" s="2"/>
    </row>
    <row r="85" spans="4:36" ht="20.100000000000001" customHeight="1" x14ac:dyDescent="0.25">
      <c r="D85" s="52" t="s">
        <v>174</v>
      </c>
      <c r="E85" s="52" cm="1">
        <f t="array" ref="E85">EntericMethane_PastureBeef_Equations.VEERG_3_2_1_1__3_FeedIntakeForGrazingBeef(E53,E69,I31)</f>
        <v>7.1468536895999959</v>
      </c>
      <c r="F85" s="52" cm="1">
        <f t="array" ref="F85">EntericMethane_PastureBeef_Equations.VEERG_3_2_1_1__3_FeedIntakeForGrazingBeef(F53,F69,J31)</f>
        <v>9.4559940036000008</v>
      </c>
      <c r="G85" s="52" cm="1">
        <f t="array" ref="G85">EntericMethane_PastureBeef_Equations.VEERG_3_2_1_1__3_FeedIntakeForGrazingBeef(G53,G69,K31)</f>
        <v>6.010342559999998</v>
      </c>
      <c r="H85" s="52" cm="1">
        <f t="array" ref="H85">EntericMethane_PastureBeef_Equations.VEERG_3_2_1_1__3_FeedIntakeForGrazingBeef(H53,H69,L31)</f>
        <v>8.1853716906000002</v>
      </c>
      <c r="I85" s="52" cm="1">
        <f t="array" ref="I85">EntericMethane_PastureBeef_Equations.VEERG_3_2_1_1__3_FeedIntakeForGrazingBeef(I53,I69,M31)</f>
        <v>8.1045195229439972</v>
      </c>
      <c r="J85" s="52" cm="1">
        <f t="array" ref="J85">EntericMethane_PastureBeef_Equations.VEERG_3_2_1_1__3_FeedIntakeForGrazingBeef(J53,J69,N31)</f>
        <v>8.1045195229439972</v>
      </c>
      <c r="K85" s="52" cm="1">
        <f t="array" ref="K85">EntericMethane_PastureBeef_Equations.VEERG_3_2_1_1__3_FeedIntakeForGrazingBeef(K53,K69,O31)</f>
        <v>6.5876408896000003</v>
      </c>
      <c r="L85" s="52" cm="1">
        <f t="array" ref="L85">EntericMethane_PastureBeef_Equations.VEERG_3_2_1_1__3_FeedIntakeForGrazingBeef(L53,L69,P31)</f>
        <v>7.3430702361</v>
      </c>
      <c r="M85" s="52" cm="1">
        <f t="array" ref="M85">EntericMethane_PastureBeef_Equations.VEERG_3_2_1_1__3_FeedIntakeForGrazingBeef(M53,M69,Q31)</f>
        <v>7.3430702361</v>
      </c>
      <c r="N85" s="52" cm="1">
        <f t="array" ref="N85">EntericMethane_PastureBeef_Equations.VEERG_3_2_1_1__3_FeedIntakeForGrazingBeef(N53,N69,R31)</f>
        <v>7.3430702361</v>
      </c>
      <c r="O85" s="2" t="str">
        <f>$E$43</f>
        <v>kg DM/head/day</v>
      </c>
      <c r="P85" s="2"/>
      <c r="Q85" s="2"/>
      <c r="R85" s="2"/>
      <c r="S85" s="2"/>
      <c r="W85" s="52" t="str">
        <f>TEXT(EDATE('Input - Site'!$E$12,9), "mmmm yyyy")</f>
        <v>October 2024</v>
      </c>
      <c r="X85" s="52" cm="1">
        <f t="array" ref="X85">EntericMethane_PastureBeef_Equations.VEERG_3_2_1_1__3_FeedIntakeForGrazingBeef(X53,X69,Z37)</f>
        <v>8.6709047296000001</v>
      </c>
      <c r="Y85" s="52" cm="1">
        <f t="array" ref="Y85">EntericMethane_PastureBeef_Equations.VEERG_3_2_1_1__3_FeedIntakeForGrazingBeef(Y53,Y69,AA37)</f>
        <v>12.246500250000002</v>
      </c>
      <c r="Z85" s="52" cm="1">
        <f t="array" ref="Z85">EntericMethane_PastureBeef_Equations.VEERG_3_2_1_1__3_FeedIntakeForGrazingBeef(Z53,Z69,AB37)</f>
        <v>6.6089612241000006</v>
      </c>
      <c r="AA85" s="52" cm="1">
        <f t="array" ref="AA85">EntericMethane_PastureBeef_Equations.VEERG_3_2_1_1__3_FeedIntakeForGrazingBeef(AA53,AA69,AC37)</f>
        <v>10.624527777622504</v>
      </c>
      <c r="AB85" s="52" cm="1">
        <f t="array" ref="AB85">EntericMethane_PastureBeef_Equations.VEERG_3_2_1_1__3_FeedIntakeForGrazingBeef(AB53,AB69,AD37)</f>
        <v>11.798087161000003</v>
      </c>
      <c r="AC85" s="52" cm="1">
        <f t="array" ref="AC85">EntericMethane_PastureBeef_Equations.VEERG_3_2_1_1__3_FeedIntakeForGrazingBeef(AC53,AC69,AE37)</f>
        <v>11.798087161000003</v>
      </c>
      <c r="AD85" s="52" cm="1">
        <f t="array" ref="AD85">EntericMethane_PastureBeef_Equations.VEERG_3_2_1_1__3_FeedIntakeForGrazingBeef(AD53,AD69,AF37)</f>
        <v>7.6192560899999977</v>
      </c>
      <c r="AE85" s="52" cm="1">
        <f t="array" ref="AE85">EntericMethane_PastureBeef_Equations.VEERG_3_2_1_1__3_FeedIntakeForGrazingBeef(AE53,AE69,AG37)</f>
        <v>9.6824279555999979</v>
      </c>
      <c r="AF85" s="52" cm="1">
        <f t="array" ref="AF85">EntericMethane_PastureBeef_Equations.VEERG_3_2_1_1__3_FeedIntakeForGrazingBeef(AF53,AF69,AH37)</f>
        <v>9.6824279555999979</v>
      </c>
      <c r="AG85" s="52" cm="1">
        <f t="array" ref="AG85">EntericMethane_PastureBeef_Equations.VEERG_3_2_1_1__3_FeedIntakeForGrazingBeef(AG53,AG69,AI39)</f>
        <v>9.6824279555999979</v>
      </c>
      <c r="AH85" s="2" t="str">
        <f t="shared" si="2"/>
        <v>kg DM/head/day</v>
      </c>
      <c r="AI85" s="2"/>
      <c r="AJ85" s="2"/>
    </row>
    <row r="86" spans="4:36" ht="20.100000000000001" customHeight="1" x14ac:dyDescent="0.25">
      <c r="D86" s="52" t="s">
        <v>175</v>
      </c>
      <c r="E86" s="52" cm="1">
        <f t="array" ref="E86">EntericMethane_PastureBeef_Equations.VEERG_3_2_1_1__3_FeedIntakeForGrazingBeef(E54,E70,I32)</f>
        <v>3.247204</v>
      </c>
      <c r="F86" s="52" cm="1">
        <f t="array" ref="F86">EntericMethane_PastureBeef_Equations.VEERG_3_2_1_1__3_FeedIntakeForGrazingBeef(F54,F70,J32)</f>
        <v>9.4246544015999998</v>
      </c>
      <c r="G86" s="52" cm="1">
        <f t="array" ref="G86">EntericMethane_PastureBeef_Equations.VEERG_3_2_1_1__3_FeedIntakeForGrazingBeef(G54,G70,K32)</f>
        <v>2.9603267136000002</v>
      </c>
      <c r="H86" s="52" cm="1">
        <f t="array" ref="H86">EntericMethane_PastureBeef_Equations.VEERG_3_2_1_1__3_FeedIntakeForGrazingBeef(H54,H70,L32)</f>
        <v>6.0173755149959991</v>
      </c>
      <c r="I86" s="52" cm="1">
        <f t="array" ref="I86">EntericMethane_PastureBeef_Equations.VEERG_3_2_1_1__3_FeedIntakeForGrazingBeef(I54,I70,M32)</f>
        <v>6.7179974480999993</v>
      </c>
      <c r="J86" s="52" cm="1">
        <f t="array" ref="J86">EntericMethane_PastureBeef_Equations.VEERG_3_2_1_1__3_FeedIntakeForGrazingBeef(J54,J70,N32)</f>
        <v>6.7179974480999993</v>
      </c>
      <c r="K86" s="52" cm="1">
        <f t="array" ref="K86">EntericMethane_PastureBeef_Equations.VEERG_3_2_1_1__3_FeedIntakeForGrazingBeef(K54,K70,O32)</f>
        <v>3.247204</v>
      </c>
      <c r="L86" s="52" cm="1">
        <f t="array" ref="L86">EntericMethane_PastureBeef_Equations.VEERG_3_2_1_1__3_FeedIntakeForGrazingBeef(L54,L70,P32)</f>
        <v>5.8953782416000013</v>
      </c>
      <c r="M86" s="52" cm="1">
        <f t="array" ref="M86">EntericMethane_PastureBeef_Equations.VEERG_3_2_1_1__3_FeedIntakeForGrazingBeef(M54,M70,Q32)</f>
        <v>5.8953782416000013</v>
      </c>
      <c r="N86" s="52" cm="1">
        <f t="array" ref="N86">EntericMethane_PastureBeef_Equations.VEERG_3_2_1_1__3_FeedIntakeForGrazingBeef(N54,N70,R32)</f>
        <v>5.8953782416000013</v>
      </c>
      <c r="O86" s="2" t="str">
        <f>$E$43</f>
        <v>kg DM/head/day</v>
      </c>
      <c r="P86" s="2"/>
      <c r="Q86" s="2"/>
      <c r="R86" s="2"/>
      <c r="S86" s="2"/>
      <c r="W86" s="52" t="str">
        <f>TEXT(EDATE('Input - Site'!$E$12,10), "mmmm yyyy")</f>
        <v>November 2024</v>
      </c>
      <c r="X86" s="52" cm="1">
        <f t="array" ref="X86">EntericMethane_PastureBeef_Equations.VEERG_3_2_1_1__3_FeedIntakeForGrazingBeef(X54,X70,Z38)</f>
        <v>8.6709047296000001</v>
      </c>
      <c r="Y86" s="52" cm="1">
        <f t="array" ref="Y86">EntericMethane_PastureBeef_Equations.VEERG_3_2_1_1__3_FeedIntakeForGrazingBeef(Y54,Y70,AA38)</f>
        <v>12.246500250000002</v>
      </c>
      <c r="Z86" s="52" cm="1">
        <f t="array" ref="Z86">EntericMethane_PastureBeef_Equations.VEERG_3_2_1_1__3_FeedIntakeForGrazingBeef(Z54,Z70,AB38)</f>
        <v>6.6089612241000006</v>
      </c>
      <c r="AA86" s="52" cm="1">
        <f t="array" ref="AA86">EntericMethane_PastureBeef_Equations.VEERG_3_2_1_1__3_FeedIntakeForGrazingBeef(AA54,AA70,AC38)</f>
        <v>9.3235651926075036</v>
      </c>
      <c r="AB86" s="52" cm="1">
        <f t="array" ref="AB86">EntericMethane_PastureBeef_Equations.VEERG_3_2_1_1__3_FeedIntakeForGrazingBeef(AB54,AB70,AD38)</f>
        <v>10.353423427000003</v>
      </c>
      <c r="AC86" s="52" cm="1">
        <f t="array" ref="AC86">EntericMethane_PastureBeef_Equations.VEERG_3_2_1_1__3_FeedIntakeForGrazingBeef(AC54,AC70,AE38)</f>
        <v>10.353423427000003</v>
      </c>
      <c r="AD86" s="52" cm="1">
        <f t="array" ref="AD86">EntericMethane_PastureBeef_Equations.VEERG_3_2_1_1__3_FeedIntakeForGrazingBeef(AD54,AD70,AF38)</f>
        <v>7.6192560899999977</v>
      </c>
      <c r="AE86" s="52" cm="1">
        <f t="array" ref="AE86">EntericMethane_PastureBeef_Equations.VEERG_3_2_1_1__3_FeedIntakeForGrazingBeef(AE54,AE70,AG38)</f>
        <v>9.6824279555999979</v>
      </c>
      <c r="AF86" s="52" cm="1">
        <f t="array" ref="AF86">EntericMethane_PastureBeef_Equations.VEERG_3_2_1_1__3_FeedIntakeForGrazingBeef(AF54,AF70,AH38)</f>
        <v>9.6824279555999979</v>
      </c>
      <c r="AG86" s="52" cm="1">
        <f t="array" ref="AG86">EntericMethane_PastureBeef_Equations.VEERG_3_2_1_1__3_FeedIntakeForGrazingBeef(AG54,AG70,AI40)</f>
        <v>9.6824279555999979</v>
      </c>
      <c r="AH86" s="2" t="str">
        <f t="shared" si="2"/>
        <v>kg DM/head/day</v>
      </c>
      <c r="AI86" s="2"/>
      <c r="AJ86" s="2"/>
    </row>
    <row r="87" spans="4:36" ht="20.100000000000001" customHeight="1" x14ac:dyDescent="0.25">
      <c r="D87" s="52" t="s">
        <v>176</v>
      </c>
      <c r="E87" s="52" cm="1">
        <f t="array" ref="E87">EntericMethane_PastureBeef_Equations.VEERG_3_2_1_1__3_FeedIntakeForGrazingBeef(E55,E71,I33)</f>
        <v>5.1328980481000004</v>
      </c>
      <c r="F87" s="52" cm="1">
        <f t="array" ref="F87">EntericMethane_PastureBeef_Equations.VEERG_3_2_1_1__3_FeedIntakeForGrazingBeef(F55,F71,J33)</f>
        <v>9.9748588899999984</v>
      </c>
      <c r="G87" s="52" cm="1">
        <f t="array" ref="G87">EntericMethane_PastureBeef_Equations.VEERG_3_2_1_1__3_FeedIntakeForGrazingBeef(G55,G71,K33)</f>
        <v>4.202705002500001</v>
      </c>
      <c r="H87" s="52" cm="1">
        <f t="array" ref="H87">EntericMethane_PastureBeef_Equations.VEERG_3_2_1_1__3_FeedIntakeForGrazingBeef(H55,H71,L33)</f>
        <v>7.172653468761002</v>
      </c>
      <c r="I87" s="52" cm="1">
        <f t="array" ref="I87">EntericMethane_PastureBeef_Equations.VEERG_3_2_1_1__3_FeedIntakeForGrazingBeef(I55,I71,M33)</f>
        <v>9.145195140114998</v>
      </c>
      <c r="J87" s="52" cm="1">
        <f t="array" ref="J87">EntericMethane_PastureBeef_Equations.VEERG_3_2_1_1__3_FeedIntakeForGrazingBeef(J55,J71,N33)</f>
        <v>9.145195140114998</v>
      </c>
      <c r="K87" s="52" cm="1">
        <f t="array" ref="K87">EntericMethane_PastureBeef_Equations.VEERG_3_2_1_1__3_FeedIntakeForGrazingBeef(K55,K71,O33)</f>
        <v>4.5122681240999984</v>
      </c>
      <c r="L87" s="52" cm="1">
        <f t="array" ref="L87">EntericMethane_PastureBeef_Equations.VEERG_3_2_1_1__3_FeedIntakeForGrazingBeef(L55,L71,P33)</f>
        <v>6.8698506815999991</v>
      </c>
      <c r="M87" s="52" cm="1">
        <f t="array" ref="M87">EntericMethane_PastureBeef_Equations.VEERG_3_2_1_1__3_FeedIntakeForGrazingBeef(M55,M71,Q33)</f>
        <v>6.8698506815999991</v>
      </c>
      <c r="N87" s="52" cm="1">
        <f t="array" ref="N87">EntericMethane_PastureBeef_Equations.VEERG_3_2_1_1__3_FeedIntakeForGrazingBeef(N55,N71,R33)</f>
        <v>6.8698506815999991</v>
      </c>
      <c r="O87" s="2" t="str">
        <f>$E$43</f>
        <v>kg DM/head/day</v>
      </c>
      <c r="P87" s="2"/>
      <c r="Q87" s="2"/>
      <c r="R87" s="2"/>
      <c r="S87" s="2"/>
      <c r="W87" s="52" t="str">
        <f>TEXT(EDATE('Input - Site'!$E$12,11), "mmmm yyyy")</f>
        <v>December 2024</v>
      </c>
      <c r="X87" s="52" cm="1">
        <f t="array" ref="X87">EntericMethane_PastureBeef_Equations.VEERG_3_2_1_1__3_FeedIntakeForGrazingBeef(X55,X71,Z39)</f>
        <v>7.1468536895999959</v>
      </c>
      <c r="Y87" s="52" cm="1">
        <f t="array" ref="Y87">EntericMethane_PastureBeef_Equations.VEERG_3_2_1_1__3_FeedIntakeForGrazingBeef(Y55,Y71,AA39)</f>
        <v>9.4559940036000008</v>
      </c>
      <c r="Z87" s="52" cm="1">
        <f t="array" ref="Z87">EntericMethane_PastureBeef_Equations.VEERG_3_2_1_1__3_FeedIntakeForGrazingBeef(Z55,Z71,AB39)</f>
        <v>6.010342559999998</v>
      </c>
      <c r="AA87" s="52" cm="1">
        <f t="array" ref="AA87">EntericMethane_PastureBeef_Equations.VEERG_3_2_1_1__3_FeedIntakeForGrazingBeef(AA55,AA71,AC39)</f>
        <v>8.4608409301875014</v>
      </c>
      <c r="AB87" s="52" cm="1">
        <f t="array" ref="AB87">EntericMethane_PastureBeef_Equations.VEERG_3_2_1_1__3_FeedIntakeForGrazingBeef(AB55,AB71,AD39)</f>
        <v>8.3772677761199983</v>
      </c>
      <c r="AC87" s="52" cm="1">
        <f t="array" ref="AC87">EntericMethane_PastureBeef_Equations.VEERG_3_2_1_1__3_FeedIntakeForGrazingBeef(AC55,AC71,AE39)</f>
        <v>8.3772677761199983</v>
      </c>
      <c r="AD87" s="52" cm="1">
        <f t="array" ref="AD87">EntericMethane_PastureBeef_Equations.VEERG_3_2_1_1__3_FeedIntakeForGrazingBeef(AD55,AD71,AF39)</f>
        <v>6.5876408896000003</v>
      </c>
      <c r="AE87" s="52" cm="1">
        <f t="array" ref="AE87">EntericMethane_PastureBeef_Equations.VEERG_3_2_1_1__3_FeedIntakeForGrazingBeef(AE55,AE71,AG39)</f>
        <v>7.3430702361</v>
      </c>
      <c r="AF87" s="52" cm="1">
        <f t="array" ref="AF87">EntericMethane_PastureBeef_Equations.VEERG_3_2_1_1__3_FeedIntakeForGrazingBeef(AF55,AF71,AH39)</f>
        <v>7.3430702361</v>
      </c>
      <c r="AG87" s="52" cm="1">
        <f t="array" ref="AG87">EntericMethane_PastureBeef_Equations.VEERG_3_2_1_1__3_FeedIntakeForGrazingBeef(AG55,AG71,AI41)</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5"/>
      <c r="D98" s="45"/>
      <c r="E98" s="45"/>
      <c r="F98" s="45"/>
      <c r="G98" s="45"/>
      <c r="H98" s="45"/>
      <c r="I98" s="45"/>
      <c r="J98" s="45"/>
      <c r="K98" s="45"/>
      <c r="L98" s="45"/>
      <c r="M98" s="45"/>
      <c r="N98" s="45"/>
      <c r="O98" s="45"/>
      <c r="P98" s="45"/>
      <c r="Q98" s="45"/>
      <c r="R98" s="45"/>
      <c r="S98" s="45"/>
      <c r="T98" s="45"/>
      <c r="V98" s="45"/>
      <c r="W98" s="45"/>
      <c r="X98" s="45"/>
      <c r="Y98" s="45"/>
      <c r="Z98" s="45"/>
      <c r="AA98" s="45"/>
      <c r="AB98" s="45"/>
      <c r="AC98" s="45"/>
      <c r="AD98" s="45"/>
      <c r="AE98" s="45"/>
      <c r="AF98" s="45"/>
      <c r="AG98" s="45"/>
      <c r="AH98" s="45"/>
      <c r="AI98" s="45"/>
      <c r="AJ98" s="45"/>
      <c r="AK98" s="45"/>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27</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3" t="s">
        <v>30</v>
      </c>
      <c r="E105" s="1" t="str" cm="1">
        <f t="array" ref="E105">MMS_PastureBeef_Methane_Equations.VEERG_4_2_1_1__3_VolatileSolidProductionFromGrazingBeef_Variable()</f>
        <v>VS_jkl</v>
      </c>
    </row>
    <row r="106" spans="3:37" ht="20.100000000000001" customHeight="1" x14ac:dyDescent="0.25">
      <c r="D106" s="53" t="s">
        <v>20</v>
      </c>
      <c r="E106" s="54"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21" t="str" cm="1">
        <f t="array" ref="D108:E110">_xlfn.CHOOSECOLS(MMS_PastureBeef_Methane_Equations.VEERG_4_2_1_1__3_VolatileSolidProductionFromGrazingBeef_Arguments(), 1, 2)</f>
        <v>I_jkl</v>
      </c>
      <c r="E108" s="126" t="str">
        <v>dry matter intake as calculated in Chapter 3 Section 3.2.1</v>
      </c>
      <c r="F108" s="125"/>
      <c r="G108" s="121" t="str" cm="1">
        <f t="array" ref="G108:H110">_xlfn.CHOOSECOLS(MMS_PastureBeef_Methane_Equations.VEERG_4_2_1_1__3_VolatileSolidProductionFromGrazingBeef_Arguments(), 3,4)</f>
        <v>kg/head/day</v>
      </c>
      <c r="H108" s="122" t="str">
        <v>Calculated from 3.2.1.1, (3)</v>
      </c>
      <c r="I108" s="120" t="str" cm="1">
        <f t="array" aca="1" ref="I108" ca="1">HYPERLINK(Common_InputFunctions.Utility_SourceHyperlink($D$81), $D$81)</f>
        <v>M1_Table_I_j_k_l</v>
      </c>
    </row>
    <row r="109" spans="3:37" ht="20.100000000000001" customHeight="1" x14ac:dyDescent="0.25">
      <c r="D109" s="121" t="str">
        <v>DMD_jkl</v>
      </c>
      <c r="E109" s="126" t="str">
        <v>dry matter digestibility expressed as a fraction</v>
      </c>
      <c r="F109" s="125"/>
      <c r="G109" s="121" t="str">
        <v>fraction</v>
      </c>
      <c r="H109" s="123" t="str">
        <v>Input</v>
      </c>
      <c r="I109" s="120" t="str" cm="1">
        <f t="array" aca="1" ref="I109" ca="1">HYPERLINK(Common_InputFunctions.Utility_SourceHyperlink($D$112), $D$112)</f>
        <v>M1_Table_DMD_j_k_l</v>
      </c>
    </row>
    <row r="110" spans="3:37" ht="20.100000000000001" customHeight="1" x14ac:dyDescent="0.25">
      <c r="D110" s="121" t="str">
        <v>A</v>
      </c>
      <c r="E110" s="126" t="str">
        <v>ash content of feed intake expressed as a fraction</v>
      </c>
      <c r="F110" s="125"/>
      <c r="G110" s="121" t="str">
        <v>fraction</v>
      </c>
      <c r="H110" s="122" t="str">
        <v>Constant</v>
      </c>
      <c r="I110" s="121">
        <f>'Constants - Pature Beef'!$D$422</f>
        <v>0.08</v>
      </c>
    </row>
    <row r="111" spans="3:37" ht="20.100000000000001" customHeight="1" x14ac:dyDescent="0.25"/>
    <row r="112" spans="3:37" ht="20.100000000000001" customHeight="1" x14ac:dyDescent="0.25">
      <c r="D112" s="99" t="s">
        <v>259</v>
      </c>
      <c r="W112" s="99" t="s">
        <v>260</v>
      </c>
    </row>
    <row r="113" spans="4:36" ht="20.100000000000001" customHeight="1" x14ac:dyDescent="0.25">
      <c r="D113" s="98" t="s">
        <v>112</v>
      </c>
      <c r="W113" s="98" t="s">
        <v>142</v>
      </c>
    </row>
    <row r="114" spans="4:36" ht="20.100000000000001" customHeight="1" x14ac:dyDescent="0.25">
      <c r="D114" s="51" t="s">
        <v>184</v>
      </c>
      <c r="E114" s="124" t="s">
        <v>131</v>
      </c>
      <c r="F114" s="124" t="s">
        <v>130</v>
      </c>
      <c r="G114" s="124" t="s">
        <v>165</v>
      </c>
      <c r="H114" s="124" t="s">
        <v>166</v>
      </c>
      <c r="I114" s="124" t="s">
        <v>167</v>
      </c>
      <c r="J114" s="124" t="s">
        <v>168</v>
      </c>
      <c r="K114" s="124" t="s">
        <v>169</v>
      </c>
      <c r="L114" s="124" t="s">
        <v>170</v>
      </c>
      <c r="M114" s="124" t="s">
        <v>171</v>
      </c>
      <c r="N114" s="124" t="s">
        <v>172</v>
      </c>
      <c r="W114" s="51" t="s">
        <v>132</v>
      </c>
      <c r="X114" s="124" t="s">
        <v>131</v>
      </c>
      <c r="Y114" s="124" t="s">
        <v>130</v>
      </c>
      <c r="Z114" s="124" t="s">
        <v>165</v>
      </c>
      <c r="AA114" s="124" t="s">
        <v>166</v>
      </c>
      <c r="AB114" s="124" t="s">
        <v>167</v>
      </c>
      <c r="AC114" s="124" t="s">
        <v>168</v>
      </c>
      <c r="AD114" s="124" t="s">
        <v>169</v>
      </c>
      <c r="AE114" s="124" t="s">
        <v>170</v>
      </c>
      <c r="AF114" s="124" t="s">
        <v>171</v>
      </c>
      <c r="AG114" s="124" t="s">
        <v>172</v>
      </c>
    </row>
    <row r="115" spans="4:36" ht="20.100000000000001" customHeight="1" x14ac:dyDescent="0.25">
      <c r="D115" s="52" t="s">
        <v>173</v>
      </c>
      <c r="E115" s="52">
        <f>'Input - Pasture Beef'!E154</f>
        <v>0.2</v>
      </c>
      <c r="F115" s="52">
        <f>'Input - Pasture Beef'!F154</f>
        <v>0.2</v>
      </c>
      <c r="G115" s="52">
        <f>'Input - Pasture Beef'!G154</f>
        <v>0.2</v>
      </c>
      <c r="H115" s="52">
        <f>'Input - Pasture Beef'!H154</f>
        <v>0.2</v>
      </c>
      <c r="I115" s="52">
        <f>'Input - Pasture Beef'!I154</f>
        <v>0.2</v>
      </c>
      <c r="J115" s="52">
        <f>'Input - Pasture Beef'!J154</f>
        <v>0.2</v>
      </c>
      <c r="K115" s="52">
        <f>'Input - Pasture Beef'!K154</f>
        <v>0.2</v>
      </c>
      <c r="L115" s="52">
        <f>'Input - Pasture Beef'!L154</f>
        <v>0.2</v>
      </c>
      <c r="M115" s="52">
        <f>'Input - Pasture Beef'!M154</f>
        <v>0.2</v>
      </c>
      <c r="N115" s="52">
        <f>'Input - Pasture Beef'!N154</f>
        <v>0.2</v>
      </c>
      <c r="O115" s="2" t="s">
        <v>141</v>
      </c>
      <c r="P115" s="2"/>
      <c r="Q115" s="2"/>
      <c r="R115" s="2"/>
      <c r="S115" s="2"/>
      <c r="W115" s="52" t="str">
        <f>'Input - Pasture Beef'!D160</f>
        <v>January 2024</v>
      </c>
      <c r="X115" s="52">
        <f>'Input - Pasture Beef'!E160</f>
        <v>0.09</v>
      </c>
      <c r="Y115" s="52">
        <f>'Input - Pasture Beef'!F160</f>
        <v>0.09</v>
      </c>
      <c r="Z115" s="52">
        <f>'Input - Pasture Beef'!G160</f>
        <v>0.09</v>
      </c>
      <c r="AA115" s="52">
        <f>'Input - Pasture Beef'!H160</f>
        <v>0.09</v>
      </c>
      <c r="AB115" s="52">
        <f>'Input - Pasture Beef'!I160</f>
        <v>0.09</v>
      </c>
      <c r="AC115" s="52">
        <f>'Input - Pasture Beef'!J160</f>
        <v>0.09</v>
      </c>
      <c r="AD115" s="52">
        <f>'Input - Pasture Beef'!K160</f>
        <v>0.09</v>
      </c>
      <c r="AE115" s="52">
        <f>'Input - Pasture Beef'!L160</f>
        <v>0.09</v>
      </c>
      <c r="AF115" s="52">
        <f>'Input - Pasture Beef'!M160</f>
        <v>0.09</v>
      </c>
      <c r="AG115" s="52">
        <f>'Input - Pasture Beef'!N160</f>
        <v>0.09</v>
      </c>
      <c r="AH115" s="2" t="s">
        <v>141</v>
      </c>
      <c r="AI115" s="2"/>
      <c r="AJ115" s="2"/>
    </row>
    <row r="116" spans="4:36" ht="20.100000000000001" customHeight="1" x14ac:dyDescent="0.25">
      <c r="D116" s="52" t="s">
        <v>174</v>
      </c>
      <c r="E116" s="52">
        <f>'Input - Pasture Beef'!E155</f>
        <v>0.09</v>
      </c>
      <c r="F116" s="52">
        <f>'Input - Pasture Beef'!F155</f>
        <v>0.09</v>
      </c>
      <c r="G116" s="52">
        <f>'Input - Pasture Beef'!G155</f>
        <v>0.09</v>
      </c>
      <c r="H116" s="52">
        <f>'Input - Pasture Beef'!H155</f>
        <v>0.09</v>
      </c>
      <c r="I116" s="52">
        <f>'Input - Pasture Beef'!I155</f>
        <v>0.09</v>
      </c>
      <c r="J116" s="52">
        <f>'Input - Pasture Beef'!J155</f>
        <v>0.09</v>
      </c>
      <c r="K116" s="52">
        <f>'Input - Pasture Beef'!K155</f>
        <v>0.09</v>
      </c>
      <c r="L116" s="52">
        <f>'Input - Pasture Beef'!L155</f>
        <v>0.09</v>
      </c>
      <c r="M116" s="52">
        <f>'Input - Pasture Beef'!M155</f>
        <v>0.09</v>
      </c>
      <c r="N116" s="52">
        <f>'Input - Pasture Beef'!N155</f>
        <v>0.09</v>
      </c>
      <c r="O116" s="2" t="s">
        <v>141</v>
      </c>
      <c r="P116" s="2"/>
      <c r="Q116" s="2"/>
      <c r="R116" s="2"/>
      <c r="S116" s="2"/>
      <c r="W116" s="52" t="str">
        <f>'Input - Pasture Beef'!D161</f>
        <v>February 2024</v>
      </c>
      <c r="X116" s="52">
        <f>'Input - Pasture Beef'!E161</f>
        <v>0.09</v>
      </c>
      <c r="Y116" s="52">
        <f>'Input - Pasture Beef'!F161</f>
        <v>0.09</v>
      </c>
      <c r="Z116" s="52">
        <f>'Input - Pasture Beef'!G161</f>
        <v>0.09</v>
      </c>
      <c r="AA116" s="52">
        <f>'Input - Pasture Beef'!H161</f>
        <v>0.09</v>
      </c>
      <c r="AB116" s="52">
        <f>'Input - Pasture Beef'!I161</f>
        <v>0.09</v>
      </c>
      <c r="AC116" s="52">
        <f>'Input - Pasture Beef'!J161</f>
        <v>0.09</v>
      </c>
      <c r="AD116" s="52">
        <f>'Input - Pasture Beef'!K161</f>
        <v>0.09</v>
      </c>
      <c r="AE116" s="52">
        <f>'Input - Pasture Beef'!L161</f>
        <v>0.09</v>
      </c>
      <c r="AF116" s="52">
        <f>'Input - Pasture Beef'!M161</f>
        <v>0.09</v>
      </c>
      <c r="AG116" s="52">
        <f>'Input - Pasture Beef'!N161</f>
        <v>0.09</v>
      </c>
      <c r="AH116" s="2" t="s">
        <v>141</v>
      </c>
      <c r="AI116" s="2"/>
      <c r="AJ116" s="2"/>
    </row>
    <row r="117" spans="4:36" ht="20.100000000000001" customHeight="1" x14ac:dyDescent="0.25">
      <c r="D117" s="52" t="s">
        <v>175</v>
      </c>
      <c r="E117" s="52">
        <f>'Input - Pasture Beef'!E156</f>
        <v>0.06</v>
      </c>
      <c r="F117" s="52">
        <f>'Input - Pasture Beef'!F156</f>
        <v>0.06</v>
      </c>
      <c r="G117" s="52">
        <f>'Input - Pasture Beef'!G156</f>
        <v>0.06</v>
      </c>
      <c r="H117" s="52">
        <f>'Input - Pasture Beef'!H156</f>
        <v>0.06</v>
      </c>
      <c r="I117" s="52">
        <f>'Input - Pasture Beef'!I156</f>
        <v>0.06</v>
      </c>
      <c r="J117" s="52">
        <f>'Input - Pasture Beef'!J156</f>
        <v>0.06</v>
      </c>
      <c r="K117" s="52">
        <f>'Input - Pasture Beef'!K156</f>
        <v>0.06</v>
      </c>
      <c r="L117" s="52">
        <f>'Input - Pasture Beef'!L156</f>
        <v>0.06</v>
      </c>
      <c r="M117" s="52">
        <f>'Input - Pasture Beef'!M156</f>
        <v>0.06</v>
      </c>
      <c r="N117" s="52">
        <f>'Input - Pasture Beef'!N156</f>
        <v>0.06</v>
      </c>
      <c r="O117" s="2" t="s">
        <v>141</v>
      </c>
      <c r="P117" s="2"/>
      <c r="Q117" s="2"/>
      <c r="R117" s="2"/>
      <c r="S117" s="2"/>
      <c r="W117" s="52" t="str">
        <f>'Input - Pasture Beef'!D162</f>
        <v>March 2024</v>
      </c>
      <c r="X117" s="52">
        <f>'Input - Pasture Beef'!E162</f>
        <v>0.06</v>
      </c>
      <c r="Y117" s="52">
        <f>'Input - Pasture Beef'!F162</f>
        <v>0.06</v>
      </c>
      <c r="Z117" s="52">
        <f>'Input - Pasture Beef'!G162</f>
        <v>0.06</v>
      </c>
      <c r="AA117" s="52">
        <f>'Input - Pasture Beef'!H162</f>
        <v>0.06</v>
      </c>
      <c r="AB117" s="52">
        <f>'Input - Pasture Beef'!I162</f>
        <v>0.06</v>
      </c>
      <c r="AC117" s="52">
        <f>'Input - Pasture Beef'!J162</f>
        <v>0.06</v>
      </c>
      <c r="AD117" s="52">
        <f>'Input - Pasture Beef'!K162</f>
        <v>0.06</v>
      </c>
      <c r="AE117" s="52">
        <f>'Input - Pasture Beef'!L162</f>
        <v>0.06</v>
      </c>
      <c r="AF117" s="52">
        <f>'Input - Pasture Beef'!M162</f>
        <v>0.06</v>
      </c>
      <c r="AG117" s="52">
        <f>'Input - Pasture Beef'!N162</f>
        <v>0.06</v>
      </c>
      <c r="AH117" s="2" t="s">
        <v>141</v>
      </c>
      <c r="AI117" s="2"/>
      <c r="AJ117" s="2"/>
    </row>
    <row r="118" spans="4:36" ht="20.100000000000001" customHeight="1" x14ac:dyDescent="0.25">
      <c r="D118" s="52" t="s">
        <v>176</v>
      </c>
      <c r="E118" s="52">
        <f>'Input - Pasture Beef'!E157</f>
        <v>0.2</v>
      </c>
      <c r="F118" s="52">
        <f>'Input - Pasture Beef'!F157</f>
        <v>0.2</v>
      </c>
      <c r="G118" s="52">
        <f>'Input - Pasture Beef'!G157</f>
        <v>0.2</v>
      </c>
      <c r="H118" s="52">
        <f>'Input - Pasture Beef'!H157</f>
        <v>0.2</v>
      </c>
      <c r="I118" s="52">
        <f>'Input - Pasture Beef'!I157</f>
        <v>0.2</v>
      </c>
      <c r="J118" s="52">
        <f>'Input - Pasture Beef'!J157</f>
        <v>0.2</v>
      </c>
      <c r="K118" s="52">
        <f>'Input - Pasture Beef'!K157</f>
        <v>0.2</v>
      </c>
      <c r="L118" s="52">
        <f>'Input - Pasture Beef'!L157</f>
        <v>0.2</v>
      </c>
      <c r="M118" s="52">
        <f>'Input - Pasture Beef'!M157</f>
        <v>0.2</v>
      </c>
      <c r="N118" s="52">
        <f>'Input - Pasture Beef'!N157</f>
        <v>0.2</v>
      </c>
      <c r="O118" s="2" t="s">
        <v>141</v>
      </c>
      <c r="P118" s="2"/>
      <c r="Q118" s="2"/>
      <c r="R118" s="2"/>
      <c r="S118" s="2"/>
      <c r="W118" s="52" t="str">
        <f>'Input - Pasture Beef'!D163</f>
        <v>April 2024</v>
      </c>
      <c r="X118" s="52">
        <f>'Input - Pasture Beef'!E163</f>
        <v>0.06</v>
      </c>
      <c r="Y118" s="52">
        <f>'Input - Pasture Beef'!F163</f>
        <v>0.06</v>
      </c>
      <c r="Z118" s="52">
        <f>'Input - Pasture Beef'!G163</f>
        <v>0.06</v>
      </c>
      <c r="AA118" s="52">
        <f>'Input - Pasture Beef'!H163</f>
        <v>0.06</v>
      </c>
      <c r="AB118" s="52">
        <f>'Input - Pasture Beef'!I163</f>
        <v>0.06</v>
      </c>
      <c r="AC118" s="52">
        <f>'Input - Pasture Beef'!J163</f>
        <v>0.06</v>
      </c>
      <c r="AD118" s="52">
        <f>'Input - Pasture Beef'!K163</f>
        <v>0.06</v>
      </c>
      <c r="AE118" s="52">
        <f>'Input - Pasture Beef'!L163</f>
        <v>0.06</v>
      </c>
      <c r="AF118" s="52">
        <f>'Input - Pasture Beef'!M163</f>
        <v>0.06</v>
      </c>
      <c r="AG118" s="52">
        <f>'Input - Pasture Beef'!N163</f>
        <v>0.06</v>
      </c>
      <c r="AH118" s="2" t="s">
        <v>141</v>
      </c>
      <c r="AI118" s="2"/>
      <c r="AJ118" s="2"/>
    </row>
    <row r="119" spans="4:36" ht="20.100000000000001" customHeight="1" x14ac:dyDescent="0.25">
      <c r="W119" s="52" t="str">
        <f>'Input - Pasture Beef'!D164</f>
        <v>May 2024</v>
      </c>
      <c r="X119" s="52">
        <f>'Input - Pasture Beef'!E164</f>
        <v>0.06</v>
      </c>
      <c r="Y119" s="52">
        <f>'Input - Pasture Beef'!F164</f>
        <v>0.06</v>
      </c>
      <c r="Z119" s="52">
        <f>'Input - Pasture Beef'!G164</f>
        <v>0.06</v>
      </c>
      <c r="AA119" s="52">
        <f>'Input - Pasture Beef'!H164</f>
        <v>0.06</v>
      </c>
      <c r="AB119" s="52">
        <f>'Input - Pasture Beef'!I164</f>
        <v>0.06</v>
      </c>
      <c r="AC119" s="52">
        <f>'Input - Pasture Beef'!J164</f>
        <v>0.06</v>
      </c>
      <c r="AD119" s="52">
        <f>'Input - Pasture Beef'!K164</f>
        <v>0.06</v>
      </c>
      <c r="AE119" s="52">
        <f>'Input - Pasture Beef'!L164</f>
        <v>0.06</v>
      </c>
      <c r="AF119" s="52">
        <f>'Input - Pasture Beef'!M164</f>
        <v>0.06</v>
      </c>
      <c r="AG119" s="52">
        <f>'Input - Pasture Beef'!N164</f>
        <v>0.06</v>
      </c>
      <c r="AH119" s="2" t="s">
        <v>141</v>
      </c>
      <c r="AI119" s="2"/>
      <c r="AJ119" s="2"/>
    </row>
    <row r="120" spans="4:36" ht="20.100000000000001" customHeight="1" x14ac:dyDescent="0.25">
      <c r="W120" s="52" t="str">
        <f>'Input - Pasture Beef'!D165</f>
        <v>June 2024</v>
      </c>
      <c r="X120" s="52">
        <f>'Input - Pasture Beef'!E165</f>
        <v>0.2</v>
      </c>
      <c r="Y120" s="52">
        <f>'Input - Pasture Beef'!F165</f>
        <v>0.2</v>
      </c>
      <c r="Z120" s="52">
        <f>'Input - Pasture Beef'!G165</f>
        <v>0.2</v>
      </c>
      <c r="AA120" s="52">
        <f>'Input - Pasture Beef'!H165</f>
        <v>0.2</v>
      </c>
      <c r="AB120" s="52">
        <f>'Input - Pasture Beef'!I165</f>
        <v>0.2</v>
      </c>
      <c r="AC120" s="52">
        <f>'Input - Pasture Beef'!J165</f>
        <v>0.2</v>
      </c>
      <c r="AD120" s="52">
        <f>'Input - Pasture Beef'!K165</f>
        <v>0.2</v>
      </c>
      <c r="AE120" s="52">
        <f>'Input - Pasture Beef'!L165</f>
        <v>0.2</v>
      </c>
      <c r="AF120" s="52">
        <f>'Input - Pasture Beef'!M165</f>
        <v>0.2</v>
      </c>
      <c r="AG120" s="52">
        <f>'Input - Pasture Beef'!N165</f>
        <v>0.2</v>
      </c>
      <c r="AH120" s="2" t="s">
        <v>141</v>
      </c>
      <c r="AI120" s="2"/>
      <c r="AJ120" s="2"/>
    </row>
    <row r="121" spans="4:36" ht="20.100000000000001" customHeight="1" x14ac:dyDescent="0.25">
      <c r="W121" s="52" t="str">
        <f>'Input - Pasture Beef'!D166</f>
        <v>July 2024</v>
      </c>
      <c r="X121" s="52">
        <f>'Input - Pasture Beef'!E166</f>
        <v>0.2</v>
      </c>
      <c r="Y121" s="52">
        <f>'Input - Pasture Beef'!F166</f>
        <v>0.2</v>
      </c>
      <c r="Z121" s="52">
        <f>'Input - Pasture Beef'!G166</f>
        <v>0.2</v>
      </c>
      <c r="AA121" s="52">
        <f>'Input - Pasture Beef'!H166</f>
        <v>0.2</v>
      </c>
      <c r="AB121" s="52">
        <f>'Input - Pasture Beef'!I166</f>
        <v>0.2</v>
      </c>
      <c r="AC121" s="52">
        <f>'Input - Pasture Beef'!J166</f>
        <v>0.2</v>
      </c>
      <c r="AD121" s="52">
        <f>'Input - Pasture Beef'!K166</f>
        <v>0.2</v>
      </c>
      <c r="AE121" s="52">
        <f>'Input - Pasture Beef'!L166</f>
        <v>0.2</v>
      </c>
      <c r="AF121" s="52">
        <f>'Input - Pasture Beef'!M166</f>
        <v>0.2</v>
      </c>
      <c r="AG121" s="52">
        <f>'Input - Pasture Beef'!N166</f>
        <v>0.2</v>
      </c>
      <c r="AH121" s="2" t="s">
        <v>141</v>
      </c>
      <c r="AI121" s="2"/>
      <c r="AJ121" s="2"/>
    </row>
    <row r="122" spans="4:36" ht="20.100000000000001" customHeight="1" x14ac:dyDescent="0.25">
      <c r="W122" s="52" t="str">
        <f>'Input - Pasture Beef'!D167</f>
        <v>August 2024</v>
      </c>
      <c r="X122" s="52">
        <f>'Input - Pasture Beef'!E167</f>
        <v>0.2</v>
      </c>
      <c r="Y122" s="52">
        <f>'Input - Pasture Beef'!F167</f>
        <v>0.2</v>
      </c>
      <c r="Z122" s="52">
        <f>'Input - Pasture Beef'!G167</f>
        <v>0.2</v>
      </c>
      <c r="AA122" s="52">
        <f>'Input - Pasture Beef'!H167</f>
        <v>0.2</v>
      </c>
      <c r="AB122" s="52">
        <f>'Input - Pasture Beef'!I167</f>
        <v>0.2</v>
      </c>
      <c r="AC122" s="52">
        <f>'Input - Pasture Beef'!J167</f>
        <v>0.2</v>
      </c>
      <c r="AD122" s="52">
        <f>'Input - Pasture Beef'!K167</f>
        <v>0.2</v>
      </c>
      <c r="AE122" s="52">
        <f>'Input - Pasture Beef'!L167</f>
        <v>0.2</v>
      </c>
      <c r="AF122" s="52">
        <f>'Input - Pasture Beef'!M167</f>
        <v>0.2</v>
      </c>
      <c r="AG122" s="52">
        <f>'Input - Pasture Beef'!N167</f>
        <v>0.2</v>
      </c>
      <c r="AH122" s="2" t="s">
        <v>141</v>
      </c>
      <c r="AI122" s="2"/>
      <c r="AJ122" s="2"/>
    </row>
    <row r="123" spans="4:36" ht="20.100000000000001" customHeight="1" x14ac:dyDescent="0.25">
      <c r="W123" s="52" t="str">
        <f>'Input - Pasture Beef'!D168</f>
        <v>September 2024</v>
      </c>
      <c r="X123" s="52">
        <f>'Input - Pasture Beef'!E168</f>
        <v>0.2</v>
      </c>
      <c r="Y123" s="52">
        <f>'Input - Pasture Beef'!F168</f>
        <v>0.2</v>
      </c>
      <c r="Z123" s="52">
        <f>'Input - Pasture Beef'!G168</f>
        <v>0.2</v>
      </c>
      <c r="AA123" s="52">
        <f>'Input - Pasture Beef'!H168</f>
        <v>0.2</v>
      </c>
      <c r="AB123" s="52">
        <f>'Input - Pasture Beef'!I168</f>
        <v>0.2</v>
      </c>
      <c r="AC123" s="52">
        <f>'Input - Pasture Beef'!J168</f>
        <v>0.2</v>
      </c>
      <c r="AD123" s="52">
        <f>'Input - Pasture Beef'!K168</f>
        <v>0.2</v>
      </c>
      <c r="AE123" s="52">
        <f>'Input - Pasture Beef'!L168</f>
        <v>0.2</v>
      </c>
      <c r="AF123" s="52">
        <f>'Input - Pasture Beef'!M168</f>
        <v>0.2</v>
      </c>
      <c r="AG123" s="52">
        <f>'Input - Pasture Beef'!N168</f>
        <v>0.2</v>
      </c>
      <c r="AH123" s="2" t="s">
        <v>141</v>
      </c>
      <c r="AI123" s="2"/>
      <c r="AJ123" s="2"/>
    </row>
    <row r="124" spans="4:36" ht="20.100000000000001" customHeight="1" x14ac:dyDescent="0.25">
      <c r="W124" s="52" t="str">
        <f>'Input - Pasture Beef'!D169</f>
        <v>October 2024</v>
      </c>
      <c r="X124" s="52">
        <f>'Input - Pasture Beef'!E169</f>
        <v>0.2</v>
      </c>
      <c r="Y124" s="52">
        <f>'Input - Pasture Beef'!F169</f>
        <v>0.2</v>
      </c>
      <c r="Z124" s="52">
        <f>'Input - Pasture Beef'!G169</f>
        <v>0.2</v>
      </c>
      <c r="AA124" s="52">
        <f>'Input - Pasture Beef'!H169</f>
        <v>0.2</v>
      </c>
      <c r="AB124" s="52">
        <f>'Input - Pasture Beef'!I169</f>
        <v>0.2</v>
      </c>
      <c r="AC124" s="52">
        <f>'Input - Pasture Beef'!J169</f>
        <v>0.2</v>
      </c>
      <c r="AD124" s="52">
        <f>'Input - Pasture Beef'!K169</f>
        <v>0.2</v>
      </c>
      <c r="AE124" s="52">
        <f>'Input - Pasture Beef'!L169</f>
        <v>0.2</v>
      </c>
      <c r="AF124" s="52">
        <f>'Input - Pasture Beef'!M169</f>
        <v>0.2</v>
      </c>
      <c r="AG124" s="52">
        <f>'Input - Pasture Beef'!N169</f>
        <v>0.2</v>
      </c>
      <c r="AH124" s="2" t="s">
        <v>141</v>
      </c>
      <c r="AI124" s="2"/>
      <c r="AJ124" s="2"/>
    </row>
    <row r="125" spans="4:36" ht="20.100000000000001" customHeight="1" x14ac:dyDescent="0.25">
      <c r="W125" s="52" t="str">
        <f>'Input - Pasture Beef'!D170</f>
        <v>November 2024</v>
      </c>
      <c r="X125" s="52">
        <f>'Input - Pasture Beef'!E170</f>
        <v>0.2</v>
      </c>
      <c r="Y125" s="52">
        <f>'Input - Pasture Beef'!F170</f>
        <v>0.2</v>
      </c>
      <c r="Z125" s="52">
        <f>'Input - Pasture Beef'!G170</f>
        <v>0.2</v>
      </c>
      <c r="AA125" s="52">
        <f>'Input - Pasture Beef'!H170</f>
        <v>0.2</v>
      </c>
      <c r="AB125" s="52">
        <f>'Input - Pasture Beef'!I170</f>
        <v>0.2</v>
      </c>
      <c r="AC125" s="52">
        <f>'Input - Pasture Beef'!J170</f>
        <v>0.2</v>
      </c>
      <c r="AD125" s="52">
        <f>'Input - Pasture Beef'!K170</f>
        <v>0.2</v>
      </c>
      <c r="AE125" s="52">
        <f>'Input - Pasture Beef'!L170</f>
        <v>0.2</v>
      </c>
      <c r="AF125" s="52">
        <f>'Input - Pasture Beef'!M170</f>
        <v>0.2</v>
      </c>
      <c r="AG125" s="52">
        <f>'Input - Pasture Beef'!N170</f>
        <v>0.2</v>
      </c>
      <c r="AH125" s="2" t="s">
        <v>141</v>
      </c>
      <c r="AI125" s="2"/>
      <c r="AJ125" s="2"/>
    </row>
    <row r="126" spans="4:36" ht="20.100000000000001" customHeight="1" x14ac:dyDescent="0.25">
      <c r="W126" s="52" t="str">
        <f>'Input - Pasture Beef'!D171</f>
        <v>December 2024</v>
      </c>
      <c r="X126" s="52">
        <f>'Input - Pasture Beef'!E171</f>
        <v>0.09</v>
      </c>
      <c r="Y126" s="52">
        <f>'Input - Pasture Beef'!F171</f>
        <v>0.09</v>
      </c>
      <c r="Z126" s="52">
        <f>'Input - Pasture Beef'!G171</f>
        <v>0.09</v>
      </c>
      <c r="AA126" s="52">
        <f>'Input - Pasture Beef'!H171</f>
        <v>0.09</v>
      </c>
      <c r="AB126" s="52">
        <f>'Input - Pasture Beef'!I171</f>
        <v>0.09</v>
      </c>
      <c r="AC126" s="52">
        <f>'Input - Pasture Beef'!J171</f>
        <v>0.09</v>
      </c>
      <c r="AD126" s="52">
        <f>'Input - Pasture Beef'!K171</f>
        <v>0.09</v>
      </c>
      <c r="AE126" s="52">
        <f>'Input - Pasture Beef'!L171</f>
        <v>0.09</v>
      </c>
      <c r="AF126" s="52">
        <f>'Input - Pasture Beef'!M171</f>
        <v>0.09</v>
      </c>
      <c r="AG126" s="52">
        <f>'Input - Pasture Beef'!N171</f>
        <v>0.09</v>
      </c>
      <c r="AH126" s="2" t="s">
        <v>141</v>
      </c>
      <c r="AI126" s="2"/>
      <c r="AJ126" s="2"/>
    </row>
    <row r="127" spans="4:36" ht="20.100000000000001" customHeight="1" x14ac:dyDescent="0.25"/>
    <row r="128" spans="4:36" ht="20.100000000000001" customHeight="1" x14ac:dyDescent="0.25">
      <c r="D128" s="99" t="s">
        <v>261</v>
      </c>
      <c r="W128" s="99" t="s">
        <v>262</v>
      </c>
    </row>
    <row r="129" spans="4:36" ht="20.100000000000001" customHeight="1" x14ac:dyDescent="0.25">
      <c r="D129" s="98" t="s">
        <v>111</v>
      </c>
      <c r="W129" s="98" t="s">
        <v>113</v>
      </c>
    </row>
    <row r="130" spans="4:36" ht="20.100000000000001" customHeight="1" x14ac:dyDescent="0.25">
      <c r="D130" s="51" t="s">
        <v>184</v>
      </c>
      <c r="E130" s="51" t="s">
        <v>131</v>
      </c>
      <c r="F130" s="51" t="s">
        <v>130</v>
      </c>
      <c r="G130" s="51" t="s">
        <v>165</v>
      </c>
      <c r="H130" s="51" t="s">
        <v>166</v>
      </c>
      <c r="I130" s="51" t="s">
        <v>167</v>
      </c>
      <c r="J130" s="51" t="s">
        <v>168</v>
      </c>
      <c r="K130" s="51" t="s">
        <v>169</v>
      </c>
      <c r="L130" s="51" t="s">
        <v>170</v>
      </c>
      <c r="M130" s="51" t="s">
        <v>171</v>
      </c>
      <c r="N130" s="51" t="s">
        <v>172</v>
      </c>
      <c r="W130" s="51" t="s">
        <v>132</v>
      </c>
      <c r="X130" s="51" t="s">
        <v>131</v>
      </c>
      <c r="Y130" s="51" t="s">
        <v>130</v>
      </c>
      <c r="Z130" s="51" t="s">
        <v>165</v>
      </c>
      <c r="AA130" s="51" t="s">
        <v>166</v>
      </c>
      <c r="AB130" s="51" t="s">
        <v>167</v>
      </c>
      <c r="AC130" s="51" t="s">
        <v>168</v>
      </c>
      <c r="AD130" s="51" t="s">
        <v>169</v>
      </c>
      <c r="AE130" s="51" t="s">
        <v>170</v>
      </c>
      <c r="AF130" s="51" t="s">
        <v>171</v>
      </c>
      <c r="AG130" s="51" t="s">
        <v>172</v>
      </c>
    </row>
    <row r="131" spans="4:36" ht="20.100000000000001" customHeight="1" x14ac:dyDescent="0.25">
      <c r="D131" s="52" t="s">
        <v>173</v>
      </c>
      <c r="E131" s="52" cm="1">
        <f t="array" ref="E131">MMS_PastureBeef_Methane_Equations.VEERG_4_2_1_1__3_VolatileSolidProductionFromGrazingBeef(E84,E115,$I$110)</f>
        <v>6.7008751750348807</v>
      </c>
      <c r="F131" s="52" cm="1">
        <f t="array" ref="F131">MMS_PastureBeef_Methane_Equations.VEERG_4_2_1_1__3_VolatileSolidProductionFromGrazingBeef(F84,F115,$I$110)</f>
        <v>9.4640953932000045</v>
      </c>
      <c r="G131" s="52" cm="1">
        <f t="array" ref="G131">MMS_PastureBeef_Methane_Equations.VEERG_4_2_1_1__3_VolatileSolidProductionFromGrazingBeef(G84,G115,$I$110)</f>
        <v>5.1074052339844807</v>
      </c>
      <c r="H131" s="52" cm="1">
        <f t="array" ref="H131">MMS_PastureBeef_Methane_Equations.VEERG_4_2_1_1__3_VolatileSolidProductionFromGrazingBeef(H84,H115,$I$110)</f>
        <v>7.3728151617970106</v>
      </c>
      <c r="I131" s="52" cm="1">
        <f t="array" ref="I131">MMS_PastureBeef_Methane_Equations.VEERG_4_2_1_1__3_VolatileSolidProductionFromGrazingBeef(I84,I115,$I$110)</f>
        <v>8.708201842354562</v>
      </c>
      <c r="J131" s="52" cm="1">
        <f t="array" ref="J131">MMS_PastureBeef_Methane_Equations.VEERG_4_2_1_1__3_VolatileSolidProductionFromGrazingBeef(J84,J115,$I$110)</f>
        <v>8.708201842354562</v>
      </c>
      <c r="K131" s="52" cm="1">
        <f t="array" ref="K131">MMS_PastureBeef_Methane_Equations.VEERG_4_2_1_1__3_VolatileSolidProductionFromGrazingBeef(K84,K115,$I$110)</f>
        <v>5.8881611063519994</v>
      </c>
      <c r="L131" s="52" cm="1">
        <f t="array" ref="L131">MMS_PastureBeef_Methane_Equations.VEERG_4_2_1_1__3_VolatileSolidProductionFromGrazingBeef(L84,L115,$I$110)</f>
        <v>7.4825803240876798</v>
      </c>
      <c r="M131" s="52" cm="1">
        <f t="array" ref="M131">MMS_PastureBeef_Methane_Equations.VEERG_4_2_1_1__3_VolatileSolidProductionFromGrazingBeef(M84,M115,$I$110)</f>
        <v>7.4825803240876798</v>
      </c>
      <c r="N131" s="52" cm="1">
        <f t="array" ref="N131">MMS_PastureBeef_Methane_Equations.VEERG_4_2_1_1__3_VolatileSolidProductionFromGrazingBeef(N84,N115,$I$110)</f>
        <v>7.4825803240876798</v>
      </c>
      <c r="O131" s="2" t="str">
        <f>$E$106</f>
        <v>kg/head/day</v>
      </c>
      <c r="P131" s="2"/>
      <c r="Q131" s="2"/>
      <c r="R131" s="2"/>
      <c r="S131" s="2"/>
      <c r="W131" s="52" t="str">
        <f>W115</f>
        <v>January 2024</v>
      </c>
      <c r="X131" s="52" cm="1">
        <f t="array" ref="X131">MMS_PastureBeef_Methane_Equations.VEERG_4_2_1_1__3_VolatileSolidProductionFromGrazingBeef(X76,X115,$I$110)</f>
        <v>6.2463501247103963</v>
      </c>
      <c r="Y131" s="52" cm="1">
        <f t="array" ref="Y131">MMS_PastureBeef_Methane_Equations.VEERG_4_2_1_1__3_VolatileSolidProductionFromGrazingBeef(Y76,Y115,$I$110)</f>
        <v>8.2645387591464008</v>
      </c>
      <c r="Z131" s="52" cm="1">
        <f t="array" ref="Z131">MMS_PastureBeef_Methane_Equations.VEERG_4_2_1_1__3_VolatileSolidProductionFromGrazingBeef(Z76,Z115,$I$110)</f>
        <v>5.2530393974399985</v>
      </c>
      <c r="AA131" s="52" cm="1">
        <f t="array" ref="AA131">MMS_PastureBeef_Methane_Equations.VEERG_4_2_1_1__3_VolatileSolidProductionFromGrazingBeef(AA76,AA115,$I$110)</f>
        <v>7.3947749729838765</v>
      </c>
      <c r="AB131" s="52" cm="1">
        <f t="array" ref="AB131">MMS_PastureBeef_Methane_Equations.VEERG_4_2_1_1__3_VolatileSolidProductionFromGrazingBeef(AB76,AB115,$I$110)</f>
        <v>7.3217320363288785</v>
      </c>
      <c r="AC131" s="52" cm="1">
        <f t="array" ref="AC131">MMS_PastureBeef_Methane_Equations.VEERG_4_2_1_1__3_VolatileSolidProductionFromGrazingBeef(AC76,AC115,$I$110)</f>
        <v>7.3217320363288785</v>
      </c>
      <c r="AD131" s="52" cm="1">
        <f t="array" ref="AD131">MMS_PastureBeef_Methane_Equations.VEERG_4_2_1_1__3_VolatileSolidProductionFromGrazingBeef(AD76,AD115,$I$110)</f>
        <v>5.7575981375104002</v>
      </c>
      <c r="AE131" s="52" cm="1">
        <f t="array" ref="AE131">MMS_PastureBeef_Methane_Equations.VEERG_4_2_1_1__3_VolatileSolidProductionFromGrazingBeef(AE76,AE115,$I$110)</f>
        <v>6.4178433863514002</v>
      </c>
      <c r="AF131" s="52" cm="1">
        <f t="array" ref="AF131">MMS_PastureBeef_Methane_Equations.VEERG_4_2_1_1__3_VolatileSolidProductionFromGrazingBeef(AF76,AF115,$I$110)</f>
        <v>6.4178433863514002</v>
      </c>
      <c r="AG131" s="52" cm="1">
        <f t="array" ref="AG131">MMS_PastureBeef_Methane_Equations.VEERG_4_2_1_1__3_VolatileSolidProductionFromGrazingBeef(AG76,AG115,$I$110)</f>
        <v>6.4178433863514002</v>
      </c>
      <c r="AH131" s="2" t="str">
        <f t="shared" ref="AH131:AH142" si="3">$E$106</f>
        <v>kg/head/day</v>
      </c>
      <c r="AI131" s="2"/>
      <c r="AJ131" s="2"/>
    </row>
    <row r="132" spans="4:36" ht="20.100000000000001" customHeight="1" x14ac:dyDescent="0.25">
      <c r="D132" s="52" t="s">
        <v>174</v>
      </c>
      <c r="E132" s="52" cm="1">
        <f t="array" ref="E132">MMS_PastureBeef_Methane_Equations.VEERG_4_2_1_1__3_VolatileSolidProductionFromGrazingBeef(E85,E116,$I$110)</f>
        <v>6.2463501247103963</v>
      </c>
      <c r="F132" s="52" cm="1">
        <f t="array" ref="F132">MMS_PastureBeef_Methane_Equations.VEERG_4_2_1_1__3_VolatileSolidProductionFromGrazingBeef(F85,F116,$I$110)</f>
        <v>8.2645387591464008</v>
      </c>
      <c r="G132" s="52" cm="1">
        <f t="array" ref="G132">MMS_PastureBeef_Methane_Equations.VEERG_4_2_1_1__3_VolatileSolidProductionFromGrazingBeef(G85,G116,$I$110)</f>
        <v>5.2530393974399985</v>
      </c>
      <c r="H132" s="52" cm="1">
        <f t="array" ref="H132">MMS_PastureBeef_Methane_Equations.VEERG_4_2_1_1__3_VolatileSolidProductionFromGrazingBeef(H85,H116,$I$110)</f>
        <v>7.1540148575844009</v>
      </c>
      <c r="I132" s="52" cm="1">
        <f t="array" ref="I132">MMS_PastureBeef_Methane_Equations.VEERG_4_2_1_1__3_VolatileSolidProductionFromGrazingBeef(I85,I116,$I$110)</f>
        <v>7.0833500630530546</v>
      </c>
      <c r="J132" s="52" cm="1">
        <f t="array" ref="J132">MMS_PastureBeef_Methane_Equations.VEERG_4_2_1_1__3_VolatileSolidProductionFromGrazingBeef(J85,J116,$I$110)</f>
        <v>7.0833500630530546</v>
      </c>
      <c r="K132" s="52" cm="1">
        <f t="array" ref="K132">MMS_PastureBeef_Methane_Equations.VEERG_4_2_1_1__3_VolatileSolidProductionFromGrazingBeef(K85,K116,$I$110)</f>
        <v>5.7575981375104002</v>
      </c>
      <c r="L132" s="52" cm="1">
        <f t="array" ref="L132">MMS_PastureBeef_Methane_Equations.VEERG_4_2_1_1__3_VolatileSolidProductionFromGrazingBeef(L85,L116,$I$110)</f>
        <v>6.4178433863514002</v>
      </c>
      <c r="M132" s="52" cm="1">
        <f t="array" ref="M132">MMS_PastureBeef_Methane_Equations.VEERG_4_2_1_1__3_VolatileSolidProductionFromGrazingBeef(M85,M116,$I$110)</f>
        <v>6.4178433863514002</v>
      </c>
      <c r="N132" s="52" cm="1">
        <f t="array" ref="N132">MMS_PastureBeef_Methane_Equations.VEERG_4_2_1_1__3_VolatileSolidProductionFromGrazingBeef(N85,N116,$I$110)</f>
        <v>6.4178433863514002</v>
      </c>
      <c r="O132" s="2" t="str">
        <f t="shared" ref="O132:O134" si="4">$E$106</f>
        <v>kg/head/day</v>
      </c>
      <c r="P132" s="2"/>
      <c r="Q132" s="2"/>
      <c r="R132" s="2"/>
      <c r="S132" s="2"/>
      <c r="W132" s="52" t="str">
        <f t="shared" ref="W132:W142" si="5">W116</f>
        <v>February 2024</v>
      </c>
      <c r="X132" s="52" cm="1">
        <f t="array" ref="X132">MMS_PastureBeef_Methane_Equations.VEERG_4_2_1_1__3_VolatileSolidProductionFromGrazingBeef(X77,X116,$I$110)</f>
        <v>6.2463501247103963</v>
      </c>
      <c r="Y132" s="52" cm="1">
        <f t="array" ref="Y132">MMS_PastureBeef_Methane_Equations.VEERG_4_2_1_1__3_VolatileSolidProductionFromGrazingBeef(Y77,Y116,$I$110)</f>
        <v>8.2645387591464008</v>
      </c>
      <c r="Z132" s="52" cm="1">
        <f t="array" ref="Z132">MMS_PastureBeef_Methane_Equations.VEERG_4_2_1_1__3_VolatileSolidProductionFromGrazingBeef(Z77,Z116,$I$110)</f>
        <v>5.2530393974399985</v>
      </c>
      <c r="AA132" s="52" cm="1">
        <f t="array" ref="AA132">MMS_PastureBeef_Methane_Equations.VEERG_4_2_1_1__3_VolatileSolidProductionFromGrazingBeef(AA77,AA116,$I$110)</f>
        <v>6.8788604399850009</v>
      </c>
      <c r="AB132" s="52" cm="1">
        <f t="array" ref="AB132">MMS_PastureBeef_Methane_Equations.VEERG_4_2_1_1__3_VolatileSolidProductionFromGrazingBeef(AB77,AB116,$I$110)</f>
        <v>6.8109135221663992</v>
      </c>
      <c r="AC132" s="52" cm="1">
        <f t="array" ref="AC132">MMS_PastureBeef_Methane_Equations.VEERG_4_2_1_1__3_VolatileSolidProductionFromGrazingBeef(AC77,AC116,$I$110)</f>
        <v>6.8109135221663992</v>
      </c>
      <c r="AD132" s="52" cm="1">
        <f t="array" ref="AD132">MMS_PastureBeef_Methane_Equations.VEERG_4_2_1_1__3_VolatileSolidProductionFromGrazingBeef(AD77,AD116,$I$110)</f>
        <v>5.7575981375104002</v>
      </c>
      <c r="AE132" s="52" cm="1">
        <f t="array" ref="AE132">MMS_PastureBeef_Methane_Equations.VEERG_4_2_1_1__3_VolatileSolidProductionFromGrazingBeef(AE77,AE116,$I$110)</f>
        <v>6.4178433863514002</v>
      </c>
      <c r="AF132" s="52" cm="1">
        <f t="array" ref="AF132">MMS_PastureBeef_Methane_Equations.VEERG_4_2_1_1__3_VolatileSolidProductionFromGrazingBeef(AF77,AF116,$I$110)</f>
        <v>6.4178433863514002</v>
      </c>
      <c r="AG132" s="52" cm="1">
        <f t="array" ref="AG132">MMS_PastureBeef_Methane_Equations.VEERG_4_2_1_1__3_VolatileSolidProductionFromGrazingBeef(AG77,AG116,$I$110)</f>
        <v>6.4178433863514002</v>
      </c>
      <c r="AH132" s="2" t="str">
        <f t="shared" si="3"/>
        <v>kg/head/day</v>
      </c>
      <c r="AI132" s="2"/>
      <c r="AJ132" s="2"/>
    </row>
    <row r="133" spans="4:36" ht="20.100000000000001" customHeight="1" x14ac:dyDescent="0.25">
      <c r="D133" s="52" t="s">
        <v>175</v>
      </c>
      <c r="E133" s="52" cm="1">
        <f t="array" ref="E133">MMS_PastureBeef_Methane_Equations.VEERG_4_2_1_1__3_VolatileSolidProductionFromGrazingBeef(E86,E117,$I$110)</f>
        <v>2.9276791264000002</v>
      </c>
      <c r="F133" s="52" cm="1">
        <f t="array" ref="F133">MMS_PastureBeef_Methane_Equations.VEERG_4_2_1_1__3_VolatileSolidProductionFromGrazingBeef(F86,F117,$I$110)</f>
        <v>8.4972684084825598</v>
      </c>
      <c r="G133" s="52" cm="1">
        <f t="array" ref="G133">MMS_PastureBeef_Methane_Equations.VEERG_4_2_1_1__3_VolatileSolidProductionFromGrazingBeef(G86,G117,$I$110)</f>
        <v>2.6690305649817603</v>
      </c>
      <c r="H133" s="52" cm="1">
        <f t="array" ref="H133">MMS_PastureBeef_Methane_Equations.VEERG_4_2_1_1__3_VolatileSolidProductionFromGrazingBeef(H86,H117,$I$110)</f>
        <v>5.4252657643203923</v>
      </c>
      <c r="I133" s="52" cm="1">
        <f t="array" ref="I133">MMS_PastureBeef_Methane_Equations.VEERG_4_2_1_1__3_VolatileSolidProductionFromGrazingBeef(I86,I117,$I$110)</f>
        <v>6.0569464992069593</v>
      </c>
      <c r="J133" s="52" cm="1">
        <f t="array" ref="J133">MMS_PastureBeef_Methane_Equations.VEERG_4_2_1_1__3_VolatileSolidProductionFromGrazingBeef(J86,J117,$I$110)</f>
        <v>6.0569464992069593</v>
      </c>
      <c r="K133" s="52" cm="1">
        <f t="array" ref="K133">MMS_PastureBeef_Methane_Equations.VEERG_4_2_1_1__3_VolatileSolidProductionFromGrazingBeef(K86,K117,$I$110)</f>
        <v>2.9276791264000002</v>
      </c>
      <c r="L133" s="52" cm="1">
        <f t="array" ref="L133">MMS_PastureBeef_Methane_Equations.VEERG_4_2_1_1__3_VolatileSolidProductionFromGrazingBeef(L86,L117,$I$110)</f>
        <v>5.3152730226265614</v>
      </c>
      <c r="M133" s="52" cm="1">
        <f t="array" ref="M133">MMS_PastureBeef_Methane_Equations.VEERG_4_2_1_1__3_VolatileSolidProductionFromGrazingBeef(M86,M117,$I$110)</f>
        <v>5.3152730226265614</v>
      </c>
      <c r="N133" s="52" cm="1">
        <f t="array" ref="N133">MMS_PastureBeef_Methane_Equations.VEERG_4_2_1_1__3_VolatileSolidProductionFromGrazingBeef(N86,N117,$I$110)</f>
        <v>5.3152730226265614</v>
      </c>
      <c r="O133" s="2" t="str">
        <f t="shared" si="4"/>
        <v>kg/head/day</v>
      </c>
      <c r="P133" s="2"/>
      <c r="Q133" s="2"/>
      <c r="R133" s="2"/>
      <c r="S133" s="2"/>
      <c r="W133" s="52" t="str">
        <f t="shared" si="5"/>
        <v>March 2024</v>
      </c>
      <c r="X133" s="52" cm="1">
        <f t="array" ref="X133">MMS_PastureBeef_Methane_Equations.VEERG_4_2_1_1__3_VolatileSolidProductionFromGrazingBeef(X78,X117,$I$110)</f>
        <v>2.9276791264000002</v>
      </c>
      <c r="Y133" s="52" cm="1">
        <f t="array" ref="Y133">MMS_PastureBeef_Methane_Equations.VEERG_4_2_1_1__3_VolatileSolidProductionFromGrazingBeef(Y78,Y117,$I$110)</f>
        <v>8.4972684084825598</v>
      </c>
      <c r="Z133" s="52" cm="1">
        <f t="array" ref="Z133">MMS_PastureBeef_Methane_Equations.VEERG_4_2_1_1__3_VolatileSolidProductionFromGrazingBeef(Z78,Z117,$I$110)</f>
        <v>2.6690305649817603</v>
      </c>
      <c r="AA133" s="52" cm="1">
        <f t="array" ref="AA133">MMS_PastureBeef_Methane_Equations.VEERG_4_2_1_1__3_VolatileSolidProductionFromGrazingBeef(AA78,AA117,$I$110)</f>
        <v>5.3715502617033586</v>
      </c>
      <c r="AB133" s="52" cm="1">
        <f t="array" ref="AB133">MMS_PastureBeef_Methane_Equations.VEERG_4_2_1_1__3_VolatileSolidProductionFromGrazingBeef(AB78,AB117,$I$110)</f>
        <v>6.0569464992069593</v>
      </c>
      <c r="AC133" s="52" cm="1">
        <f t="array" ref="AC133">MMS_PastureBeef_Methane_Equations.VEERG_4_2_1_1__3_VolatileSolidProductionFromGrazingBeef(AC78,AC117,$I$110)</f>
        <v>6.0569464992069593</v>
      </c>
      <c r="AD133" s="52" cm="1">
        <f t="array" ref="AD133">MMS_PastureBeef_Methane_Equations.VEERG_4_2_1_1__3_VolatileSolidProductionFromGrazingBeef(AD78,AD117,$I$110)</f>
        <v>2.9276791264000002</v>
      </c>
      <c r="AE133" s="52" cm="1">
        <f t="array" ref="AE133">MMS_PastureBeef_Methane_Equations.VEERG_4_2_1_1__3_VolatileSolidProductionFromGrazingBeef(AE78,AE117,$I$110)</f>
        <v>5.3152730226265614</v>
      </c>
      <c r="AF133" s="52" cm="1">
        <f t="array" ref="AF133">MMS_PastureBeef_Methane_Equations.VEERG_4_2_1_1__3_VolatileSolidProductionFromGrazingBeef(AF78,AF117,$I$110)</f>
        <v>5.3152730226265614</v>
      </c>
      <c r="AG133" s="52" cm="1">
        <f t="array" ref="AG133">MMS_PastureBeef_Methane_Equations.VEERG_4_2_1_1__3_VolatileSolidProductionFromGrazingBeef(AG78,AG117,$I$110)</f>
        <v>5.3152730226265614</v>
      </c>
      <c r="AH133" s="2" t="str">
        <f t="shared" si="3"/>
        <v>kg/head/day</v>
      </c>
      <c r="AI133" s="2"/>
      <c r="AJ133" s="2"/>
    </row>
    <row r="134" spans="4:36" ht="20.100000000000001" customHeight="1" x14ac:dyDescent="0.25">
      <c r="D134" s="52" t="s">
        <v>176</v>
      </c>
      <c r="E134" s="52" cm="1">
        <f t="array" ref="E134">MMS_PastureBeef_Methane_Equations.VEERG_4_2_1_1__3_VolatileSolidProductionFromGrazingBeef(E87,E118,$I$110)</f>
        <v>3.9667036115716807</v>
      </c>
      <c r="F134" s="52" cm="1">
        <f t="array" ref="F134">MMS_PastureBeef_Methane_Equations.VEERG_4_2_1_1__3_VolatileSolidProductionFromGrazingBeef(F87,F118,$I$110)</f>
        <v>7.7085709501919997</v>
      </c>
      <c r="G134" s="52" cm="1">
        <f t="array" ref="G134">MMS_PastureBeef_Methane_Equations.VEERG_4_2_1_1__3_VolatileSolidProductionFromGrazingBeef(G87,G118,$I$110)</f>
        <v>3.2478504259320009</v>
      </c>
      <c r="H134" s="52" cm="1">
        <f t="array" ref="H134">MMS_PastureBeef_Methane_Equations.VEERG_4_2_1_1__3_VolatileSolidProductionFromGrazingBeef(H87,H118,$I$110)</f>
        <v>5.5430266006585027</v>
      </c>
      <c r="I134" s="52" cm="1">
        <f t="array" ref="I134">MMS_PastureBeef_Methane_Equations.VEERG_4_2_1_1__3_VolatileSolidProductionFromGrazingBeef(I87,I118,$I$110)</f>
        <v>7.0674068042808713</v>
      </c>
      <c r="J134" s="52" cm="1">
        <f t="array" ref="J134">MMS_PastureBeef_Methane_Equations.VEERG_4_2_1_1__3_VolatileSolidProductionFromGrazingBeef(J87,J118,$I$110)</f>
        <v>7.0674068042808713</v>
      </c>
      <c r="K134" s="52" cm="1">
        <f t="array" ref="K134">MMS_PastureBeef_Methane_Equations.VEERG_4_2_1_1__3_VolatileSolidProductionFromGrazingBeef(K87,K118,$I$110)</f>
        <v>3.4870808063044789</v>
      </c>
      <c r="L134" s="52" cm="1">
        <f t="array" ref="L134">MMS_PastureBeef_Methane_Equations.VEERG_4_2_1_1__3_VolatileSolidProductionFromGrazingBeef(L87,L118,$I$110)</f>
        <v>5.3090206067404795</v>
      </c>
      <c r="M134" s="52" cm="1">
        <f t="array" ref="M134">MMS_PastureBeef_Methane_Equations.VEERG_4_2_1_1__3_VolatileSolidProductionFromGrazingBeef(M87,M118,$I$110)</f>
        <v>5.3090206067404795</v>
      </c>
      <c r="N134" s="52" cm="1">
        <f t="array" ref="N134">MMS_PastureBeef_Methane_Equations.VEERG_4_2_1_1__3_VolatileSolidProductionFromGrazingBeef(N87,N118,$I$110)</f>
        <v>5.3090206067404795</v>
      </c>
      <c r="O134" s="2" t="str">
        <f t="shared" si="4"/>
        <v>kg/head/day</v>
      </c>
      <c r="P134" s="2"/>
      <c r="Q134" s="2"/>
      <c r="R134" s="2"/>
      <c r="S134" s="2"/>
      <c r="W134" s="52" t="str">
        <f t="shared" si="5"/>
        <v>April 2024</v>
      </c>
      <c r="X134" s="52" cm="1">
        <f t="array" ref="X134">MMS_PastureBeef_Methane_Equations.VEERG_4_2_1_1__3_VolatileSolidProductionFromGrazingBeef(X79,X118,$I$110)</f>
        <v>2.9276791264000002</v>
      </c>
      <c r="Y134" s="52" cm="1">
        <f t="array" ref="Y134">MMS_PastureBeef_Methane_Equations.VEERG_4_2_1_1__3_VolatileSolidProductionFromGrazingBeef(Y79,Y118,$I$110)</f>
        <v>8.4972684084825598</v>
      </c>
      <c r="Z134" s="52" cm="1">
        <f t="array" ref="Z134">MMS_PastureBeef_Methane_Equations.VEERG_4_2_1_1__3_VolatileSolidProductionFromGrazingBeef(Z79,Z118,$I$110)</f>
        <v>2.6690305649817603</v>
      </c>
      <c r="AA134" s="52" cm="1">
        <f t="array" ref="AA134">MMS_PastureBeef_Methane_Equations.VEERG_4_2_1_1__3_VolatileSolidProductionFromGrazingBeef(AA79,AA118,$I$110)</f>
        <v>5.3715502617033586</v>
      </c>
      <c r="AB134" s="52" cm="1">
        <f t="array" ref="AB134">MMS_PastureBeef_Methane_Equations.VEERG_4_2_1_1__3_VolatileSolidProductionFromGrazingBeef(AB79,AB118,$I$110)</f>
        <v>6.0569464992069593</v>
      </c>
      <c r="AC134" s="52" cm="1">
        <f t="array" ref="AC134">MMS_PastureBeef_Methane_Equations.VEERG_4_2_1_1__3_VolatileSolidProductionFromGrazingBeef(AC79,AC118,$I$110)</f>
        <v>6.0569464992069593</v>
      </c>
      <c r="AD134" s="52" cm="1">
        <f t="array" ref="AD134">MMS_PastureBeef_Methane_Equations.VEERG_4_2_1_1__3_VolatileSolidProductionFromGrazingBeef(AD79,AD118,$I$110)</f>
        <v>2.9276791264000002</v>
      </c>
      <c r="AE134" s="52" cm="1">
        <f t="array" ref="AE134">MMS_PastureBeef_Methane_Equations.VEERG_4_2_1_1__3_VolatileSolidProductionFromGrazingBeef(AE79,AE118,$I$110)</f>
        <v>5.3152730226265614</v>
      </c>
      <c r="AF134" s="52" cm="1">
        <f t="array" ref="AF134">MMS_PastureBeef_Methane_Equations.VEERG_4_2_1_1__3_VolatileSolidProductionFromGrazingBeef(AF79,AF118,$I$110)</f>
        <v>5.3152730226265614</v>
      </c>
      <c r="AG134" s="52" cm="1">
        <f t="array" ref="AG134">MMS_PastureBeef_Methane_Equations.VEERG_4_2_1_1__3_VolatileSolidProductionFromGrazingBeef(AG79,AG118,$I$110)</f>
        <v>5.3152730226265614</v>
      </c>
      <c r="AH134" s="2" t="str">
        <f t="shared" si="3"/>
        <v>kg/head/day</v>
      </c>
      <c r="AI134" s="2"/>
      <c r="AJ134" s="2"/>
    </row>
    <row r="135" spans="4:36" ht="20.100000000000001" customHeight="1" x14ac:dyDescent="0.25">
      <c r="W135" s="52" t="str">
        <f t="shared" si="5"/>
        <v>May 2024</v>
      </c>
      <c r="X135" s="52" cm="1">
        <f t="array" ref="X135">MMS_PastureBeef_Methane_Equations.VEERG_4_2_1_1__3_VolatileSolidProductionFromGrazingBeef(X80,X119,$I$110)</f>
        <v>2.9276791264000002</v>
      </c>
      <c r="Y135" s="52" cm="1">
        <f t="array" ref="Y135">MMS_PastureBeef_Methane_Equations.VEERG_4_2_1_1__3_VolatileSolidProductionFromGrazingBeef(Y80,Y119,$I$110)</f>
        <v>8.4972684084825598</v>
      </c>
      <c r="Z135" s="52" cm="1">
        <f t="array" ref="Z135">MMS_PastureBeef_Methane_Equations.VEERG_4_2_1_1__3_VolatileSolidProductionFromGrazingBeef(Z80,Z119,$I$110)</f>
        <v>2.6690305649817603</v>
      </c>
      <c r="AA135" s="52" cm="1">
        <f t="array" ref="AA135">MMS_PastureBeef_Methane_Equations.VEERG_4_2_1_1__3_VolatileSolidProductionFromGrazingBeef(AA80,AA119,$I$110)</f>
        <v>5.3715502617033586</v>
      </c>
      <c r="AB135" s="52" cm="1">
        <f t="array" ref="AB135">MMS_PastureBeef_Methane_Equations.VEERG_4_2_1_1__3_VolatileSolidProductionFromGrazingBeef(AB80,AB119,$I$110)</f>
        <v>6.0569464992069593</v>
      </c>
      <c r="AC135" s="52" cm="1">
        <f t="array" ref="AC135">MMS_PastureBeef_Methane_Equations.VEERG_4_2_1_1__3_VolatileSolidProductionFromGrazingBeef(AC80,AC119,$I$110)</f>
        <v>6.0569464992069593</v>
      </c>
      <c r="AD135" s="52" cm="1">
        <f t="array" ref="AD135">MMS_PastureBeef_Methane_Equations.VEERG_4_2_1_1__3_VolatileSolidProductionFromGrazingBeef(AD80,AD119,$I$110)</f>
        <v>2.9276791264000002</v>
      </c>
      <c r="AE135" s="52" cm="1">
        <f t="array" ref="AE135">MMS_PastureBeef_Methane_Equations.VEERG_4_2_1_1__3_VolatileSolidProductionFromGrazingBeef(AE80,AE119,$I$110)</f>
        <v>5.3152730226265614</v>
      </c>
      <c r="AF135" s="52" cm="1">
        <f t="array" ref="AF135">MMS_PastureBeef_Methane_Equations.VEERG_4_2_1_1__3_VolatileSolidProductionFromGrazingBeef(AF80,AF119,$I$110)</f>
        <v>5.3152730226265614</v>
      </c>
      <c r="AG135" s="52" cm="1">
        <f t="array" ref="AG135">MMS_PastureBeef_Methane_Equations.VEERG_4_2_1_1__3_VolatileSolidProductionFromGrazingBeef(AG80,AG119,$I$110)</f>
        <v>5.3152730226265614</v>
      </c>
      <c r="AH135" s="2" t="str">
        <f t="shared" si="3"/>
        <v>kg/head/day</v>
      </c>
      <c r="AI135" s="2"/>
      <c r="AJ135" s="2"/>
    </row>
    <row r="136" spans="4:36" ht="20.100000000000001" customHeight="1" x14ac:dyDescent="0.25">
      <c r="W136" s="52" t="str">
        <f t="shared" si="5"/>
        <v>June 2024</v>
      </c>
      <c r="X136" s="52" cm="1">
        <f t="array" ref="X136">MMS_PastureBeef_Methane_Equations.VEERG_4_2_1_1__3_VolatileSolidProductionFromGrazingBeef(X81,X120,$I$110)</f>
        <v>3.9667036115716807</v>
      </c>
      <c r="Y136" s="52" cm="1">
        <f t="array" ref="Y136">MMS_PastureBeef_Methane_Equations.VEERG_4_2_1_1__3_VolatileSolidProductionFromGrazingBeef(Y81,Y120,$I$110)</f>
        <v>7.7085709501919997</v>
      </c>
      <c r="Z136" s="52" cm="1">
        <f t="array" ref="Z136">MMS_PastureBeef_Methane_Equations.VEERG_4_2_1_1__3_VolatileSolidProductionFromGrazingBeef(Z81,Z120,$I$110)</f>
        <v>3.2478504259320009</v>
      </c>
      <c r="AA136" s="52" cm="1">
        <f t="array" ref="AA136">MMS_PastureBeef_Methane_Equations.VEERG_4_2_1_1__3_VolatileSolidProductionFromGrazingBeef(AA81,AA120,$I$110)</f>
        <v>4.581013719552482</v>
      </c>
      <c r="AB136" s="52" cm="1">
        <f t="array" ref="AB136">MMS_PastureBeef_Methane_Equations.VEERG_4_2_1_1__3_VolatileSolidProductionFromGrazingBeef(AB81,AB120,$I$110)</f>
        <v>6.1455711341572794</v>
      </c>
      <c r="AC136" s="52" cm="1">
        <f t="array" ref="AC136">MMS_PastureBeef_Methane_Equations.VEERG_4_2_1_1__3_VolatileSolidProductionFromGrazingBeef(AC81,AC120,$I$110)</f>
        <v>6.1455711341572794</v>
      </c>
      <c r="AD136" s="52" cm="1">
        <f t="array" ref="AD136">MMS_PastureBeef_Methane_Equations.VEERG_4_2_1_1__3_VolatileSolidProductionFromGrazingBeef(AD81,AD120,$I$110)</f>
        <v>3.4870808063044789</v>
      </c>
      <c r="AE136" s="52" cm="1">
        <f t="array" ref="AE136">MMS_PastureBeef_Methane_Equations.VEERG_4_2_1_1__3_VolatileSolidProductionFromGrazingBeef(AE81,AE120,$I$110)</f>
        <v>5.3090206067404795</v>
      </c>
      <c r="AF136" s="52" cm="1">
        <f t="array" ref="AF136">MMS_PastureBeef_Methane_Equations.VEERG_4_2_1_1__3_VolatileSolidProductionFromGrazingBeef(AF81,AF120,$I$110)</f>
        <v>5.3090206067404795</v>
      </c>
      <c r="AG136" s="52" cm="1">
        <f t="array" ref="AG136">MMS_PastureBeef_Methane_Equations.VEERG_4_2_1_1__3_VolatileSolidProductionFromGrazingBeef(AG81,AG120,$I$110)</f>
        <v>5.3090206067404795</v>
      </c>
      <c r="AH136" s="2" t="str">
        <f t="shared" si="3"/>
        <v>kg/head/day</v>
      </c>
      <c r="AI136" s="2"/>
      <c r="AJ136" s="2"/>
    </row>
    <row r="137" spans="4:36" ht="20.100000000000001" customHeight="1" x14ac:dyDescent="0.25">
      <c r="W137" s="52" t="str">
        <f t="shared" si="5"/>
        <v>July 2024</v>
      </c>
      <c r="X137" s="52" cm="1">
        <f t="array" ref="X137">MMS_PastureBeef_Methane_Equations.VEERG_4_2_1_1__3_VolatileSolidProductionFromGrazingBeef(X82,X121,$I$110)</f>
        <v>3.9667036115716807</v>
      </c>
      <c r="Y137" s="52" cm="1">
        <f t="array" ref="Y137">MMS_PastureBeef_Methane_Equations.VEERG_4_2_1_1__3_VolatileSolidProductionFromGrazingBeef(Y82,Y121,$I$110)</f>
        <v>7.7085709501919997</v>
      </c>
      <c r="Z137" s="52" cm="1">
        <f t="array" ref="Z137">MMS_PastureBeef_Methane_Equations.VEERG_4_2_1_1__3_VolatileSolidProductionFromGrazingBeef(Z82,Z121,$I$110)</f>
        <v>3.2478504259320009</v>
      </c>
      <c r="AA137" s="52" cm="1">
        <f t="array" ref="AA137">MMS_PastureBeef_Methane_Equations.VEERG_4_2_1_1__3_VolatileSolidProductionFromGrazingBeef(AA82,AA121,$I$110)</f>
        <v>4.581013719552482</v>
      </c>
      <c r="AB137" s="52" cm="1">
        <f t="array" ref="AB137">MMS_PastureBeef_Methane_Equations.VEERG_4_2_1_1__3_VolatileSolidProductionFromGrazingBeef(AB82,AB121,$I$110)</f>
        <v>6.1455711341572794</v>
      </c>
      <c r="AC137" s="52" cm="1">
        <f t="array" ref="AC137">MMS_PastureBeef_Methane_Equations.VEERG_4_2_1_1__3_VolatileSolidProductionFromGrazingBeef(AC82,AC121,$I$110)</f>
        <v>6.1455711341572794</v>
      </c>
      <c r="AD137" s="52" cm="1">
        <f t="array" ref="AD137">MMS_PastureBeef_Methane_Equations.VEERG_4_2_1_1__3_VolatileSolidProductionFromGrazingBeef(AD82,AD121,$I$110)</f>
        <v>3.4870808063044789</v>
      </c>
      <c r="AE137" s="52" cm="1">
        <f t="array" ref="AE137">MMS_PastureBeef_Methane_Equations.VEERG_4_2_1_1__3_VolatileSolidProductionFromGrazingBeef(AE82,AE121,$I$110)</f>
        <v>5.3090206067404795</v>
      </c>
      <c r="AF137" s="52" cm="1">
        <f t="array" ref="AF137">MMS_PastureBeef_Methane_Equations.VEERG_4_2_1_1__3_VolatileSolidProductionFromGrazingBeef(AF82,AF121,$I$110)</f>
        <v>5.3090206067404795</v>
      </c>
      <c r="AG137" s="52" cm="1">
        <f t="array" ref="AG137">MMS_PastureBeef_Methane_Equations.VEERG_4_2_1_1__3_VolatileSolidProductionFromGrazingBeef(AG82,AG121,$I$110)</f>
        <v>5.3090206067404795</v>
      </c>
      <c r="AH137" s="2" t="str">
        <f t="shared" si="3"/>
        <v>kg/head/day</v>
      </c>
      <c r="AI137" s="2"/>
      <c r="AJ137" s="2"/>
    </row>
    <row r="138" spans="4:36" ht="20.100000000000001" customHeight="1" x14ac:dyDescent="0.25">
      <c r="W138" s="52" t="str">
        <f t="shared" si="5"/>
        <v>August 2024</v>
      </c>
      <c r="X138" s="52" cm="1">
        <f t="array" ref="X138">MMS_PastureBeef_Methane_Equations.VEERG_4_2_1_1__3_VolatileSolidProductionFromGrazingBeef(X83,X122,$I$110)</f>
        <v>3.9667036115716807</v>
      </c>
      <c r="Y138" s="52" cm="1">
        <f t="array" ref="Y138">MMS_PastureBeef_Methane_Equations.VEERG_4_2_1_1__3_VolatileSolidProductionFromGrazingBeef(Y83,Y122,$I$110)</f>
        <v>7.7085709501919997</v>
      </c>
      <c r="Z138" s="52" cm="1">
        <f t="array" ref="Z138">MMS_PastureBeef_Methane_Equations.VEERG_4_2_1_1__3_VolatileSolidProductionFromGrazingBeef(Z83,Z122,$I$110)</f>
        <v>3.2478504259320009</v>
      </c>
      <c r="AA138" s="52" cm="1">
        <f t="array" ref="AA138">MMS_PastureBeef_Methane_Equations.VEERG_4_2_1_1__3_VolatileSolidProductionFromGrazingBeef(AA83,AA122,$I$110)</f>
        <v>5.6117418064517919</v>
      </c>
      <c r="AB138" s="52" cm="1">
        <f t="array" ref="AB138">MMS_PastureBeef_Methane_Equations.VEERG_4_2_1_1__3_VolatileSolidProductionFromGrazingBeef(AB83,AB122,$I$110)</f>
        <v>7.5283246393426682</v>
      </c>
      <c r="AC138" s="52" cm="1">
        <f t="array" ref="AC138">MMS_PastureBeef_Methane_Equations.VEERG_4_2_1_1__3_VolatileSolidProductionFromGrazingBeef(AC83,AC122,$I$110)</f>
        <v>7.5283246393426682</v>
      </c>
      <c r="AD138" s="52" cm="1">
        <f t="array" ref="AD138">MMS_PastureBeef_Methane_Equations.VEERG_4_2_1_1__3_VolatileSolidProductionFromGrazingBeef(AD83,AD122,$I$110)</f>
        <v>3.4870808063044789</v>
      </c>
      <c r="AE138" s="52" cm="1">
        <f t="array" ref="AE138">MMS_PastureBeef_Methane_Equations.VEERG_4_2_1_1__3_VolatileSolidProductionFromGrazingBeef(AE83,AE122,$I$110)</f>
        <v>5.3090206067404795</v>
      </c>
      <c r="AF138" s="52" cm="1">
        <f t="array" ref="AF138">MMS_PastureBeef_Methane_Equations.VEERG_4_2_1_1__3_VolatileSolidProductionFromGrazingBeef(AF83,AF122,$I$110)</f>
        <v>5.3090206067404795</v>
      </c>
      <c r="AG138" s="52" cm="1">
        <f t="array" ref="AG138">MMS_PastureBeef_Methane_Equations.VEERG_4_2_1_1__3_VolatileSolidProductionFromGrazingBeef(AG83,AG122,$I$110)</f>
        <v>5.3090206067404795</v>
      </c>
      <c r="AH138" s="2" t="str">
        <f t="shared" si="3"/>
        <v>kg/head/day</v>
      </c>
      <c r="AI138" s="2"/>
      <c r="AJ138" s="2"/>
    </row>
    <row r="139" spans="4:36" ht="20.100000000000001" customHeight="1" x14ac:dyDescent="0.25">
      <c r="W139" s="52" t="str">
        <f t="shared" si="5"/>
        <v>September 2024</v>
      </c>
      <c r="X139" s="52" cm="1">
        <f t="array" ref="X139">MMS_PastureBeef_Methane_Equations.VEERG_4_2_1_1__3_VolatileSolidProductionFromGrazingBeef(X84,X123,$I$110)</f>
        <v>6.7008751750348807</v>
      </c>
      <c r="Y139" s="52" cm="1">
        <f t="array" ref="Y139">MMS_PastureBeef_Methane_Equations.VEERG_4_2_1_1__3_VolatileSolidProductionFromGrazingBeef(Y84,Y123,$I$110)</f>
        <v>9.4640953932000045</v>
      </c>
      <c r="Z139" s="52" cm="1">
        <f t="array" ref="Z139">MMS_PastureBeef_Methane_Equations.VEERG_4_2_1_1__3_VolatileSolidProductionFromGrazingBeef(Z84,Z123,$I$110)</f>
        <v>5.1074052339844807</v>
      </c>
      <c r="AA139" s="52" cm="1">
        <f t="array" ref="AA139">MMS_PastureBeef_Methane_Equations.VEERG_4_2_1_1__3_VolatileSolidProductionFromGrazingBeef(AA84,AA123,$I$110)</f>
        <v>8.2106350665466703</v>
      </c>
      <c r="AB139" s="52" cm="1">
        <f t="array" ref="AB139">MMS_PastureBeef_Methane_Equations.VEERG_4_2_1_1__3_VolatileSolidProductionFromGrazingBeef(AB84,AB123,$I$110)</f>
        <v>9.1175617580208037</v>
      </c>
      <c r="AC139" s="52" cm="1">
        <f t="array" ref="AC139">MMS_PastureBeef_Methane_Equations.VEERG_4_2_1_1__3_VolatileSolidProductionFromGrazingBeef(AC84,AC123,$I$110)</f>
        <v>9.1175617580208037</v>
      </c>
      <c r="AD139" s="52" cm="1">
        <f t="array" ref="AD139">MMS_PastureBeef_Methane_Equations.VEERG_4_2_1_1__3_VolatileSolidProductionFromGrazingBeef(AD84,AD123,$I$110)</f>
        <v>5.8881611063519994</v>
      </c>
      <c r="AE139" s="52" cm="1">
        <f t="array" ref="AE139">MMS_PastureBeef_Methane_Equations.VEERG_4_2_1_1__3_VolatileSolidProductionFromGrazingBeef(AE84,AE123,$I$110)</f>
        <v>7.4825803240876798</v>
      </c>
      <c r="AF139" s="52" cm="1">
        <f t="array" ref="AF139">MMS_PastureBeef_Methane_Equations.VEERG_4_2_1_1__3_VolatileSolidProductionFromGrazingBeef(AF84,AF123,$I$110)</f>
        <v>7.4825803240876798</v>
      </c>
      <c r="AG139" s="52" cm="1">
        <f t="array" ref="AG139">MMS_PastureBeef_Methane_Equations.VEERG_4_2_1_1__3_VolatileSolidProductionFromGrazingBeef(AG84,AG123,$I$110)</f>
        <v>7.4825803240876798</v>
      </c>
      <c r="AH139" s="2" t="str">
        <f t="shared" si="3"/>
        <v>kg/head/day</v>
      </c>
      <c r="AI139" s="2"/>
      <c r="AJ139" s="2"/>
    </row>
    <row r="140" spans="4:36" ht="20.100000000000001" customHeight="1" x14ac:dyDescent="0.25">
      <c r="W140" s="52" t="str">
        <f t="shared" si="5"/>
        <v>October 2024</v>
      </c>
      <c r="X140" s="52" cm="1">
        <f t="array" ref="X140">MMS_PastureBeef_Methane_Equations.VEERG_4_2_1_1__3_VolatileSolidProductionFromGrazingBeef(X85,X124,$I$110)</f>
        <v>6.7008751750348807</v>
      </c>
      <c r="Y140" s="52" cm="1">
        <f t="array" ref="Y140">MMS_PastureBeef_Methane_Equations.VEERG_4_2_1_1__3_VolatileSolidProductionFromGrazingBeef(Y85,Y124,$I$110)</f>
        <v>9.4640953932000045</v>
      </c>
      <c r="Z140" s="52" cm="1">
        <f t="array" ref="Z140">MMS_PastureBeef_Methane_Equations.VEERG_4_2_1_1__3_VolatileSolidProductionFromGrazingBeef(Z85,Z124,$I$110)</f>
        <v>5.1074052339844807</v>
      </c>
      <c r="AA140" s="52" cm="1">
        <f t="array" ref="AA140">MMS_PastureBeef_Methane_Equations.VEERG_4_2_1_1__3_VolatileSolidProductionFromGrazingBeef(AA85,AA124,$I$110)</f>
        <v>8.2106350665466703</v>
      </c>
      <c r="AB140" s="52" cm="1">
        <f t="array" ref="AB140">MMS_PastureBeef_Methane_Equations.VEERG_4_2_1_1__3_VolatileSolidProductionFromGrazingBeef(AB85,AB124,$I$110)</f>
        <v>9.1175617580208037</v>
      </c>
      <c r="AC140" s="52" cm="1">
        <f t="array" ref="AC140">MMS_PastureBeef_Methane_Equations.VEERG_4_2_1_1__3_VolatileSolidProductionFromGrazingBeef(AC85,AC124,$I$110)</f>
        <v>9.1175617580208037</v>
      </c>
      <c r="AD140" s="52" cm="1">
        <f t="array" ref="AD140">MMS_PastureBeef_Methane_Equations.VEERG_4_2_1_1__3_VolatileSolidProductionFromGrazingBeef(AD85,AD124,$I$110)</f>
        <v>5.8881611063519994</v>
      </c>
      <c r="AE140" s="52" cm="1">
        <f t="array" ref="AE140">MMS_PastureBeef_Methane_Equations.VEERG_4_2_1_1__3_VolatileSolidProductionFromGrazingBeef(AE85,AE124,$I$110)</f>
        <v>7.4825803240876798</v>
      </c>
      <c r="AF140" s="52" cm="1">
        <f t="array" ref="AF140">MMS_PastureBeef_Methane_Equations.VEERG_4_2_1_1__3_VolatileSolidProductionFromGrazingBeef(AF85,AF124,$I$110)</f>
        <v>7.4825803240876798</v>
      </c>
      <c r="AG140" s="52" cm="1">
        <f t="array" ref="AG140">MMS_PastureBeef_Methane_Equations.VEERG_4_2_1_1__3_VolatileSolidProductionFromGrazingBeef(AG85,AG124,$I$110)</f>
        <v>7.4825803240876798</v>
      </c>
      <c r="AH140" s="2" t="str">
        <f t="shared" si="3"/>
        <v>kg/head/day</v>
      </c>
      <c r="AI140" s="2"/>
      <c r="AJ140" s="2"/>
    </row>
    <row r="141" spans="4:36" ht="20.100000000000001" customHeight="1" x14ac:dyDescent="0.25">
      <c r="W141" s="52" t="str">
        <f t="shared" si="5"/>
        <v>November 2024</v>
      </c>
      <c r="X141" s="52" cm="1">
        <f t="array" ref="X141">MMS_PastureBeef_Methane_Equations.VEERG_4_2_1_1__3_VolatileSolidProductionFromGrazingBeef(X86,X125,$I$110)</f>
        <v>6.7008751750348807</v>
      </c>
      <c r="Y141" s="52" cm="1">
        <f t="array" ref="Y141">MMS_PastureBeef_Methane_Equations.VEERG_4_2_1_1__3_VolatileSolidProductionFromGrazingBeef(Y86,Y125,$I$110)</f>
        <v>9.4640953932000045</v>
      </c>
      <c r="Z141" s="52" cm="1">
        <f t="array" ref="Z141">MMS_PastureBeef_Methane_Equations.VEERG_4_2_1_1__3_VolatileSolidProductionFromGrazingBeef(Z86,Z125,$I$110)</f>
        <v>5.1074052339844807</v>
      </c>
      <c r="AA141" s="52" cm="1">
        <f t="array" ref="AA141">MMS_PastureBeef_Methane_Equations.VEERG_4_2_1_1__3_VolatileSolidProductionFromGrazingBeef(AA86,AA125,$I$110)</f>
        <v>7.2052511808470792</v>
      </c>
      <c r="AB141" s="52" cm="1">
        <f t="array" ref="AB141">MMS_PastureBeef_Methane_Equations.VEERG_4_2_1_1__3_VolatileSolidProductionFromGrazingBeef(AB86,AB125,$I$110)</f>
        <v>8.0011256243856028</v>
      </c>
      <c r="AC141" s="52" cm="1">
        <f t="array" ref="AC141">MMS_PastureBeef_Methane_Equations.VEERG_4_2_1_1__3_VolatileSolidProductionFromGrazingBeef(AC86,AC125,$I$110)</f>
        <v>8.0011256243856028</v>
      </c>
      <c r="AD141" s="52" cm="1">
        <f t="array" ref="AD141">MMS_PastureBeef_Methane_Equations.VEERG_4_2_1_1__3_VolatileSolidProductionFromGrazingBeef(AD86,AD125,$I$110)</f>
        <v>5.8881611063519994</v>
      </c>
      <c r="AE141" s="52" cm="1">
        <f t="array" ref="AE141">MMS_PastureBeef_Methane_Equations.VEERG_4_2_1_1__3_VolatileSolidProductionFromGrazingBeef(AE86,AE125,$I$110)</f>
        <v>7.4825803240876798</v>
      </c>
      <c r="AF141" s="52" cm="1">
        <f t="array" ref="AF141">MMS_PastureBeef_Methane_Equations.VEERG_4_2_1_1__3_VolatileSolidProductionFromGrazingBeef(AF86,AF125,$I$110)</f>
        <v>7.4825803240876798</v>
      </c>
      <c r="AG141" s="52" cm="1">
        <f t="array" ref="AG141">MMS_PastureBeef_Methane_Equations.VEERG_4_2_1_1__3_VolatileSolidProductionFromGrazingBeef(AG86,AG125,$I$110)</f>
        <v>7.4825803240876798</v>
      </c>
      <c r="AH141" s="2" t="str">
        <f t="shared" si="3"/>
        <v>kg/head/day</v>
      </c>
      <c r="AI141" s="2"/>
      <c r="AJ141" s="2"/>
    </row>
    <row r="142" spans="4:36" ht="20.100000000000001" customHeight="1" x14ac:dyDescent="0.25">
      <c r="W142" s="52" t="str">
        <f t="shared" si="5"/>
        <v>December 2024</v>
      </c>
      <c r="X142" s="52" cm="1">
        <f t="array" ref="X142">MMS_PastureBeef_Methane_Equations.VEERG_4_2_1_1__3_VolatileSolidProductionFromGrazingBeef(X87,X126,$I$110)</f>
        <v>6.2463501247103963</v>
      </c>
      <c r="Y142" s="52" cm="1">
        <f t="array" ref="Y142">MMS_PastureBeef_Methane_Equations.VEERG_4_2_1_1__3_VolatileSolidProductionFromGrazingBeef(Y87,Y126,$I$110)</f>
        <v>8.2645387591464008</v>
      </c>
      <c r="Z142" s="52" cm="1">
        <f t="array" ref="Z142">MMS_PastureBeef_Methane_Equations.VEERG_4_2_1_1__3_VolatileSolidProductionFromGrazingBeef(Z87,Z126,$I$110)</f>
        <v>5.2530393974399985</v>
      </c>
      <c r="AA142" s="52" cm="1">
        <f t="array" ref="AA142">MMS_PastureBeef_Methane_Equations.VEERG_4_2_1_1__3_VolatileSolidProductionFromGrazingBeef(AA87,AA126,$I$110)</f>
        <v>7.3947749729838765</v>
      </c>
      <c r="AB142" s="52" cm="1">
        <f t="array" ref="AB142">MMS_PastureBeef_Methane_Equations.VEERG_4_2_1_1__3_VolatileSolidProductionFromGrazingBeef(AB87,AB126,$I$110)</f>
        <v>7.3217320363288785</v>
      </c>
      <c r="AC142" s="52" cm="1">
        <f t="array" ref="AC142">MMS_PastureBeef_Methane_Equations.VEERG_4_2_1_1__3_VolatileSolidProductionFromGrazingBeef(AC87,AC126,$I$110)</f>
        <v>7.3217320363288785</v>
      </c>
      <c r="AD142" s="52" cm="1">
        <f t="array" ref="AD142">MMS_PastureBeef_Methane_Equations.VEERG_4_2_1_1__3_VolatileSolidProductionFromGrazingBeef(AD87,AD126,$I$110)</f>
        <v>5.7575981375104002</v>
      </c>
      <c r="AE142" s="52" cm="1">
        <f t="array" ref="AE142">MMS_PastureBeef_Methane_Equations.VEERG_4_2_1_1__3_VolatileSolidProductionFromGrazingBeef(AE87,AE126,$I$110)</f>
        <v>6.4178433863514002</v>
      </c>
      <c r="AF142" s="52" cm="1">
        <f t="array" ref="AF142">MMS_PastureBeef_Methane_Equations.VEERG_4_2_1_1__3_VolatileSolidProductionFromGrazingBeef(AF87,AF126,$I$110)</f>
        <v>6.4178433863514002</v>
      </c>
      <c r="AG142" s="52" cm="1">
        <f t="array" ref="AG142">MMS_PastureBeef_Methane_Equations.VEERG_4_2_1_1__3_VolatileSolidProductionFromGrazingBeef(AG87,AG126,$I$110)</f>
        <v>6.4178433863514002</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5"/>
      <c r="D145" s="45"/>
      <c r="E145" s="45"/>
      <c r="F145" s="45"/>
      <c r="G145" s="45"/>
      <c r="H145" s="45"/>
      <c r="I145" s="45"/>
      <c r="J145" s="45"/>
      <c r="K145" s="45"/>
      <c r="L145" s="45"/>
      <c r="M145" s="45"/>
      <c r="N145" s="45"/>
      <c r="O145" s="45"/>
      <c r="P145" s="45"/>
      <c r="Q145" s="45"/>
      <c r="R145" s="45"/>
      <c r="S145" s="45"/>
      <c r="T145" s="45"/>
      <c r="V145" s="45"/>
      <c r="W145" s="45"/>
      <c r="X145" s="45"/>
      <c r="Y145" s="45"/>
      <c r="Z145" s="45"/>
      <c r="AA145" s="45"/>
      <c r="AB145" s="45"/>
      <c r="AC145" s="45"/>
      <c r="AD145" s="45"/>
      <c r="AE145" s="45"/>
      <c r="AF145" s="45"/>
      <c r="AG145" s="45"/>
      <c r="AH145" s="45"/>
      <c r="AI145" s="45"/>
      <c r="AJ145" s="45"/>
      <c r="AK145" s="45"/>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27</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3" t="s">
        <v>30</v>
      </c>
      <c r="E151" s="1" t="str" cm="1">
        <f t="array" ref="E151">MMS_PastureBeef_Methane_Equations.VEERG_4_2_1_1__2_MethaneProductionFromManure_Variable()</f>
        <v>M_jklm</v>
      </c>
    </row>
    <row r="152" spans="3:37" ht="20.100000000000001" customHeight="1" x14ac:dyDescent="0.25">
      <c r="D152" s="53" t="s">
        <v>20</v>
      </c>
      <c r="E152" s="54"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21" t="str" cm="1">
        <f t="array" ref="D154:E160">_xlfn.CHOOSECOLS(MMS_PastureBeef_Methane_Equations.VEERG_4_2_1_1__2_MethaneProductionFromManure_Arguments(), 1, 2)</f>
        <v>VS_jkl</v>
      </c>
      <c r="E154" s="126" t="str">
        <v>volatile solid production</v>
      </c>
      <c r="F154" s="125"/>
      <c r="G154" s="121" t="str" cm="1">
        <f t="array" ref="G154:H160">_xlfn.CHOOSECOLS(MMS_PastureBeef_Methane_Equations.VEERG_4_2_1_1__2_MethaneProductionFromManure_Arguments(), 3,4)</f>
        <v>kg/day</v>
      </c>
      <c r="H154" s="122" t="str">
        <v>Calculated from 4.2.1.1 (3)</v>
      </c>
      <c r="I154" s="120" t="str" cm="1">
        <f t="array" aca="1" ref="I154" ca="1">HYPERLINK(Common_InputFunctions.Utility_SourceHyperlink($D$128), $D$128)</f>
        <v>M1_Table_VS_j_k_l</v>
      </c>
    </row>
    <row r="155" spans="3:37" ht="20.100000000000001" customHeight="1" x14ac:dyDescent="0.25">
      <c r="D155" s="121" t="str">
        <v>B_o</v>
      </c>
      <c r="E155" s="126" t="str">
        <v>emissions potential</v>
      </c>
      <c r="F155" s="125"/>
      <c r="G155" s="121" t="str">
        <v>m3 CH4/kg VS</v>
      </c>
      <c r="H155" s="122" t="str">
        <v>Constant</v>
      </c>
      <c r="I155" s="121">
        <f>'Constants - Pature Beef'!$D$428</f>
        <v>0.19</v>
      </c>
    </row>
    <row r="156" spans="3:37" ht="20.100000000000001" customHeight="1" x14ac:dyDescent="0.25">
      <c r="D156" s="121" t="str">
        <v>MMS_m</v>
      </c>
      <c r="E156" s="126" t="str">
        <v>fraction of waste in each manure management system</v>
      </c>
      <c r="F156" s="125"/>
      <c r="G156" s="121" t="str">
        <v>fraction</v>
      </c>
      <c r="H156" s="123" t="str">
        <v>Input</v>
      </c>
      <c r="I156" s="120" t="str" cm="1">
        <f t="array" aca="1" ref="I156" ca="1">HYPERLINK(Common_InputFunctions.Utility_SourceHyperlink($D$162), $D$162)</f>
        <v>Table_MMS_m</v>
      </c>
    </row>
    <row r="157" spans="3:37" ht="20.100000000000001" customHeight="1" x14ac:dyDescent="0.25">
      <c r="D157" s="121" t="str">
        <v>MCF_im</v>
      </c>
      <c r="E157" s="126" t="str">
        <v>methane conversion factor for temperature zone and MMS</v>
      </c>
      <c r="F157" s="125"/>
      <c r="G157" s="121" t="str">
        <v>fraction</v>
      </c>
      <c r="H157" s="122" t="str">
        <v>Constant</v>
      </c>
      <c r="I157" s="120" t="str" cm="1">
        <f t="array" aca="1" ref="I157" ca="1">HYPERLINK(Common_InputFunctions.Utility_SourceHyperlink($D$168), $D$168)</f>
        <v>M1_Table_MCF_i_m</v>
      </c>
    </row>
    <row r="158" spans="3:37" ht="20.100000000000001" customHeight="1" x14ac:dyDescent="0.25">
      <c r="D158" s="121" t="str">
        <v>rho</v>
      </c>
      <c r="E158" s="126" t="str">
        <v>density of methane</v>
      </c>
      <c r="F158" s="125"/>
      <c r="G158" s="121" t="str">
        <v>kg/m3</v>
      </c>
      <c r="H158" s="122" t="str">
        <v>Constant</v>
      </c>
      <c r="I158" s="121">
        <f>'Constants - Common'!$D$175</f>
        <v>0.6784</v>
      </c>
    </row>
    <row r="159" spans="3:37" ht="20.100000000000001" customHeight="1" x14ac:dyDescent="0.25">
      <c r="D159" s="121" t="str">
        <v>i</v>
      </c>
      <c r="E159" s="126" t="str">
        <v>state</v>
      </c>
      <c r="F159" s="125"/>
      <c r="G159" s="121" t="str">
        <v/>
      </c>
      <c r="H159" s="123" t="str">
        <v>Input</v>
      </c>
      <c r="I159" s="121" t="str">
        <f>'Input - Pasture Beef'!$E$7</f>
        <v>Western Australia</v>
      </c>
    </row>
    <row r="160" spans="3:37" ht="20.100000000000001" customHeight="1" x14ac:dyDescent="0.25">
      <c r="D160" s="121" t="str">
        <v>i</v>
      </c>
      <c r="E160" s="126" t="str">
        <v>region</v>
      </c>
      <c r="F160" s="125"/>
      <c r="G160" s="121" t="str">
        <v/>
      </c>
      <c r="H160" s="123" t="str">
        <v>Input</v>
      </c>
      <c r="I160" s="121" t="str">
        <f>'Input - Pasture Beef'!$E$8</f>
        <v>South West</v>
      </c>
    </row>
    <row r="161" spans="4:34" ht="20.100000000000001" customHeight="1" x14ac:dyDescent="0.25"/>
    <row r="162" spans="4:34" ht="20.100000000000001" customHeight="1" x14ac:dyDescent="0.25">
      <c r="D162" s="99" t="s">
        <v>269</v>
      </c>
    </row>
    <row r="163" spans="4:34" ht="20.100000000000001" customHeight="1" x14ac:dyDescent="0.25">
      <c r="D163" s="98" t="s">
        <v>268</v>
      </c>
      <c r="X163" s="1" t="str">
        <f>'Input - Site'!E33</f>
        <v>Temperate</v>
      </c>
    </row>
    <row r="164" spans="4:34" ht="20.100000000000001" customHeight="1" x14ac:dyDescent="0.25">
      <c r="D164" s="51" t="s">
        <v>68</v>
      </c>
      <c r="E164" s="124" t="s">
        <v>349</v>
      </c>
      <c r="F164" s="2" t="s">
        <v>141</v>
      </c>
    </row>
    <row r="165" spans="4:34" ht="20.100000000000001" customHeight="1" x14ac:dyDescent="0.25">
      <c r="D165" s="52" t="str">
        <f>'Input - Pasture Beef'!$D$179</f>
        <v>Pasture range and paddock</v>
      </c>
      <c r="E165" s="52">
        <f>'Input - Pasture Beef'!$E$179</f>
        <v>0.99621999999999999</v>
      </c>
      <c r="F165" s="2" t="s">
        <v>141</v>
      </c>
    </row>
    <row r="166" spans="4:34" ht="20.100000000000001" customHeight="1" x14ac:dyDescent="0.25">
      <c r="D166" s="52" t="str">
        <f>'Input - Pasture Beef'!$D$180</f>
        <v>Anaerobic lagoon</v>
      </c>
      <c r="E166" s="52">
        <f>'Input - Pasture Beef'!$E$180</f>
        <v>3.7799999999999999E-3</v>
      </c>
    </row>
    <row r="167" spans="4:34" ht="20.100000000000001" customHeight="1" x14ac:dyDescent="0.25"/>
    <row r="168" spans="4:34" ht="20.100000000000001" customHeight="1" x14ac:dyDescent="0.25">
      <c r="D168" s="99" t="s">
        <v>145</v>
      </c>
      <c r="W168" s="99" t="s">
        <v>145</v>
      </c>
    </row>
    <row r="169" spans="4:34" ht="20.100000000000001" customHeight="1" x14ac:dyDescent="0.25">
      <c r="D169" s="98" t="s">
        <v>270</v>
      </c>
      <c r="W169" s="98" t="s">
        <v>270</v>
      </c>
    </row>
    <row r="170" spans="4:34" ht="20.100000000000001" customHeight="1" x14ac:dyDescent="0.25">
      <c r="D170" s="51" t="s">
        <v>68</v>
      </c>
      <c r="E170" s="51" t="s">
        <v>99</v>
      </c>
      <c r="W170" s="51" t="s">
        <v>68</v>
      </c>
      <c r="X170" s="51" t="s">
        <v>99</v>
      </c>
    </row>
    <row r="171" spans="4:34" ht="20.100000000000001" customHeight="1" x14ac:dyDescent="0.25">
      <c r="D171" s="52" t="str">
        <f>'Input - Pasture Beef'!$D$179</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2" t="str">
        <f>'Input - Pasture Beef'!$D$179</f>
        <v>Pasture range and paddock</v>
      </c>
      <c r="X171" s="52" cm="1">
        <f t="array" ref="X171">Common_InputFunctions.Common_GetMCFTemperatureZone($X$163, W171,Table_SourceData_Common_MCFTemperatureZone[MAT raw],Table_SourceData_Common_MCFTemperatureZone[#Headers],Table_SourceData_Common_MCFTemperatureZone[])</f>
        <v>4.7000000000000002E-3</v>
      </c>
    </row>
    <row r="172" spans="4:34" ht="20.100000000000001" customHeight="1" x14ac:dyDescent="0.25">
      <c r="D172" s="52" t="str">
        <f>'Input - Pasture Beef'!$D$180</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2" t="str">
        <f>'Input - Pasture Beef'!$D$180</f>
        <v>Anaerobic lagoon</v>
      </c>
      <c r="X172" s="52" cm="1">
        <f t="array" ref="X172">Common_InputFunctions.Common_GetMCFTemperatureZone($X$163,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9" t="s">
        <v>271</v>
      </c>
      <c r="W174" s="99" t="s">
        <v>273</v>
      </c>
    </row>
    <row r="175" spans="4:34" ht="20.100000000000001" customHeight="1" x14ac:dyDescent="0.25">
      <c r="D175" s="98" t="s">
        <v>272</v>
      </c>
      <c r="W175" s="98" t="s">
        <v>274</v>
      </c>
    </row>
    <row r="176" spans="4:34" ht="20.100000000000001" customHeight="1" x14ac:dyDescent="0.25">
      <c r="D176" s="51" t="s">
        <v>68</v>
      </c>
      <c r="E176" s="51" t="s">
        <v>184</v>
      </c>
      <c r="F176" s="51" t="s">
        <v>131</v>
      </c>
      <c r="G176" s="51" t="s">
        <v>130</v>
      </c>
      <c r="H176" s="51" t="s">
        <v>165</v>
      </c>
      <c r="I176" s="51" t="s">
        <v>166</v>
      </c>
      <c r="J176" s="51" t="s">
        <v>167</v>
      </c>
      <c r="K176" s="51" t="s">
        <v>168</v>
      </c>
      <c r="L176" s="51" t="s">
        <v>169</v>
      </c>
      <c r="M176" s="51" t="s">
        <v>170</v>
      </c>
      <c r="N176" s="51" t="s">
        <v>171</v>
      </c>
      <c r="O176" s="51" t="s">
        <v>172</v>
      </c>
      <c r="W176" s="51" t="s">
        <v>68</v>
      </c>
      <c r="X176" s="51" t="s">
        <v>132</v>
      </c>
      <c r="Y176" s="51" t="s">
        <v>131</v>
      </c>
      <c r="Z176" s="51" t="s">
        <v>130</v>
      </c>
      <c r="AA176" s="51" t="s">
        <v>165</v>
      </c>
      <c r="AB176" s="51" t="s">
        <v>166</v>
      </c>
      <c r="AC176" s="51" t="s">
        <v>167</v>
      </c>
      <c r="AD176" s="51" t="s">
        <v>168</v>
      </c>
      <c r="AE176" s="51" t="s">
        <v>169</v>
      </c>
      <c r="AF176" s="51" t="s">
        <v>170</v>
      </c>
      <c r="AG176" s="51" t="s">
        <v>171</v>
      </c>
      <c r="AH176" s="51" t="s">
        <v>172</v>
      </c>
    </row>
    <row r="177" spans="4:36" ht="20.100000000000001" customHeight="1" x14ac:dyDescent="0.25">
      <c r="D177" s="52" t="str">
        <f>'Input - Pasture Beef'!$D$179</f>
        <v>Pasture range and paddock</v>
      </c>
      <c r="E177" s="52" t="s">
        <v>173</v>
      </c>
      <c r="F177" s="52" cm="1">
        <f t="array" ref="F177">MMS_PastureBeef_Methane_Equations.VEERG_4_2_1_1__2_MethaneProductionFromManure(E131,$I$155,$E$165,$E$171,$I$158)</f>
        <v>4.0441204522655228E-3</v>
      </c>
      <c r="G177" s="52" cm="1">
        <f t="array" ref="G177">MMS_PastureBeef_Methane_Equations.VEERG_4_2_1_1__2_MethaneProductionFromManure(F131,$I$155,$E$165,$E$171,$I$158)</f>
        <v>5.711782527217847E-3</v>
      </c>
      <c r="H177" s="52" cm="1">
        <f t="array" ref="H177">MMS_PastureBeef_Methane_Equations.VEERG_4_2_1_1__2_MethaneProductionFromManure(G131,$I$155,$E$165,$E$171,$I$158)</f>
        <v>3.0824275076362846E-3</v>
      </c>
      <c r="I177" s="52" cm="1">
        <f t="array" ref="I177">MMS_PastureBeef_Methane_Equations.VEERG_4_2_1_1__2_MethaneProductionFromManure(H131,$I$155,$E$165,$E$171,$I$158)</f>
        <v>4.4496505020243755E-3</v>
      </c>
      <c r="J177" s="52" cm="1">
        <f t="array" ref="J177">MMS_PastureBeef_Methane_Equations.VEERG_4_2_1_1__2_MethaneProductionFromManure(I131,$I$155,$E$165,$E$171,$I$158)</f>
        <v>5.2555847188929432E-3</v>
      </c>
      <c r="K177" s="52" cm="1">
        <f t="array" ref="K177">MMS_PastureBeef_Methane_Equations.VEERG_4_2_1_1__2_MethaneProductionFromManure(J131,$I$155,$E$165,$E$171,$I$158)</f>
        <v>5.2555847188929432E-3</v>
      </c>
      <c r="L177" s="52" cm="1">
        <f t="array" ref="L177">MMS_PastureBeef_Methane_Equations.VEERG_4_2_1_1__2_MethaneProductionFromManure(K131,$I$155,$E$165,$E$171,$I$158)</f>
        <v>3.5536302549179421E-3</v>
      </c>
      <c r="M177" s="52" cm="1">
        <f t="array" ref="M177">MMS_PastureBeef_Methane_Equations.VEERG_4_2_1_1__2_MethaneProductionFromManure(L131,$I$155,$E$165,$E$171,$I$158)</f>
        <v>4.5158961081833695E-3</v>
      </c>
      <c r="N177" s="52" cm="1">
        <f t="array" ref="N177">MMS_PastureBeef_Methane_Equations.VEERG_4_2_1_1__2_MethaneProductionFromManure(M131,$I$155,$E$165,$E$171,$I$158)</f>
        <v>4.5158961081833695E-3</v>
      </c>
      <c r="O177" s="52" cm="1">
        <f t="array" ref="O177">MMS_PastureBeef_Methane_Equations.VEERG_4_2_1_1__2_MethaneProductionFromManure(N131,$I$155,$E$165,$E$171,$I$158)</f>
        <v>4.5158961081833695E-3</v>
      </c>
      <c r="P177" s="2" t="str">
        <f t="shared" ref="P177:P184" si="6">$E$152</f>
        <v>kg CH4/head/day</v>
      </c>
      <c r="Q177" s="2"/>
      <c r="R177" s="2"/>
      <c r="S177" s="2"/>
      <c r="W177" s="52" t="str">
        <f>'Input - Pasture Beef'!$D$179</f>
        <v>Pasture range and paddock</v>
      </c>
      <c r="X177" s="52" t="str">
        <f t="shared" ref="X177:X188" si="7">W131</f>
        <v>January 2024</v>
      </c>
      <c r="Y177" s="52" cm="1">
        <f t="array" ref="Y177">MMS_PastureBeef_Methane_Equations.VEERG_4_2_1_1__2_MethaneProductionFromManure(X131,$I$155,$E$165,$E$171,$I$158)</f>
        <v>3.7698049331624994E-3</v>
      </c>
      <c r="Z177" s="52" cm="1">
        <f t="array" ref="Z177">MMS_PastureBeef_Methane_Equations.VEERG_4_2_1_1__2_MethaneProductionFromManure(Y131,$I$155,$E$165,$E$171,$I$158)</f>
        <v>4.9878246275839805E-3</v>
      </c>
      <c r="AA177" s="52" cm="1">
        <f t="array" ref="AA177">MMS_PastureBeef_Methane_Equations.VEERG_4_2_1_1__2_MethaneProductionFromManure(Z131,$I$155,$E$165,$E$171,$I$158)</f>
        <v>3.1703208176285837E-3</v>
      </c>
      <c r="AB177" s="52" cm="1">
        <f t="array" ref="AB177">MMS_PastureBeef_Methane_Equations.VEERG_4_2_1_1__2_MethaneProductionFromManure(AA131,$I$155,$E$165,$E$171,$I$158)</f>
        <v>4.4629037143629011E-3</v>
      </c>
      <c r="AC177" s="52" cm="1">
        <f t="array" ref="AC177">MMS_PastureBeef_Methane_Equations.VEERG_4_2_1_1__2_MethaneProductionFromManure(AB131,$I$155,$E$165,$E$171,$I$158)</f>
        <v>4.4188207511224346E-3</v>
      </c>
      <c r="AD177" s="52" cm="1">
        <f t="array" ref="AD177">MMS_PastureBeef_Methane_Equations.VEERG_4_2_1_1__2_MethaneProductionFromManure(AC131,$I$155,$E$165,$E$171,$I$158)</f>
        <v>4.4188207511224346E-3</v>
      </c>
      <c r="AE177" s="52" cm="1">
        <f t="array" ref="AE177">MMS_PastureBeef_Methane_Equations.VEERG_4_2_1_1__2_MethaneProductionFromManure(AD131,$I$155,$E$165,$E$171,$I$158)</f>
        <v>3.4748327308918255E-3</v>
      </c>
      <c r="AF177" s="52" cm="1">
        <f t="array" ref="AF177">MMS_PastureBeef_Methane_Equations.VEERG_4_2_1_1__2_MethaneProductionFromManure(AE131,$I$155,$E$165,$E$171,$I$158)</f>
        <v>3.8733047579931406E-3</v>
      </c>
      <c r="AG177" s="52" cm="1">
        <f t="array" ref="AG177">MMS_PastureBeef_Methane_Equations.VEERG_4_2_1_1__2_MethaneProductionFromManure(AF131,$I$155,$E$165,$E$171,$I$158)</f>
        <v>3.8733047579931406E-3</v>
      </c>
      <c r="AH177" s="52" cm="1">
        <f t="array" ref="AH177">MMS_PastureBeef_Methane_Equations.VEERG_4_2_1_1__2_MethaneProductionFromManure(AG131,$I$155,$E$165,$E$171,$I$158)</f>
        <v>3.8733047579931406E-3</v>
      </c>
      <c r="AI177" s="2" t="str">
        <f t="shared" ref="AI177:AI200" si="8">$E$152</f>
        <v>kg CH4/head/day</v>
      </c>
      <c r="AJ177" s="2"/>
    </row>
    <row r="178" spans="4:36" ht="20.100000000000001" customHeight="1" x14ac:dyDescent="0.25">
      <c r="D178" s="52" t="str">
        <f>'Input - Pasture Beef'!$D$179</f>
        <v>Pasture range and paddock</v>
      </c>
      <c r="E178" s="52" t="s">
        <v>174</v>
      </c>
      <c r="F178" s="52" cm="1">
        <f t="array" ref="F178">MMS_PastureBeef_Methane_Equations.VEERG_4_2_1_1__2_MethaneProductionFromManure(E132,$I$155,$E$165,$E$171,$I$158)</f>
        <v>3.7698049331624994E-3</v>
      </c>
      <c r="G178" s="52" cm="1">
        <f t="array" ref="G178">MMS_PastureBeef_Methane_Equations.VEERG_4_2_1_1__2_MethaneProductionFromManure(F132,$I$155,$E$165,$E$171,$I$158)</f>
        <v>4.9878246275839805E-3</v>
      </c>
      <c r="H178" s="52" cm="1">
        <f t="array" ref="H178">MMS_PastureBeef_Methane_Equations.VEERG_4_2_1_1__2_MethaneProductionFromManure(G132,$I$155,$E$165,$E$171,$I$158)</f>
        <v>3.1703208176285837E-3</v>
      </c>
      <c r="I178" s="52" cm="1">
        <f t="array" ref="I178">MMS_PastureBeef_Methane_Equations.VEERG_4_2_1_1__2_MethaneProductionFromManure(H132,$I$155,$E$165,$E$171,$I$158)</f>
        <v>4.3175998724999231E-3</v>
      </c>
      <c r="J178" s="52" cm="1">
        <f t="array" ref="J178">MMS_PastureBeef_Methane_Equations.VEERG_4_2_1_1__2_MethaneProductionFromManure(I132,$I$155,$E$165,$E$171,$I$158)</f>
        <v>4.2749521685277519E-3</v>
      </c>
      <c r="K178" s="52" cm="1">
        <f t="array" ref="K178">MMS_PastureBeef_Methane_Equations.VEERG_4_2_1_1__2_MethaneProductionFromManure(J132,$I$155,$E$165,$E$171,$I$158)</f>
        <v>4.2749521685277519E-3</v>
      </c>
      <c r="L178" s="52" cm="1">
        <f t="array" ref="L178">MMS_PastureBeef_Methane_Equations.VEERG_4_2_1_1__2_MethaneProductionFromManure(K132,$I$155,$E$165,$E$171,$I$158)</f>
        <v>3.4748327308918255E-3</v>
      </c>
      <c r="M178" s="52" cm="1">
        <f t="array" ref="M178">MMS_PastureBeef_Methane_Equations.VEERG_4_2_1_1__2_MethaneProductionFromManure(L132,$I$155,$E$165,$E$171,$I$158)</f>
        <v>3.8733047579931406E-3</v>
      </c>
      <c r="N178" s="52" cm="1">
        <f t="array" ref="N178">MMS_PastureBeef_Methane_Equations.VEERG_4_2_1_1__2_MethaneProductionFromManure(M132,$I$155,$E$165,$E$171,$I$158)</f>
        <v>3.8733047579931406E-3</v>
      </c>
      <c r="O178" s="52" cm="1">
        <f t="array" ref="O178">MMS_PastureBeef_Methane_Equations.VEERG_4_2_1_1__2_MethaneProductionFromManure(N132,$I$155,$E$165,$E$171,$I$158)</f>
        <v>3.8733047579931406E-3</v>
      </c>
      <c r="P178" s="2" t="str">
        <f t="shared" si="6"/>
        <v>kg CH4/head/day</v>
      </c>
      <c r="Q178" s="2"/>
      <c r="R178" s="2"/>
      <c r="S178" s="2"/>
      <c r="W178" s="52" t="str">
        <f>'Input - Pasture Beef'!$D$179</f>
        <v>Pasture range and paddock</v>
      </c>
      <c r="X178" s="52" t="str">
        <f t="shared" si="7"/>
        <v>February 2024</v>
      </c>
      <c r="Y178" s="52" cm="1">
        <f t="array" ref="Y178">MMS_PastureBeef_Methane_Equations.VEERG_4_2_1_1__2_MethaneProductionFromManure(X132,$I$155,$E$165,$E$171,$I$158)</f>
        <v>3.7698049331624994E-3</v>
      </c>
      <c r="Z178" s="52" cm="1">
        <f t="array" ref="Z178">MMS_PastureBeef_Methane_Equations.VEERG_4_2_1_1__2_MethaneProductionFromManure(Y132,$I$155,$E$165,$E$171,$I$158)</f>
        <v>4.9878246275839805E-3</v>
      </c>
      <c r="AA178" s="52" cm="1">
        <f t="array" ref="AA178">MMS_PastureBeef_Methane_Equations.VEERG_4_2_1_1__2_MethaneProductionFromManure(Z132,$I$155,$E$165,$E$171,$I$158)</f>
        <v>3.1703208176285837E-3</v>
      </c>
      <c r="AB178" s="52" cm="1">
        <f t="array" ref="AB178">MMS_PastureBeef_Methane_Equations.VEERG_4_2_1_1__2_MethaneProductionFromManure(AA132,$I$155,$E$165,$E$171,$I$158)</f>
        <v>4.1515383389422343E-3</v>
      </c>
      <c r="AC178" s="52" cm="1">
        <f t="array" ref="AC178">MMS_PastureBeef_Methane_Equations.VEERG_4_2_1_1__2_MethaneProductionFromManure(AB132,$I$155,$E$165,$E$171,$I$158)</f>
        <v>4.1105309312766845E-3</v>
      </c>
      <c r="AD178" s="52" cm="1">
        <f t="array" ref="AD178">MMS_PastureBeef_Methane_Equations.VEERG_4_2_1_1__2_MethaneProductionFromManure(AC132,$I$155,$E$165,$E$171,$I$158)</f>
        <v>4.1105309312766845E-3</v>
      </c>
      <c r="AE178" s="52" cm="1">
        <f t="array" ref="AE178">MMS_PastureBeef_Methane_Equations.VEERG_4_2_1_1__2_MethaneProductionFromManure(AD132,$I$155,$E$165,$E$171,$I$158)</f>
        <v>3.4748327308918255E-3</v>
      </c>
      <c r="AF178" s="52" cm="1">
        <f t="array" ref="AF178">MMS_PastureBeef_Methane_Equations.VEERG_4_2_1_1__2_MethaneProductionFromManure(AE132,$I$155,$E$165,$E$171,$I$158)</f>
        <v>3.8733047579931406E-3</v>
      </c>
      <c r="AG178" s="52" cm="1">
        <f t="array" ref="AG178">MMS_PastureBeef_Methane_Equations.VEERG_4_2_1_1__2_MethaneProductionFromManure(AF132,$I$155,$E$165,$E$171,$I$158)</f>
        <v>3.8733047579931406E-3</v>
      </c>
      <c r="AH178" s="52" cm="1">
        <f t="array" ref="AH178">MMS_PastureBeef_Methane_Equations.VEERG_4_2_1_1__2_MethaneProductionFromManure(AG132,$I$155,$E$165,$E$171,$I$158)</f>
        <v>3.8733047579931406E-3</v>
      </c>
      <c r="AI178" s="2" t="str">
        <f t="shared" si="8"/>
        <v>kg CH4/head/day</v>
      </c>
      <c r="AJ178" s="2"/>
    </row>
    <row r="179" spans="4:36" ht="20.100000000000001" customHeight="1" x14ac:dyDescent="0.25">
      <c r="D179" s="52" t="str">
        <f>'Input - Pasture Beef'!$D$179</f>
        <v>Pasture range and paddock</v>
      </c>
      <c r="E179" s="52" t="s">
        <v>175</v>
      </c>
      <c r="F179" s="52" cm="1">
        <f t="array" ref="F179">MMS_PastureBeef_Methane_Equations.VEERG_4_2_1_1__2_MethaneProductionFromManure(E133,$I$155,$E$165,$E$171,$I$158)</f>
        <v>1.7669165181372702E-3</v>
      </c>
      <c r="G179" s="52" cm="1">
        <f t="array" ref="G179">MMS_PastureBeef_Methane_Equations.VEERG_4_2_1_1__2_MethaneProductionFromManure(F133,$I$155,$E$165,$E$171,$I$158)</f>
        <v>5.1282819126615281E-3</v>
      </c>
      <c r="H179" s="52" cm="1">
        <f t="array" ref="H179">MMS_PastureBeef_Methane_Equations.VEERG_4_2_1_1__2_MethaneProductionFromManure(G133,$I$155,$E$165,$E$171,$I$158)</f>
        <v>1.610816619264715E-3</v>
      </c>
      <c r="I179" s="52" cm="1">
        <f t="array" ref="I179">MMS_PastureBeef_Methane_Equations.VEERG_4_2_1_1__2_MethaneProductionFromManure(H133,$I$155,$E$165,$E$171,$I$158)</f>
        <v>3.2742630870377072E-3</v>
      </c>
      <c r="J179" s="52" cm="1">
        <f t="array" ref="J179">MMS_PastureBeef_Methane_Equations.VEERG_4_2_1_1__2_MethaneProductionFromManure(I133,$I$155,$E$165,$E$171,$I$158)</f>
        <v>3.6554958234382307E-3</v>
      </c>
      <c r="K179" s="52" cm="1">
        <f t="array" ref="K179">MMS_PastureBeef_Methane_Equations.VEERG_4_2_1_1__2_MethaneProductionFromManure(J133,$I$155,$E$165,$E$171,$I$158)</f>
        <v>3.6554958234382307E-3</v>
      </c>
      <c r="L179" s="52" cm="1">
        <f t="array" ref="L179">MMS_PastureBeef_Methane_Equations.VEERG_4_2_1_1__2_MethaneProductionFromManure(K133,$I$155,$E$165,$E$171,$I$158)</f>
        <v>1.7669165181372702E-3</v>
      </c>
      <c r="M179" s="52" cm="1">
        <f t="array" ref="M179">MMS_PastureBeef_Methane_Equations.VEERG_4_2_1_1__2_MethaneProductionFromManure(L133,$I$155,$E$165,$E$171,$I$158)</f>
        <v>3.2078801318765602E-3</v>
      </c>
      <c r="N179" s="52" cm="1">
        <f t="array" ref="N179">MMS_PastureBeef_Methane_Equations.VEERG_4_2_1_1__2_MethaneProductionFromManure(M133,$I$155,$E$165,$E$171,$I$158)</f>
        <v>3.2078801318765602E-3</v>
      </c>
      <c r="O179" s="52" cm="1">
        <f t="array" ref="O179">MMS_PastureBeef_Methane_Equations.VEERG_4_2_1_1__2_MethaneProductionFromManure(N133,$I$155,$E$165,$E$171,$I$158)</f>
        <v>3.2078801318765602E-3</v>
      </c>
      <c r="P179" s="2" t="str">
        <f t="shared" si="6"/>
        <v>kg CH4/head/day</v>
      </c>
      <c r="Q179" s="2"/>
      <c r="R179" s="2"/>
      <c r="S179" s="2"/>
      <c r="W179" s="52" t="str">
        <f>'Input - Pasture Beef'!$D$179</f>
        <v>Pasture range and paddock</v>
      </c>
      <c r="X179" s="52" t="str">
        <f t="shared" si="7"/>
        <v>March 2024</v>
      </c>
      <c r="Y179" s="52" cm="1">
        <f t="array" ref="Y179">MMS_PastureBeef_Methane_Equations.VEERG_4_2_1_1__2_MethaneProductionFromManure(X133,$I$155,$E$165,$E$171,$I$158)</f>
        <v>1.7669165181372702E-3</v>
      </c>
      <c r="Z179" s="52" cm="1">
        <f t="array" ref="Z179">MMS_PastureBeef_Methane_Equations.VEERG_4_2_1_1__2_MethaneProductionFromManure(Y133,$I$155,$E$165,$E$171,$I$158)</f>
        <v>5.1282819126615281E-3</v>
      </c>
      <c r="AA179" s="52" cm="1">
        <f t="array" ref="AA179">MMS_PastureBeef_Methane_Equations.VEERG_4_2_1_1__2_MethaneProductionFromManure(Z133,$I$155,$E$165,$E$171,$I$158)</f>
        <v>1.610816619264715E-3</v>
      </c>
      <c r="AB179" s="52" cm="1">
        <f t="array" ref="AB179">MMS_PastureBeef_Methane_Equations.VEERG_4_2_1_1__2_MethaneProductionFromManure(AA133,$I$155,$E$165,$E$171,$I$158)</f>
        <v>3.2418446406313932E-3</v>
      </c>
      <c r="AC179" s="52" cm="1">
        <f t="array" ref="AC179">MMS_PastureBeef_Methane_Equations.VEERG_4_2_1_1__2_MethaneProductionFromManure(AB133,$I$155,$E$165,$E$171,$I$158)</f>
        <v>3.6554958234382307E-3</v>
      </c>
      <c r="AD179" s="52" cm="1">
        <f t="array" ref="AD179">MMS_PastureBeef_Methane_Equations.VEERG_4_2_1_1__2_MethaneProductionFromManure(AC133,$I$155,$E$165,$E$171,$I$158)</f>
        <v>3.6554958234382307E-3</v>
      </c>
      <c r="AE179" s="52" cm="1">
        <f t="array" ref="AE179">MMS_PastureBeef_Methane_Equations.VEERG_4_2_1_1__2_MethaneProductionFromManure(AD133,$I$155,$E$165,$E$171,$I$158)</f>
        <v>1.7669165181372702E-3</v>
      </c>
      <c r="AF179" s="52" cm="1">
        <f t="array" ref="AF179">MMS_PastureBeef_Methane_Equations.VEERG_4_2_1_1__2_MethaneProductionFromManure(AE133,$I$155,$E$165,$E$171,$I$158)</f>
        <v>3.2078801318765602E-3</v>
      </c>
      <c r="AG179" s="52" cm="1">
        <f t="array" ref="AG179">MMS_PastureBeef_Methane_Equations.VEERG_4_2_1_1__2_MethaneProductionFromManure(AF133,$I$155,$E$165,$E$171,$I$158)</f>
        <v>3.2078801318765602E-3</v>
      </c>
      <c r="AH179" s="52" cm="1">
        <f t="array" ref="AH179">MMS_PastureBeef_Methane_Equations.VEERG_4_2_1_1__2_MethaneProductionFromManure(AG133,$I$155,$E$165,$E$171,$I$158)</f>
        <v>3.2078801318765602E-3</v>
      </c>
      <c r="AI179" s="2" t="str">
        <f t="shared" si="8"/>
        <v>kg CH4/head/day</v>
      </c>
      <c r="AJ179" s="2"/>
    </row>
    <row r="180" spans="4:36" ht="20.100000000000001" customHeight="1" x14ac:dyDescent="0.25">
      <c r="D180" s="52" t="str">
        <f>'Input - Pasture Beef'!$D$179</f>
        <v>Pasture range and paddock</v>
      </c>
      <c r="E180" s="52" t="s">
        <v>176</v>
      </c>
      <c r="F180" s="52" cm="1">
        <f t="array" ref="F180">MMS_PastureBeef_Methane_Equations.VEERG_4_2_1_1__2_MethaneProductionFromManure(E134,$I$155,$E$165,$E$171,$I$158)</f>
        <v>2.3939898572351848E-3</v>
      </c>
      <c r="G180" s="52" cm="1">
        <f t="array" ref="G180">MMS_PastureBeef_Methane_Equations.VEERG_4_2_1_1__2_MethaneProductionFromManure(F134,$I$155,$E$165,$E$171,$I$158)</f>
        <v>4.6522862496463481E-3</v>
      </c>
      <c r="H180" s="52" cm="1">
        <f t="array" ref="H180">MMS_PastureBeef_Methane_Equations.VEERG_4_2_1_1__2_MethaneProductionFromManure(G134,$I$155,$E$165,$E$171,$I$158)</f>
        <v>1.9601466958146293E-3</v>
      </c>
      <c r="I180" s="52" cm="1">
        <f t="array" ref="I180">MMS_PastureBeef_Methane_Equations.VEERG_4_2_1_1__2_MethaneProductionFromManure(H134,$I$155,$E$165,$E$171,$I$158)</f>
        <v>3.345334252261788E-3</v>
      </c>
      <c r="J180" s="52" cm="1">
        <f t="array" ref="J180">MMS_PastureBeef_Methane_Equations.VEERG_4_2_1_1__2_MethaneProductionFromManure(I134,$I$155,$E$165,$E$171,$I$158)</f>
        <v>4.2653300733249393E-3</v>
      </c>
      <c r="K180" s="52" cm="1">
        <f t="array" ref="K180">MMS_PastureBeef_Methane_Equations.VEERG_4_2_1_1__2_MethaneProductionFromManure(J134,$I$155,$E$165,$E$171,$I$158)</f>
        <v>4.2653300733249393E-3</v>
      </c>
      <c r="L180" s="52" cm="1">
        <f t="array" ref="L180">MMS_PastureBeef_Methane_Equations.VEERG_4_2_1_1__2_MethaneProductionFromManure(K134,$I$155,$E$165,$E$171,$I$158)</f>
        <v>2.1045273101069351E-3</v>
      </c>
      <c r="M180" s="52" cm="1">
        <f t="array" ref="M180">MMS_PastureBeef_Methane_Equations.VEERG_4_2_1_1__2_MethaneProductionFromManure(L134,$I$155,$E$165,$E$171,$I$158)</f>
        <v>3.2041066661276131E-3</v>
      </c>
      <c r="N180" s="52" cm="1">
        <f t="array" ref="N180">MMS_PastureBeef_Methane_Equations.VEERG_4_2_1_1__2_MethaneProductionFromManure(M134,$I$155,$E$165,$E$171,$I$158)</f>
        <v>3.2041066661276131E-3</v>
      </c>
      <c r="O180" s="52" cm="1">
        <f t="array" ref="O180">MMS_PastureBeef_Methane_Equations.VEERG_4_2_1_1__2_MethaneProductionFromManure(N134,$I$155,$E$165,$E$171,$I$158)</f>
        <v>3.2041066661276131E-3</v>
      </c>
      <c r="P180" s="2" t="str">
        <f t="shared" si="6"/>
        <v>kg CH4/head/day</v>
      </c>
      <c r="Q180" s="2"/>
      <c r="R180" s="2"/>
      <c r="S180" s="2"/>
      <c r="W180" s="52" t="str">
        <f>'Input - Pasture Beef'!$D$179</f>
        <v>Pasture range and paddock</v>
      </c>
      <c r="X180" s="52" t="str">
        <f t="shared" si="7"/>
        <v>April 2024</v>
      </c>
      <c r="Y180" s="52" cm="1">
        <f t="array" ref="Y180">MMS_PastureBeef_Methane_Equations.VEERG_4_2_1_1__2_MethaneProductionFromManure(X134,$I$155,$E$165,$E$171,$I$158)</f>
        <v>1.7669165181372702E-3</v>
      </c>
      <c r="Z180" s="52" cm="1">
        <f t="array" ref="Z180">MMS_PastureBeef_Methane_Equations.VEERG_4_2_1_1__2_MethaneProductionFromManure(Y134,$I$155,$E$165,$E$171,$I$158)</f>
        <v>5.1282819126615281E-3</v>
      </c>
      <c r="AA180" s="52" cm="1">
        <f t="array" ref="AA180">MMS_PastureBeef_Methane_Equations.VEERG_4_2_1_1__2_MethaneProductionFromManure(Z134,$I$155,$E$165,$E$171,$I$158)</f>
        <v>1.610816619264715E-3</v>
      </c>
      <c r="AB180" s="52" cm="1">
        <f t="array" ref="AB180">MMS_PastureBeef_Methane_Equations.VEERG_4_2_1_1__2_MethaneProductionFromManure(AA134,$I$155,$E$165,$E$171,$I$158)</f>
        <v>3.2418446406313932E-3</v>
      </c>
      <c r="AC180" s="52" cm="1">
        <f t="array" ref="AC180">MMS_PastureBeef_Methane_Equations.VEERG_4_2_1_1__2_MethaneProductionFromManure(AB134,$I$155,$E$165,$E$171,$I$158)</f>
        <v>3.6554958234382307E-3</v>
      </c>
      <c r="AD180" s="52" cm="1">
        <f t="array" ref="AD180">MMS_PastureBeef_Methane_Equations.VEERG_4_2_1_1__2_MethaneProductionFromManure(AC134,$I$155,$E$165,$E$171,$I$158)</f>
        <v>3.6554958234382307E-3</v>
      </c>
      <c r="AE180" s="52" cm="1">
        <f t="array" ref="AE180">MMS_PastureBeef_Methane_Equations.VEERG_4_2_1_1__2_MethaneProductionFromManure(AD134,$I$155,$E$165,$E$171,$I$158)</f>
        <v>1.7669165181372702E-3</v>
      </c>
      <c r="AF180" s="52" cm="1">
        <f t="array" ref="AF180">MMS_PastureBeef_Methane_Equations.VEERG_4_2_1_1__2_MethaneProductionFromManure(AE134,$I$155,$E$165,$E$171,$I$158)</f>
        <v>3.2078801318765602E-3</v>
      </c>
      <c r="AG180" s="52" cm="1">
        <f t="array" ref="AG180">MMS_PastureBeef_Methane_Equations.VEERG_4_2_1_1__2_MethaneProductionFromManure(AF134,$I$155,$E$165,$E$171,$I$158)</f>
        <v>3.2078801318765602E-3</v>
      </c>
      <c r="AH180" s="52" cm="1">
        <f t="array" ref="AH180">MMS_PastureBeef_Methane_Equations.VEERG_4_2_1_1__2_MethaneProductionFromManure(AG134,$I$155,$E$165,$E$171,$I$158)</f>
        <v>3.2078801318765602E-3</v>
      </c>
      <c r="AI180" s="2" t="str">
        <f t="shared" si="8"/>
        <v>kg CH4/head/day</v>
      </c>
      <c r="AJ180" s="2"/>
    </row>
    <row r="181" spans="4:36" ht="20.100000000000001" customHeight="1" x14ac:dyDescent="0.25">
      <c r="D181" s="52" t="str">
        <f>'Input - Pasture Beef'!$D$180</f>
        <v>Anaerobic lagoon</v>
      </c>
      <c r="E181" s="52" t="s">
        <v>173</v>
      </c>
      <c r="F181" s="52" cm="1">
        <f t="array" ref="F181">MMS_PastureBeef_Methane_Equations.VEERG_4_2_1_1__2_MethaneProductionFromManure(E131,$I$155,$E$166,$E$172,$I$158)</f>
        <v>2.4812833436492908E-3</v>
      </c>
      <c r="G181" s="52" cm="1">
        <f t="array" ref="G181">MMS_PastureBeef_Methane_Equations.VEERG_4_2_1_1__2_MethaneProductionFromManure(F131,$I$155,$E$166,$E$172,$I$158)</f>
        <v>3.5044828695429209E-3</v>
      </c>
      <c r="H181" s="52" cm="1">
        <f t="array" ref="H181">MMS_PastureBeef_Methane_Equations.VEERG_4_2_1_1__2_MethaneProductionFromManure(G131,$I$155,$E$166,$E$172,$I$158)</f>
        <v>1.8912334889579457E-3</v>
      </c>
      <c r="I181" s="52" cm="1">
        <f t="array" ref="I181">MMS_PastureBeef_Methane_Equations.VEERG_4_2_1_1__2_MethaneProductionFromManure(H131,$I$155,$E$166,$E$172,$I$158)</f>
        <v>2.7300976333552805E-3</v>
      </c>
      <c r="J181" s="52" cm="1">
        <f t="array" ref="J181">MMS_PastureBeef_Methane_Equations.VEERG_4_2_1_1__2_MethaneProductionFromManure(I131,$I$155,$E$166,$E$172,$I$158)</f>
        <v>3.2245812106861055E-3</v>
      </c>
      <c r="K181" s="52" cm="1">
        <f t="array" ref="K181">MMS_PastureBeef_Methane_Equations.VEERG_4_2_1_1__2_MethaneProductionFromManure(J131,$I$155,$E$166,$E$172,$I$158)</f>
        <v>3.2245812106861055E-3</v>
      </c>
      <c r="L181" s="52" cm="1">
        <f t="array" ref="L181">MMS_PastureBeef_Methane_Equations.VEERG_4_2_1_1__2_MethaneProductionFromManure(K131,$I$155,$E$166,$E$172,$I$158)</f>
        <v>2.1803414772367767E-3</v>
      </c>
      <c r="M181" s="52" cm="1">
        <f t="array" ref="M181">MMS_PastureBeef_Methane_Equations.VEERG_4_2_1_1__2_MethaneProductionFromManure(L131,$I$155,$E$166,$E$172,$I$158)</f>
        <v>2.7707428418975179E-3</v>
      </c>
      <c r="N181" s="52" cm="1">
        <f t="array" ref="N181">MMS_PastureBeef_Methane_Equations.VEERG_4_2_1_1__2_MethaneProductionFromManure(M131,$I$155,$E$166,$E$172,$I$158)</f>
        <v>2.7707428418975179E-3</v>
      </c>
      <c r="O181" s="52" cm="1">
        <f t="array" ref="O181">MMS_PastureBeef_Methane_Equations.VEERG_4_2_1_1__2_MethaneProductionFromManure(N131,$I$155,$E$166,$E$172,$I$158)</f>
        <v>2.7707428418975179E-3</v>
      </c>
      <c r="P181" s="2" t="str">
        <f t="shared" si="6"/>
        <v>kg CH4/head/day</v>
      </c>
      <c r="Q181" s="2"/>
      <c r="R181" s="2"/>
      <c r="S181" s="2"/>
      <c r="W181" s="52" t="str">
        <f>'Input - Pasture Beef'!$D$179</f>
        <v>Pasture range and paddock</v>
      </c>
      <c r="X181" s="52" t="str">
        <f t="shared" si="7"/>
        <v>May 2024</v>
      </c>
      <c r="Y181" s="52" cm="1">
        <f t="array" ref="Y181">MMS_PastureBeef_Methane_Equations.VEERG_4_2_1_1__2_MethaneProductionFromManure(X135,$I$155,$E$165,$E$171,$I$158)</f>
        <v>1.7669165181372702E-3</v>
      </c>
      <c r="Z181" s="52" cm="1">
        <f t="array" ref="Z181">MMS_PastureBeef_Methane_Equations.VEERG_4_2_1_1__2_MethaneProductionFromManure(Y135,$I$155,$E$165,$E$171,$I$158)</f>
        <v>5.1282819126615281E-3</v>
      </c>
      <c r="AA181" s="52" cm="1">
        <f t="array" ref="AA181">MMS_PastureBeef_Methane_Equations.VEERG_4_2_1_1__2_MethaneProductionFromManure(Z135,$I$155,$E$165,$E$171,$I$158)</f>
        <v>1.610816619264715E-3</v>
      </c>
      <c r="AB181" s="52" cm="1">
        <f t="array" ref="AB181">MMS_PastureBeef_Methane_Equations.VEERG_4_2_1_1__2_MethaneProductionFromManure(AA135,$I$155,$E$165,$E$171,$I$158)</f>
        <v>3.2418446406313932E-3</v>
      </c>
      <c r="AC181" s="52" cm="1">
        <f t="array" ref="AC181">MMS_PastureBeef_Methane_Equations.VEERG_4_2_1_1__2_MethaneProductionFromManure(AB135,$I$155,$E$165,$E$171,$I$158)</f>
        <v>3.6554958234382307E-3</v>
      </c>
      <c r="AD181" s="52" cm="1">
        <f t="array" ref="AD181">MMS_PastureBeef_Methane_Equations.VEERG_4_2_1_1__2_MethaneProductionFromManure(AC135,$I$155,$E$165,$E$171,$I$158)</f>
        <v>3.6554958234382307E-3</v>
      </c>
      <c r="AE181" s="52" cm="1">
        <f t="array" ref="AE181">MMS_PastureBeef_Methane_Equations.VEERG_4_2_1_1__2_MethaneProductionFromManure(AD135,$I$155,$E$165,$E$171,$I$158)</f>
        <v>1.7669165181372702E-3</v>
      </c>
      <c r="AF181" s="52" cm="1">
        <f t="array" ref="AF181">MMS_PastureBeef_Methane_Equations.VEERG_4_2_1_1__2_MethaneProductionFromManure(AE135,$I$155,$E$165,$E$171,$I$158)</f>
        <v>3.2078801318765602E-3</v>
      </c>
      <c r="AG181" s="52" cm="1">
        <f t="array" ref="AG181">MMS_PastureBeef_Methane_Equations.VEERG_4_2_1_1__2_MethaneProductionFromManure(AF135,$I$155,$E$165,$E$171,$I$158)</f>
        <v>3.2078801318765602E-3</v>
      </c>
      <c r="AH181" s="52" cm="1">
        <f t="array" ref="AH181">MMS_PastureBeef_Methane_Equations.VEERG_4_2_1_1__2_MethaneProductionFromManure(AG135,$I$155,$E$165,$E$171,$I$158)</f>
        <v>3.2078801318765602E-3</v>
      </c>
      <c r="AI181" s="2" t="str">
        <f t="shared" si="8"/>
        <v>kg CH4/head/day</v>
      </c>
      <c r="AJ181" s="2"/>
    </row>
    <row r="182" spans="4:36" ht="20.100000000000001" customHeight="1" x14ac:dyDescent="0.25">
      <c r="D182" s="52" t="str">
        <f>'Input - Pasture Beef'!$D$180</f>
        <v>Anaerobic lagoon</v>
      </c>
      <c r="E182" s="52" t="s">
        <v>174</v>
      </c>
      <c r="F182" s="52" cm="1">
        <f t="array" ref="F182">MMS_PastureBeef_Methane_Equations.VEERG_4_2_1_1__2_MethaneProductionFromManure(E132,$I$155,$E$166,$E$172,$I$158)</f>
        <v>2.3129761588141953E-3</v>
      </c>
      <c r="G182" s="52" cm="1">
        <f t="array" ref="G182">MMS_PastureBeef_Methane_Equations.VEERG_4_2_1_1__2_MethaneProductionFromManure(F132,$I$155,$E$166,$E$172,$I$158)</f>
        <v>3.0602961300360589E-3</v>
      </c>
      <c r="H182" s="52" cm="1">
        <f t="array" ref="H182">MMS_PastureBeef_Methane_Equations.VEERG_4_2_1_1__2_MethaneProductionFromManure(G132,$I$155,$E$166,$E$172,$I$158)</f>
        <v>1.9451607170601457E-3</v>
      </c>
      <c r="I182" s="52" cm="1">
        <f t="array" ref="I182">MMS_PastureBeef_Methane_Equations.VEERG_4_2_1_1__2_MethaneProductionFromManure(H132,$I$155,$E$166,$E$172,$I$158)</f>
        <v>2.6490775372862139E-3</v>
      </c>
      <c r="J182" s="52" cm="1">
        <f t="array" ref="J182">MMS_PastureBeef_Methane_Equations.VEERG_4_2_1_1__2_MethaneProductionFromManure(I132,$I$155,$E$166,$E$172,$I$158)</f>
        <v>2.6229108988885487E-3</v>
      </c>
      <c r="K182" s="52" cm="1">
        <f t="array" ref="K182">MMS_PastureBeef_Methane_Equations.VEERG_4_2_1_1__2_MethaneProductionFromManure(J132,$I$155,$E$166,$E$172,$I$158)</f>
        <v>2.6229108988885487E-3</v>
      </c>
      <c r="L182" s="52" cm="1">
        <f t="array" ref="L182">MMS_PastureBeef_Methane_Equations.VEERG_4_2_1_1__2_MethaneProductionFromManure(K132,$I$155,$E$166,$E$172,$I$158)</f>
        <v>2.1319949983930825E-3</v>
      </c>
      <c r="M182" s="52" cm="1">
        <f t="array" ref="M182">MMS_PastureBeef_Methane_Equations.VEERG_4_2_1_1__2_MethaneProductionFromManure(L132,$I$155,$E$166,$E$172,$I$158)</f>
        <v>2.3764788151900769E-3</v>
      </c>
      <c r="N182" s="52" cm="1">
        <f t="array" ref="N182">MMS_PastureBeef_Methane_Equations.VEERG_4_2_1_1__2_MethaneProductionFromManure(M132,$I$155,$E$166,$E$172,$I$158)</f>
        <v>2.3764788151900769E-3</v>
      </c>
      <c r="O182" s="52" cm="1">
        <f t="array" ref="O182">MMS_PastureBeef_Methane_Equations.VEERG_4_2_1_1__2_MethaneProductionFromManure(N132,$I$155,$E$166,$E$172,$I$158)</f>
        <v>2.3764788151900769E-3</v>
      </c>
      <c r="P182" s="2" t="str">
        <f t="shared" si="6"/>
        <v>kg CH4/head/day</v>
      </c>
      <c r="Q182" s="2"/>
      <c r="R182" s="2"/>
      <c r="S182" s="2"/>
      <c r="W182" s="52" t="str">
        <f>'Input - Pasture Beef'!$D$179</f>
        <v>Pasture range and paddock</v>
      </c>
      <c r="X182" s="52" t="str">
        <f t="shared" si="7"/>
        <v>June 2024</v>
      </c>
      <c r="Y182" s="52" cm="1">
        <f t="array" ref="Y182">MMS_PastureBeef_Methane_Equations.VEERG_4_2_1_1__2_MethaneProductionFromManure(X136,$I$155,$E$165,$E$171,$I$158)</f>
        <v>2.3939898572351848E-3</v>
      </c>
      <c r="Z182" s="52" cm="1">
        <f t="array" ref="Z182">MMS_PastureBeef_Methane_Equations.VEERG_4_2_1_1__2_MethaneProductionFromManure(Y136,$I$155,$E$165,$E$171,$I$158)</f>
        <v>4.6522862496463481E-3</v>
      </c>
      <c r="AA182" s="52" cm="1">
        <f t="array" ref="AA182">MMS_PastureBeef_Methane_Equations.VEERG_4_2_1_1__2_MethaneProductionFromManure(Z136,$I$155,$E$165,$E$171,$I$158)</f>
        <v>1.9601466958146293E-3</v>
      </c>
      <c r="AB182" s="52" cm="1">
        <f t="array" ref="AB182">MMS_PastureBeef_Methane_Equations.VEERG_4_2_1_1__2_MethaneProductionFromManure(AA136,$I$155,$E$165,$E$171,$I$158)</f>
        <v>2.7647390514560235E-3</v>
      </c>
      <c r="AC182" s="52" cm="1">
        <f t="array" ref="AC182">MMS_PastureBeef_Methane_Equations.VEERG_4_2_1_1__2_MethaneProductionFromManure(AB136,$I$155,$E$165,$E$171,$I$158)</f>
        <v>3.7089826724564685E-3</v>
      </c>
      <c r="AD182" s="52" cm="1">
        <f t="array" ref="AD182">MMS_PastureBeef_Methane_Equations.VEERG_4_2_1_1__2_MethaneProductionFromManure(AC136,$I$155,$E$165,$E$171,$I$158)</f>
        <v>3.7089826724564685E-3</v>
      </c>
      <c r="AE182" s="52" cm="1">
        <f t="array" ref="AE182">MMS_PastureBeef_Methane_Equations.VEERG_4_2_1_1__2_MethaneProductionFromManure(AD136,$I$155,$E$165,$E$171,$I$158)</f>
        <v>2.1045273101069351E-3</v>
      </c>
      <c r="AF182" s="52" cm="1">
        <f t="array" ref="AF182">MMS_PastureBeef_Methane_Equations.VEERG_4_2_1_1__2_MethaneProductionFromManure(AE136,$I$155,$E$165,$E$171,$I$158)</f>
        <v>3.2041066661276131E-3</v>
      </c>
      <c r="AG182" s="52" cm="1">
        <f t="array" ref="AG182">MMS_PastureBeef_Methane_Equations.VEERG_4_2_1_1__2_MethaneProductionFromManure(AF136,$I$155,$E$165,$E$171,$I$158)</f>
        <v>3.2041066661276131E-3</v>
      </c>
      <c r="AH182" s="52" cm="1">
        <f t="array" ref="AH182">MMS_PastureBeef_Methane_Equations.VEERG_4_2_1_1__2_MethaneProductionFromManure(AG136,$I$155,$E$165,$E$171,$I$158)</f>
        <v>3.2041066661276131E-3</v>
      </c>
      <c r="AI182" s="2" t="str">
        <f t="shared" si="8"/>
        <v>kg CH4/head/day</v>
      </c>
      <c r="AJ182" s="2"/>
    </row>
    <row r="183" spans="4:36" ht="20.100000000000001" customHeight="1" x14ac:dyDescent="0.25">
      <c r="D183" s="52" t="str">
        <f>'Input - Pasture Beef'!$D$180</f>
        <v>Anaerobic lagoon</v>
      </c>
      <c r="E183" s="52" t="s">
        <v>175</v>
      </c>
      <c r="F183" s="52" cm="1">
        <f t="array" ref="F183">MMS_PastureBeef_Methane_Equations.VEERG_4_2_1_1__2_MethaneProductionFromManure(E133,$I$155,$E$166,$E$172,$I$158)</f>
        <v>1.0840974144617182E-3</v>
      </c>
      <c r="G183" s="52" cm="1">
        <f t="array" ref="G183">MMS_PastureBeef_Methane_Equations.VEERG_4_2_1_1__2_MethaneProductionFromManure(F133,$I$155,$E$166,$E$172,$I$158)</f>
        <v>3.1464741571425175E-3</v>
      </c>
      <c r="H183" s="52" cm="1">
        <f t="array" ref="H183">MMS_PastureBeef_Methane_Equations.VEERG_4_2_1_1__2_MethaneProductionFromManure(G133,$I$155,$E$166,$E$172,$I$158)</f>
        <v>9.8832181044853241E-4</v>
      </c>
      <c r="I183" s="52" cm="1">
        <f t="array" ref="I183">MMS_PastureBeef_Methane_Equations.VEERG_4_2_1_1__2_MethaneProductionFromManure(H133,$I$155,$E$166,$E$172,$I$158)</f>
        <v>2.0089348367556864E-3</v>
      </c>
      <c r="J183" s="52" cm="1">
        <f t="array" ref="J183">MMS_PastureBeef_Methane_Equations.VEERG_4_2_1_1__2_MethaneProductionFromManure(I133,$I$155,$E$166,$E$172,$I$158)</f>
        <v>2.2428414303030022E-3</v>
      </c>
      <c r="K183" s="52" cm="1">
        <f t="array" ref="K183">MMS_PastureBeef_Methane_Equations.VEERG_4_2_1_1__2_MethaneProductionFromManure(J133,$I$155,$E$166,$E$172,$I$158)</f>
        <v>2.2428414303030022E-3</v>
      </c>
      <c r="L183" s="52" cm="1">
        <f t="array" ref="L183">MMS_PastureBeef_Methane_Equations.VEERG_4_2_1_1__2_MethaneProductionFromManure(K133,$I$155,$E$166,$E$172,$I$158)</f>
        <v>1.0840974144617182E-3</v>
      </c>
      <c r="M183" s="52" cm="1">
        <f t="array" ref="M183">MMS_PastureBeef_Methane_Equations.VEERG_4_2_1_1__2_MethaneProductionFromManure(L133,$I$155,$E$166,$E$172,$I$158)</f>
        <v>1.9682053572835068E-3</v>
      </c>
      <c r="N183" s="52" cm="1">
        <f t="array" ref="N183">MMS_PastureBeef_Methane_Equations.VEERG_4_2_1_1__2_MethaneProductionFromManure(M133,$I$155,$E$166,$E$172,$I$158)</f>
        <v>1.9682053572835068E-3</v>
      </c>
      <c r="O183" s="52" cm="1">
        <f t="array" ref="O183">MMS_PastureBeef_Methane_Equations.VEERG_4_2_1_1__2_MethaneProductionFromManure(N133,$I$155,$E$166,$E$172,$I$158)</f>
        <v>1.9682053572835068E-3</v>
      </c>
      <c r="P183" s="2" t="str">
        <f t="shared" si="6"/>
        <v>kg CH4/head/day</v>
      </c>
      <c r="Q183" s="2"/>
      <c r="R183" s="2"/>
      <c r="S183" s="2"/>
      <c r="W183" s="52" t="str">
        <f>'Input - Pasture Beef'!$D$179</f>
        <v>Pasture range and paddock</v>
      </c>
      <c r="X183" s="52" t="str">
        <f t="shared" si="7"/>
        <v>July 2024</v>
      </c>
      <c r="Y183" s="52" cm="1">
        <f t="array" ref="Y183">MMS_PastureBeef_Methane_Equations.VEERG_4_2_1_1__2_MethaneProductionFromManure(X137,$I$155,$E$165,$E$171,$I$158)</f>
        <v>2.3939898572351848E-3</v>
      </c>
      <c r="Z183" s="52" cm="1">
        <f t="array" ref="Z183">MMS_PastureBeef_Methane_Equations.VEERG_4_2_1_1__2_MethaneProductionFromManure(Y137,$I$155,$E$165,$E$171,$I$158)</f>
        <v>4.6522862496463481E-3</v>
      </c>
      <c r="AA183" s="52" cm="1">
        <f t="array" ref="AA183">MMS_PastureBeef_Methane_Equations.VEERG_4_2_1_1__2_MethaneProductionFromManure(Z137,$I$155,$E$165,$E$171,$I$158)</f>
        <v>1.9601466958146293E-3</v>
      </c>
      <c r="AB183" s="52" cm="1">
        <f t="array" ref="AB183">MMS_PastureBeef_Methane_Equations.VEERG_4_2_1_1__2_MethaneProductionFromManure(AA137,$I$155,$E$165,$E$171,$I$158)</f>
        <v>2.7647390514560235E-3</v>
      </c>
      <c r="AC183" s="52" cm="1">
        <f t="array" ref="AC183">MMS_PastureBeef_Methane_Equations.VEERG_4_2_1_1__2_MethaneProductionFromManure(AB137,$I$155,$E$165,$E$171,$I$158)</f>
        <v>3.7089826724564685E-3</v>
      </c>
      <c r="AD183" s="52" cm="1">
        <f t="array" ref="AD183">MMS_PastureBeef_Methane_Equations.VEERG_4_2_1_1__2_MethaneProductionFromManure(AC137,$I$155,$E$165,$E$171,$I$158)</f>
        <v>3.7089826724564685E-3</v>
      </c>
      <c r="AE183" s="52" cm="1">
        <f t="array" ref="AE183">MMS_PastureBeef_Methane_Equations.VEERG_4_2_1_1__2_MethaneProductionFromManure(AD137,$I$155,$E$165,$E$171,$I$158)</f>
        <v>2.1045273101069351E-3</v>
      </c>
      <c r="AF183" s="52" cm="1">
        <f t="array" ref="AF183">MMS_PastureBeef_Methane_Equations.VEERG_4_2_1_1__2_MethaneProductionFromManure(AE137,$I$155,$E$165,$E$171,$I$158)</f>
        <v>3.2041066661276131E-3</v>
      </c>
      <c r="AG183" s="52" cm="1">
        <f t="array" ref="AG183">MMS_PastureBeef_Methane_Equations.VEERG_4_2_1_1__2_MethaneProductionFromManure(AF137,$I$155,$E$165,$E$171,$I$158)</f>
        <v>3.2041066661276131E-3</v>
      </c>
      <c r="AH183" s="52" cm="1">
        <f t="array" ref="AH183">MMS_PastureBeef_Methane_Equations.VEERG_4_2_1_1__2_MethaneProductionFromManure(AG137,$I$155,$E$165,$E$171,$I$158)</f>
        <v>3.2041066661276131E-3</v>
      </c>
      <c r="AI183" s="2" t="str">
        <f t="shared" si="8"/>
        <v>kg CH4/head/day</v>
      </c>
      <c r="AJ183" s="2"/>
    </row>
    <row r="184" spans="4:36" ht="20.100000000000001" customHeight="1" x14ac:dyDescent="0.25">
      <c r="D184" s="52" t="str">
        <f>'Input - Pasture Beef'!$D$180</f>
        <v>Anaerobic lagoon</v>
      </c>
      <c r="E184" s="52" t="s">
        <v>176</v>
      </c>
      <c r="F184" s="52" cm="1">
        <f t="array" ref="F184">MMS_PastureBeef_Methane_Equations.VEERG_4_2_1_1__2_MethaneProductionFromManure(E134,$I$155,$E$166,$E$172,$I$158)</f>
        <v>1.4688403146586094E-3</v>
      </c>
      <c r="G184" s="52" cm="1">
        <f t="array" ref="G184">MMS_PastureBeef_Methane_Equations.VEERG_4_2_1_1__2_MethaneProductionFromManure(F134,$I$155,$E$166,$E$172,$I$158)</f>
        <v>2.854425459723719E-3</v>
      </c>
      <c r="H184" s="52" cm="1">
        <f t="array" ref="H184">MMS_PastureBeef_Methane_Equations.VEERG_4_2_1_1__2_MethaneProductionFromManure(G134,$I$155,$E$166,$E$172,$I$158)</f>
        <v>1.2026544225974751E-3</v>
      </c>
      <c r="I184" s="52" cm="1">
        <f t="array" ref="I184">MMS_PastureBeef_Methane_Equations.VEERG_4_2_1_1__2_MethaneProductionFromManure(H134,$I$155,$E$166,$E$172,$I$158)</f>
        <v>2.0525407828608446E-3</v>
      </c>
      <c r="J184" s="52" cm="1">
        <f t="array" ref="J184">MMS_PastureBeef_Methane_Equations.VEERG_4_2_1_1__2_MethaneProductionFromManure(I134,$I$155,$E$166,$E$172,$I$158)</f>
        <v>2.6170072308748108E-3</v>
      </c>
      <c r="K184" s="52" cm="1">
        <f t="array" ref="K184">MMS_PastureBeef_Methane_Equations.VEERG_4_2_1_1__2_MethaneProductionFromManure(J134,$I$155,$E$166,$E$172,$I$158)</f>
        <v>2.6170072308748108E-3</v>
      </c>
      <c r="L184" s="52" cm="1">
        <f t="array" ref="L184">MMS_PastureBeef_Methane_Equations.VEERG_4_2_1_1__2_MethaneProductionFromManure(K134,$I$155,$E$166,$E$172,$I$158)</f>
        <v>1.291239621188348E-3</v>
      </c>
      <c r="M184" s="52" cm="1">
        <f t="array" ref="M184">MMS_PastureBeef_Methane_Equations.VEERG_4_2_1_1__2_MethaneProductionFromManure(L134,$I$155,$E$166,$E$172,$I$158)</f>
        <v>1.9658901350191817E-3</v>
      </c>
      <c r="N184" s="52" cm="1">
        <f t="array" ref="N184">MMS_PastureBeef_Methane_Equations.VEERG_4_2_1_1__2_MethaneProductionFromManure(M134,$I$155,$E$166,$E$172,$I$158)</f>
        <v>1.9658901350191817E-3</v>
      </c>
      <c r="O184" s="52" cm="1">
        <f t="array" ref="O184">MMS_PastureBeef_Methane_Equations.VEERG_4_2_1_1__2_MethaneProductionFromManure(N134,$I$155,$E$166,$E$172,$I$158)</f>
        <v>1.9658901350191817E-3</v>
      </c>
      <c r="P184" s="2" t="str">
        <f t="shared" si="6"/>
        <v>kg CH4/head/day</v>
      </c>
      <c r="Q184" s="2"/>
      <c r="R184" s="2"/>
      <c r="S184" s="2"/>
      <c r="W184" s="52" t="str">
        <f>'Input - Pasture Beef'!$D$179</f>
        <v>Pasture range and paddock</v>
      </c>
      <c r="X184" s="52" t="str">
        <f t="shared" si="7"/>
        <v>August 2024</v>
      </c>
      <c r="Y184" s="52" cm="1">
        <f t="array" ref="Y184">MMS_PastureBeef_Methane_Equations.VEERG_4_2_1_1__2_MethaneProductionFromManure(X138,$I$155,$E$165,$E$171,$I$158)</f>
        <v>2.3939898572351848E-3</v>
      </c>
      <c r="Z184" s="52" cm="1">
        <f t="array" ref="Z184">MMS_PastureBeef_Methane_Equations.VEERG_4_2_1_1__2_MethaneProductionFromManure(Y138,$I$155,$E$165,$E$171,$I$158)</f>
        <v>4.6522862496463481E-3</v>
      </c>
      <c r="AA184" s="52" cm="1">
        <f t="array" ref="AA184">MMS_PastureBeef_Methane_Equations.VEERG_4_2_1_1__2_MethaneProductionFromManure(Z138,$I$155,$E$165,$E$171,$I$158)</f>
        <v>1.9601466958146293E-3</v>
      </c>
      <c r="AB184" s="52" cm="1">
        <f t="array" ref="AB184">MMS_PastureBeef_Methane_Equations.VEERG_4_2_1_1__2_MethaneProductionFromManure(AA138,$I$155,$E$165,$E$171,$I$158)</f>
        <v>3.3868053380336294E-3</v>
      </c>
      <c r="AC184" s="52" cm="1">
        <f t="array" ref="AC184">MMS_PastureBeef_Methane_Equations.VEERG_4_2_1_1__2_MethaneProductionFromManure(AB138,$I$155,$E$165,$E$171,$I$158)</f>
        <v>4.5435037737591747E-3</v>
      </c>
      <c r="AD184" s="52" cm="1">
        <f t="array" ref="AD184">MMS_PastureBeef_Methane_Equations.VEERG_4_2_1_1__2_MethaneProductionFromManure(AC138,$I$155,$E$165,$E$171,$I$158)</f>
        <v>4.5435037737591747E-3</v>
      </c>
      <c r="AE184" s="52" cm="1">
        <f t="array" ref="AE184">MMS_PastureBeef_Methane_Equations.VEERG_4_2_1_1__2_MethaneProductionFromManure(AD138,$I$155,$E$165,$E$171,$I$158)</f>
        <v>2.1045273101069351E-3</v>
      </c>
      <c r="AF184" s="52" cm="1">
        <f t="array" ref="AF184">MMS_PastureBeef_Methane_Equations.VEERG_4_2_1_1__2_MethaneProductionFromManure(AE138,$I$155,$E$165,$E$171,$I$158)</f>
        <v>3.2041066661276131E-3</v>
      </c>
      <c r="AG184" s="52" cm="1">
        <f t="array" ref="AG184">MMS_PastureBeef_Methane_Equations.VEERG_4_2_1_1__2_MethaneProductionFromManure(AF138,$I$155,$E$165,$E$171,$I$158)</f>
        <v>3.2041066661276131E-3</v>
      </c>
      <c r="AH184" s="52" cm="1">
        <f t="array" ref="AH184">MMS_PastureBeef_Methane_Equations.VEERG_4_2_1_1__2_MethaneProductionFromManure(AG138,$I$155,$E$165,$E$171,$I$158)</f>
        <v>3.2041066661276131E-3</v>
      </c>
      <c r="AI184" s="2" t="str">
        <f t="shared" si="8"/>
        <v>kg CH4/head/day</v>
      </c>
      <c r="AJ184" s="2"/>
    </row>
    <row r="185" spans="4:36" ht="20.100000000000001" customHeight="1" x14ac:dyDescent="0.25">
      <c r="W185" s="52" t="str">
        <f>'Input - Pasture Beef'!$D$179</f>
        <v>Pasture range and paddock</v>
      </c>
      <c r="X185" s="52" t="str">
        <f t="shared" si="7"/>
        <v>September 2024</v>
      </c>
      <c r="Y185" s="52" cm="1">
        <f t="array" ref="Y185">MMS_PastureBeef_Methane_Equations.VEERG_4_2_1_1__2_MethaneProductionFromManure(X139,$I$155,$E$165,$E$171,$I$158)</f>
        <v>4.0441204522655228E-3</v>
      </c>
      <c r="Z185" s="52" cm="1">
        <f t="array" ref="Z185">MMS_PastureBeef_Methane_Equations.VEERG_4_2_1_1__2_MethaneProductionFromManure(Y139,$I$155,$E$165,$E$171,$I$158)</f>
        <v>5.711782527217847E-3</v>
      </c>
      <c r="AA185" s="52" cm="1">
        <f t="array" ref="AA185">MMS_PastureBeef_Methane_Equations.VEERG_4_2_1_1__2_MethaneProductionFromManure(Z139,$I$155,$E$165,$E$171,$I$158)</f>
        <v>3.0824275076362846E-3</v>
      </c>
      <c r="AB185" s="52" cm="1">
        <f t="array" ref="AB185">MMS_PastureBeef_Methane_Equations.VEERG_4_2_1_1__2_MethaneProductionFromManure(AA139,$I$155,$E$165,$E$171,$I$158)</f>
        <v>4.9552926045271445E-3</v>
      </c>
      <c r="AC185" s="52" cm="1">
        <f t="array" ref="AC185">MMS_PastureBeef_Methane_Equations.VEERG_4_2_1_1__2_MethaneProductionFromManure(AB139,$I$155,$E$165,$E$171,$I$158)</f>
        <v>5.5026421202084251E-3</v>
      </c>
      <c r="AD185" s="52" cm="1">
        <f t="array" ref="AD185">MMS_PastureBeef_Methane_Equations.VEERG_4_2_1_1__2_MethaneProductionFromManure(AC139,$I$155,$E$165,$E$171,$I$158)</f>
        <v>5.5026421202084251E-3</v>
      </c>
      <c r="AE185" s="52" cm="1">
        <f t="array" ref="AE185">MMS_PastureBeef_Methane_Equations.VEERG_4_2_1_1__2_MethaneProductionFromManure(AD139,$I$155,$E$165,$E$171,$I$158)</f>
        <v>3.5536302549179421E-3</v>
      </c>
      <c r="AF185" s="52" cm="1">
        <f t="array" ref="AF185">MMS_PastureBeef_Methane_Equations.VEERG_4_2_1_1__2_MethaneProductionFromManure(AE139,$I$155,$E$165,$E$171,$I$158)</f>
        <v>4.5158961081833695E-3</v>
      </c>
      <c r="AG185" s="52" cm="1">
        <f t="array" ref="AG185">MMS_PastureBeef_Methane_Equations.VEERG_4_2_1_1__2_MethaneProductionFromManure(AF139,$I$155,$E$165,$E$171,$I$158)</f>
        <v>4.5158961081833695E-3</v>
      </c>
      <c r="AH185" s="52" cm="1">
        <f t="array" ref="AH185">MMS_PastureBeef_Methane_Equations.VEERG_4_2_1_1__2_MethaneProductionFromManure(AG139,$I$155,$E$165,$E$171,$I$158)</f>
        <v>4.5158961081833695E-3</v>
      </c>
      <c r="AI185" s="2" t="str">
        <f t="shared" si="8"/>
        <v>kg CH4/head/day</v>
      </c>
      <c r="AJ185" s="2"/>
    </row>
    <row r="186" spans="4:36" ht="20.100000000000001" customHeight="1" x14ac:dyDescent="0.25">
      <c r="W186" s="52" t="str">
        <f>'Input - Pasture Beef'!$D$179</f>
        <v>Pasture range and paddock</v>
      </c>
      <c r="X186" s="52" t="str">
        <f t="shared" si="7"/>
        <v>October 2024</v>
      </c>
      <c r="Y186" s="52" cm="1">
        <f t="array" ref="Y186">MMS_PastureBeef_Methane_Equations.VEERG_4_2_1_1__2_MethaneProductionFromManure(X140,$I$155,$E$165,$E$171,$I$158)</f>
        <v>4.0441204522655228E-3</v>
      </c>
      <c r="Z186" s="52" cm="1">
        <f t="array" ref="Z186">MMS_PastureBeef_Methane_Equations.VEERG_4_2_1_1__2_MethaneProductionFromManure(Y140,$I$155,$E$165,$E$171,$I$158)</f>
        <v>5.711782527217847E-3</v>
      </c>
      <c r="AA186" s="52" cm="1">
        <f t="array" ref="AA186">MMS_PastureBeef_Methane_Equations.VEERG_4_2_1_1__2_MethaneProductionFromManure(Z140,$I$155,$E$165,$E$171,$I$158)</f>
        <v>3.0824275076362846E-3</v>
      </c>
      <c r="AB186" s="52" cm="1">
        <f t="array" ref="AB186">MMS_PastureBeef_Methane_Equations.VEERG_4_2_1_1__2_MethaneProductionFromManure(AA140,$I$155,$E$165,$E$171,$I$158)</f>
        <v>4.9552926045271445E-3</v>
      </c>
      <c r="AC186" s="52" cm="1">
        <f t="array" ref="AC186">MMS_PastureBeef_Methane_Equations.VEERG_4_2_1_1__2_MethaneProductionFromManure(AB140,$I$155,$E$165,$E$171,$I$158)</f>
        <v>5.5026421202084251E-3</v>
      </c>
      <c r="AD186" s="52" cm="1">
        <f t="array" ref="AD186">MMS_PastureBeef_Methane_Equations.VEERG_4_2_1_1__2_MethaneProductionFromManure(AC140,$I$155,$E$165,$E$171,$I$158)</f>
        <v>5.5026421202084251E-3</v>
      </c>
      <c r="AE186" s="52" cm="1">
        <f t="array" ref="AE186">MMS_PastureBeef_Methane_Equations.VEERG_4_2_1_1__2_MethaneProductionFromManure(AD140,$I$155,$E$165,$E$171,$I$158)</f>
        <v>3.5536302549179421E-3</v>
      </c>
      <c r="AF186" s="52" cm="1">
        <f t="array" ref="AF186">MMS_PastureBeef_Methane_Equations.VEERG_4_2_1_1__2_MethaneProductionFromManure(AE140,$I$155,$E$165,$E$171,$I$158)</f>
        <v>4.5158961081833695E-3</v>
      </c>
      <c r="AG186" s="52" cm="1">
        <f t="array" ref="AG186">MMS_PastureBeef_Methane_Equations.VEERG_4_2_1_1__2_MethaneProductionFromManure(AF140,$I$155,$E$165,$E$171,$I$158)</f>
        <v>4.5158961081833695E-3</v>
      </c>
      <c r="AH186" s="52" cm="1">
        <f t="array" ref="AH186">MMS_PastureBeef_Methane_Equations.VEERG_4_2_1_1__2_MethaneProductionFromManure(AG140,$I$155,$E$165,$E$171,$I$158)</f>
        <v>4.5158961081833695E-3</v>
      </c>
      <c r="AI186" s="2" t="str">
        <f t="shared" si="8"/>
        <v>kg CH4/head/day</v>
      </c>
      <c r="AJ186" s="2"/>
    </row>
    <row r="187" spans="4:36" ht="20.100000000000001" customHeight="1" x14ac:dyDescent="0.25">
      <c r="W187" s="52" t="str">
        <f>'Input - Pasture Beef'!$D$179</f>
        <v>Pasture range and paddock</v>
      </c>
      <c r="X187" s="52" t="str">
        <f t="shared" si="7"/>
        <v>November 2024</v>
      </c>
      <c r="Y187" s="52" cm="1">
        <f t="array" ref="Y187">MMS_PastureBeef_Methane_Equations.VEERG_4_2_1_1__2_MethaneProductionFromManure(X141,$I$155,$E$165,$E$171,$I$158)</f>
        <v>4.0441204522655228E-3</v>
      </c>
      <c r="Z187" s="52" cm="1">
        <f t="array" ref="Z187">MMS_PastureBeef_Methane_Equations.VEERG_4_2_1_1__2_MethaneProductionFromManure(Y141,$I$155,$E$165,$E$171,$I$158)</f>
        <v>5.711782527217847E-3</v>
      </c>
      <c r="AA187" s="52" cm="1">
        <f t="array" ref="AA187">MMS_PastureBeef_Methane_Equations.VEERG_4_2_1_1__2_MethaneProductionFromManure(Z141,$I$155,$E$165,$E$171,$I$158)</f>
        <v>3.0824275076362846E-3</v>
      </c>
      <c r="AB187" s="52" cm="1">
        <f t="array" ref="AB187">MMS_PastureBeef_Methane_Equations.VEERG_4_2_1_1__2_MethaneProductionFromManure(AA141,$I$155,$E$165,$E$171,$I$158)</f>
        <v>4.3485220815238229E-3</v>
      </c>
      <c r="AC187" s="52" cm="1">
        <f t="array" ref="AC187">MMS_PastureBeef_Methane_Equations.VEERG_4_2_1_1__2_MethaneProductionFromManure(AB141,$I$155,$E$165,$E$171,$I$158)</f>
        <v>4.828849207529841E-3</v>
      </c>
      <c r="AD187" s="52" cm="1">
        <f t="array" ref="AD187">MMS_PastureBeef_Methane_Equations.VEERG_4_2_1_1__2_MethaneProductionFromManure(AC141,$I$155,$E$165,$E$171,$I$158)</f>
        <v>4.828849207529841E-3</v>
      </c>
      <c r="AE187" s="52" cm="1">
        <f t="array" ref="AE187">MMS_PastureBeef_Methane_Equations.VEERG_4_2_1_1__2_MethaneProductionFromManure(AD141,$I$155,$E$165,$E$171,$I$158)</f>
        <v>3.5536302549179421E-3</v>
      </c>
      <c r="AF187" s="52" cm="1">
        <f t="array" ref="AF187">MMS_PastureBeef_Methane_Equations.VEERG_4_2_1_1__2_MethaneProductionFromManure(AE141,$I$155,$E$165,$E$171,$I$158)</f>
        <v>4.5158961081833695E-3</v>
      </c>
      <c r="AG187" s="52" cm="1">
        <f t="array" ref="AG187">MMS_PastureBeef_Methane_Equations.VEERG_4_2_1_1__2_MethaneProductionFromManure(AF141,$I$155,$E$165,$E$171,$I$158)</f>
        <v>4.5158961081833695E-3</v>
      </c>
      <c r="AH187" s="52" cm="1">
        <f t="array" ref="AH187">MMS_PastureBeef_Methane_Equations.VEERG_4_2_1_1__2_MethaneProductionFromManure(AG141,$I$155,$E$165,$E$171,$I$158)</f>
        <v>4.5158961081833695E-3</v>
      </c>
      <c r="AI187" s="2" t="str">
        <f t="shared" si="8"/>
        <v>kg CH4/head/day</v>
      </c>
      <c r="AJ187" s="2"/>
    </row>
    <row r="188" spans="4:36" ht="20.100000000000001" customHeight="1" x14ac:dyDescent="0.25">
      <c r="W188" s="52" t="str">
        <f>'Input - Pasture Beef'!$D$179</f>
        <v>Pasture range and paddock</v>
      </c>
      <c r="X188" s="52" t="str">
        <f t="shared" si="7"/>
        <v>December 2024</v>
      </c>
      <c r="Y188" s="52" cm="1">
        <f t="array" ref="Y188">MMS_PastureBeef_Methane_Equations.VEERG_4_2_1_1__2_MethaneProductionFromManure(X142,$I$155,$E$165,$E$171,$I$158)</f>
        <v>3.7698049331624994E-3</v>
      </c>
      <c r="Z188" s="52" cm="1">
        <f t="array" ref="Z188">MMS_PastureBeef_Methane_Equations.VEERG_4_2_1_1__2_MethaneProductionFromManure(Y142,$I$155,$E$165,$E$171,$I$158)</f>
        <v>4.9878246275839805E-3</v>
      </c>
      <c r="AA188" s="52" cm="1">
        <f t="array" ref="AA188">MMS_PastureBeef_Methane_Equations.VEERG_4_2_1_1__2_MethaneProductionFromManure(Z142,$I$155,$E$165,$E$171,$I$158)</f>
        <v>3.1703208176285837E-3</v>
      </c>
      <c r="AB188" s="52" cm="1">
        <f t="array" ref="AB188">MMS_PastureBeef_Methane_Equations.VEERG_4_2_1_1__2_MethaneProductionFromManure(AA142,$I$155,$E$165,$E$171,$I$158)</f>
        <v>4.4629037143629011E-3</v>
      </c>
      <c r="AC188" s="52" cm="1">
        <f t="array" ref="AC188">MMS_PastureBeef_Methane_Equations.VEERG_4_2_1_1__2_MethaneProductionFromManure(AB142,$I$155,$E$165,$E$171,$I$158)</f>
        <v>4.4188207511224346E-3</v>
      </c>
      <c r="AD188" s="52" cm="1">
        <f t="array" ref="AD188">MMS_PastureBeef_Methane_Equations.VEERG_4_2_1_1__2_MethaneProductionFromManure(AC142,$I$155,$E$165,$E$171,$I$158)</f>
        <v>4.4188207511224346E-3</v>
      </c>
      <c r="AE188" s="52" cm="1">
        <f t="array" ref="AE188">MMS_PastureBeef_Methane_Equations.VEERG_4_2_1_1__2_MethaneProductionFromManure(AD142,$I$155,$E$165,$E$171,$I$158)</f>
        <v>3.4748327308918255E-3</v>
      </c>
      <c r="AF188" s="52" cm="1">
        <f t="array" ref="AF188">MMS_PastureBeef_Methane_Equations.VEERG_4_2_1_1__2_MethaneProductionFromManure(AE142,$I$155,$E$165,$E$171,$I$158)</f>
        <v>3.8733047579931406E-3</v>
      </c>
      <c r="AG188" s="52" cm="1">
        <f t="array" ref="AG188">MMS_PastureBeef_Methane_Equations.VEERG_4_2_1_1__2_MethaneProductionFromManure(AF142,$I$155,$E$165,$E$171,$I$158)</f>
        <v>3.8733047579931406E-3</v>
      </c>
      <c r="AH188" s="52" cm="1">
        <f t="array" ref="AH188">MMS_PastureBeef_Methane_Equations.VEERG_4_2_1_1__2_MethaneProductionFromManure(AG142,$I$155,$E$165,$E$171,$I$158)</f>
        <v>3.8733047579931406E-3</v>
      </c>
      <c r="AI188" s="2" t="str">
        <f t="shared" si="8"/>
        <v>kg CH4/head/day</v>
      </c>
      <c r="AJ188" s="2"/>
    </row>
    <row r="189" spans="4:36" ht="20.100000000000001" customHeight="1" x14ac:dyDescent="0.25">
      <c r="W189" s="52" t="str">
        <f>'Input - Pasture Beef'!$D$180</f>
        <v>Anaerobic lagoon</v>
      </c>
      <c r="X189" s="52" t="str">
        <f>W131</f>
        <v>January 2024</v>
      </c>
      <c r="Y189" s="52" cm="1">
        <f t="array" ref="Y189">MMS_PastureBeef_Methane_Equations.VEERG_4_2_1_1__2_MethaneProductionFromManure(X131,$I$155,$E$166,$E$172,$I$158)</f>
        <v>2.3129761588141953E-3</v>
      </c>
      <c r="Z189" s="52" cm="1">
        <f t="array" ref="Z189">MMS_PastureBeef_Methane_Equations.VEERG_4_2_1_1__2_MethaneProductionFromManure(Y131,$I$155,$E$166,$E$172,$I$158)</f>
        <v>3.0602961300360589E-3</v>
      </c>
      <c r="AA189" s="52" cm="1">
        <f t="array" ref="AA189">MMS_PastureBeef_Methane_Equations.VEERG_4_2_1_1__2_MethaneProductionFromManure(Z131,$I$155,$E$166,$E$172,$I$158)</f>
        <v>1.9451607170601457E-3</v>
      </c>
      <c r="AB189" s="52" cm="1">
        <f t="array" ref="AB189">MMS_PastureBeef_Methane_Equations.VEERG_4_2_1_1__2_MethaneProductionFromManure(AA131,$I$155,$E$166,$E$172,$I$158)</f>
        <v>2.7382291851756543E-3</v>
      </c>
      <c r="AC189" s="52" cm="1">
        <f t="array" ref="AC189">MMS_PastureBeef_Methane_Equations.VEERG_4_2_1_1__2_MethaneProductionFromManure(AB131,$I$155,$E$166,$E$172,$I$158)</f>
        <v>2.7111819387549904E-3</v>
      </c>
      <c r="AD189" s="52" cm="1">
        <f t="array" ref="AD189">MMS_PastureBeef_Methane_Equations.VEERG_4_2_1_1__2_MethaneProductionFromManure(AC131,$I$155,$E$166,$E$172,$I$158)</f>
        <v>2.7111819387549904E-3</v>
      </c>
      <c r="AE189" s="52" cm="1">
        <f t="array" ref="AE189">MMS_PastureBeef_Methane_Equations.VEERG_4_2_1_1__2_MethaneProductionFromManure(AD131,$I$155,$E$166,$E$172,$I$158)</f>
        <v>2.1319949983930825E-3</v>
      </c>
      <c r="AF189" s="52" cm="1">
        <f t="array" ref="AF189">MMS_PastureBeef_Methane_Equations.VEERG_4_2_1_1__2_MethaneProductionFromManure(AE131,$I$155,$E$166,$E$172,$I$158)</f>
        <v>2.3764788151900769E-3</v>
      </c>
      <c r="AG189" s="52" cm="1">
        <f t="array" ref="AG189">MMS_PastureBeef_Methane_Equations.VEERG_4_2_1_1__2_MethaneProductionFromManure(AF131,$I$155,$E$166,$E$172,$I$158)</f>
        <v>2.3764788151900769E-3</v>
      </c>
      <c r="AH189" s="52" cm="1">
        <f t="array" ref="AH189">MMS_PastureBeef_Methane_Equations.VEERG_4_2_1_1__2_MethaneProductionFromManure(AG131,$I$155,$E$166,$E$172,$I$158)</f>
        <v>2.3764788151900769E-3</v>
      </c>
      <c r="AI189" s="2" t="str">
        <f t="shared" si="8"/>
        <v>kg CH4/head/day</v>
      </c>
      <c r="AJ189" s="2"/>
    </row>
    <row r="190" spans="4:36" ht="20.100000000000001" customHeight="1" x14ac:dyDescent="0.25">
      <c r="W190" s="52" t="str">
        <f>'Input - Pasture Beef'!$D$180</f>
        <v>Anaerobic lagoon</v>
      </c>
      <c r="X190" s="52" t="str">
        <f t="shared" ref="X190:X200" si="9">W132</f>
        <v>February 2024</v>
      </c>
      <c r="Y190" s="52" cm="1">
        <f t="array" ref="Y190">MMS_PastureBeef_Methane_Equations.VEERG_4_2_1_1__2_MethaneProductionFromManure(X132,$I$155,$E$166,$E$172,$I$158)</f>
        <v>2.3129761588141953E-3</v>
      </c>
      <c r="Z190" s="52" cm="1">
        <f t="array" ref="Z190">MMS_PastureBeef_Methane_Equations.VEERG_4_2_1_1__2_MethaneProductionFromManure(Y132,$I$155,$E$166,$E$172,$I$158)</f>
        <v>3.0602961300360589E-3</v>
      </c>
      <c r="AA190" s="52" cm="1">
        <f t="array" ref="AA190">MMS_PastureBeef_Methane_Equations.VEERG_4_2_1_1__2_MethaneProductionFromManure(Z132,$I$155,$E$166,$E$172,$I$158)</f>
        <v>1.9451607170601457E-3</v>
      </c>
      <c r="AB190" s="52" cm="1">
        <f t="array" ref="AB190">MMS_PastureBeef_Methane_Equations.VEERG_4_2_1_1__2_MethaneProductionFromManure(AA132,$I$155,$E$166,$E$172,$I$158)</f>
        <v>2.5471899396982823E-3</v>
      </c>
      <c r="AC190" s="52" cm="1">
        <f t="array" ref="AC190">MMS_PastureBeef_Methane_Equations.VEERG_4_2_1_1__2_MethaneProductionFromManure(AB132,$I$155,$E$166,$E$172,$I$158)</f>
        <v>2.5220297104697588E-3</v>
      </c>
      <c r="AD190" s="52" cm="1">
        <f t="array" ref="AD190">MMS_PastureBeef_Methane_Equations.VEERG_4_2_1_1__2_MethaneProductionFromManure(AC132,$I$155,$E$166,$E$172,$I$158)</f>
        <v>2.5220297104697588E-3</v>
      </c>
      <c r="AE190" s="52" cm="1">
        <f t="array" ref="AE190">MMS_PastureBeef_Methane_Equations.VEERG_4_2_1_1__2_MethaneProductionFromManure(AD132,$I$155,$E$166,$E$172,$I$158)</f>
        <v>2.1319949983930825E-3</v>
      </c>
      <c r="AF190" s="52" cm="1">
        <f t="array" ref="AF190">MMS_PastureBeef_Methane_Equations.VEERG_4_2_1_1__2_MethaneProductionFromManure(AE132,$I$155,$E$166,$E$172,$I$158)</f>
        <v>2.3764788151900769E-3</v>
      </c>
      <c r="AG190" s="52" cm="1">
        <f t="array" ref="AG190">MMS_PastureBeef_Methane_Equations.VEERG_4_2_1_1__2_MethaneProductionFromManure(AF132,$I$155,$E$166,$E$172,$I$158)</f>
        <v>2.3764788151900769E-3</v>
      </c>
      <c r="AH190" s="52" cm="1">
        <f t="array" ref="AH190">MMS_PastureBeef_Methane_Equations.VEERG_4_2_1_1__2_MethaneProductionFromManure(AG132,$I$155,$E$166,$E$172,$I$158)</f>
        <v>2.3764788151900769E-3</v>
      </c>
      <c r="AI190" s="2" t="str">
        <f t="shared" si="8"/>
        <v>kg CH4/head/day</v>
      </c>
      <c r="AJ190" s="2"/>
    </row>
    <row r="191" spans="4:36" ht="20.100000000000001" customHeight="1" x14ac:dyDescent="0.25">
      <c r="W191" s="52" t="str">
        <f>'Input - Pasture Beef'!$D$180</f>
        <v>Anaerobic lagoon</v>
      </c>
      <c r="X191" s="52" t="str">
        <f t="shared" si="9"/>
        <v>March 2024</v>
      </c>
      <c r="Y191" s="52" cm="1">
        <f t="array" ref="Y191">MMS_PastureBeef_Methane_Equations.VEERG_4_2_1_1__2_MethaneProductionFromManure(X133,$I$155,$E$166,$E$172,$I$158)</f>
        <v>1.0840974144617182E-3</v>
      </c>
      <c r="Z191" s="52" cm="1">
        <f t="array" ref="Z191">MMS_PastureBeef_Methane_Equations.VEERG_4_2_1_1__2_MethaneProductionFromManure(Y133,$I$155,$E$166,$E$172,$I$158)</f>
        <v>3.1464741571425175E-3</v>
      </c>
      <c r="AA191" s="52" cm="1">
        <f t="array" ref="AA191">MMS_PastureBeef_Methane_Equations.VEERG_4_2_1_1__2_MethaneProductionFromManure(Z133,$I$155,$E$166,$E$172,$I$158)</f>
        <v>9.8832181044853241E-4</v>
      </c>
      <c r="AB191" s="52" cm="1">
        <f t="array" ref="AB191">MMS_PastureBeef_Methane_Equations.VEERG_4_2_1_1__2_MethaneProductionFromManure(AA133,$I$155,$E$166,$E$172,$I$158)</f>
        <v>1.9890443928274122E-3</v>
      </c>
      <c r="AC191" s="52" cm="1">
        <f t="array" ref="AC191">MMS_PastureBeef_Methane_Equations.VEERG_4_2_1_1__2_MethaneProductionFromManure(AB133,$I$155,$E$166,$E$172,$I$158)</f>
        <v>2.2428414303030022E-3</v>
      </c>
      <c r="AD191" s="52" cm="1">
        <f t="array" ref="AD191">MMS_PastureBeef_Methane_Equations.VEERG_4_2_1_1__2_MethaneProductionFromManure(AC133,$I$155,$E$166,$E$172,$I$158)</f>
        <v>2.2428414303030022E-3</v>
      </c>
      <c r="AE191" s="52" cm="1">
        <f t="array" ref="AE191">MMS_PastureBeef_Methane_Equations.VEERG_4_2_1_1__2_MethaneProductionFromManure(AD133,$I$155,$E$166,$E$172,$I$158)</f>
        <v>1.0840974144617182E-3</v>
      </c>
      <c r="AF191" s="52" cm="1">
        <f t="array" ref="AF191">MMS_PastureBeef_Methane_Equations.VEERG_4_2_1_1__2_MethaneProductionFromManure(AE133,$I$155,$E$166,$E$172,$I$158)</f>
        <v>1.9682053572835068E-3</v>
      </c>
      <c r="AG191" s="52" cm="1">
        <f t="array" ref="AG191">MMS_PastureBeef_Methane_Equations.VEERG_4_2_1_1__2_MethaneProductionFromManure(AF133,$I$155,$E$166,$E$172,$I$158)</f>
        <v>1.9682053572835068E-3</v>
      </c>
      <c r="AH191" s="52" cm="1">
        <f t="array" ref="AH191">MMS_PastureBeef_Methane_Equations.VEERG_4_2_1_1__2_MethaneProductionFromManure(AG133,$I$155,$E$166,$E$172,$I$158)</f>
        <v>1.9682053572835068E-3</v>
      </c>
      <c r="AI191" s="2" t="str">
        <f t="shared" si="8"/>
        <v>kg CH4/head/day</v>
      </c>
      <c r="AJ191" s="2"/>
    </row>
    <row r="192" spans="4:36" ht="20.100000000000001" customHeight="1" x14ac:dyDescent="0.25">
      <c r="W192" s="52" t="str">
        <f>'Input - Pasture Beef'!$D$180</f>
        <v>Anaerobic lagoon</v>
      </c>
      <c r="X192" s="52" t="str">
        <f t="shared" si="9"/>
        <v>April 2024</v>
      </c>
      <c r="Y192" s="52" cm="1">
        <f t="array" ref="Y192">MMS_PastureBeef_Methane_Equations.VEERG_4_2_1_1__2_MethaneProductionFromManure(X134,$I$155,$E$166,$E$172,$I$158)</f>
        <v>1.0840974144617182E-3</v>
      </c>
      <c r="Z192" s="52" cm="1">
        <f t="array" ref="Z192">MMS_PastureBeef_Methane_Equations.VEERG_4_2_1_1__2_MethaneProductionFromManure(Y134,$I$155,$E$166,$E$172,$I$158)</f>
        <v>3.1464741571425175E-3</v>
      </c>
      <c r="AA192" s="52" cm="1">
        <f t="array" ref="AA192">MMS_PastureBeef_Methane_Equations.VEERG_4_2_1_1__2_MethaneProductionFromManure(Z134,$I$155,$E$166,$E$172,$I$158)</f>
        <v>9.8832181044853241E-4</v>
      </c>
      <c r="AB192" s="52" cm="1">
        <f t="array" ref="AB192">MMS_PastureBeef_Methane_Equations.VEERG_4_2_1_1__2_MethaneProductionFromManure(AA134,$I$155,$E$166,$E$172,$I$158)</f>
        <v>1.9890443928274122E-3</v>
      </c>
      <c r="AC192" s="52" cm="1">
        <f t="array" ref="AC192">MMS_PastureBeef_Methane_Equations.VEERG_4_2_1_1__2_MethaneProductionFromManure(AB134,$I$155,$E$166,$E$172,$I$158)</f>
        <v>2.2428414303030022E-3</v>
      </c>
      <c r="AD192" s="52" cm="1">
        <f t="array" ref="AD192">MMS_PastureBeef_Methane_Equations.VEERG_4_2_1_1__2_MethaneProductionFromManure(AC134,$I$155,$E$166,$E$172,$I$158)</f>
        <v>2.2428414303030022E-3</v>
      </c>
      <c r="AE192" s="52" cm="1">
        <f t="array" ref="AE192">MMS_PastureBeef_Methane_Equations.VEERG_4_2_1_1__2_MethaneProductionFromManure(AD134,$I$155,$E$166,$E$172,$I$158)</f>
        <v>1.0840974144617182E-3</v>
      </c>
      <c r="AF192" s="52" cm="1">
        <f t="array" ref="AF192">MMS_PastureBeef_Methane_Equations.VEERG_4_2_1_1__2_MethaneProductionFromManure(AE134,$I$155,$E$166,$E$172,$I$158)</f>
        <v>1.9682053572835068E-3</v>
      </c>
      <c r="AG192" s="52" cm="1">
        <f t="array" ref="AG192">MMS_PastureBeef_Methane_Equations.VEERG_4_2_1_1__2_MethaneProductionFromManure(AF134,$I$155,$E$166,$E$172,$I$158)</f>
        <v>1.9682053572835068E-3</v>
      </c>
      <c r="AH192" s="52" cm="1">
        <f t="array" ref="AH192">MMS_PastureBeef_Methane_Equations.VEERG_4_2_1_1__2_MethaneProductionFromManure(AG134,$I$155,$E$166,$E$172,$I$158)</f>
        <v>1.9682053572835068E-3</v>
      </c>
      <c r="AI192" s="2" t="str">
        <f t="shared" si="8"/>
        <v>kg CH4/head/day</v>
      </c>
      <c r="AJ192" s="2"/>
    </row>
    <row r="193" spans="3:37" ht="20.100000000000001" customHeight="1" x14ac:dyDescent="0.25">
      <c r="W193" s="52" t="str">
        <f>'Input - Pasture Beef'!$D$180</f>
        <v>Anaerobic lagoon</v>
      </c>
      <c r="X193" s="52" t="str">
        <f t="shared" si="9"/>
        <v>May 2024</v>
      </c>
      <c r="Y193" s="52" cm="1">
        <f t="array" ref="Y193">MMS_PastureBeef_Methane_Equations.VEERG_4_2_1_1__2_MethaneProductionFromManure(X135,$I$155,$E$166,$E$172,$I$158)</f>
        <v>1.0840974144617182E-3</v>
      </c>
      <c r="Z193" s="52" cm="1">
        <f t="array" ref="Z193">MMS_PastureBeef_Methane_Equations.VEERG_4_2_1_1__2_MethaneProductionFromManure(Y135,$I$155,$E$166,$E$172,$I$158)</f>
        <v>3.1464741571425175E-3</v>
      </c>
      <c r="AA193" s="52" cm="1">
        <f t="array" ref="AA193">MMS_PastureBeef_Methane_Equations.VEERG_4_2_1_1__2_MethaneProductionFromManure(Z135,$I$155,$E$166,$E$172,$I$158)</f>
        <v>9.8832181044853241E-4</v>
      </c>
      <c r="AB193" s="52" cm="1">
        <f t="array" ref="AB193">MMS_PastureBeef_Methane_Equations.VEERG_4_2_1_1__2_MethaneProductionFromManure(AA135,$I$155,$E$166,$E$172,$I$158)</f>
        <v>1.9890443928274122E-3</v>
      </c>
      <c r="AC193" s="52" cm="1">
        <f t="array" ref="AC193">MMS_PastureBeef_Methane_Equations.VEERG_4_2_1_1__2_MethaneProductionFromManure(AB135,$I$155,$E$166,$E$172,$I$158)</f>
        <v>2.2428414303030022E-3</v>
      </c>
      <c r="AD193" s="52" cm="1">
        <f t="array" ref="AD193">MMS_PastureBeef_Methane_Equations.VEERG_4_2_1_1__2_MethaneProductionFromManure(AC135,$I$155,$E$166,$E$172,$I$158)</f>
        <v>2.2428414303030022E-3</v>
      </c>
      <c r="AE193" s="52" cm="1">
        <f t="array" ref="AE193">MMS_PastureBeef_Methane_Equations.VEERG_4_2_1_1__2_MethaneProductionFromManure(AD135,$I$155,$E$166,$E$172,$I$158)</f>
        <v>1.0840974144617182E-3</v>
      </c>
      <c r="AF193" s="52" cm="1">
        <f t="array" ref="AF193">MMS_PastureBeef_Methane_Equations.VEERG_4_2_1_1__2_MethaneProductionFromManure(AE135,$I$155,$E$166,$E$172,$I$158)</f>
        <v>1.9682053572835068E-3</v>
      </c>
      <c r="AG193" s="52" cm="1">
        <f t="array" ref="AG193">MMS_PastureBeef_Methane_Equations.VEERG_4_2_1_1__2_MethaneProductionFromManure(AF135,$I$155,$E$166,$E$172,$I$158)</f>
        <v>1.9682053572835068E-3</v>
      </c>
      <c r="AH193" s="52" cm="1">
        <f t="array" ref="AH193">MMS_PastureBeef_Methane_Equations.VEERG_4_2_1_1__2_MethaneProductionFromManure(AG135,$I$155,$E$166,$E$172,$I$158)</f>
        <v>1.9682053572835068E-3</v>
      </c>
      <c r="AI193" s="2" t="str">
        <f t="shared" si="8"/>
        <v>kg CH4/head/day</v>
      </c>
      <c r="AJ193" s="2"/>
    </row>
    <row r="194" spans="3:37" ht="20.100000000000001" customHeight="1" x14ac:dyDescent="0.25">
      <c r="W194" s="52" t="str">
        <f>'Input - Pasture Beef'!$D$180</f>
        <v>Anaerobic lagoon</v>
      </c>
      <c r="X194" s="52" t="str">
        <f t="shared" si="9"/>
        <v>June 2024</v>
      </c>
      <c r="Y194" s="52" cm="1">
        <f t="array" ref="Y194">MMS_PastureBeef_Methane_Equations.VEERG_4_2_1_1__2_MethaneProductionFromManure(X136,$I$155,$E$166,$E$172,$I$158)</f>
        <v>1.4688403146586094E-3</v>
      </c>
      <c r="Z194" s="52" cm="1">
        <f t="array" ref="Z194">MMS_PastureBeef_Methane_Equations.VEERG_4_2_1_1__2_MethaneProductionFromManure(Y136,$I$155,$E$166,$E$172,$I$158)</f>
        <v>2.854425459723719E-3</v>
      </c>
      <c r="AA194" s="52" cm="1">
        <f t="array" ref="AA194">MMS_PastureBeef_Methane_Equations.VEERG_4_2_1_1__2_MethaneProductionFromManure(Z136,$I$155,$E$166,$E$172,$I$158)</f>
        <v>1.2026544225974751E-3</v>
      </c>
      <c r="AB194" s="52" cm="1">
        <f t="array" ref="AB194">MMS_PastureBeef_Methane_Equations.VEERG_4_2_1_1__2_MethaneProductionFromManure(AA136,$I$155,$E$166,$E$172,$I$158)</f>
        <v>1.6963146965792107E-3</v>
      </c>
      <c r="AC194" s="52" cm="1">
        <f t="array" ref="AC194">MMS_PastureBeef_Methane_Equations.VEERG_4_2_1_1__2_MethaneProductionFromManure(AB136,$I$155,$E$166,$E$172,$I$158)</f>
        <v>2.2756584616302694E-3</v>
      </c>
      <c r="AD194" s="52" cm="1">
        <f t="array" ref="AD194">MMS_PastureBeef_Methane_Equations.VEERG_4_2_1_1__2_MethaneProductionFromManure(AC136,$I$155,$E$166,$E$172,$I$158)</f>
        <v>2.2756584616302694E-3</v>
      </c>
      <c r="AE194" s="52" cm="1">
        <f t="array" ref="AE194">MMS_PastureBeef_Methane_Equations.VEERG_4_2_1_1__2_MethaneProductionFromManure(AD136,$I$155,$E$166,$E$172,$I$158)</f>
        <v>1.291239621188348E-3</v>
      </c>
      <c r="AF194" s="52" cm="1">
        <f t="array" ref="AF194">MMS_PastureBeef_Methane_Equations.VEERG_4_2_1_1__2_MethaneProductionFromManure(AE136,$I$155,$E$166,$E$172,$I$158)</f>
        <v>1.9658901350191817E-3</v>
      </c>
      <c r="AG194" s="52" cm="1">
        <f t="array" ref="AG194">MMS_PastureBeef_Methane_Equations.VEERG_4_2_1_1__2_MethaneProductionFromManure(AF136,$I$155,$E$166,$E$172,$I$158)</f>
        <v>1.9658901350191817E-3</v>
      </c>
      <c r="AH194" s="52" cm="1">
        <f t="array" ref="AH194">MMS_PastureBeef_Methane_Equations.VEERG_4_2_1_1__2_MethaneProductionFromManure(AG136,$I$155,$E$166,$E$172,$I$158)</f>
        <v>1.9658901350191817E-3</v>
      </c>
      <c r="AI194" s="2" t="str">
        <f t="shared" si="8"/>
        <v>kg CH4/head/day</v>
      </c>
      <c r="AJ194" s="2"/>
    </row>
    <row r="195" spans="3:37" ht="20.100000000000001" customHeight="1" x14ac:dyDescent="0.25">
      <c r="W195" s="52" t="str">
        <f>'Input - Pasture Beef'!$D$180</f>
        <v>Anaerobic lagoon</v>
      </c>
      <c r="X195" s="52" t="str">
        <f t="shared" si="9"/>
        <v>July 2024</v>
      </c>
      <c r="Y195" s="52" cm="1">
        <f t="array" ref="Y195">MMS_PastureBeef_Methane_Equations.VEERG_4_2_1_1__2_MethaneProductionFromManure(X137,$I$155,$E$166,$E$172,$I$158)</f>
        <v>1.4688403146586094E-3</v>
      </c>
      <c r="Z195" s="52" cm="1">
        <f t="array" ref="Z195">MMS_PastureBeef_Methane_Equations.VEERG_4_2_1_1__2_MethaneProductionFromManure(Y137,$I$155,$E$166,$E$172,$I$158)</f>
        <v>2.854425459723719E-3</v>
      </c>
      <c r="AA195" s="52" cm="1">
        <f t="array" ref="AA195">MMS_PastureBeef_Methane_Equations.VEERG_4_2_1_1__2_MethaneProductionFromManure(Z137,$I$155,$E$166,$E$172,$I$158)</f>
        <v>1.2026544225974751E-3</v>
      </c>
      <c r="AB195" s="52" cm="1">
        <f t="array" ref="AB195">MMS_PastureBeef_Methane_Equations.VEERG_4_2_1_1__2_MethaneProductionFromManure(AA137,$I$155,$E$166,$E$172,$I$158)</f>
        <v>1.6963146965792107E-3</v>
      </c>
      <c r="AC195" s="52" cm="1">
        <f t="array" ref="AC195">MMS_PastureBeef_Methane_Equations.VEERG_4_2_1_1__2_MethaneProductionFromManure(AB137,$I$155,$E$166,$E$172,$I$158)</f>
        <v>2.2756584616302694E-3</v>
      </c>
      <c r="AD195" s="52" cm="1">
        <f t="array" ref="AD195">MMS_PastureBeef_Methane_Equations.VEERG_4_2_1_1__2_MethaneProductionFromManure(AC137,$I$155,$E$166,$E$172,$I$158)</f>
        <v>2.2756584616302694E-3</v>
      </c>
      <c r="AE195" s="52" cm="1">
        <f t="array" ref="AE195">MMS_PastureBeef_Methane_Equations.VEERG_4_2_1_1__2_MethaneProductionFromManure(AD137,$I$155,$E$166,$E$172,$I$158)</f>
        <v>1.291239621188348E-3</v>
      </c>
      <c r="AF195" s="52" cm="1">
        <f t="array" ref="AF195">MMS_PastureBeef_Methane_Equations.VEERG_4_2_1_1__2_MethaneProductionFromManure(AE137,$I$155,$E$166,$E$172,$I$158)</f>
        <v>1.9658901350191817E-3</v>
      </c>
      <c r="AG195" s="52" cm="1">
        <f t="array" ref="AG195">MMS_PastureBeef_Methane_Equations.VEERG_4_2_1_1__2_MethaneProductionFromManure(AF137,$I$155,$E$166,$E$172,$I$158)</f>
        <v>1.9658901350191817E-3</v>
      </c>
      <c r="AH195" s="52" cm="1">
        <f t="array" ref="AH195">MMS_PastureBeef_Methane_Equations.VEERG_4_2_1_1__2_MethaneProductionFromManure(AG137,$I$155,$E$166,$E$172,$I$158)</f>
        <v>1.9658901350191817E-3</v>
      </c>
      <c r="AI195" s="2" t="str">
        <f t="shared" si="8"/>
        <v>kg CH4/head/day</v>
      </c>
      <c r="AJ195" s="2"/>
    </row>
    <row r="196" spans="3:37" ht="20.100000000000001" customHeight="1" x14ac:dyDescent="0.25">
      <c r="W196" s="52" t="str">
        <f>'Input - Pasture Beef'!$D$180</f>
        <v>Anaerobic lagoon</v>
      </c>
      <c r="X196" s="52" t="str">
        <f t="shared" si="9"/>
        <v>August 2024</v>
      </c>
      <c r="Y196" s="52" cm="1">
        <f t="array" ref="Y196">MMS_PastureBeef_Methane_Equations.VEERG_4_2_1_1__2_MethaneProductionFromManure(X138,$I$155,$E$166,$E$172,$I$158)</f>
        <v>1.4688403146586094E-3</v>
      </c>
      <c r="Z196" s="52" cm="1">
        <f t="array" ref="Z196">MMS_PastureBeef_Methane_Equations.VEERG_4_2_1_1__2_MethaneProductionFromManure(Y138,$I$155,$E$166,$E$172,$I$158)</f>
        <v>2.854425459723719E-3</v>
      </c>
      <c r="AA196" s="52" cm="1">
        <f t="array" ref="AA196">MMS_PastureBeef_Methane_Equations.VEERG_4_2_1_1__2_MethaneProductionFromManure(Z138,$I$155,$E$166,$E$172,$I$158)</f>
        <v>1.2026544225974751E-3</v>
      </c>
      <c r="AB196" s="52" cm="1">
        <f t="array" ref="AB196">MMS_PastureBeef_Methane_Equations.VEERG_4_2_1_1__2_MethaneProductionFromManure(AA138,$I$155,$E$166,$E$172,$I$158)</f>
        <v>2.0779855033095339E-3</v>
      </c>
      <c r="AC196" s="52" cm="1">
        <f t="array" ref="AC196">MMS_PastureBeef_Methane_Equations.VEERG_4_2_1_1__2_MethaneProductionFromManure(AB138,$I$155,$E$166,$E$172,$I$158)</f>
        <v>2.7876816154970801E-3</v>
      </c>
      <c r="AD196" s="52" cm="1">
        <f t="array" ref="AD196">MMS_PastureBeef_Methane_Equations.VEERG_4_2_1_1__2_MethaneProductionFromManure(AC138,$I$155,$E$166,$E$172,$I$158)</f>
        <v>2.7876816154970801E-3</v>
      </c>
      <c r="AE196" s="52" cm="1">
        <f t="array" ref="AE196">MMS_PastureBeef_Methane_Equations.VEERG_4_2_1_1__2_MethaneProductionFromManure(AD138,$I$155,$E$166,$E$172,$I$158)</f>
        <v>1.291239621188348E-3</v>
      </c>
      <c r="AF196" s="52" cm="1">
        <f t="array" ref="AF196">MMS_PastureBeef_Methane_Equations.VEERG_4_2_1_1__2_MethaneProductionFromManure(AE138,$I$155,$E$166,$E$172,$I$158)</f>
        <v>1.9658901350191817E-3</v>
      </c>
      <c r="AG196" s="52" cm="1">
        <f t="array" ref="AG196">MMS_PastureBeef_Methane_Equations.VEERG_4_2_1_1__2_MethaneProductionFromManure(AF138,$I$155,$E$166,$E$172,$I$158)</f>
        <v>1.9658901350191817E-3</v>
      </c>
      <c r="AH196" s="52" cm="1">
        <f t="array" ref="AH196">MMS_PastureBeef_Methane_Equations.VEERG_4_2_1_1__2_MethaneProductionFromManure(AG138,$I$155,$E$166,$E$172,$I$158)</f>
        <v>1.9658901350191817E-3</v>
      </c>
      <c r="AI196" s="2" t="str">
        <f t="shared" si="8"/>
        <v>kg CH4/head/day</v>
      </c>
      <c r="AJ196" s="2"/>
    </row>
    <row r="197" spans="3:37" ht="20.100000000000001" customHeight="1" x14ac:dyDescent="0.25">
      <c r="W197" s="52" t="str">
        <f>'Input - Pasture Beef'!$D$180</f>
        <v>Anaerobic lagoon</v>
      </c>
      <c r="X197" s="52" t="str">
        <f t="shared" si="9"/>
        <v>September 2024</v>
      </c>
      <c r="Y197" s="52" cm="1">
        <f t="array" ref="Y197">MMS_PastureBeef_Methane_Equations.VEERG_4_2_1_1__2_MethaneProductionFromManure(X139,$I$155,$E$166,$E$172,$I$158)</f>
        <v>2.4812833436492908E-3</v>
      </c>
      <c r="Z197" s="52" cm="1">
        <f t="array" ref="Z197">MMS_PastureBeef_Methane_Equations.VEERG_4_2_1_1__2_MethaneProductionFromManure(Y139,$I$155,$E$166,$E$172,$I$158)</f>
        <v>3.5044828695429209E-3</v>
      </c>
      <c r="AA197" s="52" cm="1">
        <f t="array" ref="AA197">MMS_PastureBeef_Methane_Equations.VEERG_4_2_1_1__2_MethaneProductionFromManure(Z139,$I$155,$E$166,$E$172,$I$158)</f>
        <v>1.8912334889579457E-3</v>
      </c>
      <c r="AB197" s="52" cm="1">
        <f t="array" ref="AB197">MMS_PastureBeef_Methane_Equations.VEERG_4_2_1_1__2_MethaneProductionFromManure(AA139,$I$155,$E$166,$E$172,$I$158)</f>
        <v>3.0403360007820158E-3</v>
      </c>
      <c r="AC197" s="52" cm="1">
        <f t="array" ref="AC197">MMS_PastureBeef_Methane_Equations.VEERG_4_2_1_1__2_MethaneProductionFromManure(AB139,$I$155,$E$166,$E$172,$I$158)</f>
        <v>3.3761640881115212E-3</v>
      </c>
      <c r="AD197" s="52" cm="1">
        <f t="array" ref="AD197">MMS_PastureBeef_Methane_Equations.VEERG_4_2_1_1__2_MethaneProductionFromManure(AC139,$I$155,$E$166,$E$172,$I$158)</f>
        <v>3.3761640881115212E-3</v>
      </c>
      <c r="AE197" s="52" cm="1">
        <f t="array" ref="AE197">MMS_PastureBeef_Methane_Equations.VEERG_4_2_1_1__2_MethaneProductionFromManure(AD139,$I$155,$E$166,$E$172,$I$158)</f>
        <v>2.1803414772367767E-3</v>
      </c>
      <c r="AF197" s="52" cm="1">
        <f t="array" ref="AF197">MMS_PastureBeef_Methane_Equations.VEERG_4_2_1_1__2_MethaneProductionFromManure(AE139,$I$155,$E$166,$E$172,$I$158)</f>
        <v>2.7707428418975179E-3</v>
      </c>
      <c r="AG197" s="52" cm="1">
        <f t="array" ref="AG197">MMS_PastureBeef_Methane_Equations.VEERG_4_2_1_1__2_MethaneProductionFromManure(AF139,$I$155,$E$166,$E$172,$I$158)</f>
        <v>2.7707428418975179E-3</v>
      </c>
      <c r="AH197" s="52" cm="1">
        <f t="array" ref="AH197">MMS_PastureBeef_Methane_Equations.VEERG_4_2_1_1__2_MethaneProductionFromManure(AG139,$I$155,$E$166,$E$172,$I$158)</f>
        <v>2.7707428418975179E-3</v>
      </c>
      <c r="AI197" s="2" t="str">
        <f t="shared" si="8"/>
        <v>kg CH4/head/day</v>
      </c>
      <c r="AJ197" s="2"/>
    </row>
    <row r="198" spans="3:37" ht="20.100000000000001" customHeight="1" x14ac:dyDescent="0.25">
      <c r="W198" s="52" t="str">
        <f>'Input - Pasture Beef'!$D$180</f>
        <v>Anaerobic lagoon</v>
      </c>
      <c r="X198" s="52" t="str">
        <f t="shared" si="9"/>
        <v>October 2024</v>
      </c>
      <c r="Y198" s="52" cm="1">
        <f t="array" ref="Y198">MMS_PastureBeef_Methane_Equations.VEERG_4_2_1_1__2_MethaneProductionFromManure(X140,$I$155,$E$166,$E$172,$I$158)</f>
        <v>2.4812833436492908E-3</v>
      </c>
      <c r="Z198" s="52" cm="1">
        <f t="array" ref="Z198">MMS_PastureBeef_Methane_Equations.VEERG_4_2_1_1__2_MethaneProductionFromManure(Y140,$I$155,$E$166,$E$172,$I$158)</f>
        <v>3.5044828695429209E-3</v>
      </c>
      <c r="AA198" s="52" cm="1">
        <f t="array" ref="AA198">MMS_PastureBeef_Methane_Equations.VEERG_4_2_1_1__2_MethaneProductionFromManure(Z140,$I$155,$E$166,$E$172,$I$158)</f>
        <v>1.8912334889579457E-3</v>
      </c>
      <c r="AB198" s="52" cm="1">
        <f t="array" ref="AB198">MMS_PastureBeef_Methane_Equations.VEERG_4_2_1_1__2_MethaneProductionFromManure(AA140,$I$155,$E$166,$E$172,$I$158)</f>
        <v>3.0403360007820158E-3</v>
      </c>
      <c r="AC198" s="52" cm="1">
        <f t="array" ref="AC198">MMS_PastureBeef_Methane_Equations.VEERG_4_2_1_1__2_MethaneProductionFromManure(AB140,$I$155,$E$166,$E$172,$I$158)</f>
        <v>3.3761640881115212E-3</v>
      </c>
      <c r="AD198" s="52" cm="1">
        <f t="array" ref="AD198">MMS_PastureBeef_Methane_Equations.VEERG_4_2_1_1__2_MethaneProductionFromManure(AC140,$I$155,$E$166,$E$172,$I$158)</f>
        <v>3.3761640881115212E-3</v>
      </c>
      <c r="AE198" s="52" cm="1">
        <f t="array" ref="AE198">MMS_PastureBeef_Methane_Equations.VEERG_4_2_1_1__2_MethaneProductionFromManure(AD140,$I$155,$E$166,$E$172,$I$158)</f>
        <v>2.1803414772367767E-3</v>
      </c>
      <c r="AF198" s="52" cm="1">
        <f t="array" ref="AF198">MMS_PastureBeef_Methane_Equations.VEERG_4_2_1_1__2_MethaneProductionFromManure(AE140,$I$155,$E$166,$E$172,$I$158)</f>
        <v>2.7707428418975179E-3</v>
      </c>
      <c r="AG198" s="52" cm="1">
        <f t="array" ref="AG198">MMS_PastureBeef_Methane_Equations.VEERG_4_2_1_1__2_MethaneProductionFromManure(AF140,$I$155,$E$166,$E$172,$I$158)</f>
        <v>2.7707428418975179E-3</v>
      </c>
      <c r="AH198" s="52" cm="1">
        <f t="array" ref="AH198">MMS_PastureBeef_Methane_Equations.VEERG_4_2_1_1__2_MethaneProductionFromManure(AG140,$I$155,$E$166,$E$172,$I$158)</f>
        <v>2.7707428418975179E-3</v>
      </c>
      <c r="AI198" s="2" t="str">
        <f t="shared" si="8"/>
        <v>kg CH4/head/day</v>
      </c>
      <c r="AJ198" s="2"/>
    </row>
    <row r="199" spans="3:37" ht="20.100000000000001" customHeight="1" x14ac:dyDescent="0.25">
      <c r="W199" s="52" t="str">
        <f>'Input - Pasture Beef'!$D$180</f>
        <v>Anaerobic lagoon</v>
      </c>
      <c r="X199" s="52" t="str">
        <f t="shared" si="9"/>
        <v>November 2024</v>
      </c>
      <c r="Y199" s="52" cm="1">
        <f t="array" ref="Y199">MMS_PastureBeef_Methane_Equations.VEERG_4_2_1_1__2_MethaneProductionFromManure(X141,$I$155,$E$166,$E$172,$I$158)</f>
        <v>2.4812833436492908E-3</v>
      </c>
      <c r="Z199" s="52" cm="1">
        <f t="array" ref="Z199">MMS_PastureBeef_Methane_Equations.VEERG_4_2_1_1__2_MethaneProductionFromManure(Y141,$I$155,$E$166,$E$172,$I$158)</f>
        <v>3.5044828695429209E-3</v>
      </c>
      <c r="AA199" s="52" cm="1">
        <f t="array" ref="AA199">MMS_PastureBeef_Methane_Equations.VEERG_4_2_1_1__2_MethaneProductionFromManure(Z141,$I$155,$E$166,$E$172,$I$158)</f>
        <v>1.8912334889579457E-3</v>
      </c>
      <c r="AB199" s="52" cm="1">
        <f t="array" ref="AB199">MMS_PastureBeef_Methane_Equations.VEERG_4_2_1_1__2_MethaneProductionFromManure(AA141,$I$155,$E$166,$E$172,$I$158)</f>
        <v>2.6680499598699331E-3</v>
      </c>
      <c r="AC199" s="52" cm="1">
        <f t="array" ref="AC199">MMS_PastureBeef_Methane_Equations.VEERG_4_2_1_1__2_MethaneProductionFromManure(AB141,$I$155,$E$166,$E$172,$I$158)</f>
        <v>2.9627562405876609E-3</v>
      </c>
      <c r="AD199" s="52" cm="1">
        <f t="array" ref="AD199">MMS_PastureBeef_Methane_Equations.VEERG_4_2_1_1__2_MethaneProductionFromManure(AC141,$I$155,$E$166,$E$172,$I$158)</f>
        <v>2.9627562405876609E-3</v>
      </c>
      <c r="AE199" s="52" cm="1">
        <f t="array" ref="AE199">MMS_PastureBeef_Methane_Equations.VEERG_4_2_1_1__2_MethaneProductionFromManure(AD141,$I$155,$E$166,$E$172,$I$158)</f>
        <v>2.1803414772367767E-3</v>
      </c>
      <c r="AF199" s="52" cm="1">
        <f t="array" ref="AF199">MMS_PastureBeef_Methane_Equations.VEERG_4_2_1_1__2_MethaneProductionFromManure(AE141,$I$155,$E$166,$E$172,$I$158)</f>
        <v>2.7707428418975179E-3</v>
      </c>
      <c r="AG199" s="52" cm="1">
        <f t="array" ref="AG199">MMS_PastureBeef_Methane_Equations.VEERG_4_2_1_1__2_MethaneProductionFromManure(AF141,$I$155,$E$166,$E$172,$I$158)</f>
        <v>2.7707428418975179E-3</v>
      </c>
      <c r="AH199" s="52" cm="1">
        <f t="array" ref="AH199">MMS_PastureBeef_Methane_Equations.VEERG_4_2_1_1__2_MethaneProductionFromManure(AG141,$I$155,$E$166,$E$172,$I$158)</f>
        <v>2.7707428418975179E-3</v>
      </c>
      <c r="AI199" s="2" t="str">
        <f t="shared" si="8"/>
        <v>kg CH4/head/day</v>
      </c>
      <c r="AJ199" s="2"/>
    </row>
    <row r="200" spans="3:37" ht="20.100000000000001" customHeight="1" x14ac:dyDescent="0.25">
      <c r="W200" s="52" t="str">
        <f>'Input - Pasture Beef'!$D$180</f>
        <v>Anaerobic lagoon</v>
      </c>
      <c r="X200" s="52" t="str">
        <f t="shared" si="9"/>
        <v>December 2024</v>
      </c>
      <c r="Y200" s="52" cm="1">
        <f t="array" ref="Y200">MMS_PastureBeef_Methane_Equations.VEERG_4_2_1_1__2_MethaneProductionFromManure(X142,$I$155,$E$166,$E$172,$I$158)</f>
        <v>2.3129761588141953E-3</v>
      </c>
      <c r="Z200" s="52" cm="1">
        <f t="array" ref="Z200">MMS_PastureBeef_Methane_Equations.VEERG_4_2_1_1__2_MethaneProductionFromManure(Y142,$I$155,$E$166,$E$172,$I$158)</f>
        <v>3.0602961300360589E-3</v>
      </c>
      <c r="AA200" s="52" cm="1">
        <f t="array" ref="AA200">MMS_PastureBeef_Methane_Equations.VEERG_4_2_1_1__2_MethaneProductionFromManure(Z142,$I$155,$E$166,$E$172,$I$158)</f>
        <v>1.9451607170601457E-3</v>
      </c>
      <c r="AB200" s="52" cm="1">
        <f t="array" ref="AB200">MMS_PastureBeef_Methane_Equations.VEERG_4_2_1_1__2_MethaneProductionFromManure(AA142,$I$155,$E$166,$E$172,$I$158)</f>
        <v>2.7382291851756543E-3</v>
      </c>
      <c r="AC200" s="52" cm="1">
        <f t="array" ref="AC200">MMS_PastureBeef_Methane_Equations.VEERG_4_2_1_1__2_MethaneProductionFromManure(AB142,$I$155,$E$166,$E$172,$I$158)</f>
        <v>2.7111819387549904E-3</v>
      </c>
      <c r="AD200" s="52" cm="1">
        <f t="array" ref="AD200">MMS_PastureBeef_Methane_Equations.VEERG_4_2_1_1__2_MethaneProductionFromManure(AC142,$I$155,$E$166,$E$172,$I$158)</f>
        <v>2.7111819387549904E-3</v>
      </c>
      <c r="AE200" s="52" cm="1">
        <f t="array" ref="AE200">MMS_PastureBeef_Methane_Equations.VEERG_4_2_1_1__2_MethaneProductionFromManure(AD142,$I$155,$E$166,$E$172,$I$158)</f>
        <v>2.1319949983930825E-3</v>
      </c>
      <c r="AF200" s="52" cm="1">
        <f t="array" ref="AF200">MMS_PastureBeef_Methane_Equations.VEERG_4_2_1_1__2_MethaneProductionFromManure(AE142,$I$155,$E$166,$E$172,$I$158)</f>
        <v>2.3764788151900769E-3</v>
      </c>
      <c r="AG200" s="52" cm="1">
        <f t="array" ref="AG200">MMS_PastureBeef_Methane_Equations.VEERG_4_2_1_1__2_MethaneProductionFromManure(AF142,$I$155,$E$166,$E$172,$I$158)</f>
        <v>2.3764788151900769E-3</v>
      </c>
      <c r="AH200" s="52" cm="1">
        <f t="array" ref="AH200">MMS_PastureBeef_Methane_Equations.VEERG_4_2_1_1__2_MethaneProductionFromManure(AG142,$I$155,$E$166,$E$172,$I$158)</f>
        <v>2.3764788151900769E-3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5"/>
      <c r="D203" s="45"/>
      <c r="E203" s="45"/>
      <c r="F203" s="45"/>
      <c r="G203" s="45"/>
      <c r="H203" s="45"/>
      <c r="I203" s="45"/>
      <c r="J203" s="45"/>
      <c r="K203" s="45"/>
      <c r="L203" s="45"/>
      <c r="M203" s="45"/>
      <c r="N203" s="45"/>
      <c r="O203" s="45"/>
      <c r="P203" s="45"/>
      <c r="Q203" s="45"/>
      <c r="R203" s="45"/>
      <c r="S203" s="45"/>
      <c r="T203" s="45"/>
      <c r="V203" s="45"/>
      <c r="W203" s="45"/>
      <c r="X203" s="45"/>
      <c r="Y203" s="45"/>
      <c r="Z203" s="45"/>
      <c r="AA203" s="45"/>
      <c r="AB203" s="45"/>
      <c r="AC203" s="45"/>
      <c r="AD203" s="45"/>
      <c r="AE203" s="45"/>
      <c r="AF203" s="45"/>
      <c r="AG203" s="45"/>
      <c r="AH203" s="45"/>
      <c r="AI203" s="45"/>
      <c r="AJ203" s="45"/>
      <c r="AK203" s="45"/>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27</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3" t="s">
        <v>30</v>
      </c>
      <c r="E209" s="1" t="str" cm="1">
        <f t="array" ref="E209">MMS_PastureBeef_Methane_Equations.VEERG_4_2_1_1__1_TotalAnnualMethaneProductionFromManureManagement_Variable()</f>
        <v>E_CH4</v>
      </c>
    </row>
    <row r="210" spans="4:34" ht="20.100000000000001" customHeight="1" x14ac:dyDescent="0.25">
      <c r="D210" s="53" t="s">
        <v>20</v>
      </c>
      <c r="E210" s="54"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21" t="str" cm="1">
        <f t="array" ref="D212:E214">_xlfn.CHOOSECOLS(MMS_PastureBeef_Methane_Equations.VEERG_4_2_1_1__1_TotalAnnualMethaneProductionFromManureManagement_Arguments(), 1, 2)</f>
        <v>N_jkl</v>
      </c>
      <c r="E212" s="126" t="str">
        <v>number of beef cattle in each time-period, class and subclass</v>
      </c>
      <c r="F212" s="125"/>
      <c r="G212" s="121" t="str" cm="1">
        <f t="array" ref="G212:H214">_xlfn.CHOOSECOLS(MMS_PastureBeef_Methane_Equations.VEERG_4_2_1_1__1_TotalAnnualMethaneProductionFromManureManagement_Arguments(), 3,4)</f>
        <v>head</v>
      </c>
      <c r="H212" s="123" t="str">
        <v>Input</v>
      </c>
      <c r="I212" s="120" t="str" cm="1">
        <f t="array" aca="1" ref="I212" ca="1">HYPERLINK(Common_InputFunctions.Utility_SourceHyperlink($D$216), $D$216)</f>
        <v>M1_Table_N_j_k_l</v>
      </c>
    </row>
    <row r="213" spans="4:34" ht="20.100000000000001" customHeight="1" x14ac:dyDescent="0.25">
      <c r="D213" s="121" t="str">
        <v>M_jklm</v>
      </c>
      <c r="E213" s="126" t="str">
        <v>methane production from manure in each time-period, class, subclass and MMS</v>
      </c>
      <c r="F213" s="125"/>
      <c r="G213" s="121" t="str">
        <v>kg/head/day</v>
      </c>
      <c r="H213" s="122" t="str">
        <v>Calculated from 4.2.1.1 (2)</v>
      </c>
      <c r="I213" s="120" t="str" cm="1">
        <f t="array" aca="1" ref="I213" ca="1">HYPERLINK(Common_InputFunctions.Utility_SourceHyperlink($D$174), $D$174)</f>
        <v>M1_Table_M_j_k_l_m</v>
      </c>
    </row>
    <row r="214" spans="4:34" ht="20.100000000000001" customHeight="1" x14ac:dyDescent="0.25">
      <c r="D214" s="121" t="str">
        <v>D_j</v>
      </c>
      <c r="E214" s="126" t="str">
        <v>number of days in each time-period for each input class</v>
      </c>
      <c r="F214" s="125"/>
      <c r="G214" s="121" t="str">
        <v>days</v>
      </c>
      <c r="H214" s="123" t="str">
        <v>Input</v>
      </c>
      <c r="I214" s="120" t="str" cm="1">
        <f t="array" aca="1" ref="I214" ca="1">HYPERLINK(Common_InputFunctions.Utility_SourceHyperlink($D$224), $D$224)</f>
        <v>M1_Table_D_j</v>
      </c>
    </row>
    <row r="215" spans="4:34" ht="20.100000000000001" customHeight="1" x14ac:dyDescent="0.25"/>
    <row r="216" spans="4:34" ht="20.100000000000001" customHeight="1" x14ac:dyDescent="0.25">
      <c r="D216" s="99" t="s">
        <v>275</v>
      </c>
      <c r="W216" s="99" t="s">
        <v>280</v>
      </c>
    </row>
    <row r="217" spans="4:34" ht="20.100000000000001" customHeight="1" x14ac:dyDescent="0.25">
      <c r="D217" s="98" t="s">
        <v>276</v>
      </c>
      <c r="W217" s="98" t="s">
        <v>281</v>
      </c>
    </row>
    <row r="218" spans="4:34" ht="20.100000000000001" customHeight="1" x14ac:dyDescent="0.25">
      <c r="D218" s="51" t="s">
        <v>184</v>
      </c>
      <c r="E218" s="124" t="s">
        <v>131</v>
      </c>
      <c r="F218" s="124" t="s">
        <v>130</v>
      </c>
      <c r="G218" s="124" t="s">
        <v>165</v>
      </c>
      <c r="H218" s="124" t="s">
        <v>166</v>
      </c>
      <c r="I218" s="124" t="s">
        <v>167</v>
      </c>
      <c r="J218" s="124" t="s">
        <v>168</v>
      </c>
      <c r="K218" s="124" t="s">
        <v>169</v>
      </c>
      <c r="L218" s="124" t="s">
        <v>170</v>
      </c>
      <c r="M218" s="124" t="s">
        <v>171</v>
      </c>
      <c r="N218" s="124" t="s">
        <v>172</v>
      </c>
      <c r="W218" s="51" t="s">
        <v>132</v>
      </c>
      <c r="X218" s="124" t="s">
        <v>131</v>
      </c>
      <c r="Y218" s="124" t="s">
        <v>130</v>
      </c>
      <c r="Z218" s="124" t="s">
        <v>165</v>
      </c>
      <c r="AA218" s="124" t="s">
        <v>166</v>
      </c>
      <c r="AB218" s="124" t="s">
        <v>167</v>
      </c>
      <c r="AC218" s="124" t="s">
        <v>168</v>
      </c>
      <c r="AD218" s="124" t="s">
        <v>169</v>
      </c>
      <c r="AE218" s="124" t="s">
        <v>170</v>
      </c>
      <c r="AF218" s="124" t="s">
        <v>171</v>
      </c>
      <c r="AG218" s="124" t="s">
        <v>172</v>
      </c>
      <c r="AH218" s="2"/>
    </row>
    <row r="219" spans="4:34" ht="20.100000000000001" customHeight="1" x14ac:dyDescent="0.25">
      <c r="D219" s="52" t="s">
        <v>173</v>
      </c>
      <c r="E219" s="52">
        <f>'Input - Pasture Beef'!E38</f>
        <v>100</v>
      </c>
      <c r="F219" s="52">
        <f>'Input - Pasture Beef'!F38</f>
        <v>100</v>
      </c>
      <c r="G219" s="52">
        <f>'Input - Pasture Beef'!G38</f>
        <v>100</v>
      </c>
      <c r="H219" s="52">
        <f>'Input - Pasture Beef'!H38</f>
        <v>100</v>
      </c>
      <c r="I219" s="52">
        <f>'Input - Pasture Beef'!I38</f>
        <v>100</v>
      </c>
      <c r="J219" s="52">
        <f>'Input - Pasture Beef'!J38</f>
        <v>100</v>
      </c>
      <c r="K219" s="52">
        <f>'Input - Pasture Beef'!K38</f>
        <v>100</v>
      </c>
      <c r="L219" s="52">
        <f>'Input - Pasture Beef'!L38</f>
        <v>100</v>
      </c>
      <c r="M219" s="52">
        <f>'Input - Pasture Beef'!M38</f>
        <v>100</v>
      </c>
      <c r="N219" s="52">
        <f>'Input - Pasture Beef'!N38</f>
        <v>100</v>
      </c>
      <c r="O219" s="2" t="s">
        <v>102</v>
      </c>
      <c r="W219" s="52" t="str">
        <f>TEXT('Input - Site'!$E$12, "mmmm yyyy")</f>
        <v>January 2024</v>
      </c>
      <c r="X219" s="52">
        <f>'Input - Pasture Beef'!E44</f>
        <v>100</v>
      </c>
      <c r="Y219" s="52">
        <f>'Input - Pasture Beef'!F44</f>
        <v>100</v>
      </c>
      <c r="Z219" s="52">
        <f>'Input - Pasture Beef'!G44</f>
        <v>100</v>
      </c>
      <c r="AA219" s="52">
        <f>'Input - Pasture Beef'!H44</f>
        <v>100</v>
      </c>
      <c r="AB219" s="52">
        <f>'Input - Pasture Beef'!I44</f>
        <v>100</v>
      </c>
      <c r="AC219" s="52">
        <f>'Input - Pasture Beef'!J44</f>
        <v>100</v>
      </c>
      <c r="AD219" s="52">
        <f>'Input - Pasture Beef'!K44</f>
        <v>100</v>
      </c>
      <c r="AE219" s="52">
        <f>'Input - Pasture Beef'!L44</f>
        <v>100</v>
      </c>
      <c r="AF219" s="52">
        <f>'Input - Pasture Beef'!M44</f>
        <v>100</v>
      </c>
      <c r="AG219" s="52">
        <f>'Input - Pasture Beef'!N44</f>
        <v>100</v>
      </c>
      <c r="AH219" s="2" t="s">
        <v>103</v>
      </c>
    </row>
    <row r="220" spans="4:34" ht="20.100000000000001" customHeight="1" x14ac:dyDescent="0.25">
      <c r="D220" s="52" t="s">
        <v>174</v>
      </c>
      <c r="E220" s="52">
        <f>'Input - Pasture Beef'!E39</f>
        <v>100</v>
      </c>
      <c r="F220" s="52">
        <f>'Input - Pasture Beef'!F39</f>
        <v>100</v>
      </c>
      <c r="G220" s="52">
        <f>'Input - Pasture Beef'!G39</f>
        <v>100</v>
      </c>
      <c r="H220" s="52">
        <f>'Input - Pasture Beef'!H39</f>
        <v>100</v>
      </c>
      <c r="I220" s="52">
        <f>'Input - Pasture Beef'!I39</f>
        <v>100</v>
      </c>
      <c r="J220" s="52">
        <f>'Input - Pasture Beef'!J39</f>
        <v>100</v>
      </c>
      <c r="K220" s="52">
        <f>'Input - Pasture Beef'!K39</f>
        <v>100</v>
      </c>
      <c r="L220" s="52">
        <f>'Input - Pasture Beef'!L39</f>
        <v>100</v>
      </c>
      <c r="M220" s="52">
        <f>'Input - Pasture Beef'!M39</f>
        <v>100</v>
      </c>
      <c r="N220" s="52">
        <f>'Input - Pasture Beef'!N39</f>
        <v>100</v>
      </c>
      <c r="O220" s="2" t="s">
        <v>102</v>
      </c>
      <c r="W220" s="52" t="str">
        <f>TEXT(EDATE('Input - Site'!$E$12,1), "mmmm yyyy")</f>
        <v>February 2024</v>
      </c>
      <c r="X220" s="52">
        <f>'Input - Pasture Beef'!E45</f>
        <v>100</v>
      </c>
      <c r="Y220" s="52">
        <f>'Input - Pasture Beef'!F45</f>
        <v>100</v>
      </c>
      <c r="Z220" s="52">
        <f>'Input - Pasture Beef'!G45</f>
        <v>100</v>
      </c>
      <c r="AA220" s="52">
        <f>'Input - Pasture Beef'!H45</f>
        <v>100</v>
      </c>
      <c r="AB220" s="52">
        <f>'Input - Pasture Beef'!I45</f>
        <v>100</v>
      </c>
      <c r="AC220" s="52">
        <f>'Input - Pasture Beef'!J45</f>
        <v>100</v>
      </c>
      <c r="AD220" s="52">
        <f>'Input - Pasture Beef'!K45</f>
        <v>100</v>
      </c>
      <c r="AE220" s="52">
        <f>'Input - Pasture Beef'!L45</f>
        <v>100</v>
      </c>
      <c r="AF220" s="52">
        <f>'Input - Pasture Beef'!M45</f>
        <v>100</v>
      </c>
      <c r="AG220" s="52">
        <f>'Input - Pasture Beef'!N45</f>
        <v>100</v>
      </c>
      <c r="AH220" s="2" t="s">
        <v>103</v>
      </c>
    </row>
    <row r="221" spans="4:34" ht="20.100000000000001" customHeight="1" x14ac:dyDescent="0.25">
      <c r="D221" s="52" t="s">
        <v>175</v>
      </c>
      <c r="E221" s="52">
        <f>'Input - Pasture Beef'!E40</f>
        <v>200</v>
      </c>
      <c r="F221" s="52">
        <f>'Input - Pasture Beef'!F40</f>
        <v>100</v>
      </c>
      <c r="G221" s="52">
        <f>'Input - Pasture Beef'!G40</f>
        <v>200</v>
      </c>
      <c r="H221" s="52">
        <f>'Input - Pasture Beef'!H40</f>
        <v>100</v>
      </c>
      <c r="I221" s="52">
        <f>'Input - Pasture Beef'!I40</f>
        <v>100</v>
      </c>
      <c r="J221" s="52">
        <f>'Input - Pasture Beef'!J40</f>
        <v>100</v>
      </c>
      <c r="K221" s="52">
        <f>'Input - Pasture Beef'!K40</f>
        <v>200</v>
      </c>
      <c r="L221" s="52">
        <f>'Input - Pasture Beef'!L40</f>
        <v>100</v>
      </c>
      <c r="M221" s="52">
        <f>'Input - Pasture Beef'!M40</f>
        <v>100</v>
      </c>
      <c r="N221" s="52">
        <f>'Input - Pasture Beef'!N40</f>
        <v>100</v>
      </c>
      <c r="O221" s="2" t="s">
        <v>102</v>
      </c>
      <c r="W221" s="52" t="str">
        <f>TEXT(EDATE('Input - Site'!$E$12,2), "mmmm yyyy")</f>
        <v>March 2024</v>
      </c>
      <c r="X221" s="52">
        <f>'Input - Pasture Beef'!E46</f>
        <v>100</v>
      </c>
      <c r="Y221" s="52">
        <f>'Input - Pasture Beef'!F46</f>
        <v>100</v>
      </c>
      <c r="Z221" s="52">
        <f>'Input - Pasture Beef'!G46</f>
        <v>100</v>
      </c>
      <c r="AA221" s="52">
        <f>'Input - Pasture Beef'!H46</f>
        <v>100</v>
      </c>
      <c r="AB221" s="52">
        <f>'Input - Pasture Beef'!I46</f>
        <v>100</v>
      </c>
      <c r="AC221" s="52">
        <f>'Input - Pasture Beef'!J46</f>
        <v>100</v>
      </c>
      <c r="AD221" s="52">
        <f>'Input - Pasture Beef'!K46</f>
        <v>100</v>
      </c>
      <c r="AE221" s="52">
        <f>'Input - Pasture Beef'!L46</f>
        <v>100</v>
      </c>
      <c r="AF221" s="52">
        <f>'Input - Pasture Beef'!M46</f>
        <v>100</v>
      </c>
      <c r="AG221" s="52">
        <f>'Input - Pasture Beef'!N46</f>
        <v>100</v>
      </c>
      <c r="AH221" s="2" t="s">
        <v>103</v>
      </c>
    </row>
    <row r="222" spans="4:34" ht="20.100000000000001" customHeight="1" x14ac:dyDescent="0.25">
      <c r="D222" s="52" t="s">
        <v>176</v>
      </c>
      <c r="E222" s="52">
        <f>'Input - Pasture Beef'!E41</f>
        <v>250</v>
      </c>
      <c r="F222" s="52">
        <f>'Input - Pasture Beef'!F41</f>
        <v>100</v>
      </c>
      <c r="G222" s="52">
        <f>'Input - Pasture Beef'!G41</f>
        <v>250</v>
      </c>
      <c r="H222" s="52">
        <f>'Input - Pasture Beef'!H41</f>
        <v>100</v>
      </c>
      <c r="I222" s="52">
        <f>'Input - Pasture Beef'!I41</f>
        <v>100</v>
      </c>
      <c r="J222" s="52">
        <f>'Input - Pasture Beef'!J41</f>
        <v>100</v>
      </c>
      <c r="K222" s="52">
        <f>'Input - Pasture Beef'!K41</f>
        <v>250</v>
      </c>
      <c r="L222" s="52">
        <f>'Input - Pasture Beef'!L41</f>
        <v>100</v>
      </c>
      <c r="M222" s="52">
        <f>'Input - Pasture Beef'!M41</f>
        <v>100</v>
      </c>
      <c r="N222" s="52">
        <f>'Input - Pasture Beef'!N41</f>
        <v>100</v>
      </c>
      <c r="O222" s="2" t="s">
        <v>102</v>
      </c>
      <c r="W222" s="52" t="str">
        <f>TEXT(EDATE('Input - Site'!$E$12,3), "mmmm yyyy")</f>
        <v>April 2024</v>
      </c>
      <c r="X222" s="52">
        <f>'Input - Pasture Beef'!E47</f>
        <v>100</v>
      </c>
      <c r="Y222" s="52">
        <f>'Input - Pasture Beef'!F47</f>
        <v>100</v>
      </c>
      <c r="Z222" s="52">
        <f>'Input - Pasture Beef'!G47</f>
        <v>100</v>
      </c>
      <c r="AA222" s="52">
        <f>'Input - Pasture Beef'!H47</f>
        <v>100</v>
      </c>
      <c r="AB222" s="52">
        <f>'Input - Pasture Beef'!I47</f>
        <v>100</v>
      </c>
      <c r="AC222" s="52">
        <f>'Input - Pasture Beef'!J47</f>
        <v>100</v>
      </c>
      <c r="AD222" s="52">
        <f>'Input - Pasture Beef'!K47</f>
        <v>100</v>
      </c>
      <c r="AE222" s="52">
        <f>'Input - Pasture Beef'!L47</f>
        <v>100</v>
      </c>
      <c r="AF222" s="52">
        <f>'Input - Pasture Beef'!M47</f>
        <v>100</v>
      </c>
      <c r="AG222" s="52">
        <f>'Input - Pasture Beef'!N47</f>
        <v>100</v>
      </c>
      <c r="AH222" s="2" t="s">
        <v>103</v>
      </c>
    </row>
    <row r="223" spans="4:34" ht="20.100000000000001" customHeight="1" x14ac:dyDescent="0.25">
      <c r="W223" s="52" t="str">
        <f>TEXT(EDATE('Input - Site'!$E$12,4), "mmmm yyyy")</f>
        <v>May 2024</v>
      </c>
      <c r="X223" s="52">
        <f>'Input - Pasture Beef'!E48</f>
        <v>100</v>
      </c>
      <c r="Y223" s="52">
        <f>'Input - Pasture Beef'!F48</f>
        <v>100</v>
      </c>
      <c r="Z223" s="52">
        <f>'Input - Pasture Beef'!G48</f>
        <v>100</v>
      </c>
      <c r="AA223" s="52">
        <f>'Input - Pasture Beef'!H48</f>
        <v>100</v>
      </c>
      <c r="AB223" s="52">
        <f>'Input - Pasture Beef'!I48</f>
        <v>100</v>
      </c>
      <c r="AC223" s="52">
        <f>'Input - Pasture Beef'!J48</f>
        <v>100</v>
      </c>
      <c r="AD223" s="52">
        <f>'Input - Pasture Beef'!K48</f>
        <v>100</v>
      </c>
      <c r="AE223" s="52">
        <f>'Input - Pasture Beef'!L48</f>
        <v>100</v>
      </c>
      <c r="AF223" s="52">
        <f>'Input - Pasture Beef'!M48</f>
        <v>100</v>
      </c>
      <c r="AG223" s="52">
        <f>'Input - Pasture Beef'!N48</f>
        <v>100</v>
      </c>
      <c r="AH223" s="2" t="s">
        <v>103</v>
      </c>
    </row>
    <row r="224" spans="4:34" ht="20.100000000000001" customHeight="1" x14ac:dyDescent="0.25">
      <c r="D224" s="99" t="s">
        <v>146</v>
      </c>
      <c r="W224" s="52" t="str">
        <f>TEXT(EDATE('Input - Site'!$E$12,5), "mmmm yyyy")</f>
        <v>June 2024</v>
      </c>
      <c r="X224" s="52">
        <f>'Input - Pasture Beef'!E49</f>
        <v>100</v>
      </c>
      <c r="Y224" s="52">
        <f>'Input - Pasture Beef'!F49</f>
        <v>100</v>
      </c>
      <c r="Z224" s="52">
        <f>'Input - Pasture Beef'!G49</f>
        <v>100</v>
      </c>
      <c r="AA224" s="52">
        <f>'Input - Pasture Beef'!H49</f>
        <v>100</v>
      </c>
      <c r="AB224" s="52">
        <f>'Input - Pasture Beef'!I49</f>
        <v>100</v>
      </c>
      <c r="AC224" s="52">
        <f>'Input - Pasture Beef'!J49</f>
        <v>100</v>
      </c>
      <c r="AD224" s="52">
        <f>'Input - Pasture Beef'!K49</f>
        <v>100</v>
      </c>
      <c r="AE224" s="52">
        <f>'Input - Pasture Beef'!L49</f>
        <v>100</v>
      </c>
      <c r="AF224" s="52">
        <f>'Input - Pasture Beef'!M49</f>
        <v>100</v>
      </c>
      <c r="AG224" s="52">
        <f>'Input - Pasture Beef'!N49</f>
        <v>100</v>
      </c>
      <c r="AH224" s="2" t="s">
        <v>103</v>
      </c>
    </row>
    <row r="225" spans="4:34" ht="20.100000000000001" customHeight="1" x14ac:dyDescent="0.25">
      <c r="D225" s="98" t="s">
        <v>277</v>
      </c>
      <c r="W225" s="52" t="str">
        <f>TEXT(EDATE('Input - Site'!$E$12,6), "mmmm yyyy")</f>
        <v>July 2024</v>
      </c>
      <c r="X225" s="52">
        <f>'Input - Pasture Beef'!E50</f>
        <v>100</v>
      </c>
      <c r="Y225" s="52">
        <f>'Input - Pasture Beef'!F50</f>
        <v>100</v>
      </c>
      <c r="Z225" s="52">
        <f>'Input - Pasture Beef'!G50</f>
        <v>100</v>
      </c>
      <c r="AA225" s="52">
        <f>'Input - Pasture Beef'!H50</f>
        <v>100</v>
      </c>
      <c r="AB225" s="52">
        <f>'Input - Pasture Beef'!I50</f>
        <v>100</v>
      </c>
      <c r="AC225" s="52">
        <f>'Input - Pasture Beef'!J50</f>
        <v>100</v>
      </c>
      <c r="AD225" s="52">
        <f>'Input - Pasture Beef'!K50</f>
        <v>100</v>
      </c>
      <c r="AE225" s="52">
        <f>'Input - Pasture Beef'!L50</f>
        <v>100</v>
      </c>
      <c r="AF225" s="52">
        <f>'Input - Pasture Beef'!M50</f>
        <v>100</v>
      </c>
      <c r="AG225" s="52">
        <f>'Input - Pasture Beef'!N50</f>
        <v>100</v>
      </c>
      <c r="AH225" s="2" t="s">
        <v>103</v>
      </c>
    </row>
    <row r="226" spans="4:34" ht="20.100000000000001" customHeight="1" x14ac:dyDescent="0.25">
      <c r="D226" s="51" t="s">
        <v>184</v>
      </c>
      <c r="E226" s="124" t="s">
        <v>131</v>
      </c>
      <c r="F226" s="124" t="s">
        <v>130</v>
      </c>
      <c r="G226" s="124" t="s">
        <v>165</v>
      </c>
      <c r="H226" s="124" t="s">
        <v>166</v>
      </c>
      <c r="I226" s="124" t="s">
        <v>167</v>
      </c>
      <c r="J226" s="124" t="s">
        <v>168</v>
      </c>
      <c r="K226" s="124" t="s">
        <v>169</v>
      </c>
      <c r="L226" s="124" t="s">
        <v>170</v>
      </c>
      <c r="M226" s="124" t="s">
        <v>171</v>
      </c>
      <c r="N226" s="124" t="s">
        <v>172</v>
      </c>
      <c r="W226" s="52" t="str">
        <f>TEXT(EDATE('Input - Site'!$E$12,7), "mmmm yyyy")</f>
        <v>August 2024</v>
      </c>
      <c r="X226" s="52">
        <f>'Input - Pasture Beef'!E51</f>
        <v>100</v>
      </c>
      <c r="Y226" s="52">
        <f>'Input - Pasture Beef'!F51</f>
        <v>100</v>
      </c>
      <c r="Z226" s="52">
        <f>'Input - Pasture Beef'!G51</f>
        <v>100</v>
      </c>
      <c r="AA226" s="52">
        <f>'Input - Pasture Beef'!H51</f>
        <v>100</v>
      </c>
      <c r="AB226" s="52">
        <f>'Input - Pasture Beef'!I51</f>
        <v>100</v>
      </c>
      <c r="AC226" s="52">
        <f>'Input - Pasture Beef'!J51</f>
        <v>100</v>
      </c>
      <c r="AD226" s="52">
        <f>'Input - Pasture Beef'!K51</f>
        <v>100</v>
      </c>
      <c r="AE226" s="52">
        <f>'Input - Pasture Beef'!L51</f>
        <v>100</v>
      </c>
      <c r="AF226" s="52">
        <f>'Input - Pasture Beef'!M51</f>
        <v>100</v>
      </c>
      <c r="AG226" s="52">
        <f>'Input - Pasture Beef'!N51</f>
        <v>100</v>
      </c>
      <c r="AH226" s="2" t="s">
        <v>103</v>
      </c>
    </row>
    <row r="227" spans="4:34" ht="20.100000000000001" customHeight="1" x14ac:dyDescent="0.25">
      <c r="D227" s="52" t="s">
        <v>173</v>
      </c>
      <c r="E227" s="52">
        <f>'Input - Pasture Beef'!E16</f>
        <v>91.25</v>
      </c>
      <c r="F227" s="52">
        <f>'Input - Pasture Beef'!F16</f>
        <v>91.25</v>
      </c>
      <c r="G227" s="52">
        <f>'Input - Pasture Beef'!G16</f>
        <v>91.25</v>
      </c>
      <c r="H227" s="52">
        <f>'Input - Pasture Beef'!H16</f>
        <v>91.25</v>
      </c>
      <c r="I227" s="52">
        <f>'Input - Pasture Beef'!I16</f>
        <v>91.25</v>
      </c>
      <c r="J227" s="52">
        <f>'Input - Pasture Beef'!J16</f>
        <v>91.25</v>
      </c>
      <c r="K227" s="52">
        <f>'Input - Pasture Beef'!K16</f>
        <v>91.25</v>
      </c>
      <c r="L227" s="52">
        <f>'Input - Pasture Beef'!L16</f>
        <v>91.25</v>
      </c>
      <c r="M227" s="52">
        <f>'Input - Pasture Beef'!M16</f>
        <v>91.25</v>
      </c>
      <c r="N227" s="52">
        <f>'Input - Pasture Beef'!N16</f>
        <v>91.25</v>
      </c>
      <c r="O227" s="2" t="s">
        <v>278</v>
      </c>
      <c r="W227" s="52" t="str">
        <f>TEXT(EDATE('Input - Site'!$E$12,8), "mmmm yyyy")</f>
        <v>September 2024</v>
      </c>
      <c r="X227" s="52">
        <f>'Input - Pasture Beef'!E52</f>
        <v>100</v>
      </c>
      <c r="Y227" s="52">
        <f>'Input - Pasture Beef'!F52</f>
        <v>100</v>
      </c>
      <c r="Z227" s="52">
        <f>'Input - Pasture Beef'!G52</f>
        <v>100</v>
      </c>
      <c r="AA227" s="52">
        <f>'Input - Pasture Beef'!H52</f>
        <v>100</v>
      </c>
      <c r="AB227" s="52">
        <f>'Input - Pasture Beef'!I52</f>
        <v>100</v>
      </c>
      <c r="AC227" s="52">
        <f>'Input - Pasture Beef'!J52</f>
        <v>100</v>
      </c>
      <c r="AD227" s="52">
        <f>'Input - Pasture Beef'!K52</f>
        <v>100</v>
      </c>
      <c r="AE227" s="52">
        <f>'Input - Pasture Beef'!L52</f>
        <v>100</v>
      </c>
      <c r="AF227" s="52">
        <f>'Input - Pasture Beef'!M52</f>
        <v>100</v>
      </c>
      <c r="AG227" s="52">
        <f>'Input - Pasture Beef'!N52</f>
        <v>100</v>
      </c>
      <c r="AH227" s="2" t="s">
        <v>103</v>
      </c>
    </row>
    <row r="228" spans="4:34" ht="20.100000000000001" customHeight="1" x14ac:dyDescent="0.25">
      <c r="D228" s="52" t="s">
        <v>174</v>
      </c>
      <c r="E228" s="52">
        <f>'Input - Pasture Beef'!E17</f>
        <v>91.25</v>
      </c>
      <c r="F228" s="52">
        <f>'Input - Pasture Beef'!F17</f>
        <v>91.25</v>
      </c>
      <c r="G228" s="52">
        <f>'Input - Pasture Beef'!G17</f>
        <v>91.25</v>
      </c>
      <c r="H228" s="52">
        <f>'Input - Pasture Beef'!H17</f>
        <v>91.25</v>
      </c>
      <c r="I228" s="52">
        <f>'Input - Pasture Beef'!I17</f>
        <v>91.25</v>
      </c>
      <c r="J228" s="52">
        <f>'Input - Pasture Beef'!J17</f>
        <v>91.25</v>
      </c>
      <c r="K228" s="52">
        <f>'Input - Pasture Beef'!K17</f>
        <v>91.25</v>
      </c>
      <c r="L228" s="52">
        <f>'Input - Pasture Beef'!L17</f>
        <v>91.25</v>
      </c>
      <c r="M228" s="52">
        <f>'Input - Pasture Beef'!M17</f>
        <v>91.25</v>
      </c>
      <c r="N228" s="52">
        <f>'Input - Pasture Beef'!N17</f>
        <v>91.25</v>
      </c>
      <c r="O228" s="2" t="s">
        <v>278</v>
      </c>
      <c r="W228" s="52" t="str">
        <f>TEXT(EDATE('Input - Site'!$E$12,9), "mmmm yyyy")</f>
        <v>October 2024</v>
      </c>
      <c r="X228" s="52">
        <f>'Input - Pasture Beef'!E53</f>
        <v>100</v>
      </c>
      <c r="Y228" s="52">
        <f>'Input - Pasture Beef'!F53</f>
        <v>100</v>
      </c>
      <c r="Z228" s="52">
        <f>'Input - Pasture Beef'!G53</f>
        <v>100</v>
      </c>
      <c r="AA228" s="52">
        <f>'Input - Pasture Beef'!H53</f>
        <v>100</v>
      </c>
      <c r="AB228" s="52">
        <f>'Input - Pasture Beef'!I53</f>
        <v>100</v>
      </c>
      <c r="AC228" s="52">
        <f>'Input - Pasture Beef'!J53</f>
        <v>100</v>
      </c>
      <c r="AD228" s="52">
        <f>'Input - Pasture Beef'!K53</f>
        <v>100</v>
      </c>
      <c r="AE228" s="52">
        <f>'Input - Pasture Beef'!L53</f>
        <v>100</v>
      </c>
      <c r="AF228" s="52">
        <f>'Input - Pasture Beef'!M53</f>
        <v>100</v>
      </c>
      <c r="AG228" s="52">
        <f>'Input - Pasture Beef'!N53</f>
        <v>100</v>
      </c>
      <c r="AH228" s="2" t="s">
        <v>103</v>
      </c>
    </row>
    <row r="229" spans="4:34" ht="20.100000000000001" customHeight="1" x14ac:dyDescent="0.25">
      <c r="D229" s="52" t="s">
        <v>175</v>
      </c>
      <c r="E229" s="52">
        <f>'Input - Pasture Beef'!E18</f>
        <v>91.25</v>
      </c>
      <c r="F229" s="52">
        <f>'Input - Pasture Beef'!F18</f>
        <v>91.25</v>
      </c>
      <c r="G229" s="52">
        <f>'Input - Pasture Beef'!G18</f>
        <v>91.25</v>
      </c>
      <c r="H229" s="52">
        <f>'Input - Pasture Beef'!H18</f>
        <v>91.25</v>
      </c>
      <c r="I229" s="52">
        <f>'Input - Pasture Beef'!I18</f>
        <v>91.25</v>
      </c>
      <c r="J229" s="52">
        <f>'Input - Pasture Beef'!J18</f>
        <v>91.25</v>
      </c>
      <c r="K229" s="52">
        <f>'Input - Pasture Beef'!K18</f>
        <v>91.25</v>
      </c>
      <c r="L229" s="52">
        <f>'Input - Pasture Beef'!L18</f>
        <v>91.25</v>
      </c>
      <c r="M229" s="52">
        <f>'Input - Pasture Beef'!M18</f>
        <v>91.25</v>
      </c>
      <c r="N229" s="52">
        <f>'Input - Pasture Beef'!N18</f>
        <v>91.25</v>
      </c>
      <c r="O229" s="2" t="s">
        <v>278</v>
      </c>
      <c r="W229" s="52" t="str">
        <f>TEXT(EDATE('Input - Site'!$E$12,10), "mmmm yyyy")</f>
        <v>November 2024</v>
      </c>
      <c r="X229" s="52">
        <f>'Input - Pasture Beef'!E54</f>
        <v>100</v>
      </c>
      <c r="Y229" s="52">
        <f>'Input - Pasture Beef'!F54</f>
        <v>100</v>
      </c>
      <c r="Z229" s="52">
        <f>'Input - Pasture Beef'!G54</f>
        <v>100</v>
      </c>
      <c r="AA229" s="52">
        <f>'Input - Pasture Beef'!H54</f>
        <v>100</v>
      </c>
      <c r="AB229" s="52">
        <f>'Input - Pasture Beef'!I54</f>
        <v>100</v>
      </c>
      <c r="AC229" s="52">
        <f>'Input - Pasture Beef'!J54</f>
        <v>100</v>
      </c>
      <c r="AD229" s="52">
        <f>'Input - Pasture Beef'!K54</f>
        <v>100</v>
      </c>
      <c r="AE229" s="52">
        <f>'Input - Pasture Beef'!L54</f>
        <v>100</v>
      </c>
      <c r="AF229" s="52">
        <f>'Input - Pasture Beef'!M54</f>
        <v>100</v>
      </c>
      <c r="AG229" s="52">
        <f>'Input - Pasture Beef'!N54</f>
        <v>100</v>
      </c>
      <c r="AH229" s="2" t="s">
        <v>103</v>
      </c>
    </row>
    <row r="230" spans="4:34" ht="20.100000000000001" customHeight="1" x14ac:dyDescent="0.25">
      <c r="D230" s="52" t="s">
        <v>176</v>
      </c>
      <c r="E230" s="52">
        <f>'Input - Pasture Beef'!E19</f>
        <v>91.25</v>
      </c>
      <c r="F230" s="52">
        <f>'Input - Pasture Beef'!F19</f>
        <v>91.25</v>
      </c>
      <c r="G230" s="52">
        <f>'Input - Pasture Beef'!G19</f>
        <v>91.25</v>
      </c>
      <c r="H230" s="52">
        <f>'Input - Pasture Beef'!H19</f>
        <v>91.25</v>
      </c>
      <c r="I230" s="52">
        <f>'Input - Pasture Beef'!I19</f>
        <v>91.25</v>
      </c>
      <c r="J230" s="52">
        <f>'Input - Pasture Beef'!J19</f>
        <v>91.25</v>
      </c>
      <c r="K230" s="52">
        <f>'Input - Pasture Beef'!K19</f>
        <v>91.25</v>
      </c>
      <c r="L230" s="52">
        <f>'Input - Pasture Beef'!L19</f>
        <v>91.25</v>
      </c>
      <c r="M230" s="52">
        <f>'Input - Pasture Beef'!M19</f>
        <v>91.25</v>
      </c>
      <c r="N230" s="52">
        <f>'Input - Pasture Beef'!N19</f>
        <v>91.25</v>
      </c>
      <c r="O230" s="2" t="s">
        <v>278</v>
      </c>
      <c r="W230" s="52" t="str">
        <f>TEXT(EDATE('Input - Site'!$E$12,11), "mmmm yyyy")</f>
        <v>December 2024</v>
      </c>
      <c r="X230" s="52">
        <f>'Input - Pasture Beef'!E55</f>
        <v>100</v>
      </c>
      <c r="Y230" s="52">
        <f>'Input - Pasture Beef'!F55</f>
        <v>100</v>
      </c>
      <c r="Z230" s="52">
        <f>'Input - Pasture Beef'!G55</f>
        <v>100</v>
      </c>
      <c r="AA230" s="52">
        <f>'Input - Pasture Beef'!H55</f>
        <v>100</v>
      </c>
      <c r="AB230" s="52">
        <f>'Input - Pasture Beef'!I55</f>
        <v>100</v>
      </c>
      <c r="AC230" s="52">
        <f>'Input - Pasture Beef'!J55</f>
        <v>100</v>
      </c>
      <c r="AD230" s="52">
        <f>'Input - Pasture Beef'!K55</f>
        <v>100</v>
      </c>
      <c r="AE230" s="52">
        <f>'Input - Pasture Beef'!L55</f>
        <v>100</v>
      </c>
      <c r="AF230" s="52">
        <f>'Input - Pasture Beef'!M55</f>
        <v>100</v>
      </c>
      <c r="AG230" s="52">
        <f>'Input - Pasture Beef'!N55</f>
        <v>100</v>
      </c>
      <c r="AH230" s="2" t="s">
        <v>103</v>
      </c>
    </row>
    <row r="231" spans="4:34" ht="20.100000000000001" customHeight="1" x14ac:dyDescent="0.25"/>
    <row r="232" spans="4:34" ht="20.100000000000001" customHeight="1" x14ac:dyDescent="0.25">
      <c r="D232" s="99" t="s">
        <v>147</v>
      </c>
      <c r="W232" s="99" t="s">
        <v>149</v>
      </c>
    </row>
    <row r="233" spans="4:34" ht="20.100000000000001" customHeight="1" x14ac:dyDescent="0.25">
      <c r="D233" s="98" t="s">
        <v>279</v>
      </c>
      <c r="W233" s="98" t="s">
        <v>282</v>
      </c>
    </row>
    <row r="234" spans="4:34" ht="20.100000000000001" customHeight="1" x14ac:dyDescent="0.25">
      <c r="D234" s="51" t="s">
        <v>68</v>
      </c>
      <c r="E234" s="51" t="s">
        <v>184</v>
      </c>
      <c r="F234" s="51" t="s">
        <v>131</v>
      </c>
      <c r="G234" s="51" t="s">
        <v>130</v>
      </c>
      <c r="H234" s="51" t="s">
        <v>165</v>
      </c>
      <c r="I234" s="51" t="s">
        <v>166</v>
      </c>
      <c r="J234" s="51" t="s">
        <v>167</v>
      </c>
      <c r="K234" s="51" t="s">
        <v>168</v>
      </c>
      <c r="L234" s="51" t="s">
        <v>169</v>
      </c>
      <c r="M234" s="51" t="s">
        <v>170</v>
      </c>
      <c r="N234" s="51" t="s">
        <v>171</v>
      </c>
      <c r="O234" s="51" t="s">
        <v>172</v>
      </c>
      <c r="W234" s="51" t="s">
        <v>132</v>
      </c>
      <c r="X234" s="124" t="s">
        <v>131</v>
      </c>
      <c r="Y234" s="124" t="s">
        <v>130</v>
      </c>
      <c r="Z234" s="124" t="s">
        <v>165</v>
      </c>
      <c r="AA234" s="124" t="s">
        <v>166</v>
      </c>
      <c r="AB234" s="124" t="s">
        <v>167</v>
      </c>
      <c r="AC234" s="124" t="s">
        <v>168</v>
      </c>
      <c r="AD234" s="124" t="s">
        <v>169</v>
      </c>
      <c r="AE234" s="124" t="s">
        <v>170</v>
      </c>
      <c r="AF234" s="124" t="s">
        <v>171</v>
      </c>
      <c r="AG234" s="124" t="s">
        <v>172</v>
      </c>
      <c r="AH234" s="2"/>
    </row>
    <row r="235" spans="4:34" ht="20.100000000000001" customHeight="1" x14ac:dyDescent="0.25">
      <c r="D235" s="52" t="str">
        <f>'Input - Pasture Beef'!$D$179</f>
        <v>Pasture range and paddock</v>
      </c>
      <c r="E235" s="52" t="s">
        <v>173</v>
      </c>
      <c r="F235" s="52" cm="1">
        <f t="array" ref="F235">MMS_PastureBeef_Methane_Equations.VEERG_4_2_1_1__1_TotalAnnualMethaneProductionFromManureManagement(E219,F177,E227)</f>
        <v>3.6902599126922897E-2</v>
      </c>
      <c r="G235" s="52" cm="1">
        <f t="array" ref="G235">MMS_PastureBeef_Methane_Equations.VEERG_4_2_1_1__1_TotalAnnualMethaneProductionFromManureManagement(F219,G177,F227)</f>
        <v>5.2120015560862855E-2</v>
      </c>
      <c r="H235" s="52" cm="1">
        <f t="array" ref="H235">MMS_PastureBeef_Methane_Equations.VEERG_4_2_1_1__1_TotalAnnualMethaneProductionFromManureManagement(G219,H177,G227)</f>
        <v>2.8127151007181096E-2</v>
      </c>
      <c r="I235" s="52" cm="1">
        <f t="array" ref="I235">MMS_PastureBeef_Methane_Equations.VEERG_4_2_1_1__1_TotalAnnualMethaneProductionFromManureManagement(H219,I177,H227)</f>
        <v>4.0603060830972426E-2</v>
      </c>
      <c r="J235" s="52" cm="1">
        <f t="array" ref="J235">MMS_PastureBeef_Methane_Equations.VEERG_4_2_1_1__1_TotalAnnualMethaneProductionFromManureManagement(I219,J177,I227)</f>
        <v>4.79572105598981E-2</v>
      </c>
      <c r="K235" s="52" cm="1">
        <f t="array" ref="K235">MMS_PastureBeef_Methane_Equations.VEERG_4_2_1_1__1_TotalAnnualMethaneProductionFromManureManagement(J219,K177,J227)</f>
        <v>4.79572105598981E-2</v>
      </c>
      <c r="L235" s="52" cm="1">
        <f t="array" ref="L235">MMS_PastureBeef_Methane_Equations.VEERG_4_2_1_1__1_TotalAnnualMethaneProductionFromManureManagement(K219,L177,K227)</f>
        <v>3.2426876076126224E-2</v>
      </c>
      <c r="M235" s="52" cm="1">
        <f t="array" ref="M235">MMS_PastureBeef_Methane_Equations.VEERG_4_2_1_1__1_TotalAnnualMethaneProductionFromManureManagement(L219,M177,L227)</f>
        <v>4.1207551987173248E-2</v>
      </c>
      <c r="N235" s="52" cm="1">
        <f t="array" ref="N235">MMS_PastureBeef_Methane_Equations.VEERG_4_2_1_1__1_TotalAnnualMethaneProductionFromManureManagement(M219,N177,M227)</f>
        <v>4.1207551987173248E-2</v>
      </c>
      <c r="O235" s="52" cm="1">
        <f t="array" ref="O235">MMS_PastureBeef_Methane_Equations.VEERG_4_2_1_1__1_TotalAnnualMethaneProductionFromManureManagement(N219,O177,N227)</f>
        <v>4.1207551987173248E-2</v>
      </c>
      <c r="P235" s="2" t="str">
        <f>$E$210</f>
        <v>t CH4</v>
      </c>
      <c r="Q235" s="2"/>
      <c r="R235" s="2"/>
      <c r="S235" s="2"/>
      <c r="W235" s="52" t="str">
        <f>TEXT('Input - Site'!$E$12, "mmmm yyyy")</f>
        <v>January 2024</v>
      </c>
      <c r="X235" s="52">
        <f>'Input - Pasture Beef'!E22</f>
        <v>31</v>
      </c>
      <c r="Y235" s="52">
        <f>'Input - Pasture Beef'!F22</f>
        <v>31</v>
      </c>
      <c r="Z235" s="52">
        <f>'Input - Pasture Beef'!G22</f>
        <v>31</v>
      </c>
      <c r="AA235" s="52">
        <f>'Input - Pasture Beef'!H22</f>
        <v>31</v>
      </c>
      <c r="AB235" s="52">
        <f>'Input - Pasture Beef'!I22</f>
        <v>31</v>
      </c>
      <c r="AC235" s="52">
        <f>'Input - Pasture Beef'!J22</f>
        <v>31</v>
      </c>
      <c r="AD235" s="52">
        <f>'Input - Pasture Beef'!K22</f>
        <v>31</v>
      </c>
      <c r="AE235" s="52">
        <f>'Input - Pasture Beef'!L22</f>
        <v>31</v>
      </c>
      <c r="AF235" s="52">
        <f>'Input - Pasture Beef'!M22</f>
        <v>31</v>
      </c>
      <c r="AG235" s="52">
        <f>'Input - Pasture Beef'!N22</f>
        <v>31</v>
      </c>
      <c r="AH235" s="2" t="s">
        <v>278</v>
      </c>
    </row>
    <row r="236" spans="4:34" ht="20.100000000000001" customHeight="1" x14ac:dyDescent="0.25">
      <c r="D236" s="52" t="str">
        <f>'Input - Pasture Beef'!$D$179</f>
        <v>Pasture range and paddock</v>
      </c>
      <c r="E236" s="52" t="s">
        <v>174</v>
      </c>
      <c r="F236" s="52" cm="1">
        <f t="array" ref="F236">MMS_PastureBeef_Methane_Equations.VEERG_4_2_1_1__1_TotalAnnualMethaneProductionFromManureManagement(E220,F178,E228)</f>
        <v>3.4399470015107812E-2</v>
      </c>
      <c r="G236" s="52" cm="1">
        <f t="array" ref="G236">MMS_PastureBeef_Methane_Equations.VEERG_4_2_1_1__1_TotalAnnualMethaneProductionFromManureManagement(F220,G178,F228)</f>
        <v>4.5513899726703819E-2</v>
      </c>
      <c r="H236" s="52" cm="1">
        <f t="array" ref="H236">MMS_PastureBeef_Methane_Equations.VEERG_4_2_1_1__1_TotalAnnualMethaneProductionFromManureManagement(G220,H178,G228)</f>
        <v>2.8929177460860826E-2</v>
      </c>
      <c r="I236" s="52" cm="1">
        <f t="array" ref="I236">MMS_PastureBeef_Methane_Equations.VEERG_4_2_1_1__1_TotalAnnualMethaneProductionFromManureManagement(H220,I178,H228)</f>
        <v>3.9398098836561798E-2</v>
      </c>
      <c r="J236" s="52" cm="1">
        <f t="array" ref="J236">MMS_PastureBeef_Methane_Equations.VEERG_4_2_1_1__1_TotalAnnualMethaneProductionFromManureManagement(I220,J178,I228)</f>
        <v>3.9008938537815736E-2</v>
      </c>
      <c r="K236" s="52" cm="1">
        <f t="array" ref="K236">MMS_PastureBeef_Methane_Equations.VEERG_4_2_1_1__1_TotalAnnualMethaneProductionFromManureManagement(J220,K178,J228)</f>
        <v>3.9008938537815736E-2</v>
      </c>
      <c r="L236" s="52" cm="1">
        <f t="array" ref="L236">MMS_PastureBeef_Methane_Equations.VEERG_4_2_1_1__1_TotalAnnualMethaneProductionFromManureManagement(K220,L178,K228)</f>
        <v>3.170784866938791E-2</v>
      </c>
      <c r="M236" s="52" cm="1">
        <f t="array" ref="M236">MMS_PastureBeef_Methane_Equations.VEERG_4_2_1_1__1_TotalAnnualMethaneProductionFromManureManagement(L220,M178,L228)</f>
        <v>3.5343905916687415E-2</v>
      </c>
      <c r="N236" s="52" cm="1">
        <f t="array" ref="N236">MMS_PastureBeef_Methane_Equations.VEERG_4_2_1_1__1_TotalAnnualMethaneProductionFromManureManagement(M220,N178,M228)</f>
        <v>3.5343905916687415E-2</v>
      </c>
      <c r="O236" s="52" cm="1">
        <f t="array" ref="O236">MMS_PastureBeef_Methane_Equations.VEERG_4_2_1_1__1_TotalAnnualMethaneProductionFromManureManagement(N220,O178,N228)</f>
        <v>3.5343905916687415E-2</v>
      </c>
      <c r="P236" s="2" t="str">
        <f t="shared" ref="P236:P242" si="10">$E$210</f>
        <v>t CH4</v>
      </c>
      <c r="Q236" s="2"/>
      <c r="R236" s="2"/>
      <c r="S236" s="2"/>
      <c r="W236" s="52" t="str">
        <f>TEXT(EDATE('Input - Site'!$E$12,1), "mmmm yyyy")</f>
        <v>February 2024</v>
      </c>
      <c r="X236" s="52">
        <f>'Input - Pasture Beef'!E23</f>
        <v>29</v>
      </c>
      <c r="Y236" s="52">
        <f>'Input - Pasture Beef'!F23</f>
        <v>29</v>
      </c>
      <c r="Z236" s="52">
        <f>'Input - Pasture Beef'!G23</f>
        <v>29</v>
      </c>
      <c r="AA236" s="52">
        <f>'Input - Pasture Beef'!H23</f>
        <v>29</v>
      </c>
      <c r="AB236" s="52">
        <f>'Input - Pasture Beef'!I23</f>
        <v>29</v>
      </c>
      <c r="AC236" s="52">
        <f>'Input - Pasture Beef'!J23</f>
        <v>29</v>
      </c>
      <c r="AD236" s="52">
        <f>'Input - Pasture Beef'!K23</f>
        <v>29</v>
      </c>
      <c r="AE236" s="52">
        <f>'Input - Pasture Beef'!L23</f>
        <v>29</v>
      </c>
      <c r="AF236" s="52">
        <f>'Input - Pasture Beef'!M23</f>
        <v>29</v>
      </c>
      <c r="AG236" s="52">
        <f>'Input - Pasture Beef'!N23</f>
        <v>29</v>
      </c>
      <c r="AH236" s="2" t="s">
        <v>278</v>
      </c>
    </row>
    <row r="237" spans="4:34" ht="20.100000000000001" customHeight="1" x14ac:dyDescent="0.25">
      <c r="D237" s="52" t="str">
        <f>'Input - Pasture Beef'!$D$179</f>
        <v>Pasture range and paddock</v>
      </c>
      <c r="E237" s="52" t="s">
        <v>175</v>
      </c>
      <c r="F237" s="52" cm="1">
        <f t="array" ref="F237">MMS_PastureBeef_Methane_Equations.VEERG_4_2_1_1__1_TotalAnnualMethaneProductionFromManureManagement(E221,F179,E229)</f>
        <v>3.2246226456005181E-2</v>
      </c>
      <c r="G237" s="52" cm="1">
        <f t="array" ref="G237">MMS_PastureBeef_Methane_Equations.VEERG_4_2_1_1__1_TotalAnnualMethaneProductionFromManureManagement(F221,G179,F229)</f>
        <v>4.6795572453036442E-2</v>
      </c>
      <c r="H237" s="52" cm="1">
        <f t="array" ref="H237">MMS_PastureBeef_Methane_Equations.VEERG_4_2_1_1__1_TotalAnnualMethaneProductionFromManureManagement(G221,H179,G229)</f>
        <v>2.9397403301581047E-2</v>
      </c>
      <c r="I237" s="52" cm="1">
        <f t="array" ref="I237">MMS_PastureBeef_Methane_Equations.VEERG_4_2_1_1__1_TotalAnnualMethaneProductionFromManureManagement(H221,I179,H229)</f>
        <v>2.9877650669219075E-2</v>
      </c>
      <c r="J237" s="52" cm="1">
        <f t="array" ref="J237">MMS_PastureBeef_Methane_Equations.VEERG_4_2_1_1__1_TotalAnnualMethaneProductionFromManureManagement(I221,J179,I229)</f>
        <v>3.3356399388873852E-2</v>
      </c>
      <c r="K237" s="52" cm="1">
        <f t="array" ref="K237">MMS_PastureBeef_Methane_Equations.VEERG_4_2_1_1__1_TotalAnnualMethaneProductionFromManureManagement(J221,K179,J229)</f>
        <v>3.3356399388873852E-2</v>
      </c>
      <c r="L237" s="52" cm="1">
        <f t="array" ref="L237">MMS_PastureBeef_Methane_Equations.VEERG_4_2_1_1__1_TotalAnnualMethaneProductionFromManureManagement(K221,L179,K229)</f>
        <v>3.2246226456005181E-2</v>
      </c>
      <c r="M237" s="52" cm="1">
        <f t="array" ref="M237">MMS_PastureBeef_Methane_Equations.VEERG_4_2_1_1__1_TotalAnnualMethaneProductionFromManureManagement(L221,M179,L229)</f>
        <v>2.9271906203373613E-2</v>
      </c>
      <c r="N237" s="52" cm="1">
        <f t="array" ref="N237">MMS_PastureBeef_Methane_Equations.VEERG_4_2_1_1__1_TotalAnnualMethaneProductionFromManureManagement(M221,N179,M229)</f>
        <v>2.9271906203373613E-2</v>
      </c>
      <c r="O237" s="52" cm="1">
        <f t="array" ref="O237">MMS_PastureBeef_Methane_Equations.VEERG_4_2_1_1__1_TotalAnnualMethaneProductionFromManureManagement(N221,O179,N229)</f>
        <v>2.9271906203373613E-2</v>
      </c>
      <c r="P237" s="2" t="str">
        <f t="shared" si="10"/>
        <v>t CH4</v>
      </c>
      <c r="Q237" s="2"/>
      <c r="R237" s="2"/>
      <c r="S237" s="2"/>
      <c r="W237" s="52" t="str">
        <f>TEXT(EDATE('Input - Site'!$E$12,2), "mmmm yyyy")</f>
        <v>March 2024</v>
      </c>
      <c r="X237" s="52">
        <f>'Input - Pasture Beef'!E24</f>
        <v>31</v>
      </c>
      <c r="Y237" s="52">
        <f>'Input - Pasture Beef'!F24</f>
        <v>31</v>
      </c>
      <c r="Z237" s="52">
        <f>'Input - Pasture Beef'!G24</f>
        <v>31</v>
      </c>
      <c r="AA237" s="52">
        <f>'Input - Pasture Beef'!H24</f>
        <v>31</v>
      </c>
      <c r="AB237" s="52">
        <f>'Input - Pasture Beef'!I24</f>
        <v>31</v>
      </c>
      <c r="AC237" s="52">
        <f>'Input - Pasture Beef'!J24</f>
        <v>31</v>
      </c>
      <c r="AD237" s="52">
        <f>'Input - Pasture Beef'!K24</f>
        <v>31</v>
      </c>
      <c r="AE237" s="52">
        <f>'Input - Pasture Beef'!L24</f>
        <v>31</v>
      </c>
      <c r="AF237" s="52">
        <f>'Input - Pasture Beef'!M24</f>
        <v>31</v>
      </c>
      <c r="AG237" s="52">
        <f>'Input - Pasture Beef'!N24</f>
        <v>31</v>
      </c>
      <c r="AH237" s="2" t="s">
        <v>278</v>
      </c>
    </row>
    <row r="238" spans="4:34" ht="20.100000000000001" customHeight="1" x14ac:dyDescent="0.25">
      <c r="D238" s="52" t="str">
        <f>'Input - Pasture Beef'!$D$179</f>
        <v>Pasture range and paddock</v>
      </c>
      <c r="E238" s="52" t="s">
        <v>176</v>
      </c>
      <c r="F238" s="52" cm="1">
        <f t="array" ref="F238">MMS_PastureBeef_Methane_Equations.VEERG_4_2_1_1__1_TotalAnnualMethaneProductionFromManureManagement(E222,F180,E230)</f>
        <v>5.4612893618177644E-2</v>
      </c>
      <c r="G238" s="52" cm="1">
        <f t="array" ref="G238">MMS_PastureBeef_Methane_Equations.VEERG_4_2_1_1__1_TotalAnnualMethaneProductionFromManureManagement(F222,G180,F230)</f>
        <v>4.2452112028022924E-2</v>
      </c>
      <c r="H238" s="52" cm="1">
        <f t="array" ref="H238">MMS_PastureBeef_Methane_Equations.VEERG_4_2_1_1__1_TotalAnnualMethaneProductionFromManureManagement(G222,H180,G230)</f>
        <v>4.4715846498271226E-2</v>
      </c>
      <c r="I238" s="52" cm="1">
        <f t="array" ref="I238">MMS_PastureBeef_Methane_Equations.VEERG_4_2_1_1__1_TotalAnnualMethaneProductionFromManureManagement(H222,I180,H230)</f>
        <v>3.0526175051888815E-2</v>
      </c>
      <c r="J238" s="52" cm="1">
        <f t="array" ref="J238">MMS_PastureBeef_Methane_Equations.VEERG_4_2_1_1__1_TotalAnnualMethaneProductionFromManureManagement(I222,J180,I230)</f>
        <v>3.8921136919090077E-2</v>
      </c>
      <c r="K238" s="52" cm="1">
        <f t="array" ref="K238">MMS_PastureBeef_Methane_Equations.VEERG_4_2_1_1__1_TotalAnnualMethaneProductionFromManureManagement(J222,K180,J230)</f>
        <v>3.8921136919090077E-2</v>
      </c>
      <c r="L238" s="52" cm="1">
        <f t="array" ref="L238">MMS_PastureBeef_Methane_Equations.VEERG_4_2_1_1__1_TotalAnnualMethaneProductionFromManureManagement(K222,L180,K230)</f>
        <v>4.8009529261814454E-2</v>
      </c>
      <c r="M238" s="52" cm="1">
        <f t="array" ref="M238">MMS_PastureBeef_Methane_Equations.VEERG_4_2_1_1__1_TotalAnnualMethaneProductionFromManureManagement(L222,M180,L230)</f>
        <v>2.9237473328414466E-2</v>
      </c>
      <c r="N238" s="52" cm="1">
        <f t="array" ref="N238">MMS_PastureBeef_Methane_Equations.VEERG_4_2_1_1__1_TotalAnnualMethaneProductionFromManureManagement(M222,N180,M230)</f>
        <v>2.9237473328414466E-2</v>
      </c>
      <c r="O238" s="52" cm="1">
        <f t="array" ref="O238">MMS_PastureBeef_Methane_Equations.VEERG_4_2_1_1__1_TotalAnnualMethaneProductionFromManureManagement(N222,O180,N230)</f>
        <v>2.9237473328414466E-2</v>
      </c>
      <c r="P238" s="2" t="str">
        <f t="shared" si="10"/>
        <v>t CH4</v>
      </c>
      <c r="Q238" s="2"/>
      <c r="R238" s="2"/>
      <c r="S238" s="2"/>
      <c r="W238" s="52" t="str">
        <f>TEXT(EDATE('Input - Site'!$E$12,3), "mmmm yyyy")</f>
        <v>April 2024</v>
      </c>
      <c r="X238" s="52">
        <f>'Input - Pasture Beef'!E25</f>
        <v>30</v>
      </c>
      <c r="Y238" s="52">
        <f>'Input - Pasture Beef'!F25</f>
        <v>30</v>
      </c>
      <c r="Z238" s="52">
        <f>'Input - Pasture Beef'!G25</f>
        <v>30</v>
      </c>
      <c r="AA238" s="52">
        <f>'Input - Pasture Beef'!H25</f>
        <v>30</v>
      </c>
      <c r="AB238" s="52">
        <f>'Input - Pasture Beef'!I25</f>
        <v>30</v>
      </c>
      <c r="AC238" s="52">
        <f>'Input - Pasture Beef'!J25</f>
        <v>30</v>
      </c>
      <c r="AD238" s="52">
        <f>'Input - Pasture Beef'!K25</f>
        <v>30</v>
      </c>
      <c r="AE238" s="52">
        <f>'Input - Pasture Beef'!L25</f>
        <v>30</v>
      </c>
      <c r="AF238" s="52">
        <f>'Input - Pasture Beef'!M25</f>
        <v>30</v>
      </c>
      <c r="AG238" s="52">
        <f>'Input - Pasture Beef'!N25</f>
        <v>30</v>
      </c>
      <c r="AH238" s="2" t="s">
        <v>278</v>
      </c>
    </row>
    <row r="239" spans="4:34" ht="20.100000000000001" customHeight="1" x14ac:dyDescent="0.25">
      <c r="D239" s="52" t="str">
        <f>'Input - Pasture Beef'!$D$180</f>
        <v>Anaerobic lagoon</v>
      </c>
      <c r="E239" s="52" t="s">
        <v>173</v>
      </c>
      <c r="F239" s="52" cm="1">
        <f t="array" ref="F239">MMS_PastureBeef_Methane_Equations.VEERG_4_2_1_1__1_TotalAnnualMethaneProductionFromManureManagement(E219,F181,E227)</f>
        <v>2.264171051079978E-2</v>
      </c>
      <c r="G239" s="52" cm="1">
        <f t="array" ref="G239">MMS_PastureBeef_Methane_Equations.VEERG_4_2_1_1__1_TotalAnnualMethaneProductionFromManureManagement(F219,G181,F227)</f>
        <v>3.1978406184579151E-2</v>
      </c>
      <c r="H239" s="52" cm="1">
        <f t="array" ref="H239">MMS_PastureBeef_Methane_Equations.VEERG_4_2_1_1__1_TotalAnnualMethaneProductionFromManureManagement(G219,H181,G227)</f>
        <v>1.7257505586741256E-2</v>
      </c>
      <c r="I239" s="52" cm="1">
        <f t="array" ref="I239">MMS_PastureBeef_Methane_Equations.VEERG_4_2_1_1__1_TotalAnnualMethaneProductionFromManureManagement(H219,I181,H227)</f>
        <v>2.4912140904366935E-2</v>
      </c>
      <c r="J239" s="52" cm="1">
        <f t="array" ref="J239">MMS_PastureBeef_Methane_Equations.VEERG_4_2_1_1__1_TotalAnnualMethaneProductionFromManureManagement(I219,J181,I227)</f>
        <v>2.9424303547510716E-2</v>
      </c>
      <c r="K239" s="52" cm="1">
        <f t="array" ref="K239">MMS_PastureBeef_Methane_Equations.VEERG_4_2_1_1__1_TotalAnnualMethaneProductionFromManureManagement(J219,K181,J227)</f>
        <v>2.9424303547510716E-2</v>
      </c>
      <c r="L239" s="52" cm="1">
        <f t="array" ref="L239">MMS_PastureBeef_Methane_Equations.VEERG_4_2_1_1__1_TotalAnnualMethaneProductionFromManureManagement(K219,L181,K227)</f>
        <v>1.9895615979785588E-2</v>
      </c>
      <c r="M239" s="52" cm="1">
        <f t="array" ref="M239">MMS_PastureBeef_Methane_Equations.VEERG_4_2_1_1__1_TotalAnnualMethaneProductionFromManureManagement(L219,M181,L227)</f>
        <v>2.528302843231485E-2</v>
      </c>
      <c r="N239" s="52" cm="1">
        <f t="array" ref="N239">MMS_PastureBeef_Methane_Equations.VEERG_4_2_1_1__1_TotalAnnualMethaneProductionFromManureManagement(M219,N181,M227)</f>
        <v>2.528302843231485E-2</v>
      </c>
      <c r="O239" s="52" cm="1">
        <f t="array" ref="O239">MMS_PastureBeef_Methane_Equations.VEERG_4_2_1_1__1_TotalAnnualMethaneProductionFromManureManagement(N219,O181,N227)</f>
        <v>2.528302843231485E-2</v>
      </c>
      <c r="P239" s="2" t="str">
        <f t="shared" si="10"/>
        <v>t CH4</v>
      </c>
      <c r="Q239" s="2"/>
      <c r="R239" s="2"/>
      <c r="S239" s="2"/>
      <c r="W239" s="52" t="str">
        <f>TEXT(EDATE('Input - Site'!$E$12,4), "mmmm yyyy")</f>
        <v>May 2024</v>
      </c>
      <c r="X239" s="52">
        <f>'Input - Pasture Beef'!E26</f>
        <v>31</v>
      </c>
      <c r="Y239" s="52">
        <f>'Input - Pasture Beef'!F26</f>
        <v>31</v>
      </c>
      <c r="Z239" s="52">
        <f>'Input - Pasture Beef'!G26</f>
        <v>31</v>
      </c>
      <c r="AA239" s="52">
        <f>'Input - Pasture Beef'!H26</f>
        <v>31</v>
      </c>
      <c r="AB239" s="52">
        <f>'Input - Pasture Beef'!I26</f>
        <v>31</v>
      </c>
      <c r="AC239" s="52">
        <f>'Input - Pasture Beef'!J26</f>
        <v>31</v>
      </c>
      <c r="AD239" s="52">
        <f>'Input - Pasture Beef'!K26</f>
        <v>31</v>
      </c>
      <c r="AE239" s="52">
        <f>'Input - Pasture Beef'!L26</f>
        <v>31</v>
      </c>
      <c r="AF239" s="52">
        <f>'Input - Pasture Beef'!M26</f>
        <v>31</v>
      </c>
      <c r="AG239" s="52">
        <f>'Input - Pasture Beef'!N26</f>
        <v>31</v>
      </c>
      <c r="AH239" s="2" t="s">
        <v>278</v>
      </c>
    </row>
    <row r="240" spans="4:34" ht="20.100000000000001" customHeight="1" x14ac:dyDescent="0.25">
      <c r="D240" s="52" t="str">
        <f>'Input - Pasture Beef'!$D$180</f>
        <v>Anaerobic lagoon</v>
      </c>
      <c r="E240" s="52" t="s">
        <v>174</v>
      </c>
      <c r="F240" s="52" cm="1">
        <f t="array" ref="F240">MMS_PastureBeef_Methane_Equations.VEERG_4_2_1_1__1_TotalAnnualMethaneProductionFromManureManagement(E220,F182,E228)</f>
        <v>2.1105907449179534E-2</v>
      </c>
      <c r="G240" s="52" cm="1">
        <f t="array" ref="G240">MMS_PastureBeef_Methane_Equations.VEERG_4_2_1_1__1_TotalAnnualMethaneProductionFromManureManagement(F220,G182,F228)</f>
        <v>2.7925202186579037E-2</v>
      </c>
      <c r="H240" s="52" cm="1">
        <f t="array" ref="H240">MMS_PastureBeef_Methane_Equations.VEERG_4_2_1_1__1_TotalAnnualMethaneProductionFromManureManagement(G220,H182,G228)</f>
        <v>1.7749591543173827E-2</v>
      </c>
      <c r="I240" s="52" cm="1">
        <f t="array" ref="I240">MMS_PastureBeef_Methane_Equations.VEERG_4_2_1_1__1_TotalAnnualMethaneProductionFromManureManagement(H220,I182,H228)</f>
        <v>2.4172832527736703E-2</v>
      </c>
      <c r="J240" s="52" cm="1">
        <f t="array" ref="J240">MMS_PastureBeef_Methane_Equations.VEERG_4_2_1_1__1_TotalAnnualMethaneProductionFromManureManagement(I220,J182,I228)</f>
        <v>2.3934061952358008E-2</v>
      </c>
      <c r="K240" s="52" cm="1">
        <f t="array" ref="K240">MMS_PastureBeef_Methane_Equations.VEERG_4_2_1_1__1_TotalAnnualMethaneProductionFromManureManagement(J220,K182,J228)</f>
        <v>2.3934061952358008E-2</v>
      </c>
      <c r="L240" s="52" cm="1">
        <f t="array" ref="L240">MMS_PastureBeef_Methane_Equations.VEERG_4_2_1_1__1_TotalAnnualMethaneProductionFromManureManagement(K220,L182,K228)</f>
        <v>1.9454454360336878E-2</v>
      </c>
      <c r="M240" s="52" cm="1">
        <f t="array" ref="M240">MMS_PastureBeef_Methane_Equations.VEERG_4_2_1_1__1_TotalAnnualMethaneProductionFromManureManagement(L220,M182,L228)</f>
        <v>2.1685369188609454E-2</v>
      </c>
      <c r="N240" s="52" cm="1">
        <f t="array" ref="N240">MMS_PastureBeef_Methane_Equations.VEERG_4_2_1_1__1_TotalAnnualMethaneProductionFromManureManagement(M220,N182,M228)</f>
        <v>2.1685369188609454E-2</v>
      </c>
      <c r="O240" s="52" cm="1">
        <f t="array" ref="O240">MMS_PastureBeef_Methane_Equations.VEERG_4_2_1_1__1_TotalAnnualMethaneProductionFromManureManagement(N220,O182,N228)</f>
        <v>2.1685369188609454E-2</v>
      </c>
      <c r="P240" s="2" t="str">
        <f t="shared" si="10"/>
        <v>t CH4</v>
      </c>
      <c r="Q240" s="2"/>
      <c r="R240" s="2"/>
      <c r="S240" s="2"/>
      <c r="W240" s="52" t="str">
        <f>TEXT(EDATE('Input - Site'!$E$12,5), "mmmm yyyy")</f>
        <v>June 2024</v>
      </c>
      <c r="X240" s="52">
        <f>'Input - Pasture Beef'!E27</f>
        <v>30</v>
      </c>
      <c r="Y240" s="52">
        <f>'Input - Pasture Beef'!F27</f>
        <v>30</v>
      </c>
      <c r="Z240" s="52">
        <f>'Input - Pasture Beef'!G27</f>
        <v>30</v>
      </c>
      <c r="AA240" s="52">
        <f>'Input - Pasture Beef'!H27</f>
        <v>30</v>
      </c>
      <c r="AB240" s="52">
        <f>'Input - Pasture Beef'!I27</f>
        <v>30</v>
      </c>
      <c r="AC240" s="52">
        <f>'Input - Pasture Beef'!J27</f>
        <v>30</v>
      </c>
      <c r="AD240" s="52">
        <f>'Input - Pasture Beef'!K27</f>
        <v>30</v>
      </c>
      <c r="AE240" s="52">
        <f>'Input - Pasture Beef'!L27</f>
        <v>30</v>
      </c>
      <c r="AF240" s="52">
        <f>'Input - Pasture Beef'!M27</f>
        <v>30</v>
      </c>
      <c r="AG240" s="52">
        <f>'Input - Pasture Beef'!N27</f>
        <v>30</v>
      </c>
      <c r="AH240" s="2" t="s">
        <v>278</v>
      </c>
    </row>
    <row r="241" spans="4:36" ht="20.100000000000001" customHeight="1" x14ac:dyDescent="0.25">
      <c r="D241" s="52" t="str">
        <f>'Input - Pasture Beef'!$D$180</f>
        <v>Anaerobic lagoon</v>
      </c>
      <c r="E241" s="52" t="s">
        <v>175</v>
      </c>
      <c r="F241" s="52" cm="1">
        <f t="array" ref="F241">MMS_PastureBeef_Methane_Equations.VEERG_4_2_1_1__1_TotalAnnualMethaneProductionFromManureManagement(E221,F183,E229)</f>
        <v>1.9784777813926357E-2</v>
      </c>
      <c r="G241" s="52" cm="1">
        <f t="array" ref="G241">MMS_PastureBeef_Methane_Equations.VEERG_4_2_1_1__1_TotalAnnualMethaneProductionFromManureManagement(F221,G183,F229)</f>
        <v>2.8711576683925471E-2</v>
      </c>
      <c r="H241" s="52" cm="1">
        <f t="array" ref="H241">MMS_PastureBeef_Methane_Equations.VEERG_4_2_1_1__1_TotalAnnualMethaneProductionFromManureManagement(G221,H183,G229)</f>
        <v>1.8036873040685717E-2</v>
      </c>
      <c r="I241" s="52" cm="1">
        <f t="array" ref="I241">MMS_PastureBeef_Methane_Equations.VEERG_4_2_1_1__1_TotalAnnualMethaneProductionFromManureManagement(H221,I183,H229)</f>
        <v>1.8331530385395638E-2</v>
      </c>
      <c r="J241" s="52" cm="1">
        <f t="array" ref="J241">MMS_PastureBeef_Methane_Equations.VEERG_4_2_1_1__1_TotalAnnualMethaneProductionFromManureManagement(I221,J183,I229)</f>
        <v>2.0465928051514898E-2</v>
      </c>
      <c r="K241" s="52" cm="1">
        <f t="array" ref="K241">MMS_PastureBeef_Methane_Equations.VEERG_4_2_1_1__1_TotalAnnualMethaneProductionFromManureManagement(J221,K183,J229)</f>
        <v>2.0465928051514898E-2</v>
      </c>
      <c r="L241" s="52" cm="1">
        <f t="array" ref="L241">MMS_PastureBeef_Methane_Equations.VEERG_4_2_1_1__1_TotalAnnualMethaneProductionFromManureManagement(K221,L183,K229)</f>
        <v>1.9784777813926357E-2</v>
      </c>
      <c r="M241" s="52" cm="1">
        <f t="array" ref="M241">MMS_PastureBeef_Methane_Equations.VEERG_4_2_1_1__1_TotalAnnualMethaneProductionFromManureManagement(L221,M183,L229)</f>
        <v>1.7959873885211999E-2</v>
      </c>
      <c r="N241" s="52" cm="1">
        <f t="array" ref="N241">MMS_PastureBeef_Methane_Equations.VEERG_4_2_1_1__1_TotalAnnualMethaneProductionFromManureManagement(M221,N183,M229)</f>
        <v>1.7959873885211999E-2</v>
      </c>
      <c r="O241" s="52" cm="1">
        <f t="array" ref="O241">MMS_PastureBeef_Methane_Equations.VEERG_4_2_1_1__1_TotalAnnualMethaneProductionFromManureManagement(N221,O183,N229)</f>
        <v>1.7959873885211999E-2</v>
      </c>
      <c r="P241" s="2" t="str">
        <f t="shared" si="10"/>
        <v>t CH4</v>
      </c>
      <c r="Q241" s="2"/>
      <c r="R241" s="2"/>
      <c r="S241" s="2"/>
      <c r="W241" s="52" t="str">
        <f>TEXT(EDATE('Input - Site'!$E$12,6), "mmmm yyyy")</f>
        <v>July 2024</v>
      </c>
      <c r="X241" s="52">
        <f>'Input - Pasture Beef'!E28</f>
        <v>31</v>
      </c>
      <c r="Y241" s="52">
        <f>'Input - Pasture Beef'!F28</f>
        <v>31</v>
      </c>
      <c r="Z241" s="52">
        <f>'Input - Pasture Beef'!G28</f>
        <v>31</v>
      </c>
      <c r="AA241" s="52">
        <f>'Input - Pasture Beef'!H28</f>
        <v>31</v>
      </c>
      <c r="AB241" s="52">
        <f>'Input - Pasture Beef'!I28</f>
        <v>31</v>
      </c>
      <c r="AC241" s="52">
        <f>'Input - Pasture Beef'!J28</f>
        <v>31</v>
      </c>
      <c r="AD241" s="52">
        <f>'Input - Pasture Beef'!K28</f>
        <v>31</v>
      </c>
      <c r="AE241" s="52">
        <f>'Input - Pasture Beef'!L28</f>
        <v>31</v>
      </c>
      <c r="AF241" s="52">
        <f>'Input - Pasture Beef'!M28</f>
        <v>31</v>
      </c>
      <c r="AG241" s="52">
        <f>'Input - Pasture Beef'!N28</f>
        <v>31</v>
      </c>
      <c r="AH241" s="2" t="s">
        <v>278</v>
      </c>
    </row>
    <row r="242" spans="4:36" ht="20.100000000000001" customHeight="1" x14ac:dyDescent="0.25">
      <c r="D242" s="52" t="str">
        <f>'Input - Pasture Beef'!$D$180</f>
        <v>Anaerobic lagoon</v>
      </c>
      <c r="E242" s="52" t="s">
        <v>176</v>
      </c>
      <c r="F242" s="52" cm="1">
        <f t="array" ref="F242">MMS_PastureBeef_Methane_Equations.VEERG_4_2_1_1__1_TotalAnnualMethaneProductionFromManureManagement(E222,F184,E230)</f>
        <v>3.3507919678149527E-2</v>
      </c>
      <c r="G242" s="52" cm="1">
        <f t="array" ref="G242">MMS_PastureBeef_Methane_Equations.VEERG_4_2_1_1__1_TotalAnnualMethaneProductionFromManureManagement(F222,G184,F230)</f>
        <v>2.6046632319978936E-2</v>
      </c>
      <c r="H242" s="52" cm="1">
        <f t="array" ref="H242">MMS_PastureBeef_Methane_Equations.VEERG_4_2_1_1__1_TotalAnnualMethaneProductionFromManureManagement(G222,H184,G230)</f>
        <v>2.7435554015504904E-2</v>
      </c>
      <c r="I242" s="52" cm="1">
        <f t="array" ref="I242">MMS_PastureBeef_Methane_Equations.VEERG_4_2_1_1__1_TotalAnnualMethaneProductionFromManureManagement(H222,I184,H230)</f>
        <v>1.872943464360521E-2</v>
      </c>
      <c r="J242" s="52" cm="1">
        <f t="array" ref="J242">MMS_PastureBeef_Methane_Equations.VEERG_4_2_1_1__1_TotalAnnualMethaneProductionFromManureManagement(I222,J184,I230)</f>
        <v>2.3880190981732649E-2</v>
      </c>
      <c r="K242" s="52" cm="1">
        <f t="array" ref="K242">MMS_PastureBeef_Methane_Equations.VEERG_4_2_1_1__1_TotalAnnualMethaneProductionFromManureManagement(J222,K184,J230)</f>
        <v>2.3880190981732649E-2</v>
      </c>
      <c r="L242" s="52" cm="1">
        <f t="array" ref="L242">MMS_PastureBeef_Methane_Equations.VEERG_4_2_1_1__1_TotalAnnualMethaneProductionFromManureManagement(K222,L184,K230)</f>
        <v>2.9456403858359188E-2</v>
      </c>
      <c r="M242" s="52" cm="1">
        <f t="array" ref="M242">MMS_PastureBeef_Methane_Equations.VEERG_4_2_1_1__1_TotalAnnualMethaneProductionFromManureManagement(L222,M184,L230)</f>
        <v>1.7938747482050033E-2</v>
      </c>
      <c r="N242" s="52" cm="1">
        <f t="array" ref="N242">MMS_PastureBeef_Methane_Equations.VEERG_4_2_1_1__1_TotalAnnualMethaneProductionFromManureManagement(M222,N184,M230)</f>
        <v>1.7938747482050033E-2</v>
      </c>
      <c r="O242" s="52" cm="1">
        <f t="array" ref="O242">MMS_PastureBeef_Methane_Equations.VEERG_4_2_1_1__1_TotalAnnualMethaneProductionFromManureManagement(N222,O184,N230)</f>
        <v>1.7938747482050033E-2</v>
      </c>
      <c r="P242" s="2" t="str">
        <f t="shared" si="10"/>
        <v>t CH4</v>
      </c>
      <c r="Q242" s="2"/>
      <c r="R242" s="2"/>
      <c r="S242" s="2"/>
      <c r="W242" s="52" t="str">
        <f>TEXT(EDATE('Input - Site'!$E$12,7), "mmmm yyyy")</f>
        <v>August 2024</v>
      </c>
      <c r="X242" s="52">
        <f>'Input - Pasture Beef'!E29</f>
        <v>31</v>
      </c>
      <c r="Y242" s="52">
        <f>'Input - Pasture Beef'!F29</f>
        <v>31</v>
      </c>
      <c r="Z242" s="52">
        <f>'Input - Pasture Beef'!G29</f>
        <v>31</v>
      </c>
      <c r="AA242" s="52">
        <f>'Input - Pasture Beef'!H29</f>
        <v>31</v>
      </c>
      <c r="AB242" s="52">
        <f>'Input - Pasture Beef'!I29</f>
        <v>31</v>
      </c>
      <c r="AC242" s="52">
        <f>'Input - Pasture Beef'!J29</f>
        <v>31</v>
      </c>
      <c r="AD242" s="52">
        <f>'Input - Pasture Beef'!K29</f>
        <v>31</v>
      </c>
      <c r="AE242" s="52">
        <f>'Input - Pasture Beef'!L29</f>
        <v>31</v>
      </c>
      <c r="AF242" s="52">
        <f>'Input - Pasture Beef'!M29</f>
        <v>31</v>
      </c>
      <c r="AG242" s="52">
        <f>'Input - Pasture Beef'!N29</f>
        <v>31</v>
      </c>
      <c r="AH242" s="2" t="s">
        <v>278</v>
      </c>
    </row>
    <row r="243" spans="4:36" ht="20.100000000000001" customHeight="1" x14ac:dyDescent="0.25">
      <c r="W243" s="52" t="str">
        <f>TEXT(EDATE('Input - Site'!$E$12,8), "mmmm yyyy")</f>
        <v>September 2024</v>
      </c>
      <c r="X243" s="52">
        <f>'Input - Pasture Beef'!E30</f>
        <v>30</v>
      </c>
      <c r="Y243" s="52">
        <f>'Input - Pasture Beef'!F30</f>
        <v>30</v>
      </c>
      <c r="Z243" s="52">
        <f>'Input - Pasture Beef'!G30</f>
        <v>30</v>
      </c>
      <c r="AA243" s="52">
        <f>'Input - Pasture Beef'!H30</f>
        <v>30</v>
      </c>
      <c r="AB243" s="52">
        <f>'Input - Pasture Beef'!I30</f>
        <v>30</v>
      </c>
      <c r="AC243" s="52">
        <f>'Input - Pasture Beef'!J30</f>
        <v>30</v>
      </c>
      <c r="AD243" s="52">
        <f>'Input - Pasture Beef'!K30</f>
        <v>30</v>
      </c>
      <c r="AE243" s="52">
        <f>'Input - Pasture Beef'!L30</f>
        <v>30</v>
      </c>
      <c r="AF243" s="52">
        <f>'Input - Pasture Beef'!M30</f>
        <v>30</v>
      </c>
      <c r="AG243" s="52">
        <f>'Input - Pasture Beef'!N30</f>
        <v>30</v>
      </c>
      <c r="AH243" s="2" t="s">
        <v>278</v>
      </c>
    </row>
    <row r="244" spans="4:36" ht="20.100000000000001" customHeight="1" x14ac:dyDescent="0.25">
      <c r="D244" s="101" t="s">
        <v>302</v>
      </c>
      <c r="E244" s="102">
        <f>SUM(F235:O242)</f>
        <v>2.3956065897405399</v>
      </c>
      <c r="F244" s="103" t="str">
        <f>E210</f>
        <v>t CH4</v>
      </c>
      <c r="W244" s="52" t="str">
        <f>TEXT(EDATE('Input - Site'!$E$12,9), "mmmm yyyy")</f>
        <v>October 2024</v>
      </c>
      <c r="X244" s="52">
        <f>'Input - Pasture Beef'!E31</f>
        <v>31</v>
      </c>
      <c r="Y244" s="52">
        <f>'Input - Pasture Beef'!F31</f>
        <v>31</v>
      </c>
      <c r="Z244" s="52">
        <f>'Input - Pasture Beef'!G31</f>
        <v>31</v>
      </c>
      <c r="AA244" s="52">
        <f>'Input - Pasture Beef'!H31</f>
        <v>31</v>
      </c>
      <c r="AB244" s="52">
        <f>'Input - Pasture Beef'!I31</f>
        <v>31</v>
      </c>
      <c r="AC244" s="52">
        <f>'Input - Pasture Beef'!J31</f>
        <v>31</v>
      </c>
      <c r="AD244" s="52">
        <f>'Input - Pasture Beef'!K31</f>
        <v>31</v>
      </c>
      <c r="AE244" s="52">
        <f>'Input - Pasture Beef'!L31</f>
        <v>31</v>
      </c>
      <c r="AF244" s="52">
        <f>'Input - Pasture Beef'!M31</f>
        <v>31</v>
      </c>
      <c r="AG244" s="52">
        <f>'Input - Pasture Beef'!N31</f>
        <v>31</v>
      </c>
      <c r="AH244" s="2" t="s">
        <v>278</v>
      </c>
    </row>
    <row r="245" spans="4:36" ht="20.100000000000001" customHeight="1" x14ac:dyDescent="0.25">
      <c r="W245" s="52" t="str">
        <f>TEXT(EDATE('Input - Site'!$E$12,10), "mmmm yyyy")</f>
        <v>November 2024</v>
      </c>
      <c r="X245" s="52">
        <f>'Input - Pasture Beef'!E32</f>
        <v>30</v>
      </c>
      <c r="Y245" s="52">
        <f>'Input - Pasture Beef'!F32</f>
        <v>30</v>
      </c>
      <c r="Z245" s="52">
        <f>'Input - Pasture Beef'!G32</f>
        <v>30</v>
      </c>
      <c r="AA245" s="52">
        <f>'Input - Pasture Beef'!H32</f>
        <v>30</v>
      </c>
      <c r="AB245" s="52">
        <f>'Input - Pasture Beef'!I32</f>
        <v>30</v>
      </c>
      <c r="AC245" s="52">
        <f>'Input - Pasture Beef'!J32</f>
        <v>30</v>
      </c>
      <c r="AD245" s="52">
        <f>'Input - Pasture Beef'!K32</f>
        <v>30</v>
      </c>
      <c r="AE245" s="52">
        <f>'Input - Pasture Beef'!L32</f>
        <v>30</v>
      </c>
      <c r="AF245" s="52">
        <f>'Input - Pasture Beef'!M32</f>
        <v>30</v>
      </c>
      <c r="AG245" s="52">
        <f>'Input - Pasture Beef'!N32</f>
        <v>30</v>
      </c>
      <c r="AH245" s="2" t="s">
        <v>278</v>
      </c>
    </row>
    <row r="246" spans="4:36" ht="20.100000000000001" customHeight="1" x14ac:dyDescent="0.25">
      <c r="D246" s="57" t="str" cm="1">
        <f t="array" ref="D246:E247">Common_Equations.Common_ConvertCH4ToCO2e_Arguments()</f>
        <v>ECH4</v>
      </c>
      <c r="E246" s="58" t="str">
        <v>Methane emissions (t CH4)</v>
      </c>
      <c r="F246" s="104"/>
      <c r="G246" s="52">
        <f>E244</f>
        <v>2.3956065897405399</v>
      </c>
      <c r="W246" s="52" t="str">
        <f>TEXT(EDATE('Input - Site'!$E$12,11), "mmmm yyyy")</f>
        <v>December 2024</v>
      </c>
      <c r="X246" s="52">
        <f>'Input - Pasture Beef'!E33</f>
        <v>31</v>
      </c>
      <c r="Y246" s="52">
        <f>'Input - Pasture Beef'!F33</f>
        <v>31</v>
      </c>
      <c r="Z246" s="52">
        <f>'Input - Pasture Beef'!G33</f>
        <v>31</v>
      </c>
      <c r="AA246" s="52">
        <f>'Input - Pasture Beef'!H33</f>
        <v>31</v>
      </c>
      <c r="AB246" s="52">
        <f>'Input - Pasture Beef'!I33</f>
        <v>31</v>
      </c>
      <c r="AC246" s="52">
        <f>'Input - Pasture Beef'!J33</f>
        <v>31</v>
      </c>
      <c r="AD246" s="52">
        <f>'Input - Pasture Beef'!K33</f>
        <v>31</v>
      </c>
      <c r="AE246" s="52">
        <f>'Input - Pasture Beef'!L33</f>
        <v>31</v>
      </c>
      <c r="AF246" s="52">
        <f>'Input - Pasture Beef'!M33</f>
        <v>31</v>
      </c>
      <c r="AG246" s="52">
        <f>'Input - Pasture Beef'!N33</f>
        <v>31</v>
      </c>
      <c r="AH246" s="2" t="s">
        <v>278</v>
      </c>
    </row>
    <row r="247" spans="4:36" ht="20.100000000000001" customHeight="1" x14ac:dyDescent="0.25">
      <c r="D247" s="57" t="str">
        <v>GWPCH4</v>
      </c>
      <c r="E247" s="58" t="str">
        <v>Global warming potential for methane (t CO2-e / t CH4)</v>
      </c>
      <c r="F247" s="104"/>
      <c r="G247" s="52">
        <f>Common_InputFunctions.Utility_LookupValueInTableNumber("CH4",Table_GWPData[Gas],Table_GWPData[CO2-e factor])</f>
        <v>28</v>
      </c>
    </row>
    <row r="248" spans="4:36" ht="20.100000000000001" customHeight="1" x14ac:dyDescent="0.25">
      <c r="W248" s="99" t="s">
        <v>283</v>
      </c>
    </row>
    <row r="249" spans="4:36" ht="20.100000000000001" customHeight="1" x14ac:dyDescent="0.25">
      <c r="D249" s="45" t="s">
        <v>104</v>
      </c>
      <c r="E249" s="45" cm="1">
        <f t="array" ref="E249">Common_Equations.Common_ConvertN2OToCO2e(G246,G247)</f>
        <v>67.076984512735123</v>
      </c>
      <c r="F249" s="105" t="str" cm="1">
        <f t="array" ref="F249">Common_Equations.Common_ConvertN2OToCO2e_Unit()</f>
        <v>t CO2e</v>
      </c>
      <c r="W249" s="98" t="s">
        <v>284</v>
      </c>
    </row>
    <row r="250" spans="4:36" ht="20.100000000000001" customHeight="1" x14ac:dyDescent="0.25">
      <c r="W250" s="51" t="s">
        <v>68</v>
      </c>
      <c r="X250" s="51" t="s">
        <v>132</v>
      </c>
      <c r="Y250" s="51" t="s">
        <v>131</v>
      </c>
      <c r="Z250" s="51" t="s">
        <v>130</v>
      </c>
      <c r="AA250" s="51" t="s">
        <v>165</v>
      </c>
      <c r="AB250" s="51" t="s">
        <v>166</v>
      </c>
      <c r="AC250" s="51" t="s">
        <v>167</v>
      </c>
      <c r="AD250" s="51" t="s">
        <v>168</v>
      </c>
      <c r="AE250" s="51" t="s">
        <v>169</v>
      </c>
      <c r="AF250" s="51" t="s">
        <v>170</v>
      </c>
      <c r="AG250" s="51" t="s">
        <v>171</v>
      </c>
      <c r="AH250" s="51" t="s">
        <v>172</v>
      </c>
    </row>
    <row r="251" spans="4:36" ht="20.100000000000001" customHeight="1" x14ac:dyDescent="0.25">
      <c r="W251" s="52" t="str">
        <f>'Input - Pasture Beef'!$D$179</f>
        <v>Pasture range and paddock</v>
      </c>
      <c r="X251" s="52" t="str">
        <f>W235</f>
        <v>January 2024</v>
      </c>
      <c r="Y251" s="52" cm="1">
        <f t="array" ref="Y251">MMS_PastureBeef_Methane_Equations.VEERG_4_2_1_1__1_TotalAnnualMethaneProductionFromManureManagement(X219,Y177,X235)</f>
        <v>1.1686395292803749E-2</v>
      </c>
      <c r="Z251" s="52" cm="1">
        <f t="array" ref="Z251">MMS_PastureBeef_Methane_Equations.VEERG_4_2_1_1__1_TotalAnnualMethaneProductionFromManureManagement(Y219,Z177,Y235)</f>
        <v>1.5462256345510341E-2</v>
      </c>
      <c r="AA251" s="52" cm="1">
        <f t="array" ref="AA251">MMS_PastureBeef_Methane_Equations.VEERG_4_2_1_1__1_TotalAnnualMethaneProductionFromManureManagement(Z219,AA177,Z235)</f>
        <v>9.827994534648608E-3</v>
      </c>
      <c r="AB251" s="52" cm="1">
        <f t="array" ref="AB251">MMS_PastureBeef_Methane_Equations.VEERG_4_2_1_1__1_TotalAnnualMethaneProductionFromManureManagement(AA219,AB177,AA235)</f>
        <v>1.3835001514524993E-2</v>
      </c>
      <c r="AC251" s="52" cm="1">
        <f t="array" ref="AC251">MMS_PastureBeef_Methane_Equations.VEERG_4_2_1_1__1_TotalAnnualMethaneProductionFromManureManagement(AB219,AC177,AB235)</f>
        <v>1.3698344328479549E-2</v>
      </c>
      <c r="AD251" s="52" cm="1">
        <f t="array" ref="AD251">MMS_PastureBeef_Methane_Equations.VEERG_4_2_1_1__1_TotalAnnualMethaneProductionFromManureManagement(AC219,AD177,AC235)</f>
        <v>1.3698344328479549E-2</v>
      </c>
      <c r="AE251" s="52" cm="1">
        <f t="array" ref="AE251">MMS_PastureBeef_Methane_Equations.VEERG_4_2_1_1__1_TotalAnnualMethaneProductionFromManureManagement(AD219,AE177,AD235)</f>
        <v>1.0771981465764659E-2</v>
      </c>
      <c r="AF251" s="52" cm="1">
        <f t="array" ref="AF251">MMS_PastureBeef_Methane_Equations.VEERG_4_2_1_1__1_TotalAnnualMethaneProductionFromManureManagement(AE219,AF177,AE235)</f>
        <v>1.2007244749778738E-2</v>
      </c>
      <c r="AG251" s="52" cm="1">
        <f t="array" ref="AG251">MMS_PastureBeef_Methane_Equations.VEERG_4_2_1_1__1_TotalAnnualMethaneProductionFromManureManagement(AF219,AG177,AF235)</f>
        <v>1.2007244749778738E-2</v>
      </c>
      <c r="AH251" s="52" cm="1">
        <f t="array" ref="AH251">MMS_PastureBeef_Methane_Equations.VEERG_4_2_1_1__1_TotalAnnualMethaneProductionFromManureManagement(AG219,AH177,AG235)</f>
        <v>1.2007244749778738E-2</v>
      </c>
      <c r="AI251" s="2" t="str">
        <f t="shared" ref="AI251:AI274" si="11">$E$210</f>
        <v>t CH4</v>
      </c>
      <c r="AJ251" s="2"/>
    </row>
    <row r="252" spans="4:36" ht="20.100000000000001" customHeight="1" x14ac:dyDescent="0.25">
      <c r="W252" s="52" t="str">
        <f>'Input - Pasture Beef'!$D$179</f>
        <v>Pasture range and paddock</v>
      </c>
      <c r="X252" s="52" t="str">
        <f t="shared" ref="X252:X262" si="12">W236</f>
        <v>February 2024</v>
      </c>
      <c r="Y252" s="52" cm="1">
        <f t="array" ref="Y252">MMS_PastureBeef_Methane_Equations.VEERG_4_2_1_1__1_TotalAnnualMethaneProductionFromManureManagement(X220,Y178,X236)</f>
        <v>1.0932434306171249E-2</v>
      </c>
      <c r="Z252" s="52" cm="1">
        <f t="array" ref="Z252">MMS_PastureBeef_Methane_Equations.VEERG_4_2_1_1__1_TotalAnnualMethaneProductionFromManureManagement(Y220,Z178,Y236)</f>
        <v>1.4464691419993545E-2</v>
      </c>
      <c r="AA252" s="52" cm="1">
        <f t="array" ref="AA252">MMS_PastureBeef_Methane_Equations.VEERG_4_2_1_1__1_TotalAnnualMethaneProductionFromManureManagement(Z220,AA178,Z236)</f>
        <v>9.1939303711228923E-3</v>
      </c>
      <c r="AB252" s="52" cm="1">
        <f t="array" ref="AB252">MMS_PastureBeef_Methane_Equations.VEERG_4_2_1_1__1_TotalAnnualMethaneProductionFromManureManagement(AA220,AB178,AA236)</f>
        <v>1.2039461182932479E-2</v>
      </c>
      <c r="AC252" s="52" cm="1">
        <f t="array" ref="AC252">MMS_PastureBeef_Methane_Equations.VEERG_4_2_1_1__1_TotalAnnualMethaneProductionFromManureManagement(AB220,AC178,AB236)</f>
        <v>1.1920539700702386E-2</v>
      </c>
      <c r="AD252" s="52" cm="1">
        <f t="array" ref="AD252">MMS_PastureBeef_Methane_Equations.VEERG_4_2_1_1__1_TotalAnnualMethaneProductionFromManureManagement(AC220,AD178,AC236)</f>
        <v>1.1920539700702386E-2</v>
      </c>
      <c r="AE252" s="52" cm="1">
        <f t="array" ref="AE252">MMS_PastureBeef_Methane_Equations.VEERG_4_2_1_1__1_TotalAnnualMethaneProductionFromManureManagement(AD220,AE178,AD236)</f>
        <v>1.0077014919586293E-2</v>
      </c>
      <c r="AF252" s="52" cm="1">
        <f t="array" ref="AF252">MMS_PastureBeef_Methane_Equations.VEERG_4_2_1_1__1_TotalAnnualMethaneProductionFromManureManagement(AE220,AF178,AE236)</f>
        <v>1.123258379818011E-2</v>
      </c>
      <c r="AG252" s="52" cm="1">
        <f t="array" ref="AG252">MMS_PastureBeef_Methane_Equations.VEERG_4_2_1_1__1_TotalAnnualMethaneProductionFromManureManagement(AF220,AG178,AF236)</f>
        <v>1.123258379818011E-2</v>
      </c>
      <c r="AH252" s="52" cm="1">
        <f t="array" ref="AH252">MMS_PastureBeef_Methane_Equations.VEERG_4_2_1_1__1_TotalAnnualMethaneProductionFromManureManagement(AG220,AH178,AG236)</f>
        <v>1.123258379818011E-2</v>
      </c>
      <c r="AI252" s="2" t="str">
        <f t="shared" si="11"/>
        <v>t CH4</v>
      </c>
      <c r="AJ252" s="2"/>
    </row>
    <row r="253" spans="4:36" ht="20.100000000000001" customHeight="1" x14ac:dyDescent="0.25">
      <c r="W253" s="52" t="str">
        <f>'Input - Pasture Beef'!$D$179</f>
        <v>Pasture range and paddock</v>
      </c>
      <c r="X253" s="52" t="str">
        <f t="shared" si="12"/>
        <v>March 2024</v>
      </c>
      <c r="Y253" s="52" cm="1">
        <f t="array" ref="Y253">MMS_PastureBeef_Methane_Equations.VEERG_4_2_1_1__1_TotalAnnualMethaneProductionFromManureManagement(X221,Y179,X237)</f>
        <v>5.4774412062255371E-3</v>
      </c>
      <c r="Z253" s="52" cm="1">
        <f t="array" ref="Z253">MMS_PastureBeef_Methane_Equations.VEERG_4_2_1_1__1_TotalAnnualMethaneProductionFromManureManagement(Y221,Z179,Y237)</f>
        <v>1.5897673929250736E-2</v>
      </c>
      <c r="AA253" s="52" cm="1">
        <f t="array" ref="AA253">MMS_PastureBeef_Methane_Equations.VEERG_4_2_1_1__1_TotalAnnualMethaneProductionFromManureManagement(Z221,AA179,Z237)</f>
        <v>4.9935315197206171E-3</v>
      </c>
      <c r="AB253" s="52" cm="1">
        <f t="array" ref="AB253">MMS_PastureBeef_Methane_Equations.VEERG_4_2_1_1__1_TotalAnnualMethaneProductionFromManureManagement(AA221,AB179,AA237)</f>
        <v>1.0049718385957321E-2</v>
      </c>
      <c r="AC253" s="52" cm="1">
        <f t="array" ref="AC253">MMS_PastureBeef_Methane_Equations.VEERG_4_2_1_1__1_TotalAnnualMethaneProductionFromManureManagement(AB221,AC179,AB237)</f>
        <v>1.1332037052658516E-2</v>
      </c>
      <c r="AD253" s="52" cm="1">
        <f t="array" ref="AD253">MMS_PastureBeef_Methane_Equations.VEERG_4_2_1_1__1_TotalAnnualMethaneProductionFromManureManagement(AC221,AD179,AC237)</f>
        <v>1.1332037052658516E-2</v>
      </c>
      <c r="AE253" s="52" cm="1">
        <f t="array" ref="AE253">MMS_PastureBeef_Methane_Equations.VEERG_4_2_1_1__1_TotalAnnualMethaneProductionFromManureManagement(AD221,AE179,AD237)</f>
        <v>5.4774412062255371E-3</v>
      </c>
      <c r="AF253" s="52" cm="1">
        <f t="array" ref="AF253">MMS_PastureBeef_Methane_Equations.VEERG_4_2_1_1__1_TotalAnnualMethaneProductionFromManureManagement(AE221,AF179,AE237)</f>
        <v>9.9444284088173376E-3</v>
      </c>
      <c r="AG253" s="52" cm="1">
        <f t="array" ref="AG253">MMS_PastureBeef_Methane_Equations.VEERG_4_2_1_1__1_TotalAnnualMethaneProductionFromManureManagement(AF221,AG179,AF237)</f>
        <v>9.9444284088173376E-3</v>
      </c>
      <c r="AH253" s="52" cm="1">
        <f t="array" ref="AH253">MMS_PastureBeef_Methane_Equations.VEERG_4_2_1_1__1_TotalAnnualMethaneProductionFromManureManagement(AG221,AH179,AG237)</f>
        <v>9.9444284088173376E-3</v>
      </c>
      <c r="AI253" s="2" t="str">
        <f t="shared" si="11"/>
        <v>t CH4</v>
      </c>
      <c r="AJ253" s="2"/>
    </row>
    <row r="254" spans="4:36" ht="20.100000000000001" customHeight="1" x14ac:dyDescent="0.25">
      <c r="W254" s="52" t="str">
        <f>'Input - Pasture Beef'!$D$179</f>
        <v>Pasture range and paddock</v>
      </c>
      <c r="X254" s="52" t="str">
        <f t="shared" si="12"/>
        <v>April 2024</v>
      </c>
      <c r="Y254" s="52" cm="1">
        <f t="array" ref="Y254">MMS_PastureBeef_Methane_Equations.VEERG_4_2_1_1__1_TotalAnnualMethaneProductionFromManureManagement(X222,Y180,X238)</f>
        <v>5.3007495544118103E-3</v>
      </c>
      <c r="Z254" s="52" cm="1">
        <f t="array" ref="Z254">MMS_PastureBeef_Methane_Equations.VEERG_4_2_1_1__1_TotalAnnualMethaneProductionFromManureManagement(Y222,Z180,Y238)</f>
        <v>1.5384845737984583E-2</v>
      </c>
      <c r="AA254" s="52" cm="1">
        <f t="array" ref="AA254">MMS_PastureBeef_Methane_Equations.VEERG_4_2_1_1__1_TotalAnnualMethaneProductionFromManureManagement(Z222,AA180,Z238)</f>
        <v>4.8324498577941447E-3</v>
      </c>
      <c r="AB254" s="52" cm="1">
        <f t="array" ref="AB254">MMS_PastureBeef_Methane_Equations.VEERG_4_2_1_1__1_TotalAnnualMethaneProductionFromManureManagement(AA222,AB180,AA238)</f>
        <v>9.7255339218941788E-3</v>
      </c>
      <c r="AC254" s="52" cm="1">
        <f t="array" ref="AC254">MMS_PastureBeef_Methane_Equations.VEERG_4_2_1_1__1_TotalAnnualMethaneProductionFromManureManagement(AB222,AC180,AB238)</f>
        <v>1.0966487470314694E-2</v>
      </c>
      <c r="AD254" s="52" cm="1">
        <f t="array" ref="AD254">MMS_PastureBeef_Methane_Equations.VEERG_4_2_1_1__1_TotalAnnualMethaneProductionFromManureManagement(AC222,AD180,AC238)</f>
        <v>1.0966487470314694E-2</v>
      </c>
      <c r="AE254" s="52" cm="1">
        <f t="array" ref="AE254">MMS_PastureBeef_Methane_Equations.VEERG_4_2_1_1__1_TotalAnnualMethaneProductionFromManureManagement(AD222,AE180,AD238)</f>
        <v>5.3007495544118103E-3</v>
      </c>
      <c r="AF254" s="52" cm="1">
        <f t="array" ref="AF254">MMS_PastureBeef_Methane_Equations.VEERG_4_2_1_1__1_TotalAnnualMethaneProductionFromManureManagement(AE222,AF180,AE238)</f>
        <v>9.6236403956296828E-3</v>
      </c>
      <c r="AG254" s="52" cm="1">
        <f t="array" ref="AG254">MMS_PastureBeef_Methane_Equations.VEERG_4_2_1_1__1_TotalAnnualMethaneProductionFromManureManagement(AF222,AG180,AF238)</f>
        <v>9.6236403956296828E-3</v>
      </c>
      <c r="AH254" s="52" cm="1">
        <f t="array" ref="AH254">MMS_PastureBeef_Methane_Equations.VEERG_4_2_1_1__1_TotalAnnualMethaneProductionFromManureManagement(AG222,AH180,AG238)</f>
        <v>9.6236403956296828E-3</v>
      </c>
      <c r="AI254" s="2" t="str">
        <f t="shared" si="11"/>
        <v>t CH4</v>
      </c>
      <c r="AJ254" s="2"/>
    </row>
    <row r="255" spans="4:36" ht="20.100000000000001" customHeight="1" x14ac:dyDescent="0.25">
      <c r="W255" s="52" t="str">
        <f>'Input - Pasture Beef'!$D$179</f>
        <v>Pasture range and paddock</v>
      </c>
      <c r="X255" s="52" t="str">
        <f t="shared" si="12"/>
        <v>May 2024</v>
      </c>
      <c r="Y255" s="52" cm="1">
        <f t="array" ref="Y255">MMS_PastureBeef_Methane_Equations.VEERG_4_2_1_1__1_TotalAnnualMethaneProductionFromManureManagement(X223,Y181,X239)</f>
        <v>5.4774412062255371E-3</v>
      </c>
      <c r="Z255" s="52" cm="1">
        <f t="array" ref="Z255">MMS_PastureBeef_Methane_Equations.VEERG_4_2_1_1__1_TotalAnnualMethaneProductionFromManureManagement(Y223,Z181,Y239)</f>
        <v>1.5897673929250736E-2</v>
      </c>
      <c r="AA255" s="52" cm="1">
        <f t="array" ref="AA255">MMS_PastureBeef_Methane_Equations.VEERG_4_2_1_1__1_TotalAnnualMethaneProductionFromManureManagement(Z223,AA181,Z239)</f>
        <v>4.9935315197206171E-3</v>
      </c>
      <c r="AB255" s="52" cm="1">
        <f t="array" ref="AB255">MMS_PastureBeef_Methane_Equations.VEERG_4_2_1_1__1_TotalAnnualMethaneProductionFromManureManagement(AA223,AB181,AA239)</f>
        <v>1.0049718385957321E-2</v>
      </c>
      <c r="AC255" s="52" cm="1">
        <f t="array" ref="AC255">MMS_PastureBeef_Methane_Equations.VEERG_4_2_1_1__1_TotalAnnualMethaneProductionFromManureManagement(AB223,AC181,AB239)</f>
        <v>1.1332037052658516E-2</v>
      </c>
      <c r="AD255" s="52" cm="1">
        <f t="array" ref="AD255">MMS_PastureBeef_Methane_Equations.VEERG_4_2_1_1__1_TotalAnnualMethaneProductionFromManureManagement(AC223,AD181,AC239)</f>
        <v>1.1332037052658516E-2</v>
      </c>
      <c r="AE255" s="52" cm="1">
        <f t="array" ref="AE255">MMS_PastureBeef_Methane_Equations.VEERG_4_2_1_1__1_TotalAnnualMethaneProductionFromManureManagement(AD223,AE181,AD239)</f>
        <v>5.4774412062255371E-3</v>
      </c>
      <c r="AF255" s="52" cm="1">
        <f t="array" ref="AF255">MMS_PastureBeef_Methane_Equations.VEERG_4_2_1_1__1_TotalAnnualMethaneProductionFromManureManagement(AE223,AF181,AE239)</f>
        <v>9.9444284088173376E-3</v>
      </c>
      <c r="AG255" s="52" cm="1">
        <f t="array" ref="AG255">MMS_PastureBeef_Methane_Equations.VEERG_4_2_1_1__1_TotalAnnualMethaneProductionFromManureManagement(AF223,AG181,AF239)</f>
        <v>9.9444284088173376E-3</v>
      </c>
      <c r="AH255" s="52" cm="1">
        <f t="array" ref="AH255">MMS_PastureBeef_Methane_Equations.VEERG_4_2_1_1__1_TotalAnnualMethaneProductionFromManureManagement(AG223,AH181,AG239)</f>
        <v>9.9444284088173376E-3</v>
      </c>
      <c r="AI255" s="2" t="str">
        <f t="shared" si="11"/>
        <v>t CH4</v>
      </c>
      <c r="AJ255" s="2"/>
    </row>
    <row r="256" spans="4:36" ht="20.100000000000001" customHeight="1" x14ac:dyDescent="0.25">
      <c r="W256" s="52" t="str">
        <f>'Input - Pasture Beef'!$D$179</f>
        <v>Pasture range and paddock</v>
      </c>
      <c r="X256" s="52" t="str">
        <f t="shared" si="12"/>
        <v>June 2024</v>
      </c>
      <c r="Y256" s="52" cm="1">
        <f t="array" ref="Y256">MMS_PastureBeef_Methane_Equations.VEERG_4_2_1_1__1_TotalAnnualMethaneProductionFromManureManagement(X224,Y182,X240)</f>
        <v>7.1819695717055543E-3</v>
      </c>
      <c r="Z256" s="52" cm="1">
        <f t="array" ref="Z256">MMS_PastureBeef_Methane_Equations.VEERG_4_2_1_1__1_TotalAnnualMethaneProductionFromManureManagement(Y224,Z182,Y240)</f>
        <v>1.3956858748939045E-2</v>
      </c>
      <c r="AA256" s="52" cm="1">
        <f t="array" ref="AA256">MMS_PastureBeef_Methane_Equations.VEERG_4_2_1_1__1_TotalAnnualMethaneProductionFromManureManagement(Z224,AA182,Z240)</f>
        <v>5.8804400874438879E-3</v>
      </c>
      <c r="AB256" s="52" cm="1">
        <f t="array" ref="AB256">MMS_PastureBeef_Methane_Equations.VEERG_4_2_1_1__1_TotalAnnualMethaneProductionFromManureManagement(AA224,AB182,AA240)</f>
        <v>8.29421715436807E-3</v>
      </c>
      <c r="AC256" s="52" cm="1">
        <f t="array" ref="AC256">MMS_PastureBeef_Methane_Equations.VEERG_4_2_1_1__1_TotalAnnualMethaneProductionFromManureManagement(AB224,AC182,AB240)</f>
        <v>1.1126948017369406E-2</v>
      </c>
      <c r="AD256" s="52" cm="1">
        <f t="array" ref="AD256">MMS_PastureBeef_Methane_Equations.VEERG_4_2_1_1__1_TotalAnnualMethaneProductionFromManureManagement(AC224,AD182,AC240)</f>
        <v>1.1126948017369406E-2</v>
      </c>
      <c r="AE256" s="52" cm="1">
        <f t="array" ref="AE256">MMS_PastureBeef_Methane_Equations.VEERG_4_2_1_1__1_TotalAnnualMethaneProductionFromManureManagement(AD224,AE182,AD240)</f>
        <v>6.3135819303208052E-3</v>
      </c>
      <c r="AF256" s="52" cm="1">
        <f t="array" ref="AF256">MMS_PastureBeef_Methane_Equations.VEERG_4_2_1_1__1_TotalAnnualMethaneProductionFromManureManagement(AE224,AF182,AE240)</f>
        <v>9.6123199983828393E-3</v>
      </c>
      <c r="AG256" s="52" cm="1">
        <f t="array" ref="AG256">MMS_PastureBeef_Methane_Equations.VEERG_4_2_1_1__1_TotalAnnualMethaneProductionFromManureManagement(AF224,AG182,AF240)</f>
        <v>9.6123199983828393E-3</v>
      </c>
      <c r="AH256" s="52" cm="1">
        <f t="array" ref="AH256">MMS_PastureBeef_Methane_Equations.VEERG_4_2_1_1__1_TotalAnnualMethaneProductionFromManureManagement(AG224,AH182,AG240)</f>
        <v>9.6123199983828393E-3</v>
      </c>
      <c r="AI256" s="2" t="str">
        <f t="shared" si="11"/>
        <v>t CH4</v>
      </c>
      <c r="AJ256" s="2"/>
    </row>
    <row r="257" spans="23:36" ht="20.100000000000001" customHeight="1" x14ac:dyDescent="0.25">
      <c r="W257" s="52" t="str">
        <f>'Input - Pasture Beef'!$D$179</f>
        <v>Pasture range and paddock</v>
      </c>
      <c r="X257" s="52" t="str">
        <f t="shared" si="12"/>
        <v>July 2024</v>
      </c>
      <c r="Y257" s="52" cm="1">
        <f t="array" ref="Y257">MMS_PastureBeef_Methane_Equations.VEERG_4_2_1_1__1_TotalAnnualMethaneProductionFromManureManagement(X225,Y183,X241)</f>
        <v>7.4213685574290728E-3</v>
      </c>
      <c r="Z257" s="52" cm="1">
        <f t="array" ref="Z257">MMS_PastureBeef_Methane_Equations.VEERG_4_2_1_1__1_TotalAnnualMethaneProductionFromManureManagement(Y225,Z183,Y241)</f>
        <v>1.4422087373903679E-2</v>
      </c>
      <c r="AA257" s="52" cm="1">
        <f t="array" ref="AA257">MMS_PastureBeef_Methane_Equations.VEERG_4_2_1_1__1_TotalAnnualMethaneProductionFromManureManagement(Z225,AA183,Z241)</f>
        <v>6.0764547570253506E-3</v>
      </c>
      <c r="AB257" s="52" cm="1">
        <f t="array" ref="AB257">MMS_PastureBeef_Methane_Equations.VEERG_4_2_1_1__1_TotalAnnualMethaneProductionFromManureManagement(AA225,AB183,AA241)</f>
        <v>8.5706910595136718E-3</v>
      </c>
      <c r="AC257" s="52" cm="1">
        <f t="array" ref="AC257">MMS_PastureBeef_Methane_Equations.VEERG_4_2_1_1__1_TotalAnnualMethaneProductionFromManureManagement(AB225,AC183,AB241)</f>
        <v>1.1497846284615053E-2</v>
      </c>
      <c r="AD257" s="52" cm="1">
        <f t="array" ref="AD257">MMS_PastureBeef_Methane_Equations.VEERG_4_2_1_1__1_TotalAnnualMethaneProductionFromManureManagement(AC225,AD183,AC241)</f>
        <v>1.1497846284615053E-2</v>
      </c>
      <c r="AE257" s="52" cm="1">
        <f t="array" ref="AE257">MMS_PastureBeef_Methane_Equations.VEERG_4_2_1_1__1_TotalAnnualMethaneProductionFromManureManagement(AD225,AE183,AD241)</f>
        <v>6.5240346613314988E-3</v>
      </c>
      <c r="AF257" s="52" cm="1">
        <f t="array" ref="AF257">MMS_PastureBeef_Methane_Equations.VEERG_4_2_1_1__1_TotalAnnualMethaneProductionFromManureManagement(AE225,AF183,AE241)</f>
        <v>9.9327306649955992E-3</v>
      </c>
      <c r="AG257" s="52" cm="1">
        <f t="array" ref="AG257">MMS_PastureBeef_Methane_Equations.VEERG_4_2_1_1__1_TotalAnnualMethaneProductionFromManureManagement(AF225,AG183,AF241)</f>
        <v>9.9327306649955992E-3</v>
      </c>
      <c r="AH257" s="52" cm="1">
        <f t="array" ref="AH257">MMS_PastureBeef_Methane_Equations.VEERG_4_2_1_1__1_TotalAnnualMethaneProductionFromManureManagement(AG225,AH183,AG241)</f>
        <v>9.9327306649955992E-3</v>
      </c>
      <c r="AI257" s="2" t="str">
        <f t="shared" si="11"/>
        <v>t CH4</v>
      </c>
      <c r="AJ257" s="2"/>
    </row>
    <row r="258" spans="23:36" ht="20.100000000000001" customHeight="1" x14ac:dyDescent="0.25">
      <c r="W258" s="52" t="str">
        <f>'Input - Pasture Beef'!$D$179</f>
        <v>Pasture range and paddock</v>
      </c>
      <c r="X258" s="52" t="str">
        <f t="shared" si="12"/>
        <v>August 2024</v>
      </c>
      <c r="Y258" s="52" cm="1">
        <f t="array" ref="Y258">MMS_PastureBeef_Methane_Equations.VEERG_4_2_1_1__1_TotalAnnualMethaneProductionFromManureManagement(X226,Y184,X242)</f>
        <v>7.4213685574290728E-3</v>
      </c>
      <c r="Z258" s="52" cm="1">
        <f t="array" ref="Z258">MMS_PastureBeef_Methane_Equations.VEERG_4_2_1_1__1_TotalAnnualMethaneProductionFromManureManagement(Y226,Z184,Y242)</f>
        <v>1.4422087373903679E-2</v>
      </c>
      <c r="AA258" s="52" cm="1">
        <f t="array" ref="AA258">MMS_PastureBeef_Methane_Equations.VEERG_4_2_1_1__1_TotalAnnualMethaneProductionFromManureManagement(Z226,AA184,Z242)</f>
        <v>6.0764547570253506E-3</v>
      </c>
      <c r="AB258" s="52" cm="1">
        <f t="array" ref="AB258">MMS_PastureBeef_Methane_Equations.VEERG_4_2_1_1__1_TotalAnnualMethaneProductionFromManureManagement(AA226,AB184,AA242)</f>
        <v>1.0499096547904251E-2</v>
      </c>
      <c r="AC258" s="52" cm="1">
        <f t="array" ref="AC258">MMS_PastureBeef_Methane_Equations.VEERG_4_2_1_1__1_TotalAnnualMethaneProductionFromManureManagement(AB226,AC184,AB242)</f>
        <v>1.4084861698653443E-2</v>
      </c>
      <c r="AD258" s="52" cm="1">
        <f t="array" ref="AD258">MMS_PastureBeef_Methane_Equations.VEERG_4_2_1_1__1_TotalAnnualMethaneProductionFromManureManagement(AC226,AD184,AC242)</f>
        <v>1.4084861698653443E-2</v>
      </c>
      <c r="AE258" s="52" cm="1">
        <f t="array" ref="AE258">MMS_PastureBeef_Methane_Equations.VEERG_4_2_1_1__1_TotalAnnualMethaneProductionFromManureManagement(AD226,AE184,AD242)</f>
        <v>6.5240346613314988E-3</v>
      </c>
      <c r="AF258" s="52" cm="1">
        <f t="array" ref="AF258">MMS_PastureBeef_Methane_Equations.VEERG_4_2_1_1__1_TotalAnnualMethaneProductionFromManureManagement(AE226,AF184,AE242)</f>
        <v>9.9327306649955992E-3</v>
      </c>
      <c r="AG258" s="52" cm="1">
        <f t="array" ref="AG258">MMS_PastureBeef_Methane_Equations.VEERG_4_2_1_1__1_TotalAnnualMethaneProductionFromManureManagement(AF226,AG184,AF242)</f>
        <v>9.9327306649955992E-3</v>
      </c>
      <c r="AH258" s="52" cm="1">
        <f t="array" ref="AH258">MMS_PastureBeef_Methane_Equations.VEERG_4_2_1_1__1_TotalAnnualMethaneProductionFromManureManagement(AG226,AH184,AG242)</f>
        <v>9.9327306649955992E-3</v>
      </c>
      <c r="AI258" s="2" t="str">
        <f t="shared" si="11"/>
        <v>t CH4</v>
      </c>
      <c r="AJ258" s="2"/>
    </row>
    <row r="259" spans="23:36" ht="20.100000000000001" customHeight="1" x14ac:dyDescent="0.25">
      <c r="W259" s="52" t="str">
        <f>'Input - Pasture Beef'!$D$179</f>
        <v>Pasture range and paddock</v>
      </c>
      <c r="X259" s="52" t="str">
        <f t="shared" si="12"/>
        <v>September 2024</v>
      </c>
      <c r="Y259" s="52" cm="1">
        <f t="array" ref="Y259">MMS_PastureBeef_Methane_Equations.VEERG_4_2_1_1__1_TotalAnnualMethaneProductionFromManureManagement(X227,Y185,X243)</f>
        <v>1.2132361356796569E-2</v>
      </c>
      <c r="Z259" s="52" cm="1">
        <f t="array" ref="Z259">MMS_PastureBeef_Methane_Equations.VEERG_4_2_1_1__1_TotalAnnualMethaneProductionFromManureManagement(Y227,Z185,Y243)</f>
        <v>1.713534758165354E-2</v>
      </c>
      <c r="AA259" s="52" cm="1">
        <f t="array" ref="AA259">MMS_PastureBeef_Methane_Equations.VEERG_4_2_1_1__1_TotalAnnualMethaneProductionFromManureManagement(Z227,AA185,Z243)</f>
        <v>9.2472825229088541E-3</v>
      </c>
      <c r="AB259" s="52" cm="1">
        <f t="array" ref="AB259">MMS_PastureBeef_Methane_Equations.VEERG_4_2_1_1__1_TotalAnnualMethaneProductionFromManureManagement(AA227,AB185,AA243)</f>
        <v>1.4865877813581433E-2</v>
      </c>
      <c r="AC259" s="52" cm="1">
        <f t="array" ref="AC259">MMS_PastureBeef_Methane_Equations.VEERG_4_2_1_1__1_TotalAnnualMethaneProductionFromManureManagement(AB227,AC185,AB243)</f>
        <v>1.6507926360625275E-2</v>
      </c>
      <c r="AD259" s="52" cm="1">
        <f t="array" ref="AD259">MMS_PastureBeef_Methane_Equations.VEERG_4_2_1_1__1_TotalAnnualMethaneProductionFromManureManagement(AC227,AD185,AC243)</f>
        <v>1.6507926360625275E-2</v>
      </c>
      <c r="AE259" s="52" cm="1">
        <f t="array" ref="AE259">MMS_PastureBeef_Methane_Equations.VEERG_4_2_1_1__1_TotalAnnualMethaneProductionFromManureManagement(AD227,AE185,AD243)</f>
        <v>1.0660890764753827E-2</v>
      </c>
      <c r="AF259" s="52" cm="1">
        <f t="array" ref="AF259">MMS_PastureBeef_Methane_Equations.VEERG_4_2_1_1__1_TotalAnnualMethaneProductionFromManureManagement(AE227,AF185,AE243)</f>
        <v>1.3547688324550109E-2</v>
      </c>
      <c r="AG259" s="52" cm="1">
        <f t="array" ref="AG259">MMS_PastureBeef_Methane_Equations.VEERG_4_2_1_1__1_TotalAnnualMethaneProductionFromManureManagement(AF227,AG185,AF243)</f>
        <v>1.3547688324550109E-2</v>
      </c>
      <c r="AH259" s="52" cm="1">
        <f t="array" ref="AH259">MMS_PastureBeef_Methane_Equations.VEERG_4_2_1_1__1_TotalAnnualMethaneProductionFromManureManagement(AG227,AH185,AG243)</f>
        <v>1.3547688324550109E-2</v>
      </c>
      <c r="AI259" s="2" t="str">
        <f t="shared" si="11"/>
        <v>t CH4</v>
      </c>
      <c r="AJ259" s="2"/>
    </row>
    <row r="260" spans="23:36" ht="20.100000000000001" customHeight="1" x14ac:dyDescent="0.25">
      <c r="W260" s="52" t="str">
        <f>'Input - Pasture Beef'!$D$179</f>
        <v>Pasture range and paddock</v>
      </c>
      <c r="X260" s="52" t="str">
        <f t="shared" si="12"/>
        <v>October 2024</v>
      </c>
      <c r="Y260" s="52" cm="1">
        <f t="array" ref="Y260">MMS_PastureBeef_Methane_Equations.VEERG_4_2_1_1__1_TotalAnnualMethaneProductionFromManureManagement(X228,Y186,X244)</f>
        <v>1.2536773402023121E-2</v>
      </c>
      <c r="Z260" s="52" cm="1">
        <f t="array" ref="Z260">MMS_PastureBeef_Methane_Equations.VEERG_4_2_1_1__1_TotalAnnualMethaneProductionFromManureManagement(Y228,Z186,Y244)</f>
        <v>1.7706525834375323E-2</v>
      </c>
      <c r="AA260" s="52" cm="1">
        <f t="array" ref="AA260">MMS_PastureBeef_Methane_Equations.VEERG_4_2_1_1__1_TotalAnnualMethaneProductionFromManureManagement(Z228,AA186,Z244)</f>
        <v>9.555525273672481E-3</v>
      </c>
      <c r="AB260" s="52" cm="1">
        <f t="array" ref="AB260">MMS_PastureBeef_Methane_Equations.VEERG_4_2_1_1__1_TotalAnnualMethaneProductionFromManureManagement(AA228,AB186,AA244)</f>
        <v>1.5361407074034147E-2</v>
      </c>
      <c r="AC260" s="52" cm="1">
        <f t="array" ref="AC260">MMS_PastureBeef_Methane_Equations.VEERG_4_2_1_1__1_TotalAnnualMethaneProductionFromManureManagement(AB228,AC186,AB244)</f>
        <v>1.7058190572646119E-2</v>
      </c>
      <c r="AD260" s="52" cm="1">
        <f t="array" ref="AD260">MMS_PastureBeef_Methane_Equations.VEERG_4_2_1_1__1_TotalAnnualMethaneProductionFromManureManagement(AC228,AD186,AC244)</f>
        <v>1.7058190572646119E-2</v>
      </c>
      <c r="AE260" s="52" cm="1">
        <f t="array" ref="AE260">MMS_PastureBeef_Methane_Equations.VEERG_4_2_1_1__1_TotalAnnualMethaneProductionFromManureManagement(AD228,AE186,AD244)</f>
        <v>1.1016253790245621E-2</v>
      </c>
      <c r="AF260" s="52" cm="1">
        <f t="array" ref="AF260">MMS_PastureBeef_Methane_Equations.VEERG_4_2_1_1__1_TotalAnnualMethaneProductionFromManureManagement(AE228,AF186,AE244)</f>
        <v>1.3999277935368445E-2</v>
      </c>
      <c r="AG260" s="52" cm="1">
        <f t="array" ref="AG260">MMS_PastureBeef_Methane_Equations.VEERG_4_2_1_1__1_TotalAnnualMethaneProductionFromManureManagement(AF228,AG186,AF244)</f>
        <v>1.3999277935368445E-2</v>
      </c>
      <c r="AH260" s="52" cm="1">
        <f t="array" ref="AH260">MMS_PastureBeef_Methane_Equations.VEERG_4_2_1_1__1_TotalAnnualMethaneProductionFromManureManagement(AG228,AH186,AG244)</f>
        <v>1.3999277935368445E-2</v>
      </c>
      <c r="AI260" s="2" t="str">
        <f t="shared" si="11"/>
        <v>t CH4</v>
      </c>
      <c r="AJ260" s="2"/>
    </row>
    <row r="261" spans="23:36" ht="20.100000000000001" customHeight="1" x14ac:dyDescent="0.25">
      <c r="W261" s="52" t="str">
        <f>'Input - Pasture Beef'!$D$179</f>
        <v>Pasture range and paddock</v>
      </c>
      <c r="X261" s="52" t="str">
        <f t="shared" si="12"/>
        <v>November 2024</v>
      </c>
      <c r="Y261" s="52" cm="1">
        <f t="array" ref="Y261">MMS_PastureBeef_Methane_Equations.VEERG_4_2_1_1__1_TotalAnnualMethaneProductionFromManureManagement(X229,Y187,X245)</f>
        <v>1.2132361356796569E-2</v>
      </c>
      <c r="Z261" s="52" cm="1">
        <f t="array" ref="Z261">MMS_PastureBeef_Methane_Equations.VEERG_4_2_1_1__1_TotalAnnualMethaneProductionFromManureManagement(Y229,Z187,Y245)</f>
        <v>1.713534758165354E-2</v>
      </c>
      <c r="AA261" s="52" cm="1">
        <f t="array" ref="AA261">MMS_PastureBeef_Methane_Equations.VEERG_4_2_1_1__1_TotalAnnualMethaneProductionFromManureManagement(Z229,AA187,Z245)</f>
        <v>9.2472825229088541E-3</v>
      </c>
      <c r="AB261" s="52" cm="1">
        <f t="array" ref="AB261">MMS_PastureBeef_Methane_Equations.VEERG_4_2_1_1__1_TotalAnnualMethaneProductionFromManureManagement(AA229,AB187,AA245)</f>
        <v>1.3045566244571469E-2</v>
      </c>
      <c r="AC261" s="52" cm="1">
        <f t="array" ref="AC261">MMS_PastureBeef_Methane_Equations.VEERG_4_2_1_1__1_TotalAnnualMethaneProductionFromManureManagement(AB229,AC187,AB245)</f>
        <v>1.4486547622589524E-2</v>
      </c>
      <c r="AD261" s="52" cm="1">
        <f t="array" ref="AD261">MMS_PastureBeef_Methane_Equations.VEERG_4_2_1_1__1_TotalAnnualMethaneProductionFromManureManagement(AC229,AD187,AC245)</f>
        <v>1.4486547622589524E-2</v>
      </c>
      <c r="AE261" s="52" cm="1">
        <f t="array" ref="AE261">MMS_PastureBeef_Methane_Equations.VEERG_4_2_1_1__1_TotalAnnualMethaneProductionFromManureManagement(AD229,AE187,AD245)</f>
        <v>1.0660890764753827E-2</v>
      </c>
      <c r="AF261" s="52" cm="1">
        <f t="array" ref="AF261">MMS_PastureBeef_Methane_Equations.VEERG_4_2_1_1__1_TotalAnnualMethaneProductionFromManureManagement(AE229,AF187,AE245)</f>
        <v>1.3547688324550109E-2</v>
      </c>
      <c r="AG261" s="52" cm="1">
        <f t="array" ref="AG261">MMS_PastureBeef_Methane_Equations.VEERG_4_2_1_1__1_TotalAnnualMethaneProductionFromManureManagement(AF229,AG187,AF245)</f>
        <v>1.3547688324550109E-2</v>
      </c>
      <c r="AH261" s="52" cm="1">
        <f t="array" ref="AH261">MMS_PastureBeef_Methane_Equations.VEERG_4_2_1_1__1_TotalAnnualMethaneProductionFromManureManagement(AG229,AH187,AG245)</f>
        <v>1.3547688324550109E-2</v>
      </c>
      <c r="AI261" s="2" t="str">
        <f t="shared" si="11"/>
        <v>t CH4</v>
      </c>
      <c r="AJ261" s="2"/>
    </row>
    <row r="262" spans="23:36" ht="20.100000000000001" customHeight="1" x14ac:dyDescent="0.25">
      <c r="W262" s="52" t="str">
        <f>'Input - Pasture Beef'!$D$179</f>
        <v>Pasture range and paddock</v>
      </c>
      <c r="X262" s="52" t="str">
        <f t="shared" si="12"/>
        <v>December 2024</v>
      </c>
      <c r="Y262" s="52" cm="1">
        <f t="array" ref="Y262">MMS_PastureBeef_Methane_Equations.VEERG_4_2_1_1__1_TotalAnnualMethaneProductionFromManureManagement(X230,Y188,X246)</f>
        <v>1.1686395292803749E-2</v>
      </c>
      <c r="Z262" s="52" cm="1">
        <f t="array" ref="Z262">MMS_PastureBeef_Methane_Equations.VEERG_4_2_1_1__1_TotalAnnualMethaneProductionFromManureManagement(Y230,Z188,Y246)</f>
        <v>1.5462256345510341E-2</v>
      </c>
      <c r="AA262" s="52" cm="1">
        <f t="array" ref="AA262">MMS_PastureBeef_Methane_Equations.VEERG_4_2_1_1__1_TotalAnnualMethaneProductionFromManureManagement(Z230,AA188,Z246)</f>
        <v>9.827994534648608E-3</v>
      </c>
      <c r="AB262" s="52" cm="1">
        <f t="array" ref="AB262">MMS_PastureBeef_Methane_Equations.VEERG_4_2_1_1__1_TotalAnnualMethaneProductionFromManureManagement(AA230,AB188,AA246)</f>
        <v>1.3835001514524993E-2</v>
      </c>
      <c r="AC262" s="52" cm="1">
        <f t="array" ref="AC262">MMS_PastureBeef_Methane_Equations.VEERG_4_2_1_1__1_TotalAnnualMethaneProductionFromManureManagement(AB230,AC188,AB246)</f>
        <v>1.3698344328479549E-2</v>
      </c>
      <c r="AD262" s="52" cm="1">
        <f t="array" ref="AD262">MMS_PastureBeef_Methane_Equations.VEERG_4_2_1_1__1_TotalAnnualMethaneProductionFromManureManagement(AC230,AD188,AC246)</f>
        <v>1.3698344328479549E-2</v>
      </c>
      <c r="AE262" s="52" cm="1">
        <f t="array" ref="AE262">MMS_PastureBeef_Methane_Equations.VEERG_4_2_1_1__1_TotalAnnualMethaneProductionFromManureManagement(AD230,AE188,AD246)</f>
        <v>1.0771981465764659E-2</v>
      </c>
      <c r="AF262" s="52" cm="1">
        <f t="array" ref="AF262">MMS_PastureBeef_Methane_Equations.VEERG_4_2_1_1__1_TotalAnnualMethaneProductionFromManureManagement(AE230,AF188,AE246)</f>
        <v>1.2007244749778738E-2</v>
      </c>
      <c r="AG262" s="52" cm="1">
        <f t="array" ref="AG262">MMS_PastureBeef_Methane_Equations.VEERG_4_2_1_1__1_TotalAnnualMethaneProductionFromManureManagement(AF230,AG188,AF246)</f>
        <v>1.2007244749778738E-2</v>
      </c>
      <c r="AH262" s="52" cm="1">
        <f t="array" ref="AH262">MMS_PastureBeef_Methane_Equations.VEERG_4_2_1_1__1_TotalAnnualMethaneProductionFromManureManagement(AG230,AH188,AG246)</f>
        <v>1.2007244749778738E-2</v>
      </c>
      <c r="AI262" s="2" t="str">
        <f t="shared" si="11"/>
        <v>t CH4</v>
      </c>
      <c r="AJ262" s="2"/>
    </row>
    <row r="263" spans="23:36" ht="20.100000000000001" customHeight="1" x14ac:dyDescent="0.25">
      <c r="W263" s="52" t="str">
        <f>'Input - Pasture Beef'!$D$180</f>
        <v>Anaerobic lagoon</v>
      </c>
      <c r="X263" s="52" t="str">
        <f>W235</f>
        <v>January 2024</v>
      </c>
      <c r="Y263" s="52" cm="1">
        <f t="array" ref="Y263">MMS_PastureBeef_Methane_Equations.VEERG_4_2_1_1__1_TotalAnnualMethaneProductionFromManureManagement(X219,Y189,X235)</f>
        <v>7.1702260923240061E-3</v>
      </c>
      <c r="Z263" s="52" cm="1">
        <f t="array" ref="Z263">MMS_PastureBeef_Methane_Equations.VEERG_4_2_1_1__1_TotalAnnualMethaneProductionFromManureManagement(Y219,Z189,Y235)</f>
        <v>9.4869180031117821E-3</v>
      </c>
      <c r="AA263" s="52" cm="1">
        <f t="array" ref="AA263">MMS_PastureBeef_Methane_Equations.VEERG_4_2_1_1__1_TotalAnnualMethaneProductionFromManureManagement(Z219,AA189,Z235)</f>
        <v>6.0299982228864514E-3</v>
      </c>
      <c r="AB263" s="52" cm="1">
        <f t="array" ref="AB263">MMS_PastureBeef_Methane_Equations.VEERG_4_2_1_1__1_TotalAnnualMethaneProductionFromManureManagement(AA219,AB189,AA235)</f>
        <v>8.4885104740445305E-3</v>
      </c>
      <c r="AC263" s="52" cm="1">
        <f t="array" ref="AC263">MMS_PastureBeef_Methane_Equations.VEERG_4_2_1_1__1_TotalAnnualMethaneProductionFromManureManagement(AB219,AC189,AB235)</f>
        <v>8.4046640101404727E-3</v>
      </c>
      <c r="AD263" s="52" cm="1">
        <f t="array" ref="AD263">MMS_PastureBeef_Methane_Equations.VEERG_4_2_1_1__1_TotalAnnualMethaneProductionFromManureManagement(AC219,AD189,AC235)</f>
        <v>8.4046640101404727E-3</v>
      </c>
      <c r="AE263" s="52" cm="1">
        <f t="array" ref="AE263">MMS_PastureBeef_Methane_Equations.VEERG_4_2_1_1__1_TotalAnnualMethaneProductionFromManureManagement(AD219,AE189,AD235)</f>
        <v>6.6091844950185562E-3</v>
      </c>
      <c r="AF263" s="52" cm="1">
        <f t="array" ref="AF263">MMS_PastureBeef_Methane_Equations.VEERG_4_2_1_1__1_TotalAnnualMethaneProductionFromManureManagement(AE219,AF189,AE235)</f>
        <v>7.3670843270892388E-3</v>
      </c>
      <c r="AG263" s="52" cm="1">
        <f t="array" ref="AG263">MMS_PastureBeef_Methane_Equations.VEERG_4_2_1_1__1_TotalAnnualMethaneProductionFromManureManagement(AF219,AG189,AF235)</f>
        <v>7.3670843270892388E-3</v>
      </c>
      <c r="AH263" s="52" cm="1">
        <f t="array" ref="AH263">MMS_PastureBeef_Methane_Equations.VEERG_4_2_1_1__1_TotalAnnualMethaneProductionFromManureManagement(AG219,AH189,AG235)</f>
        <v>7.3670843270892388E-3</v>
      </c>
      <c r="AI263" s="2" t="str">
        <f t="shared" si="11"/>
        <v>t CH4</v>
      </c>
      <c r="AJ263" s="2"/>
    </row>
    <row r="264" spans="23:36" ht="20.100000000000001" customHeight="1" x14ac:dyDescent="0.25">
      <c r="W264" s="52" t="str">
        <f>'Input - Pasture Beef'!$D$180</f>
        <v>Anaerobic lagoon</v>
      </c>
      <c r="X264" s="52" t="str">
        <f t="shared" ref="X264:X274" si="13">W236</f>
        <v>February 2024</v>
      </c>
      <c r="Y264" s="52" cm="1">
        <f t="array" ref="Y264">MMS_PastureBeef_Methane_Equations.VEERG_4_2_1_1__1_TotalAnnualMethaneProductionFromManureManagement(X220,Y190,X236)</f>
        <v>6.7076308605611666E-3</v>
      </c>
      <c r="Z264" s="52" cm="1">
        <f t="array" ref="Z264">MMS_PastureBeef_Methane_Equations.VEERG_4_2_1_1__1_TotalAnnualMethaneProductionFromManureManagement(Y220,Z190,Y236)</f>
        <v>8.874858777104571E-3</v>
      </c>
      <c r="AA264" s="52" cm="1">
        <f t="array" ref="AA264">MMS_PastureBeef_Methane_Equations.VEERG_4_2_1_1__1_TotalAnnualMethaneProductionFromManureManagement(Z220,AA190,Z236)</f>
        <v>5.6409660794744226E-3</v>
      </c>
      <c r="AB264" s="52" cm="1">
        <f t="array" ref="AB264">MMS_PastureBeef_Methane_Equations.VEERG_4_2_1_1__1_TotalAnnualMethaneProductionFromManureManagement(AA220,AB190,AA236)</f>
        <v>7.3868508251250182E-3</v>
      </c>
      <c r="AC264" s="52" cm="1">
        <f t="array" ref="AC264">MMS_PastureBeef_Methane_Equations.VEERG_4_2_1_1__1_TotalAnnualMethaneProductionFromManureManagement(AB220,AC190,AB236)</f>
        <v>7.3138861603623002E-3</v>
      </c>
      <c r="AD264" s="52" cm="1">
        <f t="array" ref="AD264">MMS_PastureBeef_Methane_Equations.VEERG_4_2_1_1__1_TotalAnnualMethaneProductionFromManureManagement(AC220,AD190,AC236)</f>
        <v>7.3138861603623002E-3</v>
      </c>
      <c r="AE264" s="52" cm="1">
        <f t="array" ref="AE264">MMS_PastureBeef_Methane_Equations.VEERG_4_2_1_1__1_TotalAnnualMethaneProductionFromManureManagement(AD220,AE190,AD236)</f>
        <v>6.1827854953399389E-3</v>
      </c>
      <c r="AF264" s="52" cm="1">
        <f t="array" ref="AF264">MMS_PastureBeef_Methane_Equations.VEERG_4_2_1_1__1_TotalAnnualMethaneProductionFromManureManagement(AE220,AF190,AE236)</f>
        <v>6.8917885640512235E-3</v>
      </c>
      <c r="AG264" s="52" cm="1">
        <f t="array" ref="AG264">MMS_PastureBeef_Methane_Equations.VEERG_4_2_1_1__1_TotalAnnualMethaneProductionFromManureManagement(AF220,AG190,AF236)</f>
        <v>6.8917885640512235E-3</v>
      </c>
      <c r="AH264" s="52" cm="1">
        <f t="array" ref="AH264">MMS_PastureBeef_Methane_Equations.VEERG_4_2_1_1__1_TotalAnnualMethaneProductionFromManureManagement(AG220,AH190,AG236)</f>
        <v>6.8917885640512235E-3</v>
      </c>
      <c r="AI264" s="2" t="str">
        <f t="shared" si="11"/>
        <v>t CH4</v>
      </c>
      <c r="AJ264" s="2"/>
    </row>
    <row r="265" spans="23:36" ht="20.100000000000001" customHeight="1" x14ac:dyDescent="0.25">
      <c r="W265" s="52" t="str">
        <f>'Input - Pasture Beef'!$D$180</f>
        <v>Anaerobic lagoon</v>
      </c>
      <c r="X265" s="52" t="str">
        <f t="shared" si="13"/>
        <v>March 2024</v>
      </c>
      <c r="Y265" s="52" cm="1">
        <f t="array" ref="Y265">MMS_PastureBeef_Methane_Equations.VEERG_4_2_1_1__1_TotalAnnualMethaneProductionFromManureManagement(X221,Y191,X237)</f>
        <v>3.3607019848313265E-3</v>
      </c>
      <c r="Z265" s="52" cm="1">
        <f t="array" ref="Z265">MMS_PastureBeef_Methane_Equations.VEERG_4_2_1_1__1_TotalAnnualMethaneProductionFromManureManagement(Y221,Z191,Y237)</f>
        <v>9.7540698871418051E-3</v>
      </c>
      <c r="AA265" s="52" cm="1">
        <f t="array" ref="AA265">MMS_PastureBeef_Methane_Equations.VEERG_4_2_1_1__1_TotalAnnualMethaneProductionFromManureManagement(Z221,AA191,Z237)</f>
        <v>3.0637976123904505E-3</v>
      </c>
      <c r="AB265" s="52" cm="1">
        <f t="array" ref="AB265">MMS_PastureBeef_Methane_Equations.VEERG_4_2_1_1__1_TotalAnnualMethaneProductionFromManureManagement(AA221,AB191,AA237)</f>
        <v>6.1660376177649781E-3</v>
      </c>
      <c r="AC265" s="52" cm="1">
        <f t="array" ref="AC265">MMS_PastureBeef_Methane_Equations.VEERG_4_2_1_1__1_TotalAnnualMethaneProductionFromManureManagement(AB221,AC191,AB237)</f>
        <v>6.9528084339393068E-3</v>
      </c>
      <c r="AD265" s="52" cm="1">
        <f t="array" ref="AD265">MMS_PastureBeef_Methane_Equations.VEERG_4_2_1_1__1_TotalAnnualMethaneProductionFromManureManagement(AC221,AD191,AC237)</f>
        <v>6.9528084339393068E-3</v>
      </c>
      <c r="AE265" s="52" cm="1">
        <f t="array" ref="AE265">MMS_PastureBeef_Methane_Equations.VEERG_4_2_1_1__1_TotalAnnualMethaneProductionFromManureManagement(AD221,AE191,AD237)</f>
        <v>3.3607019848313265E-3</v>
      </c>
      <c r="AF265" s="52" cm="1">
        <f t="array" ref="AF265">MMS_PastureBeef_Methane_Equations.VEERG_4_2_1_1__1_TotalAnnualMethaneProductionFromManureManagement(AE221,AF191,AE237)</f>
        <v>6.1014366075788718E-3</v>
      </c>
      <c r="AG265" s="52" cm="1">
        <f t="array" ref="AG265">MMS_PastureBeef_Methane_Equations.VEERG_4_2_1_1__1_TotalAnnualMethaneProductionFromManureManagement(AF221,AG191,AF237)</f>
        <v>6.1014366075788718E-3</v>
      </c>
      <c r="AH265" s="52" cm="1">
        <f t="array" ref="AH265">MMS_PastureBeef_Methane_Equations.VEERG_4_2_1_1__1_TotalAnnualMethaneProductionFromManureManagement(AG221,AH191,AG237)</f>
        <v>6.1014366075788718E-3</v>
      </c>
      <c r="AI265" s="2" t="str">
        <f t="shared" si="11"/>
        <v>t CH4</v>
      </c>
      <c r="AJ265" s="2"/>
    </row>
    <row r="266" spans="23:36" ht="20.100000000000001" customHeight="1" x14ac:dyDescent="0.25">
      <c r="W266" s="52" t="str">
        <f>'Input - Pasture Beef'!$D$180</f>
        <v>Anaerobic lagoon</v>
      </c>
      <c r="X266" s="52" t="str">
        <f t="shared" si="13"/>
        <v>April 2024</v>
      </c>
      <c r="Y266" s="52" cm="1">
        <f t="array" ref="Y266">MMS_PastureBeef_Methane_Equations.VEERG_4_2_1_1__1_TotalAnnualMethaneProductionFromManureManagement(X222,Y192,X238)</f>
        <v>3.2522922433851549E-3</v>
      </c>
      <c r="Z266" s="52" cm="1">
        <f t="array" ref="Z266">MMS_PastureBeef_Methane_Equations.VEERG_4_2_1_1__1_TotalAnnualMethaneProductionFromManureManagement(Y222,Z192,Y238)</f>
        <v>9.4394224714275544E-3</v>
      </c>
      <c r="AA266" s="52" cm="1">
        <f t="array" ref="AA266">MMS_PastureBeef_Methane_Equations.VEERG_4_2_1_1__1_TotalAnnualMethaneProductionFromManureManagement(Z222,AA192,Z238)</f>
        <v>2.9649654313455972E-3</v>
      </c>
      <c r="AB266" s="52" cm="1">
        <f t="array" ref="AB266">MMS_PastureBeef_Methane_Equations.VEERG_4_2_1_1__1_TotalAnnualMethaneProductionFromManureManagement(AA222,AB192,AA238)</f>
        <v>5.967133178482238E-3</v>
      </c>
      <c r="AC266" s="52" cm="1">
        <f t="array" ref="AC266">MMS_PastureBeef_Methane_Equations.VEERG_4_2_1_1__1_TotalAnnualMethaneProductionFromManureManagement(AB222,AC192,AB238)</f>
        <v>6.7285242909090066E-3</v>
      </c>
      <c r="AD266" s="52" cm="1">
        <f t="array" ref="AD266">MMS_PastureBeef_Methane_Equations.VEERG_4_2_1_1__1_TotalAnnualMethaneProductionFromManureManagement(AC222,AD192,AC238)</f>
        <v>6.7285242909090066E-3</v>
      </c>
      <c r="AE266" s="52" cm="1">
        <f t="array" ref="AE266">MMS_PastureBeef_Methane_Equations.VEERG_4_2_1_1__1_TotalAnnualMethaneProductionFromManureManagement(AD222,AE192,AD238)</f>
        <v>3.2522922433851549E-3</v>
      </c>
      <c r="AF266" s="52" cm="1">
        <f t="array" ref="AF266">MMS_PastureBeef_Methane_Equations.VEERG_4_2_1_1__1_TotalAnnualMethaneProductionFromManureManagement(AE222,AF192,AE238)</f>
        <v>5.90461607185052E-3</v>
      </c>
      <c r="AG266" s="52" cm="1">
        <f t="array" ref="AG266">MMS_PastureBeef_Methane_Equations.VEERG_4_2_1_1__1_TotalAnnualMethaneProductionFromManureManagement(AF222,AG192,AF238)</f>
        <v>5.90461607185052E-3</v>
      </c>
      <c r="AH266" s="52" cm="1">
        <f t="array" ref="AH266">MMS_PastureBeef_Methane_Equations.VEERG_4_2_1_1__1_TotalAnnualMethaneProductionFromManureManagement(AG222,AH192,AG238)</f>
        <v>5.90461607185052E-3</v>
      </c>
      <c r="AI266" s="2" t="str">
        <f t="shared" si="11"/>
        <v>t CH4</v>
      </c>
      <c r="AJ266" s="2"/>
    </row>
    <row r="267" spans="23:36" ht="20.100000000000001" customHeight="1" x14ac:dyDescent="0.25">
      <c r="W267" s="52" t="str">
        <f>'Input - Pasture Beef'!$D$180</f>
        <v>Anaerobic lagoon</v>
      </c>
      <c r="X267" s="52" t="str">
        <f t="shared" si="13"/>
        <v>May 2024</v>
      </c>
      <c r="Y267" s="52" cm="1">
        <f t="array" ref="Y267">MMS_PastureBeef_Methane_Equations.VEERG_4_2_1_1__1_TotalAnnualMethaneProductionFromManureManagement(X223,Y193,X239)</f>
        <v>3.3607019848313265E-3</v>
      </c>
      <c r="Z267" s="52" cm="1">
        <f t="array" ref="Z267">MMS_PastureBeef_Methane_Equations.VEERG_4_2_1_1__1_TotalAnnualMethaneProductionFromManureManagement(Y223,Z193,Y239)</f>
        <v>9.7540698871418051E-3</v>
      </c>
      <c r="AA267" s="52" cm="1">
        <f t="array" ref="AA267">MMS_PastureBeef_Methane_Equations.VEERG_4_2_1_1__1_TotalAnnualMethaneProductionFromManureManagement(Z223,AA193,Z239)</f>
        <v>3.0637976123904505E-3</v>
      </c>
      <c r="AB267" s="52" cm="1">
        <f t="array" ref="AB267">MMS_PastureBeef_Methane_Equations.VEERG_4_2_1_1__1_TotalAnnualMethaneProductionFromManureManagement(AA223,AB193,AA239)</f>
        <v>6.1660376177649781E-3</v>
      </c>
      <c r="AC267" s="52" cm="1">
        <f t="array" ref="AC267">MMS_PastureBeef_Methane_Equations.VEERG_4_2_1_1__1_TotalAnnualMethaneProductionFromManureManagement(AB223,AC193,AB239)</f>
        <v>6.9528084339393068E-3</v>
      </c>
      <c r="AD267" s="52" cm="1">
        <f t="array" ref="AD267">MMS_PastureBeef_Methane_Equations.VEERG_4_2_1_1__1_TotalAnnualMethaneProductionFromManureManagement(AC223,AD193,AC239)</f>
        <v>6.9528084339393068E-3</v>
      </c>
      <c r="AE267" s="52" cm="1">
        <f t="array" ref="AE267">MMS_PastureBeef_Methane_Equations.VEERG_4_2_1_1__1_TotalAnnualMethaneProductionFromManureManagement(AD223,AE193,AD239)</f>
        <v>3.3607019848313265E-3</v>
      </c>
      <c r="AF267" s="52" cm="1">
        <f t="array" ref="AF267">MMS_PastureBeef_Methane_Equations.VEERG_4_2_1_1__1_TotalAnnualMethaneProductionFromManureManagement(AE223,AF193,AE239)</f>
        <v>6.1014366075788718E-3</v>
      </c>
      <c r="AG267" s="52" cm="1">
        <f t="array" ref="AG267">MMS_PastureBeef_Methane_Equations.VEERG_4_2_1_1__1_TotalAnnualMethaneProductionFromManureManagement(AF223,AG193,AF239)</f>
        <v>6.1014366075788718E-3</v>
      </c>
      <c r="AH267" s="52" cm="1">
        <f t="array" ref="AH267">MMS_PastureBeef_Methane_Equations.VEERG_4_2_1_1__1_TotalAnnualMethaneProductionFromManureManagement(AG223,AH193,AG239)</f>
        <v>6.1014366075788718E-3</v>
      </c>
      <c r="AI267" s="2" t="str">
        <f t="shared" si="11"/>
        <v>t CH4</v>
      </c>
      <c r="AJ267" s="2"/>
    </row>
    <row r="268" spans="23:36" ht="20.100000000000001" customHeight="1" x14ac:dyDescent="0.25">
      <c r="W268" s="52" t="str">
        <f>'Input - Pasture Beef'!$D$180</f>
        <v>Anaerobic lagoon</v>
      </c>
      <c r="X268" s="52" t="str">
        <f t="shared" si="13"/>
        <v>June 2024</v>
      </c>
      <c r="Y268" s="52" cm="1">
        <f t="array" ref="Y268">MMS_PastureBeef_Methane_Equations.VEERG_4_2_1_1__1_TotalAnnualMethaneProductionFromManureManagement(X224,Y194,X240)</f>
        <v>4.4065209439758278E-3</v>
      </c>
      <c r="Z268" s="52" cm="1">
        <f t="array" ref="Z268">MMS_PastureBeef_Methane_Equations.VEERG_4_2_1_1__1_TotalAnnualMethaneProductionFromManureManagement(Y224,Z194,Y240)</f>
        <v>8.5632763791711562E-3</v>
      </c>
      <c r="AA268" s="52" cm="1">
        <f t="array" ref="AA268">MMS_PastureBeef_Methane_Equations.VEERG_4_2_1_1__1_TotalAnnualMethaneProductionFromManureManagement(Z224,AA194,Z240)</f>
        <v>3.607963267792425E-3</v>
      </c>
      <c r="AB268" s="52" cm="1">
        <f t="array" ref="AB268">MMS_PastureBeef_Methane_Equations.VEERG_4_2_1_1__1_TotalAnnualMethaneProductionFromManureManagement(AA224,AB194,AA240)</f>
        <v>5.088944089737632E-3</v>
      </c>
      <c r="AC268" s="52" cm="1">
        <f t="array" ref="AC268">MMS_PastureBeef_Methane_Equations.VEERG_4_2_1_1__1_TotalAnnualMethaneProductionFromManureManagement(AB224,AC194,AB240)</f>
        <v>6.8269753848908083E-3</v>
      </c>
      <c r="AD268" s="52" cm="1">
        <f t="array" ref="AD268">MMS_PastureBeef_Methane_Equations.VEERG_4_2_1_1__1_TotalAnnualMethaneProductionFromManureManagement(AC224,AD194,AC240)</f>
        <v>6.8269753848908083E-3</v>
      </c>
      <c r="AE268" s="52" cm="1">
        <f t="array" ref="AE268">MMS_PastureBeef_Methane_Equations.VEERG_4_2_1_1__1_TotalAnnualMethaneProductionFromManureManagement(AD224,AE194,AD240)</f>
        <v>3.8737188635650436E-3</v>
      </c>
      <c r="AF268" s="52" cm="1">
        <f t="array" ref="AF268">MMS_PastureBeef_Methane_Equations.VEERG_4_2_1_1__1_TotalAnnualMethaneProductionFromManureManagement(AE224,AF194,AE240)</f>
        <v>5.8976704050575455E-3</v>
      </c>
      <c r="AG268" s="52" cm="1">
        <f t="array" ref="AG268">MMS_PastureBeef_Methane_Equations.VEERG_4_2_1_1__1_TotalAnnualMethaneProductionFromManureManagement(AF224,AG194,AF240)</f>
        <v>5.8976704050575455E-3</v>
      </c>
      <c r="AH268" s="52" cm="1">
        <f t="array" ref="AH268">MMS_PastureBeef_Methane_Equations.VEERG_4_2_1_1__1_TotalAnnualMethaneProductionFromManureManagement(AG224,AH194,AG240)</f>
        <v>5.8976704050575455E-3</v>
      </c>
      <c r="AI268" s="2" t="str">
        <f t="shared" si="11"/>
        <v>t CH4</v>
      </c>
      <c r="AJ268" s="2"/>
    </row>
    <row r="269" spans="23:36" ht="20.100000000000001" customHeight="1" x14ac:dyDescent="0.25">
      <c r="W269" s="52" t="str">
        <f>'Input - Pasture Beef'!$D$180</f>
        <v>Anaerobic lagoon</v>
      </c>
      <c r="X269" s="52" t="str">
        <f t="shared" si="13"/>
        <v>July 2024</v>
      </c>
      <c r="Y269" s="52" cm="1">
        <f t="array" ref="Y269">MMS_PastureBeef_Methane_Equations.VEERG_4_2_1_1__1_TotalAnnualMethaneProductionFromManureManagement(X225,Y195,X241)</f>
        <v>4.5534049754416888E-3</v>
      </c>
      <c r="Z269" s="52" cm="1">
        <f t="array" ref="Z269">MMS_PastureBeef_Methane_Equations.VEERG_4_2_1_1__1_TotalAnnualMethaneProductionFromManureManagement(Y225,Z195,Y241)</f>
        <v>8.8487189251435297E-3</v>
      </c>
      <c r="AA269" s="52" cm="1">
        <f t="array" ref="AA269">MMS_PastureBeef_Methane_Equations.VEERG_4_2_1_1__1_TotalAnnualMethaneProductionFromManureManagement(Z225,AA195,Z241)</f>
        <v>3.728228710052173E-3</v>
      </c>
      <c r="AB269" s="52" cm="1">
        <f t="array" ref="AB269">MMS_PastureBeef_Methane_Equations.VEERG_4_2_1_1__1_TotalAnnualMethaneProductionFromManureManagement(AA225,AB195,AA241)</f>
        <v>5.2585755593955539E-3</v>
      </c>
      <c r="AC269" s="52" cm="1">
        <f t="array" ref="AC269">MMS_PastureBeef_Methane_Equations.VEERG_4_2_1_1__1_TotalAnnualMethaneProductionFromManureManagement(AB225,AC195,AB241)</f>
        <v>7.054541231053835E-3</v>
      </c>
      <c r="AD269" s="52" cm="1">
        <f t="array" ref="AD269">MMS_PastureBeef_Methane_Equations.VEERG_4_2_1_1__1_TotalAnnualMethaneProductionFromManureManagement(AC225,AD195,AC241)</f>
        <v>7.054541231053835E-3</v>
      </c>
      <c r="AE269" s="52" cm="1">
        <f t="array" ref="AE269">MMS_PastureBeef_Methane_Equations.VEERG_4_2_1_1__1_TotalAnnualMethaneProductionFromManureManagement(AD225,AE195,AD241)</f>
        <v>4.0028428256838784E-3</v>
      </c>
      <c r="AF269" s="52" cm="1">
        <f t="array" ref="AF269">MMS_PastureBeef_Methane_Equations.VEERG_4_2_1_1__1_TotalAnnualMethaneProductionFromManureManagement(AE225,AF195,AE241)</f>
        <v>6.0942594185594634E-3</v>
      </c>
      <c r="AG269" s="52" cm="1">
        <f t="array" ref="AG269">MMS_PastureBeef_Methane_Equations.VEERG_4_2_1_1__1_TotalAnnualMethaneProductionFromManureManagement(AF225,AG195,AF241)</f>
        <v>6.0942594185594634E-3</v>
      </c>
      <c r="AH269" s="52" cm="1">
        <f t="array" ref="AH269">MMS_PastureBeef_Methane_Equations.VEERG_4_2_1_1__1_TotalAnnualMethaneProductionFromManureManagement(AG225,AH195,AG241)</f>
        <v>6.0942594185594634E-3</v>
      </c>
      <c r="AI269" s="2" t="str">
        <f t="shared" si="11"/>
        <v>t CH4</v>
      </c>
      <c r="AJ269" s="2"/>
    </row>
    <row r="270" spans="23:36" ht="20.100000000000001" customHeight="1" x14ac:dyDescent="0.25">
      <c r="W270" s="52" t="str">
        <f>'Input - Pasture Beef'!$D$180</f>
        <v>Anaerobic lagoon</v>
      </c>
      <c r="X270" s="52" t="str">
        <f t="shared" si="13"/>
        <v>August 2024</v>
      </c>
      <c r="Y270" s="52" cm="1">
        <f t="array" ref="Y270">MMS_PastureBeef_Methane_Equations.VEERG_4_2_1_1__1_TotalAnnualMethaneProductionFromManureManagement(X226,Y196,X242)</f>
        <v>4.5534049754416888E-3</v>
      </c>
      <c r="Z270" s="52" cm="1">
        <f t="array" ref="Z270">MMS_PastureBeef_Methane_Equations.VEERG_4_2_1_1__1_TotalAnnualMethaneProductionFromManureManagement(Y226,Z196,Y242)</f>
        <v>8.8487189251435297E-3</v>
      </c>
      <c r="AA270" s="52" cm="1">
        <f t="array" ref="AA270">MMS_PastureBeef_Methane_Equations.VEERG_4_2_1_1__1_TotalAnnualMethaneProductionFromManureManagement(Z226,AA196,Z242)</f>
        <v>3.728228710052173E-3</v>
      </c>
      <c r="AB270" s="52" cm="1">
        <f t="array" ref="AB270">MMS_PastureBeef_Methane_Equations.VEERG_4_2_1_1__1_TotalAnnualMethaneProductionFromManureManagement(AA226,AB196,AA242)</f>
        <v>6.4417550602595556E-3</v>
      </c>
      <c r="AC270" s="52" cm="1">
        <f t="array" ref="AC270">MMS_PastureBeef_Methane_Equations.VEERG_4_2_1_1__1_TotalAnnualMethaneProductionFromManureManagement(AB226,AC196,AB242)</f>
        <v>8.641813008040948E-3</v>
      </c>
      <c r="AD270" s="52" cm="1">
        <f t="array" ref="AD270">MMS_PastureBeef_Methane_Equations.VEERG_4_2_1_1__1_TotalAnnualMethaneProductionFromManureManagement(AC226,AD196,AC242)</f>
        <v>8.641813008040948E-3</v>
      </c>
      <c r="AE270" s="52" cm="1">
        <f t="array" ref="AE270">MMS_PastureBeef_Methane_Equations.VEERG_4_2_1_1__1_TotalAnnualMethaneProductionFromManureManagement(AD226,AE196,AD242)</f>
        <v>4.0028428256838784E-3</v>
      </c>
      <c r="AF270" s="52" cm="1">
        <f t="array" ref="AF270">MMS_PastureBeef_Methane_Equations.VEERG_4_2_1_1__1_TotalAnnualMethaneProductionFromManureManagement(AE226,AF196,AE242)</f>
        <v>6.0942594185594634E-3</v>
      </c>
      <c r="AG270" s="52" cm="1">
        <f t="array" ref="AG270">MMS_PastureBeef_Methane_Equations.VEERG_4_2_1_1__1_TotalAnnualMethaneProductionFromManureManagement(AF226,AG196,AF242)</f>
        <v>6.0942594185594634E-3</v>
      </c>
      <c r="AH270" s="52" cm="1">
        <f t="array" ref="AH270">MMS_PastureBeef_Methane_Equations.VEERG_4_2_1_1__1_TotalAnnualMethaneProductionFromManureManagement(AG226,AH196,AG242)</f>
        <v>6.0942594185594634E-3</v>
      </c>
      <c r="AI270" s="2" t="str">
        <f t="shared" si="11"/>
        <v>t CH4</v>
      </c>
      <c r="AJ270" s="2"/>
    </row>
    <row r="271" spans="23:36" ht="20.100000000000001" customHeight="1" x14ac:dyDescent="0.25">
      <c r="W271" s="52" t="str">
        <f>'Input - Pasture Beef'!$D$180</f>
        <v>Anaerobic lagoon</v>
      </c>
      <c r="X271" s="52" t="str">
        <f t="shared" si="13"/>
        <v>September 2024</v>
      </c>
      <c r="Y271" s="52" cm="1">
        <f t="array" ref="Y271">MMS_PastureBeef_Methane_Equations.VEERG_4_2_1_1__1_TotalAnnualMethaneProductionFromManureManagement(X227,Y197,X243)</f>
        <v>7.4438500309478729E-3</v>
      </c>
      <c r="Z271" s="52" cm="1">
        <f t="array" ref="Z271">MMS_PastureBeef_Methane_Equations.VEERG_4_2_1_1__1_TotalAnnualMethaneProductionFromManureManagement(Y227,Z197,Y243)</f>
        <v>1.0513448608628762E-2</v>
      </c>
      <c r="AA271" s="52" cm="1">
        <f t="array" ref="AA271">MMS_PastureBeef_Methane_Equations.VEERG_4_2_1_1__1_TotalAnnualMethaneProductionFromManureManagement(Z227,AA197,Z243)</f>
        <v>5.6737004668738376E-3</v>
      </c>
      <c r="AB271" s="52" cm="1">
        <f t="array" ref="AB271">MMS_PastureBeef_Methane_Equations.VEERG_4_2_1_1__1_TotalAnnualMethaneProductionFromManureManagement(AA227,AB197,AA243)</f>
        <v>9.1210080023460469E-3</v>
      </c>
      <c r="AC271" s="52" cm="1">
        <f t="array" ref="AC271">MMS_PastureBeef_Methane_Equations.VEERG_4_2_1_1__1_TotalAnnualMethaneProductionFromManureManagement(AB227,AC197,AB243)</f>
        <v>1.0128492264334564E-2</v>
      </c>
      <c r="AD271" s="52" cm="1">
        <f t="array" ref="AD271">MMS_PastureBeef_Methane_Equations.VEERG_4_2_1_1__1_TotalAnnualMethaneProductionFromManureManagement(AC227,AD197,AC243)</f>
        <v>1.0128492264334564E-2</v>
      </c>
      <c r="AE271" s="52" cm="1">
        <f t="array" ref="AE271">MMS_PastureBeef_Methane_Equations.VEERG_4_2_1_1__1_TotalAnnualMethaneProductionFromManureManagement(AD227,AE197,AD243)</f>
        <v>6.541024431710331E-3</v>
      </c>
      <c r="AF271" s="52" cm="1">
        <f t="array" ref="AF271">MMS_PastureBeef_Methane_Equations.VEERG_4_2_1_1__1_TotalAnnualMethaneProductionFromManureManagement(AE227,AF197,AE243)</f>
        <v>8.3122285256925534E-3</v>
      </c>
      <c r="AG271" s="52" cm="1">
        <f t="array" ref="AG271">MMS_PastureBeef_Methane_Equations.VEERG_4_2_1_1__1_TotalAnnualMethaneProductionFromManureManagement(AF227,AG197,AF243)</f>
        <v>8.3122285256925534E-3</v>
      </c>
      <c r="AH271" s="52" cm="1">
        <f t="array" ref="AH271">MMS_PastureBeef_Methane_Equations.VEERG_4_2_1_1__1_TotalAnnualMethaneProductionFromManureManagement(AG227,AH197,AG243)</f>
        <v>8.3122285256925534E-3</v>
      </c>
      <c r="AI271" s="2" t="str">
        <f t="shared" si="11"/>
        <v>t CH4</v>
      </c>
      <c r="AJ271" s="2"/>
    </row>
    <row r="272" spans="23:36" x14ac:dyDescent="0.25">
      <c r="W272" s="52" t="str">
        <f>'Input - Pasture Beef'!$D$180</f>
        <v>Anaerobic lagoon</v>
      </c>
      <c r="X272" s="52" t="str">
        <f t="shared" si="13"/>
        <v>October 2024</v>
      </c>
      <c r="Y272" s="52" cm="1">
        <f t="array" ref="Y272">MMS_PastureBeef_Methane_Equations.VEERG_4_2_1_1__1_TotalAnnualMethaneProductionFromManureManagement(X228,Y198,X244)</f>
        <v>7.6919783653128021E-3</v>
      </c>
      <c r="Z272" s="52" cm="1">
        <f t="array" ref="Z272">MMS_PastureBeef_Methane_Equations.VEERG_4_2_1_1__1_TotalAnnualMethaneProductionFromManureManagement(Y228,Z198,Y244)</f>
        <v>1.0863896895583055E-2</v>
      </c>
      <c r="AA272" s="52" cm="1">
        <f t="array" ref="AA272">MMS_PastureBeef_Methane_Equations.VEERG_4_2_1_1__1_TotalAnnualMethaneProductionFromManureManagement(Z228,AA198,Z244)</f>
        <v>5.862823815769632E-3</v>
      </c>
      <c r="AB272" s="52" cm="1">
        <f t="array" ref="AB272">MMS_PastureBeef_Methane_Equations.VEERG_4_2_1_1__1_TotalAnnualMethaneProductionFromManureManagement(AA228,AB198,AA244)</f>
        <v>9.4250416024242497E-3</v>
      </c>
      <c r="AC272" s="52" cm="1">
        <f t="array" ref="AC272">MMS_PastureBeef_Methane_Equations.VEERG_4_2_1_1__1_TotalAnnualMethaneProductionFromManureManagement(AB228,AC198,AB244)</f>
        <v>1.0466108673145716E-2</v>
      </c>
      <c r="AD272" s="52" cm="1">
        <f t="array" ref="AD272">MMS_PastureBeef_Methane_Equations.VEERG_4_2_1_1__1_TotalAnnualMethaneProductionFromManureManagement(AC228,AD198,AC244)</f>
        <v>1.0466108673145716E-2</v>
      </c>
      <c r="AE272" s="52" cm="1">
        <f t="array" ref="AE272">MMS_PastureBeef_Methane_Equations.VEERG_4_2_1_1__1_TotalAnnualMethaneProductionFromManureManagement(AD228,AE198,AD244)</f>
        <v>6.7590585794340078E-3</v>
      </c>
      <c r="AF272" s="52" cm="1">
        <f t="array" ref="AF272">MMS_PastureBeef_Methane_Equations.VEERG_4_2_1_1__1_TotalAnnualMethaneProductionFromManureManagement(AE228,AF198,AE244)</f>
        <v>8.5893028098823054E-3</v>
      </c>
      <c r="AG272" s="52" cm="1">
        <f t="array" ref="AG272">MMS_PastureBeef_Methane_Equations.VEERG_4_2_1_1__1_TotalAnnualMethaneProductionFromManureManagement(AF228,AG198,AF244)</f>
        <v>8.5893028098823054E-3</v>
      </c>
      <c r="AH272" s="52" cm="1">
        <f t="array" ref="AH272">MMS_PastureBeef_Methane_Equations.VEERG_4_2_1_1__1_TotalAnnualMethaneProductionFromManureManagement(AG228,AH198,AG244)</f>
        <v>8.5893028098823054E-3</v>
      </c>
      <c r="AI272" s="2" t="str">
        <f t="shared" si="11"/>
        <v>t CH4</v>
      </c>
      <c r="AJ272" s="2"/>
    </row>
    <row r="273" spans="23:36" x14ac:dyDescent="0.25">
      <c r="W273" s="52" t="str">
        <f>'Input - Pasture Beef'!$D$180</f>
        <v>Anaerobic lagoon</v>
      </c>
      <c r="X273" s="52" t="str">
        <f t="shared" si="13"/>
        <v>November 2024</v>
      </c>
      <c r="Y273" s="52" cm="1">
        <f t="array" ref="Y273">MMS_PastureBeef_Methane_Equations.VEERG_4_2_1_1__1_TotalAnnualMethaneProductionFromManureManagement(X229,Y199,X245)</f>
        <v>7.4438500309478729E-3</v>
      </c>
      <c r="Z273" s="52" cm="1">
        <f t="array" ref="Z273">MMS_PastureBeef_Methane_Equations.VEERG_4_2_1_1__1_TotalAnnualMethaneProductionFromManureManagement(Y229,Z199,Y245)</f>
        <v>1.0513448608628762E-2</v>
      </c>
      <c r="AA273" s="52" cm="1">
        <f t="array" ref="AA273">MMS_PastureBeef_Methane_Equations.VEERG_4_2_1_1__1_TotalAnnualMethaneProductionFromManureManagement(Z229,AA199,Z245)</f>
        <v>5.6737004668738376E-3</v>
      </c>
      <c r="AB273" s="52" cm="1">
        <f t="array" ref="AB273">MMS_PastureBeef_Methane_Equations.VEERG_4_2_1_1__1_TotalAnnualMethaneProductionFromManureManagement(AA229,AB199,AA245)</f>
        <v>8.0041498796098003E-3</v>
      </c>
      <c r="AC273" s="52" cm="1">
        <f t="array" ref="AC273">MMS_PastureBeef_Methane_Equations.VEERG_4_2_1_1__1_TotalAnnualMethaneProductionFromManureManagement(AB229,AC199,AB245)</f>
        <v>8.8882687217629822E-3</v>
      </c>
      <c r="AD273" s="52" cm="1">
        <f t="array" ref="AD273">MMS_PastureBeef_Methane_Equations.VEERG_4_2_1_1__1_TotalAnnualMethaneProductionFromManureManagement(AC229,AD199,AC245)</f>
        <v>8.8882687217629822E-3</v>
      </c>
      <c r="AE273" s="52" cm="1">
        <f t="array" ref="AE273">MMS_PastureBeef_Methane_Equations.VEERG_4_2_1_1__1_TotalAnnualMethaneProductionFromManureManagement(AD229,AE199,AD245)</f>
        <v>6.541024431710331E-3</v>
      </c>
      <c r="AF273" s="52" cm="1">
        <f t="array" ref="AF273">MMS_PastureBeef_Methane_Equations.VEERG_4_2_1_1__1_TotalAnnualMethaneProductionFromManureManagement(AE229,AF199,AE245)</f>
        <v>8.3122285256925534E-3</v>
      </c>
      <c r="AG273" s="52" cm="1">
        <f t="array" ref="AG273">MMS_PastureBeef_Methane_Equations.VEERG_4_2_1_1__1_TotalAnnualMethaneProductionFromManureManagement(AF229,AG199,AF245)</f>
        <v>8.3122285256925534E-3</v>
      </c>
      <c r="AH273" s="52" cm="1">
        <f t="array" ref="AH273">MMS_PastureBeef_Methane_Equations.VEERG_4_2_1_1__1_TotalAnnualMethaneProductionFromManureManagement(AG229,AH199,AG245)</f>
        <v>8.3122285256925534E-3</v>
      </c>
      <c r="AI273" s="2" t="str">
        <f t="shared" si="11"/>
        <v>t CH4</v>
      </c>
      <c r="AJ273" s="2"/>
    </row>
    <row r="274" spans="23:36" x14ac:dyDescent="0.25">
      <c r="W274" s="52" t="str">
        <f>'Input - Pasture Beef'!$D$180</f>
        <v>Anaerobic lagoon</v>
      </c>
      <c r="X274" s="52" t="str">
        <f t="shared" si="13"/>
        <v>December 2024</v>
      </c>
      <c r="Y274" s="52" cm="1">
        <f t="array" ref="Y274">MMS_PastureBeef_Methane_Equations.VEERG_4_2_1_1__1_TotalAnnualMethaneProductionFromManureManagement(X230,Y200,X246)</f>
        <v>7.1702260923240061E-3</v>
      </c>
      <c r="Z274" s="52" cm="1">
        <f t="array" ref="Z274">MMS_PastureBeef_Methane_Equations.VEERG_4_2_1_1__1_TotalAnnualMethaneProductionFromManureManagement(Y230,Z200,Y246)</f>
        <v>9.4869180031117821E-3</v>
      </c>
      <c r="AA274" s="52" cm="1">
        <f t="array" ref="AA274">MMS_PastureBeef_Methane_Equations.VEERG_4_2_1_1__1_TotalAnnualMethaneProductionFromManureManagement(Z230,AA200,Z246)</f>
        <v>6.0299982228864514E-3</v>
      </c>
      <c r="AB274" s="52" cm="1">
        <f t="array" ref="AB274">MMS_PastureBeef_Methane_Equations.VEERG_4_2_1_1__1_TotalAnnualMethaneProductionFromManureManagement(AA230,AB200,AA246)</f>
        <v>8.4885104740445305E-3</v>
      </c>
      <c r="AC274" s="52" cm="1">
        <f t="array" ref="AC274">MMS_PastureBeef_Methane_Equations.VEERG_4_2_1_1__1_TotalAnnualMethaneProductionFromManureManagement(AB230,AC200,AB246)</f>
        <v>8.4046640101404727E-3</v>
      </c>
      <c r="AD274" s="52" cm="1">
        <f t="array" ref="AD274">MMS_PastureBeef_Methane_Equations.VEERG_4_2_1_1__1_TotalAnnualMethaneProductionFromManureManagement(AC230,AD200,AC246)</f>
        <v>8.4046640101404727E-3</v>
      </c>
      <c r="AE274" s="52" cm="1">
        <f t="array" ref="AE274">MMS_PastureBeef_Methane_Equations.VEERG_4_2_1_1__1_TotalAnnualMethaneProductionFromManureManagement(AD230,AE200,AD246)</f>
        <v>6.6091844950185562E-3</v>
      </c>
      <c r="AF274" s="52" cm="1">
        <f t="array" ref="AF274">MMS_PastureBeef_Methane_Equations.VEERG_4_2_1_1__1_TotalAnnualMethaneProductionFromManureManagement(AE230,AF200,AE246)</f>
        <v>7.3670843270892388E-3</v>
      </c>
      <c r="AG274" s="52" cm="1">
        <f t="array" ref="AG274">MMS_PastureBeef_Methane_Equations.VEERG_4_2_1_1__1_TotalAnnualMethaneProductionFromManureManagement(AF230,AG200,AF246)</f>
        <v>7.3670843270892388E-3</v>
      </c>
      <c r="AH274" s="52" cm="1">
        <f t="array" ref="AH274">MMS_PastureBeef_Methane_Equations.VEERG_4_2_1_1__1_TotalAnnualMethaneProductionFromManureManagement(AG230,AH200,AG246)</f>
        <v>7.3670843270892388E-3</v>
      </c>
      <c r="AI274" s="2" t="str">
        <f t="shared" si="11"/>
        <v>t CH4</v>
      </c>
      <c r="AJ274" s="2"/>
    </row>
    <row r="276" spans="23:36" ht="23.25" x14ac:dyDescent="0.25">
      <c r="W276" s="101" t="s">
        <v>302</v>
      </c>
      <c r="X276" s="102">
        <f>SUM(Y251:AH274)</f>
        <v>2.1745073472420153</v>
      </c>
      <c r="Y276" s="103">
        <f>X242</f>
        <v>31</v>
      </c>
    </row>
    <row r="278" spans="23:36" x14ac:dyDescent="0.25">
      <c r="W278" s="57" t="str" cm="1">
        <f t="array" ref="W278:X279">Common_Equations.Common_ConvertCH4ToCO2e_Arguments()</f>
        <v>ECH4</v>
      </c>
      <c r="X278" s="58" t="str">
        <v>Methane emissions (t CH4)</v>
      </c>
      <c r="Y278" s="104"/>
      <c r="Z278" s="52">
        <f>X276</f>
        <v>2.1745073472420153</v>
      </c>
    </row>
    <row r="279" spans="23:36" x14ac:dyDescent="0.25">
      <c r="W279" s="57" t="str">
        <v>GWPCH4</v>
      </c>
      <c r="X279" s="58" t="str">
        <v>Global warming potential for methane (t CO2-e / t CH4)</v>
      </c>
      <c r="Y279" s="104"/>
      <c r="Z279" s="52">
        <f>Common_InputFunctions.Utility_LookupValueInTableNumber("CH4",Table_GWPData[Gas],Table_GWPData[CO2-e factor])</f>
        <v>28</v>
      </c>
    </row>
    <row r="281" spans="23:36" ht="18.75" x14ac:dyDescent="0.25">
      <c r="W281" s="45" t="s">
        <v>104</v>
      </c>
      <c r="X281" s="45" cm="1">
        <f t="array" ref="X281">Common_Equations.Common_ConvertN2OToCO2e(Z278,Z279)</f>
        <v>60.886205722776431</v>
      </c>
      <c r="Y281" s="105" t="str" cm="1">
        <f t="array" ref="Y281">Common_Equations.Common_ConvertN2OToCO2e_Unit()</f>
        <v>t CO2e</v>
      </c>
    </row>
  </sheetData>
  <dataValidations disablePrompts="1" count="1">
    <dataValidation operator="equal" allowBlank="1" showInputMessage="1" showErrorMessage="1" sqref="Y167:AC167 E255 D154:G154 G166:J166 E121:J121 F122:J126 X206 E203 E258 X203 E141:J141 Y143:AC144 E206 F135:F136 F142:J144 F167:J167 F172:J173 X166:AC166 Y172:AC173"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A142" zoomScaleNormal="100" workbookViewId="0">
      <selection activeCell="I160" sqref="I160:K164"/>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8" t="e" vm="1">
        <v>#VALUE!</v>
      </c>
      <c r="C1" s="8" t="s">
        <v>285</v>
      </c>
    </row>
    <row r="2" spans="1:35" s="9" customFormat="1" ht="20.100000000000001" customHeight="1" x14ac:dyDescent="0.25"/>
    <row r="3" spans="1:35" ht="20.100000000000001" customHeight="1" x14ac:dyDescent="0.25">
      <c r="A3" s="17" t="str">
        <f>HYPERLINK("#'Home'!A1", "Home")</f>
        <v>Home</v>
      </c>
      <c r="C3" s="4"/>
      <c r="D3" s="4" t="s">
        <v>108</v>
      </c>
      <c r="E3" s="4"/>
      <c r="F3" s="4"/>
      <c r="G3" s="4"/>
      <c r="H3" s="4"/>
      <c r="I3" s="4"/>
      <c r="J3" s="4"/>
      <c r="K3" s="4"/>
      <c r="L3" s="4"/>
      <c r="M3" s="4"/>
      <c r="N3" s="4"/>
      <c r="O3" s="4"/>
      <c r="P3" s="4"/>
      <c r="Q3" s="4"/>
      <c r="R3" s="4"/>
      <c r="T3" s="4"/>
      <c r="U3" s="4" t="s">
        <v>109</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27</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77</v>
      </c>
      <c r="D10" s="53" t="s">
        <v>30</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20</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08" t="str" cm="1">
        <f t="array" ref="D13:E15">MMS_PastureBeef_Soil_N2ODirect_Equations.VEERG_4_2_1_3__7_RelativeSize_Arguments()</f>
        <v>W_jkl</v>
      </c>
      <c r="E13" s="108" t="str">
        <v>liveweight (kg)</v>
      </c>
      <c r="F13" s="108" t="str">
        <f>"See " &amp; D17</f>
        <v>See M1_Table_W_j_k_l</v>
      </c>
    </row>
    <row r="14" spans="1:35" ht="20.100000000000001" customHeight="1" x14ac:dyDescent="0.25">
      <c r="A14" s="17" t="str">
        <f>HYPERLINK("#'4.2.1.7-8 Soil leach runoff'!A1", "4.2.1.7-8 Soil leach &amp; runoff")</f>
        <v>4.2.1.7-8 Soil leach &amp; runoff</v>
      </c>
      <c r="D14" s="108" t="str">
        <v>SRW_k</v>
      </c>
      <c r="E14" s="108" t="str">
        <v>standard reference weight (kg)</v>
      </c>
      <c r="F14" s="108" t="str">
        <f>"See " &amp; D25</f>
        <v>See Table_SRW_k</v>
      </c>
    </row>
    <row r="15" spans="1:35" ht="20.100000000000001" customHeight="1" x14ac:dyDescent="0.25">
      <c r="A15" s="17"/>
      <c r="D15" s="57" t="str">
        <v>i</v>
      </c>
      <c r="E15" s="57" t="str">
        <v>state</v>
      </c>
      <c r="F15" s="57" t="str">
        <f>'Input - Pasture Beef'!$E$7</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9" t="s">
        <v>286</v>
      </c>
      <c r="U17" s="99" t="s">
        <v>254</v>
      </c>
    </row>
    <row r="18" spans="1:34" ht="20.100000000000001" customHeight="1" x14ac:dyDescent="0.25">
      <c r="A18" s="17" t="str">
        <f>HYPERLINK("#'Constants - Livestock'!A1", "Constants - Livestock")</f>
        <v>Constants - Livestock</v>
      </c>
      <c r="D18" s="98" t="s">
        <v>244</v>
      </c>
      <c r="U18" s="98" t="s">
        <v>255</v>
      </c>
    </row>
    <row r="19" spans="1:34" ht="20.100000000000001" customHeight="1" x14ac:dyDescent="0.25">
      <c r="A19" s="17" t="str">
        <f>HYPERLINK("#'Constants - Common'!A1", "Constants - Common")</f>
        <v>Constants - Common</v>
      </c>
      <c r="D19" s="51" t="s">
        <v>184</v>
      </c>
      <c r="E19" s="51" t="s">
        <v>131</v>
      </c>
      <c r="F19" s="51" t="s">
        <v>130</v>
      </c>
      <c r="G19" s="51" t="s">
        <v>165</v>
      </c>
      <c r="H19" s="51" t="s">
        <v>166</v>
      </c>
      <c r="I19" s="51" t="s">
        <v>167</v>
      </c>
      <c r="J19" s="51" t="s">
        <v>168</v>
      </c>
      <c r="K19" s="51" t="s">
        <v>169</v>
      </c>
      <c r="L19" s="51" t="s">
        <v>170</v>
      </c>
      <c r="M19" s="51" t="s">
        <v>171</v>
      </c>
      <c r="N19" s="51" t="s">
        <v>172</v>
      </c>
      <c r="U19" s="51" t="s">
        <v>132</v>
      </c>
      <c r="V19" s="51" t="s">
        <v>131</v>
      </c>
      <c r="W19" s="51" t="s">
        <v>130</v>
      </c>
      <c r="X19" s="51" t="s">
        <v>165</v>
      </c>
      <c r="Y19" s="51" t="s">
        <v>166</v>
      </c>
      <c r="Z19" s="51" t="s">
        <v>167</v>
      </c>
      <c r="AA19" s="51" t="s">
        <v>168</v>
      </c>
      <c r="AB19" s="51" t="s">
        <v>169</v>
      </c>
      <c r="AC19" s="51" t="s">
        <v>170</v>
      </c>
      <c r="AD19" s="51" t="s">
        <v>171</v>
      </c>
      <c r="AE19" s="51" t="s">
        <v>172</v>
      </c>
      <c r="AF19" s="2"/>
      <c r="AG19" s="2"/>
      <c r="AH19" s="2"/>
    </row>
    <row r="20" spans="1:34" ht="20.100000000000001" customHeight="1" x14ac:dyDescent="0.25">
      <c r="A20" s="17" t="str">
        <f>HYPERLINK("#'Acknowledgements'!A1", "Acknowledgements")</f>
        <v>Acknowledgements</v>
      </c>
      <c r="D20" s="52" t="str">
        <f>'Input - Pasture Beef'!D60</f>
        <v>Spring</v>
      </c>
      <c r="E20" s="52">
        <f>'Input - Pasture Beef'!E60</f>
        <v>340</v>
      </c>
      <c r="F20" s="52">
        <f>'Input - Pasture Beef'!F60</f>
        <v>800</v>
      </c>
      <c r="G20" s="52">
        <f>'Input - Pasture Beef'!G60</f>
        <v>260</v>
      </c>
      <c r="H20" s="52">
        <f>'Input - Pasture Beef'!H60</f>
        <v>420</v>
      </c>
      <c r="I20" s="52">
        <f>'Input - Pasture Beef'!I60</f>
        <v>550</v>
      </c>
      <c r="J20" s="52">
        <f>'Input - Pasture Beef'!J60</f>
        <v>550</v>
      </c>
      <c r="K20" s="52">
        <f>'Input - Pasture Beef'!K60</f>
        <v>300</v>
      </c>
      <c r="L20" s="52">
        <f>'Input - Pasture Beef'!L60</f>
        <v>480</v>
      </c>
      <c r="M20" s="52">
        <f>'Input - Pasture Beef'!M60</f>
        <v>480</v>
      </c>
      <c r="N20" s="52">
        <f>'Input - Pasture Beef'!N60</f>
        <v>480</v>
      </c>
      <c r="O20" s="2" t="s">
        <v>133</v>
      </c>
      <c r="U20" s="52" t="str">
        <f>TEXT('Input - Site'!$E$12, "mmmm yyyy")</f>
        <v>January 2024</v>
      </c>
      <c r="V20" s="52">
        <f>'Input - Pasture Beef'!E66</f>
        <v>380</v>
      </c>
      <c r="W20" s="52">
        <f>'Input - Pasture Beef'!F66</f>
        <v>780</v>
      </c>
      <c r="X20" s="52">
        <f>'Input - Pasture Beef'!G66</f>
        <v>300</v>
      </c>
      <c r="Y20" s="52">
        <f>'Input - Pasture Beef'!H66</f>
        <v>450</v>
      </c>
      <c r="Z20" s="52">
        <f>'Input - Pasture Beef'!I66</f>
        <v>530</v>
      </c>
      <c r="AA20" s="52">
        <f>'Input - Pasture Beef'!J66</f>
        <v>530</v>
      </c>
      <c r="AB20" s="52">
        <f>'Input - Pasture Beef'!K66</f>
        <v>340</v>
      </c>
      <c r="AC20" s="52">
        <f>'Input - Pasture Beef'!L66</f>
        <v>470</v>
      </c>
      <c r="AD20" s="52">
        <f>'Input - Pasture Beef'!M66</f>
        <v>470</v>
      </c>
      <c r="AE20" s="52">
        <f>'Input - Pasture Beef'!N66</f>
        <v>470</v>
      </c>
      <c r="AF20" s="2" t="s">
        <v>133</v>
      </c>
      <c r="AG20" s="2"/>
      <c r="AH20" s="2"/>
    </row>
    <row r="21" spans="1:34" ht="20.100000000000001" customHeight="1" x14ac:dyDescent="0.25">
      <c r="D21" s="52" t="str">
        <f>'Input - Pasture Beef'!D61</f>
        <v>Summer</v>
      </c>
      <c r="E21" s="52">
        <f>'Input - Pasture Beef'!E61</f>
        <v>380</v>
      </c>
      <c r="F21" s="52">
        <f>'Input - Pasture Beef'!F61</f>
        <v>780</v>
      </c>
      <c r="G21" s="52">
        <f>'Input - Pasture Beef'!G61</f>
        <v>300</v>
      </c>
      <c r="H21" s="52">
        <f>'Input - Pasture Beef'!H61</f>
        <v>450</v>
      </c>
      <c r="I21" s="52">
        <f>'Input - Pasture Beef'!I61</f>
        <v>530</v>
      </c>
      <c r="J21" s="52">
        <f>'Input - Pasture Beef'!J61</f>
        <v>530</v>
      </c>
      <c r="K21" s="52">
        <f>'Input - Pasture Beef'!K61</f>
        <v>340</v>
      </c>
      <c r="L21" s="52">
        <f>'Input - Pasture Beef'!L61</f>
        <v>470</v>
      </c>
      <c r="M21" s="52">
        <f>'Input - Pasture Beef'!M61</f>
        <v>470</v>
      </c>
      <c r="N21" s="52">
        <f>'Input - Pasture Beef'!N61</f>
        <v>470</v>
      </c>
      <c r="O21" s="2" t="s">
        <v>133</v>
      </c>
      <c r="U21" s="52" t="str">
        <f>TEXT(EDATE('Input - Site'!$E$12,1), "mmmm yyyy")</f>
        <v>February 2024</v>
      </c>
      <c r="V21" s="52">
        <f>'Input - Pasture Beef'!E67</f>
        <v>380</v>
      </c>
      <c r="W21" s="52">
        <f>'Input - Pasture Beef'!F67</f>
        <v>780</v>
      </c>
      <c r="X21" s="52">
        <f>'Input - Pasture Beef'!G67</f>
        <v>300</v>
      </c>
      <c r="Y21" s="52">
        <f>'Input - Pasture Beef'!H67</f>
        <v>450</v>
      </c>
      <c r="Z21" s="52">
        <f>'Input - Pasture Beef'!I67</f>
        <v>530</v>
      </c>
      <c r="AA21" s="52">
        <f>'Input - Pasture Beef'!J67</f>
        <v>530</v>
      </c>
      <c r="AB21" s="52">
        <f>'Input - Pasture Beef'!K67</f>
        <v>340</v>
      </c>
      <c r="AC21" s="52">
        <f>'Input - Pasture Beef'!L67</f>
        <v>470</v>
      </c>
      <c r="AD21" s="52">
        <f>'Input - Pasture Beef'!M67</f>
        <v>470</v>
      </c>
      <c r="AE21" s="52">
        <f>'Input - Pasture Beef'!N67</f>
        <v>470</v>
      </c>
      <c r="AF21" s="2" t="s">
        <v>133</v>
      </c>
      <c r="AG21" s="2"/>
      <c r="AH21" s="2"/>
    </row>
    <row r="22" spans="1:34" ht="20.100000000000001" customHeight="1" x14ac:dyDescent="0.25">
      <c r="A22" s="17"/>
      <c r="D22" s="52" t="str">
        <f>'Input - Pasture Beef'!D62</f>
        <v>Autumn</v>
      </c>
      <c r="E22" s="52">
        <f>'Input - Pasture Beef'!E62</f>
        <v>100</v>
      </c>
      <c r="F22" s="52">
        <f>'Input - Pasture Beef'!F62</f>
        <v>680</v>
      </c>
      <c r="G22" s="52">
        <f>'Input - Pasture Beef'!G62</f>
        <v>80</v>
      </c>
      <c r="H22" s="52">
        <f>'Input - Pasture Beef'!H62</f>
        <v>320</v>
      </c>
      <c r="I22" s="52">
        <f>'Input - Pasture Beef'!I62</f>
        <v>480</v>
      </c>
      <c r="J22" s="52">
        <f>'Input - Pasture Beef'!J62</f>
        <v>480</v>
      </c>
      <c r="K22" s="52">
        <f>'Input - Pasture Beef'!K62</f>
        <v>100</v>
      </c>
      <c r="L22" s="52">
        <f>'Input - Pasture Beef'!L62</f>
        <v>340</v>
      </c>
      <c r="M22" s="52">
        <f>'Input - Pasture Beef'!M62</f>
        <v>340</v>
      </c>
      <c r="N22" s="52">
        <f>'Input - Pasture Beef'!N62</f>
        <v>340</v>
      </c>
      <c r="O22" s="2" t="s">
        <v>133</v>
      </c>
      <c r="U22" s="52" t="str">
        <f>TEXT(EDATE('Input - Site'!$E$12,2), "mmmm yyyy")</f>
        <v>March 2024</v>
      </c>
      <c r="V22" s="52">
        <f>'Input - Pasture Beef'!E68</f>
        <v>100</v>
      </c>
      <c r="W22" s="52">
        <f>'Input - Pasture Beef'!F68</f>
        <v>680</v>
      </c>
      <c r="X22" s="52">
        <f>'Input - Pasture Beef'!G68</f>
        <v>80</v>
      </c>
      <c r="Y22" s="52">
        <f>'Input - Pasture Beef'!H68</f>
        <v>320</v>
      </c>
      <c r="Z22" s="52">
        <f>'Input - Pasture Beef'!I68</f>
        <v>480</v>
      </c>
      <c r="AA22" s="52">
        <f>'Input - Pasture Beef'!J68</f>
        <v>480</v>
      </c>
      <c r="AB22" s="52">
        <f>'Input - Pasture Beef'!K68</f>
        <v>100</v>
      </c>
      <c r="AC22" s="52">
        <f>'Input - Pasture Beef'!L68</f>
        <v>340</v>
      </c>
      <c r="AD22" s="52">
        <f>'Input - Pasture Beef'!M68</f>
        <v>340</v>
      </c>
      <c r="AE22" s="52">
        <f>'Input - Pasture Beef'!N68</f>
        <v>340</v>
      </c>
      <c r="AF22" s="2" t="s">
        <v>133</v>
      </c>
      <c r="AG22" s="2"/>
      <c r="AH22" s="2"/>
    </row>
    <row r="23" spans="1:34" ht="20.100000000000001" customHeight="1" x14ac:dyDescent="0.25">
      <c r="A23" s="17"/>
      <c r="D23" s="52" t="str">
        <f>'Input - Pasture Beef'!D63</f>
        <v>Winter</v>
      </c>
      <c r="E23" s="52">
        <f>'Input - Pasture Beef'!E63</f>
        <v>190</v>
      </c>
      <c r="F23" s="52">
        <f>'Input - Pasture Beef'!F63</f>
        <v>700</v>
      </c>
      <c r="G23" s="52">
        <f>'Input - Pasture Beef'!G63</f>
        <v>150</v>
      </c>
      <c r="H23" s="52">
        <f>'Input - Pasture Beef'!H63</f>
        <v>330</v>
      </c>
      <c r="I23" s="52">
        <f>'Input - Pasture Beef'!I63</f>
        <v>490</v>
      </c>
      <c r="J23" s="52">
        <f>'Input - Pasture Beef'!J63</f>
        <v>490</v>
      </c>
      <c r="K23" s="52">
        <f>'Input - Pasture Beef'!K63</f>
        <v>170</v>
      </c>
      <c r="L23" s="52">
        <f>'Input - Pasture Beef'!L63</f>
        <v>360</v>
      </c>
      <c r="M23" s="52">
        <f>'Input - Pasture Beef'!M63</f>
        <v>360</v>
      </c>
      <c r="N23" s="52">
        <f>'Input - Pasture Beef'!N63</f>
        <v>360</v>
      </c>
      <c r="O23" s="2" t="s">
        <v>133</v>
      </c>
      <c r="U23" s="52" t="str">
        <f>TEXT(EDATE('Input - Site'!$E$12,3), "mmmm yyyy")</f>
        <v>April 2024</v>
      </c>
      <c r="V23" s="52">
        <f>'Input - Pasture Beef'!E69</f>
        <v>100</v>
      </c>
      <c r="W23" s="52">
        <f>'Input - Pasture Beef'!F69</f>
        <v>680</v>
      </c>
      <c r="X23" s="52">
        <f>'Input - Pasture Beef'!G69</f>
        <v>80</v>
      </c>
      <c r="Y23" s="52">
        <f>'Input - Pasture Beef'!H69</f>
        <v>320</v>
      </c>
      <c r="Z23" s="52">
        <f>'Input - Pasture Beef'!I69</f>
        <v>480</v>
      </c>
      <c r="AA23" s="52">
        <f>'Input - Pasture Beef'!J69</f>
        <v>480</v>
      </c>
      <c r="AB23" s="52">
        <f>'Input - Pasture Beef'!K69</f>
        <v>100</v>
      </c>
      <c r="AC23" s="52">
        <f>'Input - Pasture Beef'!L69</f>
        <v>340</v>
      </c>
      <c r="AD23" s="52">
        <f>'Input - Pasture Beef'!M69</f>
        <v>340</v>
      </c>
      <c r="AE23" s="52">
        <f>'Input - Pasture Beef'!N69</f>
        <v>340</v>
      </c>
      <c r="AF23" s="2" t="s">
        <v>133</v>
      </c>
      <c r="AG23" s="2"/>
      <c r="AH23" s="2"/>
    </row>
    <row r="24" spans="1:34" ht="20.100000000000001" customHeight="1" x14ac:dyDescent="0.25">
      <c r="A24" s="17"/>
      <c r="U24" s="52" t="str">
        <f>TEXT(EDATE('Input - Site'!$E$12,4), "mmmm yyyy")</f>
        <v>May 2024</v>
      </c>
      <c r="V24" s="52">
        <f>'Input - Pasture Beef'!E70</f>
        <v>100</v>
      </c>
      <c r="W24" s="52">
        <f>'Input - Pasture Beef'!F70</f>
        <v>680</v>
      </c>
      <c r="X24" s="52">
        <f>'Input - Pasture Beef'!G70</f>
        <v>80</v>
      </c>
      <c r="Y24" s="52">
        <f>'Input - Pasture Beef'!H70</f>
        <v>320</v>
      </c>
      <c r="Z24" s="52">
        <f>'Input - Pasture Beef'!I70</f>
        <v>480</v>
      </c>
      <c r="AA24" s="52">
        <f>'Input - Pasture Beef'!J70</f>
        <v>480</v>
      </c>
      <c r="AB24" s="52">
        <f>'Input - Pasture Beef'!K70</f>
        <v>100</v>
      </c>
      <c r="AC24" s="52">
        <f>'Input - Pasture Beef'!L70</f>
        <v>340</v>
      </c>
      <c r="AD24" s="52">
        <f>'Input - Pasture Beef'!M70</f>
        <v>340</v>
      </c>
      <c r="AE24" s="52">
        <f>'Input - Pasture Beef'!N70</f>
        <v>340</v>
      </c>
      <c r="AF24" s="2" t="s">
        <v>133</v>
      </c>
      <c r="AG24" s="2"/>
      <c r="AH24" s="2"/>
    </row>
    <row r="25" spans="1:34" ht="20.100000000000001" customHeight="1" x14ac:dyDescent="0.25">
      <c r="D25" s="99" t="s">
        <v>288</v>
      </c>
      <c r="U25" s="52" t="str">
        <f>TEXT(EDATE('Input - Site'!$E$12,5), "mmmm yyyy")</f>
        <v>June 2024</v>
      </c>
      <c r="V25" s="52">
        <f>'Input - Pasture Beef'!E71</f>
        <v>190</v>
      </c>
      <c r="W25" s="52">
        <f>'Input - Pasture Beef'!F71</f>
        <v>700</v>
      </c>
      <c r="X25" s="52">
        <f>'Input - Pasture Beef'!G71</f>
        <v>150</v>
      </c>
      <c r="Y25" s="52">
        <f>'Input - Pasture Beef'!H71</f>
        <v>330</v>
      </c>
      <c r="Z25" s="52">
        <f>'Input - Pasture Beef'!I71</f>
        <v>490</v>
      </c>
      <c r="AA25" s="52">
        <f>'Input - Pasture Beef'!J71</f>
        <v>490</v>
      </c>
      <c r="AB25" s="52">
        <f>'Input - Pasture Beef'!K71</f>
        <v>170</v>
      </c>
      <c r="AC25" s="52">
        <f>'Input - Pasture Beef'!L71</f>
        <v>360</v>
      </c>
      <c r="AD25" s="52">
        <f>'Input - Pasture Beef'!M71</f>
        <v>360</v>
      </c>
      <c r="AE25" s="52">
        <f>'Input - Pasture Beef'!N71</f>
        <v>360</v>
      </c>
      <c r="AF25" s="2" t="s">
        <v>133</v>
      </c>
      <c r="AG25" s="2"/>
      <c r="AH25" s="2"/>
    </row>
    <row r="26" spans="1:34" ht="20.100000000000001" customHeight="1" x14ac:dyDescent="0.25">
      <c r="D26" s="98" t="s">
        <v>287</v>
      </c>
      <c r="U26" s="52" t="str">
        <f>TEXT(EDATE('Input - Site'!$E$12,6), "mmmm yyyy")</f>
        <v>July 2024</v>
      </c>
      <c r="V26" s="52">
        <f>'Input - Pasture Beef'!E72</f>
        <v>190</v>
      </c>
      <c r="W26" s="52">
        <f>'Input - Pasture Beef'!F72</f>
        <v>700</v>
      </c>
      <c r="X26" s="52">
        <f>'Input - Pasture Beef'!G72</f>
        <v>150</v>
      </c>
      <c r="Y26" s="52">
        <f>'Input - Pasture Beef'!H72</f>
        <v>330</v>
      </c>
      <c r="Z26" s="52">
        <f>'Input - Pasture Beef'!I72</f>
        <v>490</v>
      </c>
      <c r="AA26" s="52">
        <f>'Input - Pasture Beef'!J72</f>
        <v>490</v>
      </c>
      <c r="AB26" s="52">
        <f>'Input - Pasture Beef'!K72</f>
        <v>170</v>
      </c>
      <c r="AC26" s="52">
        <f>'Input - Pasture Beef'!L72</f>
        <v>360</v>
      </c>
      <c r="AD26" s="52">
        <f>'Input - Pasture Beef'!M72</f>
        <v>360</v>
      </c>
      <c r="AE26" s="52">
        <f>'Input - Pasture Beef'!N72</f>
        <v>360</v>
      </c>
      <c r="AF26" s="2" t="s">
        <v>133</v>
      </c>
      <c r="AG26" s="2"/>
      <c r="AH26" s="2"/>
    </row>
    <row r="27" spans="1:34" ht="20.100000000000001" customHeight="1" x14ac:dyDescent="0.25">
      <c r="D27" s="51" t="s">
        <v>131</v>
      </c>
      <c r="E27" s="51" t="s">
        <v>130</v>
      </c>
      <c r="F27" s="51" t="s">
        <v>165</v>
      </c>
      <c r="G27" s="51" t="s">
        <v>166</v>
      </c>
      <c r="H27" s="51" t="s">
        <v>167</v>
      </c>
      <c r="I27" s="51" t="s">
        <v>168</v>
      </c>
      <c r="J27" s="51" t="s">
        <v>169</v>
      </c>
      <c r="K27" s="51" t="s">
        <v>170</v>
      </c>
      <c r="L27" s="51" t="s">
        <v>171</v>
      </c>
      <c r="M27" s="51" t="s">
        <v>172</v>
      </c>
      <c r="U27" s="52" t="str">
        <f>TEXT(EDATE('Input - Site'!$E$12,7), "mmmm yyyy")</f>
        <v>August 2024</v>
      </c>
      <c r="V27" s="52">
        <f>'Input - Pasture Beef'!E73</f>
        <v>190</v>
      </c>
      <c r="W27" s="52">
        <f>'Input - Pasture Beef'!F73</f>
        <v>700</v>
      </c>
      <c r="X27" s="52">
        <f>'Input - Pasture Beef'!G73</f>
        <v>150</v>
      </c>
      <c r="Y27" s="52">
        <f>'Input - Pasture Beef'!H73</f>
        <v>330</v>
      </c>
      <c r="Z27" s="52">
        <f>'Input - Pasture Beef'!I73</f>
        <v>490</v>
      </c>
      <c r="AA27" s="52">
        <f>'Input - Pasture Beef'!J73</f>
        <v>490</v>
      </c>
      <c r="AB27" s="52">
        <f>'Input - Pasture Beef'!K73</f>
        <v>170</v>
      </c>
      <c r="AC27" s="52">
        <f>'Input - Pasture Beef'!L73</f>
        <v>360</v>
      </c>
      <c r="AD27" s="52">
        <f>'Input - Pasture Beef'!M73</f>
        <v>360</v>
      </c>
      <c r="AE27" s="52">
        <f>'Input - Pasture Beef'!N73</f>
        <v>360</v>
      </c>
      <c r="AF27" s="2" t="s">
        <v>133</v>
      </c>
      <c r="AG27" s="2"/>
      <c r="AH27" s="2"/>
    </row>
    <row r="28" spans="1:34" ht="20.100000000000001" customHeight="1" x14ac:dyDescent="0.25">
      <c r="D28" s="52">
        <f>Common_InputFunctions.Utility_LookupValueInTableOneColumnAndHeader(Common_InputFunctions.Utility_ConvertStateCommonNameToAbbreviation($F$15,Table_AustralianStates[Common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Common_InputFunctions.Utility_LookupValueInTableOneColumnAndHeader(Common_InputFunctions.Utility_ConvertStateCommonNameToAbbreviation($F$15,Table_AustralianStates[Common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Common_InputFunctions.Utility_LookupValueInTableOneColumnAndHeader(Common_InputFunctions.Utility_ConvertStateCommonNameToAbbreviation($F$15,Table_AustralianStates[Common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Common_InputFunctions.Utility_LookupValueInTableOneColumnAndHeader(Common_InputFunctions.Utility_ConvertStateCommonNameToAbbreviation($F$15,Table_AustralianStates[Common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Common_InputFunctions.Utility_LookupValueInTableOneColumnAndHeader(Common_InputFunctions.Utility_ConvertStateCommonNameToAbbreviation($F$15,Table_AustralianStates[Common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Common_InputFunctions.Utility_LookupValueInTableOneColumnAndHeader(Common_InputFunctions.Utility_ConvertStateCommonNameToAbbreviation($F$15,Table_AustralianStates[Common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Common_InputFunctions.Utility_LookupValueInTableOneColumnAndHeader(Common_InputFunctions.Utility_ConvertStateCommonNameToAbbreviation($F$15,Table_AustralianStates[Common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Common_InputFunctions.Utility_LookupValueInTableOneColumnAndHeader(Common_InputFunctions.Utility_ConvertStateCommonNameToAbbreviation($F$15,Table_AustralianStates[Common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Common_InputFunctions.Utility_LookupValueInTableOneColumnAndHeader(Common_InputFunctions.Utility_ConvertStateCommonNameToAbbreviation($F$15,Table_AustralianStates[Common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Common_InputFunctions.Utility_LookupValueInTableOneColumnAndHeader(Common_InputFunctions.Utility_ConvertStateCommonNameToAbbreviation($F$15,Table_AustralianStates[Common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133</v>
      </c>
      <c r="U28" s="52" t="str">
        <f>TEXT(EDATE('Input - Site'!$E$12,8), "mmmm yyyy")</f>
        <v>September 2024</v>
      </c>
      <c r="V28" s="52">
        <f>'Input - Pasture Beef'!E74</f>
        <v>340</v>
      </c>
      <c r="W28" s="52">
        <f>'Input - Pasture Beef'!F74</f>
        <v>800</v>
      </c>
      <c r="X28" s="52">
        <f>'Input - Pasture Beef'!G74</f>
        <v>260</v>
      </c>
      <c r="Y28" s="52">
        <f>'Input - Pasture Beef'!H74</f>
        <v>420</v>
      </c>
      <c r="Z28" s="52">
        <f>'Input - Pasture Beef'!I74</f>
        <v>550</v>
      </c>
      <c r="AA28" s="52">
        <f>'Input - Pasture Beef'!J74</f>
        <v>550</v>
      </c>
      <c r="AB28" s="52">
        <f>'Input - Pasture Beef'!K74</f>
        <v>300</v>
      </c>
      <c r="AC28" s="52">
        <f>'Input - Pasture Beef'!L74</f>
        <v>480</v>
      </c>
      <c r="AD28" s="52">
        <f>'Input - Pasture Beef'!M74</f>
        <v>480</v>
      </c>
      <c r="AE28" s="52">
        <f>'Input - Pasture Beef'!N74</f>
        <v>480</v>
      </c>
      <c r="AF28" s="2" t="s">
        <v>133</v>
      </c>
      <c r="AG28" s="2"/>
      <c r="AH28" s="2"/>
    </row>
    <row r="29" spans="1:34" ht="20.100000000000001" customHeight="1" x14ac:dyDescent="0.25">
      <c r="U29" s="52" t="str">
        <f>TEXT(EDATE('Input - Site'!$E$12,9), "mmmm yyyy")</f>
        <v>October 2024</v>
      </c>
      <c r="V29" s="52">
        <f>'Input - Pasture Beef'!E75</f>
        <v>340</v>
      </c>
      <c r="W29" s="52">
        <f>'Input - Pasture Beef'!F75</f>
        <v>800</v>
      </c>
      <c r="X29" s="52">
        <f>'Input - Pasture Beef'!G75</f>
        <v>260</v>
      </c>
      <c r="Y29" s="52">
        <f>'Input - Pasture Beef'!H75</f>
        <v>420</v>
      </c>
      <c r="Z29" s="52">
        <f>'Input - Pasture Beef'!I75</f>
        <v>550</v>
      </c>
      <c r="AA29" s="52">
        <f>'Input - Pasture Beef'!J75</f>
        <v>550</v>
      </c>
      <c r="AB29" s="52">
        <f>'Input - Pasture Beef'!K75</f>
        <v>300</v>
      </c>
      <c r="AC29" s="52">
        <f>'Input - Pasture Beef'!L75</f>
        <v>480</v>
      </c>
      <c r="AD29" s="52">
        <f>'Input - Pasture Beef'!M75</f>
        <v>480</v>
      </c>
      <c r="AE29" s="52">
        <f>'Input - Pasture Beef'!N75</f>
        <v>480</v>
      </c>
      <c r="AF29" s="2" t="s">
        <v>133</v>
      </c>
      <c r="AG29" s="2"/>
      <c r="AH29" s="2"/>
    </row>
    <row r="30" spans="1:34" ht="20.100000000000001" customHeight="1" x14ac:dyDescent="0.25">
      <c r="D30" s="99" t="s">
        <v>289</v>
      </c>
      <c r="U30" s="52" t="str">
        <f>TEXT(EDATE('Input - Site'!$E$12,10), "mmmm yyyy")</f>
        <v>November 2024</v>
      </c>
      <c r="V30" s="52">
        <f>'Input - Pasture Beef'!E76</f>
        <v>340</v>
      </c>
      <c r="W30" s="52">
        <f>'Input - Pasture Beef'!F76</f>
        <v>800</v>
      </c>
      <c r="X30" s="52">
        <f>'Input - Pasture Beef'!G76</f>
        <v>260</v>
      </c>
      <c r="Y30" s="52">
        <f>'Input - Pasture Beef'!H76</f>
        <v>420</v>
      </c>
      <c r="Z30" s="52">
        <f>'Input - Pasture Beef'!I76</f>
        <v>550</v>
      </c>
      <c r="AA30" s="52">
        <f>'Input - Pasture Beef'!J76</f>
        <v>550</v>
      </c>
      <c r="AB30" s="52">
        <f>'Input - Pasture Beef'!K76</f>
        <v>300</v>
      </c>
      <c r="AC30" s="52">
        <f>'Input - Pasture Beef'!L76</f>
        <v>480</v>
      </c>
      <c r="AD30" s="52">
        <f>'Input - Pasture Beef'!M76</f>
        <v>480</v>
      </c>
      <c r="AE30" s="52">
        <f>'Input - Pasture Beef'!N76</f>
        <v>480</v>
      </c>
      <c r="AF30" s="2" t="s">
        <v>133</v>
      </c>
      <c r="AG30" s="2"/>
      <c r="AH30" s="2"/>
    </row>
    <row r="31" spans="1:34" ht="20.100000000000001" customHeight="1" x14ac:dyDescent="0.25">
      <c r="D31" s="98" t="s">
        <v>290</v>
      </c>
      <c r="U31" s="52" t="str">
        <f>TEXT(EDATE('Input - Site'!$E$12,11), "mmmm yyyy")</f>
        <v>December 2024</v>
      </c>
      <c r="V31" s="52">
        <f>'Input - Pasture Beef'!E77</f>
        <v>380</v>
      </c>
      <c r="W31" s="52">
        <f>'Input - Pasture Beef'!F77</f>
        <v>780</v>
      </c>
      <c r="X31" s="52">
        <f>'Input - Pasture Beef'!G77</f>
        <v>300</v>
      </c>
      <c r="Y31" s="52">
        <f>'Input - Pasture Beef'!H77</f>
        <v>450</v>
      </c>
      <c r="Z31" s="52">
        <f>'Input - Pasture Beef'!I77</f>
        <v>530</v>
      </c>
      <c r="AA31" s="52">
        <f>'Input - Pasture Beef'!J77</f>
        <v>530</v>
      </c>
      <c r="AB31" s="52">
        <f>'Input - Pasture Beef'!K77</f>
        <v>340</v>
      </c>
      <c r="AC31" s="52">
        <f>'Input - Pasture Beef'!L77</f>
        <v>470</v>
      </c>
      <c r="AD31" s="52">
        <f>'Input - Pasture Beef'!M77</f>
        <v>470</v>
      </c>
      <c r="AE31" s="52">
        <f>'Input - Pasture Beef'!N77</f>
        <v>470</v>
      </c>
      <c r="AF31" s="2" t="s">
        <v>133</v>
      </c>
      <c r="AG31" s="2"/>
      <c r="AH31" s="2"/>
    </row>
    <row r="32" spans="1:34" ht="20.100000000000001" customHeight="1" x14ac:dyDescent="0.25">
      <c r="D32" s="51" t="s">
        <v>184</v>
      </c>
      <c r="E32" s="51" t="s">
        <v>131</v>
      </c>
      <c r="F32" s="51" t="s">
        <v>130</v>
      </c>
      <c r="G32" s="51" t="s">
        <v>165</v>
      </c>
      <c r="H32" s="51" t="s">
        <v>166</v>
      </c>
      <c r="I32" s="51" t="s">
        <v>167</v>
      </c>
      <c r="J32" s="51" t="s">
        <v>168</v>
      </c>
      <c r="K32" s="51" t="s">
        <v>169</v>
      </c>
      <c r="L32" s="51" t="s">
        <v>170</v>
      </c>
      <c r="M32" s="51" t="s">
        <v>171</v>
      </c>
      <c r="N32" s="51" t="s">
        <v>172</v>
      </c>
    </row>
    <row r="33" spans="3:34" ht="20.100000000000001" customHeight="1" x14ac:dyDescent="0.25">
      <c r="D33" s="52" t="str">
        <f>'Input - Pasture Beef'!D60</f>
        <v>Spring</v>
      </c>
      <c r="E33" s="52" cm="1">
        <f t="array" ref="E33">MMS_PastureBeef_Soil_N2ODirect_Equations.VEERG_4_2_1_3__7_RelativeSize(E20,D$28)</f>
        <v>0.44155844155844154</v>
      </c>
      <c r="F33" s="52" cm="1">
        <f t="array" ref="F33">MMS_PastureBeef_Soil_N2ODirect_Equations.VEERG_4_2_1_3__7_RelativeSize(F20,E$28)</f>
        <v>1.0389610389610389</v>
      </c>
      <c r="G33" s="52" cm="1">
        <f t="array" ref="G33">MMS_PastureBeef_Soil_N2ODirect_Equations.VEERG_4_2_1_3__7_RelativeSize(G20,F$28)</f>
        <v>0.47272727272727272</v>
      </c>
      <c r="H33" s="52" cm="1">
        <f t="array" ref="H33">MMS_PastureBeef_Soil_N2ODirect_Equations.VEERG_4_2_1_3__7_RelativeSize(H20,G$28)</f>
        <v>0.76363636363636367</v>
      </c>
      <c r="I33" s="52" cm="1">
        <f t="array" ref="I33">MMS_PastureBeef_Soil_N2ODirect_Equations.VEERG_4_2_1_3__7_RelativeSize(I20,H$28)</f>
        <v>1</v>
      </c>
      <c r="J33" s="52" cm="1">
        <f t="array" ref="J33">MMS_PastureBeef_Soil_N2ODirect_Equations.VEERG_4_2_1_3__7_RelativeSize(J20,I$28)</f>
        <v>1</v>
      </c>
      <c r="K33" s="52" cm="1">
        <f t="array" ref="K33">MMS_PastureBeef_Soil_N2ODirect_Equations.VEERG_4_2_1_3__7_RelativeSize(K20,J$28)</f>
        <v>0.45454545454545453</v>
      </c>
      <c r="L33" s="52" cm="1">
        <f t="array" ref="L33">MMS_PastureBeef_Soil_N2ODirect_Equations.VEERG_4_2_1_3__7_RelativeSize(L20,K$28)</f>
        <v>0.72727272727272729</v>
      </c>
      <c r="M33" s="52" cm="1">
        <f t="array" ref="M33">MMS_PastureBeef_Soil_N2ODirect_Equations.VEERG_4_2_1_3__7_RelativeSize(M20,L$28)</f>
        <v>0.72727272727272729</v>
      </c>
      <c r="N33" s="52" cm="1">
        <f t="array" ref="N33">MMS_PastureBeef_Soil_N2ODirect_Equations.VEERG_4_2_1_3__7_RelativeSize(N20,M$28)</f>
        <v>0.72727272727272729</v>
      </c>
      <c r="O33" s="2" t="str">
        <f>$E$11</f>
        <v>ratio</v>
      </c>
      <c r="U33" s="99" t="s">
        <v>291</v>
      </c>
    </row>
    <row r="34" spans="3:34" ht="20.100000000000001" customHeight="1" x14ac:dyDescent="0.25">
      <c r="D34" s="52" t="str">
        <f>'Input - Pasture Beef'!D61</f>
        <v>Summer</v>
      </c>
      <c r="E34" s="52" cm="1">
        <f t="array" ref="E34">MMS_PastureBeef_Soil_N2ODirect_Equations.VEERG_4_2_1_3__7_RelativeSize(E21,D$28)</f>
        <v>0.4935064935064935</v>
      </c>
      <c r="F34" s="52" cm="1">
        <f t="array" ref="F34">MMS_PastureBeef_Soil_N2ODirect_Equations.VEERG_4_2_1_3__7_RelativeSize(F21,E$28)</f>
        <v>1.0129870129870129</v>
      </c>
      <c r="G34" s="52" cm="1">
        <f t="array" ref="G34">MMS_PastureBeef_Soil_N2ODirect_Equations.VEERG_4_2_1_3__7_RelativeSize(G21,F$28)</f>
        <v>0.54545454545454541</v>
      </c>
      <c r="H34" s="52" cm="1">
        <f t="array" ref="H34">MMS_PastureBeef_Soil_N2ODirect_Equations.VEERG_4_2_1_3__7_RelativeSize(H21,G$28)</f>
        <v>0.81818181818181823</v>
      </c>
      <c r="I34" s="52" cm="1">
        <f t="array" ref="I34">MMS_PastureBeef_Soil_N2ODirect_Equations.VEERG_4_2_1_3__7_RelativeSize(I21,H$28)</f>
        <v>0.96363636363636362</v>
      </c>
      <c r="J34" s="52" cm="1">
        <f t="array" ref="J34">MMS_PastureBeef_Soil_N2ODirect_Equations.VEERG_4_2_1_3__7_RelativeSize(J21,I$28)</f>
        <v>0.96363636363636362</v>
      </c>
      <c r="K34" s="52" cm="1">
        <f t="array" ref="K34">MMS_PastureBeef_Soil_N2ODirect_Equations.VEERG_4_2_1_3__7_RelativeSize(K21,J$28)</f>
        <v>0.51515151515151514</v>
      </c>
      <c r="L34" s="52" cm="1">
        <f t="array" ref="L34">MMS_PastureBeef_Soil_N2ODirect_Equations.VEERG_4_2_1_3__7_RelativeSize(L21,K$28)</f>
        <v>0.71212121212121215</v>
      </c>
      <c r="M34" s="52" cm="1">
        <f t="array" ref="M34">MMS_PastureBeef_Soil_N2ODirect_Equations.VEERG_4_2_1_3__7_RelativeSize(M21,L$28)</f>
        <v>0.71212121212121215</v>
      </c>
      <c r="N34" s="52" cm="1">
        <f t="array" ref="N34">MMS_PastureBeef_Soil_N2ODirect_Equations.VEERG_4_2_1_3__7_RelativeSize(N21,M$28)</f>
        <v>0.71212121212121215</v>
      </c>
      <c r="O34" s="2" t="str">
        <f t="shared" ref="O34:O36" si="0">$E$11</f>
        <v>ratio</v>
      </c>
      <c r="U34" s="98" t="s">
        <v>292</v>
      </c>
    </row>
    <row r="35" spans="3:34" ht="20.100000000000001" customHeight="1" x14ac:dyDescent="0.25">
      <c r="D35" s="52" t="str">
        <f>'Input - Pasture Beef'!D62</f>
        <v>Autumn</v>
      </c>
      <c r="E35" s="52" cm="1">
        <f t="array" ref="E35">MMS_PastureBeef_Soil_N2ODirect_Equations.VEERG_4_2_1_3__7_RelativeSize(E22,D$28)</f>
        <v>0.12987012987012986</v>
      </c>
      <c r="F35" s="52" cm="1">
        <f t="array" ref="F35">MMS_PastureBeef_Soil_N2ODirect_Equations.VEERG_4_2_1_3__7_RelativeSize(F22,E$28)</f>
        <v>0.88311688311688308</v>
      </c>
      <c r="G35" s="52" cm="1">
        <f t="array" ref="G35">MMS_PastureBeef_Soil_N2ODirect_Equations.VEERG_4_2_1_3__7_RelativeSize(G22,F$28)</f>
        <v>0.14545454545454545</v>
      </c>
      <c r="H35" s="52" cm="1">
        <f t="array" ref="H35">MMS_PastureBeef_Soil_N2ODirect_Equations.VEERG_4_2_1_3__7_RelativeSize(H22,G$28)</f>
        <v>0.58181818181818179</v>
      </c>
      <c r="I35" s="52" cm="1">
        <f t="array" ref="I35">MMS_PastureBeef_Soil_N2ODirect_Equations.VEERG_4_2_1_3__7_RelativeSize(I22,H$28)</f>
        <v>0.87272727272727268</v>
      </c>
      <c r="J35" s="52" cm="1">
        <f t="array" ref="J35">MMS_PastureBeef_Soil_N2ODirect_Equations.VEERG_4_2_1_3__7_RelativeSize(J22,I$28)</f>
        <v>0.87272727272727268</v>
      </c>
      <c r="K35" s="52" cm="1">
        <f t="array" ref="K35">MMS_PastureBeef_Soil_N2ODirect_Equations.VEERG_4_2_1_3__7_RelativeSize(K22,J$28)</f>
        <v>0.15151515151515152</v>
      </c>
      <c r="L35" s="52" cm="1">
        <f t="array" ref="L35">MMS_PastureBeef_Soil_N2ODirect_Equations.VEERG_4_2_1_3__7_RelativeSize(L22,K$28)</f>
        <v>0.51515151515151514</v>
      </c>
      <c r="M35" s="52" cm="1">
        <f t="array" ref="M35">MMS_PastureBeef_Soil_N2ODirect_Equations.VEERG_4_2_1_3__7_RelativeSize(M22,L$28)</f>
        <v>0.51515151515151514</v>
      </c>
      <c r="N35" s="52" cm="1">
        <f t="array" ref="N35">MMS_PastureBeef_Soil_N2ODirect_Equations.VEERG_4_2_1_3__7_RelativeSize(N22,M$28)</f>
        <v>0.51515151515151514</v>
      </c>
      <c r="O35" s="2" t="str">
        <f t="shared" si="0"/>
        <v>ratio</v>
      </c>
      <c r="U35" s="51" t="s">
        <v>132</v>
      </c>
      <c r="V35" s="51" t="s">
        <v>131</v>
      </c>
      <c r="W35" s="51" t="s">
        <v>130</v>
      </c>
      <c r="X35" s="51" t="s">
        <v>165</v>
      </c>
      <c r="Y35" s="51" t="s">
        <v>166</v>
      </c>
      <c r="Z35" s="51" t="s">
        <v>167</v>
      </c>
      <c r="AA35" s="51" t="s">
        <v>168</v>
      </c>
      <c r="AB35" s="51" t="s">
        <v>169</v>
      </c>
      <c r="AC35" s="51" t="s">
        <v>170</v>
      </c>
      <c r="AD35" s="51" t="s">
        <v>171</v>
      </c>
      <c r="AE35" s="51" t="s">
        <v>172</v>
      </c>
      <c r="AF35" s="2"/>
      <c r="AG35" s="2"/>
      <c r="AH35" s="2"/>
    </row>
    <row r="36" spans="3:34" ht="20.100000000000001" customHeight="1" x14ac:dyDescent="0.25">
      <c r="D36" s="52" t="str">
        <f>'Input - Pasture Beef'!D63</f>
        <v>Winter</v>
      </c>
      <c r="E36" s="52" cm="1">
        <f t="array" ref="E36">MMS_PastureBeef_Soil_N2ODirect_Equations.VEERG_4_2_1_3__7_RelativeSize(E23,D$28)</f>
        <v>0.24675324675324675</v>
      </c>
      <c r="F36" s="52" cm="1">
        <f t="array" ref="F36">MMS_PastureBeef_Soil_N2ODirect_Equations.VEERG_4_2_1_3__7_RelativeSize(F23,E$28)</f>
        <v>0.90909090909090906</v>
      </c>
      <c r="G36" s="52" cm="1">
        <f t="array" ref="G36">MMS_PastureBeef_Soil_N2ODirect_Equations.VEERG_4_2_1_3__7_RelativeSize(G23,F$28)</f>
        <v>0.27272727272727271</v>
      </c>
      <c r="H36" s="52" cm="1">
        <f t="array" ref="H36">MMS_PastureBeef_Soil_N2ODirect_Equations.VEERG_4_2_1_3__7_RelativeSize(H23,G$28)</f>
        <v>0.6</v>
      </c>
      <c r="I36" s="52" cm="1">
        <f t="array" ref="I36">MMS_PastureBeef_Soil_N2ODirect_Equations.VEERG_4_2_1_3__7_RelativeSize(I23,H$28)</f>
        <v>0.89090909090909087</v>
      </c>
      <c r="J36" s="52" cm="1">
        <f t="array" ref="J36">MMS_PastureBeef_Soil_N2ODirect_Equations.VEERG_4_2_1_3__7_RelativeSize(J23,I$28)</f>
        <v>0.89090909090909087</v>
      </c>
      <c r="K36" s="52" cm="1">
        <f t="array" ref="K36">MMS_PastureBeef_Soil_N2ODirect_Equations.VEERG_4_2_1_3__7_RelativeSize(K23,J$28)</f>
        <v>0.25757575757575757</v>
      </c>
      <c r="L36" s="52" cm="1">
        <f t="array" ref="L36">MMS_PastureBeef_Soil_N2ODirect_Equations.VEERG_4_2_1_3__7_RelativeSize(L23,K$28)</f>
        <v>0.54545454545454541</v>
      </c>
      <c r="M36" s="52" cm="1">
        <f t="array" ref="M36">MMS_PastureBeef_Soil_N2ODirect_Equations.VEERG_4_2_1_3__7_RelativeSize(M23,L$28)</f>
        <v>0.54545454545454541</v>
      </c>
      <c r="N36" s="52" cm="1">
        <f t="array" ref="N36">MMS_PastureBeef_Soil_N2ODirect_Equations.VEERG_4_2_1_3__7_RelativeSize(N23,M$28)</f>
        <v>0.54545454545454541</v>
      </c>
      <c r="O36" s="2" t="str">
        <f t="shared" si="0"/>
        <v>ratio</v>
      </c>
      <c r="U36" s="52" t="str">
        <f>TEXT('Input - Site'!$E$12, "mmmm yyyy")</f>
        <v>January 2024</v>
      </c>
      <c r="V36" s="52" cm="1">
        <f t="array" ref="V36">MMS_PastureBeef_Soil_N2ODirect_Equations.VEERG_4_2_1_3__7_RelativeSize(V20,D$28)</f>
        <v>0.4935064935064935</v>
      </c>
      <c r="W36" s="52" cm="1">
        <f t="array" ref="W36">MMS_PastureBeef_Soil_N2ODirect_Equations.VEERG_4_2_1_3__7_RelativeSize(W20,E$28)</f>
        <v>1.0129870129870129</v>
      </c>
      <c r="X36" s="52" cm="1">
        <f t="array" ref="X36">MMS_PastureBeef_Soil_N2ODirect_Equations.VEERG_4_2_1_3__7_RelativeSize(X20,F$28)</f>
        <v>0.54545454545454541</v>
      </c>
      <c r="Y36" s="52" cm="1">
        <f t="array" ref="Y36">MMS_PastureBeef_Soil_N2ODirect_Equations.VEERG_4_2_1_3__7_RelativeSize(Y20,G$28)</f>
        <v>0.81818181818181823</v>
      </c>
      <c r="Z36" s="52" cm="1">
        <f t="array" ref="Z36">MMS_PastureBeef_Soil_N2ODirect_Equations.VEERG_4_2_1_3__7_RelativeSize(Z20,H$28)</f>
        <v>0.96363636363636362</v>
      </c>
      <c r="AA36" s="52" cm="1">
        <f t="array" ref="AA36">MMS_PastureBeef_Soil_N2ODirect_Equations.VEERG_4_2_1_3__7_RelativeSize(AA20,I$28)</f>
        <v>0.96363636363636362</v>
      </c>
      <c r="AB36" s="52" cm="1">
        <f t="array" ref="AB36">MMS_PastureBeef_Soil_N2ODirect_Equations.VEERG_4_2_1_3__7_RelativeSize(AB20,J$28)</f>
        <v>0.51515151515151514</v>
      </c>
      <c r="AC36" s="52" cm="1">
        <f t="array" ref="AC36">MMS_PastureBeef_Soil_N2ODirect_Equations.VEERG_4_2_1_3__7_RelativeSize(AC20,K$28)</f>
        <v>0.71212121212121215</v>
      </c>
      <c r="AD36" s="52" cm="1">
        <f t="array" ref="AD36">MMS_PastureBeef_Soil_N2ODirect_Equations.VEERG_4_2_1_3__7_RelativeSize(AD20,L$28)</f>
        <v>0.71212121212121215</v>
      </c>
      <c r="AE36" s="52" cm="1">
        <f t="array" ref="AE36">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2024</v>
      </c>
      <c r="V37" s="52" cm="1">
        <f t="array" ref="V37">MMS_PastureBeef_Soil_N2ODirect_Equations.VEERG_4_2_1_3__7_RelativeSize(V21,D$28)</f>
        <v>0.4935064935064935</v>
      </c>
      <c r="W37" s="52" cm="1">
        <f t="array" ref="W37">MMS_PastureBeef_Soil_N2ODirect_Equations.VEERG_4_2_1_3__7_RelativeSize(W21,E$28)</f>
        <v>1.0129870129870129</v>
      </c>
      <c r="X37" s="52" cm="1">
        <f t="array" ref="X37">MMS_PastureBeef_Soil_N2ODirect_Equations.VEERG_4_2_1_3__7_RelativeSize(X21,F$28)</f>
        <v>0.54545454545454541</v>
      </c>
      <c r="Y37" s="52" cm="1">
        <f t="array" ref="Y37">MMS_PastureBeef_Soil_N2ODirect_Equations.VEERG_4_2_1_3__7_RelativeSize(Y21,G$28)</f>
        <v>0.81818181818181823</v>
      </c>
      <c r="Z37" s="52" cm="1">
        <f t="array" ref="Z37">MMS_PastureBeef_Soil_N2ODirect_Equations.VEERG_4_2_1_3__7_RelativeSize(Z21,H$28)</f>
        <v>0.96363636363636362</v>
      </c>
      <c r="AA37" s="52" cm="1">
        <f t="array" ref="AA37">MMS_PastureBeef_Soil_N2ODirect_Equations.VEERG_4_2_1_3__7_RelativeSize(AA21,I$28)</f>
        <v>0.96363636363636362</v>
      </c>
      <c r="AB37" s="52" cm="1">
        <f t="array" ref="AB37">MMS_PastureBeef_Soil_N2ODirect_Equations.VEERG_4_2_1_3__7_RelativeSize(AB21,J$28)</f>
        <v>0.51515151515151514</v>
      </c>
      <c r="AC37" s="52" cm="1">
        <f t="array" ref="AC37">MMS_PastureBeef_Soil_N2ODirect_Equations.VEERG_4_2_1_3__7_RelativeSize(AC21,K$28)</f>
        <v>0.71212121212121215</v>
      </c>
      <c r="AD37" s="52" cm="1">
        <f t="array" ref="AD37">MMS_PastureBeef_Soil_N2ODirect_Equations.VEERG_4_2_1_3__7_RelativeSize(AD21,L$28)</f>
        <v>0.71212121212121215</v>
      </c>
      <c r="AE37" s="52" cm="1">
        <f t="array" ref="AE37">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2024</v>
      </c>
      <c r="V38" s="52" cm="1">
        <f t="array" ref="V38">MMS_PastureBeef_Soil_N2ODirect_Equations.VEERG_4_2_1_3__7_RelativeSize(V22,D$28)</f>
        <v>0.12987012987012986</v>
      </c>
      <c r="W38" s="52" cm="1">
        <f t="array" ref="W38">MMS_PastureBeef_Soil_N2ODirect_Equations.VEERG_4_2_1_3__7_RelativeSize(W22,E$28)</f>
        <v>0.88311688311688308</v>
      </c>
      <c r="X38" s="52" cm="1">
        <f t="array" ref="X38">MMS_PastureBeef_Soil_N2ODirect_Equations.VEERG_4_2_1_3__7_RelativeSize(X22,F$28)</f>
        <v>0.14545454545454545</v>
      </c>
      <c r="Y38" s="52" cm="1">
        <f t="array" ref="Y38">MMS_PastureBeef_Soil_N2ODirect_Equations.VEERG_4_2_1_3__7_RelativeSize(Y22,G$28)</f>
        <v>0.58181818181818179</v>
      </c>
      <c r="Z38" s="52" cm="1">
        <f t="array" ref="Z38">MMS_PastureBeef_Soil_N2ODirect_Equations.VEERG_4_2_1_3__7_RelativeSize(Z22,H$28)</f>
        <v>0.87272727272727268</v>
      </c>
      <c r="AA38" s="52" cm="1">
        <f t="array" ref="AA38">MMS_PastureBeef_Soil_N2ODirect_Equations.VEERG_4_2_1_3__7_RelativeSize(AA22,I$28)</f>
        <v>0.87272727272727268</v>
      </c>
      <c r="AB38" s="52" cm="1">
        <f t="array" ref="AB38">MMS_PastureBeef_Soil_N2ODirect_Equations.VEERG_4_2_1_3__7_RelativeSize(AB22,J$28)</f>
        <v>0.15151515151515152</v>
      </c>
      <c r="AC38" s="52" cm="1">
        <f t="array" ref="AC38">MMS_PastureBeef_Soil_N2ODirect_Equations.VEERG_4_2_1_3__7_RelativeSize(AC22,K$28)</f>
        <v>0.51515151515151514</v>
      </c>
      <c r="AD38" s="52" cm="1">
        <f t="array" ref="AD38">MMS_PastureBeef_Soil_N2ODirect_Equations.VEERG_4_2_1_3__7_RelativeSize(AD22,L$28)</f>
        <v>0.51515151515151514</v>
      </c>
      <c r="AE38" s="52" cm="1">
        <f t="array" ref="AE38">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2024</v>
      </c>
      <c r="V39" s="52" cm="1">
        <f t="array" ref="V39">MMS_PastureBeef_Soil_N2ODirect_Equations.VEERG_4_2_1_3__7_RelativeSize(V23,D$28)</f>
        <v>0.12987012987012986</v>
      </c>
      <c r="W39" s="52" cm="1">
        <f t="array" ref="W39">MMS_PastureBeef_Soil_N2ODirect_Equations.VEERG_4_2_1_3__7_RelativeSize(W23,E$28)</f>
        <v>0.88311688311688308</v>
      </c>
      <c r="X39" s="52" cm="1">
        <f t="array" ref="X39">MMS_PastureBeef_Soil_N2ODirect_Equations.VEERG_4_2_1_3__7_RelativeSize(X23,F$28)</f>
        <v>0.14545454545454545</v>
      </c>
      <c r="Y39" s="52" cm="1">
        <f t="array" ref="Y39">MMS_PastureBeef_Soil_N2ODirect_Equations.VEERG_4_2_1_3__7_RelativeSize(Y23,G$28)</f>
        <v>0.58181818181818179</v>
      </c>
      <c r="Z39" s="52" cm="1">
        <f t="array" ref="Z39">MMS_PastureBeef_Soil_N2ODirect_Equations.VEERG_4_2_1_3__7_RelativeSize(Z23,H$28)</f>
        <v>0.87272727272727268</v>
      </c>
      <c r="AA39" s="52" cm="1">
        <f t="array" ref="AA39">MMS_PastureBeef_Soil_N2ODirect_Equations.VEERG_4_2_1_3__7_RelativeSize(AA23,I$28)</f>
        <v>0.87272727272727268</v>
      </c>
      <c r="AB39" s="52" cm="1">
        <f t="array" ref="AB39">MMS_PastureBeef_Soil_N2ODirect_Equations.VEERG_4_2_1_3__7_RelativeSize(AB23,J$28)</f>
        <v>0.15151515151515152</v>
      </c>
      <c r="AC39" s="52" cm="1">
        <f t="array" ref="AC39">MMS_PastureBeef_Soil_N2ODirect_Equations.VEERG_4_2_1_3__7_RelativeSize(AC23,K$28)</f>
        <v>0.51515151515151514</v>
      </c>
      <c r="AD39" s="52" cm="1">
        <f t="array" ref="AD39">MMS_PastureBeef_Soil_N2ODirect_Equations.VEERG_4_2_1_3__7_RelativeSize(AD23,L$28)</f>
        <v>0.51515151515151514</v>
      </c>
      <c r="AE39" s="52" cm="1">
        <f t="array" ref="AE39">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2024</v>
      </c>
      <c r="V40" s="52" cm="1">
        <f t="array" ref="V40">MMS_PastureBeef_Soil_N2ODirect_Equations.VEERG_4_2_1_3__7_RelativeSize(V24,D$28)</f>
        <v>0.12987012987012986</v>
      </c>
      <c r="W40" s="52" cm="1">
        <f t="array" ref="W40">MMS_PastureBeef_Soil_N2ODirect_Equations.VEERG_4_2_1_3__7_RelativeSize(W24,E$28)</f>
        <v>0.88311688311688308</v>
      </c>
      <c r="X40" s="52" cm="1">
        <f t="array" ref="X40">MMS_PastureBeef_Soil_N2ODirect_Equations.VEERG_4_2_1_3__7_RelativeSize(X24,F$28)</f>
        <v>0.14545454545454545</v>
      </c>
      <c r="Y40" s="52" cm="1">
        <f t="array" ref="Y40">MMS_PastureBeef_Soil_N2ODirect_Equations.VEERG_4_2_1_3__7_RelativeSize(Y24,G$28)</f>
        <v>0.58181818181818179</v>
      </c>
      <c r="Z40" s="52" cm="1">
        <f t="array" ref="Z40">MMS_PastureBeef_Soil_N2ODirect_Equations.VEERG_4_2_1_3__7_RelativeSize(Z24,H$28)</f>
        <v>0.87272727272727268</v>
      </c>
      <c r="AA40" s="52" cm="1">
        <f t="array" ref="AA40">MMS_PastureBeef_Soil_N2ODirect_Equations.VEERG_4_2_1_3__7_RelativeSize(AA24,I$28)</f>
        <v>0.87272727272727268</v>
      </c>
      <c r="AB40" s="52" cm="1">
        <f t="array" ref="AB40">MMS_PastureBeef_Soil_N2ODirect_Equations.VEERG_4_2_1_3__7_RelativeSize(AB24,J$28)</f>
        <v>0.15151515151515152</v>
      </c>
      <c r="AC40" s="52" cm="1">
        <f t="array" ref="AC40">MMS_PastureBeef_Soil_N2ODirect_Equations.VEERG_4_2_1_3__7_RelativeSize(AC24,K$28)</f>
        <v>0.51515151515151514</v>
      </c>
      <c r="AD40" s="52" cm="1">
        <f t="array" ref="AD40">MMS_PastureBeef_Soil_N2ODirect_Equations.VEERG_4_2_1_3__7_RelativeSize(AD24,L$28)</f>
        <v>0.51515151515151514</v>
      </c>
      <c r="AE40" s="52" cm="1">
        <f t="array" ref="AE40">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2024</v>
      </c>
      <c r="V41" s="52" cm="1">
        <f t="array" ref="V41">MMS_PastureBeef_Soil_N2ODirect_Equations.VEERG_4_2_1_3__7_RelativeSize(V25,D$28)</f>
        <v>0.24675324675324675</v>
      </c>
      <c r="W41" s="52" cm="1">
        <f t="array" ref="W41">MMS_PastureBeef_Soil_N2ODirect_Equations.VEERG_4_2_1_3__7_RelativeSize(W25,E$28)</f>
        <v>0.90909090909090906</v>
      </c>
      <c r="X41" s="52" cm="1">
        <f t="array" ref="X41">MMS_PastureBeef_Soil_N2ODirect_Equations.VEERG_4_2_1_3__7_RelativeSize(X25,F$28)</f>
        <v>0.27272727272727271</v>
      </c>
      <c r="Y41" s="52" cm="1">
        <f t="array" ref="Y41">MMS_PastureBeef_Soil_N2ODirect_Equations.VEERG_4_2_1_3__7_RelativeSize(Y25,G$28)</f>
        <v>0.6</v>
      </c>
      <c r="Z41" s="52" cm="1">
        <f t="array" ref="Z41">MMS_PastureBeef_Soil_N2ODirect_Equations.VEERG_4_2_1_3__7_RelativeSize(Z25,H$28)</f>
        <v>0.89090909090909087</v>
      </c>
      <c r="AA41" s="52" cm="1">
        <f t="array" ref="AA41">MMS_PastureBeef_Soil_N2ODirect_Equations.VEERG_4_2_1_3__7_RelativeSize(AA25,I$28)</f>
        <v>0.89090909090909087</v>
      </c>
      <c r="AB41" s="52" cm="1">
        <f t="array" ref="AB41">MMS_PastureBeef_Soil_N2ODirect_Equations.VEERG_4_2_1_3__7_RelativeSize(AB25,J$28)</f>
        <v>0.25757575757575757</v>
      </c>
      <c r="AC41" s="52" cm="1">
        <f t="array" ref="AC41">MMS_PastureBeef_Soil_N2ODirect_Equations.VEERG_4_2_1_3__7_RelativeSize(AC25,K$28)</f>
        <v>0.54545454545454541</v>
      </c>
      <c r="AD41" s="52" cm="1">
        <f t="array" ref="AD41">MMS_PastureBeef_Soil_N2ODirect_Equations.VEERG_4_2_1_3__7_RelativeSize(AD25,L$28)</f>
        <v>0.54545454545454541</v>
      </c>
      <c r="AE41" s="52" cm="1">
        <f t="array" ref="AE41">MMS_PastureBeef_Soil_N2ODirect_Equations.VEERG_4_2_1_3__7_RelativeSize(AE25,M$28)</f>
        <v>0.54545454545454541</v>
      </c>
      <c r="AF41" s="2" t="str">
        <f t="shared" si="1"/>
        <v>ratio</v>
      </c>
      <c r="AG41" s="2"/>
      <c r="AH41" s="2"/>
    </row>
    <row r="42" spans="3:34" ht="20.100000000000001" customHeight="1" x14ac:dyDescent="0.25">
      <c r="D42" s="13" t="s">
        <v>27</v>
      </c>
      <c r="E42" s="13" t="str" cm="1">
        <f t="array" aca="1" ref="E42" ca="1">Common_InputFunctions.Utility_DisplayFunctionName(E62)</f>
        <v>=MMS_PastureBeef_Soil_N2ODirect_Equations.VEERG_4_2_1_3__6_IntakeRelativeToMaintenance</v>
      </c>
      <c r="U42" s="52" t="str">
        <f>TEXT(EDATE('Input - Site'!$E$12,6), "mmmm yyyy")</f>
        <v>July 2024</v>
      </c>
      <c r="V42" s="52" cm="1">
        <f t="array" ref="V42">MMS_PastureBeef_Soil_N2ODirect_Equations.VEERG_4_2_1_3__7_RelativeSize(V26,D$28)</f>
        <v>0.24675324675324675</v>
      </c>
      <c r="W42" s="52" cm="1">
        <f t="array" ref="W42">MMS_PastureBeef_Soil_N2ODirect_Equations.VEERG_4_2_1_3__7_RelativeSize(W26,E$28)</f>
        <v>0.90909090909090906</v>
      </c>
      <c r="X42" s="52" cm="1">
        <f t="array" ref="X42">MMS_PastureBeef_Soil_N2ODirect_Equations.VEERG_4_2_1_3__7_RelativeSize(X26,F$28)</f>
        <v>0.27272727272727271</v>
      </c>
      <c r="Y42" s="52" cm="1">
        <f t="array" ref="Y42">MMS_PastureBeef_Soil_N2ODirect_Equations.VEERG_4_2_1_3__7_RelativeSize(Y26,G$28)</f>
        <v>0.6</v>
      </c>
      <c r="Z42" s="52" cm="1">
        <f t="array" ref="Z42">MMS_PastureBeef_Soil_N2ODirect_Equations.VEERG_4_2_1_3__7_RelativeSize(Z26,H$28)</f>
        <v>0.89090909090909087</v>
      </c>
      <c r="AA42" s="52" cm="1">
        <f t="array" ref="AA42">MMS_PastureBeef_Soil_N2ODirect_Equations.VEERG_4_2_1_3__7_RelativeSize(AA26,I$28)</f>
        <v>0.89090909090909087</v>
      </c>
      <c r="AB42" s="52" cm="1">
        <f t="array" ref="AB42">MMS_PastureBeef_Soil_N2ODirect_Equations.VEERG_4_2_1_3__7_RelativeSize(AB26,J$28)</f>
        <v>0.25757575757575757</v>
      </c>
      <c r="AC42" s="52" cm="1">
        <f t="array" ref="AC42">MMS_PastureBeef_Soil_N2ODirect_Equations.VEERG_4_2_1_3__7_RelativeSize(AC26,K$28)</f>
        <v>0.54545454545454541</v>
      </c>
      <c r="AD42" s="52" cm="1">
        <f t="array" ref="AD42">MMS_PastureBeef_Soil_N2ODirect_Equations.VEERG_4_2_1_3__7_RelativeSize(AD26,L$28)</f>
        <v>0.54545454545454541</v>
      </c>
      <c r="AE42" s="52" cm="1">
        <f t="array" ref="AE42">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2024</v>
      </c>
      <c r="V43" s="52" cm="1">
        <f t="array" ref="V43">MMS_PastureBeef_Soil_N2ODirect_Equations.VEERG_4_2_1_3__7_RelativeSize(V27,D$28)</f>
        <v>0.24675324675324675</v>
      </c>
      <c r="W43" s="52" cm="1">
        <f t="array" ref="W43">MMS_PastureBeef_Soil_N2ODirect_Equations.VEERG_4_2_1_3__7_RelativeSize(W27,E$28)</f>
        <v>0.90909090909090906</v>
      </c>
      <c r="X43" s="52" cm="1">
        <f t="array" ref="X43">MMS_PastureBeef_Soil_N2ODirect_Equations.VEERG_4_2_1_3__7_RelativeSize(X27,F$28)</f>
        <v>0.27272727272727271</v>
      </c>
      <c r="Y43" s="52" cm="1">
        <f t="array" ref="Y43">MMS_PastureBeef_Soil_N2ODirect_Equations.VEERG_4_2_1_3__7_RelativeSize(Y27,G$28)</f>
        <v>0.6</v>
      </c>
      <c r="Z43" s="52" cm="1">
        <f t="array" ref="Z43">MMS_PastureBeef_Soil_N2ODirect_Equations.VEERG_4_2_1_3__7_RelativeSize(Z27,H$28)</f>
        <v>0.89090909090909087</v>
      </c>
      <c r="AA43" s="52" cm="1">
        <f t="array" ref="AA43">MMS_PastureBeef_Soil_N2ODirect_Equations.VEERG_4_2_1_3__7_RelativeSize(AA27,I$28)</f>
        <v>0.89090909090909087</v>
      </c>
      <c r="AB43" s="52" cm="1">
        <f t="array" ref="AB43">MMS_PastureBeef_Soil_N2ODirect_Equations.VEERG_4_2_1_3__7_RelativeSize(AB27,J$28)</f>
        <v>0.25757575757575757</v>
      </c>
      <c r="AC43" s="52" cm="1">
        <f t="array" ref="AC43">MMS_PastureBeef_Soil_N2ODirect_Equations.VEERG_4_2_1_3__7_RelativeSize(AC27,K$28)</f>
        <v>0.54545454545454541</v>
      </c>
      <c r="AD43" s="52" cm="1">
        <f t="array" ref="AD43">MMS_PastureBeef_Soil_N2ODirect_Equations.VEERG_4_2_1_3__7_RelativeSize(AD27,L$28)</f>
        <v>0.54545454545454541</v>
      </c>
      <c r="AE43" s="52" cm="1">
        <f t="array" ref="AE43">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2024</v>
      </c>
      <c r="V44" s="52" cm="1">
        <f t="array" ref="V44">MMS_PastureBeef_Soil_N2ODirect_Equations.VEERG_4_2_1_3__7_RelativeSize(V28,D$28)</f>
        <v>0.44155844155844154</v>
      </c>
      <c r="W44" s="52" cm="1">
        <f t="array" ref="W44">MMS_PastureBeef_Soil_N2ODirect_Equations.VEERG_4_2_1_3__7_RelativeSize(W28,E$28)</f>
        <v>1.0389610389610389</v>
      </c>
      <c r="X44" s="52" cm="1">
        <f t="array" ref="X44">MMS_PastureBeef_Soil_N2ODirect_Equations.VEERG_4_2_1_3__7_RelativeSize(X28,F$28)</f>
        <v>0.47272727272727272</v>
      </c>
      <c r="Y44" s="52" cm="1">
        <f t="array" ref="Y44">MMS_PastureBeef_Soil_N2ODirect_Equations.VEERG_4_2_1_3__7_RelativeSize(Y28,G$28)</f>
        <v>0.76363636363636367</v>
      </c>
      <c r="Z44" s="52" cm="1">
        <f t="array" ref="Z44">MMS_PastureBeef_Soil_N2ODirect_Equations.VEERG_4_2_1_3__7_RelativeSize(Z28,H$28)</f>
        <v>1</v>
      </c>
      <c r="AA44" s="52" cm="1">
        <f t="array" ref="AA44">MMS_PastureBeef_Soil_N2ODirect_Equations.VEERG_4_2_1_3__7_RelativeSize(AA28,I$28)</f>
        <v>1</v>
      </c>
      <c r="AB44" s="52" cm="1">
        <f t="array" ref="AB44">MMS_PastureBeef_Soil_N2ODirect_Equations.VEERG_4_2_1_3__7_RelativeSize(AB28,J$28)</f>
        <v>0.45454545454545453</v>
      </c>
      <c r="AC44" s="52" cm="1">
        <f t="array" ref="AC44">MMS_PastureBeef_Soil_N2ODirect_Equations.VEERG_4_2_1_3__7_RelativeSize(AC28,K$28)</f>
        <v>0.72727272727272729</v>
      </c>
      <c r="AD44" s="52" cm="1">
        <f t="array" ref="AD44">MMS_PastureBeef_Soil_N2ODirect_Equations.VEERG_4_2_1_3__7_RelativeSize(AD28,L$28)</f>
        <v>0.72727272727272729</v>
      </c>
      <c r="AE44" s="52" cm="1">
        <f t="array" ref="AE44">MMS_PastureBeef_Soil_N2ODirect_Equations.VEERG_4_2_1_3__7_RelativeSize(AE28,M$28)</f>
        <v>0.72727272727272729</v>
      </c>
      <c r="AF44" s="2" t="str">
        <f t="shared" si="1"/>
        <v>ratio</v>
      </c>
      <c r="AG44" s="2"/>
      <c r="AH44" s="2"/>
    </row>
    <row r="45" spans="3:34" ht="20.100000000000001" customHeight="1" x14ac:dyDescent="0.25">
      <c r="D45" s="53" t="s">
        <v>30</v>
      </c>
      <c r="E45" s="1" t="str" cm="1">
        <f t="array" ref="E45">MMS_PastureBeef_Soil_N2ODirect_Equations.VEERG_4_2_1_3__6_IntakeRelativeToMaintenance_Variable()</f>
        <v>L_jkl</v>
      </c>
      <c r="U45" s="52" t="str">
        <f>TEXT(EDATE('Input - Site'!$E$12,9), "mmmm yyyy")</f>
        <v>October 2024</v>
      </c>
      <c r="V45" s="52" cm="1">
        <f t="array" ref="V45">MMS_PastureBeef_Soil_N2ODirect_Equations.VEERG_4_2_1_3__7_RelativeSize(V29,D$28)</f>
        <v>0.44155844155844154</v>
      </c>
      <c r="W45" s="52" cm="1">
        <f t="array" ref="W45">MMS_PastureBeef_Soil_N2ODirect_Equations.VEERG_4_2_1_3__7_RelativeSize(W29,E$28)</f>
        <v>1.0389610389610389</v>
      </c>
      <c r="X45" s="52" cm="1">
        <f t="array" ref="X45">MMS_PastureBeef_Soil_N2ODirect_Equations.VEERG_4_2_1_3__7_RelativeSize(X29,F$28)</f>
        <v>0.47272727272727272</v>
      </c>
      <c r="Y45" s="52" cm="1">
        <f t="array" ref="Y45">MMS_PastureBeef_Soil_N2ODirect_Equations.VEERG_4_2_1_3__7_RelativeSize(Y29,G$28)</f>
        <v>0.76363636363636367</v>
      </c>
      <c r="Z45" s="52" cm="1">
        <f t="array" ref="Z45">MMS_PastureBeef_Soil_N2ODirect_Equations.VEERG_4_2_1_3__7_RelativeSize(Z29,H$28)</f>
        <v>1</v>
      </c>
      <c r="AA45" s="52" cm="1">
        <f t="array" ref="AA45">MMS_PastureBeef_Soil_N2ODirect_Equations.VEERG_4_2_1_3__7_RelativeSize(AA29,I$28)</f>
        <v>1</v>
      </c>
      <c r="AB45" s="52" cm="1">
        <f t="array" ref="AB45">MMS_PastureBeef_Soil_N2ODirect_Equations.VEERG_4_2_1_3__7_RelativeSize(AB29,J$28)</f>
        <v>0.45454545454545453</v>
      </c>
      <c r="AC45" s="52" cm="1">
        <f t="array" ref="AC45">MMS_PastureBeef_Soil_N2ODirect_Equations.VEERG_4_2_1_3__7_RelativeSize(AC29,K$28)</f>
        <v>0.72727272727272729</v>
      </c>
      <c r="AD45" s="52" cm="1">
        <f t="array" ref="AD45">MMS_PastureBeef_Soil_N2ODirect_Equations.VEERG_4_2_1_3__7_RelativeSize(AD29,L$28)</f>
        <v>0.72727272727272729</v>
      </c>
      <c r="AE45" s="52" cm="1">
        <f t="array" ref="AE45">MMS_PastureBeef_Soil_N2ODirect_Equations.VEERG_4_2_1_3__7_RelativeSize(AE29,M$28)</f>
        <v>0.72727272727272729</v>
      </c>
      <c r="AF45" s="2" t="str">
        <f t="shared" si="1"/>
        <v>ratio</v>
      </c>
      <c r="AG45" s="2"/>
      <c r="AH45" s="2"/>
    </row>
    <row r="46" spans="3:34" ht="20.100000000000001" customHeight="1" x14ac:dyDescent="0.25">
      <c r="D46" s="53" t="s">
        <v>20</v>
      </c>
      <c r="E46" s="54" t="str" cm="1">
        <f t="array" ref="E46">MMS_PastureBeef_Soil_N2ODirect_Equations.VEERG_4_2_1_3__6_IntakeRelativeToMaintenance_Unit()</f>
        <v>ratio</v>
      </c>
      <c r="U46" s="52" t="str">
        <f>TEXT(EDATE('Input - Site'!$E$12,10), "mmmm yyyy")</f>
        <v>November 2024</v>
      </c>
      <c r="V46" s="52" cm="1">
        <f t="array" ref="V46">MMS_PastureBeef_Soil_N2ODirect_Equations.VEERG_4_2_1_3__7_RelativeSize(V30,D$28)</f>
        <v>0.44155844155844154</v>
      </c>
      <c r="W46" s="52" cm="1">
        <f t="array" ref="W46">MMS_PastureBeef_Soil_N2ODirect_Equations.VEERG_4_2_1_3__7_RelativeSize(W30,E$28)</f>
        <v>1.0389610389610389</v>
      </c>
      <c r="X46" s="52" cm="1">
        <f t="array" ref="X46">MMS_PastureBeef_Soil_N2ODirect_Equations.VEERG_4_2_1_3__7_RelativeSize(X30,F$28)</f>
        <v>0.47272727272727272</v>
      </c>
      <c r="Y46" s="52" cm="1">
        <f t="array" ref="Y46">MMS_PastureBeef_Soil_N2ODirect_Equations.VEERG_4_2_1_3__7_RelativeSize(Y30,G$28)</f>
        <v>0.76363636363636367</v>
      </c>
      <c r="Z46" s="52" cm="1">
        <f t="array" ref="Z46">MMS_PastureBeef_Soil_N2ODirect_Equations.VEERG_4_2_1_3__7_RelativeSize(Z30,H$28)</f>
        <v>1</v>
      </c>
      <c r="AA46" s="52" cm="1">
        <f t="array" ref="AA46">MMS_PastureBeef_Soil_N2ODirect_Equations.VEERG_4_2_1_3__7_RelativeSize(AA30,I$28)</f>
        <v>1</v>
      </c>
      <c r="AB46" s="52" cm="1">
        <f t="array" ref="AB46">MMS_PastureBeef_Soil_N2ODirect_Equations.VEERG_4_2_1_3__7_RelativeSize(AB30,J$28)</f>
        <v>0.45454545454545453</v>
      </c>
      <c r="AC46" s="52" cm="1">
        <f t="array" ref="AC46">MMS_PastureBeef_Soil_N2ODirect_Equations.VEERG_4_2_1_3__7_RelativeSize(AC30,K$28)</f>
        <v>0.72727272727272729</v>
      </c>
      <c r="AD46" s="52" cm="1">
        <f t="array" ref="AD46">MMS_PastureBeef_Soil_N2ODirect_Equations.VEERG_4_2_1_3__7_RelativeSize(AD30,L$28)</f>
        <v>0.72727272727272729</v>
      </c>
      <c r="AE46" s="52" cm="1">
        <f t="array" ref="AE46">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2024</v>
      </c>
      <c r="V47" s="52" cm="1">
        <f t="array" ref="V47">MMS_PastureBeef_Soil_N2ODirect_Equations.VEERG_4_2_1_3__7_RelativeSize(V31,D$28)</f>
        <v>0.4935064935064935</v>
      </c>
      <c r="W47" s="52" cm="1">
        <f t="array" ref="W47">MMS_PastureBeef_Soil_N2ODirect_Equations.VEERG_4_2_1_3__7_RelativeSize(W31,E$28)</f>
        <v>1.0129870129870129</v>
      </c>
      <c r="X47" s="52" cm="1">
        <f t="array" ref="X47">MMS_PastureBeef_Soil_N2ODirect_Equations.VEERG_4_2_1_3__7_RelativeSize(X31,F$28)</f>
        <v>0.54545454545454541</v>
      </c>
      <c r="Y47" s="52" cm="1">
        <f t="array" ref="Y47">MMS_PastureBeef_Soil_N2ODirect_Equations.VEERG_4_2_1_3__7_RelativeSize(Y31,G$28)</f>
        <v>0.81818181818181823</v>
      </c>
      <c r="Z47" s="52" cm="1">
        <f t="array" ref="Z47">MMS_PastureBeef_Soil_N2ODirect_Equations.VEERG_4_2_1_3__7_RelativeSize(Z31,H$28)</f>
        <v>0.96363636363636362</v>
      </c>
      <c r="AA47" s="52" cm="1">
        <f t="array" ref="AA47">MMS_PastureBeef_Soil_N2ODirect_Equations.VEERG_4_2_1_3__7_RelativeSize(AA31,I$28)</f>
        <v>0.96363636363636362</v>
      </c>
      <c r="AB47" s="52" cm="1">
        <f t="array" ref="AB47">MMS_PastureBeef_Soil_N2ODirect_Equations.VEERG_4_2_1_3__7_RelativeSize(AB31,J$28)</f>
        <v>0.51515151515151514</v>
      </c>
      <c r="AC47" s="52" cm="1">
        <f t="array" ref="AC47">MMS_PastureBeef_Soil_N2ODirect_Equations.VEERG_4_2_1_3__7_RelativeSize(AC31,K$28)</f>
        <v>0.71212121212121215</v>
      </c>
      <c r="AD47" s="52" cm="1">
        <f t="array" ref="AD47">MMS_PastureBeef_Soil_N2ODirect_Equations.VEERG_4_2_1_3__7_RelativeSize(AD31,L$28)</f>
        <v>0.71212121212121215</v>
      </c>
      <c r="AE47" s="52" cm="1">
        <f t="array" ref="AE47">MMS_PastureBeef_Soil_N2ODirect_Equations.VEERG_4_2_1_3__7_RelativeSize(AE31,M$28)</f>
        <v>0.71212121212121215</v>
      </c>
      <c r="AF47" s="2" t="str">
        <f t="shared" si="1"/>
        <v>ratio</v>
      </c>
      <c r="AG47" s="2"/>
      <c r="AH47" s="2"/>
    </row>
    <row r="48" spans="3:34" ht="20.100000000000001" customHeight="1" x14ac:dyDescent="0.25">
      <c r="D48" s="57" t="str" cm="1">
        <f t="array" ref="D48:E49">MMS_PastureBeef_Soil_N2ODirect_Equations.VEERG_4_2_1_3__6_IntakeRelativeToMaintenance_Arguments()</f>
        <v>I_jkl</v>
      </c>
      <c r="E48" s="58" t="str">
        <v>dry matter intake as calculated in Chapter 3 Section 3.2.1 (kg DM/head/day)</v>
      </c>
      <c r="F48" s="59"/>
      <c r="G48" s="57" t="str">
        <f>"See " &amp; D51</f>
        <v>See M1_Table_I_j_k_l</v>
      </c>
    </row>
    <row r="49" spans="4:35" ht="20.100000000000001" customHeight="1" x14ac:dyDescent="0.25">
      <c r="D49" s="57" t="str">
        <v>W_jkl</v>
      </c>
      <c r="E49" s="58" t="str">
        <v>liveweight (kg/head)</v>
      </c>
      <c r="F49" s="59"/>
      <c r="G49" s="57" t="str">
        <f>"See " &amp; D17</f>
        <v>See 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9" t="s">
        <v>245</v>
      </c>
      <c r="U51" s="6" t="str" cm="1">
        <f t="array" ref="U51">MMS_PastureBeef_Soil_N2ODirect_Equations.VEERG_4_2_1_3__6_IntakeRelativeToMaintenance_Title()</f>
        <v>Intake relative to that needed for maintenance</v>
      </c>
    </row>
    <row r="52" spans="4:35" ht="20.100000000000001" customHeight="1" x14ac:dyDescent="0.25">
      <c r="D52" s="98" t="s">
        <v>144</v>
      </c>
    </row>
    <row r="53" spans="4:35" ht="20.100000000000001" customHeight="1" x14ac:dyDescent="0.25">
      <c r="D53" s="51" t="s">
        <v>184</v>
      </c>
      <c r="E53" s="51" t="s">
        <v>131</v>
      </c>
      <c r="F53" s="51" t="s">
        <v>130</v>
      </c>
      <c r="G53" s="51" t="s">
        <v>165</v>
      </c>
      <c r="H53" s="51" t="s">
        <v>166</v>
      </c>
      <c r="I53" s="51" t="s">
        <v>167</v>
      </c>
      <c r="J53" s="51" t="s">
        <v>168</v>
      </c>
      <c r="K53" s="51" t="s">
        <v>169</v>
      </c>
      <c r="L53" s="51" t="s">
        <v>170</v>
      </c>
      <c r="M53" s="51" t="s">
        <v>171</v>
      </c>
      <c r="N53" s="51" t="s">
        <v>172</v>
      </c>
      <c r="U53" s="99" t="s">
        <v>258</v>
      </c>
    </row>
    <row r="54" spans="4:35" ht="20.100000000000001" customHeight="1" x14ac:dyDescent="0.25">
      <c r="D54" s="52" t="s">
        <v>173</v>
      </c>
      <c r="E54" s="52">
        <f>'4.2.1.1-2 Methane'!E84</f>
        <v>8.6709047296000001</v>
      </c>
      <c r="F54" s="52">
        <f>'4.2.1.1-2 Methane'!F84</f>
        <v>12.246500250000002</v>
      </c>
      <c r="G54" s="52">
        <f>'4.2.1.1-2 Methane'!G84</f>
        <v>6.6089612241000006</v>
      </c>
      <c r="H54" s="52">
        <f>'4.2.1.1-2 Methane'!H84</f>
        <v>9.5403922901100024</v>
      </c>
      <c r="I54" s="52">
        <f>'4.2.1.1-2 Methane'!I84</f>
        <v>11.268377125200001</v>
      </c>
      <c r="J54" s="52">
        <f>'4.2.1.1-2 Methane'!J84</f>
        <v>11.268377125200001</v>
      </c>
      <c r="K54" s="52">
        <f>'4.2.1.1-2 Methane'!K84</f>
        <v>7.6192560899999977</v>
      </c>
      <c r="L54" s="52">
        <f>'4.2.1.1-2 Methane'!L84</f>
        <v>9.6824279555999979</v>
      </c>
      <c r="M54" s="52">
        <f>'4.2.1.1-2 Methane'!M84</f>
        <v>9.6824279555999979</v>
      </c>
      <c r="N54" s="52">
        <f>'4.2.1.1-2 Methane'!N84</f>
        <v>9.6824279555999979</v>
      </c>
      <c r="O54" s="2" t="str">
        <f>'4.2.1.1-2 Methane'!O84</f>
        <v>kg DM/head/day</v>
      </c>
      <c r="U54" s="98" t="s">
        <v>143</v>
      </c>
    </row>
    <row r="55" spans="4:35" ht="20.100000000000001" customHeight="1" x14ac:dyDescent="0.25">
      <c r="D55" s="52" t="s">
        <v>174</v>
      </c>
      <c r="E55" s="52">
        <f>'4.2.1.1-2 Methane'!E85</f>
        <v>7.1468536895999959</v>
      </c>
      <c r="F55" s="52">
        <f>'4.2.1.1-2 Methane'!F85</f>
        <v>9.4559940036000008</v>
      </c>
      <c r="G55" s="52">
        <f>'4.2.1.1-2 Methane'!G85</f>
        <v>6.010342559999998</v>
      </c>
      <c r="H55" s="52">
        <f>'4.2.1.1-2 Methane'!H85</f>
        <v>8.1853716906000002</v>
      </c>
      <c r="I55" s="52">
        <f>'4.2.1.1-2 Methane'!I85</f>
        <v>8.1045195229439972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Methane'!O85</f>
        <v>kg DM/head/day</v>
      </c>
      <c r="U55" s="51" t="s">
        <v>132</v>
      </c>
      <c r="V55" s="51" t="s">
        <v>131</v>
      </c>
      <c r="W55" s="51" t="s">
        <v>130</v>
      </c>
      <c r="X55" s="51" t="s">
        <v>165</v>
      </c>
      <c r="Y55" s="51" t="s">
        <v>166</v>
      </c>
      <c r="Z55" s="51" t="s">
        <v>167</v>
      </c>
      <c r="AA55" s="51" t="s">
        <v>168</v>
      </c>
      <c r="AB55" s="51" t="s">
        <v>169</v>
      </c>
      <c r="AC55" s="51" t="s">
        <v>170</v>
      </c>
      <c r="AD55" s="51" t="s">
        <v>171</v>
      </c>
      <c r="AE55" s="51" t="s">
        <v>172</v>
      </c>
    </row>
    <row r="56" spans="4:35" ht="20.100000000000001" customHeight="1" x14ac:dyDescent="0.25">
      <c r="D56" s="52" t="s">
        <v>175</v>
      </c>
      <c r="E56" s="52">
        <f>'4.2.1.1-2 Methane'!E86</f>
        <v>3.247204</v>
      </c>
      <c r="F56" s="52">
        <f>'4.2.1.1-2 Methane'!F86</f>
        <v>9.4246544015999998</v>
      </c>
      <c r="G56" s="52">
        <f>'4.2.1.1-2 Methane'!G86</f>
        <v>2.9603267136000002</v>
      </c>
      <c r="H56" s="52">
        <f>'4.2.1.1-2 Methane'!H86</f>
        <v>6.0173755149959991</v>
      </c>
      <c r="I56" s="52">
        <f>'4.2.1.1-2 Methane'!I86</f>
        <v>6.7179974480999993</v>
      </c>
      <c r="J56" s="52">
        <f>'4.2.1.1-2 Methane'!J86</f>
        <v>6.7179974480999993</v>
      </c>
      <c r="K56" s="52">
        <f>'4.2.1.1-2 Methane'!K86</f>
        <v>3.247204</v>
      </c>
      <c r="L56" s="52">
        <f>'4.2.1.1-2 Methane'!L86</f>
        <v>5.8953782416000013</v>
      </c>
      <c r="M56" s="52">
        <f>'4.2.1.1-2 Methane'!M86</f>
        <v>5.8953782416000013</v>
      </c>
      <c r="N56" s="52">
        <f>'4.2.1.1-2 Methane'!N86</f>
        <v>5.8953782416000013</v>
      </c>
      <c r="O56" s="2" t="str">
        <f>'4.2.1.1-2 Methane'!O86</f>
        <v>kg DM/head/day</v>
      </c>
      <c r="U56" s="52" t="str">
        <f>TEXT('Input - Site'!$E$12, "mmmm yyyy")</f>
        <v>January 2024</v>
      </c>
      <c r="V56" s="52">
        <f>'4.2.1.1-2 Methane'!X76</f>
        <v>7.1468536895999959</v>
      </c>
      <c r="W56" s="52">
        <f>'4.2.1.1-2 Methane'!Y76</f>
        <v>9.4559940036000008</v>
      </c>
      <c r="X56" s="52">
        <f>'4.2.1.1-2 Methane'!Z76</f>
        <v>6.010342559999998</v>
      </c>
      <c r="Y56" s="52">
        <f>'4.2.1.1-2 Methane'!AA76</f>
        <v>8.4608409301875014</v>
      </c>
      <c r="Z56" s="52">
        <f>'4.2.1.1-2 Methane'!AB76</f>
        <v>8.3772677761199983</v>
      </c>
      <c r="AA56" s="52">
        <f>'4.2.1.1-2 Methane'!AC76</f>
        <v>8.3772677761199983</v>
      </c>
      <c r="AB56" s="52">
        <f>'4.2.1.1-2 Methane'!AD76</f>
        <v>6.5876408896000003</v>
      </c>
      <c r="AC56" s="52">
        <f>'4.2.1.1-2 Methane'!AE76</f>
        <v>7.3430702361</v>
      </c>
      <c r="AD56" s="52">
        <f>'4.2.1.1-2 Methane'!AF76</f>
        <v>7.3430702361</v>
      </c>
      <c r="AE56" s="52">
        <f>'4.2.1.1-2 Methane'!AG76</f>
        <v>7.3430702361</v>
      </c>
      <c r="AF56" s="2" t="str">
        <f>'4.2.1.1-2 Methane'!AH76</f>
        <v>kg DM/head/day</v>
      </c>
      <c r="AG56" s="2"/>
      <c r="AH56" s="2"/>
    </row>
    <row r="57" spans="4:35" ht="20.100000000000001" customHeight="1" x14ac:dyDescent="0.25">
      <c r="D57" s="52" t="s">
        <v>176</v>
      </c>
      <c r="E57" s="52">
        <f>'4.2.1.1-2 Methane'!E87</f>
        <v>5.1328980481000004</v>
      </c>
      <c r="F57" s="52">
        <f>'4.2.1.1-2 Methane'!F87</f>
        <v>9.9748588899999984</v>
      </c>
      <c r="G57" s="52">
        <f>'4.2.1.1-2 Methane'!G87</f>
        <v>4.202705002500001</v>
      </c>
      <c r="H57" s="52">
        <f>'4.2.1.1-2 Methane'!H87</f>
        <v>7.172653468761002</v>
      </c>
      <c r="I57" s="52">
        <f>'4.2.1.1-2 Methane'!I87</f>
        <v>9.145195140114998</v>
      </c>
      <c r="J57" s="52">
        <f>'4.2.1.1-2 Methane'!J87</f>
        <v>9.145195140114998</v>
      </c>
      <c r="K57" s="52">
        <f>'4.2.1.1-2 Methane'!K87</f>
        <v>4.5122681240999984</v>
      </c>
      <c r="L57" s="52">
        <f>'4.2.1.1-2 Methane'!L87</f>
        <v>6.8698506815999991</v>
      </c>
      <c r="M57" s="52">
        <f>'4.2.1.1-2 Methane'!M87</f>
        <v>6.8698506815999991</v>
      </c>
      <c r="N57" s="52">
        <f>'4.2.1.1-2 Methane'!N87</f>
        <v>6.8698506815999991</v>
      </c>
      <c r="O57" s="2" t="str">
        <f>'4.2.1.1-2 Methane'!O87</f>
        <v>kg DM/head/day</v>
      </c>
      <c r="U57" s="52" t="str">
        <f>TEXT(EDATE('Input - Site'!$E$12,1), "mmmm yyyy")</f>
        <v>February 2024</v>
      </c>
      <c r="V57" s="52">
        <f>'4.2.1.1-2 Methane'!X77</f>
        <v>7.1468536895999959</v>
      </c>
      <c r="W57" s="52">
        <f>'4.2.1.1-2 Methane'!Y77</f>
        <v>9.4559940036000008</v>
      </c>
      <c r="X57" s="52">
        <f>'4.2.1.1-2 Methane'!Z77</f>
        <v>6.010342559999998</v>
      </c>
      <c r="Y57" s="52">
        <f>'4.2.1.1-2 Methane'!AA77</f>
        <v>7.8705497025</v>
      </c>
      <c r="Z57" s="52">
        <f>'4.2.1.1-2 Methane'!AB77</f>
        <v>7.7928072335999978</v>
      </c>
      <c r="AA57" s="52">
        <f>'4.2.1.1-2 Methane'!AC77</f>
        <v>7.7928072335999978</v>
      </c>
      <c r="AB57" s="52">
        <f>'4.2.1.1-2 Methane'!AD77</f>
        <v>6.5876408896000003</v>
      </c>
      <c r="AC57" s="52">
        <f>'4.2.1.1-2 Methane'!AE77</f>
        <v>7.3430702361</v>
      </c>
      <c r="AD57" s="52">
        <f>'4.2.1.1-2 Methane'!AF77</f>
        <v>7.3430702361</v>
      </c>
      <c r="AE57" s="52">
        <f>'4.2.1.1-2 Methane'!AG77</f>
        <v>7.3430702361</v>
      </c>
      <c r="AF57" s="2" t="str">
        <f>'4.2.1.1-2 Methane'!AH77</f>
        <v>kg DM/head/day</v>
      </c>
      <c r="AG57" s="2"/>
      <c r="AH57" s="2"/>
    </row>
    <row r="58" spans="4:35" ht="20.100000000000001" customHeight="1" x14ac:dyDescent="0.25">
      <c r="U58" s="52" t="str">
        <f>TEXT(EDATE('Input - Site'!$E$12,2), "mmmm yyyy")</f>
        <v>March 2024</v>
      </c>
      <c r="V58" s="52">
        <f>'4.2.1.1-2 Methane'!X78</f>
        <v>3.247204</v>
      </c>
      <c r="W58" s="52">
        <f>'4.2.1.1-2 Methane'!Y78</f>
        <v>9.4246544015999998</v>
      </c>
      <c r="X58" s="52">
        <f>'4.2.1.1-2 Methane'!Z78</f>
        <v>2.9603267136000002</v>
      </c>
      <c r="Y58" s="52">
        <f>'4.2.1.1-2 Methane'!AA78</f>
        <v>5.9577975395999987</v>
      </c>
      <c r="Z58" s="52">
        <f>'4.2.1.1-2 Methane'!AB78</f>
        <v>6.7179974480999993</v>
      </c>
      <c r="AA58" s="52">
        <f>'4.2.1.1-2 Methane'!AC78</f>
        <v>6.7179974480999993</v>
      </c>
      <c r="AB58" s="52">
        <f>'4.2.1.1-2 Methane'!AD78</f>
        <v>3.247204</v>
      </c>
      <c r="AC58" s="52">
        <f>'4.2.1.1-2 Methane'!AE78</f>
        <v>5.8953782416000013</v>
      </c>
      <c r="AD58" s="52">
        <f>'4.2.1.1-2 Methane'!AF78</f>
        <v>5.8953782416000013</v>
      </c>
      <c r="AE58" s="52">
        <f>'4.2.1.1-2 Methane'!AG78</f>
        <v>5.8953782416000013</v>
      </c>
      <c r="AF58" s="2" t="str">
        <f>'4.2.1.1-2 Methane'!AH78</f>
        <v>kg DM/head/day</v>
      </c>
      <c r="AG58" s="2"/>
      <c r="AH58" s="2"/>
    </row>
    <row r="59" spans="4:35" ht="20.100000000000001" customHeight="1" x14ac:dyDescent="0.25">
      <c r="D59" s="99" t="s">
        <v>293</v>
      </c>
      <c r="U59" s="52" t="str">
        <f>TEXT(EDATE('Input - Site'!$E$12,3), "mmmm yyyy")</f>
        <v>April 2024</v>
      </c>
      <c r="V59" s="52">
        <f>'4.2.1.1-2 Methane'!X79</f>
        <v>3.247204</v>
      </c>
      <c r="W59" s="52">
        <f>'4.2.1.1-2 Methane'!Y79</f>
        <v>9.4246544015999998</v>
      </c>
      <c r="X59" s="52">
        <f>'4.2.1.1-2 Methane'!Z79</f>
        <v>2.9603267136000002</v>
      </c>
      <c r="Y59" s="52">
        <f>'4.2.1.1-2 Methane'!AA79</f>
        <v>5.9577975395999987</v>
      </c>
      <c r="Z59" s="52">
        <f>'4.2.1.1-2 Methane'!AB79</f>
        <v>6.7179974480999993</v>
      </c>
      <c r="AA59" s="52">
        <f>'4.2.1.1-2 Methane'!AC79</f>
        <v>6.7179974480999993</v>
      </c>
      <c r="AB59" s="52">
        <f>'4.2.1.1-2 Methane'!AD79</f>
        <v>3.247204</v>
      </c>
      <c r="AC59" s="52">
        <f>'4.2.1.1-2 Methane'!AE79</f>
        <v>5.8953782416000013</v>
      </c>
      <c r="AD59" s="52">
        <f>'4.2.1.1-2 Methane'!AF79</f>
        <v>5.8953782416000013</v>
      </c>
      <c r="AE59" s="52">
        <f>'4.2.1.1-2 Methane'!AG79</f>
        <v>5.8953782416000013</v>
      </c>
      <c r="AF59" s="2" t="str">
        <f>'4.2.1.1-2 Methane'!AH79</f>
        <v>kg DM/head/day</v>
      </c>
      <c r="AG59" s="2"/>
      <c r="AH59" s="2"/>
    </row>
    <row r="60" spans="4:35" ht="20.100000000000001" customHeight="1" x14ac:dyDescent="0.25">
      <c r="D60" s="98" t="s">
        <v>150</v>
      </c>
      <c r="U60" s="52" t="str">
        <f>TEXT(EDATE('Input - Site'!$E$12,4), "mmmm yyyy")</f>
        <v>May 2024</v>
      </c>
      <c r="V60" s="52">
        <f>'4.2.1.1-2 Methane'!X80</f>
        <v>3.247204</v>
      </c>
      <c r="W60" s="52">
        <f>'4.2.1.1-2 Methane'!Y80</f>
        <v>9.4246544015999998</v>
      </c>
      <c r="X60" s="52">
        <f>'4.2.1.1-2 Methane'!Z80</f>
        <v>2.9603267136000002</v>
      </c>
      <c r="Y60" s="52">
        <f>'4.2.1.1-2 Methane'!AA80</f>
        <v>5.9577975395999987</v>
      </c>
      <c r="Z60" s="52">
        <f>'4.2.1.1-2 Methane'!AB80</f>
        <v>6.7179974480999993</v>
      </c>
      <c r="AA60" s="52">
        <f>'4.2.1.1-2 Methane'!AC80</f>
        <v>6.7179974480999993</v>
      </c>
      <c r="AB60" s="52">
        <f>'4.2.1.1-2 Methane'!AD80</f>
        <v>3.247204</v>
      </c>
      <c r="AC60" s="52">
        <f>'4.2.1.1-2 Methane'!AE80</f>
        <v>5.8953782416000013</v>
      </c>
      <c r="AD60" s="52">
        <f>'4.2.1.1-2 Methane'!AF80</f>
        <v>5.8953782416000013</v>
      </c>
      <c r="AE60" s="52">
        <f>'4.2.1.1-2 Methane'!AG80</f>
        <v>5.8953782416000013</v>
      </c>
      <c r="AF60" s="2" t="str">
        <f>'4.2.1.1-2 Methane'!AH80</f>
        <v>kg DM/head/day</v>
      </c>
      <c r="AG60" s="2"/>
      <c r="AH60" s="2"/>
    </row>
    <row r="61" spans="4:35" ht="20.100000000000001" customHeight="1" x14ac:dyDescent="0.25">
      <c r="D61" s="51" t="s">
        <v>184</v>
      </c>
      <c r="E61" s="51" t="s">
        <v>131</v>
      </c>
      <c r="F61" s="51" t="s">
        <v>130</v>
      </c>
      <c r="G61" s="51" t="s">
        <v>165</v>
      </c>
      <c r="H61" s="51" t="s">
        <v>166</v>
      </c>
      <c r="I61" s="51" t="s">
        <v>167</v>
      </c>
      <c r="J61" s="51" t="s">
        <v>168</v>
      </c>
      <c r="K61" s="51" t="s">
        <v>169</v>
      </c>
      <c r="L61" s="51" t="s">
        <v>170</v>
      </c>
      <c r="M61" s="51" t="s">
        <v>171</v>
      </c>
      <c r="N61" s="51" t="s">
        <v>172</v>
      </c>
      <c r="U61" s="52" t="str">
        <f>TEXT(EDATE('Input - Site'!$E$12,5), "mmmm yyyy")</f>
        <v>June 2024</v>
      </c>
      <c r="V61" s="52">
        <f>'4.2.1.1-2 Methane'!X81</f>
        <v>5.1328980481000004</v>
      </c>
      <c r="W61" s="52">
        <f>'4.2.1.1-2 Methane'!Y81</f>
        <v>9.9748588899999984</v>
      </c>
      <c r="X61" s="52">
        <f>'4.2.1.1-2 Methane'!Z81</f>
        <v>4.202705002500001</v>
      </c>
      <c r="Y61" s="52">
        <f>'4.2.1.1-2 Methane'!AA81</f>
        <v>5.9278127841000021</v>
      </c>
      <c r="Z61" s="52">
        <f>'4.2.1.1-2 Methane'!AB81</f>
        <v>7.952343600099999</v>
      </c>
      <c r="AA61" s="52">
        <f>'4.2.1.1-2 Methane'!AC81</f>
        <v>7.952343600099999</v>
      </c>
      <c r="AB61" s="52">
        <f>'4.2.1.1-2 Methane'!AD81</f>
        <v>4.5122681240999984</v>
      </c>
      <c r="AC61" s="52">
        <f>'4.2.1.1-2 Methane'!AE81</f>
        <v>6.8698506815999991</v>
      </c>
      <c r="AD61" s="52">
        <f>'4.2.1.1-2 Methane'!AF81</f>
        <v>6.8698506815999991</v>
      </c>
      <c r="AE61" s="52">
        <f>'4.2.1.1-2 Methane'!AG81</f>
        <v>6.8698506815999991</v>
      </c>
      <c r="AF61" s="2" t="str">
        <f>'4.2.1.1-2 Methane'!AH81</f>
        <v>kg DM/head/day</v>
      </c>
      <c r="AG61" s="2"/>
      <c r="AH61" s="2"/>
    </row>
    <row r="62" spans="4:35" ht="20.100000000000001" customHeight="1" x14ac:dyDescent="0.25">
      <c r="D62" s="52" t="s">
        <v>173</v>
      </c>
      <c r="E62" s="52" cm="1">
        <f t="array" ref="E62">MMS_PastureBeef_Soil_N2ODirect_Equations.VEERG_4_2_1_3__6_IntakeRelativeToMaintenance(E54,E20)</f>
        <v>1.4707970166214006</v>
      </c>
      <c r="F62" s="52" cm="1">
        <f t="array" ref="F62">MMS_PastureBeef_Soil_N2ODirect_Equations.VEERG_4_2_1_3__6_IntakeRelativeToMaintenance(F54,F20)</f>
        <v>1.2318676608114607</v>
      </c>
      <c r="G62" s="52" cm="1">
        <f t="array" ref="G62">MMS_PastureBeef_Soil_N2ODirect_Equations.VEERG_4_2_1_3__6_IntakeRelativeToMaintenance(G54,G20)</f>
        <v>1.3784396841492426</v>
      </c>
      <c r="H62" s="52" cm="1">
        <f t="array" ref="H62">MMS_PastureBeef_Soil_N2ODirect_Equations.VEERG_4_2_1_3__6_IntakeRelativeToMaintenance(H54,H20)</f>
        <v>1.3759787739229594</v>
      </c>
      <c r="I62" s="52" cm="1">
        <f t="array" ref="I62">MMS_PastureBeef_Soil_N2ODirect_Equations.VEERG_4_2_1_3__6_IntakeRelativeToMaintenance(I54,I20)</f>
        <v>1.3440463159462901</v>
      </c>
      <c r="J62" s="52" cm="1">
        <f t="array" ref="J62">MMS_PastureBeef_Soil_N2ODirect_Equations.VEERG_4_2_1_3__6_IntakeRelativeToMaintenance(J54,J20)</f>
        <v>1.3440463159462901</v>
      </c>
      <c r="K62" s="52" cm="1">
        <f t="array" ref="K62">MMS_PastureBeef_Soil_N2ODirect_Equations.VEERG_4_2_1_3__6_IntakeRelativeToMaintenance(K54,K20)</f>
        <v>1.4241682690123998</v>
      </c>
      <c r="L62" s="52" cm="1">
        <f t="array" ref="L62">MMS_PastureBeef_Soil_N2ODirect_Equations.VEERG_4_2_1_3__6_IntakeRelativeToMaintenance(L54,L20)</f>
        <v>1.2663208058014268</v>
      </c>
      <c r="M62" s="52" cm="1">
        <f t="array" ref="M62">MMS_PastureBeef_Soil_N2ODirect_Equations.VEERG_4_2_1_3__6_IntakeRelativeToMaintenance(M54,M20)</f>
        <v>1.2663208058014268</v>
      </c>
      <c r="N62" s="52" cm="1">
        <f t="array" ref="N62">MMS_PastureBeef_Soil_N2ODirect_Equations.VEERG_4_2_1_3__6_IntakeRelativeToMaintenance(N54,N20)</f>
        <v>1.2663208058014268</v>
      </c>
      <c r="O62" s="2" t="str">
        <f>$E$46</f>
        <v>ratio</v>
      </c>
      <c r="U62" s="52" t="str">
        <f>TEXT(EDATE('Input - Site'!$E$12,6), "mmmm yyyy")</f>
        <v>July 2024</v>
      </c>
      <c r="V62" s="52">
        <f>'4.2.1.1-2 Methane'!X82</f>
        <v>5.1328980481000004</v>
      </c>
      <c r="W62" s="52">
        <f>'4.2.1.1-2 Methane'!Y82</f>
        <v>9.9748588899999984</v>
      </c>
      <c r="X62" s="52">
        <f>'4.2.1.1-2 Methane'!Z82</f>
        <v>4.202705002500001</v>
      </c>
      <c r="Y62" s="52">
        <f>'4.2.1.1-2 Methane'!AA82</f>
        <v>5.9278127841000021</v>
      </c>
      <c r="Z62" s="52">
        <f>'4.2.1.1-2 Methane'!AB82</f>
        <v>7.952343600099999</v>
      </c>
      <c r="AA62" s="52">
        <f>'4.2.1.1-2 Methane'!AC82</f>
        <v>7.952343600099999</v>
      </c>
      <c r="AB62" s="52">
        <f>'4.2.1.1-2 Methane'!AD82</f>
        <v>4.5122681240999984</v>
      </c>
      <c r="AC62" s="52">
        <f>'4.2.1.1-2 Methane'!AE82</f>
        <v>6.8698506815999991</v>
      </c>
      <c r="AD62" s="52">
        <f>'4.2.1.1-2 Methane'!AF82</f>
        <v>6.8698506815999991</v>
      </c>
      <c r="AE62" s="52">
        <f>'4.2.1.1-2 Methane'!AG82</f>
        <v>6.8698506815999991</v>
      </c>
      <c r="AF62" s="2" t="str">
        <f>'4.2.1.1-2 Methane'!AH82</f>
        <v>kg DM/head/day</v>
      </c>
      <c r="AG62" s="2"/>
      <c r="AH62" s="2"/>
    </row>
    <row r="63" spans="4:35" ht="20.100000000000001" customHeight="1" x14ac:dyDescent="0.25">
      <c r="D63" s="52" t="s">
        <v>174</v>
      </c>
      <c r="E63" s="52" cm="1">
        <f t="array" ref="E63">MMS_PastureBeef_Soil_N2ODirect_Equations.VEERG_4_2_1_3__6_IntakeRelativeToMaintenance(E55,E21)</f>
        <v>1.1123493391850732</v>
      </c>
      <c r="F63" s="52" cm="1">
        <f t="array" ref="F63">MMS_PastureBeef_Soil_N2ODirect_Equations.VEERG_4_2_1_3__6_IntakeRelativeToMaintenance(F55,F21)</f>
        <v>0.95640681558610863</v>
      </c>
      <c r="G63" s="52" cm="1">
        <f t="array" ref="G63">MMS_PastureBeef_Soil_N2ODirect_Equations.VEERG_4_2_1_3__6_IntakeRelativeToMaintenance(G55,G21)</f>
        <v>1.1234350255113625</v>
      </c>
      <c r="H63" s="52" cm="1">
        <f t="array" ref="H63">MMS_PastureBeef_Soil_N2ODirect_Equations.VEERG_4_2_1_3__6_IntakeRelativeToMaintenance(H55,H21)</f>
        <v>1.1215753644175104</v>
      </c>
      <c r="I63" s="52" cm="1">
        <f t="array" ref="I63">MMS_PastureBeef_Soil_N2ODirect_Equations.VEERG_4_2_1_3__6_IntakeRelativeToMaintenance(I55,I21)</f>
        <v>0.99022539901590001</v>
      </c>
      <c r="J63" s="52" cm="1">
        <f t="array" ref="J63">MMS_PastureBeef_Soil_N2ODirect_Equations.VEERG_4_2_1_3__6_IntakeRelativeToMaintenance(J55,J21)</f>
        <v>0.99022539901590001</v>
      </c>
      <c r="K63" s="52" cm="1">
        <f t="array" ref="K63">MMS_PastureBeef_Soil_N2ODirect_Equations.VEERG_4_2_1_3__6_IntakeRelativeToMaintenance(K55,K21)</f>
        <v>1.1174246366611618</v>
      </c>
      <c r="L63" s="52" cm="1">
        <f t="array" ref="L63">MMS_PastureBeef_Soil_N2ODirect_Equations.VEERG_4_2_1_3__6_IntakeRelativeToMaintenance(L55,L21)</f>
        <v>0.97490853257319487</v>
      </c>
      <c r="M63" s="52" cm="1">
        <f t="array" ref="M63">MMS_PastureBeef_Soil_N2ODirect_Equations.VEERG_4_2_1_3__6_IntakeRelativeToMaintenance(M55,M21)</f>
        <v>0.97490853257319487</v>
      </c>
      <c r="N63" s="52" cm="1">
        <f t="array" ref="N63">MMS_PastureBeef_Soil_N2ODirect_Equations.VEERG_4_2_1_3__6_IntakeRelativeToMaintenance(N55,N21)</f>
        <v>0.97490853257319487</v>
      </c>
      <c r="O63" s="2" t="str">
        <f t="shared" ref="O63:O65" si="2">$E$46</f>
        <v>ratio</v>
      </c>
      <c r="U63" s="52" t="str">
        <f>TEXT(EDATE('Input - Site'!$E$12,7), "mmmm yyyy")</f>
        <v>August 2024</v>
      </c>
      <c r="V63" s="52">
        <f>'4.2.1.1-2 Methane'!X83</f>
        <v>5.1328980481000004</v>
      </c>
      <c r="W63" s="52">
        <f>'4.2.1.1-2 Methane'!Y83</f>
        <v>9.9748588899999984</v>
      </c>
      <c r="X63" s="52">
        <f>'4.2.1.1-2 Methane'!Z83</f>
        <v>4.202705002500001</v>
      </c>
      <c r="Y63" s="52">
        <f>'4.2.1.1-2 Methane'!AA83</f>
        <v>7.2615706605225032</v>
      </c>
      <c r="Z63" s="52">
        <f>'4.2.1.1-2 Methane'!AB83</f>
        <v>9.7416209101224993</v>
      </c>
      <c r="AA63" s="52">
        <f>'4.2.1.1-2 Methane'!AC83</f>
        <v>9.7416209101224993</v>
      </c>
      <c r="AB63" s="52">
        <f>'4.2.1.1-2 Methane'!AD83</f>
        <v>4.5122681240999984</v>
      </c>
      <c r="AC63" s="52">
        <f>'4.2.1.1-2 Methane'!AE83</f>
        <v>6.8698506815999991</v>
      </c>
      <c r="AD63" s="52">
        <f>'4.2.1.1-2 Methane'!AF83</f>
        <v>6.8698506815999991</v>
      </c>
      <c r="AE63" s="52">
        <f>'4.2.1.1-2 Methane'!AG83</f>
        <v>6.8698506815999991</v>
      </c>
      <c r="AF63" s="2" t="str">
        <f>'4.2.1.1-2 Methane'!AH83</f>
        <v>kg DM/head/day</v>
      </c>
      <c r="AG63" s="2"/>
      <c r="AH63" s="2"/>
    </row>
    <row r="64" spans="4:35" ht="20.100000000000001" customHeight="1" x14ac:dyDescent="0.25">
      <c r="D64" s="52" t="s">
        <v>175</v>
      </c>
      <c r="E64" s="52" cm="1">
        <f t="array" ref="E64">MMS_PastureBeef_Soil_N2ODirect_Equations.VEERG_4_2_1_3__6_IntakeRelativeToMaintenance(E56,E22)</f>
        <v>1.2480754440536419</v>
      </c>
      <c r="F64" s="52" cm="1">
        <f t="array" ref="F64">MMS_PastureBeef_Soil_N2ODirect_Equations.VEERG_4_2_1_3__6_IntakeRelativeToMaintenance(F56,F22)</f>
        <v>1</v>
      </c>
      <c r="G64" s="52" cm="1">
        <f t="array" ref="G64">MMS_PastureBeef_Soil_N2ODirect_Equations.VEERG_4_2_1_3__6_IntakeRelativeToMaintenance(G56,G22)</f>
        <v>1.2620356226501883</v>
      </c>
      <c r="H64" s="52" cm="1">
        <f t="array" ref="H64">MMS_PastureBeef_Soil_N2ODirect_Equations.VEERG_4_2_1_3__6_IntakeRelativeToMaintenance(H56,H22)</f>
        <v>1.0698893911586809</v>
      </c>
      <c r="I64" s="52" cm="1">
        <f t="array" ref="I64">MMS_PastureBeef_Soil_N2ODirect_Equations.VEERG_4_2_1_3__6_IntakeRelativeToMaintenance(I56,I22)</f>
        <v>0.87861639465436669</v>
      </c>
      <c r="J64" s="52" cm="1">
        <f t="array" ref="J64">MMS_PastureBeef_Soil_N2ODirect_Equations.VEERG_4_2_1_3__6_IntakeRelativeToMaintenance(J56,J22)</f>
        <v>0.87861639465436669</v>
      </c>
      <c r="K64" s="52" cm="1">
        <f t="array" ref="K64">MMS_PastureBeef_Soil_N2ODirect_Equations.VEERG_4_2_1_3__6_IntakeRelativeToMaintenance(K56,K22)</f>
        <v>1.2480754440536419</v>
      </c>
      <c r="L64" s="52" cm="1">
        <f t="array" ref="L64">MMS_PastureBeef_Soil_N2ODirect_Equations.VEERG_4_2_1_3__6_IntakeRelativeToMaintenance(L56,L22)</f>
        <v>1</v>
      </c>
      <c r="M64" s="52" cm="1">
        <f t="array" ref="M64">MMS_PastureBeef_Soil_N2ODirect_Equations.VEERG_4_2_1_3__6_IntakeRelativeToMaintenance(M56,M22)</f>
        <v>1</v>
      </c>
      <c r="N64" s="52" cm="1">
        <f t="array" ref="N64">MMS_PastureBeef_Soil_N2ODirect_Equations.VEERG_4_2_1_3__6_IntakeRelativeToMaintenance(N56,N22)</f>
        <v>1</v>
      </c>
      <c r="O64" s="2" t="str">
        <f t="shared" si="2"/>
        <v>ratio</v>
      </c>
      <c r="U64" s="52" t="str">
        <f>TEXT(EDATE('Input - Site'!$E$12,8), "mmmm yyyy")</f>
        <v>September 2024</v>
      </c>
      <c r="V64" s="52">
        <f>'4.2.1.1-2 Methane'!X84</f>
        <v>8.6709047296000001</v>
      </c>
      <c r="W64" s="52">
        <f>'4.2.1.1-2 Methane'!Y84</f>
        <v>12.246500250000002</v>
      </c>
      <c r="X64" s="52">
        <f>'4.2.1.1-2 Methane'!Z84</f>
        <v>6.6089612241000006</v>
      </c>
      <c r="Y64" s="52">
        <f>'4.2.1.1-2 Methane'!AA84</f>
        <v>10.624527777622504</v>
      </c>
      <c r="Z64" s="52">
        <f>'4.2.1.1-2 Methane'!AB84</f>
        <v>11.798087161000003</v>
      </c>
      <c r="AA64" s="52">
        <f>'4.2.1.1-2 Methane'!AC84</f>
        <v>11.798087161000003</v>
      </c>
      <c r="AB64" s="52">
        <f>'4.2.1.1-2 Methane'!AD84</f>
        <v>7.6192560899999977</v>
      </c>
      <c r="AC64" s="52">
        <f>'4.2.1.1-2 Methane'!AE84</f>
        <v>9.6824279555999979</v>
      </c>
      <c r="AD64" s="52">
        <f>'4.2.1.1-2 Methane'!AF84</f>
        <v>9.6824279555999979</v>
      </c>
      <c r="AE64" s="52">
        <f>'4.2.1.1-2 Methane'!AG84</f>
        <v>9.6824279555999979</v>
      </c>
      <c r="AF64" s="2" t="str">
        <f>'4.2.1.1-2 Methane'!AH84</f>
        <v>kg DM/head/day</v>
      </c>
      <c r="AG64" s="2"/>
      <c r="AH64" s="2"/>
    </row>
    <row r="65" spans="3:34" ht="20.100000000000001" customHeight="1" x14ac:dyDescent="0.25">
      <c r="D65" s="52" t="s">
        <v>176</v>
      </c>
      <c r="E65" s="52" cm="1">
        <f t="array" ref="E65">MMS_PastureBeef_Soil_N2ODirect_Equations.VEERG_4_2_1_3__6_IntakeRelativeToMaintenance(E57,E23)</f>
        <v>1.3447114471128401</v>
      </c>
      <c r="F65" s="52" cm="1">
        <f t="array" ref="F65">MMS_PastureBeef_Soil_N2ODirect_Equations.VEERG_4_2_1_3__6_IntakeRelativeToMaintenance(F57,F23)</f>
        <v>1.0453721939219578</v>
      </c>
      <c r="G65" s="52" cm="1">
        <f t="array" ref="G65">MMS_PastureBeef_Soil_N2ODirect_Equations.VEERG_4_2_1_3__6_IntakeRelativeToMaintenance(G57,G23)</f>
        <v>1.2863889326974398</v>
      </c>
      <c r="H65" s="52" cm="1">
        <f t="array" ref="H65">MMS_PastureBeef_Soil_N2ODirect_Equations.VEERG_4_2_1_3__6_IntakeRelativeToMaintenance(H57,H23)</f>
        <v>1.2451900780444165</v>
      </c>
      <c r="I65" s="52" cm="1">
        <f t="array" ref="I65">MMS_PastureBeef_Soil_N2ODirect_Equations.VEERG_4_2_1_3__6_IntakeRelativeToMaintenance(I57,I23)</f>
        <v>1.1787902763034313</v>
      </c>
      <c r="J65" s="52" cm="1">
        <f t="array" ref="J65">MMS_PastureBeef_Soil_N2ODirect_Equations.VEERG_4_2_1_3__6_IntakeRelativeToMaintenance(J57,J23)</f>
        <v>1.1787902763034313</v>
      </c>
      <c r="K65" s="52" cm="1">
        <f t="array" ref="K65">MMS_PastureBeef_Soil_N2ODirect_Equations.VEERG_4_2_1_3__6_IntakeRelativeToMaintenance(K57,K23)</f>
        <v>1.2744200407937745</v>
      </c>
      <c r="L65" s="52" cm="1">
        <f t="array" ref="L65">MMS_PastureBeef_Soil_N2ODirect_Equations.VEERG_4_2_1_3__6_IntakeRelativeToMaintenance(L57,L23)</f>
        <v>1.1147815609185805</v>
      </c>
      <c r="M65" s="52" cm="1">
        <f t="array" ref="M65">MMS_PastureBeef_Soil_N2ODirect_Equations.VEERG_4_2_1_3__6_IntakeRelativeToMaintenance(M57,M23)</f>
        <v>1.1147815609185805</v>
      </c>
      <c r="N65" s="52" cm="1">
        <f t="array" ref="N65">MMS_PastureBeef_Soil_N2ODirect_Equations.VEERG_4_2_1_3__6_IntakeRelativeToMaintenance(N57,N23)</f>
        <v>1.1147815609185805</v>
      </c>
      <c r="O65" s="2" t="str">
        <f t="shared" si="2"/>
        <v>ratio</v>
      </c>
      <c r="U65" s="52" t="str">
        <f>TEXT(EDATE('Input - Site'!$E$12,9), "mmmm yyyy")</f>
        <v>October 2024</v>
      </c>
      <c r="V65" s="52">
        <f>'4.2.1.1-2 Methane'!X85</f>
        <v>8.6709047296000001</v>
      </c>
      <c r="W65" s="52">
        <f>'4.2.1.1-2 Methane'!Y85</f>
        <v>12.246500250000002</v>
      </c>
      <c r="X65" s="52">
        <f>'4.2.1.1-2 Methane'!Z85</f>
        <v>6.6089612241000006</v>
      </c>
      <c r="Y65" s="52">
        <f>'4.2.1.1-2 Methane'!AA85</f>
        <v>10.624527777622504</v>
      </c>
      <c r="Z65" s="52">
        <f>'4.2.1.1-2 Methane'!AB85</f>
        <v>11.798087161000003</v>
      </c>
      <c r="AA65" s="52">
        <f>'4.2.1.1-2 Methane'!AC85</f>
        <v>11.798087161000003</v>
      </c>
      <c r="AB65" s="52">
        <f>'4.2.1.1-2 Methane'!AD85</f>
        <v>7.6192560899999977</v>
      </c>
      <c r="AC65" s="52">
        <f>'4.2.1.1-2 Methane'!AE85</f>
        <v>9.6824279555999979</v>
      </c>
      <c r="AD65" s="52">
        <f>'4.2.1.1-2 Methane'!AF85</f>
        <v>9.6824279555999979</v>
      </c>
      <c r="AE65" s="52">
        <f>'4.2.1.1-2 Methane'!AG85</f>
        <v>9.6824279555999979</v>
      </c>
      <c r="AF65" s="2" t="str">
        <f>'4.2.1.1-2 Methane'!AH85</f>
        <v>kg DM/head/day</v>
      </c>
      <c r="AG65" s="2"/>
      <c r="AH65" s="2"/>
    </row>
    <row r="66" spans="3:34" ht="20.100000000000001" customHeight="1" x14ac:dyDescent="0.25">
      <c r="U66" s="52" t="str">
        <f>TEXT(EDATE('Input - Site'!$E$12,10), "mmmm yyyy")</f>
        <v>November 2024</v>
      </c>
      <c r="V66" s="52">
        <f>'4.2.1.1-2 Methane'!X86</f>
        <v>8.6709047296000001</v>
      </c>
      <c r="W66" s="52">
        <f>'4.2.1.1-2 Methane'!Y86</f>
        <v>12.246500250000002</v>
      </c>
      <c r="X66" s="52">
        <f>'4.2.1.1-2 Methane'!Z86</f>
        <v>6.6089612241000006</v>
      </c>
      <c r="Y66" s="52">
        <f>'4.2.1.1-2 Methane'!AA86</f>
        <v>9.3235651926075036</v>
      </c>
      <c r="Z66" s="52">
        <f>'4.2.1.1-2 Methane'!AB86</f>
        <v>10.353423427000003</v>
      </c>
      <c r="AA66" s="52">
        <f>'4.2.1.1-2 Methane'!AC86</f>
        <v>10.353423427000003</v>
      </c>
      <c r="AB66" s="52">
        <f>'4.2.1.1-2 Methane'!AD86</f>
        <v>7.6192560899999977</v>
      </c>
      <c r="AC66" s="52">
        <f>'4.2.1.1-2 Methane'!AE86</f>
        <v>9.6824279555999979</v>
      </c>
      <c r="AD66" s="52">
        <f>'4.2.1.1-2 Methane'!AF86</f>
        <v>9.6824279555999979</v>
      </c>
      <c r="AE66" s="52">
        <f>'4.2.1.1-2 Methane'!AG86</f>
        <v>9.6824279555999979</v>
      </c>
      <c r="AF66" s="2" t="str">
        <f>'4.2.1.1-2 Methane'!AH86</f>
        <v>kg DM/head/day</v>
      </c>
      <c r="AG66" s="2"/>
      <c r="AH66" s="2"/>
    </row>
    <row r="67" spans="3:34" ht="20.100000000000001" customHeight="1" x14ac:dyDescent="0.25">
      <c r="U67" s="52" t="str">
        <f>TEXT(EDATE('Input - Site'!$E$12,11), "mmmm yyyy")</f>
        <v>December 2024</v>
      </c>
      <c r="V67" s="52">
        <f>'4.2.1.1-2 Methane'!X87</f>
        <v>7.1468536895999959</v>
      </c>
      <c r="W67" s="52">
        <f>'4.2.1.1-2 Methane'!Y87</f>
        <v>9.4559940036000008</v>
      </c>
      <c r="X67" s="52">
        <f>'4.2.1.1-2 Methane'!Z87</f>
        <v>6.010342559999998</v>
      </c>
      <c r="Y67" s="52">
        <f>'4.2.1.1-2 Methane'!AA87</f>
        <v>8.4608409301875014</v>
      </c>
      <c r="Z67" s="52">
        <f>'4.2.1.1-2 Methane'!AB87</f>
        <v>8.3772677761199983</v>
      </c>
      <c r="AA67" s="52">
        <f>'4.2.1.1-2 Methane'!AC87</f>
        <v>8.3772677761199983</v>
      </c>
      <c r="AB67" s="52">
        <f>'4.2.1.1-2 Methane'!AD87</f>
        <v>6.5876408896000003</v>
      </c>
      <c r="AC67" s="52">
        <f>'4.2.1.1-2 Methane'!AE87</f>
        <v>7.3430702361</v>
      </c>
      <c r="AD67" s="52">
        <f>'4.2.1.1-2 Methane'!AF87</f>
        <v>7.3430702361</v>
      </c>
      <c r="AE67" s="52">
        <f>'4.2.1.1-2 Methane'!AG87</f>
        <v>7.3430702361</v>
      </c>
      <c r="AF67" s="2" t="str">
        <f>'4.2.1.1-2 Methane'!AH87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9" t="s">
        <v>308</v>
      </c>
    </row>
    <row r="70" spans="3:34" ht="20.100000000000001" customHeight="1" x14ac:dyDescent="0.25">
      <c r="D70" s="5" t="str" cm="1">
        <f t="array" ref="D70">MMS_PastureBeef_Soil_N2ODirect_Equations.VEERG_4_2_1_3__5_MilkProductionForCalvingSeason_Source()</f>
        <v>VEERG 2026: 4.2.1.3, Equation (5)</v>
      </c>
      <c r="U70" s="98" t="s">
        <v>151</v>
      </c>
    </row>
    <row r="71" spans="3:34" ht="20.100000000000001" customHeight="1" x14ac:dyDescent="0.25">
      <c r="D71" s="55"/>
      <c r="U71" s="51" t="s">
        <v>132</v>
      </c>
      <c r="V71" s="51" t="s">
        <v>131</v>
      </c>
      <c r="W71" s="51" t="s">
        <v>130</v>
      </c>
      <c r="X71" s="51" t="s">
        <v>165</v>
      </c>
      <c r="Y71" s="51" t="s">
        <v>166</v>
      </c>
      <c r="Z71" s="51" t="s">
        <v>167</v>
      </c>
      <c r="AA71" s="51" t="s">
        <v>168</v>
      </c>
      <c r="AB71" s="51" t="s">
        <v>169</v>
      </c>
      <c r="AC71" s="51" t="s">
        <v>170</v>
      </c>
      <c r="AD71" s="51" t="s">
        <v>171</v>
      </c>
      <c r="AE71" s="51" t="s">
        <v>172</v>
      </c>
    </row>
    <row r="72" spans="3:34" ht="20.100000000000001" customHeight="1" x14ac:dyDescent="0.25">
      <c r="D72" s="13" t="s">
        <v>27</v>
      </c>
      <c r="E72" s="13" t="s">
        <v>346</v>
      </c>
      <c r="U72" s="52" t="str">
        <f>TEXT('Input - Site'!$E$12, "mmmm yyyy")</f>
        <v>January 2024</v>
      </c>
      <c r="V72" s="52" cm="1">
        <f t="array" ref="V72">MMS_PastureBeef_Soil_N2ODirect_Equations.VEERG_4_2_1_3__6_IntakeRelativeToMaintenance(V56,V20)</f>
        <v>1.1123493391850732</v>
      </c>
      <c r="W72" s="52" cm="1">
        <f t="array" ref="W72">MMS_PastureBeef_Soil_N2ODirect_Equations.VEERG_4_2_1_3__6_IntakeRelativeToMaintenance(W56,W20)</f>
        <v>0.95640681558610863</v>
      </c>
      <c r="X72" s="52" cm="1">
        <f t="array" ref="X72">MMS_PastureBeef_Soil_N2ODirect_Equations.VEERG_4_2_1_3__6_IntakeRelativeToMaintenance(X56,X20)</f>
        <v>1.1234350255113625</v>
      </c>
      <c r="Y72" s="52" cm="1">
        <f t="array" ref="Y72">MMS_PastureBeef_Soil_N2ODirect_Equations.VEERG_4_2_1_3__6_IntakeRelativeToMaintenance(Y56,Y20)</f>
        <v>1.1593206891815613</v>
      </c>
      <c r="Z72" s="52" cm="1">
        <f t="array" ref="Z72">MMS_PastureBeef_Soil_N2ODirect_Equations.VEERG_4_2_1_3__6_IntakeRelativeToMaintenance(Z56,Z20)</f>
        <v>1.0235502922520121</v>
      </c>
      <c r="AA72" s="52" cm="1">
        <f t="array" ref="AA72">MMS_PastureBeef_Soil_N2ODirect_Equations.VEERG_4_2_1_3__6_IntakeRelativeToMaintenance(AA56,AA20)</f>
        <v>1.0235502922520121</v>
      </c>
      <c r="AB72" s="52" cm="1">
        <f t="array" ref="AB72">MMS_PastureBeef_Soil_N2ODirect_Equations.VEERG_4_2_1_3__6_IntakeRelativeToMaintenance(AB56,AB20)</f>
        <v>1.1174246366611618</v>
      </c>
      <c r="AC72" s="52" cm="1">
        <f t="array" ref="AC72">MMS_PastureBeef_Soil_N2ODirect_Equations.VEERG_4_2_1_3__6_IntakeRelativeToMaintenance(AC56,AC20)</f>
        <v>0.97490853257319487</v>
      </c>
      <c r="AD72" s="52" cm="1">
        <f t="array" ref="AD72">MMS_PastureBeef_Soil_N2ODirect_Equations.VEERG_4_2_1_3__6_IntakeRelativeToMaintenance(AD56,AD20)</f>
        <v>0.97490853257319487</v>
      </c>
      <c r="AE72" s="52" cm="1">
        <f t="array" ref="AE72">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2024</v>
      </c>
      <c r="V73" s="52" cm="1">
        <f t="array" ref="V73">MMS_PastureBeef_Soil_N2ODirect_Equations.VEERG_4_2_1_3__6_IntakeRelativeToMaintenance(V57,V21)</f>
        <v>1.1123493391850732</v>
      </c>
      <c r="W73" s="52" cm="1">
        <f t="array" ref="W73">MMS_PastureBeef_Soil_N2ODirect_Equations.VEERG_4_2_1_3__6_IntakeRelativeToMaintenance(W57,W21)</f>
        <v>0.95640681558610863</v>
      </c>
      <c r="X73" s="52" cm="1">
        <f t="array" ref="X73">MMS_PastureBeef_Soil_N2ODirect_Equations.VEERG_4_2_1_3__6_IntakeRelativeToMaintenance(X57,X21)</f>
        <v>1.1234350255113625</v>
      </c>
      <c r="Y73" s="52" cm="1">
        <f t="array" ref="Y73">MMS_PastureBeef_Soil_N2ODirect_Equations.VEERG_4_2_1_3__6_IntakeRelativeToMaintenance(Y57,Y21)</f>
        <v>1.0784378504014522</v>
      </c>
      <c r="Z73" s="52" cm="1">
        <f t="array" ref="Z73">MMS_PastureBeef_Soil_N2ODirect_Equations.VEERG_4_2_1_3__6_IntakeRelativeToMaintenance(Z57,Z21)</f>
        <v>0.95213980674605769</v>
      </c>
      <c r="AA73" s="52" cm="1">
        <f t="array" ref="AA73">MMS_PastureBeef_Soil_N2ODirect_Equations.VEERG_4_2_1_3__6_IntakeRelativeToMaintenance(AA57,AA21)</f>
        <v>0.95213980674605769</v>
      </c>
      <c r="AB73" s="52" cm="1">
        <f t="array" ref="AB73">MMS_PastureBeef_Soil_N2ODirect_Equations.VEERG_4_2_1_3__6_IntakeRelativeToMaintenance(AB57,AB21)</f>
        <v>1.1174246366611618</v>
      </c>
      <c r="AC73" s="52" cm="1">
        <f t="array" ref="AC73">MMS_PastureBeef_Soil_N2ODirect_Equations.VEERG_4_2_1_3__6_IntakeRelativeToMaintenance(AC57,AC21)</f>
        <v>0.97490853257319487</v>
      </c>
      <c r="AD73" s="52" cm="1">
        <f t="array" ref="AD73">MMS_PastureBeef_Soil_N2ODirect_Equations.VEERG_4_2_1_3__6_IntakeRelativeToMaintenance(AD57,AD21)</f>
        <v>0.97490853257319487</v>
      </c>
      <c r="AE73" s="52" cm="1">
        <f t="array" ref="AE73">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2024</v>
      </c>
      <c r="V74" s="52" cm="1">
        <f t="array" ref="V74">MMS_PastureBeef_Soil_N2ODirect_Equations.VEERG_4_2_1_3__6_IntakeRelativeToMaintenance(V58,V22)</f>
        <v>1.2480754440536419</v>
      </c>
      <c r="W74" s="52" cm="1">
        <f t="array" ref="W74">MMS_PastureBeef_Soil_N2ODirect_Equations.VEERG_4_2_1_3__6_IntakeRelativeToMaintenance(W58,W22)</f>
        <v>1</v>
      </c>
      <c r="X74" s="52" cm="1">
        <f t="array" ref="X74">MMS_PastureBeef_Soil_N2ODirect_Equations.VEERG_4_2_1_3__6_IntakeRelativeToMaintenance(X58,X22)</f>
        <v>1.2620356226501883</v>
      </c>
      <c r="Y74" s="52" cm="1">
        <f t="array" ref="Y74">MMS_PastureBeef_Soil_N2ODirect_Equations.VEERG_4_2_1_3__6_IntakeRelativeToMaintenance(Y58,Y22)</f>
        <v>1.0592964268897831</v>
      </c>
      <c r="Z74" s="52" cm="1">
        <f t="array" ref="Z74">MMS_PastureBeef_Soil_N2ODirect_Equations.VEERG_4_2_1_3__6_IntakeRelativeToMaintenance(Z58,Z22)</f>
        <v>0.87861639465436669</v>
      </c>
      <c r="AA74" s="52" cm="1">
        <f t="array" ref="AA74">MMS_PastureBeef_Soil_N2ODirect_Equations.VEERG_4_2_1_3__6_IntakeRelativeToMaintenance(AA58,AA22)</f>
        <v>0.87861639465436669</v>
      </c>
      <c r="AB74" s="52" cm="1">
        <f t="array" ref="AB74">MMS_PastureBeef_Soil_N2ODirect_Equations.VEERG_4_2_1_3__6_IntakeRelativeToMaintenance(AB58,AB22)</f>
        <v>1.2480754440536419</v>
      </c>
      <c r="AC74" s="52" cm="1">
        <f t="array" ref="AC74">MMS_PastureBeef_Soil_N2ODirect_Equations.VEERG_4_2_1_3__6_IntakeRelativeToMaintenance(AC58,AC22)</f>
        <v>1</v>
      </c>
      <c r="AD74" s="52" cm="1">
        <f t="array" ref="AD74">MMS_PastureBeef_Soil_N2ODirect_Equations.VEERG_4_2_1_3__6_IntakeRelativeToMaintenance(AD58,AD22)</f>
        <v>1</v>
      </c>
      <c r="AE74" s="52" cm="1">
        <f t="array" ref="AE74">MMS_PastureBeef_Soil_N2ODirect_Equations.VEERG_4_2_1_3__6_IntakeRelativeToMaintenance(AE58,AE22)</f>
        <v>1</v>
      </c>
      <c r="AF74" s="2" t="str">
        <f t="shared" si="3"/>
        <v>ratio</v>
      </c>
      <c r="AG74" s="2"/>
      <c r="AH74" s="2"/>
    </row>
    <row r="75" spans="3:34" ht="20.100000000000001" customHeight="1" x14ac:dyDescent="0.25">
      <c r="D75" s="53" t="s">
        <v>30</v>
      </c>
      <c r="E75" s="1" t="str" cm="1">
        <f t="array" ref="E75">MMS_PastureBeef_Soil_N2ODirect_Equations.VEERG_4_2_1_3__5_MilkProductionForCalvingSeason_Variable()</f>
        <v>MP_jk5</v>
      </c>
      <c r="U75" s="52" t="str">
        <f>TEXT(EDATE('Input - Site'!$E$12,3), "mmmm yyyy")</f>
        <v>April 2024</v>
      </c>
      <c r="V75" s="52" cm="1">
        <f t="array" ref="V75">MMS_PastureBeef_Soil_N2ODirect_Equations.VEERG_4_2_1_3__6_IntakeRelativeToMaintenance(V59,V23)</f>
        <v>1.2480754440536419</v>
      </c>
      <c r="W75" s="52" cm="1">
        <f t="array" ref="W75">MMS_PastureBeef_Soil_N2ODirect_Equations.VEERG_4_2_1_3__6_IntakeRelativeToMaintenance(W59,W23)</f>
        <v>1</v>
      </c>
      <c r="X75" s="52" cm="1">
        <f t="array" ref="X75">MMS_PastureBeef_Soil_N2ODirect_Equations.VEERG_4_2_1_3__6_IntakeRelativeToMaintenance(X59,X23)</f>
        <v>1.2620356226501883</v>
      </c>
      <c r="Y75" s="52" cm="1">
        <f t="array" ref="Y75">MMS_PastureBeef_Soil_N2ODirect_Equations.VEERG_4_2_1_3__6_IntakeRelativeToMaintenance(Y59,Y23)</f>
        <v>1.0592964268897831</v>
      </c>
      <c r="Z75" s="52" cm="1">
        <f t="array" ref="Z75">MMS_PastureBeef_Soil_N2ODirect_Equations.VEERG_4_2_1_3__6_IntakeRelativeToMaintenance(Z59,Z23)</f>
        <v>0.87861639465436669</v>
      </c>
      <c r="AA75" s="52" cm="1">
        <f t="array" ref="AA75">MMS_PastureBeef_Soil_N2ODirect_Equations.VEERG_4_2_1_3__6_IntakeRelativeToMaintenance(AA59,AA23)</f>
        <v>0.87861639465436669</v>
      </c>
      <c r="AB75" s="52" cm="1">
        <f t="array" ref="AB75">MMS_PastureBeef_Soil_N2ODirect_Equations.VEERG_4_2_1_3__6_IntakeRelativeToMaintenance(AB59,AB23)</f>
        <v>1.2480754440536419</v>
      </c>
      <c r="AC75" s="52" cm="1">
        <f t="array" ref="AC75">MMS_PastureBeef_Soil_N2ODirect_Equations.VEERG_4_2_1_3__6_IntakeRelativeToMaintenance(AC59,AC23)</f>
        <v>1</v>
      </c>
      <c r="AD75" s="52" cm="1">
        <f t="array" ref="AD75">MMS_PastureBeef_Soil_N2ODirect_Equations.VEERG_4_2_1_3__6_IntakeRelativeToMaintenance(AD59,AD23)</f>
        <v>1</v>
      </c>
      <c r="AE75" s="52" cm="1">
        <f t="array" ref="AE75">MMS_PastureBeef_Soil_N2ODirect_Equations.VEERG_4_2_1_3__6_IntakeRelativeToMaintenance(AE59,AE23)</f>
        <v>1</v>
      </c>
      <c r="AF75" s="2" t="str">
        <f t="shared" si="3"/>
        <v>ratio</v>
      </c>
      <c r="AG75" s="2"/>
      <c r="AH75" s="2"/>
    </row>
    <row r="76" spans="3:34" ht="20.100000000000001" customHeight="1" x14ac:dyDescent="0.25">
      <c r="D76" s="53" t="s">
        <v>20</v>
      </c>
      <c r="E76" s="54" t="str" cm="1">
        <f t="array" ref="E76">MMS_PastureBeef_Soil_N2ODirect_Equations.VEERG_4_2_1_3__5_MilkProductionForCalvingSeason_Unit()</f>
        <v>kg/head/day</v>
      </c>
      <c r="U76" s="52" t="str">
        <f>TEXT(EDATE('Input - Site'!$E$12,4), "mmmm yyyy")</f>
        <v>May 2024</v>
      </c>
      <c r="V76" s="52" cm="1">
        <f t="array" ref="V76">MMS_PastureBeef_Soil_N2ODirect_Equations.VEERG_4_2_1_3__6_IntakeRelativeToMaintenance(V60,V24)</f>
        <v>1.2480754440536419</v>
      </c>
      <c r="W76" s="52" cm="1">
        <f t="array" ref="W76">MMS_PastureBeef_Soil_N2ODirect_Equations.VEERG_4_2_1_3__6_IntakeRelativeToMaintenance(W60,W24)</f>
        <v>1</v>
      </c>
      <c r="X76" s="52" cm="1">
        <f t="array" ref="X76">MMS_PastureBeef_Soil_N2ODirect_Equations.VEERG_4_2_1_3__6_IntakeRelativeToMaintenance(X60,X24)</f>
        <v>1.2620356226501883</v>
      </c>
      <c r="Y76" s="52" cm="1">
        <f t="array" ref="Y76">MMS_PastureBeef_Soil_N2ODirect_Equations.VEERG_4_2_1_3__6_IntakeRelativeToMaintenance(Y60,Y24)</f>
        <v>1.0592964268897831</v>
      </c>
      <c r="Z76" s="52" cm="1">
        <f t="array" ref="Z76">MMS_PastureBeef_Soil_N2ODirect_Equations.VEERG_4_2_1_3__6_IntakeRelativeToMaintenance(Z60,Z24)</f>
        <v>0.87861639465436669</v>
      </c>
      <c r="AA76" s="52" cm="1">
        <f t="array" ref="AA76">MMS_PastureBeef_Soil_N2ODirect_Equations.VEERG_4_2_1_3__6_IntakeRelativeToMaintenance(AA60,AA24)</f>
        <v>0.87861639465436669</v>
      </c>
      <c r="AB76" s="52" cm="1">
        <f t="array" ref="AB76">MMS_PastureBeef_Soil_N2ODirect_Equations.VEERG_4_2_1_3__6_IntakeRelativeToMaintenance(AB60,AB24)</f>
        <v>1.2480754440536419</v>
      </c>
      <c r="AC76" s="52" cm="1">
        <f t="array" ref="AC76">MMS_PastureBeef_Soil_N2ODirect_Equations.VEERG_4_2_1_3__6_IntakeRelativeToMaintenance(AC60,AC24)</f>
        <v>1</v>
      </c>
      <c r="AD76" s="52" cm="1">
        <f t="array" ref="AD76">MMS_PastureBeef_Soil_N2ODirect_Equations.VEERG_4_2_1_3__6_IntakeRelativeToMaintenance(AD60,AD24)</f>
        <v>1</v>
      </c>
      <c r="AE76" s="52" cm="1">
        <f t="array" ref="AE76">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2024</v>
      </c>
      <c r="V77" s="52" cm="1">
        <f t="array" ref="V77">MMS_PastureBeef_Soil_N2ODirect_Equations.VEERG_4_2_1_3__6_IntakeRelativeToMaintenance(V61,V25)</f>
        <v>1.3447114471128401</v>
      </c>
      <c r="W77" s="52" cm="1">
        <f t="array" ref="W77">MMS_PastureBeef_Soil_N2ODirect_Equations.VEERG_4_2_1_3__6_IntakeRelativeToMaintenance(W61,W25)</f>
        <v>1.0453721939219578</v>
      </c>
      <c r="X77" s="52" cm="1">
        <f t="array" ref="X77">MMS_PastureBeef_Soil_N2ODirect_Equations.VEERG_4_2_1_3__6_IntakeRelativeToMaintenance(X61,X25)</f>
        <v>1.2863889326974398</v>
      </c>
      <c r="Y77" s="52" cm="1">
        <f t="array" ref="Y77">MMS_PastureBeef_Soil_N2ODirect_Equations.VEERG_4_2_1_3__6_IntakeRelativeToMaintenance(Y61,Y25)</f>
        <v>1.0290827091276171</v>
      </c>
      <c r="Z77" s="52" cm="1">
        <f t="array" ref="Z77">MMS_PastureBeef_Soil_N2ODirect_Equations.VEERG_4_2_1_3__6_IntakeRelativeToMaintenance(Z61,Z25)</f>
        <v>1.0250350228725489</v>
      </c>
      <c r="AA77" s="52" cm="1">
        <f t="array" ref="AA77">MMS_PastureBeef_Soil_N2ODirect_Equations.VEERG_4_2_1_3__6_IntakeRelativeToMaintenance(AA61,AA25)</f>
        <v>1.0250350228725489</v>
      </c>
      <c r="AB77" s="52" cm="1">
        <f t="array" ref="AB77">MMS_PastureBeef_Soil_N2ODirect_Equations.VEERG_4_2_1_3__6_IntakeRelativeToMaintenance(AB61,AB25)</f>
        <v>1.2744200407937745</v>
      </c>
      <c r="AC77" s="52" cm="1">
        <f t="array" ref="AC77">MMS_PastureBeef_Soil_N2ODirect_Equations.VEERG_4_2_1_3__6_IntakeRelativeToMaintenance(AC61,AC25)</f>
        <v>1.1147815609185805</v>
      </c>
      <c r="AD77" s="52" cm="1">
        <f t="array" ref="AD77">MMS_PastureBeef_Soil_N2ODirect_Equations.VEERG_4_2_1_3__6_IntakeRelativeToMaintenance(AD61,AD25)</f>
        <v>1.1147815609185805</v>
      </c>
      <c r="AE77" s="52" cm="1">
        <f t="array" ref="AE77">MMS_PastureBeef_Soil_N2ODirect_Equations.VEERG_4_2_1_3__6_IntakeRelativeToMaintenance(AE61,AE25)</f>
        <v>1.1147815609185805</v>
      </c>
      <c r="AF77" s="2" t="str">
        <f t="shared" si="3"/>
        <v>ratio</v>
      </c>
      <c r="AG77" s="2"/>
      <c r="AH77" s="2"/>
    </row>
    <row r="78" spans="3:34" ht="20.100000000000001" customHeight="1" x14ac:dyDescent="0.25">
      <c r="D78" s="108" t="str" cm="1">
        <f t="array" ref="D78:E82">MMS_PastureBeef_Soil_N2ODirect_Equations.VEERG_4_2_1_3__5_MilkProductionForCalvingSeason_ArgumentsVariation()</f>
        <v>LC_jk5curr</v>
      </c>
      <c r="E78" s="110" t="str">
        <v>proportion of cows greater than 2 years lactating for the season of calving</v>
      </c>
      <c r="F78" s="117"/>
      <c r="G78" s="117"/>
      <c r="H78" s="109"/>
      <c r="I78" s="57" t="str">
        <f>"See " &amp; D84</f>
        <v>See M1_Table_LC_j_k-4-5</v>
      </c>
      <c r="U78" s="52" t="str">
        <f>TEXT(EDATE('Input - Site'!$E$12,6), "mmmm yyyy")</f>
        <v>July 2024</v>
      </c>
      <c r="V78" s="52" cm="1">
        <f t="array" ref="V78">MMS_PastureBeef_Soil_N2ODirect_Equations.VEERG_4_2_1_3__6_IntakeRelativeToMaintenance(V62,V26)</f>
        <v>1.3447114471128401</v>
      </c>
      <c r="W78" s="52" cm="1">
        <f t="array" ref="W78">MMS_PastureBeef_Soil_N2ODirect_Equations.VEERG_4_2_1_3__6_IntakeRelativeToMaintenance(W62,W26)</f>
        <v>1.0453721939219578</v>
      </c>
      <c r="X78" s="52" cm="1">
        <f t="array" ref="X78">MMS_PastureBeef_Soil_N2ODirect_Equations.VEERG_4_2_1_3__6_IntakeRelativeToMaintenance(X62,X26)</f>
        <v>1.2863889326974398</v>
      </c>
      <c r="Y78" s="52" cm="1">
        <f t="array" ref="Y78">MMS_PastureBeef_Soil_N2ODirect_Equations.VEERG_4_2_1_3__6_IntakeRelativeToMaintenance(Y62,Y26)</f>
        <v>1.0290827091276171</v>
      </c>
      <c r="Z78" s="52" cm="1">
        <f t="array" ref="Z78">MMS_PastureBeef_Soil_N2ODirect_Equations.VEERG_4_2_1_3__6_IntakeRelativeToMaintenance(Z62,Z26)</f>
        <v>1.0250350228725489</v>
      </c>
      <c r="AA78" s="52" cm="1">
        <f t="array" ref="AA78">MMS_PastureBeef_Soil_N2ODirect_Equations.VEERG_4_2_1_3__6_IntakeRelativeToMaintenance(AA62,AA26)</f>
        <v>1.0250350228725489</v>
      </c>
      <c r="AB78" s="52" cm="1">
        <f t="array" ref="AB78">MMS_PastureBeef_Soil_N2ODirect_Equations.VEERG_4_2_1_3__6_IntakeRelativeToMaintenance(AB62,AB26)</f>
        <v>1.2744200407937745</v>
      </c>
      <c r="AC78" s="52" cm="1">
        <f t="array" ref="AC78">MMS_PastureBeef_Soil_N2ODirect_Equations.VEERG_4_2_1_3__6_IntakeRelativeToMaintenance(AC62,AC26)</f>
        <v>1.1147815609185805</v>
      </c>
      <c r="AD78" s="52" cm="1">
        <f t="array" ref="AD78">MMS_PastureBeef_Soil_N2ODirect_Equations.VEERG_4_2_1_3__6_IntakeRelativeToMaintenance(AD62,AD26)</f>
        <v>1.1147815609185805</v>
      </c>
      <c r="AE78" s="52" cm="1">
        <f t="array" ref="AE78">MMS_PastureBeef_Soil_N2ODirect_Equations.VEERG_4_2_1_3__6_IntakeRelativeToMaintenance(AE62,AE26)</f>
        <v>1.1147815609185805</v>
      </c>
      <c r="AF78" s="2" t="str">
        <f t="shared" si="3"/>
        <v>ratio</v>
      </c>
      <c r="AG78" s="2"/>
      <c r="AH78" s="2"/>
    </row>
    <row r="79" spans="3:34" ht="20.100000000000001" customHeight="1" x14ac:dyDescent="0.25">
      <c r="D79" s="108" t="str">
        <v>LC_jk5prev</v>
      </c>
      <c r="E79" s="110" t="str">
        <v>proportion of cows greater than 2 years lactating for the season after calving</v>
      </c>
      <c r="F79" s="117"/>
      <c r="G79" s="117"/>
      <c r="H79" s="109"/>
      <c r="I79" s="57" t="str">
        <f>"See " &amp; D84</f>
        <v>See M1_Table_LC_j_k-4-5</v>
      </c>
      <c r="U79" s="52" t="str">
        <f>TEXT(EDATE('Input - Site'!$E$12,7), "mmmm yyyy")</f>
        <v>August 2024</v>
      </c>
      <c r="V79" s="52" cm="1">
        <f t="array" ref="V79">MMS_PastureBeef_Soil_N2ODirect_Equations.VEERG_4_2_1_3__6_IntakeRelativeToMaintenance(V63,V27)</f>
        <v>1.3447114471128401</v>
      </c>
      <c r="W79" s="52" cm="1">
        <f t="array" ref="W79">MMS_PastureBeef_Soil_N2ODirect_Equations.VEERG_4_2_1_3__6_IntakeRelativeToMaintenance(W63,W27)</f>
        <v>1.0453721939219578</v>
      </c>
      <c r="X79" s="52" cm="1">
        <f t="array" ref="X79">MMS_PastureBeef_Soil_N2ODirect_Equations.VEERG_4_2_1_3__6_IntakeRelativeToMaintenance(X63,X27)</f>
        <v>1.2863889326974398</v>
      </c>
      <c r="Y79" s="52" cm="1">
        <f t="array" ref="Y79">MMS_PastureBeef_Soil_N2ODirect_Equations.VEERG_4_2_1_3__6_IntakeRelativeToMaintenance(Y63,Y27)</f>
        <v>1.2606263186813311</v>
      </c>
      <c r="Z79" s="52" cm="1">
        <f t="array" ref="Z79">MMS_PastureBeef_Soil_N2ODirect_Equations.VEERG_4_2_1_3__6_IntakeRelativeToMaintenance(Z63,Z27)</f>
        <v>1.2556679030188727</v>
      </c>
      <c r="AA79" s="52" cm="1">
        <f t="array" ref="AA79">MMS_PastureBeef_Soil_N2ODirect_Equations.VEERG_4_2_1_3__6_IntakeRelativeToMaintenance(AA63,AA27)</f>
        <v>1.2556679030188727</v>
      </c>
      <c r="AB79" s="52" cm="1">
        <f t="array" ref="AB79">MMS_PastureBeef_Soil_N2ODirect_Equations.VEERG_4_2_1_3__6_IntakeRelativeToMaintenance(AB63,AB27)</f>
        <v>1.2744200407937745</v>
      </c>
      <c r="AC79" s="52" cm="1">
        <f t="array" ref="AC79">MMS_PastureBeef_Soil_N2ODirect_Equations.VEERG_4_2_1_3__6_IntakeRelativeToMaintenance(AC63,AC27)</f>
        <v>1.1147815609185805</v>
      </c>
      <c r="AD79" s="52" cm="1">
        <f t="array" ref="AD79">MMS_PastureBeef_Soil_N2ODirect_Equations.VEERG_4_2_1_3__6_IntakeRelativeToMaintenance(AD63,AD27)</f>
        <v>1.1147815609185805</v>
      </c>
      <c r="AE79" s="52" cm="1">
        <f t="array" ref="AE79">MMS_PastureBeef_Soil_N2ODirect_Equations.VEERG_4_2_1_3__6_IntakeRelativeToMaintenance(AE63,AE27)</f>
        <v>1.1147815609185805</v>
      </c>
      <c r="AF79" s="2" t="str">
        <f t="shared" si="3"/>
        <v>ratio</v>
      </c>
      <c r="AG79" s="2"/>
      <c r="AH79" s="2"/>
    </row>
    <row r="80" spans="3:34" ht="20.100000000000001" customHeight="1" x14ac:dyDescent="0.25">
      <c r="D80" s="108" t="str">
        <v>DMP_jk5calv</v>
      </c>
      <c r="E80" s="110" t="str">
        <v>daily milk production for the season of calving (kg/head/day)</v>
      </c>
      <c r="F80" s="117"/>
      <c r="G80" s="117"/>
      <c r="H80" s="109"/>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2024</v>
      </c>
      <c r="V80" s="52" cm="1">
        <f t="array" ref="V80">MMS_PastureBeef_Soil_N2ODirect_Equations.VEERG_4_2_1_3__6_IntakeRelativeToMaintenance(V64,V28)</f>
        <v>1.4707970166214006</v>
      </c>
      <c r="W80" s="52" cm="1">
        <f t="array" ref="W80">MMS_PastureBeef_Soil_N2ODirect_Equations.VEERG_4_2_1_3__6_IntakeRelativeToMaintenance(W64,W28)</f>
        <v>1.2318676608114607</v>
      </c>
      <c r="X80" s="52" cm="1">
        <f t="array" ref="X80">MMS_PastureBeef_Soil_N2ODirect_Equations.VEERG_4_2_1_3__6_IntakeRelativeToMaintenance(X64,X28)</f>
        <v>1.3784396841492426</v>
      </c>
      <c r="Y80" s="52" cm="1">
        <f t="array" ref="Y80">MMS_PastureBeef_Soil_N2ODirect_Equations.VEERG_4_2_1_3__6_IntakeRelativeToMaintenance(Y64,Y28)</f>
        <v>1.5323399982323869</v>
      </c>
      <c r="Z80" s="52" cm="1">
        <f t="array" ref="Z80">MMS_PastureBeef_Soil_N2ODirect_Equations.VEERG_4_2_1_3__6_IntakeRelativeToMaintenance(Z64,Z28)</f>
        <v>1.4072279803711161</v>
      </c>
      <c r="AA80" s="52" cm="1">
        <f t="array" ref="AA80">MMS_PastureBeef_Soil_N2ODirect_Equations.VEERG_4_2_1_3__6_IntakeRelativeToMaintenance(AA64,AA28)</f>
        <v>1.4072279803711161</v>
      </c>
      <c r="AB80" s="52" cm="1">
        <f t="array" ref="AB80">MMS_PastureBeef_Soil_N2ODirect_Equations.VEERG_4_2_1_3__6_IntakeRelativeToMaintenance(AB64,AB28)</f>
        <v>1.4241682690123998</v>
      </c>
      <c r="AC80" s="52" cm="1">
        <f t="array" ref="AC80">MMS_PastureBeef_Soil_N2ODirect_Equations.VEERG_4_2_1_3__6_IntakeRelativeToMaintenance(AC64,AC28)</f>
        <v>1.2663208058014268</v>
      </c>
      <c r="AD80" s="52" cm="1">
        <f t="array" ref="AD80">MMS_PastureBeef_Soil_N2ODirect_Equations.VEERG_4_2_1_3__6_IntakeRelativeToMaintenance(AD64,AD28)</f>
        <v>1.2663208058014268</v>
      </c>
      <c r="AE80" s="52" cm="1">
        <f t="array" ref="AE80">MMS_PastureBeef_Soil_N2ODirect_Equations.VEERG_4_2_1_3__6_IntakeRelativeToMaintenance(AE64,AE28)</f>
        <v>1.2663208058014268</v>
      </c>
      <c r="AF80" s="2" t="str">
        <f t="shared" si="3"/>
        <v>ratio</v>
      </c>
      <c r="AG80" s="2"/>
      <c r="AH80" s="2"/>
    </row>
    <row r="81" spans="4:35" ht="20.100000000000001" customHeight="1" x14ac:dyDescent="0.25">
      <c r="D81" s="108" t="str">
        <v>DMP_jk5after</v>
      </c>
      <c r="E81" s="110" t="str">
        <v>daily milk production for the season after calving (kg/head/day)</v>
      </c>
      <c r="F81" s="117"/>
      <c r="G81" s="117"/>
      <c r="H81" s="109"/>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2024</v>
      </c>
      <c r="V81" s="52" cm="1">
        <f t="array" ref="V81">MMS_PastureBeef_Soil_N2ODirect_Equations.VEERG_4_2_1_3__6_IntakeRelativeToMaintenance(V65,V29)</f>
        <v>1.4707970166214006</v>
      </c>
      <c r="W81" s="52" cm="1">
        <f t="array" ref="W81">MMS_PastureBeef_Soil_N2ODirect_Equations.VEERG_4_2_1_3__6_IntakeRelativeToMaintenance(W65,W29)</f>
        <v>1.2318676608114607</v>
      </c>
      <c r="X81" s="52" cm="1">
        <f t="array" ref="X81">MMS_PastureBeef_Soil_N2ODirect_Equations.VEERG_4_2_1_3__6_IntakeRelativeToMaintenance(X65,X29)</f>
        <v>1.3784396841492426</v>
      </c>
      <c r="Y81" s="52" cm="1">
        <f t="array" ref="Y81">MMS_PastureBeef_Soil_N2ODirect_Equations.VEERG_4_2_1_3__6_IntakeRelativeToMaintenance(Y65,Y29)</f>
        <v>1.5323399982323869</v>
      </c>
      <c r="Z81" s="52" cm="1">
        <f t="array" ref="Z81">MMS_PastureBeef_Soil_N2ODirect_Equations.VEERG_4_2_1_3__6_IntakeRelativeToMaintenance(Z65,Z29)</f>
        <v>1.4072279803711161</v>
      </c>
      <c r="AA81" s="52" cm="1">
        <f t="array" ref="AA81">MMS_PastureBeef_Soil_N2ODirect_Equations.VEERG_4_2_1_3__6_IntakeRelativeToMaintenance(AA65,AA29)</f>
        <v>1.4072279803711161</v>
      </c>
      <c r="AB81" s="52" cm="1">
        <f t="array" ref="AB81">MMS_PastureBeef_Soil_N2ODirect_Equations.VEERG_4_2_1_3__6_IntakeRelativeToMaintenance(AB65,AB29)</f>
        <v>1.4241682690123998</v>
      </c>
      <c r="AC81" s="52" cm="1">
        <f t="array" ref="AC81">MMS_PastureBeef_Soil_N2ODirect_Equations.VEERG_4_2_1_3__6_IntakeRelativeToMaintenance(AC65,AC29)</f>
        <v>1.2663208058014268</v>
      </c>
      <c r="AD81" s="52" cm="1">
        <f t="array" ref="AD81">MMS_PastureBeef_Soil_N2ODirect_Equations.VEERG_4_2_1_3__6_IntakeRelativeToMaintenance(AD65,AD29)</f>
        <v>1.2663208058014268</v>
      </c>
      <c r="AE81" s="52" cm="1">
        <f t="array" ref="AE81">MMS_PastureBeef_Soil_N2ODirect_Equations.VEERG_4_2_1_3__6_IntakeRelativeToMaintenance(AE65,AE29)</f>
        <v>1.2663208058014268</v>
      </c>
      <c r="AF81" s="2" t="str">
        <f t="shared" si="3"/>
        <v>ratio</v>
      </c>
      <c r="AG81" s="2"/>
      <c r="AH81" s="2"/>
    </row>
    <row r="82" spans="4:35" ht="20.100000000000001" customHeight="1" x14ac:dyDescent="0.25">
      <c r="D82" s="108" t="str">
        <v>b</v>
      </c>
      <c r="E82" s="110" t="str">
        <v>breed of cattle</v>
      </c>
      <c r="F82" s="117"/>
      <c r="G82" s="117"/>
      <c r="H82" s="109"/>
      <c r="I82" s="57" t="str">
        <f>'Input - Pasture Beef'!$E$9</f>
        <v>Hereford or Shorthorn breeds</v>
      </c>
      <c r="U82" s="52" t="str">
        <f>TEXT(EDATE('Input - Site'!$E$12,10), "mmmm yyyy")</f>
        <v>November 2024</v>
      </c>
      <c r="V82" s="52" cm="1">
        <f t="array" ref="V82">MMS_PastureBeef_Soil_N2ODirect_Equations.VEERG_4_2_1_3__6_IntakeRelativeToMaintenance(V66,V30)</f>
        <v>1.4707970166214006</v>
      </c>
      <c r="W82" s="52" cm="1">
        <f t="array" ref="W82">MMS_PastureBeef_Soil_N2ODirect_Equations.VEERG_4_2_1_3__6_IntakeRelativeToMaintenance(W66,W30)</f>
        <v>1.2318676608114607</v>
      </c>
      <c r="X82" s="52" cm="1">
        <f t="array" ref="X82">MMS_PastureBeef_Soil_N2ODirect_Equations.VEERG_4_2_1_3__6_IntakeRelativeToMaintenance(X66,X30)</f>
        <v>1.3784396841492426</v>
      </c>
      <c r="Y82" s="52" cm="1">
        <f t="array" ref="Y82">MMS_PastureBeef_Soil_N2ODirect_Equations.VEERG_4_2_1_3__6_IntakeRelativeToMaintenance(Y66,Y30)</f>
        <v>1.3447065290610742</v>
      </c>
      <c r="Z82" s="52" cm="1">
        <f t="array" ref="Z82">MMS_PastureBeef_Soil_N2ODirect_Equations.VEERG_4_2_1_3__6_IntakeRelativeToMaintenance(Z66,Z30)</f>
        <v>1.2349143501215916</v>
      </c>
      <c r="AA82" s="52" cm="1">
        <f t="array" ref="AA82">MMS_PastureBeef_Soil_N2ODirect_Equations.VEERG_4_2_1_3__6_IntakeRelativeToMaintenance(AA66,AA30)</f>
        <v>1.2349143501215916</v>
      </c>
      <c r="AB82" s="52" cm="1">
        <f t="array" ref="AB82">MMS_PastureBeef_Soil_N2ODirect_Equations.VEERG_4_2_1_3__6_IntakeRelativeToMaintenance(AB66,AB30)</f>
        <v>1.4241682690123998</v>
      </c>
      <c r="AC82" s="52" cm="1">
        <f t="array" ref="AC82">MMS_PastureBeef_Soil_N2ODirect_Equations.VEERG_4_2_1_3__6_IntakeRelativeToMaintenance(AC66,AC30)</f>
        <v>1.2663208058014268</v>
      </c>
      <c r="AD82" s="52" cm="1">
        <f t="array" ref="AD82">MMS_PastureBeef_Soil_N2ODirect_Equations.VEERG_4_2_1_3__6_IntakeRelativeToMaintenance(AD66,AD30)</f>
        <v>1.2663208058014268</v>
      </c>
      <c r="AE82" s="52" cm="1">
        <f t="array" ref="AE82">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2024</v>
      </c>
      <c r="V83" s="52" cm="1">
        <f t="array" ref="V83">MMS_PastureBeef_Soil_N2ODirect_Equations.VEERG_4_2_1_3__6_IntakeRelativeToMaintenance(V67,V31)</f>
        <v>1.1123493391850732</v>
      </c>
      <c r="W83" s="52" cm="1">
        <f t="array" ref="W83">MMS_PastureBeef_Soil_N2ODirect_Equations.VEERG_4_2_1_3__6_IntakeRelativeToMaintenance(W67,W31)</f>
        <v>0.95640681558610863</v>
      </c>
      <c r="X83" s="52" cm="1">
        <f t="array" ref="X83">MMS_PastureBeef_Soil_N2ODirect_Equations.VEERG_4_2_1_3__6_IntakeRelativeToMaintenance(X67,X31)</f>
        <v>1.1234350255113625</v>
      </c>
      <c r="Y83" s="52" cm="1">
        <f t="array" ref="Y83">MMS_PastureBeef_Soil_N2ODirect_Equations.VEERG_4_2_1_3__6_IntakeRelativeToMaintenance(Y67,Y31)</f>
        <v>1.1593206891815613</v>
      </c>
      <c r="Z83" s="52" cm="1">
        <f t="array" ref="Z83">MMS_PastureBeef_Soil_N2ODirect_Equations.VEERG_4_2_1_3__6_IntakeRelativeToMaintenance(Z67,Z31)</f>
        <v>1.0235502922520121</v>
      </c>
      <c r="AA83" s="52" cm="1">
        <f t="array" ref="AA83">MMS_PastureBeef_Soil_N2ODirect_Equations.VEERG_4_2_1_3__6_IntakeRelativeToMaintenance(AA67,AA31)</f>
        <v>1.0235502922520121</v>
      </c>
      <c r="AB83" s="52" cm="1">
        <f t="array" ref="AB83">MMS_PastureBeef_Soil_N2ODirect_Equations.VEERG_4_2_1_3__6_IntakeRelativeToMaintenance(AB67,AB31)</f>
        <v>1.1174246366611618</v>
      </c>
      <c r="AC83" s="52" cm="1">
        <f t="array" ref="AC83">MMS_PastureBeef_Soil_N2ODirect_Equations.VEERG_4_2_1_3__6_IntakeRelativeToMaintenance(AC67,AC31)</f>
        <v>0.97490853257319487</v>
      </c>
      <c r="AD83" s="52" cm="1">
        <f t="array" ref="AD83">MMS_PastureBeef_Soil_N2ODirect_Equations.VEERG_4_2_1_3__6_IntakeRelativeToMaintenance(AD67,AD31)</f>
        <v>0.97490853257319487</v>
      </c>
      <c r="AE83" s="52" cm="1">
        <f t="array" ref="AE83">MMS_PastureBeef_Soil_N2ODirect_Equations.VEERG_4_2_1_3__6_IntakeRelativeToMaintenance(AE67,AE31)</f>
        <v>0.97490853257319487</v>
      </c>
      <c r="AF83" s="2" t="str">
        <f t="shared" si="3"/>
        <v>ratio</v>
      </c>
      <c r="AG83" s="2"/>
      <c r="AH83" s="2"/>
    </row>
    <row r="84" spans="4:35" ht="20.100000000000001" customHeight="1" x14ac:dyDescent="0.25">
      <c r="D84" s="99" t="s">
        <v>230</v>
      </c>
    </row>
    <row r="85" spans="4:35" ht="20.100000000000001" customHeight="1" x14ac:dyDescent="0.25">
      <c r="D85" s="98" t="s">
        <v>253</v>
      </c>
    </row>
    <row r="86" spans="4:35" ht="20.100000000000001" customHeight="1" x14ac:dyDescent="0.25">
      <c r="D86" s="51" t="s">
        <v>184</v>
      </c>
      <c r="E86" s="51" t="s">
        <v>166</v>
      </c>
      <c r="F86" s="51" t="s">
        <v>167</v>
      </c>
      <c r="G86" s="51" t="s">
        <v>168</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Beef'!$E$104</f>
        <v>Winter</v>
      </c>
      <c r="E87" s="52">
        <f>'Input - Pasture Beef'!$F$110</f>
        <v>0.7</v>
      </c>
      <c r="F87" s="52">
        <f>'Input - Pasture Beef'!$G$110</f>
        <v>0.5</v>
      </c>
      <c r="G87" s="52">
        <f>'Input - Pasture Beef'!$H$110</f>
        <v>0.5</v>
      </c>
      <c r="H87" s="2" t="s">
        <v>100</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9" t="s">
        <v>249</v>
      </c>
    </row>
    <row r="90" spans="4:35" ht="20.100000000000001" customHeight="1" x14ac:dyDescent="0.25">
      <c r="U90" s="98" t="s">
        <v>250</v>
      </c>
    </row>
    <row r="91" spans="4:35" ht="20.100000000000001" customHeight="1" x14ac:dyDescent="0.25">
      <c r="U91" s="51" t="s">
        <v>132</v>
      </c>
      <c r="V91" s="51" t="s">
        <v>166</v>
      </c>
      <c r="W91" s="51" t="s">
        <v>167</v>
      </c>
      <c r="X91" s="51" t="s">
        <v>168</v>
      </c>
    </row>
    <row r="92" spans="4:35" ht="20.100000000000001" customHeight="1" x14ac:dyDescent="0.25">
      <c r="D92" s="99" t="s">
        <v>294</v>
      </c>
      <c r="U92" s="52" t="str">
        <f>TEXT(EDATE('Input - Pasture Beef'!$D$124,0), "mmmm") &amp; ", " &amp; TEXT(EDATE('Input - Pasture Beef'!$D$125,0), "mmmm") &amp; ", " &amp; TEXT(EDATE('Input - Pasture Beef'!$D$126,0), "mmmm")</f>
        <v>August, September, October</v>
      </c>
      <c r="V92" s="52">
        <f>'Input - Pasture Beef'!$E$127</f>
        <v>0.75</v>
      </c>
      <c r="W92" s="52">
        <f>'Input - Pasture Beef'!$F$127</f>
        <v>0.75</v>
      </c>
      <c r="X92" s="52">
        <f>'Input - Pasture Beef'!$G$127</f>
        <v>0.75</v>
      </c>
      <c r="Y92" s="2" t="s">
        <v>100</v>
      </c>
    </row>
    <row r="93" spans="4:35" ht="20.100000000000001" customHeight="1" x14ac:dyDescent="0.25">
      <c r="D93" s="98" t="s">
        <v>135</v>
      </c>
      <c r="U93" s="52" t="str">
        <f>TEXT(EDATE('Input - Pasture Beef'!$D$126,1), "mmmm") &amp; ", " &amp; TEXT(EDATE('Input - Pasture Beef'!$D$126,2), "mmmm") &amp; ", " &amp; TEXT(EDATE('Input - Pasture Beef'!$D$126,3), "mmmm")</f>
        <v>November, December, January</v>
      </c>
      <c r="Y93" s="2"/>
    </row>
    <row r="94" spans="4:35" ht="20.100000000000001" customHeight="1" x14ac:dyDescent="0.25">
      <c r="D94" s="51" t="s">
        <v>184</v>
      </c>
      <c r="E94" s="51" t="s">
        <v>246</v>
      </c>
      <c r="F94" s="51" t="s">
        <v>345</v>
      </c>
      <c r="G94" s="51" t="s">
        <v>131</v>
      </c>
      <c r="H94" s="51" t="s">
        <v>130</v>
      </c>
      <c r="I94" s="51" t="s">
        <v>165</v>
      </c>
      <c r="J94" s="51" t="s">
        <v>166</v>
      </c>
      <c r="K94" s="51" t="s">
        <v>167</v>
      </c>
      <c r="L94" s="51" t="s">
        <v>168</v>
      </c>
      <c r="M94" s="51" t="s">
        <v>169</v>
      </c>
      <c r="N94" s="51" t="s">
        <v>170</v>
      </c>
      <c r="O94" s="51" t="s">
        <v>171</v>
      </c>
      <c r="P94" s="51" t="s">
        <v>172</v>
      </c>
    </row>
    <row r="95" spans="4:35" ht="20.100000000000001" customHeight="1" x14ac:dyDescent="0.25">
      <c r="D95" s="52" t="str">
        <f>'4.2.1.1-2 Methane'!D30</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2.8</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'4.2.1.1-2 Methane'!D31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'4.2.1.1-2 Methane'!D32</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9" t="s">
        <v>294</v>
      </c>
    </row>
    <row r="98" spans="3:34" ht="20.100000000000001" customHeight="1" x14ac:dyDescent="0.25">
      <c r="D98" s="52" t="str">
        <f>'4.2.1.1-2 Methane'!D33</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4.1999999999999993</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8" t="s">
        <v>135</v>
      </c>
    </row>
    <row r="99" spans="3:34" ht="20.100000000000001" customHeight="1" x14ac:dyDescent="0.25">
      <c r="U99" s="51" t="s">
        <v>132</v>
      </c>
      <c r="V99" s="51" t="s">
        <v>246</v>
      </c>
      <c r="W99" s="51" t="s">
        <v>345</v>
      </c>
      <c r="X99" s="51" t="s">
        <v>131</v>
      </c>
      <c r="Y99" s="51" t="s">
        <v>130</v>
      </c>
      <c r="Z99" s="51" t="s">
        <v>165</v>
      </c>
      <c r="AA99" s="51" t="s">
        <v>166</v>
      </c>
      <c r="AB99" s="51" t="s">
        <v>167</v>
      </c>
      <c r="AC99" s="51" t="s">
        <v>168</v>
      </c>
      <c r="AD99" s="51" t="s">
        <v>169</v>
      </c>
      <c r="AE99" s="51" t="s">
        <v>170</v>
      </c>
      <c r="AF99" s="51" t="s">
        <v>171</v>
      </c>
      <c r="AG99" s="51" t="s">
        <v>172</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27</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30</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20</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08" t="str" cm="1">
        <f t="array" ref="D111:E114">MMS_PastureBeef_Soil_N2ODirect_Equations.VEERG_4_2_1_3__4_NitrogenRetainedByBody_Arguments()</f>
        <v>MP_jk5</v>
      </c>
      <c r="E111" s="110" t="str">
        <v>milk production (kg/head/day)</v>
      </c>
      <c r="F111" s="109"/>
      <c r="G111" s="108" t="str">
        <f>"See " &amp; D92</f>
        <v>See 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08" t="str">
        <v>L_jkl</v>
      </c>
      <c r="E112" s="110" t="str">
        <v>intake relative to that needed for maintenance</v>
      </c>
      <c r="F112" s="109"/>
      <c r="G112" s="108" t="str">
        <f>"See " &amp; D59</f>
        <v>See M1_Table_L_j_k_l</v>
      </c>
    </row>
    <row r="113" spans="4:35" ht="20.100000000000001" customHeight="1" x14ac:dyDescent="0.25">
      <c r="D113" s="108" t="str">
        <v>Z_jkl</v>
      </c>
      <c r="E113" s="110" t="str">
        <v>relative size</v>
      </c>
      <c r="F113" s="109"/>
      <c r="G113" s="108" t="str">
        <f>"See " &amp; D30</f>
        <v>See M1_Table_Z_j_k_l</v>
      </c>
    </row>
    <row r="114" spans="4:35" ht="20.100000000000001" customHeight="1" x14ac:dyDescent="0.25">
      <c r="D114" s="108" t="str">
        <v>LWG_jkl</v>
      </c>
      <c r="E114" s="110" t="str">
        <v>liveweight gain (kg/head/day)</v>
      </c>
      <c r="F114" s="109"/>
      <c r="G114" s="108" t="str">
        <f>"See " &amp; D116</f>
        <v>See 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9" t="s">
        <v>242</v>
      </c>
    </row>
    <row r="117" spans="4:35" ht="20.100000000000001" customHeight="1" x14ac:dyDescent="0.25">
      <c r="D117" s="98" t="s">
        <v>243</v>
      </c>
      <c r="U117" s="99" t="s">
        <v>256</v>
      </c>
    </row>
    <row r="118" spans="4:35" ht="20.100000000000001" customHeight="1" x14ac:dyDescent="0.25">
      <c r="D118" s="51" t="s">
        <v>184</v>
      </c>
      <c r="E118" s="51" t="s">
        <v>131</v>
      </c>
      <c r="F118" s="51" t="s">
        <v>130</v>
      </c>
      <c r="G118" s="51" t="s">
        <v>165</v>
      </c>
      <c r="H118" s="51" t="s">
        <v>166</v>
      </c>
      <c r="I118" s="51" t="s">
        <v>167</v>
      </c>
      <c r="J118" s="51" t="s">
        <v>168</v>
      </c>
      <c r="K118" s="51" t="s">
        <v>169</v>
      </c>
      <c r="L118" s="51" t="s">
        <v>170</v>
      </c>
      <c r="M118" s="51" t="s">
        <v>171</v>
      </c>
      <c r="N118" s="51" t="s">
        <v>172</v>
      </c>
      <c r="U118" s="98" t="s">
        <v>257</v>
      </c>
    </row>
    <row r="119" spans="4:35" ht="20.100000000000001" customHeight="1" x14ac:dyDescent="0.25">
      <c r="D119" s="52" t="str">
        <f>'Input - Pasture Beef'!D82</f>
        <v>Spring</v>
      </c>
      <c r="E119" s="52">
        <f>'Input - Pasture Beef'!E82</f>
        <v>1.64</v>
      </c>
      <c r="F119" s="52">
        <f>'Input - Pasture Beef'!F82</f>
        <v>1.1000000000000001</v>
      </c>
      <c r="G119" s="52">
        <f>'Input - Pasture Beef'!G82</f>
        <v>1.21</v>
      </c>
      <c r="H119" s="52">
        <f>'Input - Pasture Beef'!H82</f>
        <v>0.99</v>
      </c>
      <c r="I119" s="52">
        <f>'Input - Pasture Beef'!I82</f>
        <v>0.66</v>
      </c>
      <c r="J119" s="52">
        <f>'Input - Pasture Beef'!J82</f>
        <v>0.66</v>
      </c>
      <c r="K119" s="52">
        <f>'Input - Pasture Beef'!K82</f>
        <v>1.42</v>
      </c>
      <c r="L119" s="52">
        <f>'Input - Pasture Beef'!L82</f>
        <v>1.1000000000000001</v>
      </c>
      <c r="M119" s="52">
        <f>'Input - Pasture Beef'!M82</f>
        <v>1.1000000000000001</v>
      </c>
      <c r="N119" s="52">
        <f>'Input - Pasture Beef'!N82</f>
        <v>1.1000000000000001</v>
      </c>
      <c r="O119" s="2" t="s">
        <v>133</v>
      </c>
      <c r="U119" s="51" t="s">
        <v>132</v>
      </c>
      <c r="V119" s="51" t="s">
        <v>131</v>
      </c>
      <c r="W119" s="51" t="s">
        <v>130</v>
      </c>
      <c r="X119" s="51" t="s">
        <v>165</v>
      </c>
      <c r="Y119" s="51" t="s">
        <v>166</v>
      </c>
      <c r="Z119" s="51" t="s">
        <v>167</v>
      </c>
      <c r="AA119" s="51" t="s">
        <v>168</v>
      </c>
      <c r="AB119" s="51" t="s">
        <v>169</v>
      </c>
      <c r="AC119" s="51" t="s">
        <v>170</v>
      </c>
      <c r="AD119" s="51" t="s">
        <v>171</v>
      </c>
      <c r="AE119" s="51" t="s">
        <v>172</v>
      </c>
    </row>
    <row r="120" spans="4:35" ht="20.100000000000001" customHeight="1" x14ac:dyDescent="0.25">
      <c r="D120" s="52" t="str">
        <f>'Input - Pasture Beef'!D83</f>
        <v>Summer</v>
      </c>
      <c r="E120" s="52">
        <f>'Input - Pasture Beef'!E83</f>
        <v>0.44</v>
      </c>
      <c r="F120" s="52">
        <f>'Input - Pasture Beef'!F83</f>
        <v>-0.22</v>
      </c>
      <c r="G120" s="52">
        <f>'Input - Pasture Beef'!G83</f>
        <v>0.44</v>
      </c>
      <c r="H120" s="52">
        <f>'Input - Pasture Beef'!H83</f>
        <v>0.33</v>
      </c>
      <c r="I120" s="52">
        <f>'Input - Pasture Beef'!I83</f>
        <v>-0.22</v>
      </c>
      <c r="J120" s="52">
        <f>'Input - Pasture Beef'!J83</f>
        <v>-0.22</v>
      </c>
      <c r="K120" s="52">
        <f>'Input - Pasture Beef'!K83</f>
        <v>0.44</v>
      </c>
      <c r="L120" s="52">
        <f>'Input - Pasture Beef'!L83</f>
        <v>-0.11</v>
      </c>
      <c r="M120" s="52">
        <f>'Input - Pasture Beef'!M83</f>
        <v>-0.11</v>
      </c>
      <c r="N120" s="52">
        <f>'Input - Pasture Beef'!N83</f>
        <v>-0.11</v>
      </c>
      <c r="O120" s="2" t="s">
        <v>133</v>
      </c>
      <c r="U120" s="52" t="str">
        <f>TEXT('Input - Site'!$E$12, "mmmm yyyy")</f>
        <v>January 2024</v>
      </c>
      <c r="V120" s="52">
        <f>'Input - Pasture Beef'!E88</f>
        <v>0.44</v>
      </c>
      <c r="W120" s="52">
        <f>'Input - Pasture Beef'!F88</f>
        <v>-0.22</v>
      </c>
      <c r="X120" s="52">
        <f>'Input - Pasture Beef'!G88</f>
        <v>0.44</v>
      </c>
      <c r="Y120" s="52">
        <f>'Input - Pasture Beef'!H88</f>
        <v>0.33</v>
      </c>
      <c r="Z120" s="52">
        <f>'Input - Pasture Beef'!I88</f>
        <v>-0.22</v>
      </c>
      <c r="AA120" s="52">
        <f>'Input - Pasture Beef'!J88</f>
        <v>-0.22</v>
      </c>
      <c r="AB120" s="52">
        <f>'Input - Pasture Beef'!K88</f>
        <v>0.44</v>
      </c>
      <c r="AC120" s="52">
        <f>'Input - Pasture Beef'!L88</f>
        <v>-0.11</v>
      </c>
      <c r="AD120" s="52">
        <f>'Input - Pasture Beef'!M88</f>
        <v>-0.11</v>
      </c>
      <c r="AE120" s="52">
        <f>'Input - Pasture Beef'!N88</f>
        <v>-0.11</v>
      </c>
      <c r="AF120" s="2" t="s">
        <v>134</v>
      </c>
      <c r="AG120" s="2"/>
      <c r="AH120" s="2"/>
    </row>
    <row r="121" spans="4:35" ht="20.100000000000001" customHeight="1" x14ac:dyDescent="0.25">
      <c r="D121" s="52" t="str">
        <f>'Input - Pasture Beef'!D84</f>
        <v>Autumn</v>
      </c>
      <c r="E121" s="52">
        <f>'Input - Pasture Beef'!E84</f>
        <v>0.6</v>
      </c>
      <c r="F121" s="52">
        <f>'Input - Pasture Beef'!F84</f>
        <v>0</v>
      </c>
      <c r="G121" s="52">
        <f>'Input - Pasture Beef'!G84</f>
        <v>0.6</v>
      </c>
      <c r="H121" s="52">
        <f>'Input - Pasture Beef'!H84</f>
        <v>0.22</v>
      </c>
      <c r="I121" s="52">
        <f>'Input - Pasture Beef'!I84</f>
        <v>-0.55000000000000004</v>
      </c>
      <c r="J121" s="52">
        <f>'Input - Pasture Beef'!J84</f>
        <v>-0.55000000000000004</v>
      </c>
      <c r="K121" s="52">
        <f>'Input - Pasture Beef'!K84</f>
        <v>0.6</v>
      </c>
      <c r="L121" s="52">
        <f>'Input - Pasture Beef'!L84</f>
        <v>0</v>
      </c>
      <c r="M121" s="52">
        <f>'Input - Pasture Beef'!M84</f>
        <v>0</v>
      </c>
      <c r="N121" s="52">
        <f>'Input - Pasture Beef'!N84</f>
        <v>0</v>
      </c>
      <c r="O121" s="2" t="s">
        <v>133</v>
      </c>
      <c r="U121" s="52" t="str">
        <f>TEXT(EDATE('Input - Site'!$E$12,1), "mmmm yyyy")</f>
        <v>February 2024</v>
      </c>
      <c r="V121" s="52">
        <f>'Input - Pasture Beef'!E89</f>
        <v>0.44</v>
      </c>
      <c r="W121" s="52">
        <f>'Input - Pasture Beef'!F89</f>
        <v>-0.22</v>
      </c>
      <c r="X121" s="52">
        <f>'Input - Pasture Beef'!G89</f>
        <v>0.44</v>
      </c>
      <c r="Y121" s="52">
        <f>'Input - Pasture Beef'!H89</f>
        <v>0.33</v>
      </c>
      <c r="Z121" s="52">
        <f>'Input - Pasture Beef'!I89</f>
        <v>-0.22</v>
      </c>
      <c r="AA121" s="52">
        <f>'Input - Pasture Beef'!J89</f>
        <v>-0.22</v>
      </c>
      <c r="AB121" s="52">
        <f>'Input - Pasture Beef'!K89</f>
        <v>0.44</v>
      </c>
      <c r="AC121" s="52">
        <f>'Input - Pasture Beef'!L89</f>
        <v>-0.11</v>
      </c>
      <c r="AD121" s="52">
        <f>'Input - Pasture Beef'!M89</f>
        <v>-0.11</v>
      </c>
      <c r="AE121" s="52">
        <f>'Input - Pasture Beef'!N89</f>
        <v>-0.11</v>
      </c>
      <c r="AF121" s="2" t="s">
        <v>134</v>
      </c>
      <c r="AG121" s="2"/>
      <c r="AH121" s="2"/>
    </row>
    <row r="122" spans="4:35" ht="20.100000000000001" customHeight="1" x14ac:dyDescent="0.25">
      <c r="D122" s="52" t="str">
        <f>'Input - Pasture Beef'!D85</f>
        <v>Winter</v>
      </c>
      <c r="E122" s="52">
        <f>'Input - Pasture Beef'!E85</f>
        <v>0.99</v>
      </c>
      <c r="F122" s="52">
        <f>'Input - Pasture Beef'!F85</f>
        <v>0.22</v>
      </c>
      <c r="G122" s="52">
        <f>'Input - Pasture Beef'!G85</f>
        <v>0.77</v>
      </c>
      <c r="H122" s="52">
        <f>'Input - Pasture Beef'!H85</f>
        <v>0.11</v>
      </c>
      <c r="I122" s="52">
        <f>'Input - Pasture Beef'!I85</f>
        <v>0.11</v>
      </c>
      <c r="J122" s="52">
        <f>'Input - Pasture Beef'!J85</f>
        <v>0.11</v>
      </c>
      <c r="K122" s="52">
        <f>'Input - Pasture Beef'!K85</f>
        <v>0.77</v>
      </c>
      <c r="L122" s="52">
        <f>'Input - Pasture Beef'!L85</f>
        <v>0.44</v>
      </c>
      <c r="M122" s="52">
        <f>'Input - Pasture Beef'!M85</f>
        <v>0.44</v>
      </c>
      <c r="N122" s="52">
        <f>'Input - Pasture Beef'!N85</f>
        <v>0.44</v>
      </c>
      <c r="O122" s="2" t="s">
        <v>133</v>
      </c>
      <c r="U122" s="52" t="str">
        <f>TEXT(EDATE('Input - Site'!$E$12,2), "mmmm yyyy")</f>
        <v>March 2024</v>
      </c>
      <c r="V122" s="52">
        <f>'Input - Pasture Beef'!E90</f>
        <v>0.6</v>
      </c>
      <c r="W122" s="52">
        <f>'Input - Pasture Beef'!F90</f>
        <v>0</v>
      </c>
      <c r="X122" s="52">
        <f>'Input - Pasture Beef'!G90</f>
        <v>0.6</v>
      </c>
      <c r="Y122" s="52">
        <f>'Input - Pasture Beef'!H90</f>
        <v>0.22</v>
      </c>
      <c r="Z122" s="52">
        <f>'Input - Pasture Beef'!I90</f>
        <v>-0.55000000000000004</v>
      </c>
      <c r="AA122" s="52">
        <f>'Input - Pasture Beef'!J90</f>
        <v>-0.55000000000000004</v>
      </c>
      <c r="AB122" s="52">
        <f>'Input - Pasture Beef'!K90</f>
        <v>0.6</v>
      </c>
      <c r="AC122" s="52">
        <f>'Input - Pasture Beef'!L90</f>
        <v>0</v>
      </c>
      <c r="AD122" s="52">
        <f>'Input - Pasture Beef'!M90</f>
        <v>0</v>
      </c>
      <c r="AE122" s="52">
        <f>'Input - Pasture Beef'!N90</f>
        <v>0</v>
      </c>
      <c r="AF122" s="2" t="s">
        <v>134</v>
      </c>
      <c r="AG122" s="2"/>
      <c r="AH122" s="2"/>
    </row>
    <row r="123" spans="4:35" ht="20.100000000000001" customHeight="1" x14ac:dyDescent="0.25">
      <c r="U123" s="52" t="str">
        <f>TEXT(EDATE('Input - Site'!$E$12,3), "mmmm yyyy")</f>
        <v>April 2024</v>
      </c>
      <c r="V123" s="52">
        <f>'Input - Pasture Beef'!E91</f>
        <v>0.6</v>
      </c>
      <c r="W123" s="52">
        <f>'Input - Pasture Beef'!F91</f>
        <v>0</v>
      </c>
      <c r="X123" s="52">
        <f>'Input - Pasture Beef'!G91</f>
        <v>0.6</v>
      </c>
      <c r="Y123" s="52">
        <f>'Input - Pasture Beef'!H91</f>
        <v>0.22</v>
      </c>
      <c r="Z123" s="52">
        <f>'Input - Pasture Beef'!I91</f>
        <v>-0.55000000000000004</v>
      </c>
      <c r="AA123" s="52">
        <f>'Input - Pasture Beef'!J91</f>
        <v>-0.55000000000000004</v>
      </c>
      <c r="AB123" s="52">
        <f>'Input - Pasture Beef'!K91</f>
        <v>0.6</v>
      </c>
      <c r="AC123" s="52">
        <f>'Input - Pasture Beef'!L91</f>
        <v>0</v>
      </c>
      <c r="AD123" s="52">
        <f>'Input - Pasture Beef'!M91</f>
        <v>0</v>
      </c>
      <c r="AE123" s="52">
        <f>'Input - Pasture Beef'!N91</f>
        <v>0</v>
      </c>
      <c r="AF123" s="2" t="s">
        <v>134</v>
      </c>
      <c r="AG123" s="2"/>
      <c r="AH123" s="2"/>
    </row>
    <row r="124" spans="4:35" ht="20.100000000000001" customHeight="1" x14ac:dyDescent="0.25">
      <c r="D124" s="99" t="s">
        <v>295</v>
      </c>
      <c r="U124" s="52" t="str">
        <f>TEXT(EDATE('Input - Site'!$E$12,4), "mmmm yyyy")</f>
        <v>May 2024</v>
      </c>
      <c r="V124" s="52">
        <f>'Input - Pasture Beef'!E92</f>
        <v>0.6</v>
      </c>
      <c r="W124" s="52">
        <f>'Input - Pasture Beef'!F92</f>
        <v>0</v>
      </c>
      <c r="X124" s="52">
        <f>'Input - Pasture Beef'!G92</f>
        <v>0.6</v>
      </c>
      <c r="Y124" s="52">
        <f>'Input - Pasture Beef'!H92</f>
        <v>0.22</v>
      </c>
      <c r="Z124" s="52">
        <f>'Input - Pasture Beef'!I92</f>
        <v>-0.55000000000000004</v>
      </c>
      <c r="AA124" s="52">
        <f>'Input - Pasture Beef'!J92</f>
        <v>-0.55000000000000004</v>
      </c>
      <c r="AB124" s="52">
        <f>'Input - Pasture Beef'!K92</f>
        <v>0.6</v>
      </c>
      <c r="AC124" s="52">
        <f>'Input - Pasture Beef'!L92</f>
        <v>0</v>
      </c>
      <c r="AD124" s="52">
        <f>'Input - Pasture Beef'!M92</f>
        <v>0</v>
      </c>
      <c r="AE124" s="52">
        <f>'Input - Pasture Beef'!N92</f>
        <v>0</v>
      </c>
      <c r="AF124" s="2" t="s">
        <v>134</v>
      </c>
      <c r="AG124" s="2"/>
      <c r="AH124" s="2"/>
    </row>
    <row r="125" spans="4:35" ht="20.100000000000001" customHeight="1" x14ac:dyDescent="0.25">
      <c r="D125" s="98" t="s">
        <v>296</v>
      </c>
      <c r="U125" s="52" t="str">
        <f>TEXT(EDATE('Input - Site'!$E$12,5), "mmmm yyyy")</f>
        <v>June 2024</v>
      </c>
      <c r="V125" s="52">
        <f>'Input - Pasture Beef'!E93</f>
        <v>0.99</v>
      </c>
      <c r="W125" s="52">
        <f>'Input - Pasture Beef'!F93</f>
        <v>0.22</v>
      </c>
      <c r="X125" s="52">
        <f>'Input - Pasture Beef'!G93</f>
        <v>0.77</v>
      </c>
      <c r="Y125" s="52">
        <f>'Input - Pasture Beef'!H93</f>
        <v>0.11</v>
      </c>
      <c r="Z125" s="52">
        <f>'Input - Pasture Beef'!I93</f>
        <v>0.11</v>
      </c>
      <c r="AA125" s="52">
        <f>'Input - Pasture Beef'!J93</f>
        <v>0.11</v>
      </c>
      <c r="AB125" s="52">
        <f>'Input - Pasture Beef'!K93</f>
        <v>0.77</v>
      </c>
      <c r="AC125" s="52">
        <f>'Input - Pasture Beef'!L93</f>
        <v>0.44</v>
      </c>
      <c r="AD125" s="52">
        <f>'Input - Pasture Beef'!M93</f>
        <v>0.44</v>
      </c>
      <c r="AE125" s="52">
        <f>'Input - Pasture Beef'!N93</f>
        <v>0.44</v>
      </c>
      <c r="AF125" s="2" t="s">
        <v>134</v>
      </c>
      <c r="AG125" s="2"/>
      <c r="AH125" s="2"/>
    </row>
    <row r="126" spans="4:35" ht="20.100000000000001" customHeight="1" x14ac:dyDescent="0.25">
      <c r="D126" s="51" t="s">
        <v>184</v>
      </c>
      <c r="E126" s="51" t="s">
        <v>131</v>
      </c>
      <c r="F126" s="51" t="s">
        <v>130</v>
      </c>
      <c r="G126" s="51" t="s">
        <v>165</v>
      </c>
      <c r="H126" s="51" t="s">
        <v>166</v>
      </c>
      <c r="I126" s="51" t="s">
        <v>167</v>
      </c>
      <c r="J126" s="51" t="s">
        <v>168</v>
      </c>
      <c r="K126" s="51" t="s">
        <v>169</v>
      </c>
      <c r="L126" s="51" t="s">
        <v>170</v>
      </c>
      <c r="M126" s="51" t="s">
        <v>171</v>
      </c>
      <c r="N126" s="51" t="s">
        <v>172</v>
      </c>
      <c r="U126" s="52" t="str">
        <f>TEXT(EDATE('Input - Site'!$E$12,6), "mmmm yyyy")</f>
        <v>July 2024</v>
      </c>
      <c r="V126" s="52">
        <f>'Input - Pasture Beef'!E94</f>
        <v>0.99</v>
      </c>
      <c r="W126" s="52">
        <f>'Input - Pasture Beef'!F94</f>
        <v>0.22</v>
      </c>
      <c r="X126" s="52">
        <f>'Input - Pasture Beef'!G94</f>
        <v>0.77</v>
      </c>
      <c r="Y126" s="52">
        <f>'Input - Pasture Beef'!H94</f>
        <v>0.11</v>
      </c>
      <c r="Z126" s="52">
        <f>'Input - Pasture Beef'!I94</f>
        <v>0.11</v>
      </c>
      <c r="AA126" s="52">
        <f>'Input - Pasture Beef'!J94</f>
        <v>0.11</v>
      </c>
      <c r="AB126" s="52">
        <f>'Input - Pasture Beef'!K94</f>
        <v>0.77</v>
      </c>
      <c r="AC126" s="52">
        <f>'Input - Pasture Beef'!L94</f>
        <v>0.44</v>
      </c>
      <c r="AD126" s="52">
        <f>'Input - Pasture Beef'!M94</f>
        <v>0.44</v>
      </c>
      <c r="AE126" s="52">
        <f>'Input - Pasture Beef'!N94</f>
        <v>0.44</v>
      </c>
      <c r="AF126" s="2" t="s">
        <v>134</v>
      </c>
      <c r="AG126" s="2"/>
      <c r="AH126" s="2"/>
    </row>
    <row r="127" spans="4:35" ht="20.100000000000001" customHeight="1" x14ac:dyDescent="0.25">
      <c r="D127" s="52" t="s">
        <v>173</v>
      </c>
      <c r="E127" s="52" cm="1">
        <f t="array" ref="E127">MMS_PastureBeef_Soil_N2ODirect_Equations.VEERG_4_2_1_3__4_NitrogenRetainedByBody(G95,E62,E33,E119)</f>
        <v>3.2631583658999173E-2</v>
      </c>
      <c r="F127" s="52" cm="1">
        <f t="array" ref="F127">MMS_PastureBeef_Soil_N2ODirect_Equations.VEERG_4_2_1_3__4_NitrogenRetainedByBody(H95,F62,F33,F119)</f>
        <v>1.2159206080141413E-2</v>
      </c>
      <c r="G127" s="52" cm="1">
        <f t="array" ref="G127">MMS_PastureBeef_Soil_N2ODirect_Equations.VEERG_4_2_1_3__4_NitrogenRetainedByBody(I95,G62,G33,G119)</f>
        <v>2.2961722562736007E-2</v>
      </c>
      <c r="H127" s="52" cm="1">
        <f t="array" ref="H127">MMS_PastureBeef_Soil_N2ODirect_Equations.VEERG_4_2_1_3__4_NitrogenRetainedByBody(J95,H62,H33,H119)</f>
        <v>2.6678723656787657E-2</v>
      </c>
      <c r="I127" s="52" cm="1">
        <f t="array" ref="I127">MMS_PastureBeef_Soil_N2ODirect_Equations.VEERG_4_2_1_3__4_NitrogenRetainedByBody(K95,I62,I33,I119)</f>
        <v>1.7401604737232124E-2</v>
      </c>
      <c r="J127" s="52" cm="1">
        <f t="array" ref="J127">MMS_PastureBeef_Soil_N2ODirect_Equations.VEERG_4_2_1_3__4_NitrogenRetainedByBody(L95,J62,J33,J119)</f>
        <v>1.7401604737232124E-2</v>
      </c>
      <c r="K127" s="52" cm="1">
        <f t="array" ref="K127">MMS_PastureBeef_Soil_N2ODirect_Equations.VEERG_4_2_1_3__4_NitrogenRetainedByBody(M95,K62,K33,K119)</f>
        <v>2.7711640554981157E-2</v>
      </c>
      <c r="L127" s="52" cm="1">
        <f t="array" ref="L127">MMS_PastureBeef_Soil_N2ODirect_Equations.VEERG_4_2_1_3__4_NitrogenRetainedByBody(N95,L62,L33,L119)</f>
        <v>1.4565147934229335E-2</v>
      </c>
      <c r="M127" s="52" cm="1">
        <f t="array" ref="M127">MMS_PastureBeef_Soil_N2ODirect_Equations.VEERG_4_2_1_3__4_NitrogenRetainedByBody(O95,M62,M33,M119)</f>
        <v>1.4565147934229335E-2</v>
      </c>
      <c r="N127" s="52" cm="1">
        <f t="array" ref="N127">MMS_PastureBeef_Soil_N2ODirect_Equations.VEERG_4_2_1_3__4_NitrogenRetainedByBody(P95,N62,N33,N119)</f>
        <v>1.4565147934229335E-2</v>
      </c>
      <c r="O127" s="2" t="str">
        <f>$E$109</f>
        <v>kg N/head/day</v>
      </c>
      <c r="U127" s="52" t="str">
        <f>TEXT(EDATE('Input - Site'!$E$12,7), "mmmm yyyy")</f>
        <v>August 2024</v>
      </c>
      <c r="V127" s="52">
        <f>'Input - Pasture Beef'!E95</f>
        <v>0.99</v>
      </c>
      <c r="W127" s="52">
        <f>'Input - Pasture Beef'!F95</f>
        <v>0.22</v>
      </c>
      <c r="X127" s="52">
        <f>'Input - Pasture Beef'!G95</f>
        <v>0.77</v>
      </c>
      <c r="Y127" s="52">
        <f>'Input - Pasture Beef'!H95</f>
        <v>0.11</v>
      </c>
      <c r="Z127" s="52">
        <f>'Input - Pasture Beef'!I95</f>
        <v>0.11</v>
      </c>
      <c r="AA127" s="52">
        <f>'Input - Pasture Beef'!J95</f>
        <v>0.11</v>
      </c>
      <c r="AB127" s="52">
        <f>'Input - Pasture Beef'!K95</f>
        <v>0.77</v>
      </c>
      <c r="AC127" s="52">
        <f>'Input - Pasture Beef'!L95</f>
        <v>0.44</v>
      </c>
      <c r="AD127" s="52">
        <f>'Input - Pasture Beef'!M95</f>
        <v>0.44</v>
      </c>
      <c r="AE127" s="52">
        <f>'Input - Pasture Beef'!N95</f>
        <v>0.44</v>
      </c>
      <c r="AF127" s="2" t="s">
        <v>134</v>
      </c>
      <c r="AG127" s="2"/>
      <c r="AH127" s="2"/>
    </row>
    <row r="128" spans="4:35" ht="20.100000000000001" customHeight="1" x14ac:dyDescent="0.25">
      <c r="D128" s="52" t="s">
        <v>174</v>
      </c>
      <c r="E128" s="52" cm="1">
        <f t="array" ref="E128">MMS_PastureBeef_Soil_N2ODirect_Equations.VEERG_4_2_1_3__4_NitrogenRetainedByBody(G96,E63,E34,E120)</f>
        <v>8.1246865273940476E-3</v>
      </c>
      <c r="F128" s="52" cm="1">
        <f t="array" ref="F128">MMS_PastureBeef_Soil_N2ODirect_Equations.VEERG_4_2_1_3__4_NitrogenRetainedByBody(H96,F63,F34,F120)</f>
        <v>-2.4500809510830074E-3</v>
      </c>
      <c r="G128" s="52" cm="1">
        <f t="array" ref="G128">MMS_PastureBeef_Soil_N2ODirect_Equations.VEERG_4_2_1_3__4_NitrogenRetainedByBody(I96,G63,G34,G120)</f>
        <v>7.4692204769955996E-3</v>
      </c>
      <c r="H128" s="52" cm="1">
        <f t="array" ref="H128">MMS_PastureBeef_Soil_N2ODirect_Equations.VEERG_4_2_1_3__4_NitrogenRetainedByBody(J96,H63,H34,H120)</f>
        <v>4.0347172063606223E-3</v>
      </c>
      <c r="I128" s="52" cm="1">
        <f t="array" ref="I128">MMS_PastureBeef_Soil_N2ODirect_Equations.VEERG_4_2_1_3__4_NitrogenRetainedByBody(K96,I63,I34,I120)</f>
        <v>-2.4892646670301153E-3</v>
      </c>
      <c r="J128" s="52" cm="1">
        <f t="array" ref="J128">MMS_PastureBeef_Soil_N2ODirect_Equations.VEERG_4_2_1_3__4_NitrogenRetainedByBody(L96,J63,J34,J120)</f>
        <v>-2.4892646670301153E-3</v>
      </c>
      <c r="K128" s="52" cm="1">
        <f t="array" ref="K128">MMS_PastureBeef_Soil_N2ODirect_Equations.VEERG_4_2_1_3__4_NitrogenRetainedByBody(M96,K63,K34,K120)</f>
        <v>7.842975342880058E-3</v>
      </c>
      <c r="L128" s="52" cm="1">
        <f t="array" ref="L128">MMS_PastureBeef_Soil_N2ODirect_Equations.VEERG_4_2_1_3__4_NitrogenRetainedByBody(N96,L63,L34,L120)</f>
        <v>-1.4855230625479237E-3</v>
      </c>
      <c r="M128" s="52" cm="1">
        <f t="array" ref="M128">MMS_PastureBeef_Soil_N2ODirect_Equations.VEERG_4_2_1_3__4_NitrogenRetainedByBody(O96,M63,M34,M120)</f>
        <v>-1.4855230625479237E-3</v>
      </c>
      <c r="N128" s="52" cm="1">
        <f t="array" ref="N128">MMS_PastureBeef_Soil_N2ODirect_Equations.VEERG_4_2_1_3__4_NitrogenRetainedByBody(P96,N63,N34,N120)</f>
        <v>-1.4855230625479237E-3</v>
      </c>
      <c r="O128" s="2" t="str">
        <f t="shared" ref="O128:O130" si="6">$E$109</f>
        <v>kg N/head/day</v>
      </c>
      <c r="U128" s="52" t="str">
        <f>TEXT(EDATE('Input - Site'!$E$12,8), "mmmm yyyy")</f>
        <v>September 2024</v>
      </c>
      <c r="V128" s="52">
        <f>'Input - Pasture Beef'!E96</f>
        <v>1.64</v>
      </c>
      <c r="W128" s="52">
        <f>'Input - Pasture Beef'!F96</f>
        <v>1.1000000000000001</v>
      </c>
      <c r="X128" s="52">
        <f>'Input - Pasture Beef'!G96</f>
        <v>1.21</v>
      </c>
      <c r="Y128" s="52">
        <f>'Input - Pasture Beef'!H96</f>
        <v>0.99</v>
      </c>
      <c r="Z128" s="52">
        <f>'Input - Pasture Beef'!I96</f>
        <v>0.66</v>
      </c>
      <c r="AA128" s="52">
        <f>'Input - Pasture Beef'!J96</f>
        <v>0.66</v>
      </c>
      <c r="AB128" s="52">
        <f>'Input - Pasture Beef'!K96</f>
        <v>1.42</v>
      </c>
      <c r="AC128" s="52">
        <f>'Input - Pasture Beef'!L96</f>
        <v>1.1000000000000001</v>
      </c>
      <c r="AD128" s="52">
        <f>'Input - Pasture Beef'!M96</f>
        <v>1.1000000000000001</v>
      </c>
      <c r="AE128" s="52">
        <f>'Input - Pasture Beef'!N96</f>
        <v>1.1000000000000001</v>
      </c>
      <c r="AF128" s="2" t="s">
        <v>134</v>
      </c>
      <c r="AG128" s="2"/>
      <c r="AH128" s="2"/>
    </row>
    <row r="129" spans="3:34" ht="20.100000000000001" customHeight="1" x14ac:dyDescent="0.25">
      <c r="D129" s="52" t="s">
        <v>175</v>
      </c>
      <c r="E129" s="52" cm="1">
        <f t="array" ref="E129">MMS_PastureBeef_Soil_N2ODirect_Equations.VEERG_4_2_1_3__4_NitrogenRetainedByBody(G97,E64,E35,E121)</f>
        <v>1.7126010126251881E-2</v>
      </c>
      <c r="F129" s="52" cm="1">
        <f t="array" ref="F129">MMS_PastureBeef_Soil_N2ODirect_Equations.VEERG_4_2_1_3__4_NitrogenRetainedByBody(H97,F64,F35,F121)</f>
        <v>0</v>
      </c>
      <c r="G129" s="52" cm="1">
        <f t="array" ref="G129">MMS_PastureBeef_Soil_N2ODirect_Equations.VEERG_4_2_1_3__4_NitrogenRetainedByBody(I97,G64,G35,G121)</f>
        <v>1.6946444473002843E-2</v>
      </c>
      <c r="H129" s="52" cm="1">
        <f t="array" ref="H129">MMS_PastureBeef_Soil_N2ODirect_Equations.VEERG_4_2_1_3__4_NitrogenRetainedByBody(J97,H64,H35,H121)</f>
        <v>3.53223904927357E-3</v>
      </c>
      <c r="I129" s="52" cm="1">
        <f t="array" ref="I129">MMS_PastureBeef_Soil_N2ODirect_Equations.VEERG_4_2_1_3__4_NitrogenRetainedByBody(K97,I64,I35,I121)</f>
        <v>-6.4971680016475087E-3</v>
      </c>
      <c r="J129" s="52" cm="1">
        <f t="array" ref="J129">MMS_PastureBeef_Soil_N2ODirect_Equations.VEERG_4_2_1_3__4_NitrogenRetainedByBody(L97,J64,J35,J121)</f>
        <v>-6.4971680016475087E-3</v>
      </c>
      <c r="K129" s="52" cm="1">
        <f t="array" ref="K129">MMS_PastureBeef_Soil_N2ODirect_Equations.VEERG_4_2_1_3__4_NitrogenRetainedByBody(M97,K64,K35,K121)</f>
        <v>1.6885009696797144E-2</v>
      </c>
      <c r="L129" s="52" cm="1">
        <f t="array" ref="L129">MMS_PastureBeef_Soil_N2ODirect_Equations.VEERG_4_2_1_3__4_NitrogenRetainedByBody(N97,L64,L35,L121)</f>
        <v>0</v>
      </c>
      <c r="M129" s="52" cm="1">
        <f t="array" ref="M129">MMS_PastureBeef_Soil_N2ODirect_Equations.VEERG_4_2_1_3__4_NitrogenRetainedByBody(O97,M64,M35,M121)</f>
        <v>0</v>
      </c>
      <c r="N129" s="52" cm="1">
        <f t="array" ref="N129">MMS_PastureBeef_Soil_N2ODirect_Equations.VEERG_4_2_1_3__4_NitrogenRetainedByBody(P97,N64,N35,N121)</f>
        <v>0</v>
      </c>
      <c r="O129" s="2" t="str">
        <f t="shared" si="6"/>
        <v>kg N/head/day</v>
      </c>
      <c r="U129" s="52" t="str">
        <f>TEXT(EDATE('Input - Site'!$E$12,9), "mmmm yyyy")</f>
        <v>October 2024</v>
      </c>
      <c r="V129" s="52">
        <f>'Input - Pasture Beef'!E97</f>
        <v>1.64</v>
      </c>
      <c r="W129" s="52">
        <f>'Input - Pasture Beef'!F97</f>
        <v>1.1000000000000001</v>
      </c>
      <c r="X129" s="52">
        <f>'Input - Pasture Beef'!G97</f>
        <v>1.21</v>
      </c>
      <c r="Y129" s="52">
        <f>'Input - Pasture Beef'!H97</f>
        <v>0.99</v>
      </c>
      <c r="Z129" s="52">
        <f>'Input - Pasture Beef'!I97</f>
        <v>0.66</v>
      </c>
      <c r="AA129" s="52">
        <f>'Input - Pasture Beef'!J97</f>
        <v>0.66</v>
      </c>
      <c r="AB129" s="52">
        <f>'Input - Pasture Beef'!K97</f>
        <v>1.42</v>
      </c>
      <c r="AC129" s="52">
        <f>'Input - Pasture Beef'!L97</f>
        <v>1.1000000000000001</v>
      </c>
      <c r="AD129" s="52">
        <f>'Input - Pasture Beef'!M97</f>
        <v>1.1000000000000001</v>
      </c>
      <c r="AE129" s="52">
        <f>'Input - Pasture Beef'!N97</f>
        <v>1.1000000000000001</v>
      </c>
      <c r="AF129" s="2" t="s">
        <v>134</v>
      </c>
      <c r="AG129" s="2"/>
      <c r="AH129" s="2"/>
    </row>
    <row r="130" spans="3:34" ht="20.100000000000001" customHeight="1" x14ac:dyDescent="0.25">
      <c r="D130" s="52" t="s">
        <v>176</v>
      </c>
      <c r="E130" s="52" cm="1">
        <f t="array" ref="E130">MMS_PastureBeef_Soil_N2ODirect_Equations.VEERG_4_2_1_3__4_NitrogenRetainedByBody(G98,E65,E36,E122)</f>
        <v>2.5624664446187655E-2</v>
      </c>
      <c r="F130" s="52" cm="1">
        <f t="array" ref="F130">MMS_PastureBeef_Soil_N2ODirect_Equations.VEERG_4_2_1_3__4_NitrogenRetainedByBody(H98,F65,F36,F122)</f>
        <v>2.5468999349659745E-3</v>
      </c>
      <c r="G130" s="52" cm="1">
        <f t="array" ref="G130">MMS_PastureBeef_Soil_N2ODirect_Equations.VEERG_4_2_1_3__4_NitrogenRetainedByBody(I98,G65,G36,G122)</f>
        <v>1.942651050577586E-2</v>
      </c>
      <c r="H130" s="52" cm="1">
        <f t="array" ref="H130">MMS_PastureBeef_Soil_N2ODirect_Equations.VEERG_4_2_1_3__4_NitrogenRetainedByBody(J98,H65,H36,H122)</f>
        <v>2.2779013762515499E-2</v>
      </c>
      <c r="I130" s="52" cm="1">
        <f t="array" ref="I130">MMS_PastureBeef_Soil_N2ODirect_Equations.VEERG_4_2_1_3__4_NitrogenRetainedByBody(K98,I65,I36,I122)</f>
        <v>1.6331394322564873E-2</v>
      </c>
      <c r="J130" s="52" cm="1">
        <f t="array" ref="J130">MMS_PastureBeef_Soil_N2ODirect_Equations.VEERG_4_2_1_3__4_NitrogenRetainedByBody(L98,J65,J36,J122)</f>
        <v>1.6331394322564873E-2</v>
      </c>
      <c r="K130" s="52" cm="1">
        <f t="array" ref="K130">MMS_PastureBeef_Soil_N2ODirect_Equations.VEERG_4_2_1_3__4_NitrogenRetainedByBody(M98,K65,K36,K122)</f>
        <v>1.9754140848253471E-2</v>
      </c>
      <c r="L130" s="52" cm="1">
        <f t="array" ref="L130">MMS_PastureBeef_Soil_N2ODirect_Equations.VEERG_4_2_1_3__4_NitrogenRetainedByBody(N98,L65,L36,L122)</f>
        <v>7.4705417776927329E-3</v>
      </c>
      <c r="M130" s="52" cm="1">
        <f t="array" ref="M130">MMS_PastureBeef_Soil_N2ODirect_Equations.VEERG_4_2_1_3__4_NitrogenRetainedByBody(O98,M65,M36,M122)</f>
        <v>7.4705417776927329E-3</v>
      </c>
      <c r="N130" s="52" cm="1">
        <f t="array" ref="N130">MMS_PastureBeef_Soil_N2ODirect_Equations.VEERG_4_2_1_3__4_NitrogenRetainedByBody(P98,N65,N36,N122)</f>
        <v>7.4705417776927329E-3</v>
      </c>
      <c r="O130" s="2" t="str">
        <f t="shared" si="6"/>
        <v>kg N/head/day</v>
      </c>
      <c r="U130" s="52" t="str">
        <f>TEXT(EDATE('Input - Site'!$E$12,10), "mmmm yyyy")</f>
        <v>November 2024</v>
      </c>
      <c r="V130" s="52">
        <f>'Input - Pasture Beef'!E98</f>
        <v>1.64</v>
      </c>
      <c r="W130" s="52">
        <f>'Input - Pasture Beef'!F98</f>
        <v>1.1000000000000001</v>
      </c>
      <c r="X130" s="52">
        <f>'Input - Pasture Beef'!G98</f>
        <v>1.21</v>
      </c>
      <c r="Y130" s="52">
        <f>'Input - Pasture Beef'!H98</f>
        <v>0.99</v>
      </c>
      <c r="Z130" s="52">
        <f>'Input - Pasture Beef'!I98</f>
        <v>0.66</v>
      </c>
      <c r="AA130" s="52">
        <f>'Input - Pasture Beef'!J98</f>
        <v>0.66</v>
      </c>
      <c r="AB130" s="52">
        <f>'Input - Pasture Beef'!K98</f>
        <v>1.42</v>
      </c>
      <c r="AC130" s="52">
        <f>'Input - Pasture Beef'!L98</f>
        <v>1.1000000000000001</v>
      </c>
      <c r="AD130" s="52">
        <f>'Input - Pasture Beef'!M98</f>
        <v>1.1000000000000001</v>
      </c>
      <c r="AE130" s="52">
        <f>'Input - Pasture Beef'!N98</f>
        <v>1.1000000000000001</v>
      </c>
      <c r="AF130" s="2" t="s">
        <v>134</v>
      </c>
      <c r="AG130" s="2"/>
      <c r="AH130" s="2"/>
    </row>
    <row r="131" spans="3:34" ht="20.100000000000001" customHeight="1" x14ac:dyDescent="0.25">
      <c r="U131" s="52" t="str">
        <f>TEXT(EDATE('Input - Site'!$E$12,11), "mmmm yyyy")</f>
        <v>December 2024</v>
      </c>
      <c r="V131" s="52">
        <f>'Input - Pasture Beef'!E99</f>
        <v>0.44</v>
      </c>
      <c r="W131" s="52">
        <f>'Input - Pasture Beef'!F99</f>
        <v>-0.22</v>
      </c>
      <c r="X131" s="52">
        <f>'Input - Pasture Beef'!G99</f>
        <v>0.44</v>
      </c>
      <c r="Y131" s="52">
        <f>'Input - Pasture Beef'!H99</f>
        <v>0.33</v>
      </c>
      <c r="Z131" s="52">
        <f>'Input - Pasture Beef'!I99</f>
        <v>-0.22</v>
      </c>
      <c r="AA131" s="52">
        <f>'Input - Pasture Beef'!J99</f>
        <v>-0.22</v>
      </c>
      <c r="AB131" s="52">
        <f>'Input - Pasture Beef'!K99</f>
        <v>0.44</v>
      </c>
      <c r="AC131" s="52">
        <f>'Input - Pasture Beef'!L99</f>
        <v>-0.11</v>
      </c>
      <c r="AD131" s="52">
        <f>'Input - Pasture Beef'!M99</f>
        <v>-0.11</v>
      </c>
      <c r="AE131" s="52">
        <f>'Input - Pasture Beef'!N99</f>
        <v>-0.11</v>
      </c>
      <c r="AF131" s="2" t="s">
        <v>134</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9" t="s">
        <v>309</v>
      </c>
    </row>
    <row r="134" spans="3:34" ht="20.100000000000001" customHeight="1" x14ac:dyDescent="0.25">
      <c r="D134" s="6" t="str" cm="1">
        <f t="array" ref="D134">MMS_PastureBeef_Soil_N2ODirect_Equations.VEERG_4_2_1_3__3_NitrogenExcreted_Title()</f>
        <v>Nitrogen excreted</v>
      </c>
      <c r="U134" s="98" t="s">
        <v>310</v>
      </c>
    </row>
    <row r="135" spans="3:34" ht="20.100000000000001" customHeight="1" x14ac:dyDescent="0.25">
      <c r="D135" s="5" t="str" cm="1">
        <f t="array" ref="D135">MMS_PastureBeef_Soil_N2ODirect_Equations.VEERG_4_2_1_3__3_NitrogenExcreted_Source()</f>
        <v>VEERG 2026: 4.2.1.3, Equation (3)</v>
      </c>
      <c r="U135" s="51" t="s">
        <v>132</v>
      </c>
      <c r="V135" s="51" t="s">
        <v>131</v>
      </c>
      <c r="W135" s="51" t="s">
        <v>130</v>
      </c>
      <c r="X135" s="51" t="s">
        <v>165</v>
      </c>
      <c r="Y135" s="51" t="s">
        <v>166</v>
      </c>
      <c r="Z135" s="51" t="s">
        <v>167</v>
      </c>
      <c r="AA135" s="51" t="s">
        <v>168</v>
      </c>
      <c r="AB135" s="51" t="s">
        <v>169</v>
      </c>
      <c r="AC135" s="51" t="s">
        <v>170</v>
      </c>
      <c r="AD135" s="51" t="s">
        <v>171</v>
      </c>
      <c r="AE135" s="51" t="s">
        <v>172</v>
      </c>
    </row>
    <row r="136" spans="3:34" ht="20.100000000000001" customHeight="1" x14ac:dyDescent="0.25">
      <c r="D136" s="13" t="s">
        <v>27</v>
      </c>
      <c r="E136" s="13" t="str" cm="1">
        <f t="array" aca="1" ref="E136" ca="1">Common_InputFunctions.Utility_DisplayFunctionName($E$169)</f>
        <v>=MMS_PastureBeef_Soil_N2ODirect_Equations.VEERG_4_2_1_3__3_NitrogenExcreted</v>
      </c>
      <c r="U136" s="52" t="str">
        <f>TEXT('Input - Site'!$E$12, "mmmm yyyy")</f>
        <v>January 2024</v>
      </c>
      <c r="V136" s="52" cm="1">
        <f t="array" ref="V136">MMS_PastureBeef_Soil_N2ODirect_Equations.VEERG_4_2_1_3__4_NitrogenRetainedByBody(X100,V72,V36,V120)</f>
        <v>8.1246865273940476E-3</v>
      </c>
      <c r="W136" s="52" cm="1">
        <f t="array" ref="W136">MMS_PastureBeef_Soil_N2ODirect_Equations.VEERG_4_2_1_3__4_NitrogenRetainedByBody(Y100,W72,W36,W120)</f>
        <v>-2.4500809510830074E-3</v>
      </c>
      <c r="X136" s="52" cm="1">
        <f t="array" ref="X136">MMS_PastureBeef_Soil_N2ODirect_Equations.VEERG_4_2_1_3__4_NitrogenRetainedByBody(Z100,X72,X36,X120)</f>
        <v>7.4692204769955996E-3</v>
      </c>
      <c r="Y136" s="52" cm="1">
        <f t="array" ref="Y136">MMS_PastureBeef_Soil_N2ODirect_Equations.VEERG_4_2_1_3__4_NitrogenRetainedByBody(AA100,Y72,Y36,Y120)</f>
        <v>1.9080635764024231E-2</v>
      </c>
      <c r="Z136" s="52" cm="1">
        <f t="array" ref="Z136">MMS_PastureBeef_Soil_N2ODirect_Equations.VEERG_4_2_1_3__4_NitrogenRetainedByBody(AB100,Z72,Z36,Z120)</f>
        <v>1.2558041048697144E-2</v>
      </c>
      <c r="AA136" s="52" cm="1">
        <f t="array" ref="AA136">MMS_PastureBeef_Soil_N2ODirect_Equations.VEERG_4_2_1_3__4_NitrogenRetainedByBody(AC100,AA72,AA36,AA120)</f>
        <v>1.2558041048697144E-2</v>
      </c>
      <c r="AB136" s="52" cm="1">
        <f t="array" ref="AB136">MMS_PastureBeef_Soil_N2ODirect_Equations.VEERG_4_2_1_3__4_NitrogenRetainedByBody(AD100,AB72,AB36,AB120)</f>
        <v>7.842975342880058E-3</v>
      </c>
      <c r="AC136" s="52" cm="1">
        <f t="array" ref="AC136">MMS_PastureBeef_Soil_N2ODirect_Equations.VEERG_4_2_1_3__4_NitrogenRetainedByBody(AE100,AC72,AC36,AC120)</f>
        <v>-1.4855230625479237E-3</v>
      </c>
      <c r="AD136" s="52" cm="1">
        <f t="array" ref="AD136">MMS_PastureBeef_Soil_N2ODirect_Equations.VEERG_4_2_1_3__4_NitrogenRetainedByBody(AF100,AD72,AD36,AD120)</f>
        <v>-1.4855230625479237E-3</v>
      </c>
      <c r="AE136" s="52" cm="1">
        <f t="array" ref="AE136">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2024</v>
      </c>
      <c r="V137" s="52" cm="1">
        <f t="array" ref="V137">MMS_PastureBeef_Soil_N2ODirect_Equations.VEERG_4_2_1_3__4_NitrogenRetainedByBody(X101,V73,V37,V121)</f>
        <v>8.1246865273940476E-3</v>
      </c>
      <c r="W137" s="52" cm="1">
        <f t="array" ref="W137">MMS_PastureBeef_Soil_N2ODirect_Equations.VEERG_4_2_1_3__4_NitrogenRetainedByBody(Y101,W73,W37,W121)</f>
        <v>-2.4500809510830074E-3</v>
      </c>
      <c r="X137" s="52" cm="1">
        <f t="array" ref="X137">MMS_PastureBeef_Soil_N2ODirect_Equations.VEERG_4_2_1_3__4_NitrogenRetainedByBody(Z101,X73,X37,X121)</f>
        <v>7.4692204769955996E-3</v>
      </c>
      <c r="Y137" s="52" cm="1">
        <f t="array" ref="Y137">MMS_PastureBeef_Soil_N2ODirect_Equations.VEERG_4_2_1_3__4_NitrogenRetainedByBody(AA101,Y73,Y37,Y121)</f>
        <v>4.0359782188292637E-3</v>
      </c>
      <c r="Z137" s="52" cm="1">
        <f t="array" ref="Z137">MMS_PastureBeef_Soil_N2ODirect_Equations.VEERG_4_2_1_3__4_NitrogenRetainedByBody(AB101,Z73,Z37,Z121)</f>
        <v>-2.4895889780627905E-3</v>
      </c>
      <c r="AA137" s="52" cm="1">
        <f t="array" ref="AA137">MMS_PastureBeef_Soil_N2ODirect_Equations.VEERG_4_2_1_3__4_NitrogenRetainedByBody(AC101,AA73,AA37,AA121)</f>
        <v>-2.4895889780627905E-3</v>
      </c>
      <c r="AB137" s="52" cm="1">
        <f t="array" ref="AB137">MMS_PastureBeef_Soil_N2ODirect_Equations.VEERG_4_2_1_3__4_NitrogenRetainedByBody(AD101,AB73,AB37,AB121)</f>
        <v>7.842975342880058E-3</v>
      </c>
      <c r="AC137" s="52" cm="1">
        <f t="array" ref="AC137">MMS_PastureBeef_Soil_N2ODirect_Equations.VEERG_4_2_1_3__4_NitrogenRetainedByBody(AE101,AC73,AC37,AC121)</f>
        <v>-1.4855230625479237E-3</v>
      </c>
      <c r="AD137" s="52" cm="1">
        <f t="array" ref="AD137">MMS_PastureBeef_Soil_N2ODirect_Equations.VEERG_4_2_1_3__4_NitrogenRetainedByBody(AF101,AD73,AD37,AD121)</f>
        <v>-1.4855230625479237E-3</v>
      </c>
      <c r="AE137" s="52" cm="1">
        <f t="array" ref="AE137">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2024</v>
      </c>
      <c r="V138" s="52" cm="1">
        <f t="array" ref="V138">MMS_PastureBeef_Soil_N2ODirect_Equations.VEERG_4_2_1_3__4_NitrogenRetainedByBody(X102,V74,V38,V122)</f>
        <v>1.7126010126251881E-2</v>
      </c>
      <c r="W138" s="52" cm="1">
        <f t="array" ref="W138">MMS_PastureBeef_Soil_N2ODirect_Equations.VEERG_4_2_1_3__4_NitrogenRetainedByBody(Y102,W74,W38,W122)</f>
        <v>0</v>
      </c>
      <c r="X138" s="52" cm="1">
        <f t="array" ref="X138">MMS_PastureBeef_Soil_N2ODirect_Equations.VEERG_4_2_1_3__4_NitrogenRetainedByBody(Z102,X74,X38,X122)</f>
        <v>1.6946444473002843E-2</v>
      </c>
      <c r="Y138" s="52" cm="1">
        <f t="array" ref="Y138">MMS_PastureBeef_Soil_N2ODirect_Equations.VEERG_4_2_1_3__4_NitrogenRetainedByBody(AA102,Y74,Y38,Y122)</f>
        <v>3.5329291057988096E-3</v>
      </c>
      <c r="Z138" s="52" cm="1">
        <f t="array" ref="Z138">MMS_PastureBeef_Soil_N2ODirect_Equations.VEERG_4_2_1_3__4_NitrogenRetainedByBody(AB102,Z74,Z38,Z122)</f>
        <v>-6.4971680016475087E-3</v>
      </c>
      <c r="AA138" s="52" cm="1">
        <f t="array" ref="AA138">MMS_PastureBeef_Soil_N2ODirect_Equations.VEERG_4_2_1_3__4_NitrogenRetainedByBody(AC102,AA74,AA38,AA122)</f>
        <v>-6.4971680016475087E-3</v>
      </c>
      <c r="AB138" s="52" cm="1">
        <f t="array" ref="AB138">MMS_PastureBeef_Soil_N2ODirect_Equations.VEERG_4_2_1_3__4_NitrogenRetainedByBody(AD102,AB74,AB38,AB122)</f>
        <v>1.6885009696797144E-2</v>
      </c>
      <c r="AC138" s="52" cm="1">
        <f t="array" ref="AC138">MMS_PastureBeef_Soil_N2ODirect_Equations.VEERG_4_2_1_3__4_NitrogenRetainedByBody(AE102,AC74,AC38,AC122)</f>
        <v>0</v>
      </c>
      <c r="AD138" s="52" cm="1">
        <f t="array" ref="AD138">MMS_PastureBeef_Soil_N2ODirect_Equations.VEERG_4_2_1_3__4_NitrogenRetainedByBody(AF102,AD74,AD38,AD122)</f>
        <v>0</v>
      </c>
      <c r="AE138" s="52" cm="1">
        <f t="array" ref="AE138">MMS_PastureBeef_Soil_N2ODirect_Equations.VEERG_4_2_1_3__4_NitrogenRetainedByBody(AG102,AE74,AE38,AE122)</f>
        <v>0</v>
      </c>
      <c r="AF138" s="2" t="str">
        <f t="shared" si="7"/>
        <v>kg N/head/day</v>
      </c>
      <c r="AG138" s="2"/>
      <c r="AH138" s="2"/>
    </row>
    <row r="139" spans="3:34" ht="20.100000000000001" customHeight="1" x14ac:dyDescent="0.25">
      <c r="D139" s="53" t="s">
        <v>30</v>
      </c>
      <c r="E139" s="1" t="str" cm="1">
        <f t="array" ref="E139">MMS_PastureBeef_Soil_N2ODirect_Equations.VEERG_4_2_1_3__3_NitrogenExcreted_Variable()</f>
        <v>NE_jkl</v>
      </c>
      <c r="U139" s="52" t="str">
        <f>TEXT(EDATE('Input - Site'!$E$12,3), "mmmm yyyy")</f>
        <v>April 2024</v>
      </c>
      <c r="V139" s="52" cm="1">
        <f t="array" ref="V139">MMS_PastureBeef_Soil_N2ODirect_Equations.VEERG_4_2_1_3__4_NitrogenRetainedByBody(X103,V75,V39,V123)</f>
        <v>1.7126010126251881E-2</v>
      </c>
      <c r="W139" s="52" cm="1">
        <f t="array" ref="W139">MMS_PastureBeef_Soil_N2ODirect_Equations.VEERG_4_2_1_3__4_NitrogenRetainedByBody(Y103,W75,W39,W123)</f>
        <v>0</v>
      </c>
      <c r="X139" s="52" cm="1">
        <f t="array" ref="X139">MMS_PastureBeef_Soil_N2ODirect_Equations.VEERG_4_2_1_3__4_NitrogenRetainedByBody(Z103,X75,X39,X123)</f>
        <v>1.6946444473002843E-2</v>
      </c>
      <c r="Y139" s="52" cm="1">
        <f t="array" ref="Y139">MMS_PastureBeef_Soil_N2ODirect_Equations.VEERG_4_2_1_3__4_NitrogenRetainedByBody(AA103,Y75,Y39,Y123)</f>
        <v>3.5329291057988096E-3</v>
      </c>
      <c r="Z139" s="52" cm="1">
        <f t="array" ref="Z139">MMS_PastureBeef_Soil_N2ODirect_Equations.VEERG_4_2_1_3__4_NitrogenRetainedByBody(AB103,Z75,Z39,Z123)</f>
        <v>-6.4971680016475087E-3</v>
      </c>
      <c r="AA139" s="52" cm="1">
        <f t="array" ref="AA139">MMS_PastureBeef_Soil_N2ODirect_Equations.VEERG_4_2_1_3__4_NitrogenRetainedByBody(AC103,AA75,AA39,AA123)</f>
        <v>-6.4971680016475087E-3</v>
      </c>
      <c r="AB139" s="52" cm="1">
        <f t="array" ref="AB139">MMS_PastureBeef_Soil_N2ODirect_Equations.VEERG_4_2_1_3__4_NitrogenRetainedByBody(AD103,AB75,AB39,AB123)</f>
        <v>1.6885009696797144E-2</v>
      </c>
      <c r="AC139" s="52" cm="1">
        <f t="array" ref="AC139">MMS_PastureBeef_Soil_N2ODirect_Equations.VEERG_4_2_1_3__4_NitrogenRetainedByBody(AE103,AC75,AC39,AC123)</f>
        <v>0</v>
      </c>
      <c r="AD139" s="52" cm="1">
        <f t="array" ref="AD139">MMS_PastureBeef_Soil_N2ODirect_Equations.VEERG_4_2_1_3__4_NitrogenRetainedByBody(AF103,AD75,AD39,AD123)</f>
        <v>0</v>
      </c>
      <c r="AE139" s="52" cm="1">
        <f t="array" ref="AE139">MMS_PastureBeef_Soil_N2ODirect_Equations.VEERG_4_2_1_3__4_NitrogenRetainedByBody(AG103,AE75,AE39,AE123)</f>
        <v>0</v>
      </c>
      <c r="AF139" s="2" t="str">
        <f t="shared" si="7"/>
        <v>kg N/head/day</v>
      </c>
      <c r="AG139" s="2"/>
      <c r="AH139" s="2"/>
    </row>
    <row r="140" spans="3:34" ht="20.100000000000001" customHeight="1" x14ac:dyDescent="0.25">
      <c r="D140" s="53" t="s">
        <v>20</v>
      </c>
      <c r="E140" s="54" t="str" cm="1">
        <f t="array" ref="E140">MMS_PastureBeef_Soil_N2ODirect_Equations.VEERG_4_2_1_3__3_NitrogenExcreted_Unit()</f>
        <v>kg N/head/day</v>
      </c>
      <c r="U140" s="52" t="str">
        <f>TEXT(EDATE('Input - Site'!$E$12,4), "mmmm yyyy")</f>
        <v>May 2024</v>
      </c>
      <c r="V140" s="52" cm="1">
        <f t="array" ref="V140">MMS_PastureBeef_Soil_N2ODirect_Equations.VEERG_4_2_1_3__4_NitrogenRetainedByBody(X104,V76,V40,V124)</f>
        <v>1.7126010126251881E-2</v>
      </c>
      <c r="W140" s="52" cm="1">
        <f t="array" ref="W140">MMS_PastureBeef_Soil_N2ODirect_Equations.VEERG_4_2_1_3__4_NitrogenRetainedByBody(Y104,W76,W40,W124)</f>
        <v>0</v>
      </c>
      <c r="X140" s="52" cm="1">
        <f t="array" ref="X140">MMS_PastureBeef_Soil_N2ODirect_Equations.VEERG_4_2_1_3__4_NitrogenRetainedByBody(Z104,X76,X40,X124)</f>
        <v>1.6946444473002843E-2</v>
      </c>
      <c r="Y140" s="52" cm="1">
        <f t="array" ref="Y140">MMS_PastureBeef_Soil_N2ODirect_Equations.VEERG_4_2_1_3__4_NitrogenRetainedByBody(AA104,Y76,Y40,Y124)</f>
        <v>3.5329291057988096E-3</v>
      </c>
      <c r="Z140" s="52" cm="1">
        <f t="array" ref="Z140">MMS_PastureBeef_Soil_N2ODirect_Equations.VEERG_4_2_1_3__4_NitrogenRetainedByBody(AB104,Z76,Z40,Z124)</f>
        <v>-6.4971680016475087E-3</v>
      </c>
      <c r="AA140" s="52" cm="1">
        <f t="array" ref="AA140">MMS_PastureBeef_Soil_N2ODirect_Equations.VEERG_4_2_1_3__4_NitrogenRetainedByBody(AC104,AA76,AA40,AA124)</f>
        <v>-6.4971680016475087E-3</v>
      </c>
      <c r="AB140" s="52" cm="1">
        <f t="array" ref="AB140">MMS_PastureBeef_Soil_N2ODirect_Equations.VEERG_4_2_1_3__4_NitrogenRetainedByBody(AD104,AB76,AB40,AB124)</f>
        <v>1.6885009696797144E-2</v>
      </c>
      <c r="AC140" s="52" cm="1">
        <f t="array" ref="AC140">MMS_PastureBeef_Soil_N2ODirect_Equations.VEERG_4_2_1_3__4_NitrogenRetainedByBody(AE104,AC76,AC40,AC124)</f>
        <v>0</v>
      </c>
      <c r="AD140" s="52" cm="1">
        <f t="array" ref="AD140">MMS_PastureBeef_Soil_N2ODirect_Equations.VEERG_4_2_1_3__4_NitrogenRetainedByBody(AF104,AD76,AD40,AD124)</f>
        <v>0</v>
      </c>
      <c r="AE140" s="52" cm="1">
        <f t="array" ref="AE140">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2024</v>
      </c>
      <c r="V141" s="52" cm="1">
        <f t="array" ref="V141">MMS_PastureBeef_Soil_N2ODirect_Equations.VEERG_4_2_1_3__4_NitrogenRetainedByBody(X105,V77,V41,V125)</f>
        <v>2.5624664446187655E-2</v>
      </c>
      <c r="W141" s="52" cm="1">
        <f t="array" ref="W141">MMS_PastureBeef_Soil_N2ODirect_Equations.VEERG_4_2_1_3__4_NitrogenRetainedByBody(Y105,W77,W41,W125)</f>
        <v>2.5468999349659745E-3</v>
      </c>
      <c r="X141" s="52" cm="1">
        <f t="array" ref="X141">MMS_PastureBeef_Soil_N2ODirect_Equations.VEERG_4_2_1_3__4_NitrogenRetainedByBody(Z105,X77,X41,X125)</f>
        <v>1.942651050577586E-2</v>
      </c>
      <c r="Y141" s="52" cm="1">
        <f t="array" ref="Y141">MMS_PastureBeef_Soil_N2ODirect_Equations.VEERG_4_2_1_3__4_NitrogenRetainedByBody(AA105,Y77,Y41,Y125)</f>
        <v>1.7196628856093364E-3</v>
      </c>
      <c r="Z141" s="52" cm="1">
        <f t="array" ref="Z141">MMS_PastureBeef_Soil_N2ODirect_Equations.VEERG_4_2_1_3__4_NitrogenRetainedByBody(AB105,Z77,Z41,Z125)</f>
        <v>1.2853672606791778E-3</v>
      </c>
      <c r="AA141" s="52" cm="1">
        <f t="array" ref="AA141">MMS_PastureBeef_Soil_N2ODirect_Equations.VEERG_4_2_1_3__4_NitrogenRetainedByBody(AC105,AA77,AA41,AA125)</f>
        <v>1.2853672606791778E-3</v>
      </c>
      <c r="AB141" s="52" cm="1">
        <f t="array" ref="AB141">MMS_PastureBeef_Soil_N2ODirect_Equations.VEERG_4_2_1_3__4_NitrogenRetainedByBody(AD105,AB77,AB41,AB125)</f>
        <v>1.9754140848253471E-2</v>
      </c>
      <c r="AC141" s="52" cm="1">
        <f t="array" ref="AC141">MMS_PastureBeef_Soil_N2ODirect_Equations.VEERG_4_2_1_3__4_NitrogenRetainedByBody(AE105,AC77,AC41,AC125)</f>
        <v>7.4705417776927329E-3</v>
      </c>
      <c r="AD141" s="52" cm="1">
        <f t="array" ref="AD141">MMS_PastureBeef_Soil_N2ODirect_Equations.VEERG_4_2_1_3__4_NitrogenRetainedByBody(AF105,AD77,AD41,AD125)</f>
        <v>7.4705417776927329E-3</v>
      </c>
      <c r="AE141" s="52" cm="1">
        <f t="array" ref="AE141">MMS_PastureBeef_Soil_N2ODirect_Equations.VEERG_4_2_1_3__4_NitrogenRetainedByBody(AG105,AE77,AE41,AE125)</f>
        <v>7.4705417776927329E-3</v>
      </c>
      <c r="AF141" s="2" t="str">
        <f t="shared" si="7"/>
        <v>kg N/head/day</v>
      </c>
      <c r="AG141" s="2"/>
      <c r="AH141" s="2"/>
    </row>
    <row r="142" spans="3:34" ht="20.100000000000001" customHeight="1" x14ac:dyDescent="0.25">
      <c r="D142" s="57" t="str" cm="1">
        <f t="array" ref="D142:E148">MMS_PastureBeef_Soil_N2ODirect_Equations.VEERG_4_2_1_3__3_NitrogenExcreted_Arguments()</f>
        <v>I_jkl</v>
      </c>
      <c r="E142" s="58" t="str">
        <v>dry matter intake as calculated in Chapter 3 Section 3.2.1 (kg DM/head/day)</v>
      </c>
      <c r="F142" s="59"/>
      <c r="G142" s="57" t="str">
        <f>"See " &amp; D51</f>
        <v>See M1_Table_I_j_k_l</v>
      </c>
      <c r="U142" s="52" t="str">
        <f>TEXT(EDATE('Input - Site'!$E$12,6), "mmmm yyyy")</f>
        <v>July 2024</v>
      </c>
      <c r="V142" s="52" cm="1">
        <f t="array" ref="V142">MMS_PastureBeef_Soil_N2ODirect_Equations.VEERG_4_2_1_3__4_NitrogenRetainedByBody(X106,V78,V42,V126)</f>
        <v>2.5624664446187655E-2</v>
      </c>
      <c r="W142" s="52" cm="1">
        <f t="array" ref="W142">MMS_PastureBeef_Soil_N2ODirect_Equations.VEERG_4_2_1_3__4_NitrogenRetainedByBody(Y106,W78,W42,W126)</f>
        <v>2.5468999349659745E-3</v>
      </c>
      <c r="X142" s="52" cm="1">
        <f t="array" ref="X142">MMS_PastureBeef_Soil_N2ODirect_Equations.VEERG_4_2_1_3__4_NitrogenRetainedByBody(Z106,X78,X42,X126)</f>
        <v>1.942651050577586E-2</v>
      </c>
      <c r="Y142" s="52" cm="1">
        <f t="array" ref="Y142">MMS_PastureBeef_Soil_N2ODirect_Equations.VEERG_4_2_1_3__4_NitrogenRetainedByBody(AA106,Y78,Y42,Y126)</f>
        <v>1.7196628856093364E-3</v>
      </c>
      <c r="Z142" s="52" cm="1">
        <f t="array" ref="Z142">MMS_PastureBeef_Soil_N2ODirect_Equations.VEERG_4_2_1_3__4_NitrogenRetainedByBody(AB106,Z78,Z42,Z126)</f>
        <v>1.2853672606791778E-3</v>
      </c>
      <c r="AA142" s="52" cm="1">
        <f t="array" ref="AA142">MMS_PastureBeef_Soil_N2ODirect_Equations.VEERG_4_2_1_3__4_NitrogenRetainedByBody(AC106,AA78,AA42,AA126)</f>
        <v>1.2853672606791778E-3</v>
      </c>
      <c r="AB142" s="52" cm="1">
        <f t="array" ref="AB142">MMS_PastureBeef_Soil_N2ODirect_Equations.VEERG_4_2_1_3__4_NitrogenRetainedByBody(AD106,AB78,AB42,AB126)</f>
        <v>1.9754140848253471E-2</v>
      </c>
      <c r="AC142" s="52" cm="1">
        <f t="array" ref="AC142">MMS_PastureBeef_Soil_N2ODirect_Equations.VEERG_4_2_1_3__4_NitrogenRetainedByBody(AE106,AC78,AC42,AC126)</f>
        <v>7.4705417776927329E-3</v>
      </c>
      <c r="AD142" s="52" cm="1">
        <f t="array" ref="AD142">MMS_PastureBeef_Soil_N2ODirect_Equations.VEERG_4_2_1_3__4_NitrogenRetainedByBody(AF106,AD78,AD42,AD126)</f>
        <v>7.4705417776927329E-3</v>
      </c>
      <c r="AE142" s="52" cm="1">
        <f t="array" ref="AE142">MMS_PastureBeef_Soil_N2ODirect_Equations.VEERG_4_2_1_3__4_NitrogenRetainedByBody(AG106,AE78,AE42,AE126)</f>
        <v>7.4705417776927329E-3</v>
      </c>
      <c r="AF142" s="2" t="str">
        <f t="shared" si="7"/>
        <v>kg N/head/day</v>
      </c>
      <c r="AG142" s="2"/>
      <c r="AH142" s="2"/>
    </row>
    <row r="143" spans="3:34" ht="20.100000000000001" customHeight="1" x14ac:dyDescent="0.25">
      <c r="D143" s="57" t="str">
        <v>CP_j</v>
      </c>
      <c r="E143" s="58" t="str">
        <v>crude protein content of dry matter intake</v>
      </c>
      <c r="F143" s="59"/>
      <c r="G143" s="57" t="str">
        <f>"See " &amp; D150</f>
        <v>See M1_Table_CP_j</v>
      </c>
      <c r="U143" s="52" t="str">
        <f>TEXT(EDATE('Input - Site'!$E$12,7), "mmmm yyyy")</f>
        <v>August 2024</v>
      </c>
      <c r="V143" s="52" cm="1">
        <f t="array" ref="V143">MMS_PastureBeef_Soil_N2ODirect_Equations.VEERG_4_2_1_3__4_NitrogenRetainedByBody(X107,V79,V43,V127)</f>
        <v>2.5624664446187655E-2</v>
      </c>
      <c r="W143" s="52" cm="1">
        <f t="array" ref="W143">MMS_PastureBeef_Soil_N2ODirect_Equations.VEERG_4_2_1_3__4_NitrogenRetainedByBody(Y107,W79,W43,W127)</f>
        <v>2.5468999349659745E-3</v>
      </c>
      <c r="X143" s="52" cm="1">
        <f t="array" ref="X143">MMS_PastureBeef_Soil_N2ODirect_Equations.VEERG_4_2_1_3__4_NitrogenRetainedByBody(Z107,X79,X43,X127)</f>
        <v>1.942651050577586E-2</v>
      </c>
      <c r="Y143" s="52" cm="1">
        <f t="array" ref="Y143">MMS_PastureBeef_Soil_N2ODirect_Equations.VEERG_4_2_1_3__4_NitrogenRetainedByBody(AA107,Y79,Y43,Y127)</f>
        <v>2.4283253110865946E-2</v>
      </c>
      <c r="Z143" s="52" cm="1">
        <f t="array" ref="Z143">MMS_PastureBeef_Soil_N2ODirect_Equations.VEERG_4_2_1_3__4_NitrogenRetainedByBody(AB107,Z79,Z43,Z127)</f>
        <v>2.3854407853507724E-2</v>
      </c>
      <c r="AA143" s="52" cm="1">
        <f t="array" ref="AA143">MMS_PastureBeef_Soil_N2ODirect_Equations.VEERG_4_2_1_3__4_NitrogenRetainedByBody(AC107,AA79,AA43,AA127)</f>
        <v>2.3854407853507724E-2</v>
      </c>
      <c r="AB143" s="52" cm="1">
        <f t="array" ref="AB143">MMS_PastureBeef_Soil_N2ODirect_Equations.VEERG_4_2_1_3__4_NitrogenRetainedByBody(AD107,AB79,AB43,AB127)</f>
        <v>1.9754140848253471E-2</v>
      </c>
      <c r="AC143" s="52" cm="1">
        <f t="array" ref="AC143">MMS_PastureBeef_Soil_N2ODirect_Equations.VEERG_4_2_1_3__4_NitrogenRetainedByBody(AE107,AC79,AC43,AC127)</f>
        <v>7.4705417776927329E-3</v>
      </c>
      <c r="AD143" s="52" cm="1">
        <f t="array" ref="AD143">MMS_PastureBeef_Soil_N2ODirect_Equations.VEERG_4_2_1_3__4_NitrogenRetainedByBody(AF107,AD79,AD43,AD127)</f>
        <v>7.4705417776927329E-3</v>
      </c>
      <c r="AE143" s="52" cm="1">
        <f t="array" ref="AE143">MMS_PastureBeef_Soil_N2ODirect_Equations.VEERG_4_2_1_3__4_NitrogenRetainedByBody(AG107,AE79,AE43,AE127)</f>
        <v>7.4705417776927329E-3</v>
      </c>
      <c r="AF143" s="2" t="str">
        <f t="shared" si="7"/>
        <v>kg N/head/day</v>
      </c>
      <c r="AG143" s="2"/>
      <c r="AH143" s="2"/>
    </row>
    <row r="144" spans="3:34" ht="20.100000000000001" customHeight="1" x14ac:dyDescent="0.25">
      <c r="D144" s="57" t="str">
        <v>MC_jk136</v>
      </c>
      <c r="E144" s="58" t="str">
        <v>milk intake (kg/head/day)</v>
      </c>
      <c r="F144" s="59"/>
      <c r="G144" s="57" t="str">
        <f>"See " &amp; D158</f>
        <v>See M1_Table_MC_j_k_1-3-6</v>
      </c>
      <c r="U144" s="52" t="str">
        <f>TEXT(EDATE('Input - Site'!$E$12,8), "mmmm yyyy")</f>
        <v>September 2024</v>
      </c>
      <c r="V144" s="52" cm="1">
        <f t="array" ref="V144">MMS_PastureBeef_Soil_N2ODirect_Equations.VEERG_4_2_1_3__4_NitrogenRetainedByBody(X108,V80,V44,V128)</f>
        <v>3.2631583658999173E-2</v>
      </c>
      <c r="W144" s="52" cm="1">
        <f t="array" ref="W144">MMS_PastureBeef_Soil_N2ODirect_Equations.VEERG_4_2_1_3__4_NitrogenRetainedByBody(Y108,W80,W44,W128)</f>
        <v>1.2159206080141413E-2</v>
      </c>
      <c r="X144" s="52" cm="1">
        <f t="array" ref="X144">MMS_PastureBeef_Soil_N2ODirect_Equations.VEERG_4_2_1_3__4_NitrogenRetainedByBody(Z108,X80,X44,X128)</f>
        <v>2.2961722562736007E-2</v>
      </c>
      <c r="Y144" s="52" cm="1">
        <f t="array" ref="Y144">MMS_PastureBeef_Soil_N2ODirect_Equations.VEERG_4_2_1_3__4_NitrogenRetainedByBody(AA108,Y80,Y44,Y128)</f>
        <v>3.5186886137375313E-2</v>
      </c>
      <c r="Z144" s="52" cm="1">
        <f t="array" ref="Z144">MMS_PastureBeef_Soil_N2ODirect_Equations.VEERG_4_2_1_3__4_NitrogenRetainedByBody(AB108,Z80,Z44,Z128)</f>
        <v>2.993948362354976E-2</v>
      </c>
      <c r="AA144" s="52" cm="1">
        <f t="array" ref="AA144">MMS_PastureBeef_Soil_N2ODirect_Equations.VEERG_4_2_1_3__4_NitrogenRetainedByBody(AC108,AA80,AA44,AA128)</f>
        <v>2.993948362354976E-2</v>
      </c>
      <c r="AB144" s="52" cm="1">
        <f t="array" ref="AB144">MMS_PastureBeef_Soil_N2ODirect_Equations.VEERG_4_2_1_3__4_NitrogenRetainedByBody(AD108,AB80,AB44,AB128)</f>
        <v>2.7711640554981157E-2</v>
      </c>
      <c r="AC144" s="52" cm="1">
        <f t="array" ref="AC144">MMS_PastureBeef_Soil_N2ODirect_Equations.VEERG_4_2_1_3__4_NitrogenRetainedByBody(AE108,AC80,AC44,AC128)</f>
        <v>1.4565147934229335E-2</v>
      </c>
      <c r="AD144" s="52" cm="1">
        <f t="array" ref="AD144">MMS_PastureBeef_Soil_N2ODirect_Equations.VEERG_4_2_1_3__4_NitrogenRetainedByBody(AF108,AD80,AD44,AD128)</f>
        <v>1.4565147934229335E-2</v>
      </c>
      <c r="AE144" s="52" cm="1">
        <f t="array" ref="AE144">MMS_PastureBeef_Soil_N2ODirect_Equations.VEERG_4_2_1_3__4_NitrogenRetainedByBody(AG108,AE80,AE44,AE128)</f>
        <v>1.4565147934229335E-2</v>
      </c>
      <c r="AF144" s="2" t="str">
        <f t="shared" si="7"/>
        <v>kg N/head/day</v>
      </c>
      <c r="AG144" s="2"/>
      <c r="AH144" s="2"/>
    </row>
    <row r="145" spans="4:35" ht="20.100000000000001" customHeight="1" x14ac:dyDescent="0.25">
      <c r="D145" s="57" t="str">
        <v>NR_jkl</v>
      </c>
      <c r="E145" s="58" t="str">
        <v>the amount of nitrogen retained by the body (kg N/head/day)</v>
      </c>
      <c r="F145" s="59"/>
      <c r="G145" s="57" t="str">
        <f>"See " &amp; D124</f>
        <v>See M1_Table_NR_j_k_l</v>
      </c>
      <c r="U145" s="52" t="str">
        <f>TEXT(EDATE('Input - Site'!$E$12,9), "mmmm yyyy")</f>
        <v>October 2024</v>
      </c>
      <c r="V145" s="52" cm="1">
        <f t="array" ref="V145">MMS_PastureBeef_Soil_N2ODirect_Equations.VEERG_4_2_1_3__4_NitrogenRetainedByBody(X109,V81,V45,V129)</f>
        <v>3.2631583658999173E-2</v>
      </c>
      <c r="W145" s="52" cm="1">
        <f t="array" ref="W145">MMS_PastureBeef_Soil_N2ODirect_Equations.VEERG_4_2_1_3__4_NitrogenRetainedByBody(Y109,W81,W45,W129)</f>
        <v>1.2159206080141413E-2</v>
      </c>
      <c r="X145" s="52" cm="1">
        <f t="array" ref="X145">MMS_PastureBeef_Soil_N2ODirect_Equations.VEERG_4_2_1_3__4_NitrogenRetainedByBody(Z109,X81,X45,X129)</f>
        <v>2.2961722562736007E-2</v>
      </c>
      <c r="Y145" s="52" cm="1">
        <f t="array" ref="Y145">MMS_PastureBeef_Soil_N2ODirect_Equations.VEERG_4_2_1_3__4_NitrogenRetainedByBody(AA109,Y81,Y45,Y129)</f>
        <v>3.5186886137375313E-2</v>
      </c>
      <c r="Z145" s="52" cm="1">
        <f t="array" ref="Z145">MMS_PastureBeef_Soil_N2ODirect_Equations.VEERG_4_2_1_3__4_NitrogenRetainedByBody(AB109,Z81,Z45,Z129)</f>
        <v>2.993948362354976E-2</v>
      </c>
      <c r="AA145" s="52" cm="1">
        <f t="array" ref="AA145">MMS_PastureBeef_Soil_N2ODirect_Equations.VEERG_4_2_1_3__4_NitrogenRetainedByBody(AC109,AA81,AA45,AA129)</f>
        <v>2.993948362354976E-2</v>
      </c>
      <c r="AB145" s="52" cm="1">
        <f t="array" ref="AB145">MMS_PastureBeef_Soil_N2ODirect_Equations.VEERG_4_2_1_3__4_NitrogenRetainedByBody(AD109,AB81,AB45,AB129)</f>
        <v>2.7711640554981157E-2</v>
      </c>
      <c r="AC145" s="52" cm="1">
        <f t="array" ref="AC145">MMS_PastureBeef_Soil_N2ODirect_Equations.VEERG_4_2_1_3__4_NitrogenRetainedByBody(AE109,AC81,AC45,AC129)</f>
        <v>1.4565147934229335E-2</v>
      </c>
      <c r="AD145" s="52" cm="1">
        <f t="array" ref="AD145">MMS_PastureBeef_Soil_N2ODirect_Equations.VEERG_4_2_1_3__4_NitrogenRetainedByBody(AF109,AD81,AD45,AD129)</f>
        <v>1.4565147934229335E-2</v>
      </c>
      <c r="AE145" s="52" cm="1">
        <f t="array" ref="AE145">MMS_PastureBeef_Soil_N2ODirect_Equations.VEERG_4_2_1_3__4_NitrogenRetainedByBody(AG109,AE81,AE45,AE129)</f>
        <v>1.4565147934229335E-2</v>
      </c>
      <c r="AF145" s="2" t="str">
        <f t="shared" si="7"/>
        <v>kg N/head/day</v>
      </c>
      <c r="AG145" s="2"/>
      <c r="AH145" s="2"/>
    </row>
    <row r="146" spans="4:35" ht="20.100000000000001" customHeight="1" x14ac:dyDescent="0.25">
      <c r="D146" s="57" t="str">
        <v>W_jkl</v>
      </c>
      <c r="E146" s="58" t="str">
        <v>liveweight (kg/head)</v>
      </c>
      <c r="F146" s="59"/>
      <c r="G146" s="57" t="str">
        <f>"See " &amp; D17</f>
        <v>See M1_Table_W_j_k_l</v>
      </c>
      <c r="U146" s="52" t="str">
        <f>TEXT(EDATE('Input - Site'!$E$12,10), "mmmm yyyy")</f>
        <v>November 2024</v>
      </c>
      <c r="V146" s="52" cm="1">
        <f t="array" ref="V146">MMS_PastureBeef_Soil_N2ODirect_Equations.VEERG_4_2_1_3__4_NitrogenRetainedByBody(X110,V82,V46,V130)</f>
        <v>3.2631583658999173E-2</v>
      </c>
      <c r="W146" s="52" cm="1">
        <f t="array" ref="W146">MMS_PastureBeef_Soil_N2ODirect_Equations.VEERG_4_2_1_3__4_NitrogenRetainedByBody(Y110,W82,W46,W130)</f>
        <v>1.2159206080141413E-2</v>
      </c>
      <c r="X146" s="52" cm="1">
        <f t="array" ref="X146">MMS_PastureBeef_Soil_N2ODirect_Equations.VEERG_4_2_1_3__4_NitrogenRetainedByBody(Z110,X82,X46,X130)</f>
        <v>2.2961722562736007E-2</v>
      </c>
      <c r="Y146" s="52" cm="1">
        <f t="array" ref="Y146">MMS_PastureBeef_Soil_N2ODirect_Equations.VEERG_4_2_1_3__4_NitrogenRetainedByBody(AA110,Y82,Y46,Y130)</f>
        <v>2.7685555110513384E-2</v>
      </c>
      <c r="Z146" s="52" cm="1">
        <f t="array" ref="Z146">MMS_PastureBeef_Soil_N2ODirect_Equations.VEERG_4_2_1_3__4_NitrogenRetainedByBody(AB110,Z82,Z46,Z130)</f>
        <v>2.2419534651745895E-2</v>
      </c>
      <c r="AA146" s="52" cm="1">
        <f t="array" ref="AA146">MMS_PastureBeef_Soil_N2ODirect_Equations.VEERG_4_2_1_3__4_NitrogenRetainedByBody(AC110,AA82,AA46,AA130)</f>
        <v>2.2419534651745895E-2</v>
      </c>
      <c r="AB146" s="52" cm="1">
        <f t="array" ref="AB146">MMS_PastureBeef_Soil_N2ODirect_Equations.VEERG_4_2_1_3__4_NitrogenRetainedByBody(AD110,AB82,AB46,AB130)</f>
        <v>2.7711640554981157E-2</v>
      </c>
      <c r="AC146" s="52" cm="1">
        <f t="array" ref="AC146">MMS_PastureBeef_Soil_N2ODirect_Equations.VEERG_4_2_1_3__4_NitrogenRetainedByBody(AE110,AC82,AC46,AC130)</f>
        <v>1.4565147934229335E-2</v>
      </c>
      <c r="AD146" s="52" cm="1">
        <f t="array" ref="AD146">MMS_PastureBeef_Soil_N2ODirect_Equations.VEERG_4_2_1_3__4_NitrogenRetainedByBody(AF110,AD82,AD46,AD130)</f>
        <v>1.4565147934229335E-2</v>
      </c>
      <c r="AE146" s="52" cm="1">
        <f t="array" ref="AE146">MMS_PastureBeef_Soil_N2ODirect_Equations.VEERG_4_2_1_3__4_NitrogenRetainedByBody(AG110,AE82,AE46,AE130)</f>
        <v>1.4565147934229335E-2</v>
      </c>
      <c r="AF146" s="2" t="str">
        <f t="shared" si="7"/>
        <v>kg N/head/day</v>
      </c>
      <c r="AG146" s="2"/>
      <c r="AH146" s="2"/>
    </row>
    <row r="147" spans="4:35" ht="20.100000000000001" customHeight="1" x14ac:dyDescent="0.25">
      <c r="D147" s="57" t="str">
        <v>b</v>
      </c>
      <c r="E147" s="58" t="str">
        <v>breed of cattle</v>
      </c>
      <c r="F147" s="59"/>
      <c r="G147" s="57" t="str">
        <f>'Input - Pasture Beef'!$E$9</f>
        <v>Hereford or Shorthorn breeds</v>
      </c>
      <c r="U147" s="52" t="str">
        <f>TEXT(EDATE('Input - Site'!$E$12,11), "mmmm yyyy")</f>
        <v>December 2024</v>
      </c>
      <c r="V147" s="52" cm="1">
        <f t="array" ref="V147">MMS_PastureBeef_Soil_N2ODirect_Equations.VEERG_4_2_1_3__4_NitrogenRetainedByBody(X111,V83,V47,V131)</f>
        <v>8.1246865273940476E-3</v>
      </c>
      <c r="W147" s="52" cm="1">
        <f t="array" ref="W147">MMS_PastureBeef_Soil_N2ODirect_Equations.VEERG_4_2_1_3__4_NitrogenRetainedByBody(Y111,W83,W47,W131)</f>
        <v>-2.4500809510830074E-3</v>
      </c>
      <c r="X147" s="52" cm="1">
        <f t="array" ref="X147">MMS_PastureBeef_Soil_N2ODirect_Equations.VEERG_4_2_1_3__4_NitrogenRetainedByBody(Z111,X83,X47,X131)</f>
        <v>7.4692204769955996E-3</v>
      </c>
      <c r="Y147" s="52" cm="1">
        <f t="array" ref="Y147">MMS_PastureBeef_Soil_N2ODirect_Equations.VEERG_4_2_1_3__4_NitrogenRetainedByBody(AA111,Y83,Y47,Y131)</f>
        <v>1.9080635764024231E-2</v>
      </c>
      <c r="Z147" s="52" cm="1">
        <f t="array" ref="Z147">MMS_PastureBeef_Soil_N2ODirect_Equations.VEERG_4_2_1_3__4_NitrogenRetainedByBody(AB111,Z83,Z47,Z131)</f>
        <v>1.2558041048697144E-2</v>
      </c>
      <c r="AA147" s="52" cm="1">
        <f t="array" ref="AA147">MMS_PastureBeef_Soil_N2ODirect_Equations.VEERG_4_2_1_3__4_NitrogenRetainedByBody(AC111,AA83,AA47,AA131)</f>
        <v>1.2558041048697144E-2</v>
      </c>
      <c r="AB147" s="52" cm="1">
        <f t="array" ref="AB147">MMS_PastureBeef_Soil_N2ODirect_Equations.VEERG_4_2_1_3__4_NitrogenRetainedByBody(AD111,AB83,AB47,AB131)</f>
        <v>7.842975342880058E-3</v>
      </c>
      <c r="AC147" s="52" cm="1">
        <f t="array" ref="AC147">MMS_PastureBeef_Soil_N2ODirect_Equations.VEERG_4_2_1_3__4_NitrogenRetainedByBody(AE111,AC83,AC47,AC131)</f>
        <v>-1.4855230625479237E-3</v>
      </c>
      <c r="AD147" s="52" cm="1">
        <f t="array" ref="AD147">MMS_PastureBeef_Soil_N2ODirect_Equations.VEERG_4_2_1_3__4_NitrogenRetainedByBody(AF111,AD83,AD47,AD131)</f>
        <v>-1.4855230625479237E-3</v>
      </c>
      <c r="AE147" s="52" cm="1">
        <f t="array" ref="AE147">MMS_PastureBeef_Soil_N2ODirect_Equations.VEERG_4_2_1_3__4_NitrogenRetainedByBody(AG111,AE83,AE47,AE131)</f>
        <v>-1.4855230625479237E-3</v>
      </c>
      <c r="AF147" s="2" t="str">
        <f t="shared" si="7"/>
        <v>kg N/head/day</v>
      </c>
      <c r="AG147" s="2"/>
      <c r="AH147" s="2"/>
    </row>
    <row r="148" spans="4:35" ht="20.100000000000001" customHeight="1" x14ac:dyDescent="0.25">
      <c r="D148" s="57" t="str">
        <v>s</v>
      </c>
      <c r="E148" s="58" t="str">
        <v>Calving season</v>
      </c>
      <c r="F148" s="59"/>
      <c r="G148" s="57" t="str">
        <f>'Input - Pasture Beef'!$E$104</f>
        <v>Winter</v>
      </c>
    </row>
    <row r="149" spans="4:35" ht="20.100000000000001" customHeight="1" x14ac:dyDescent="0.25"/>
    <row r="150" spans="4:35" ht="20.100000000000001" customHeight="1" x14ac:dyDescent="0.25">
      <c r="D150" s="99" t="s">
        <v>106</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8" t="s">
        <v>312</v>
      </c>
      <c r="U151" s="6" t="str" cm="1">
        <f t="array" ref="U151">MMS_PastureBeef_Soil_N2ODirect_Equations.VEERG_4_2_1_3__3_NitrogenExcreted_Title()</f>
        <v>Nitrogen excreted</v>
      </c>
    </row>
    <row r="152" spans="4:35" ht="20.100000000000001" customHeight="1" x14ac:dyDescent="0.25">
      <c r="D152" s="51" t="s">
        <v>184</v>
      </c>
      <c r="E152" s="51" t="s">
        <v>131</v>
      </c>
      <c r="F152" s="51" t="s">
        <v>130</v>
      </c>
      <c r="G152" s="51" t="s">
        <v>165</v>
      </c>
      <c r="H152" s="51" t="s">
        <v>166</v>
      </c>
      <c r="I152" s="51" t="s">
        <v>167</v>
      </c>
      <c r="J152" s="51" t="s">
        <v>168</v>
      </c>
      <c r="K152" s="51" t="s">
        <v>169</v>
      </c>
      <c r="L152" s="51" t="s">
        <v>170</v>
      </c>
      <c r="M152" s="51" t="s">
        <v>171</v>
      </c>
      <c r="N152" s="51" t="s">
        <v>172</v>
      </c>
    </row>
    <row r="153" spans="4:35" ht="20.100000000000001" customHeight="1" x14ac:dyDescent="0.25">
      <c r="D153" s="52" t="s">
        <v>173</v>
      </c>
      <c r="E153" s="52">
        <f>'Input - Pasture Beef'!E154</f>
        <v>0.2</v>
      </c>
      <c r="F153" s="52">
        <f>'Input - Pasture Beef'!F154</f>
        <v>0.2</v>
      </c>
      <c r="G153" s="52">
        <f>'Input - Pasture Beef'!G154</f>
        <v>0.2</v>
      </c>
      <c r="H153" s="52">
        <f>'Input - Pasture Beef'!H154</f>
        <v>0.2</v>
      </c>
      <c r="I153" s="52">
        <f>'Input - Pasture Beef'!I154</f>
        <v>0.2</v>
      </c>
      <c r="J153" s="52">
        <f>'Input - Pasture Beef'!J154</f>
        <v>0.2</v>
      </c>
      <c r="K153" s="52">
        <f>'Input - Pasture Beef'!K154</f>
        <v>0.2</v>
      </c>
      <c r="L153" s="52">
        <f>'Input - Pasture Beef'!L154</f>
        <v>0.2</v>
      </c>
      <c r="M153" s="52">
        <f>'Input - Pasture Beef'!M154</f>
        <v>0.2</v>
      </c>
      <c r="N153" s="52">
        <f>'Input - Pasture Beef'!N154</f>
        <v>0.2</v>
      </c>
      <c r="O153" s="2" t="s">
        <v>141</v>
      </c>
      <c r="U153" s="57" t="str" cm="1">
        <f t="array" ref="U153:V159">MMS_PastureBeef_Soil_N2ODirect_Equations.VEERG_4_2_1_3__3_NitrogenExcreted_Arguments()</f>
        <v>I_jkl</v>
      </c>
      <c r="V153" s="58" t="str">
        <v>dry matter intake as calculated in Chapter 3 Section 3.2.1 (kg DM/head/day)</v>
      </c>
      <c r="W153" s="59"/>
      <c r="X153" s="57" t="str">
        <f>"See " &amp; $U$53</f>
        <v>See M2_Table_I_j_k_l</v>
      </c>
    </row>
    <row r="154" spans="4:35" ht="20.100000000000001" customHeight="1" x14ac:dyDescent="0.25">
      <c r="D154" s="52" t="s">
        <v>174</v>
      </c>
      <c r="E154" s="52">
        <f>'Input - Pasture Beef'!E155</f>
        <v>0.09</v>
      </c>
      <c r="F154" s="52">
        <f>'Input - Pasture Beef'!F155</f>
        <v>0.09</v>
      </c>
      <c r="G154" s="52">
        <f>'Input - Pasture Beef'!G155</f>
        <v>0.09</v>
      </c>
      <c r="H154" s="52">
        <f>'Input - Pasture Beef'!H155</f>
        <v>0.09</v>
      </c>
      <c r="I154" s="52">
        <f>'Input - Pasture Beef'!I155</f>
        <v>0.09</v>
      </c>
      <c r="J154" s="52">
        <f>'Input - Pasture Beef'!J155</f>
        <v>0.09</v>
      </c>
      <c r="K154" s="52">
        <f>'Input - Pasture Beef'!K155</f>
        <v>0.09</v>
      </c>
      <c r="L154" s="52">
        <f>'Input - Pasture Beef'!L155</f>
        <v>0.09</v>
      </c>
      <c r="M154" s="52">
        <f>'Input - Pasture Beef'!M155</f>
        <v>0.09</v>
      </c>
      <c r="N154" s="52">
        <f>'Input - Pasture Beef'!N155</f>
        <v>0.09</v>
      </c>
      <c r="O154" s="2" t="s">
        <v>141</v>
      </c>
      <c r="U154" s="57" t="str">
        <v>CP_j</v>
      </c>
      <c r="V154" s="58" t="str">
        <v>crude protein content of dry matter intake</v>
      </c>
      <c r="W154" s="59"/>
      <c r="X154" s="57" t="str">
        <f>"See " &amp; $U$161</f>
        <v>See M2_Table_CP_j</v>
      </c>
    </row>
    <row r="155" spans="4:35" ht="20.100000000000001" customHeight="1" x14ac:dyDescent="0.25">
      <c r="D155" s="52" t="s">
        <v>175</v>
      </c>
      <c r="E155" s="52">
        <f>'Input - Pasture Beef'!E156</f>
        <v>0.06</v>
      </c>
      <c r="F155" s="52">
        <f>'Input - Pasture Beef'!F156</f>
        <v>0.06</v>
      </c>
      <c r="G155" s="52">
        <f>'Input - Pasture Beef'!G156</f>
        <v>0.06</v>
      </c>
      <c r="H155" s="52">
        <f>'Input - Pasture Beef'!H156</f>
        <v>0.06</v>
      </c>
      <c r="I155" s="52">
        <f>'Input - Pasture Beef'!I156</f>
        <v>0.06</v>
      </c>
      <c r="J155" s="52">
        <f>'Input - Pasture Beef'!J156</f>
        <v>0.06</v>
      </c>
      <c r="K155" s="52">
        <f>'Input - Pasture Beef'!K156</f>
        <v>0.06</v>
      </c>
      <c r="L155" s="52">
        <f>'Input - Pasture Beef'!L156</f>
        <v>0.06</v>
      </c>
      <c r="M155" s="52">
        <f>'Input - Pasture Beef'!M156</f>
        <v>0.06</v>
      </c>
      <c r="N155" s="52">
        <f>'Input - Pasture Beef'!N156</f>
        <v>0.06</v>
      </c>
      <c r="O155" s="2" t="s">
        <v>141</v>
      </c>
      <c r="U155" s="57" t="str">
        <v>MC_jk136</v>
      </c>
      <c r="V155" s="58" t="str">
        <v>milk intake (kg/head/day)</v>
      </c>
      <c r="W155" s="59"/>
      <c r="X155" s="57" t="str">
        <f>"See " &amp; $U$161</f>
        <v>See M2_Table_CP_j</v>
      </c>
    </row>
    <row r="156" spans="4:35" ht="20.100000000000001" customHeight="1" x14ac:dyDescent="0.25">
      <c r="D156" s="52" t="s">
        <v>176</v>
      </c>
      <c r="E156" s="52">
        <f>'Input - Pasture Beef'!E157</f>
        <v>0.2</v>
      </c>
      <c r="F156" s="52">
        <f>'Input - Pasture Beef'!F157</f>
        <v>0.2</v>
      </c>
      <c r="G156" s="52">
        <f>'Input - Pasture Beef'!G157</f>
        <v>0.2</v>
      </c>
      <c r="H156" s="52">
        <f>'Input - Pasture Beef'!H157</f>
        <v>0.2</v>
      </c>
      <c r="I156" s="52">
        <f>'Input - Pasture Beef'!I157</f>
        <v>0.2</v>
      </c>
      <c r="J156" s="52">
        <f>'Input - Pasture Beef'!J157</f>
        <v>0.2</v>
      </c>
      <c r="K156" s="52">
        <f>'Input - Pasture Beef'!K157</f>
        <v>0.2</v>
      </c>
      <c r="L156" s="52">
        <f>'Input - Pasture Beef'!L157</f>
        <v>0.2</v>
      </c>
      <c r="M156" s="52">
        <f>'Input - Pasture Beef'!M157</f>
        <v>0.2</v>
      </c>
      <c r="N156" s="52">
        <f>'Input - Pasture Beef'!N157</f>
        <v>0.2</v>
      </c>
      <c r="O156" s="2" t="s">
        <v>141</v>
      </c>
      <c r="U156" s="57" t="str">
        <v>NR_jkl</v>
      </c>
      <c r="V156" s="58" t="str">
        <v>the amount of nitrogen retained by the body (kg N/head/day)</v>
      </c>
      <c r="W156" s="59"/>
      <c r="X156" s="57" t="str">
        <f>"See " &amp; $U$133</f>
        <v>See M2_Table_NR_j_k_l</v>
      </c>
    </row>
    <row r="157" spans="4:35" ht="20.100000000000001" customHeight="1" x14ac:dyDescent="0.25">
      <c r="U157" s="57" t="str">
        <v>W_jkl</v>
      </c>
      <c r="V157" s="58" t="str">
        <v>liveweight (kg/head)</v>
      </c>
      <c r="W157" s="59"/>
      <c r="X157" s="57" t="str">
        <f>"See " &amp; $U$17</f>
        <v>See M2_Table_LW_j_k_l</v>
      </c>
    </row>
    <row r="158" spans="4:35" ht="20.100000000000001" customHeight="1" x14ac:dyDescent="0.25">
      <c r="D158" s="99" t="s">
        <v>297</v>
      </c>
      <c r="U158" s="57" t="str">
        <v>b</v>
      </c>
      <c r="V158" s="58" t="str">
        <v>breed of cattle</v>
      </c>
      <c r="W158" s="59"/>
      <c r="X158" s="57" t="str">
        <f>'Input - Pasture Beef'!$E$9</f>
        <v>Hereford or Shorthorn breeds</v>
      </c>
    </row>
    <row r="159" spans="4:35" ht="20.100000000000001" customHeight="1" x14ac:dyDescent="0.25">
      <c r="D159" s="98" t="s">
        <v>314</v>
      </c>
      <c r="U159" s="57" t="str">
        <v>s</v>
      </c>
      <c r="V159" s="58" t="str">
        <v>Calving season</v>
      </c>
      <c r="W159" s="59"/>
      <c r="X159" s="57" t="e">
        <f>'Input - Pasture Beef'!#REF!</f>
        <v>#REF!</v>
      </c>
    </row>
    <row r="160" spans="4:35" ht="20.100000000000001" customHeight="1" x14ac:dyDescent="0.25">
      <c r="D160" s="51" t="s">
        <v>184</v>
      </c>
      <c r="E160" s="51" t="s">
        <v>246</v>
      </c>
      <c r="F160" s="51" t="s">
        <v>131</v>
      </c>
      <c r="G160" s="51" t="s">
        <v>130</v>
      </c>
      <c r="H160" s="51" t="s">
        <v>165</v>
      </c>
      <c r="I160" s="51" t="s">
        <v>166</v>
      </c>
      <c r="J160" s="51" t="s">
        <v>167</v>
      </c>
      <c r="K160" s="51" t="s">
        <v>168</v>
      </c>
      <c r="L160" s="51" t="s">
        <v>169</v>
      </c>
      <c r="M160" s="51" t="s">
        <v>170</v>
      </c>
      <c r="N160" s="51" t="s">
        <v>171</v>
      </c>
      <c r="O160" s="51" t="s">
        <v>172</v>
      </c>
    </row>
    <row r="161" spans="3:34" ht="20.100000000000001" customHeight="1" x14ac:dyDescent="0.25">
      <c r="D161" s="52" t="s">
        <v>173</v>
      </c>
      <c r="E161" s="52" t="str" cm="1">
        <f t="array" ref="E161">_xlfn.IFS($D$161=$G$148,"Calving season",$D$164=$G$148,"Season after calving",TRUE, "")</f>
        <v>Season after calving</v>
      </c>
      <c r="F161" s="52" cm="1">
        <f t="array" ref="F161">_xlfn.XLOOKUP(1, (Table_SourceData_PastureBeef_FeedIntakeAdjustment_Variation[Breed]=$G$147)*(Table_SourceData_PastureBeef_FeedIntakeAdjustment_Variation[Season]=$E161),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(Table_SourceData_PastureBeef_FeedIntakeAdjustment_Variation[Breed]=$G$147)*(Table_SourceData_PastureBeef_FeedIntakeAdjustment_Variation[Season]=$E161),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(Table_SourceData_PastureBeef_FeedIntakeAdjustment_Variation[Breed]=$G$147)*(Table_SourceData_PastureBeef_FeedIntakeAdjustment_Variation[Season]=$E161), Table_SourceData_PastureBeef_FeedIntakeAdjustment_Variation[Milk intake/production], 0)</f>
        <v>4</v>
      </c>
      <c r="M161" s="52">
        <v>0</v>
      </c>
      <c r="N161" s="52">
        <v>0</v>
      </c>
      <c r="O161" s="52">
        <v>0</v>
      </c>
      <c r="P161" s="2" t="s">
        <v>134</v>
      </c>
      <c r="Q161" s="2"/>
      <c r="U161" s="99" t="s">
        <v>107</v>
      </c>
    </row>
    <row r="162" spans="3:34" ht="20.100000000000001" customHeight="1" x14ac:dyDescent="0.25">
      <c r="D162" s="52" t="s">
        <v>174</v>
      </c>
      <c r="E162" s="52" t="str" cm="1">
        <f t="array" ref="E162">_xlfn.IFS($D$162=$G$148,"Calving season",$D$161=$G$148,"Season after calving",TRUE, "")</f>
        <v/>
      </c>
      <c r="F162" s="52" cm="1">
        <f t="array" ref="F162">_xlfn.XLOOKUP(1, (Table_SourceData_PastureBeef_FeedIntakeAdjustment_Variation[Breed]=$G$147)*(Table_SourceData_PastureBeef_FeedIntakeAdjustment_Variation[Season]=$E162),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(Table_SourceData_PastureBeef_FeedIntakeAdjustment_Variation[Breed]=$G$147)*(Table_SourceData_PastureBeef_FeedIntakeAdjustment_Variation[Season]=$E162),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(Table_SourceData_PastureBeef_FeedIntakeAdjustment_Variation[Breed]=$G$147)*(Table_SourceData_PastureBeef_FeedIntakeAdjustment_Variation[Season]=$E162), Table_SourceData_PastureBeef_FeedIntakeAdjustment_Variation[Milk intake/production], 0)</f>
        <v>0</v>
      </c>
      <c r="M162" s="52">
        <v>0</v>
      </c>
      <c r="N162" s="52">
        <v>0</v>
      </c>
      <c r="O162" s="52">
        <v>0</v>
      </c>
      <c r="P162" s="2" t="s">
        <v>134</v>
      </c>
      <c r="Q162" s="2"/>
      <c r="U162" s="98" t="s">
        <v>311</v>
      </c>
    </row>
    <row r="163" spans="3:34" ht="20.100000000000001" customHeight="1" x14ac:dyDescent="0.25">
      <c r="D163" s="52" t="s">
        <v>175</v>
      </c>
      <c r="E163" s="52" t="str" cm="1">
        <f t="array" ref="E163">_xlfn.IFS($D$163=$G$148,"Calving season",$D$162=$G$148,"Season after calving",TRUE, "")</f>
        <v/>
      </c>
      <c r="F163" s="52" cm="1">
        <f t="array" ref="F163">_xlfn.XLOOKUP(1, (Table_SourceData_PastureBeef_FeedIntakeAdjustment_Variation[Breed]=$G$147)*(Table_SourceData_PastureBeef_FeedIntakeAdjustment_Variation[Season]=$E163),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(Table_SourceData_PastureBeef_FeedIntakeAdjustment_Variation[Breed]=$G$147)*(Table_SourceData_PastureBeef_FeedIntakeAdjustment_Variation[Season]=$E163),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(Table_SourceData_PastureBeef_FeedIntakeAdjustment_Variation[Breed]=$G$147)*(Table_SourceData_PastureBeef_FeedIntakeAdjustment_Variation[Season]=$E163), Table_SourceData_PastureBeef_FeedIntakeAdjustment_Variation[Milk intake/production], 0)</f>
        <v>0</v>
      </c>
      <c r="M163" s="52">
        <v>0</v>
      </c>
      <c r="N163" s="52">
        <v>0</v>
      </c>
      <c r="O163" s="52">
        <v>0</v>
      </c>
      <c r="P163" s="2" t="s">
        <v>134</v>
      </c>
      <c r="Q163" s="2"/>
      <c r="U163" s="51" t="s">
        <v>132</v>
      </c>
      <c r="V163" s="51" t="s">
        <v>131</v>
      </c>
      <c r="W163" s="51" t="s">
        <v>130</v>
      </c>
      <c r="X163" s="51" t="s">
        <v>165</v>
      </c>
      <c r="Y163" s="51" t="s">
        <v>166</v>
      </c>
      <c r="Z163" s="51" t="s">
        <v>167</v>
      </c>
      <c r="AA163" s="51" t="s">
        <v>168</v>
      </c>
      <c r="AB163" s="51" t="s">
        <v>169</v>
      </c>
      <c r="AC163" s="51" t="s">
        <v>170</v>
      </c>
      <c r="AD163" s="51" t="s">
        <v>171</v>
      </c>
      <c r="AE163" s="51" t="s">
        <v>172</v>
      </c>
    </row>
    <row r="164" spans="3:34" ht="20.100000000000001" customHeight="1" x14ac:dyDescent="0.25">
      <c r="D164" s="52" t="s">
        <v>176</v>
      </c>
      <c r="E164" s="52" t="str" cm="1">
        <f t="array" ref="E164">_xlfn.IFS($D$164=$G$148,"Calving season",$D$163=$G$148,"Season after calving",TRUE, "")</f>
        <v>Calving season</v>
      </c>
      <c r="F164" s="52" cm="1">
        <f t="array" ref="F164">_xlfn.XLOOKUP(1, (Table_SourceData_PastureBeef_FeedIntakeAdjustment_Variation[Breed]=$G$147)*(Table_SourceData_PastureBeef_FeedIntakeAdjustment_Variation[Season]=$E164),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(Table_SourceData_PastureBeef_FeedIntakeAdjustment_Variation[Breed]=$G$147)*(Table_SourceData_PastureBeef_FeedIntakeAdjustment_Variation[Season]=$E164),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(Table_SourceData_PastureBeef_FeedIntakeAdjustment_Variation[Breed]=$G$147)*(Table_SourceData_PastureBeef_FeedIntakeAdjustment_Variation[Season]=$E164), Table_SourceData_PastureBeef_FeedIntakeAdjustment_Variation[Milk intake/production], 0)</f>
        <v>6</v>
      </c>
      <c r="M164" s="52">
        <v>0</v>
      </c>
      <c r="N164" s="52">
        <v>0</v>
      </c>
      <c r="O164" s="52">
        <v>0</v>
      </c>
      <c r="P164" s="2" t="s">
        <v>134</v>
      </c>
      <c r="Q164" s="2"/>
      <c r="U164" s="52" t="str">
        <f>TEXT('Input - Site'!$E$12, "mmmm yyyy")</f>
        <v>January 2024</v>
      </c>
      <c r="V164" s="52">
        <f>'Input - Pasture Beef'!E160</f>
        <v>0.09</v>
      </c>
      <c r="W164" s="52">
        <f>'Input - Pasture Beef'!F160</f>
        <v>0.09</v>
      </c>
      <c r="X164" s="52">
        <f>'Input - Pasture Beef'!G160</f>
        <v>0.09</v>
      </c>
      <c r="Y164" s="52">
        <f>'Input - Pasture Beef'!H160</f>
        <v>0.09</v>
      </c>
      <c r="Z164" s="52">
        <f>'Input - Pasture Beef'!I160</f>
        <v>0.09</v>
      </c>
      <c r="AA164" s="52">
        <f>'Input - Pasture Beef'!J160</f>
        <v>0.09</v>
      </c>
      <c r="AB164" s="52">
        <f>'Input - Pasture Beef'!K160</f>
        <v>0.09</v>
      </c>
      <c r="AC164" s="52">
        <f>'Input - Pasture Beef'!L160</f>
        <v>0.09</v>
      </c>
      <c r="AD164" s="52">
        <f>'Input - Pasture Beef'!M160</f>
        <v>0.09</v>
      </c>
      <c r="AE164" s="52">
        <f>'Input - Pasture Beef'!N160</f>
        <v>0.09</v>
      </c>
      <c r="AF164" s="2" t="s">
        <v>141</v>
      </c>
    </row>
    <row r="165" spans="3:34" ht="20.100000000000001" customHeight="1" x14ac:dyDescent="0.25">
      <c r="U165" s="52" t="str">
        <f>TEXT(EDATE('Input - Site'!$E$12,1), "mmmm yyyy")</f>
        <v>February 2024</v>
      </c>
      <c r="V165" s="52">
        <f>'Input - Pasture Beef'!E161</f>
        <v>0.09</v>
      </c>
      <c r="W165" s="52">
        <f>'Input - Pasture Beef'!F161</f>
        <v>0.09</v>
      </c>
      <c r="X165" s="52">
        <f>'Input - Pasture Beef'!G161</f>
        <v>0.09</v>
      </c>
      <c r="Y165" s="52">
        <f>'Input - Pasture Beef'!H161</f>
        <v>0.09</v>
      </c>
      <c r="Z165" s="52">
        <f>'Input - Pasture Beef'!I161</f>
        <v>0.09</v>
      </c>
      <c r="AA165" s="52">
        <f>'Input - Pasture Beef'!J161</f>
        <v>0.09</v>
      </c>
      <c r="AB165" s="52">
        <f>'Input - Pasture Beef'!K161</f>
        <v>0.09</v>
      </c>
      <c r="AC165" s="52">
        <f>'Input - Pasture Beef'!L161</f>
        <v>0.09</v>
      </c>
      <c r="AD165" s="52">
        <f>'Input - Pasture Beef'!M161</f>
        <v>0.09</v>
      </c>
      <c r="AE165" s="52">
        <f>'Input - Pasture Beef'!N161</f>
        <v>0.09</v>
      </c>
      <c r="AF165" s="2" t="s">
        <v>141</v>
      </c>
    </row>
    <row r="166" spans="3:34" ht="20.100000000000001" customHeight="1" x14ac:dyDescent="0.25">
      <c r="D166" s="99" t="s">
        <v>298</v>
      </c>
      <c r="U166" s="52" t="str">
        <f>TEXT(EDATE('Input - Site'!$E$12,2), "mmmm yyyy")</f>
        <v>March 2024</v>
      </c>
      <c r="V166" s="52">
        <f>'Input - Pasture Beef'!E162</f>
        <v>0.06</v>
      </c>
      <c r="W166" s="52">
        <f>'Input - Pasture Beef'!F162</f>
        <v>0.06</v>
      </c>
      <c r="X166" s="52">
        <f>'Input - Pasture Beef'!G162</f>
        <v>0.06</v>
      </c>
      <c r="Y166" s="52">
        <f>'Input - Pasture Beef'!H162</f>
        <v>0.06</v>
      </c>
      <c r="Z166" s="52">
        <f>'Input - Pasture Beef'!I162</f>
        <v>0.06</v>
      </c>
      <c r="AA166" s="52">
        <f>'Input - Pasture Beef'!J162</f>
        <v>0.06</v>
      </c>
      <c r="AB166" s="52">
        <f>'Input - Pasture Beef'!K162</f>
        <v>0.06</v>
      </c>
      <c r="AC166" s="52">
        <f>'Input - Pasture Beef'!L162</f>
        <v>0.06</v>
      </c>
      <c r="AD166" s="52">
        <f>'Input - Pasture Beef'!M162</f>
        <v>0.06</v>
      </c>
      <c r="AE166" s="52">
        <f>'Input - Pasture Beef'!N162</f>
        <v>0.06</v>
      </c>
      <c r="AF166" s="2" t="s">
        <v>141</v>
      </c>
    </row>
    <row r="167" spans="3:34" ht="20.100000000000001" customHeight="1" x14ac:dyDescent="0.25">
      <c r="D167" s="98" t="s">
        <v>315</v>
      </c>
      <c r="U167" s="52" t="str">
        <f>TEXT(EDATE('Input - Site'!$E$12,3), "mmmm yyyy")</f>
        <v>April 2024</v>
      </c>
      <c r="V167" s="52">
        <f>'Input - Pasture Beef'!E163</f>
        <v>0.06</v>
      </c>
      <c r="W167" s="52">
        <f>'Input - Pasture Beef'!F163</f>
        <v>0.06</v>
      </c>
      <c r="X167" s="52">
        <f>'Input - Pasture Beef'!G163</f>
        <v>0.06</v>
      </c>
      <c r="Y167" s="52">
        <f>'Input - Pasture Beef'!H163</f>
        <v>0.06</v>
      </c>
      <c r="Z167" s="52">
        <f>'Input - Pasture Beef'!I163</f>
        <v>0.06</v>
      </c>
      <c r="AA167" s="52">
        <f>'Input - Pasture Beef'!J163</f>
        <v>0.06</v>
      </c>
      <c r="AB167" s="52">
        <f>'Input - Pasture Beef'!K163</f>
        <v>0.06</v>
      </c>
      <c r="AC167" s="52">
        <f>'Input - Pasture Beef'!L163</f>
        <v>0.06</v>
      </c>
      <c r="AD167" s="52">
        <f>'Input - Pasture Beef'!M163</f>
        <v>0.06</v>
      </c>
      <c r="AE167" s="52">
        <f>'Input - Pasture Beef'!N163</f>
        <v>0.06</v>
      </c>
      <c r="AF167" s="2" t="s">
        <v>141</v>
      </c>
    </row>
    <row r="168" spans="3:34" ht="20.100000000000001" customHeight="1" x14ac:dyDescent="0.25">
      <c r="D168" s="51" t="s">
        <v>184</v>
      </c>
      <c r="E168" s="51" t="s">
        <v>131</v>
      </c>
      <c r="F168" s="51" t="s">
        <v>130</v>
      </c>
      <c r="G168" s="51" t="s">
        <v>165</v>
      </c>
      <c r="H168" s="51" t="s">
        <v>166</v>
      </c>
      <c r="I168" s="51" t="s">
        <v>167</v>
      </c>
      <c r="J168" s="51" t="s">
        <v>168</v>
      </c>
      <c r="K168" s="51" t="s">
        <v>169</v>
      </c>
      <c r="L168" s="51" t="s">
        <v>170</v>
      </c>
      <c r="M168" s="51" t="s">
        <v>171</v>
      </c>
      <c r="N168" s="51" t="s">
        <v>172</v>
      </c>
      <c r="U168" s="52" t="str">
        <f>TEXT(EDATE('Input - Site'!$E$12,4), "mmmm yyyy")</f>
        <v>May 2024</v>
      </c>
      <c r="V168" s="52">
        <f>'Input - Pasture Beef'!E164</f>
        <v>0.06</v>
      </c>
      <c r="W168" s="52">
        <f>'Input - Pasture Beef'!F164</f>
        <v>0.06</v>
      </c>
      <c r="X168" s="52">
        <f>'Input - Pasture Beef'!G164</f>
        <v>0.06</v>
      </c>
      <c r="Y168" s="52">
        <f>'Input - Pasture Beef'!H164</f>
        <v>0.06</v>
      </c>
      <c r="Z168" s="52">
        <f>'Input - Pasture Beef'!I164</f>
        <v>0.06</v>
      </c>
      <c r="AA168" s="52">
        <f>'Input - Pasture Beef'!J164</f>
        <v>0.06</v>
      </c>
      <c r="AB168" s="52">
        <f>'Input - Pasture Beef'!K164</f>
        <v>0.06</v>
      </c>
      <c r="AC168" s="52">
        <f>'Input - Pasture Beef'!L164</f>
        <v>0.06</v>
      </c>
      <c r="AD168" s="52">
        <f>'Input - Pasture Beef'!M164</f>
        <v>0.06</v>
      </c>
      <c r="AE168" s="52">
        <f>'Input - Pasture Beef'!N164</f>
        <v>0.06</v>
      </c>
      <c r="AF168" s="2" t="s">
        <v>141</v>
      </c>
      <c r="AG168" s="2"/>
      <c r="AH168" s="2"/>
    </row>
    <row r="169" spans="3:34" ht="20.100000000000001" customHeight="1" x14ac:dyDescent="0.25">
      <c r="D169" s="52" t="s">
        <v>173</v>
      </c>
      <c r="E169" s="52" cm="1">
        <f t="array" ref="E169">MMS_PastureBeef_Soil_N2ODirect_Equations.VEERG_4_2_1_3__3_NitrogenExcreted(E54,E153,F161,E127,E20)</f>
        <v>0.26350651585923002</v>
      </c>
      <c r="F169" s="52" cm="1">
        <f t="array" ref="F169">MMS_PastureBeef_Soil_N2ODirect_Equations.VEERG_4_2_1_3__3_NitrogenExcreted(F54,F153,G161,F127,F20)</f>
        <v>0.37708133734232585</v>
      </c>
      <c r="G169" s="52" cm="1">
        <f t="array" ref="G169">MMS_PastureBeef_Soil_N2ODirect_Equations.VEERG_4_2_1_3__3_NitrogenExcreted(G54,G153,H161,G127,G20)</f>
        <v>0.20744815814809262</v>
      </c>
      <c r="H169" s="52" cm="1">
        <f t="array" ref="H169">MMS_PastureBeef_Soil_N2ODirect_Equations.VEERG_4_2_1_3__3_NitrogenExcreted(H54,H153,I161,H127,H20)</f>
        <v>0.27698096705009545</v>
      </c>
      <c r="I169" s="52" cm="1">
        <f t="array" ref="I169">MMS_PastureBeef_Soil_N2ODirect_Equations.VEERG_4_2_1_3__3_NitrogenExcreted(I54,I153,J161,I127,I20)</f>
        <v>0.34118759264783</v>
      </c>
      <c r="J169" s="52" cm="1">
        <f t="array" ref="J169">MMS_PastureBeef_Soil_N2ODirect_Equations.VEERG_4_2_1_3__3_NitrogenExcreted(J54,J153,K161,J127,J20)</f>
        <v>0.34118759264783</v>
      </c>
      <c r="K169" s="52" cm="1">
        <f t="array" ref="K169">MMS_PastureBeef_Soil_N2ODirect_Equations.VEERG_4_2_1_3__3_NitrogenExcreted(K54,K153,L161,K127,K20)</f>
        <v>0.23489856582312055</v>
      </c>
      <c r="L169" s="52" cm="1">
        <f t="array" ref="L169">MMS_PastureBeef_Soil_N2ODirect_Equations.VEERG_4_2_1_3__3_NitrogenExcreted(L54,L153,M161,L127,L20)</f>
        <v>0.2934676863299529</v>
      </c>
      <c r="M169" s="52" cm="1">
        <f t="array" ref="M169">MMS_PastureBeef_Soil_N2ODirect_Equations.VEERG_4_2_1_3__3_NitrogenExcreted(M54,M153,N161,M127,M20)</f>
        <v>0.2934676863299529</v>
      </c>
      <c r="N169" s="52" cm="1">
        <f t="array" ref="N169">MMS_PastureBeef_Soil_N2ODirect_Equations.VEERG_4_2_1_3__3_NitrogenExcreted(N54,N153,O161,N127,N20)</f>
        <v>0.2934676863299529</v>
      </c>
      <c r="O169" s="2" t="str">
        <f>$E$140</f>
        <v>kg N/head/day</v>
      </c>
      <c r="U169" s="52" t="str">
        <f>TEXT(EDATE('Input - Site'!$E$12,5), "mmmm yyyy")</f>
        <v>June 2024</v>
      </c>
      <c r="V169" s="52">
        <f>'Input - Pasture Beef'!E165</f>
        <v>0.2</v>
      </c>
      <c r="W169" s="52">
        <f>'Input - Pasture Beef'!F165</f>
        <v>0.2</v>
      </c>
      <c r="X169" s="52">
        <f>'Input - Pasture Beef'!G165</f>
        <v>0.2</v>
      </c>
      <c r="Y169" s="52">
        <f>'Input - Pasture Beef'!H165</f>
        <v>0.2</v>
      </c>
      <c r="Z169" s="52">
        <f>'Input - Pasture Beef'!I165</f>
        <v>0.2</v>
      </c>
      <c r="AA169" s="52">
        <f>'Input - Pasture Beef'!J165</f>
        <v>0.2</v>
      </c>
      <c r="AB169" s="52">
        <f>'Input - Pasture Beef'!K165</f>
        <v>0.2</v>
      </c>
      <c r="AC169" s="52">
        <f>'Input - Pasture Beef'!L165</f>
        <v>0.2</v>
      </c>
      <c r="AD169" s="52">
        <f>'Input - Pasture Beef'!M165</f>
        <v>0.2</v>
      </c>
      <c r="AE169" s="52">
        <f>'Input - Pasture Beef'!N165</f>
        <v>0.2</v>
      </c>
      <c r="AF169" s="2" t="s">
        <v>141</v>
      </c>
      <c r="AG169" s="2"/>
      <c r="AH169" s="2"/>
    </row>
    <row r="170" spans="3:34" ht="20.100000000000001" customHeight="1" x14ac:dyDescent="0.25">
      <c r="D170" s="52" t="s">
        <v>174</v>
      </c>
      <c r="E170" s="52" cm="1">
        <f t="array" ref="E170">MMS_PastureBeef_Soil_N2ODirect_Equations.VEERG_4_2_1_3__3_NitrogenExcreted(E55,E154,F162,E128,E21)</f>
        <v>9.3275223802458812E-2</v>
      </c>
      <c r="F170" s="52" cm="1">
        <f t="array" ref="F170">MMS_PastureBeef_Soil_N2ODirect_Equations.VEERG_4_2_1_3__3_NitrogenExcreted(F55,F154,G162,F128,F21)</f>
        <v>0.13601872675007995</v>
      </c>
      <c r="G170" s="52" cm="1">
        <f t="array" ref="G170">MMS_PastureBeef_Soil_N2ODirect_Equations.VEERG_4_2_1_3__3_NitrogenExcreted(G55,G154,H162,G128,G21)</f>
        <v>7.7811027960341214E-2</v>
      </c>
      <c r="H170" s="52" cm="1">
        <f t="array" ref="H170">MMS_PastureBeef_Soil_N2ODirect_Equations.VEERG_4_2_1_3__3_NitrogenExcreted(H55,H154,I162,H128,H21)</f>
        <v>0.11211505645345723</v>
      </c>
      <c r="I170" s="52" cm="1">
        <f t="array" ref="I170">MMS_PastureBeef_Soil_N2ODirect_Equations.VEERG_4_2_1_3__3_NitrogenExcreted(I55,I154,J162,I128,I21)</f>
        <v>0.11725024145638518</v>
      </c>
      <c r="J170" s="52" cm="1">
        <f t="array" ref="J170">MMS_PastureBeef_Soil_N2ODirect_Equations.VEERG_4_2_1_3__3_NitrogenExcreted(J55,J154,K162,J128,J21)</f>
        <v>0.11725024145638518</v>
      </c>
      <c r="K170" s="52" cm="1">
        <f t="array" ref="K170">MMS_PastureBeef_Soil_N2ODirect_Equations.VEERG_4_2_1_3__3_NitrogenExcreted(K55,K154,L162,K128,K21)</f>
        <v>8.562550571362422E-2</v>
      </c>
      <c r="L170" s="52" cm="1">
        <f t="array" ref="L170">MMS_PastureBeef_Soil_N2ODirect_Equations.VEERG_4_2_1_3__3_NitrogenExcreted(L55,L154,M162,L128,L21)</f>
        <v>0.1054491491748196</v>
      </c>
      <c r="M170" s="52" cm="1">
        <f t="array" ref="M170">MMS_PastureBeef_Soil_N2ODirect_Equations.VEERG_4_2_1_3__3_NitrogenExcreted(M55,M154,N162,M128,M21)</f>
        <v>0.1054491491748196</v>
      </c>
      <c r="N170" s="52" cm="1">
        <f t="array" ref="N170">MMS_PastureBeef_Soil_N2ODirect_Equations.VEERG_4_2_1_3__3_NitrogenExcreted(N55,N154,O162,N128,N21)</f>
        <v>0.1054491491748196</v>
      </c>
      <c r="O170" s="2" t="str">
        <f t="shared" ref="O170:O172" si="8">$E$140</f>
        <v>kg N/head/day</v>
      </c>
      <c r="U170" s="52" t="str">
        <f>TEXT(EDATE('Input - Site'!$E$12,6), "mmmm yyyy")</f>
        <v>July 2024</v>
      </c>
      <c r="V170" s="52">
        <f>'Input - Pasture Beef'!E166</f>
        <v>0.2</v>
      </c>
      <c r="W170" s="52">
        <f>'Input - Pasture Beef'!F166</f>
        <v>0.2</v>
      </c>
      <c r="X170" s="52">
        <f>'Input - Pasture Beef'!G166</f>
        <v>0.2</v>
      </c>
      <c r="Y170" s="52">
        <f>'Input - Pasture Beef'!H166</f>
        <v>0.2</v>
      </c>
      <c r="Z170" s="52">
        <f>'Input - Pasture Beef'!I166</f>
        <v>0.2</v>
      </c>
      <c r="AA170" s="52">
        <f>'Input - Pasture Beef'!J166</f>
        <v>0.2</v>
      </c>
      <c r="AB170" s="52">
        <f>'Input - Pasture Beef'!K166</f>
        <v>0.2</v>
      </c>
      <c r="AC170" s="52">
        <f>'Input - Pasture Beef'!L166</f>
        <v>0.2</v>
      </c>
      <c r="AD170" s="52">
        <f>'Input - Pasture Beef'!M166</f>
        <v>0.2</v>
      </c>
      <c r="AE170" s="52">
        <f>'Input - Pasture Beef'!N166</f>
        <v>0.2</v>
      </c>
      <c r="AF170" s="2" t="s">
        <v>141</v>
      </c>
      <c r="AG170" s="2"/>
      <c r="AH170" s="2"/>
    </row>
    <row r="171" spans="3:34" ht="20.100000000000001" customHeight="1" x14ac:dyDescent="0.25">
      <c r="D171" s="52" t="s">
        <v>175</v>
      </c>
      <c r="E171" s="52" cm="1">
        <f t="array" ref="E171">MMS_PastureBeef_Soil_N2ODirect_Equations.VEERG_4_2_1_3__3_NitrogenExcreted(E56,E155,F163,E129,E22)</f>
        <v>1.3490587405558481E-2</v>
      </c>
      <c r="F171" s="52" cm="1">
        <f t="array" ref="F171">MMS_PastureBeef_Soil_N2ODirect_Equations.VEERG_4_2_1_3__3_NitrogenExcreted(F56,F155,G163,F129,F22)</f>
        <v>8.8133023634157495E-2</v>
      </c>
      <c r="G171" s="52" cm="1">
        <f t="array" ref="G171">MMS_PastureBeef_Soil_N2ODirect_Equations.VEERG_4_2_1_3__3_NitrogenExcreted(G56,G155,H163,G129,G22)</f>
        <v>1.1001898802853755E-2</v>
      </c>
      <c r="H171" s="52" cm="1">
        <f t="array" ref="H171">MMS_PastureBeef_Soil_N2ODirect_Equations.VEERG_4_2_1_3__3_NitrogenExcreted(H56,H155,I163,H129,H22)</f>
        <v>5.2902961709211542E-2</v>
      </c>
      <c r="I171" s="52" cm="1">
        <f t="array" ref="I171">MMS_PastureBeef_Soil_N2ODirect_Equations.VEERG_4_2_1_3__3_NitrogenExcreted(I56,I155,J163,I129,I22)</f>
        <v>6.9185083188389812E-2</v>
      </c>
      <c r="J171" s="52" cm="1">
        <f t="array" ref="J171">MMS_PastureBeef_Soil_N2ODirect_Equations.VEERG_4_2_1_3__3_NitrogenExcreted(J56,J155,K163,J129,J22)</f>
        <v>6.9185083188389812E-2</v>
      </c>
      <c r="K171" s="52" cm="1">
        <f t="array" ref="K171">MMS_PastureBeef_Soil_N2ODirect_Equations.VEERG_4_2_1_3__3_NitrogenExcreted(K56,K155,L163,K129,K22)</f>
        <v>1.3731587835013218E-2</v>
      </c>
      <c r="L171" s="52" cm="1">
        <f t="array" ref="L171">MMS_PastureBeef_Soil_N2ODirect_Equations.VEERG_4_2_1_3__3_NitrogenExcreted(L56,L155,M163,L129,L22)</f>
        <v>5.520208336562428E-2</v>
      </c>
      <c r="M171" s="52" cm="1">
        <f t="array" ref="M171">MMS_PastureBeef_Soil_N2ODirect_Equations.VEERG_4_2_1_3__3_NitrogenExcreted(M56,M155,N163,M129,M22)</f>
        <v>5.520208336562428E-2</v>
      </c>
      <c r="N171" s="52" cm="1">
        <f t="array" ref="N171">MMS_PastureBeef_Soil_N2ODirect_Equations.VEERG_4_2_1_3__3_NitrogenExcreted(N56,N155,O163,N129,N22)</f>
        <v>5.520208336562428E-2</v>
      </c>
      <c r="O171" s="2" t="str">
        <f t="shared" si="8"/>
        <v>kg N/head/day</v>
      </c>
      <c r="U171" s="52" t="str">
        <f>TEXT(EDATE('Input - Site'!$E$12,7), "mmmm yyyy")</f>
        <v>August 2024</v>
      </c>
      <c r="V171" s="52">
        <f>'Input - Pasture Beef'!E167</f>
        <v>0.2</v>
      </c>
      <c r="W171" s="52">
        <f>'Input - Pasture Beef'!F167</f>
        <v>0.2</v>
      </c>
      <c r="X171" s="52">
        <f>'Input - Pasture Beef'!G167</f>
        <v>0.2</v>
      </c>
      <c r="Y171" s="52">
        <f>'Input - Pasture Beef'!H167</f>
        <v>0.2</v>
      </c>
      <c r="Z171" s="52">
        <f>'Input - Pasture Beef'!I167</f>
        <v>0.2</v>
      </c>
      <c r="AA171" s="52">
        <f>'Input - Pasture Beef'!J167</f>
        <v>0.2</v>
      </c>
      <c r="AB171" s="52">
        <f>'Input - Pasture Beef'!K167</f>
        <v>0.2</v>
      </c>
      <c r="AC171" s="52">
        <f>'Input - Pasture Beef'!L167</f>
        <v>0.2</v>
      </c>
      <c r="AD171" s="52">
        <f>'Input - Pasture Beef'!M167</f>
        <v>0.2</v>
      </c>
      <c r="AE171" s="52">
        <f>'Input - Pasture Beef'!N167</f>
        <v>0.2</v>
      </c>
      <c r="AF171" s="2" t="s">
        <v>141</v>
      </c>
      <c r="AG171" s="2"/>
      <c r="AH171" s="2"/>
    </row>
    <row r="172" spans="3:34" ht="20.100000000000001" customHeight="1" x14ac:dyDescent="0.25">
      <c r="D172" s="52" t="s">
        <v>176</v>
      </c>
      <c r="E172" s="52" cm="1">
        <f t="array" ref="E172">MMS_PastureBeef_Soil_N2ODirect_Equations.VEERG_4_2_1_3__3_NitrogenExcreted(E57,E156,F164,E130,E23)</f>
        <v>0.16782142173820769</v>
      </c>
      <c r="F172" s="52" cm="1">
        <f t="array" ref="F172">MMS_PastureBeef_Soil_N2ODirect_Equations.VEERG_4_2_1_3__3_NitrogenExcreted(F57,F156,G164,F130,F23)</f>
        <v>0.31425341534791917</v>
      </c>
      <c r="G172" s="52" cm="1">
        <f t="array" ref="G172">MMS_PastureBeef_Soil_N2ODirect_Equations.VEERG_4_2_1_3__3_NitrogenExcreted(G57,G156,H164,G130,G23)</f>
        <v>0.14439972918793106</v>
      </c>
      <c r="H172" s="52" cm="1">
        <f t="array" ref="H172">MMS_PastureBeef_Soil_N2ODirect_Equations.VEERG_4_2_1_3__3_NitrogenExcreted(H57,H156,I164,H130,H23)</f>
        <v>0.20538320393122031</v>
      </c>
      <c r="I172" s="52" cm="1">
        <f t="array" ref="I172">MMS_PastureBeef_Soil_N2ODirect_Equations.VEERG_4_2_1_3__3_NitrogenExcreted(I57,I156,J164,I130,I23)</f>
        <v>0.27448186171350092</v>
      </c>
      <c r="J172" s="52" cm="1">
        <f t="array" ref="J172">MMS_PastureBeef_Soil_N2ODirect_Equations.VEERG_4_2_1_3__3_NitrogenExcreted(J57,J156,K164,J130,J23)</f>
        <v>0.27448186171350092</v>
      </c>
      <c r="K172" s="52" cm="1">
        <f t="array" ref="K172">MMS_PastureBeef_Soil_N2ODirect_Equations.VEERG_4_2_1_3__3_NitrogenExcreted(K57,K156,L164,K130,K23)</f>
        <v>0.15390387455817453</v>
      </c>
      <c r="L172" s="52" cm="1">
        <f t="array" ref="L172">MMS_PastureBeef_Soil_N2ODirect_Equations.VEERG_4_2_1_3__3_NitrogenExcreted(L57,L156,M164,L130,L23)</f>
        <v>0.21091009356426255</v>
      </c>
      <c r="M172" s="52" cm="1">
        <f t="array" ref="M172">MMS_PastureBeef_Soil_N2ODirect_Equations.VEERG_4_2_1_3__3_NitrogenExcreted(M57,M156,N164,M130,M23)</f>
        <v>0.21091009356426255</v>
      </c>
      <c r="N172" s="52" cm="1">
        <f t="array" ref="N172">MMS_PastureBeef_Soil_N2ODirect_Equations.VEERG_4_2_1_3__3_NitrogenExcreted(N57,N156,O164,N130,N23)</f>
        <v>0.21091009356426255</v>
      </c>
      <c r="O172" s="2" t="str">
        <f t="shared" si="8"/>
        <v>kg N/head/day</v>
      </c>
      <c r="U172" s="52" t="str">
        <f>TEXT(EDATE('Input - Site'!$E$12,8), "mmmm yyyy")</f>
        <v>September 2024</v>
      </c>
      <c r="V172" s="52">
        <f>'Input - Pasture Beef'!E168</f>
        <v>0.2</v>
      </c>
      <c r="W172" s="52">
        <f>'Input - Pasture Beef'!F168</f>
        <v>0.2</v>
      </c>
      <c r="X172" s="52">
        <f>'Input - Pasture Beef'!G168</f>
        <v>0.2</v>
      </c>
      <c r="Y172" s="52">
        <f>'Input - Pasture Beef'!H168</f>
        <v>0.2</v>
      </c>
      <c r="Z172" s="52">
        <f>'Input - Pasture Beef'!I168</f>
        <v>0.2</v>
      </c>
      <c r="AA172" s="52">
        <f>'Input - Pasture Beef'!J168</f>
        <v>0.2</v>
      </c>
      <c r="AB172" s="52">
        <f>'Input - Pasture Beef'!K168</f>
        <v>0.2</v>
      </c>
      <c r="AC172" s="52">
        <f>'Input - Pasture Beef'!L168</f>
        <v>0.2</v>
      </c>
      <c r="AD172" s="52">
        <f>'Input - Pasture Beef'!M168</f>
        <v>0.2</v>
      </c>
      <c r="AE172" s="52">
        <f>'Input - Pasture Beef'!N168</f>
        <v>0.2</v>
      </c>
      <c r="AF172" s="2" t="s">
        <v>141</v>
      </c>
      <c r="AG172" s="2"/>
      <c r="AH172" s="2"/>
    </row>
    <row r="173" spans="3:34" ht="20.100000000000001" customHeight="1" x14ac:dyDescent="0.25">
      <c r="U173" s="52" t="str">
        <f>TEXT(EDATE('Input - Site'!$E$12,9), "mmmm yyyy")</f>
        <v>October 2024</v>
      </c>
      <c r="V173" s="52">
        <f>'Input - Pasture Beef'!E169</f>
        <v>0.2</v>
      </c>
      <c r="W173" s="52">
        <f>'Input - Pasture Beef'!F169</f>
        <v>0.2</v>
      </c>
      <c r="X173" s="52">
        <f>'Input - Pasture Beef'!G169</f>
        <v>0.2</v>
      </c>
      <c r="Y173" s="52">
        <f>'Input - Pasture Beef'!H169</f>
        <v>0.2</v>
      </c>
      <c r="Z173" s="52">
        <f>'Input - Pasture Beef'!I169</f>
        <v>0.2</v>
      </c>
      <c r="AA173" s="52">
        <f>'Input - Pasture Beef'!J169</f>
        <v>0.2</v>
      </c>
      <c r="AB173" s="52">
        <f>'Input - Pasture Beef'!K169</f>
        <v>0.2</v>
      </c>
      <c r="AC173" s="52">
        <f>'Input - Pasture Beef'!L169</f>
        <v>0.2</v>
      </c>
      <c r="AD173" s="52">
        <f>'Input - Pasture Beef'!M169</f>
        <v>0.2</v>
      </c>
      <c r="AE173" s="52">
        <f>'Input - Pasture Beef'!N169</f>
        <v>0.2</v>
      </c>
      <c r="AF173" s="2" t="s">
        <v>141</v>
      </c>
      <c r="AG173" s="2"/>
      <c r="AH173" s="2"/>
    </row>
    <row r="174" spans="3:34" ht="20.100000000000001" customHeight="1" x14ac:dyDescent="0.25">
      <c r="U174" s="52" t="str">
        <f>TEXT(EDATE('Input - Site'!$E$12,10), "mmmm yyyy")</f>
        <v>November 2024</v>
      </c>
      <c r="V174" s="52">
        <f>'Input - Pasture Beef'!E170</f>
        <v>0.2</v>
      </c>
      <c r="W174" s="52">
        <f>'Input - Pasture Beef'!F170</f>
        <v>0.2</v>
      </c>
      <c r="X174" s="52">
        <f>'Input - Pasture Beef'!G170</f>
        <v>0.2</v>
      </c>
      <c r="Y174" s="52">
        <f>'Input - Pasture Beef'!H170</f>
        <v>0.2</v>
      </c>
      <c r="Z174" s="52">
        <f>'Input - Pasture Beef'!I170</f>
        <v>0.2</v>
      </c>
      <c r="AA174" s="52">
        <f>'Input - Pasture Beef'!J170</f>
        <v>0.2</v>
      </c>
      <c r="AB174" s="52">
        <f>'Input - Pasture Beef'!K170</f>
        <v>0.2</v>
      </c>
      <c r="AC174" s="52">
        <f>'Input - Pasture Beef'!L170</f>
        <v>0.2</v>
      </c>
      <c r="AD174" s="52">
        <f>'Input - Pasture Beef'!M170</f>
        <v>0.2</v>
      </c>
      <c r="AE174" s="52">
        <f>'Input - Pasture Beef'!N170</f>
        <v>0.2</v>
      </c>
      <c r="AF174" s="2" t="s">
        <v>141</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2024</v>
      </c>
      <c r="V175" s="52">
        <f>'Input - Pasture Beef'!E171</f>
        <v>0.09</v>
      </c>
      <c r="W175" s="52">
        <f>'Input - Pasture Beef'!F171</f>
        <v>0.09</v>
      </c>
      <c r="X175" s="52">
        <f>'Input - Pasture Beef'!G171</f>
        <v>0.09</v>
      </c>
      <c r="Y175" s="52">
        <f>'Input - Pasture Beef'!H171</f>
        <v>0.09</v>
      </c>
      <c r="Z175" s="52">
        <f>'Input - Pasture Beef'!I171</f>
        <v>0.09</v>
      </c>
      <c r="AA175" s="52">
        <f>'Input - Pasture Beef'!J171</f>
        <v>0.09</v>
      </c>
      <c r="AB175" s="52">
        <f>'Input - Pasture Beef'!K171</f>
        <v>0.09</v>
      </c>
      <c r="AC175" s="52">
        <f>'Input - Pasture Beef'!L171</f>
        <v>0.09</v>
      </c>
      <c r="AD175" s="52">
        <f>'Input - Pasture Beef'!M171</f>
        <v>0.09</v>
      </c>
      <c r="AE175" s="52">
        <f>'Input - Pasture Beef'!N171</f>
        <v>0.09</v>
      </c>
      <c r="AF175" s="2" t="s">
        <v>141</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9" t="s">
        <v>297</v>
      </c>
      <c r="AH177" s="2"/>
    </row>
    <row r="178" spans="4:34" ht="20.100000000000001" customHeight="1" x14ac:dyDescent="0.25">
      <c r="D178" s="13" t="s">
        <v>27</v>
      </c>
      <c r="E178" s="13" t="str" cm="1">
        <f t="array" aca="1" ref="E178" ca="1">Common_InputFunctions.Utility_DisplayFunctionName($E$207)</f>
        <v>=MMS_PastureBeef_Soil_N2ODirect_Equations.VEERG_4_2_1_3__2_TotalNitrogenExcretedToPastureRangeAndPaddock</v>
      </c>
      <c r="U178" s="98" t="s">
        <v>313</v>
      </c>
      <c r="AH178" s="2"/>
    </row>
    <row r="179" spans="4:34" ht="20.100000000000001" customHeight="1" x14ac:dyDescent="0.25">
      <c r="U179" s="51" t="s">
        <v>132</v>
      </c>
      <c r="V179" s="51" t="s">
        <v>246</v>
      </c>
      <c r="W179" s="51" t="s">
        <v>131</v>
      </c>
      <c r="X179" s="51" t="s">
        <v>130</v>
      </c>
      <c r="Y179" s="51" t="s">
        <v>165</v>
      </c>
      <c r="Z179" s="51" t="s">
        <v>166</v>
      </c>
      <c r="AA179" s="51" t="s">
        <v>167</v>
      </c>
      <c r="AB179" s="51" t="s">
        <v>168</v>
      </c>
      <c r="AC179" s="51" t="s">
        <v>169</v>
      </c>
      <c r="AD179" s="51" t="s">
        <v>170</v>
      </c>
      <c r="AE179" s="51" t="s">
        <v>171</v>
      </c>
      <c r="AF179" s="51" t="s">
        <v>172</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(Table_SourceData_PastureBeef_FeedIntakeAdjustment_Variation[Breed]=$X$158)*(Table_SourceData_PastureBeef_FeedIntakeAdjustment_Variation[Season]=$V180), Table_SourceData_PastureBeef_FeedIntakeAdjustment_Variation[Milk intake/production], 0)</f>
        <v>4</v>
      </c>
      <c r="X180" s="52">
        <v>0</v>
      </c>
      <c r="Y180" s="52" cm="1">
        <f t="array" ref="Y180">_xlfn.XLOOKUP(1, (Table_SourceData_PastureBeef_FeedIntakeAdjustment_Variation[Breed]=$X$158)*(Table_SourceData_PastureBeef_FeedIntakeAdjustment_Variation[Season]=$V180), Table_SourceData_PastureBeef_FeedIntakeAdjustment_Variation[Milk intake/production], 0)</f>
        <v>4</v>
      </c>
      <c r="Z180" s="52">
        <v>0</v>
      </c>
      <c r="AA180" s="52">
        <v>0</v>
      </c>
      <c r="AB180" s="52">
        <v>0</v>
      </c>
      <c r="AC180" s="52" cm="1">
        <f t="array" ref="AC180">_xlfn.XLOOKUP(1, (Table_SourceData_PastureBeef_FeedIntakeAdjustment_Variation[Breed]=$X$158)*(Table_SourceData_PastureBeef_FeedIntakeAdjustment_Variation[Season]=$V180), Table_SourceData_PastureBeef_FeedIntakeAdjustment_Variation[Milk intake/production], 0)</f>
        <v>4</v>
      </c>
      <c r="AD180" s="52">
        <v>0</v>
      </c>
      <c r="AE180" s="52">
        <v>0</v>
      </c>
      <c r="AF180" s="52">
        <v>0</v>
      </c>
      <c r="AG180" s="2" t="s">
        <v>134</v>
      </c>
    </row>
    <row r="181" spans="4:34" ht="20.100000000000001" customHeight="1" x14ac:dyDescent="0.25">
      <c r="D181" s="53" t="s">
        <v>30</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(Table_SourceData_PastureBeef_FeedIntakeAdjustment_Variation[Breed]=$X$158)*(Table_SourceData_PastureBeef_FeedIntakeAdjustment_Variation[Season]=$V181),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(Table_SourceData_PastureBeef_FeedIntakeAdjustment_Variation[Breed]=$X$158)*(Table_SourceData_PastureBeef_FeedIntakeAdjustment_Variation[Season]=$V181),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(Table_SourceData_PastureBeef_FeedIntakeAdjustment_Variation[Breed]=$X$158)*(Table_SourceData_PastureBeef_FeedIntakeAdjustment_Variation[Season]=$V181), Table_SourceData_PastureBeef_FeedIntakeAdjustment_Variation[Milk intake/production], 0)</f>
        <v>0</v>
      </c>
      <c r="AD181" s="52">
        <v>0</v>
      </c>
      <c r="AE181" s="52">
        <v>0</v>
      </c>
      <c r="AF181" s="52">
        <v>0</v>
      </c>
      <c r="AG181" s="2" t="s">
        <v>134</v>
      </c>
    </row>
    <row r="182" spans="4:34" ht="20.100000000000001" customHeight="1" x14ac:dyDescent="0.25">
      <c r="D182" s="53" t="s">
        <v>20</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(Table_SourceData_PastureBeef_FeedIntakeAdjustment_Variation[Breed]=$X$158)*(Table_SourceData_PastureBeef_FeedIntakeAdjustment_Variation[Season]=$V182),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(Table_SourceData_PastureBeef_FeedIntakeAdjustment_Variation[Breed]=$X$158)*(Table_SourceData_PastureBeef_FeedIntakeAdjustment_Variation[Season]=$V182),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(Table_SourceData_PastureBeef_FeedIntakeAdjustment_Variation[Breed]=$X$158)*(Table_SourceData_PastureBeef_FeedIntakeAdjustment_Variation[Season]=$V182), Table_SourceData_PastureBeef_FeedIntakeAdjustment_Variation[Milk intake/production], 0)</f>
        <v>0</v>
      </c>
      <c r="AD182" s="52">
        <v>0</v>
      </c>
      <c r="AE182" s="52">
        <v>0</v>
      </c>
      <c r="AF182" s="52">
        <v>0</v>
      </c>
      <c r="AG182" s="2" t="s">
        <v>134</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(Table_SourceData_PastureBeef_FeedIntakeAdjustment_Variation[Breed]=$X$158)*(Table_SourceData_PastureBeef_FeedIntakeAdjustment_Variation[Season]=$V183),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(Table_SourceData_PastureBeef_FeedIntakeAdjustment_Variation[Breed]=$X$158)*(Table_SourceData_PastureBeef_FeedIntakeAdjustment_Variation[Season]=$V183),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(Table_SourceData_PastureBeef_FeedIntakeAdjustment_Variation[Breed]=$X$158)*(Table_SourceData_PastureBeef_FeedIntakeAdjustment_Variation[Season]=$V183), Table_SourceData_PastureBeef_FeedIntakeAdjustment_Variation[Milk intake/production], 0)</f>
        <v>0</v>
      </c>
      <c r="AD183" s="52">
        <v>0</v>
      </c>
      <c r="AE183" s="52">
        <v>0</v>
      </c>
      <c r="AF183" s="52">
        <v>0</v>
      </c>
      <c r="AG183" s="2" t="s">
        <v>134</v>
      </c>
    </row>
    <row r="184" spans="4:34" ht="20.100000000000001" customHeight="1" x14ac:dyDescent="0.25">
      <c r="D184" s="57" t="str" cm="1">
        <f t="array" ref="D184:E186">MMS_PastureBeef_Soil_N2ODirect_Equations.VEERG_4_2_1_3__2_TotalNitrogenExcretedToPastureRangeAndPaddock_Arguments()</f>
        <v>N_jkl</v>
      </c>
      <c r="E184" s="58" t="str">
        <v>number of beef cattle by time-period, class and subclass (head)</v>
      </c>
      <c r="F184" s="100"/>
      <c r="G184" s="59"/>
      <c r="H184" s="57" t="str">
        <f>"See " &amp; $D$188</f>
        <v>See 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(Table_SourceData_PastureBeef_FeedIntakeAdjustment_Variation[Breed]=$X$158)*(Table_SourceData_PastureBeef_FeedIntakeAdjustment_Variation[Season]=$V184),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(Table_SourceData_PastureBeef_FeedIntakeAdjustment_Variation[Breed]=$X$158)*(Table_SourceData_PastureBeef_FeedIntakeAdjustment_Variation[Season]=$V184),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(Table_SourceData_PastureBeef_FeedIntakeAdjustment_Variation[Breed]=$X$158)*(Table_SourceData_PastureBeef_FeedIntakeAdjustment_Variation[Season]=$V184), Table_SourceData_PastureBeef_FeedIntakeAdjustment_Variation[Milk intake/production], 0)</f>
        <v>0</v>
      </c>
      <c r="AD184" s="52">
        <v>0</v>
      </c>
      <c r="AE184" s="52">
        <v>0</v>
      </c>
      <c r="AF184" s="52">
        <v>0</v>
      </c>
      <c r="AG184" s="2" t="s">
        <v>134</v>
      </c>
      <c r="AH184" s="2"/>
    </row>
    <row r="185" spans="4:34" ht="20.100000000000001" customHeight="1" x14ac:dyDescent="0.25">
      <c r="D185" s="57" t="str">
        <v>NE_jkl</v>
      </c>
      <c r="E185" s="58" t="str">
        <v>nitrogen excreted in each time-period, by each class and subclass (kg N/head/day)</v>
      </c>
      <c r="F185" s="100"/>
      <c r="G185" s="59"/>
      <c r="H185" s="57" t="str">
        <f>"See " &amp; $D$166</f>
        <v>See 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(Table_SourceData_PastureBeef_FeedIntakeAdjustment_Variation[Breed]=$X$158)*(Table_SourceData_PastureBeef_FeedIntakeAdjustment_Variation[Season]=$V185),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(Table_SourceData_PastureBeef_FeedIntakeAdjustment_Variation[Breed]=$X$158)*(Table_SourceData_PastureBeef_FeedIntakeAdjustment_Variation[Season]=$V185),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(Table_SourceData_PastureBeef_FeedIntakeAdjustment_Variation[Breed]=$X$158)*(Table_SourceData_PastureBeef_FeedIntakeAdjustment_Variation[Season]=$V185), Table_SourceData_PastureBeef_FeedIntakeAdjustment_Variation[Milk intake/production], 0)</f>
        <v>0</v>
      </c>
      <c r="AD185" s="52">
        <v>0</v>
      </c>
      <c r="AE185" s="52">
        <v>0</v>
      </c>
      <c r="AF185" s="52">
        <v>0</v>
      </c>
      <c r="AG185" s="2" t="s">
        <v>134</v>
      </c>
      <c r="AH185" s="2"/>
    </row>
    <row r="186" spans="4:34" ht="20.100000000000001" customHeight="1" x14ac:dyDescent="0.25">
      <c r="D186" s="57" t="str">
        <v>D_j</v>
      </c>
      <c r="E186" s="58" t="str">
        <v>number of days in each time-period (days)</v>
      </c>
      <c r="F186" s="100"/>
      <c r="G186" s="59"/>
      <c r="H186" s="57" t="str">
        <f>"See " &amp; $D$196</f>
        <v>See 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(Table_SourceData_PastureBeef_FeedIntakeAdjustment_Variation[Breed]=$X$158)*(Table_SourceData_PastureBeef_FeedIntakeAdjustment_Variation[Season]=$V186),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(Table_SourceData_PastureBeef_FeedIntakeAdjustment_Variation[Breed]=$X$158)*(Table_SourceData_PastureBeef_FeedIntakeAdjustment_Variation[Season]=$V186),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(Table_SourceData_PastureBeef_FeedIntakeAdjustment_Variation[Breed]=$X$158)*(Table_SourceData_PastureBeef_FeedIntakeAdjustment_Variation[Season]=$V186), Table_SourceData_PastureBeef_FeedIntakeAdjustment_Variation[Milk intake/production], 0)</f>
        <v>0</v>
      </c>
      <c r="AD186" s="52">
        <v>0</v>
      </c>
      <c r="AE186" s="52">
        <v>0</v>
      </c>
      <c r="AF186" s="52">
        <v>0</v>
      </c>
      <c r="AG186" s="2" t="s">
        <v>134</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(Table_SourceData_PastureBeef_FeedIntakeAdjustment_Variation[Breed]=$X$158)*(Table_SourceData_PastureBeef_FeedIntakeAdjustment_Variation[Season]=$V187), Table_SourceData_PastureBeef_FeedIntakeAdjustment_Variation[Milk intake/production], 0)</f>
        <v>6</v>
      </c>
      <c r="X187" s="52">
        <v>0</v>
      </c>
      <c r="Y187" s="52" cm="1">
        <f t="array" ref="Y187">_xlfn.XLOOKUP(1, (Table_SourceData_PastureBeef_FeedIntakeAdjustment_Variation[Breed]=$X$158)*(Table_SourceData_PastureBeef_FeedIntakeAdjustment_Variation[Season]=$V187), Table_SourceData_PastureBeef_FeedIntakeAdjustment_Variation[Milk intake/production], 0)</f>
        <v>6</v>
      </c>
      <c r="Z187" s="52">
        <v>0</v>
      </c>
      <c r="AA187" s="52">
        <v>0</v>
      </c>
      <c r="AB187" s="52">
        <v>0</v>
      </c>
      <c r="AC187" s="52" cm="1">
        <f t="array" ref="AC187">_xlfn.XLOOKUP(1, (Table_SourceData_PastureBeef_FeedIntakeAdjustment_Variation[Breed]=$X$158)*(Table_SourceData_PastureBeef_FeedIntakeAdjustment_Variation[Season]=$V187), Table_SourceData_PastureBeef_FeedIntakeAdjustment_Variation[Milk intake/production], 0)</f>
        <v>6</v>
      </c>
      <c r="AD187" s="52">
        <v>0</v>
      </c>
      <c r="AE187" s="52">
        <v>0</v>
      </c>
      <c r="AF187" s="52">
        <v>0</v>
      </c>
      <c r="AG187" s="2" t="s">
        <v>134</v>
      </c>
      <c r="AH187" s="2"/>
    </row>
    <row r="188" spans="4:34" ht="20.100000000000001" customHeight="1" x14ac:dyDescent="0.25">
      <c r="D188" s="99" t="s">
        <v>275</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(Table_SourceData_PastureBeef_FeedIntakeAdjustment_Variation[Breed]=$X$158)*(Table_SourceData_PastureBeef_FeedIntakeAdjustment_Variation[Season]=$V188), Table_SourceData_PastureBeef_FeedIntakeAdjustment_Variation[Milk intake/production], 0)</f>
        <v>6</v>
      </c>
      <c r="X188" s="52">
        <v>0</v>
      </c>
      <c r="Y188" s="52" cm="1">
        <f t="array" ref="Y188">_xlfn.XLOOKUP(1, (Table_SourceData_PastureBeef_FeedIntakeAdjustment_Variation[Breed]=$X$158)*(Table_SourceData_PastureBeef_FeedIntakeAdjustment_Variation[Season]=$V188), Table_SourceData_PastureBeef_FeedIntakeAdjustment_Variation[Milk intake/production], 0)</f>
        <v>6</v>
      </c>
      <c r="Z188" s="52">
        <v>0</v>
      </c>
      <c r="AA188" s="52">
        <v>0</v>
      </c>
      <c r="AB188" s="52">
        <v>0</v>
      </c>
      <c r="AC188" s="52" cm="1">
        <f t="array" ref="AC188">_xlfn.XLOOKUP(1, (Table_SourceData_PastureBeef_FeedIntakeAdjustment_Variation[Breed]=$X$158)*(Table_SourceData_PastureBeef_FeedIntakeAdjustment_Variation[Season]=$V188), Table_SourceData_PastureBeef_FeedIntakeAdjustment_Variation[Milk intake/production], 0)</f>
        <v>6</v>
      </c>
      <c r="AD188" s="52">
        <v>0</v>
      </c>
      <c r="AE188" s="52">
        <v>0</v>
      </c>
      <c r="AF188" s="52">
        <v>0</v>
      </c>
      <c r="AG188" s="2" t="s">
        <v>134</v>
      </c>
    </row>
    <row r="189" spans="4:34" ht="20.100000000000001" customHeight="1" x14ac:dyDescent="0.25">
      <c r="D189" s="98" t="s">
        <v>276</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(Table_SourceData_PastureBeef_FeedIntakeAdjustment_Variation[Breed]=$X$158)*(Table_SourceData_PastureBeef_FeedIntakeAdjustment_Variation[Season]=$V189), Table_SourceData_PastureBeef_FeedIntakeAdjustment_Variation[Milk intake/production], 0)</f>
        <v>6</v>
      </c>
      <c r="X189" s="52">
        <v>0</v>
      </c>
      <c r="Y189" s="52" cm="1">
        <f t="array" ref="Y189">_xlfn.XLOOKUP(1, (Table_SourceData_PastureBeef_FeedIntakeAdjustment_Variation[Breed]=$X$158)*(Table_SourceData_PastureBeef_FeedIntakeAdjustment_Variation[Season]=$V189), Table_SourceData_PastureBeef_FeedIntakeAdjustment_Variation[Milk intake/production], 0)</f>
        <v>6</v>
      </c>
      <c r="Z189" s="52">
        <v>0</v>
      </c>
      <c r="AA189" s="52">
        <v>0</v>
      </c>
      <c r="AB189" s="52">
        <v>0</v>
      </c>
      <c r="AC189" s="52" cm="1">
        <f t="array" ref="AC189">_xlfn.XLOOKUP(1, (Table_SourceData_PastureBeef_FeedIntakeAdjustment_Variation[Breed]=$X$158)*(Table_SourceData_PastureBeef_FeedIntakeAdjustment_Variation[Season]=$V189), Table_SourceData_PastureBeef_FeedIntakeAdjustment_Variation[Milk intake/production], 0)</f>
        <v>6</v>
      </c>
      <c r="AD189" s="52">
        <v>0</v>
      </c>
      <c r="AE189" s="52">
        <v>0</v>
      </c>
      <c r="AF189" s="52">
        <v>0</v>
      </c>
      <c r="AG189" s="2" t="s">
        <v>134</v>
      </c>
    </row>
    <row r="190" spans="4:34" ht="20.100000000000001" customHeight="1" x14ac:dyDescent="0.25">
      <c r="D190" s="51" t="s">
        <v>184</v>
      </c>
      <c r="E190" s="51" t="s">
        <v>131</v>
      </c>
      <c r="F190" s="51" t="s">
        <v>130</v>
      </c>
      <c r="G190" s="51" t="s">
        <v>165</v>
      </c>
      <c r="H190" s="51" t="s">
        <v>166</v>
      </c>
      <c r="I190" s="51" t="s">
        <v>167</v>
      </c>
      <c r="J190" s="51" t="s">
        <v>168</v>
      </c>
      <c r="K190" s="51" t="s">
        <v>169</v>
      </c>
      <c r="L190" s="51" t="s">
        <v>170</v>
      </c>
      <c r="M190" s="51" t="s">
        <v>171</v>
      </c>
      <c r="N190" s="51" t="s">
        <v>172</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(Table_SourceData_PastureBeef_FeedIntakeAdjustment_Variation[Breed]=$X$158)*(Table_SourceData_PastureBeef_FeedIntakeAdjustment_Variation[Season]=$V190), Table_SourceData_PastureBeef_FeedIntakeAdjustment_Variation[Milk intake/production], 0)</f>
        <v>4</v>
      </c>
      <c r="X190" s="52">
        <v>0</v>
      </c>
      <c r="Y190" s="52" cm="1">
        <f t="array" ref="Y190">_xlfn.XLOOKUP(1, (Table_SourceData_PastureBeef_FeedIntakeAdjustment_Variation[Breed]=$X$158)*(Table_SourceData_PastureBeef_FeedIntakeAdjustment_Variation[Season]=$V190), Table_SourceData_PastureBeef_FeedIntakeAdjustment_Variation[Milk intake/production], 0)</f>
        <v>4</v>
      </c>
      <c r="Z190" s="52">
        <v>0</v>
      </c>
      <c r="AA190" s="52">
        <v>0</v>
      </c>
      <c r="AB190" s="52">
        <v>0</v>
      </c>
      <c r="AC190" s="52" cm="1">
        <f t="array" ref="AC190">_xlfn.XLOOKUP(1, (Table_SourceData_PastureBeef_FeedIntakeAdjustment_Variation[Breed]=$X$158)*(Table_SourceData_PastureBeef_FeedIntakeAdjustment_Variation[Season]=$V190), Table_SourceData_PastureBeef_FeedIntakeAdjustment_Variation[Milk intake/production], 0)</f>
        <v>4</v>
      </c>
      <c r="AD190" s="52">
        <v>0</v>
      </c>
      <c r="AE190" s="52">
        <v>0</v>
      </c>
      <c r="AF190" s="52">
        <v>0</v>
      </c>
      <c r="AG190" s="2" t="s">
        <v>134</v>
      </c>
    </row>
    <row r="191" spans="4:34" ht="20.100000000000001" customHeight="1" x14ac:dyDescent="0.25">
      <c r="D191" s="52" t="s">
        <v>173</v>
      </c>
      <c r="E191" s="52">
        <f>'Input - Pasture Beef'!E38</f>
        <v>100</v>
      </c>
      <c r="F191" s="52">
        <f>'Input - Pasture Beef'!F38</f>
        <v>100</v>
      </c>
      <c r="G191" s="52">
        <f>'Input - Pasture Beef'!G38</f>
        <v>100</v>
      </c>
      <c r="H191" s="52">
        <f>'Input - Pasture Beef'!H38</f>
        <v>100</v>
      </c>
      <c r="I191" s="52">
        <f>'Input - Pasture Beef'!I38</f>
        <v>100</v>
      </c>
      <c r="J191" s="52">
        <f>'Input - Pasture Beef'!J38</f>
        <v>100</v>
      </c>
      <c r="K191" s="52">
        <f>'Input - Pasture Beef'!K38</f>
        <v>100</v>
      </c>
      <c r="L191" s="52">
        <f>'Input - Pasture Beef'!L38</f>
        <v>100</v>
      </c>
      <c r="M191" s="52">
        <f>'Input - Pasture Beef'!M38</f>
        <v>100</v>
      </c>
      <c r="N191" s="52">
        <f>'Input - Pasture Beef'!N38</f>
        <v>100</v>
      </c>
      <c r="O191" s="2" t="s">
        <v>102</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(Table_SourceData_PastureBeef_FeedIntakeAdjustment_Variation[Breed]=$X$158)*(Table_SourceData_PastureBeef_FeedIntakeAdjustment_Variation[Season]=$V191), Table_SourceData_PastureBeef_FeedIntakeAdjustment_Variation[Milk intake/production], 0)</f>
        <v>4</v>
      </c>
      <c r="X191" s="52">
        <v>0</v>
      </c>
      <c r="Y191" s="52" cm="1">
        <f t="array" ref="Y191">_xlfn.XLOOKUP(1, (Table_SourceData_PastureBeef_FeedIntakeAdjustment_Variation[Breed]=$X$158)*(Table_SourceData_PastureBeef_FeedIntakeAdjustment_Variation[Season]=$V191), Table_SourceData_PastureBeef_FeedIntakeAdjustment_Variation[Milk intake/production], 0)</f>
        <v>4</v>
      </c>
      <c r="Z191" s="52">
        <v>0</v>
      </c>
      <c r="AA191" s="52">
        <v>0</v>
      </c>
      <c r="AB191" s="52">
        <v>0</v>
      </c>
      <c r="AC191" s="52" cm="1">
        <f t="array" ref="AC191">_xlfn.XLOOKUP(1, (Table_SourceData_PastureBeef_FeedIntakeAdjustment_Variation[Breed]=$X$158)*(Table_SourceData_PastureBeef_FeedIntakeAdjustment_Variation[Season]=$V191), Table_SourceData_PastureBeef_FeedIntakeAdjustment_Variation[Milk intake/production], 0)</f>
        <v>4</v>
      </c>
      <c r="AD191" s="52">
        <v>0</v>
      </c>
      <c r="AE191" s="52">
        <v>0</v>
      </c>
      <c r="AF191" s="52">
        <v>0</v>
      </c>
      <c r="AG191" s="2" t="s">
        <v>134</v>
      </c>
    </row>
    <row r="192" spans="4:34" ht="20.100000000000001" customHeight="1" x14ac:dyDescent="0.25">
      <c r="D192" s="52" t="s">
        <v>174</v>
      </c>
      <c r="E192" s="52">
        <f>'Input - Pasture Beef'!E39</f>
        <v>100</v>
      </c>
      <c r="F192" s="52">
        <f>'Input - Pasture Beef'!F39</f>
        <v>100</v>
      </c>
      <c r="G192" s="52">
        <f>'Input - Pasture Beef'!G39</f>
        <v>100</v>
      </c>
      <c r="H192" s="52">
        <f>'Input - Pasture Beef'!H39</f>
        <v>100</v>
      </c>
      <c r="I192" s="52">
        <f>'Input - Pasture Beef'!I39</f>
        <v>100</v>
      </c>
      <c r="J192" s="52">
        <f>'Input - Pasture Beef'!J39</f>
        <v>100</v>
      </c>
      <c r="K192" s="52">
        <f>'Input - Pasture Beef'!K39</f>
        <v>100</v>
      </c>
      <c r="L192" s="52">
        <f>'Input - Pasture Beef'!L39</f>
        <v>100</v>
      </c>
      <c r="M192" s="52">
        <f>'Input - Pasture Beef'!M39</f>
        <v>100</v>
      </c>
      <c r="N192" s="52">
        <f>'Input - Pasture Beef'!N39</f>
        <v>100</v>
      </c>
      <c r="O192" s="2" t="s">
        <v>102</v>
      </c>
    </row>
    <row r="193" spans="4:34" ht="20.100000000000001" customHeight="1" x14ac:dyDescent="0.25">
      <c r="D193" s="52" t="s">
        <v>175</v>
      </c>
      <c r="E193" s="52">
        <f>'Input - Pasture Beef'!E40</f>
        <v>200</v>
      </c>
      <c r="F193" s="52">
        <f>'Input - Pasture Beef'!F40</f>
        <v>100</v>
      </c>
      <c r="G193" s="52">
        <f>'Input - Pasture Beef'!G40</f>
        <v>200</v>
      </c>
      <c r="H193" s="52">
        <f>'Input - Pasture Beef'!H40</f>
        <v>100</v>
      </c>
      <c r="I193" s="52">
        <f>'Input - Pasture Beef'!I40</f>
        <v>100</v>
      </c>
      <c r="J193" s="52">
        <f>'Input - Pasture Beef'!J40</f>
        <v>100</v>
      </c>
      <c r="K193" s="52">
        <f>'Input - Pasture Beef'!K40</f>
        <v>200</v>
      </c>
      <c r="L193" s="52">
        <f>'Input - Pasture Beef'!L40</f>
        <v>100</v>
      </c>
      <c r="M193" s="52">
        <f>'Input - Pasture Beef'!M40</f>
        <v>100</v>
      </c>
      <c r="N193" s="52">
        <f>'Input - Pasture Beef'!N40</f>
        <v>100</v>
      </c>
      <c r="O193" s="2" t="s">
        <v>102</v>
      </c>
      <c r="U193" s="99" t="s">
        <v>316</v>
      </c>
    </row>
    <row r="194" spans="4:34" ht="20.100000000000001" customHeight="1" x14ac:dyDescent="0.25">
      <c r="D194" s="52" t="s">
        <v>176</v>
      </c>
      <c r="E194" s="52">
        <f>'Input - Pasture Beef'!E41</f>
        <v>250</v>
      </c>
      <c r="F194" s="52">
        <f>'Input - Pasture Beef'!F41</f>
        <v>100</v>
      </c>
      <c r="G194" s="52">
        <f>'Input - Pasture Beef'!G41</f>
        <v>250</v>
      </c>
      <c r="H194" s="52">
        <f>'Input - Pasture Beef'!H41</f>
        <v>100</v>
      </c>
      <c r="I194" s="52">
        <f>'Input - Pasture Beef'!I41</f>
        <v>100</v>
      </c>
      <c r="J194" s="52">
        <f>'Input - Pasture Beef'!J41</f>
        <v>100</v>
      </c>
      <c r="K194" s="52">
        <f>'Input - Pasture Beef'!K41</f>
        <v>250</v>
      </c>
      <c r="L194" s="52">
        <f>'Input - Pasture Beef'!L41</f>
        <v>100</v>
      </c>
      <c r="M194" s="52">
        <f>'Input - Pasture Beef'!M41</f>
        <v>100</v>
      </c>
      <c r="N194" s="52">
        <f>'Input - Pasture Beef'!N41</f>
        <v>100</v>
      </c>
      <c r="O194" s="2" t="s">
        <v>102</v>
      </c>
      <c r="U194" s="98" t="s">
        <v>317</v>
      </c>
    </row>
    <row r="195" spans="4:34" ht="20.100000000000001" customHeight="1" x14ac:dyDescent="0.25">
      <c r="U195" s="51" t="s">
        <v>132</v>
      </c>
      <c r="V195" s="51" t="s">
        <v>131</v>
      </c>
      <c r="W195" s="51" t="s">
        <v>130</v>
      </c>
      <c r="X195" s="51" t="s">
        <v>165</v>
      </c>
      <c r="Y195" s="51" t="s">
        <v>166</v>
      </c>
      <c r="Z195" s="51" t="s">
        <v>167</v>
      </c>
      <c r="AA195" s="51" t="s">
        <v>168</v>
      </c>
      <c r="AB195" s="51" t="s">
        <v>169</v>
      </c>
      <c r="AC195" s="51" t="s">
        <v>170</v>
      </c>
      <c r="AD195" s="51" t="s">
        <v>171</v>
      </c>
      <c r="AE195" s="51" t="s">
        <v>172</v>
      </c>
    </row>
    <row r="196" spans="4:34" ht="20.100000000000001" customHeight="1" x14ac:dyDescent="0.25">
      <c r="D196" s="99" t="s">
        <v>146</v>
      </c>
      <c r="U196" s="52" t="str">
        <f>TEXT('Input - Site'!$E$12, "mmmm yyyy")</f>
        <v>January 2024</v>
      </c>
      <c r="V196" s="52" cm="1">
        <f t="array" ref="V196">MMS_PastureBeef_Soil_N2ODirect_Equations.VEERG_4_2_1_3__3_NitrogenExcreted(V56,V164,W180,V136,V20)</f>
        <v>0.11333791972722371</v>
      </c>
      <c r="W196" s="52" cm="1">
        <f t="array" ref="W196">MMS_PastureBeef_Soil_N2ODirect_Equations.VEERG_4_2_1_3__3_NitrogenExcreted(W56,W164,X180,W136,W20)</f>
        <v>0.13601872675007995</v>
      </c>
      <c r="X196" s="52" cm="1">
        <f t="array" ref="X196">MMS_PastureBeef_Soil_N2ODirect_Equations.VEERG_4_2_1_3__3_NitrogenExcreted(X56,X164,Y180,X136,X20)</f>
        <v>9.7873723885106109E-2</v>
      </c>
      <c r="Y196" s="52" cm="1">
        <f t="array" ref="Y196">MMS_PastureBeef_Soil_N2ODirect_Equations.VEERG_4_2_1_3__3_NitrogenExcreted(Y56,Y164,Z180,Y136,Y20)</f>
        <v>0.10103589494585365</v>
      </c>
      <c r="Z196" s="52" cm="1">
        <f t="array" ref="Z196">MMS_PastureBeef_Soil_N2ODirect_Equations.VEERG_4_2_1_3__3_NitrogenExcreted(Z56,Z164,AA180,Z136,Z20)</f>
        <v>0.10613051058639233</v>
      </c>
      <c r="AA196" s="52" cm="1">
        <f t="array" ref="AA196">MMS_PastureBeef_Soil_N2ODirect_Equations.VEERG_4_2_1_3__3_NitrogenExcreted(AA56,AA164,AB180,AA136,AA20)</f>
        <v>0.10613051058639233</v>
      </c>
      <c r="AB196" s="52" cm="1">
        <f t="array" ref="AB196">MMS_PastureBeef_Soil_N2ODirect_Equations.VEERG_4_2_1_3__3_NitrogenExcreted(AB56,AB164,AC180,AB136,AB20)</f>
        <v>0.10568820163838911</v>
      </c>
      <c r="AC196" s="52" cm="1">
        <f t="array" ref="AC196">MMS_PastureBeef_Soil_N2ODirect_Equations.VEERG_4_2_1_3__3_NitrogenExcreted(AC56,AC164,AD180,AC136,AC20)</f>
        <v>0.1054491491748196</v>
      </c>
      <c r="AD196" s="52" cm="1">
        <f t="array" ref="AD196">MMS_PastureBeef_Soil_N2ODirect_Equations.VEERG_4_2_1_3__3_NitrogenExcreted(AD56,AD164,AE180,AD136,AD20)</f>
        <v>0.1054491491748196</v>
      </c>
      <c r="AE196" s="52" cm="1">
        <f t="array" ref="AE196">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8" t="s">
        <v>277</v>
      </c>
      <c r="U197" s="52" t="str">
        <f>TEXT(EDATE('Input - Site'!$E$12,1), "mmmm yyyy")</f>
        <v>February 2024</v>
      </c>
      <c r="V197" s="52" cm="1">
        <f t="array" ref="V197">MMS_PastureBeef_Soil_N2ODirect_Equations.VEERG_4_2_1_3__3_NitrogenExcreted(V57,V165,W181,V137,V21)</f>
        <v>9.3275223802458812E-2</v>
      </c>
      <c r="W197" s="52" cm="1">
        <f t="array" ref="W197">MMS_PastureBeef_Soil_N2ODirect_Equations.VEERG_4_2_1_3__3_NitrogenExcreted(W57,W165,X181,W137,W21)</f>
        <v>0.13601872675007995</v>
      </c>
      <c r="X197" s="52" cm="1">
        <f t="array" ref="X197">MMS_PastureBeef_Soil_N2ODirect_Equations.VEERG_4_2_1_3__3_NitrogenExcreted(X57,X165,Y181,X137,X21)</f>
        <v>7.7811027960341214E-2</v>
      </c>
      <c r="Y197" s="52" cm="1">
        <f t="array" ref="Y197">MMS_PastureBeef_Soil_N2ODirect_Equations.VEERG_4_2_1_3__3_NitrogenExcreted(Y57,Y165,Z181,Y137,Y21)</f>
        <v>0.10758035881234858</v>
      </c>
      <c r="Z197" s="52" cm="1">
        <f t="array" ref="Z197">MMS_PastureBeef_Soil_N2ODirect_Equations.VEERG_4_2_1_3__3_NitrogenExcreted(Z57,Z165,AA181,Z137,Z21)</f>
        <v>0.11276190880086426</v>
      </c>
      <c r="AA197" s="52" cm="1">
        <f t="array" ref="AA197">MMS_PastureBeef_Soil_N2ODirect_Equations.VEERG_4_2_1_3__3_NitrogenExcreted(AA57,AA165,AB181,AA137,AA21)</f>
        <v>0.11276190880086426</v>
      </c>
      <c r="AB197" s="52" cm="1">
        <f t="array" ref="AB197">MMS_PastureBeef_Soil_N2ODirect_Equations.VEERG_4_2_1_3__3_NitrogenExcreted(AB57,AB165,AC181,AB137,AB21)</f>
        <v>8.562550571362422E-2</v>
      </c>
      <c r="AC197" s="52" cm="1">
        <f t="array" ref="AC197">MMS_PastureBeef_Soil_N2ODirect_Equations.VEERG_4_2_1_3__3_NitrogenExcreted(AC57,AC165,AD181,AC137,AC21)</f>
        <v>0.1054491491748196</v>
      </c>
      <c r="AD197" s="52" cm="1">
        <f t="array" ref="AD197">MMS_PastureBeef_Soil_N2ODirect_Equations.VEERG_4_2_1_3__3_NitrogenExcreted(AD57,AD165,AE181,AD137,AD21)</f>
        <v>0.1054491491748196</v>
      </c>
      <c r="AE197" s="52" cm="1">
        <f t="array" ref="AE197">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184</v>
      </c>
      <c r="E198" s="51" t="s">
        <v>131</v>
      </c>
      <c r="F198" s="51" t="s">
        <v>130</v>
      </c>
      <c r="G198" s="51" t="s">
        <v>165</v>
      </c>
      <c r="H198" s="51" t="s">
        <v>166</v>
      </c>
      <c r="I198" s="51" t="s">
        <v>167</v>
      </c>
      <c r="J198" s="51" t="s">
        <v>168</v>
      </c>
      <c r="K198" s="51" t="s">
        <v>169</v>
      </c>
      <c r="L198" s="51" t="s">
        <v>170</v>
      </c>
      <c r="M198" s="51" t="s">
        <v>171</v>
      </c>
      <c r="N198" s="51" t="s">
        <v>172</v>
      </c>
      <c r="U198" s="52" t="str">
        <f>TEXT(EDATE('Input - Site'!$E$12,2), "mmmm yyyy")</f>
        <v>March 2024</v>
      </c>
      <c r="V198" s="52" cm="1">
        <f t="array" ref="V198">MMS_PastureBeef_Soil_N2ODirect_Equations.VEERG_4_2_1_3__3_NitrogenExcreted(V58,V166,W182,V138,V22)</f>
        <v>1.3490587405558481E-2</v>
      </c>
      <c r="W198" s="52" cm="1">
        <f t="array" ref="W198">MMS_PastureBeef_Soil_N2ODirect_Equations.VEERG_4_2_1_3__3_NitrogenExcreted(W58,W166,X182,W138,W22)</f>
        <v>8.8133023634157495E-2</v>
      </c>
      <c r="X198" s="52" cm="1">
        <f t="array" ref="X198">MMS_PastureBeef_Soil_N2ODirect_Equations.VEERG_4_2_1_3__3_NitrogenExcreted(X58,X166,Y182,X138,X22)</f>
        <v>1.1001898802853755E-2</v>
      </c>
      <c r="Y198" s="52" cm="1">
        <f t="array" ref="Y198">MMS_PastureBeef_Soil_N2ODirect_Equations.VEERG_4_2_1_3__3_NitrogenExcreted(Y58,Y166,Z182,Y138,Y22)</f>
        <v>5.2330323088884703E-2</v>
      </c>
      <c r="Z198" s="52" cm="1">
        <f t="array" ref="Z198">MMS_PastureBeef_Soil_N2ODirect_Equations.VEERG_4_2_1_3__3_NitrogenExcreted(Z58,Z166,AA182,Z138,Z22)</f>
        <v>6.9185083188389812E-2</v>
      </c>
      <c r="AA198" s="52" cm="1">
        <f t="array" ref="AA198">MMS_PastureBeef_Soil_N2ODirect_Equations.VEERG_4_2_1_3__3_NitrogenExcreted(AA58,AA166,AB182,AA138,AA22)</f>
        <v>6.9185083188389812E-2</v>
      </c>
      <c r="AB198" s="52" cm="1">
        <f t="array" ref="AB198">MMS_PastureBeef_Soil_N2ODirect_Equations.VEERG_4_2_1_3__3_NitrogenExcreted(AB58,AB166,AC182,AB138,AB22)</f>
        <v>1.3731587835013218E-2</v>
      </c>
      <c r="AC198" s="52" cm="1">
        <f t="array" ref="AC198">MMS_PastureBeef_Soil_N2ODirect_Equations.VEERG_4_2_1_3__3_NitrogenExcreted(AC58,AC166,AD182,AC138,AC22)</f>
        <v>5.520208336562428E-2</v>
      </c>
      <c r="AD198" s="52" cm="1">
        <f t="array" ref="AD198">MMS_PastureBeef_Soil_N2ODirect_Equations.VEERG_4_2_1_3__3_NitrogenExcreted(AD58,AD166,AE182,AD138,AD22)</f>
        <v>5.520208336562428E-2</v>
      </c>
      <c r="AE198" s="52" cm="1">
        <f t="array" ref="AE198">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173</v>
      </c>
      <c r="E199" s="52">
        <f>'Input - Pasture Beef'!E16</f>
        <v>91.25</v>
      </c>
      <c r="F199" s="52">
        <f>'Input - Pasture Beef'!F16</f>
        <v>91.25</v>
      </c>
      <c r="G199" s="52">
        <f>'Input - Pasture Beef'!G16</f>
        <v>91.25</v>
      </c>
      <c r="H199" s="52">
        <f>'Input - Pasture Beef'!H16</f>
        <v>91.25</v>
      </c>
      <c r="I199" s="52">
        <f>'Input - Pasture Beef'!I16</f>
        <v>91.25</v>
      </c>
      <c r="J199" s="52">
        <f>'Input - Pasture Beef'!J16</f>
        <v>91.25</v>
      </c>
      <c r="K199" s="52">
        <f>'Input - Pasture Beef'!K16</f>
        <v>91.25</v>
      </c>
      <c r="L199" s="52">
        <f>'Input - Pasture Beef'!L16</f>
        <v>91.25</v>
      </c>
      <c r="M199" s="52">
        <f>'Input - Pasture Beef'!M16</f>
        <v>91.25</v>
      </c>
      <c r="N199" s="52">
        <f>'Input - Pasture Beef'!N16</f>
        <v>91.25</v>
      </c>
      <c r="O199" s="2" t="s">
        <v>278</v>
      </c>
      <c r="U199" s="52" t="str">
        <f>TEXT(EDATE('Input - Site'!$E$12,3), "mmmm yyyy")</f>
        <v>April 2024</v>
      </c>
      <c r="V199" s="52" cm="1">
        <f t="array" ref="V199">MMS_PastureBeef_Soil_N2ODirect_Equations.VEERG_4_2_1_3__3_NitrogenExcreted(V59,V167,W183,V139,V23)</f>
        <v>1.3490587405558481E-2</v>
      </c>
      <c r="W199" s="52" cm="1">
        <f t="array" ref="W199">MMS_PastureBeef_Soil_N2ODirect_Equations.VEERG_4_2_1_3__3_NitrogenExcreted(W59,W167,X183,W139,W23)</f>
        <v>8.8133023634157495E-2</v>
      </c>
      <c r="X199" s="52" cm="1">
        <f t="array" ref="X199">MMS_PastureBeef_Soil_N2ODirect_Equations.VEERG_4_2_1_3__3_NitrogenExcreted(X59,X167,Y183,X139,X23)</f>
        <v>1.1001898802853755E-2</v>
      </c>
      <c r="Y199" s="52" cm="1">
        <f t="array" ref="Y199">MMS_PastureBeef_Soil_N2ODirect_Equations.VEERG_4_2_1_3__3_NitrogenExcreted(Y59,Y167,Z183,Y139,Y23)</f>
        <v>5.2330323088884703E-2</v>
      </c>
      <c r="Z199" s="52" cm="1">
        <f t="array" ref="Z199">MMS_PastureBeef_Soil_N2ODirect_Equations.VEERG_4_2_1_3__3_NitrogenExcreted(Z59,Z167,AA183,Z139,Z23)</f>
        <v>6.9185083188389812E-2</v>
      </c>
      <c r="AA199" s="52" cm="1">
        <f t="array" ref="AA199">MMS_PastureBeef_Soil_N2ODirect_Equations.VEERG_4_2_1_3__3_NitrogenExcreted(AA59,AA167,AB183,AA139,AA23)</f>
        <v>6.9185083188389812E-2</v>
      </c>
      <c r="AB199" s="52" cm="1">
        <f t="array" ref="AB199">MMS_PastureBeef_Soil_N2ODirect_Equations.VEERG_4_2_1_3__3_NitrogenExcreted(AB59,AB167,AC183,AB139,AB23)</f>
        <v>1.3731587835013218E-2</v>
      </c>
      <c r="AC199" s="52" cm="1">
        <f t="array" ref="AC199">MMS_PastureBeef_Soil_N2ODirect_Equations.VEERG_4_2_1_3__3_NitrogenExcreted(AC59,AC167,AD183,AC139,AC23)</f>
        <v>5.520208336562428E-2</v>
      </c>
      <c r="AD199" s="52" cm="1">
        <f t="array" ref="AD199">MMS_PastureBeef_Soil_N2ODirect_Equations.VEERG_4_2_1_3__3_NitrogenExcreted(AD59,AD167,AE183,AD139,AD23)</f>
        <v>5.520208336562428E-2</v>
      </c>
      <c r="AE199" s="52" cm="1">
        <f t="array" ref="AE199">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174</v>
      </c>
      <c r="E200" s="52">
        <f>'Input - Pasture Beef'!E17</f>
        <v>91.25</v>
      </c>
      <c r="F200" s="52">
        <f>'Input - Pasture Beef'!F17</f>
        <v>91.25</v>
      </c>
      <c r="G200" s="52">
        <f>'Input - Pasture Beef'!G17</f>
        <v>91.25</v>
      </c>
      <c r="H200" s="52">
        <f>'Input - Pasture Beef'!H17</f>
        <v>91.25</v>
      </c>
      <c r="I200" s="52">
        <f>'Input - Pasture Beef'!I17</f>
        <v>91.25</v>
      </c>
      <c r="J200" s="52">
        <f>'Input - Pasture Beef'!J17</f>
        <v>91.25</v>
      </c>
      <c r="K200" s="52">
        <f>'Input - Pasture Beef'!K17</f>
        <v>91.25</v>
      </c>
      <c r="L200" s="52">
        <f>'Input - Pasture Beef'!L17</f>
        <v>91.25</v>
      </c>
      <c r="M200" s="52">
        <f>'Input - Pasture Beef'!M17</f>
        <v>91.25</v>
      </c>
      <c r="N200" s="52">
        <f>'Input - Pasture Beef'!N17</f>
        <v>91.25</v>
      </c>
      <c r="O200" s="2" t="s">
        <v>278</v>
      </c>
      <c r="U200" s="52" t="str">
        <f>TEXT(EDATE('Input - Site'!$E$12,4), "mmmm yyyy")</f>
        <v>May 2024</v>
      </c>
      <c r="V200" s="52" cm="1">
        <f t="array" ref="V200">MMS_PastureBeef_Soil_N2ODirect_Equations.VEERG_4_2_1_3__3_NitrogenExcreted(V60,V168,W184,V140,V24)</f>
        <v>1.3490587405558481E-2</v>
      </c>
      <c r="W200" s="52" cm="1">
        <f t="array" ref="W200">MMS_PastureBeef_Soil_N2ODirect_Equations.VEERG_4_2_1_3__3_NitrogenExcreted(W60,W168,X184,W140,W24)</f>
        <v>8.8133023634157495E-2</v>
      </c>
      <c r="X200" s="52" cm="1">
        <f t="array" ref="X200">MMS_PastureBeef_Soil_N2ODirect_Equations.VEERG_4_2_1_3__3_NitrogenExcreted(X60,X168,Y184,X140,X24)</f>
        <v>1.1001898802853755E-2</v>
      </c>
      <c r="Y200" s="52" cm="1">
        <f t="array" ref="Y200">MMS_PastureBeef_Soil_N2ODirect_Equations.VEERG_4_2_1_3__3_NitrogenExcreted(Y60,Y168,Z184,Y140,Y24)</f>
        <v>5.2330323088884703E-2</v>
      </c>
      <c r="Z200" s="52" cm="1">
        <f t="array" ref="Z200">MMS_PastureBeef_Soil_N2ODirect_Equations.VEERG_4_2_1_3__3_NitrogenExcreted(Z60,Z168,AA184,Z140,Z24)</f>
        <v>6.9185083188389812E-2</v>
      </c>
      <c r="AA200" s="52" cm="1">
        <f t="array" ref="AA200">MMS_PastureBeef_Soil_N2ODirect_Equations.VEERG_4_2_1_3__3_NitrogenExcreted(AA60,AA168,AB184,AA140,AA24)</f>
        <v>6.9185083188389812E-2</v>
      </c>
      <c r="AB200" s="52" cm="1">
        <f t="array" ref="AB200">MMS_PastureBeef_Soil_N2ODirect_Equations.VEERG_4_2_1_3__3_NitrogenExcreted(AB60,AB168,AC184,AB140,AB24)</f>
        <v>1.3731587835013218E-2</v>
      </c>
      <c r="AC200" s="52" cm="1">
        <f t="array" ref="AC200">MMS_PastureBeef_Soil_N2ODirect_Equations.VEERG_4_2_1_3__3_NitrogenExcreted(AC60,AC168,AD184,AC140,AC24)</f>
        <v>5.520208336562428E-2</v>
      </c>
      <c r="AD200" s="52" cm="1">
        <f t="array" ref="AD200">MMS_PastureBeef_Soil_N2ODirect_Equations.VEERG_4_2_1_3__3_NitrogenExcreted(AD60,AD168,AE184,AD140,AD24)</f>
        <v>5.520208336562428E-2</v>
      </c>
      <c r="AE200" s="52" cm="1">
        <f t="array" ref="AE200">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175</v>
      </c>
      <c r="E201" s="52">
        <f>'Input - Pasture Beef'!E18</f>
        <v>91.25</v>
      </c>
      <c r="F201" s="52">
        <f>'Input - Pasture Beef'!F18</f>
        <v>91.25</v>
      </c>
      <c r="G201" s="52">
        <f>'Input - Pasture Beef'!G18</f>
        <v>91.25</v>
      </c>
      <c r="H201" s="52">
        <f>'Input - Pasture Beef'!H18</f>
        <v>91.25</v>
      </c>
      <c r="I201" s="52">
        <f>'Input - Pasture Beef'!I18</f>
        <v>91.25</v>
      </c>
      <c r="J201" s="52">
        <f>'Input - Pasture Beef'!J18</f>
        <v>91.25</v>
      </c>
      <c r="K201" s="52">
        <f>'Input - Pasture Beef'!K18</f>
        <v>91.25</v>
      </c>
      <c r="L201" s="52">
        <f>'Input - Pasture Beef'!L18</f>
        <v>91.25</v>
      </c>
      <c r="M201" s="52">
        <f>'Input - Pasture Beef'!M18</f>
        <v>91.25</v>
      </c>
      <c r="N201" s="52">
        <f>'Input - Pasture Beef'!N18</f>
        <v>91.25</v>
      </c>
      <c r="O201" s="2" t="s">
        <v>278</v>
      </c>
      <c r="U201" s="52" t="str">
        <f>TEXT(EDATE('Input - Site'!$E$12,5), "mmmm yyyy")</f>
        <v>June 2024</v>
      </c>
      <c r="V201" s="52" cm="1">
        <f t="array" ref="V201">MMS_PastureBeef_Soil_N2ODirect_Equations.VEERG_4_2_1_3__3_NitrogenExcreted(V61,V169,W185,V141,V25)</f>
        <v>0.13772737785106035</v>
      </c>
      <c r="W201" s="52" cm="1">
        <f t="array" ref="W201">MMS_PastureBeef_Soil_N2ODirect_Equations.VEERG_4_2_1_3__3_NitrogenExcreted(W61,W169,X185,W141,W25)</f>
        <v>0.31425341534791917</v>
      </c>
      <c r="X201" s="52" cm="1">
        <f t="array" ref="X201">MMS_PastureBeef_Soil_N2ODirect_Equations.VEERG_4_2_1_3__3_NitrogenExcreted(X61,X169,Y185,X141,X25)</f>
        <v>0.11430568530078369</v>
      </c>
      <c r="Y201" s="52" cm="1">
        <f t="array" ref="Y201">MMS_PastureBeef_Soil_N2ODirect_Equations.VEERG_4_2_1_3__3_NitrogenExcreted(Y61,Y169,Z185,Y141,Y25)</f>
        <v>0.18660765289897449</v>
      </c>
      <c r="Z201" s="52" cm="1">
        <f t="array" ref="Z201">MMS_PastureBeef_Soil_N2ODirect_Equations.VEERG_4_2_1_3__3_NitrogenExcreted(Z61,Z169,AA185,Z141,Z25)</f>
        <v>0.25135663949490661</v>
      </c>
      <c r="AA201" s="52" cm="1">
        <f t="array" ref="AA201">MMS_PastureBeef_Soil_N2ODirect_Equations.VEERG_4_2_1_3__3_NitrogenExcreted(AA61,AA169,AB185,AA141,AA25)</f>
        <v>0.25135663949490661</v>
      </c>
      <c r="AB201" s="52" cm="1">
        <f t="array" ref="AB201">MMS_PastureBeef_Soil_N2ODirect_Equations.VEERG_4_2_1_3__3_NitrogenExcreted(AB61,AB169,AC185,AB141,AB25)</f>
        <v>0.12380983067102717</v>
      </c>
      <c r="AC201" s="52" cm="1">
        <f t="array" ref="AC201">MMS_PastureBeef_Soil_N2ODirect_Equations.VEERG_4_2_1_3__3_NitrogenExcreted(AC61,AC169,AD185,AC141,AC25)</f>
        <v>0.21091009356426255</v>
      </c>
      <c r="AD201" s="52" cm="1">
        <f t="array" ref="AD201">MMS_PastureBeef_Soil_N2ODirect_Equations.VEERG_4_2_1_3__3_NitrogenExcreted(AD61,AD169,AE185,AD141,AD25)</f>
        <v>0.21091009356426255</v>
      </c>
      <c r="AE201" s="52" cm="1">
        <f t="array" ref="AE20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176</v>
      </c>
      <c r="E202" s="52">
        <f>'Input - Pasture Beef'!E19</f>
        <v>91.25</v>
      </c>
      <c r="F202" s="52">
        <f>'Input - Pasture Beef'!F19</f>
        <v>91.25</v>
      </c>
      <c r="G202" s="52">
        <f>'Input - Pasture Beef'!G19</f>
        <v>91.25</v>
      </c>
      <c r="H202" s="52">
        <f>'Input - Pasture Beef'!H19</f>
        <v>91.25</v>
      </c>
      <c r="I202" s="52">
        <f>'Input - Pasture Beef'!I19</f>
        <v>91.25</v>
      </c>
      <c r="J202" s="52">
        <f>'Input - Pasture Beef'!J19</f>
        <v>91.25</v>
      </c>
      <c r="K202" s="52">
        <f>'Input - Pasture Beef'!K19</f>
        <v>91.25</v>
      </c>
      <c r="L202" s="52">
        <f>'Input - Pasture Beef'!L19</f>
        <v>91.25</v>
      </c>
      <c r="M202" s="52">
        <f>'Input - Pasture Beef'!M19</f>
        <v>91.25</v>
      </c>
      <c r="N202" s="52">
        <f>'Input - Pasture Beef'!N19</f>
        <v>91.25</v>
      </c>
      <c r="O202" s="2" t="s">
        <v>278</v>
      </c>
      <c r="U202" s="52" t="str">
        <f>TEXT(EDATE('Input - Site'!$E$12,6), "mmmm yyyy")</f>
        <v>July 2024</v>
      </c>
      <c r="V202" s="52" cm="1">
        <f t="array" ref="V202">MMS_PastureBeef_Soil_N2ODirect_Equations.VEERG_4_2_1_3__3_NitrogenExcreted(V62,V170,W186,V142,V26)</f>
        <v>0.13772737785106035</v>
      </c>
      <c r="W202" s="52" cm="1">
        <f t="array" ref="W202">MMS_PastureBeef_Soil_N2ODirect_Equations.VEERG_4_2_1_3__3_NitrogenExcreted(W62,W170,X186,W142,W26)</f>
        <v>0.31425341534791917</v>
      </c>
      <c r="X202" s="52" cm="1">
        <f t="array" ref="X202">MMS_PastureBeef_Soil_N2ODirect_Equations.VEERG_4_2_1_3__3_NitrogenExcreted(X62,X170,Y186,X142,X26)</f>
        <v>0.11430568530078369</v>
      </c>
      <c r="Y202" s="52" cm="1">
        <f t="array" ref="Y202">MMS_PastureBeef_Soil_N2ODirect_Equations.VEERG_4_2_1_3__3_NitrogenExcreted(Y62,Y170,Z186,Y142,Y26)</f>
        <v>0.18660765289897449</v>
      </c>
      <c r="Z202" s="52" cm="1">
        <f t="array" ref="Z202">MMS_PastureBeef_Soil_N2ODirect_Equations.VEERG_4_2_1_3__3_NitrogenExcreted(Z62,Z170,AA186,Z142,Z26)</f>
        <v>0.25135663949490661</v>
      </c>
      <c r="AA202" s="52" cm="1">
        <f t="array" ref="AA202">MMS_PastureBeef_Soil_N2ODirect_Equations.VEERG_4_2_1_3__3_NitrogenExcreted(AA62,AA170,AB186,AA142,AA26)</f>
        <v>0.25135663949490661</v>
      </c>
      <c r="AB202" s="52" cm="1">
        <f t="array" ref="AB202">MMS_PastureBeef_Soil_N2ODirect_Equations.VEERG_4_2_1_3__3_NitrogenExcreted(AB62,AB170,AC186,AB142,AB26)</f>
        <v>0.12380983067102717</v>
      </c>
      <c r="AC202" s="52" cm="1">
        <f t="array" ref="AC202">MMS_PastureBeef_Soil_N2ODirect_Equations.VEERG_4_2_1_3__3_NitrogenExcreted(AC62,AC170,AD186,AC142,AC26)</f>
        <v>0.21091009356426255</v>
      </c>
      <c r="AD202" s="52" cm="1">
        <f t="array" ref="AD202">MMS_PastureBeef_Soil_N2ODirect_Equations.VEERG_4_2_1_3__3_NitrogenExcreted(AD62,AD170,AE186,AD142,AD26)</f>
        <v>0.21091009356426255</v>
      </c>
      <c r="AE202" s="52" cm="1">
        <f t="array" ref="AE202">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2024</v>
      </c>
      <c r="V203" s="52" cm="1">
        <f t="array" ref="V203">MMS_PastureBeef_Soil_N2ODirect_Equations.VEERG_4_2_1_3__3_NitrogenExcreted(V63,V171,W187,V143,V27)</f>
        <v>0.16782142173820769</v>
      </c>
      <c r="W203" s="52" cm="1">
        <f t="array" ref="W203">MMS_PastureBeef_Soil_N2ODirect_Equations.VEERG_4_2_1_3__3_NitrogenExcreted(W63,W171,X187,W143,W27)</f>
        <v>0.31425341534791917</v>
      </c>
      <c r="X203" s="52" cm="1">
        <f t="array" ref="X203">MMS_PastureBeef_Soil_N2ODirect_Equations.VEERG_4_2_1_3__3_NitrogenExcreted(X63,X171,Y187,X143,X27)</f>
        <v>0.14439972918793106</v>
      </c>
      <c r="Y203" s="52" cm="1">
        <f t="array" ref="Y203">MMS_PastureBeef_Soil_N2ODirect_Equations.VEERG_4_2_1_3__3_NitrogenExcreted(Y63,Y171,Z187,Y143,Y27)</f>
        <v>0.20672431471923791</v>
      </c>
      <c r="Z203" s="52" cm="1">
        <f t="array" ref="Z203">MMS_PastureBeef_Soil_N2ODirect_Equations.VEERG_4_2_1_3__3_NitrogenExcreted(Z63,Z171,AA187,Z143,Z27)</f>
        <v>0.28604447282279805</v>
      </c>
      <c r="AA203" s="52" cm="1">
        <f t="array" ref="AA203">MMS_PastureBeef_Soil_N2ODirect_Equations.VEERG_4_2_1_3__3_NitrogenExcreted(AA63,AA171,AB187,AA143,AA27)</f>
        <v>0.28604447282279805</v>
      </c>
      <c r="AB203" s="52" cm="1">
        <f t="array" ref="AB203">MMS_PastureBeef_Soil_N2ODirect_Equations.VEERG_4_2_1_3__3_NitrogenExcreted(AB63,AB171,AC187,AB143,AB27)</f>
        <v>0.15390387455817453</v>
      </c>
      <c r="AC203" s="52" cm="1">
        <f t="array" ref="AC203">MMS_PastureBeef_Soil_N2ODirect_Equations.VEERG_4_2_1_3__3_NitrogenExcreted(AC63,AC171,AD187,AC143,AC27)</f>
        <v>0.21091009356426255</v>
      </c>
      <c r="AD203" s="52" cm="1">
        <f t="array" ref="AD203">MMS_PastureBeef_Soil_N2ODirect_Equations.VEERG_4_2_1_3__3_NitrogenExcreted(AD63,AD171,AE187,AD143,AD27)</f>
        <v>0.21091009356426255</v>
      </c>
      <c r="AE203" s="52" cm="1">
        <f t="array" ref="AE203">MMS_PastureBeef_Soil_N2ODirect_Equations.VEERG_4_2_1_3__3_NitrogenExcreted(AE63,AE171,AF187,AE143,AE27)</f>
        <v>0.21091009356426255</v>
      </c>
      <c r="AF203" s="2" t="str">
        <f t="shared" si="9"/>
        <v>kg N/head/day</v>
      </c>
      <c r="AG203" s="2"/>
      <c r="AH203" s="2"/>
    </row>
    <row r="204" spans="4:34" ht="20.100000000000001" customHeight="1" x14ac:dyDescent="0.25">
      <c r="D204" s="99" t="s">
        <v>299</v>
      </c>
      <c r="U204" s="52" t="str">
        <f>TEXT(EDATE('Input - Site'!$E$12,8), "mmmm yyyy")</f>
        <v>September 2024</v>
      </c>
      <c r="V204" s="52" cm="1">
        <f t="array" ref="V204">MMS_PastureBeef_Soil_N2ODirect_Equations.VEERG_4_2_1_3__3_NitrogenExcreted(V64,V172,W188,V144,V28)</f>
        <v>0.27353786382161244</v>
      </c>
      <c r="W204" s="52" cm="1">
        <f t="array" ref="W204">MMS_PastureBeef_Soil_N2ODirect_Equations.VEERG_4_2_1_3__3_NitrogenExcreted(W64,W172,X188,W144,W28)</f>
        <v>0.37708133734232585</v>
      </c>
      <c r="X204" s="52" cm="1">
        <f t="array" ref="X204">MMS_PastureBeef_Soil_N2ODirect_Equations.VEERG_4_2_1_3__3_NitrogenExcreted(X64,X172,Y188,X144,X28)</f>
        <v>0.21747950611047506</v>
      </c>
      <c r="Y204" s="52" cm="1">
        <f t="array" ref="Y204">MMS_PastureBeef_Soil_N2ODirect_Equations.VEERG_4_2_1_3__3_NitrogenExcreted(Y64,Y172,Z188,Y144,Y28)</f>
        <v>0.30316514016990781</v>
      </c>
      <c r="Z204" s="52" cm="1">
        <f t="array" ref="Z204">MMS_PastureBeef_Soil_N2ODirect_Equations.VEERG_4_2_1_3__3_NitrogenExcreted(Z64,Z172,AA188,Z144,Z28)</f>
        <v>0.3456004349071124</v>
      </c>
      <c r="AA204" s="52" cm="1">
        <f t="array" ref="AA204">MMS_PastureBeef_Soil_N2ODirect_Equations.VEERG_4_2_1_3__3_NitrogenExcreted(AA64,AA172,AB188,AA144,AA28)</f>
        <v>0.3456004349071124</v>
      </c>
      <c r="AB204" s="52" cm="1">
        <f t="array" ref="AB204">MMS_PastureBeef_Soil_N2ODirect_Equations.VEERG_4_2_1_3__3_NitrogenExcreted(AB64,AB172,AC188,AB144,AB28)</f>
        <v>0.24492991378550297</v>
      </c>
      <c r="AC204" s="52" cm="1">
        <f t="array" ref="AC204">MMS_PastureBeef_Soil_N2ODirect_Equations.VEERG_4_2_1_3__3_NitrogenExcreted(AC64,AC172,AD188,AC144,AC28)</f>
        <v>0.2934676863299529</v>
      </c>
      <c r="AD204" s="52" cm="1">
        <f t="array" ref="AD204">MMS_PastureBeef_Soil_N2ODirect_Equations.VEERG_4_2_1_3__3_NitrogenExcreted(AD64,AD172,AE188,AD144,AD28)</f>
        <v>0.2934676863299529</v>
      </c>
      <c r="AE204" s="52" cm="1">
        <f t="array" ref="AE204">MMS_PastureBeef_Soil_N2ODirect_Equations.VEERG_4_2_1_3__3_NitrogenExcreted(AE64,AE172,AF188,AE144,AE28)</f>
        <v>0.2934676863299529</v>
      </c>
      <c r="AF204" s="2" t="str">
        <f t="shared" si="9"/>
        <v>kg N/head/day</v>
      </c>
      <c r="AG204" s="2"/>
      <c r="AH204" s="2"/>
    </row>
    <row r="205" spans="4:34" ht="20.100000000000001" customHeight="1" x14ac:dyDescent="0.25">
      <c r="D205" s="98" t="s">
        <v>300</v>
      </c>
      <c r="U205" s="52" t="str">
        <f>TEXT(EDATE('Input - Site'!$E$12,9), "mmmm yyyy")</f>
        <v>October 2024</v>
      </c>
      <c r="V205" s="52" cm="1">
        <f t="array" ref="V205">MMS_PastureBeef_Soil_N2ODirect_Equations.VEERG_4_2_1_3__3_NitrogenExcreted(V65,V173,W189,V145,V29)</f>
        <v>0.27353786382161244</v>
      </c>
      <c r="W205" s="52" cm="1">
        <f t="array" ref="W205">MMS_PastureBeef_Soil_N2ODirect_Equations.VEERG_4_2_1_3__3_NitrogenExcreted(W65,W173,X189,W145,W29)</f>
        <v>0.37708133734232585</v>
      </c>
      <c r="X205" s="52" cm="1">
        <f t="array" ref="X205">MMS_PastureBeef_Soil_N2ODirect_Equations.VEERG_4_2_1_3__3_NitrogenExcreted(X65,X173,Y189,X145,X29)</f>
        <v>0.21747950611047506</v>
      </c>
      <c r="Y205" s="52" cm="1">
        <f t="array" ref="Y205">MMS_PastureBeef_Soil_N2ODirect_Equations.VEERG_4_2_1_3__3_NitrogenExcreted(Y65,Y173,Z189,Y145,Y29)</f>
        <v>0.30316514016990781</v>
      </c>
      <c r="Z205" s="52" cm="1">
        <f t="array" ref="Z205">MMS_PastureBeef_Soil_N2ODirect_Equations.VEERG_4_2_1_3__3_NitrogenExcreted(Z65,Z173,AA189,Z145,Z29)</f>
        <v>0.3456004349071124</v>
      </c>
      <c r="AA205" s="52" cm="1">
        <f t="array" ref="AA205">MMS_PastureBeef_Soil_N2ODirect_Equations.VEERG_4_2_1_3__3_NitrogenExcreted(AA65,AA173,AB189,AA145,AA29)</f>
        <v>0.3456004349071124</v>
      </c>
      <c r="AB205" s="52" cm="1">
        <f t="array" ref="AB205">MMS_PastureBeef_Soil_N2ODirect_Equations.VEERG_4_2_1_3__3_NitrogenExcreted(AB65,AB173,AC189,AB145,AB29)</f>
        <v>0.24492991378550297</v>
      </c>
      <c r="AC205" s="52" cm="1">
        <f t="array" ref="AC205">MMS_PastureBeef_Soil_N2ODirect_Equations.VEERG_4_2_1_3__3_NitrogenExcreted(AC65,AC173,AD189,AC145,AC29)</f>
        <v>0.2934676863299529</v>
      </c>
      <c r="AD205" s="52" cm="1">
        <f t="array" ref="AD205">MMS_PastureBeef_Soil_N2ODirect_Equations.VEERG_4_2_1_3__3_NitrogenExcreted(AD65,AD173,AE189,AD145,AD29)</f>
        <v>0.2934676863299529</v>
      </c>
      <c r="AE205" s="52" cm="1">
        <f t="array" ref="AE205">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184</v>
      </c>
      <c r="E206" s="51" t="s">
        <v>131</v>
      </c>
      <c r="F206" s="51" t="s">
        <v>130</v>
      </c>
      <c r="G206" s="51" t="s">
        <v>165</v>
      </c>
      <c r="H206" s="51" t="s">
        <v>166</v>
      </c>
      <c r="I206" s="51" t="s">
        <v>167</v>
      </c>
      <c r="J206" s="51" t="s">
        <v>168</v>
      </c>
      <c r="K206" s="51" t="s">
        <v>169</v>
      </c>
      <c r="L206" s="51" t="s">
        <v>170</v>
      </c>
      <c r="M206" s="51" t="s">
        <v>171</v>
      </c>
      <c r="N206" s="51" t="s">
        <v>172</v>
      </c>
      <c r="U206" s="52" t="str">
        <f>TEXT(EDATE('Input - Site'!$E$12,10), "mmmm yyyy")</f>
        <v>November 2024</v>
      </c>
      <c r="V206" s="52" cm="1">
        <f t="array" ref="V206">MMS_PastureBeef_Soil_N2ODirect_Equations.VEERG_4_2_1_3__3_NitrogenExcreted(V66,V174,W190,V146,V30)</f>
        <v>0.26350651585923002</v>
      </c>
      <c r="W206" s="52" cm="1">
        <f t="array" ref="W206">MMS_PastureBeef_Soil_N2ODirect_Equations.VEERG_4_2_1_3__3_NitrogenExcreted(W66,W174,X190,W146,W30)</f>
        <v>0.37708133734232585</v>
      </c>
      <c r="X206" s="52" cm="1">
        <f t="array" ref="X206">MMS_PastureBeef_Soil_N2ODirect_Equations.VEERG_4_2_1_3__3_NitrogenExcreted(X66,X174,Y190,X146,X30)</f>
        <v>0.20744815814809262</v>
      </c>
      <c r="Y206" s="52" cm="1">
        <f t="array" ref="Y206">MMS_PastureBeef_Soil_N2ODirect_Equations.VEERG_4_2_1_3__3_NitrogenExcreted(Y66,Y174,Z190,Y146,Y30)</f>
        <v>0.26903566847628974</v>
      </c>
      <c r="Z206" s="52" cm="1">
        <f t="array" ref="Z206">MMS_PastureBeef_Soil_N2ODirect_Equations.VEERG_4_2_1_3__3_NitrogenExcreted(Z66,Z174,AA190,Z146,Z30)</f>
        <v>0.30689114439091625</v>
      </c>
      <c r="AA206" s="52" cm="1">
        <f t="array" ref="AA206">MMS_PastureBeef_Soil_N2ODirect_Equations.VEERG_4_2_1_3__3_NitrogenExcreted(AA66,AA174,AB190,AA146,AA30)</f>
        <v>0.30689114439091625</v>
      </c>
      <c r="AB206" s="52" cm="1">
        <f t="array" ref="AB206">MMS_PastureBeef_Soil_N2ODirect_Equations.VEERG_4_2_1_3__3_NitrogenExcreted(AB66,AB174,AC190,AB146,AB30)</f>
        <v>0.23489856582312055</v>
      </c>
      <c r="AC206" s="52" cm="1">
        <f t="array" ref="AC206">MMS_PastureBeef_Soil_N2ODirect_Equations.VEERG_4_2_1_3__3_NitrogenExcreted(AC66,AC174,AD190,AC146,AC30)</f>
        <v>0.2934676863299529</v>
      </c>
      <c r="AD206" s="52" cm="1">
        <f t="array" ref="AD206">MMS_PastureBeef_Soil_N2ODirect_Equations.VEERG_4_2_1_3__3_NitrogenExcreted(AD66,AD174,AE190,AD146,AD30)</f>
        <v>0.2934676863299529</v>
      </c>
      <c r="AE206" s="52" cm="1">
        <f t="array" ref="AE206">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173</v>
      </c>
      <c r="E207" s="52" cm="1">
        <f t="array" ref="E207">MMS_PastureBeef_Soil_N2ODirect_Equations.VEERG_4_2_1_3__2_TotalNitrogenExcretedToPastureRangeAndPaddock(E191,E169,E199)</f>
        <v>2404.4969572154741</v>
      </c>
      <c r="F207" s="52" cm="1">
        <f t="array" ref="F207">MMS_PastureBeef_Soil_N2ODirect_Equations.VEERG_4_2_1_3__2_TotalNitrogenExcretedToPastureRangeAndPaddock(F191,F169,F199)</f>
        <v>3440.8672032487229</v>
      </c>
      <c r="G207" s="52" cm="1">
        <f t="array" ref="G207">MMS_PastureBeef_Soil_N2ODirect_Equations.VEERG_4_2_1_3__2_TotalNitrogenExcretedToPastureRangeAndPaddock(G191,G169,G199)</f>
        <v>1892.9644431013451</v>
      </c>
      <c r="H207" s="52" cm="1">
        <f t="array" ref="H207">MMS_PastureBeef_Soil_N2ODirect_Equations.VEERG_4_2_1_3__2_TotalNitrogenExcretedToPastureRangeAndPaddock(H191,H169,H199)</f>
        <v>2527.4513243321207</v>
      </c>
      <c r="I207" s="52" cm="1">
        <f t="array" ref="I207">MMS_PastureBeef_Soil_N2ODirect_Equations.VEERG_4_2_1_3__2_TotalNitrogenExcretedToPastureRangeAndPaddock(I191,I169,I199)</f>
        <v>3113.3367829114491</v>
      </c>
      <c r="J207" s="52" cm="1">
        <f t="array" ref="J207">MMS_PastureBeef_Soil_N2ODirect_Equations.VEERG_4_2_1_3__2_TotalNitrogenExcretedToPastureRangeAndPaddock(J191,J169,J199)</f>
        <v>3113.3367829114491</v>
      </c>
      <c r="K207" s="52" cm="1">
        <f t="array" ref="K207">MMS_PastureBeef_Soil_N2ODirect_Equations.VEERG_4_2_1_3__2_TotalNitrogenExcretedToPastureRangeAndPaddock(K191,K169,K199)</f>
        <v>2143.4494131359747</v>
      </c>
      <c r="L207" s="52" cm="1">
        <f t="array" ref="L207">MMS_PastureBeef_Soil_N2ODirect_Equations.VEERG_4_2_1_3__2_TotalNitrogenExcretedToPastureRangeAndPaddock(L191,L169,L199)</f>
        <v>2677.89263776082</v>
      </c>
      <c r="M207" s="52" cm="1">
        <f t="array" ref="M207">MMS_PastureBeef_Soil_N2ODirect_Equations.VEERG_4_2_1_3__2_TotalNitrogenExcretedToPastureRangeAndPaddock(M191,M169,M199)</f>
        <v>2677.89263776082</v>
      </c>
      <c r="N207" s="52" cm="1">
        <f t="array" ref="N207">MMS_PastureBeef_Soil_N2ODirect_Equations.VEERG_4_2_1_3__2_TotalNitrogenExcretedToPastureRangeAndPaddock(N191,N169,N199)</f>
        <v>2677.89263776082</v>
      </c>
      <c r="O207" s="2" t="str">
        <f>$E$182</f>
        <v>kg N</v>
      </c>
      <c r="U207" s="52" t="str">
        <f>TEXT(EDATE('Input - Site'!$E$12,11), "mmmm yyyy")</f>
        <v>December 2024</v>
      </c>
      <c r="V207" s="52" cm="1">
        <f t="array" ref="V207">MMS_PastureBeef_Soil_N2ODirect_Equations.VEERG_4_2_1_3__3_NitrogenExcreted(V67,V175,W191,V147,V31)</f>
        <v>0.11333791972722371</v>
      </c>
      <c r="W207" s="52" cm="1">
        <f t="array" ref="W207">MMS_PastureBeef_Soil_N2ODirect_Equations.VEERG_4_2_1_3__3_NitrogenExcreted(W67,W175,X191,W147,W31)</f>
        <v>0.13601872675007995</v>
      </c>
      <c r="X207" s="52" cm="1">
        <f t="array" ref="X207">MMS_PastureBeef_Soil_N2ODirect_Equations.VEERG_4_2_1_3__3_NitrogenExcreted(X67,X175,Y191,X147,X31)</f>
        <v>9.7873723885106109E-2</v>
      </c>
      <c r="Y207" s="52" cm="1">
        <f t="array" ref="Y207">MMS_PastureBeef_Soil_N2ODirect_Equations.VEERG_4_2_1_3__3_NitrogenExcreted(Y67,Y175,Z191,Y147,Y31)</f>
        <v>0.10103589494585365</v>
      </c>
      <c r="Z207" s="52" cm="1">
        <f t="array" ref="Z207">MMS_PastureBeef_Soil_N2ODirect_Equations.VEERG_4_2_1_3__3_NitrogenExcreted(Z67,Z175,AA191,Z147,Z31)</f>
        <v>0.10613051058639233</v>
      </c>
      <c r="AA207" s="52" cm="1">
        <f t="array" ref="AA207">MMS_PastureBeef_Soil_N2ODirect_Equations.VEERG_4_2_1_3__3_NitrogenExcreted(AA67,AA175,AB191,AA147,AA31)</f>
        <v>0.10613051058639233</v>
      </c>
      <c r="AB207" s="52" cm="1">
        <f t="array" ref="AB207">MMS_PastureBeef_Soil_N2ODirect_Equations.VEERG_4_2_1_3__3_NitrogenExcreted(AB67,AB175,AC191,AB147,AB31)</f>
        <v>0.10568820163838911</v>
      </c>
      <c r="AC207" s="52" cm="1">
        <f t="array" ref="AC207">MMS_PastureBeef_Soil_N2ODirect_Equations.VEERG_4_2_1_3__3_NitrogenExcreted(AC67,AC175,AD191,AC147,AC31)</f>
        <v>0.1054491491748196</v>
      </c>
      <c r="AD207" s="52" cm="1">
        <f t="array" ref="AD207">MMS_PastureBeef_Soil_N2ODirect_Equations.VEERG_4_2_1_3__3_NitrogenExcreted(AD67,AD175,AE191,AD147,AD31)</f>
        <v>0.1054491491748196</v>
      </c>
      <c r="AE207" s="52" cm="1">
        <f t="array" ref="AE207">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174</v>
      </c>
      <c r="E208" s="52" cm="1">
        <f t="array" ref="E208">MMS_PastureBeef_Soil_N2ODirect_Equations.VEERG_4_2_1_3__2_TotalNitrogenExcretedToPastureRangeAndPaddock(E192,E170,E200)</f>
        <v>851.13641719743669</v>
      </c>
      <c r="F208" s="52" cm="1">
        <f t="array" ref="F208">MMS_PastureBeef_Soil_N2ODirect_Equations.VEERG_4_2_1_3__2_TotalNitrogenExcretedToPastureRangeAndPaddock(F192,F170,F200)</f>
        <v>1241.1708815944794</v>
      </c>
      <c r="G208" s="52" cm="1">
        <f t="array" ref="G208">MMS_PastureBeef_Soil_N2ODirect_Equations.VEERG_4_2_1_3__2_TotalNitrogenExcretedToPastureRangeAndPaddock(G192,G170,G200)</f>
        <v>710.02563013811357</v>
      </c>
      <c r="H208" s="52" cm="1">
        <f t="array" ref="H208">MMS_PastureBeef_Soil_N2ODirect_Equations.VEERG_4_2_1_3__2_TotalNitrogenExcretedToPastureRangeAndPaddock(H192,H170,H200)</f>
        <v>1023.0498901377973</v>
      </c>
      <c r="I208" s="52" cm="1">
        <f t="array" ref="I208">MMS_PastureBeef_Soil_N2ODirect_Equations.VEERG_4_2_1_3__2_TotalNitrogenExcretedToPastureRangeAndPaddock(I192,I170,I200)</f>
        <v>1069.9084532895147</v>
      </c>
      <c r="J208" s="52" cm="1">
        <f t="array" ref="J208">MMS_PastureBeef_Soil_N2ODirect_Equations.VEERG_4_2_1_3__2_TotalNitrogenExcretedToPastureRangeAndPaddock(J192,J170,J200)</f>
        <v>1069.9084532895147</v>
      </c>
      <c r="K208" s="52" cm="1">
        <f t="array" ref="K208">MMS_PastureBeef_Soil_N2ODirect_Equations.VEERG_4_2_1_3__2_TotalNitrogenExcretedToPastureRangeAndPaddock(K192,K170,K200)</f>
        <v>781.33273963682097</v>
      </c>
      <c r="L208" s="52" cm="1">
        <f t="array" ref="L208">MMS_PastureBeef_Soil_N2ODirect_Equations.VEERG_4_2_1_3__2_TotalNitrogenExcretedToPastureRangeAndPaddock(L192,L170,L200)</f>
        <v>962.22348622022878</v>
      </c>
      <c r="M208" s="52" cm="1">
        <f t="array" ref="M208">MMS_PastureBeef_Soil_N2ODirect_Equations.VEERG_4_2_1_3__2_TotalNitrogenExcretedToPastureRangeAndPaddock(M192,M170,M200)</f>
        <v>962.22348622022878</v>
      </c>
      <c r="N208" s="52" cm="1">
        <f t="array" ref="N208">MMS_PastureBeef_Soil_N2ODirect_Equations.VEERG_4_2_1_3__2_TotalNitrogenExcretedToPastureRangeAndPaddock(N192,N170,N200)</f>
        <v>962.22348622022878</v>
      </c>
      <c r="O208" s="2" t="str">
        <f>$E$182</f>
        <v>kg N</v>
      </c>
    </row>
    <row r="209" spans="3:35" ht="20.100000000000001" customHeight="1" x14ac:dyDescent="0.25">
      <c r="D209" s="52" t="s">
        <v>175</v>
      </c>
      <c r="E209" s="52" cm="1">
        <f t="array" ref="E209">MMS_PastureBeef_Soil_N2ODirect_Equations.VEERG_4_2_1_3__2_TotalNitrogenExcretedToPastureRangeAndPaddock(E193,E171,E201)</f>
        <v>246.20322015144228</v>
      </c>
      <c r="F209" s="52" cm="1">
        <f t="array" ref="F209">MMS_PastureBeef_Soil_N2ODirect_Equations.VEERG_4_2_1_3__2_TotalNitrogenExcretedToPastureRangeAndPaddock(F193,F171,F201)</f>
        <v>804.21384066168707</v>
      </c>
      <c r="G209" s="52" cm="1">
        <f t="array" ref="G209">MMS_PastureBeef_Soil_N2ODirect_Equations.VEERG_4_2_1_3__2_TotalNitrogenExcretedToPastureRangeAndPaddock(G193,G171,G201)</f>
        <v>200.78465315208103</v>
      </c>
      <c r="H209" s="52" cm="1">
        <f t="array" ref="H209">MMS_PastureBeef_Soil_N2ODirect_Equations.VEERG_4_2_1_3__2_TotalNitrogenExcretedToPastureRangeAndPaddock(H193,H171,H201)</f>
        <v>482.73952559655532</v>
      </c>
      <c r="I209" s="52" cm="1">
        <f t="array" ref="I209">MMS_PastureBeef_Soil_N2ODirect_Equations.VEERG_4_2_1_3__2_TotalNitrogenExcretedToPastureRangeAndPaddock(I193,I171,I201)</f>
        <v>631.31388409405702</v>
      </c>
      <c r="J209" s="52" cm="1">
        <f t="array" ref="J209">MMS_PastureBeef_Soil_N2ODirect_Equations.VEERG_4_2_1_3__2_TotalNitrogenExcretedToPastureRangeAndPaddock(J193,J171,J201)</f>
        <v>631.31388409405702</v>
      </c>
      <c r="K209" s="52" cm="1">
        <f t="array" ref="K209">MMS_PastureBeef_Soil_N2ODirect_Equations.VEERG_4_2_1_3__2_TotalNitrogenExcretedToPastureRangeAndPaddock(K193,K171,K201)</f>
        <v>250.60147798899126</v>
      </c>
      <c r="L209" s="52" cm="1">
        <f t="array" ref="L209">MMS_PastureBeef_Soil_N2ODirect_Equations.VEERG_4_2_1_3__2_TotalNitrogenExcretedToPastureRangeAndPaddock(L193,L171,L201)</f>
        <v>503.71901071132157</v>
      </c>
      <c r="M209" s="52" cm="1">
        <f t="array" ref="M209">MMS_PastureBeef_Soil_N2ODirect_Equations.VEERG_4_2_1_3__2_TotalNitrogenExcretedToPastureRangeAndPaddock(M193,M171,M201)</f>
        <v>503.71901071132157</v>
      </c>
      <c r="N209" s="52" cm="1">
        <f t="array" ref="N209">MMS_PastureBeef_Soil_N2ODirect_Equations.VEERG_4_2_1_3__2_TotalNitrogenExcretedToPastureRangeAndPaddock(N193,N171,N201)</f>
        <v>503.71901071132157</v>
      </c>
      <c r="O209" s="2" t="str">
        <f>$E$182</f>
        <v>kg N</v>
      </c>
    </row>
    <row r="210" spans="3:35" ht="20.100000000000001" customHeight="1" x14ac:dyDescent="0.25">
      <c r="D210" s="52" t="s">
        <v>176</v>
      </c>
      <c r="E210" s="52" cm="1">
        <f t="array" ref="E210">MMS_PastureBeef_Soil_N2ODirect_Equations.VEERG_4_2_1_3__2_TotalNitrogenExcretedToPastureRangeAndPaddock(E194,E172,E202)</f>
        <v>3828.4261834028625</v>
      </c>
      <c r="F210" s="52" cm="1">
        <f t="array" ref="F210">MMS_PastureBeef_Soil_N2ODirect_Equations.VEERG_4_2_1_3__2_TotalNitrogenExcretedToPastureRangeAndPaddock(F194,F172,F202)</f>
        <v>2867.5624150497624</v>
      </c>
      <c r="G210" s="52" cm="1">
        <f t="array" ref="G210">MMS_PastureBeef_Soil_N2ODirect_Equations.VEERG_4_2_1_3__2_TotalNitrogenExcretedToPastureRangeAndPaddock(G194,G172,G202)</f>
        <v>3294.1188220996773</v>
      </c>
      <c r="H210" s="52" cm="1">
        <f t="array" ref="H210">MMS_PastureBeef_Soil_N2ODirect_Equations.VEERG_4_2_1_3__2_TotalNitrogenExcretedToPastureRangeAndPaddock(H194,H172,H202)</f>
        <v>1874.1217358723854</v>
      </c>
      <c r="I210" s="52" cm="1">
        <f t="array" ref="I210">MMS_PastureBeef_Soil_N2ODirect_Equations.VEERG_4_2_1_3__2_TotalNitrogenExcretedToPastureRangeAndPaddock(I194,I172,I202)</f>
        <v>2504.6469881356957</v>
      </c>
      <c r="J210" s="52" cm="1">
        <f t="array" ref="J210">MMS_PastureBeef_Soil_N2ODirect_Equations.VEERG_4_2_1_3__2_TotalNitrogenExcretedToPastureRangeAndPaddock(J194,J172,J202)</f>
        <v>2504.6469881356957</v>
      </c>
      <c r="K210" s="52" cm="1">
        <f t="array" ref="K210">MMS_PastureBeef_Soil_N2ODirect_Equations.VEERG_4_2_1_3__2_TotalNitrogenExcretedToPastureRangeAndPaddock(K194,K172,K202)</f>
        <v>3510.9321383583565</v>
      </c>
      <c r="L210" s="52" cm="1">
        <f t="array" ref="L210">MMS_PastureBeef_Soil_N2ODirect_Equations.VEERG_4_2_1_3__2_TotalNitrogenExcretedToPastureRangeAndPaddock(L194,L172,L202)</f>
        <v>1924.5546037738959</v>
      </c>
      <c r="M210" s="52" cm="1">
        <f t="array" ref="M210">MMS_PastureBeef_Soil_N2ODirect_Equations.VEERG_4_2_1_3__2_TotalNitrogenExcretedToPastureRangeAndPaddock(M194,M172,M202)</f>
        <v>1924.5546037738959</v>
      </c>
      <c r="N210" s="52" cm="1">
        <f t="array" ref="N210">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3" t="s">
        <v>301</v>
      </c>
      <c r="E212" s="45">
        <f>SUM(E207:N210)</f>
        <v>67219.230344332333</v>
      </c>
      <c r="F212" s="105" t="str">
        <f>E182</f>
        <v>kg N</v>
      </c>
    </row>
    <row r="213" spans="3:35" ht="20.100000000000001" customHeight="1" x14ac:dyDescent="0.25">
      <c r="U213" s="99" t="s">
        <v>280</v>
      </c>
    </row>
    <row r="214" spans="3:35" ht="20.100000000000001" customHeight="1" x14ac:dyDescent="0.25">
      <c r="U214" s="98" t="s">
        <v>281</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132</v>
      </c>
      <c r="V215" s="51" t="s">
        <v>131</v>
      </c>
      <c r="W215" s="51" t="s">
        <v>130</v>
      </c>
      <c r="X215" s="51" t="s">
        <v>165</v>
      </c>
      <c r="Y215" s="51" t="s">
        <v>166</v>
      </c>
      <c r="Z215" s="51" t="s">
        <v>167</v>
      </c>
      <c r="AA215" s="51" t="s">
        <v>168</v>
      </c>
      <c r="AB215" s="51" t="s">
        <v>169</v>
      </c>
      <c r="AC215" s="51" t="s">
        <v>170</v>
      </c>
      <c r="AD215" s="51" t="s">
        <v>171</v>
      </c>
      <c r="AE215" s="51" t="s">
        <v>172</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2024</v>
      </c>
      <c r="V216" s="52">
        <f>'Input - Pasture Beef'!E44</f>
        <v>100</v>
      </c>
      <c r="W216" s="52">
        <f>'Input - Pasture Beef'!F44</f>
        <v>100</v>
      </c>
      <c r="X216" s="52">
        <f>'Input - Pasture Beef'!G44</f>
        <v>100</v>
      </c>
      <c r="Y216" s="52">
        <f>'Input - Pasture Beef'!H44</f>
        <v>100</v>
      </c>
      <c r="Z216" s="52">
        <f>'Input - Pasture Beef'!I44</f>
        <v>100</v>
      </c>
      <c r="AA216" s="52">
        <f>'Input - Pasture Beef'!J44</f>
        <v>100</v>
      </c>
      <c r="AB216" s="52">
        <f>'Input - Pasture Beef'!K44</f>
        <v>100</v>
      </c>
      <c r="AC216" s="52">
        <f>'Input - Pasture Beef'!L44</f>
        <v>100</v>
      </c>
      <c r="AD216" s="52">
        <f>'Input - Pasture Beef'!M44</f>
        <v>100</v>
      </c>
      <c r="AE216" s="52">
        <f>'Input - Pasture Beef'!N44</f>
        <v>100</v>
      </c>
      <c r="AF216" s="2" t="s">
        <v>102</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2024</v>
      </c>
      <c r="V217" s="52">
        <f>'Input - Pasture Beef'!E45</f>
        <v>100</v>
      </c>
      <c r="W217" s="52">
        <f>'Input - Pasture Beef'!F45</f>
        <v>100</v>
      </c>
      <c r="X217" s="52">
        <f>'Input - Pasture Beef'!G45</f>
        <v>100</v>
      </c>
      <c r="Y217" s="52">
        <f>'Input - Pasture Beef'!H45</f>
        <v>100</v>
      </c>
      <c r="Z217" s="52">
        <f>'Input - Pasture Beef'!I45</f>
        <v>100</v>
      </c>
      <c r="AA217" s="52">
        <f>'Input - Pasture Beef'!J45</f>
        <v>100</v>
      </c>
      <c r="AB217" s="52">
        <f>'Input - Pasture Beef'!K45</f>
        <v>100</v>
      </c>
      <c r="AC217" s="52">
        <f>'Input - Pasture Beef'!L45</f>
        <v>100</v>
      </c>
      <c r="AD217" s="52">
        <f>'Input - Pasture Beef'!M45</f>
        <v>100</v>
      </c>
      <c r="AE217" s="52">
        <f>'Input - Pasture Beef'!N45</f>
        <v>100</v>
      </c>
      <c r="AF217" s="2" t="s">
        <v>102</v>
      </c>
      <c r="AG217" s="2"/>
      <c r="AH217" s="2"/>
    </row>
    <row r="218" spans="3:35" ht="20.100000000000001" customHeight="1" x14ac:dyDescent="0.25">
      <c r="D218" s="13" t="s">
        <v>27</v>
      </c>
      <c r="E218" s="13" t="str" cm="1">
        <f t="array" aca="1" ref="E218" ca="1">Common_InputFunctions.Utility_DisplayFunctionName(E229)</f>
        <v>=MMS_PastureBeef_Soil_N2ODirect_Equations.VEERG_4_2_1_3__1_DirectNitrousOxideEmissionsOnPasture</v>
      </c>
      <c r="U218" s="52" t="str">
        <f>TEXT(EDATE('Input - Site'!$E$12,2), "mmmm yyyy")</f>
        <v>March 2024</v>
      </c>
      <c r="V218" s="52">
        <f>'Input - Pasture Beef'!E46</f>
        <v>100</v>
      </c>
      <c r="W218" s="52">
        <f>'Input - Pasture Beef'!F46</f>
        <v>100</v>
      </c>
      <c r="X218" s="52">
        <f>'Input - Pasture Beef'!G46</f>
        <v>100</v>
      </c>
      <c r="Y218" s="52">
        <f>'Input - Pasture Beef'!H46</f>
        <v>100</v>
      </c>
      <c r="Z218" s="52">
        <f>'Input - Pasture Beef'!I46</f>
        <v>100</v>
      </c>
      <c r="AA218" s="52">
        <f>'Input - Pasture Beef'!J46</f>
        <v>100</v>
      </c>
      <c r="AB218" s="52">
        <f>'Input - Pasture Beef'!K46</f>
        <v>100</v>
      </c>
      <c r="AC218" s="52">
        <f>'Input - Pasture Beef'!L46</f>
        <v>100</v>
      </c>
      <c r="AD218" s="52">
        <f>'Input - Pasture Beef'!M46</f>
        <v>100</v>
      </c>
      <c r="AE218" s="52">
        <f>'Input - Pasture Beef'!N46</f>
        <v>100</v>
      </c>
      <c r="AF218" s="2" t="s">
        <v>102</v>
      </c>
      <c r="AG218" s="2"/>
      <c r="AH218" s="2"/>
    </row>
    <row r="219" spans="3:35" ht="20.100000000000001" customHeight="1" x14ac:dyDescent="0.25">
      <c r="U219" s="52" t="str">
        <f>TEXT(EDATE('Input - Site'!$E$12,3), "mmmm yyyy")</f>
        <v>April 2024</v>
      </c>
      <c r="V219" s="52">
        <f>'Input - Pasture Beef'!E47</f>
        <v>100</v>
      </c>
      <c r="W219" s="52">
        <f>'Input - Pasture Beef'!F47</f>
        <v>100</v>
      </c>
      <c r="X219" s="52">
        <f>'Input - Pasture Beef'!G47</f>
        <v>100</v>
      </c>
      <c r="Y219" s="52">
        <f>'Input - Pasture Beef'!H47</f>
        <v>100</v>
      </c>
      <c r="Z219" s="52">
        <f>'Input - Pasture Beef'!I47</f>
        <v>100</v>
      </c>
      <c r="AA219" s="52">
        <f>'Input - Pasture Beef'!J47</f>
        <v>100</v>
      </c>
      <c r="AB219" s="52">
        <f>'Input - Pasture Beef'!K47</f>
        <v>100</v>
      </c>
      <c r="AC219" s="52">
        <f>'Input - Pasture Beef'!L47</f>
        <v>100</v>
      </c>
      <c r="AD219" s="52">
        <f>'Input - Pasture Beef'!M47</f>
        <v>100</v>
      </c>
      <c r="AE219" s="52">
        <f>'Input - Pasture Beef'!N47</f>
        <v>100</v>
      </c>
      <c r="AF219" s="2" t="s">
        <v>102</v>
      </c>
      <c r="AG219" s="2"/>
      <c r="AH219" s="2"/>
    </row>
    <row r="220" spans="3:35" ht="20.100000000000001" customHeight="1" x14ac:dyDescent="0.25">
      <c r="U220" s="52" t="str">
        <f>TEXT(EDATE('Input - Site'!$E$12,4), "mmmm yyyy")</f>
        <v>May 2024</v>
      </c>
      <c r="V220" s="52">
        <f>'Input - Pasture Beef'!E48</f>
        <v>100</v>
      </c>
      <c r="W220" s="52">
        <f>'Input - Pasture Beef'!F48</f>
        <v>100</v>
      </c>
      <c r="X220" s="52">
        <f>'Input - Pasture Beef'!G48</f>
        <v>100</v>
      </c>
      <c r="Y220" s="52">
        <f>'Input - Pasture Beef'!H48</f>
        <v>100</v>
      </c>
      <c r="Z220" s="52">
        <f>'Input - Pasture Beef'!I48</f>
        <v>100</v>
      </c>
      <c r="AA220" s="52">
        <f>'Input - Pasture Beef'!J48</f>
        <v>100</v>
      </c>
      <c r="AB220" s="52">
        <f>'Input - Pasture Beef'!K48</f>
        <v>100</v>
      </c>
      <c r="AC220" s="52">
        <f>'Input - Pasture Beef'!L48</f>
        <v>100</v>
      </c>
      <c r="AD220" s="52">
        <f>'Input - Pasture Beef'!M48</f>
        <v>100</v>
      </c>
      <c r="AE220" s="52">
        <f>'Input - Pasture Beef'!N48</f>
        <v>100</v>
      </c>
      <c r="AF220" s="2" t="s">
        <v>102</v>
      </c>
      <c r="AG220" s="2"/>
      <c r="AH220" s="2"/>
    </row>
    <row r="221" spans="3:35" ht="20.100000000000001" customHeight="1" x14ac:dyDescent="0.25">
      <c r="D221" s="53" t="s">
        <v>30</v>
      </c>
      <c r="E221" s="1" t="str" cm="1">
        <f t="array" ref="E221">MMS_PastureBeef_Soil_N2ODirect_Equations.VEERG_4_2_1_3__1_DirectNitrousOxideEmissionsOnPasture_Variable()</f>
        <v>E_N2Odir</v>
      </c>
      <c r="U221" s="52" t="str">
        <f>TEXT(EDATE('Input - Site'!$E$12,5), "mmmm yyyy")</f>
        <v>June 2024</v>
      </c>
      <c r="V221" s="52">
        <f>'Input - Pasture Beef'!E49</f>
        <v>100</v>
      </c>
      <c r="W221" s="52">
        <f>'Input - Pasture Beef'!F49</f>
        <v>100</v>
      </c>
      <c r="X221" s="52">
        <f>'Input - Pasture Beef'!G49</f>
        <v>100</v>
      </c>
      <c r="Y221" s="52">
        <f>'Input - Pasture Beef'!H49</f>
        <v>100</v>
      </c>
      <c r="Z221" s="52">
        <f>'Input - Pasture Beef'!I49</f>
        <v>100</v>
      </c>
      <c r="AA221" s="52">
        <f>'Input - Pasture Beef'!J49</f>
        <v>100</v>
      </c>
      <c r="AB221" s="52">
        <f>'Input - Pasture Beef'!K49</f>
        <v>100</v>
      </c>
      <c r="AC221" s="52">
        <f>'Input - Pasture Beef'!L49</f>
        <v>100</v>
      </c>
      <c r="AD221" s="52">
        <f>'Input - Pasture Beef'!M49</f>
        <v>100</v>
      </c>
      <c r="AE221" s="52">
        <f>'Input - Pasture Beef'!N49</f>
        <v>100</v>
      </c>
      <c r="AF221" s="2" t="s">
        <v>102</v>
      </c>
      <c r="AG221" s="2"/>
      <c r="AH221" s="2"/>
    </row>
    <row r="222" spans="3:35" ht="20.100000000000001" customHeight="1" x14ac:dyDescent="0.25">
      <c r="D222" s="53" t="s">
        <v>20</v>
      </c>
      <c r="E222" s="54" t="str" cm="1">
        <f t="array" ref="E222">MMS_PastureBeef_Soil_N2ODirect_Equations.VEERG_4_2_1_3__1_DirectNitrousOxideEmissionsOnPasture_Unit()</f>
        <v>t N2O</v>
      </c>
      <c r="U222" s="52" t="str">
        <f>TEXT(EDATE('Input - Site'!$E$12,6), "mmmm yyyy")</f>
        <v>July 2024</v>
      </c>
      <c r="V222" s="52">
        <f>'Input - Pasture Beef'!E50</f>
        <v>100</v>
      </c>
      <c r="W222" s="52">
        <f>'Input - Pasture Beef'!F50</f>
        <v>100</v>
      </c>
      <c r="X222" s="52">
        <f>'Input - Pasture Beef'!G50</f>
        <v>100</v>
      </c>
      <c r="Y222" s="52">
        <f>'Input - Pasture Beef'!H50</f>
        <v>100</v>
      </c>
      <c r="Z222" s="52">
        <f>'Input - Pasture Beef'!I50</f>
        <v>100</v>
      </c>
      <c r="AA222" s="52">
        <f>'Input - Pasture Beef'!J50</f>
        <v>100</v>
      </c>
      <c r="AB222" s="52">
        <f>'Input - Pasture Beef'!K50</f>
        <v>100</v>
      </c>
      <c r="AC222" s="52">
        <f>'Input - Pasture Beef'!L50</f>
        <v>100</v>
      </c>
      <c r="AD222" s="52">
        <f>'Input - Pasture Beef'!M50</f>
        <v>100</v>
      </c>
      <c r="AE222" s="52">
        <f>'Input - Pasture Beef'!N50</f>
        <v>100</v>
      </c>
      <c r="AF222" s="2" t="s">
        <v>102</v>
      </c>
      <c r="AG222" s="2"/>
      <c r="AH222" s="2"/>
    </row>
    <row r="223" spans="3:35" ht="20.100000000000001" customHeight="1" x14ac:dyDescent="0.25">
      <c r="U223" s="52" t="str">
        <f>TEXT(EDATE('Input - Site'!$E$12,7), "mmmm yyyy")</f>
        <v>August 2024</v>
      </c>
      <c r="V223" s="52">
        <f>'Input - Pasture Beef'!E51</f>
        <v>100</v>
      </c>
      <c r="W223" s="52">
        <f>'Input - Pasture Beef'!F51</f>
        <v>100</v>
      </c>
      <c r="X223" s="52">
        <f>'Input - Pasture Beef'!G51</f>
        <v>100</v>
      </c>
      <c r="Y223" s="52">
        <f>'Input - Pasture Beef'!H51</f>
        <v>100</v>
      </c>
      <c r="Z223" s="52">
        <f>'Input - Pasture Beef'!I51</f>
        <v>100</v>
      </c>
      <c r="AA223" s="52">
        <f>'Input - Pasture Beef'!J51</f>
        <v>100</v>
      </c>
      <c r="AB223" s="52">
        <f>'Input - Pasture Beef'!K51</f>
        <v>100</v>
      </c>
      <c r="AC223" s="52">
        <f>'Input - Pasture Beef'!L51</f>
        <v>100</v>
      </c>
      <c r="AD223" s="52">
        <f>'Input - Pasture Beef'!M51</f>
        <v>100</v>
      </c>
      <c r="AE223" s="52">
        <f>'Input - Pasture Beef'!N51</f>
        <v>100</v>
      </c>
      <c r="AF223" s="2" t="s">
        <v>102</v>
      </c>
      <c r="AG223" s="2"/>
      <c r="AH223" s="2"/>
    </row>
    <row r="224" spans="3:35" ht="20.100000000000001" customHeight="1" x14ac:dyDescent="0.25">
      <c r="D224" s="108" t="str" cm="1">
        <f t="array" ref="D224:E227">MMS_PastureBeef_Soil_N2ODirect_Equations.VEERG_4_2_1_3__1_DirectNitrousOxideEmissionsOnPasture_Arguments()</f>
        <v>AE</v>
      </c>
      <c r="E224" s="110" t="str">
        <v>total mass of nitrogen excreted on PRP for beef cattle (kg N)</v>
      </c>
      <c r="F224" s="117"/>
      <c r="G224" s="109"/>
      <c r="H224" s="108" t="str">
        <f>"See " &amp; D204</f>
        <v>See M1_Table_AE</v>
      </c>
      <c r="U224" s="52" t="str">
        <f>TEXT(EDATE('Input - Site'!$E$12,8), "mmmm yyyy")</f>
        <v>September 2024</v>
      </c>
      <c r="V224" s="52">
        <f>'Input - Pasture Beef'!E52</f>
        <v>100</v>
      </c>
      <c r="W224" s="52">
        <f>'Input - Pasture Beef'!F52</f>
        <v>100</v>
      </c>
      <c r="X224" s="52">
        <f>'Input - Pasture Beef'!G52</f>
        <v>100</v>
      </c>
      <c r="Y224" s="52">
        <f>'Input - Pasture Beef'!H52</f>
        <v>100</v>
      </c>
      <c r="Z224" s="52">
        <f>'Input - Pasture Beef'!I52</f>
        <v>100</v>
      </c>
      <c r="AA224" s="52">
        <f>'Input - Pasture Beef'!J52</f>
        <v>100</v>
      </c>
      <c r="AB224" s="52">
        <f>'Input - Pasture Beef'!K52</f>
        <v>100</v>
      </c>
      <c r="AC224" s="52">
        <f>'Input - Pasture Beef'!L52</f>
        <v>100</v>
      </c>
      <c r="AD224" s="52">
        <f>'Input - Pasture Beef'!M52</f>
        <v>100</v>
      </c>
      <c r="AE224" s="52">
        <f>'Input - Pasture Beef'!N52</f>
        <v>100</v>
      </c>
      <c r="AF224" s="2" t="s">
        <v>102</v>
      </c>
      <c r="AG224" s="2"/>
      <c r="AH224" s="2"/>
    </row>
    <row r="225" spans="4:34" ht="20.100000000000001" customHeight="1" x14ac:dyDescent="0.25">
      <c r="D225" s="108" t="str">
        <v>EF_PRP</v>
      </c>
      <c r="E225" s="110" t="str">
        <v>emission factor for nitrous oxide from urine and dung deposited to soil (kg N2O-N/kg N deposited)</v>
      </c>
      <c r="F225" s="117"/>
      <c r="G225" s="109"/>
      <c r="H225" s="57">
        <f>_xlfn.XLOOKUP(H227,Table_SourceData_EFPastureRangeAndPaddock[Climate zone],Table_SourceData_EFPastureRangeAndPaddock[EFPRP])</f>
        <v>2E-3</v>
      </c>
      <c r="U225" s="52" t="str">
        <f>TEXT(EDATE('Input - Site'!$E$12,9), "mmmm yyyy")</f>
        <v>October 2024</v>
      </c>
      <c r="V225" s="52">
        <f>'Input - Pasture Beef'!E53</f>
        <v>100</v>
      </c>
      <c r="W225" s="52">
        <f>'Input - Pasture Beef'!F53</f>
        <v>100</v>
      </c>
      <c r="X225" s="52">
        <f>'Input - Pasture Beef'!G53</f>
        <v>100</v>
      </c>
      <c r="Y225" s="52">
        <f>'Input - Pasture Beef'!H53</f>
        <v>100</v>
      </c>
      <c r="Z225" s="52">
        <f>'Input - Pasture Beef'!I53</f>
        <v>100</v>
      </c>
      <c r="AA225" s="52">
        <f>'Input - Pasture Beef'!J53</f>
        <v>100</v>
      </c>
      <c r="AB225" s="52">
        <f>'Input - Pasture Beef'!K53</f>
        <v>100</v>
      </c>
      <c r="AC225" s="52">
        <f>'Input - Pasture Beef'!L53</f>
        <v>100</v>
      </c>
      <c r="AD225" s="52">
        <f>'Input - Pasture Beef'!M53</f>
        <v>100</v>
      </c>
      <c r="AE225" s="52">
        <f>'Input - Pasture Beef'!N53</f>
        <v>100</v>
      </c>
      <c r="AF225" s="2" t="s">
        <v>102</v>
      </c>
      <c r="AG225" s="2"/>
      <c r="AH225" s="2"/>
    </row>
    <row r="226" spans="4:34" ht="20.100000000000001" customHeight="1" x14ac:dyDescent="0.25">
      <c r="D226" s="108" t="str">
        <v>C_N2O</v>
      </c>
      <c r="E226" s="110" t="str">
        <v>factor to convert elemental mass of nitrous oxide to molecular mass</v>
      </c>
      <c r="F226" s="117"/>
      <c r="G226" s="109"/>
      <c r="H226" s="57">
        <f>Common_InputFunctions.Utility_LookupValueInTableNumber("N2O",Table_GasToMolecularConversionFactor[Gas],Table_GasToMolecularConversionFactor[Conversion factor combined])</f>
        <v>1.5714285714285714</v>
      </c>
      <c r="U226" s="52" t="str">
        <f>TEXT(EDATE('Input - Site'!$E$12,10), "mmmm yyyy")</f>
        <v>November 2024</v>
      </c>
      <c r="V226" s="52">
        <f>'Input - Pasture Beef'!E54</f>
        <v>100</v>
      </c>
      <c r="W226" s="52">
        <f>'Input - Pasture Beef'!F54</f>
        <v>100</v>
      </c>
      <c r="X226" s="52">
        <f>'Input - Pasture Beef'!G54</f>
        <v>100</v>
      </c>
      <c r="Y226" s="52">
        <f>'Input - Pasture Beef'!H54</f>
        <v>100</v>
      </c>
      <c r="Z226" s="52">
        <f>'Input - Pasture Beef'!I54</f>
        <v>100</v>
      </c>
      <c r="AA226" s="52">
        <f>'Input - Pasture Beef'!J54</f>
        <v>100</v>
      </c>
      <c r="AB226" s="52">
        <f>'Input - Pasture Beef'!K54</f>
        <v>100</v>
      </c>
      <c r="AC226" s="52">
        <f>'Input - Pasture Beef'!L54</f>
        <v>100</v>
      </c>
      <c r="AD226" s="52">
        <f>'Input - Pasture Beef'!M54</f>
        <v>100</v>
      </c>
      <c r="AE226" s="52">
        <f>'Input - Pasture Beef'!N54</f>
        <v>100</v>
      </c>
      <c r="AF226" s="2" t="s">
        <v>102</v>
      </c>
      <c r="AG226" s="2"/>
      <c r="AH226" s="2"/>
    </row>
    <row r="227" spans="4:34" ht="20.100000000000001" customHeight="1" x14ac:dyDescent="0.25">
      <c r="D227" s="108" t="str">
        <v>z</v>
      </c>
      <c r="E227" s="110" t="str">
        <v>wet or dry climate zone</v>
      </c>
      <c r="F227" s="117"/>
      <c r="G227" s="109"/>
      <c r="H227" s="108" t="str">
        <f>'Input - Site'!$E$32</f>
        <v>Dry climate zone</v>
      </c>
      <c r="U227" s="52" t="str">
        <f>TEXT(EDATE('Input - Site'!$E$12,11), "mmmm yyyy")</f>
        <v>December 2024</v>
      </c>
      <c r="V227" s="52">
        <f>'Input - Pasture Beef'!E55</f>
        <v>100</v>
      </c>
      <c r="W227" s="52">
        <f>'Input - Pasture Beef'!F55</f>
        <v>100</v>
      </c>
      <c r="X227" s="52">
        <f>'Input - Pasture Beef'!G55</f>
        <v>100</v>
      </c>
      <c r="Y227" s="52">
        <f>'Input - Pasture Beef'!H55</f>
        <v>100</v>
      </c>
      <c r="Z227" s="52">
        <f>'Input - Pasture Beef'!I55</f>
        <v>100</v>
      </c>
      <c r="AA227" s="52">
        <f>'Input - Pasture Beef'!J55</f>
        <v>100</v>
      </c>
      <c r="AB227" s="52">
        <f>'Input - Pasture Beef'!K55</f>
        <v>100</v>
      </c>
      <c r="AC227" s="52">
        <f>'Input - Pasture Beef'!L55</f>
        <v>100</v>
      </c>
      <c r="AD227" s="52">
        <f>'Input - Pasture Beef'!M55</f>
        <v>100</v>
      </c>
      <c r="AE227" s="52">
        <f>'Input - Pasture Beef'!N55</f>
        <v>100</v>
      </c>
      <c r="AF227" s="2" t="s">
        <v>102</v>
      </c>
      <c r="AG227" s="2"/>
      <c r="AH227" s="2"/>
    </row>
    <row r="228" spans="4:34" ht="20.100000000000001" customHeight="1" x14ac:dyDescent="0.25"/>
    <row r="229" spans="4:34" ht="20.100000000000001" customHeight="1" x14ac:dyDescent="0.25">
      <c r="D229" s="101" t="s">
        <v>110</v>
      </c>
      <c r="E229" s="102" cm="1">
        <f t="array" ref="E229">MMS_PastureBeef_Soil_N2ODirect_Equations.VEERG_4_2_1_3__1_DirectNitrousOxideEmissionsOnPasture($E$212,$H$225,$H$226)</f>
        <v>0.21126043822504445</v>
      </c>
      <c r="F229" s="103" t="str">
        <f>$E$222</f>
        <v>t N2O</v>
      </c>
      <c r="U229" s="99" t="s">
        <v>149</v>
      </c>
    </row>
    <row r="230" spans="4:34" ht="20.100000000000001" customHeight="1" x14ac:dyDescent="0.25">
      <c r="U230" s="98" t="s">
        <v>282</v>
      </c>
    </row>
    <row r="231" spans="4:34" ht="20.100000000000001" customHeight="1" x14ac:dyDescent="0.25">
      <c r="D231" s="57" t="str" cm="1">
        <f t="array" ref="D231:E232">Common_Equations.Common_ConvertN2OToCO2e_Arguments()</f>
        <v>EN2O</v>
      </c>
      <c r="E231" s="58" t="str">
        <v>Nitrous oxide emissions (t N2O)</v>
      </c>
      <c r="F231" s="104"/>
      <c r="G231" s="52">
        <f>E229</f>
        <v>0.21126043822504445</v>
      </c>
      <c r="U231" s="51" t="s">
        <v>132</v>
      </c>
      <c r="V231" s="51" t="s">
        <v>131</v>
      </c>
      <c r="W231" s="51" t="s">
        <v>130</v>
      </c>
      <c r="X231" s="51" t="s">
        <v>165</v>
      </c>
      <c r="Y231" s="51" t="s">
        <v>166</v>
      </c>
      <c r="Z231" s="51" t="s">
        <v>167</v>
      </c>
      <c r="AA231" s="51" t="s">
        <v>168</v>
      </c>
      <c r="AB231" s="51" t="s">
        <v>169</v>
      </c>
      <c r="AC231" s="51" t="s">
        <v>170</v>
      </c>
      <c r="AD231" s="51" t="s">
        <v>171</v>
      </c>
      <c r="AE231" s="51" t="s">
        <v>172</v>
      </c>
    </row>
    <row r="232" spans="4:34" ht="20.100000000000001" customHeight="1" x14ac:dyDescent="0.25">
      <c r="D232" s="57" t="str">
        <v>GWPN2O</v>
      </c>
      <c r="E232" s="58" t="str">
        <v>Global warming potential for nitrous oxide (t CO2-e / t N2O)</v>
      </c>
      <c r="F232" s="104"/>
      <c r="G232" s="52">
        <f>Common_InputFunctions.Utility_LookupValueInTableNumber("N2O",Table_GWPData[Gas],Table_GWPData[CO2-e factor])</f>
        <v>265</v>
      </c>
      <c r="U232" s="52" t="str">
        <f>TEXT('Input - Site'!$E$12, "mmmm yyyy")</f>
        <v>January 2024</v>
      </c>
      <c r="V232" s="52">
        <f>'Input - Pasture Beef'!E22</f>
        <v>31</v>
      </c>
      <c r="W232" s="52">
        <f>'Input - Pasture Beef'!F22</f>
        <v>31</v>
      </c>
      <c r="X232" s="52">
        <f>'Input - Pasture Beef'!G22</f>
        <v>31</v>
      </c>
      <c r="Y232" s="52">
        <f>'Input - Pasture Beef'!H22</f>
        <v>31</v>
      </c>
      <c r="Z232" s="52">
        <f>'Input - Pasture Beef'!I22</f>
        <v>31</v>
      </c>
      <c r="AA232" s="52">
        <f>'Input - Pasture Beef'!J22</f>
        <v>31</v>
      </c>
      <c r="AB232" s="52">
        <f>'Input - Pasture Beef'!K22</f>
        <v>31</v>
      </c>
      <c r="AC232" s="52">
        <f>'Input - Pasture Beef'!L22</f>
        <v>31</v>
      </c>
      <c r="AD232" s="52">
        <f>'Input - Pasture Beef'!M22</f>
        <v>31</v>
      </c>
      <c r="AE232" s="52">
        <f>'Input - Pasture Beef'!N22</f>
        <v>31</v>
      </c>
      <c r="AF232" s="2" t="s">
        <v>278</v>
      </c>
      <c r="AG232" s="2"/>
      <c r="AH232" s="2"/>
    </row>
    <row r="233" spans="4:34" ht="20.100000000000001" customHeight="1" x14ac:dyDescent="0.25">
      <c r="U233" s="52" t="str">
        <f>TEXT(EDATE('Input - Site'!$E$12,1), "mmmm yyyy")</f>
        <v>February 2024</v>
      </c>
      <c r="V233" s="52">
        <f>'Input - Pasture Beef'!E23</f>
        <v>29</v>
      </c>
      <c r="W233" s="52">
        <f>'Input - Pasture Beef'!F23</f>
        <v>29</v>
      </c>
      <c r="X233" s="52">
        <f>'Input - Pasture Beef'!G23</f>
        <v>29</v>
      </c>
      <c r="Y233" s="52">
        <f>'Input - Pasture Beef'!H23</f>
        <v>29</v>
      </c>
      <c r="Z233" s="52">
        <f>'Input - Pasture Beef'!I23</f>
        <v>29</v>
      </c>
      <c r="AA233" s="52">
        <f>'Input - Pasture Beef'!J23</f>
        <v>29</v>
      </c>
      <c r="AB233" s="52">
        <f>'Input - Pasture Beef'!K23</f>
        <v>29</v>
      </c>
      <c r="AC233" s="52">
        <f>'Input - Pasture Beef'!L23</f>
        <v>29</v>
      </c>
      <c r="AD233" s="52">
        <f>'Input - Pasture Beef'!M23</f>
        <v>29</v>
      </c>
      <c r="AE233" s="52">
        <f>'Input - Pasture Beef'!N23</f>
        <v>29</v>
      </c>
      <c r="AF233" s="2" t="s">
        <v>278</v>
      </c>
      <c r="AG233" s="2"/>
      <c r="AH233" s="2"/>
    </row>
    <row r="234" spans="4:34" ht="20.100000000000001" customHeight="1" x14ac:dyDescent="0.25">
      <c r="D234" s="45" t="s">
        <v>104</v>
      </c>
      <c r="E234" s="45" cm="1">
        <f t="array" ref="E234">Common_Equations.Common_ConvertN2OToCO2e(G231,G232)</f>
        <v>55.984016129636778</v>
      </c>
      <c r="F234" s="105" t="str" cm="1">
        <f t="array" ref="F234">Common_Equations.Common_ConvertN2OToCO2e_Unit()</f>
        <v>t CO2e</v>
      </c>
      <c r="U234" s="52" t="str">
        <f>TEXT(EDATE('Input - Site'!$E$12,2), "mmmm yyyy")</f>
        <v>March 2024</v>
      </c>
      <c r="V234" s="52">
        <f>'Input - Pasture Beef'!E24</f>
        <v>31</v>
      </c>
      <c r="W234" s="52">
        <f>'Input - Pasture Beef'!F24</f>
        <v>31</v>
      </c>
      <c r="X234" s="52">
        <f>'Input - Pasture Beef'!G24</f>
        <v>31</v>
      </c>
      <c r="Y234" s="52">
        <f>'Input - Pasture Beef'!H24</f>
        <v>31</v>
      </c>
      <c r="Z234" s="52">
        <f>'Input - Pasture Beef'!I24</f>
        <v>31</v>
      </c>
      <c r="AA234" s="52">
        <f>'Input - Pasture Beef'!J24</f>
        <v>31</v>
      </c>
      <c r="AB234" s="52">
        <f>'Input - Pasture Beef'!K24</f>
        <v>31</v>
      </c>
      <c r="AC234" s="52">
        <f>'Input - Pasture Beef'!L24</f>
        <v>31</v>
      </c>
      <c r="AD234" s="52">
        <f>'Input - Pasture Beef'!M24</f>
        <v>31</v>
      </c>
      <c r="AE234" s="52">
        <f>'Input - Pasture Beef'!N24</f>
        <v>31</v>
      </c>
      <c r="AF234" s="2" t="s">
        <v>278</v>
      </c>
      <c r="AG234" s="2"/>
      <c r="AH234" s="2"/>
    </row>
    <row r="235" spans="4:34" ht="20.100000000000001" customHeight="1" x14ac:dyDescent="0.25">
      <c r="U235" s="52" t="str">
        <f>TEXT(EDATE('Input - Site'!$E$12,3), "mmmm yyyy")</f>
        <v>April 2024</v>
      </c>
      <c r="V235" s="52">
        <f>'Input - Pasture Beef'!E25</f>
        <v>30</v>
      </c>
      <c r="W235" s="52">
        <f>'Input - Pasture Beef'!F25</f>
        <v>30</v>
      </c>
      <c r="X235" s="52">
        <f>'Input - Pasture Beef'!G25</f>
        <v>30</v>
      </c>
      <c r="Y235" s="52">
        <f>'Input - Pasture Beef'!H25</f>
        <v>30</v>
      </c>
      <c r="Z235" s="52">
        <f>'Input - Pasture Beef'!I25</f>
        <v>30</v>
      </c>
      <c r="AA235" s="52">
        <f>'Input - Pasture Beef'!J25</f>
        <v>30</v>
      </c>
      <c r="AB235" s="52">
        <f>'Input - Pasture Beef'!K25</f>
        <v>30</v>
      </c>
      <c r="AC235" s="52">
        <f>'Input - Pasture Beef'!L25</f>
        <v>30</v>
      </c>
      <c r="AD235" s="52">
        <f>'Input - Pasture Beef'!M25</f>
        <v>30</v>
      </c>
      <c r="AE235" s="52">
        <f>'Input - Pasture Beef'!N25</f>
        <v>30</v>
      </c>
      <c r="AF235" s="2" t="s">
        <v>278</v>
      </c>
      <c r="AG235" s="2"/>
      <c r="AH235" s="2"/>
    </row>
    <row r="236" spans="4:34" ht="20.100000000000001" customHeight="1" x14ac:dyDescent="0.25">
      <c r="U236" s="52" t="str">
        <f>TEXT(EDATE('Input - Site'!$E$12,4), "mmmm yyyy")</f>
        <v>May 2024</v>
      </c>
      <c r="V236" s="52">
        <f>'Input - Pasture Beef'!E26</f>
        <v>31</v>
      </c>
      <c r="W236" s="52">
        <f>'Input - Pasture Beef'!F26</f>
        <v>31</v>
      </c>
      <c r="X236" s="52">
        <f>'Input - Pasture Beef'!G26</f>
        <v>31</v>
      </c>
      <c r="Y236" s="52">
        <f>'Input - Pasture Beef'!H26</f>
        <v>31</v>
      </c>
      <c r="Z236" s="52">
        <f>'Input - Pasture Beef'!I26</f>
        <v>31</v>
      </c>
      <c r="AA236" s="52">
        <f>'Input - Pasture Beef'!J26</f>
        <v>31</v>
      </c>
      <c r="AB236" s="52">
        <f>'Input - Pasture Beef'!K26</f>
        <v>31</v>
      </c>
      <c r="AC236" s="52">
        <f>'Input - Pasture Beef'!L26</f>
        <v>31</v>
      </c>
      <c r="AD236" s="52">
        <f>'Input - Pasture Beef'!M26</f>
        <v>31</v>
      </c>
      <c r="AE236" s="52">
        <f>'Input - Pasture Beef'!N26</f>
        <v>31</v>
      </c>
      <c r="AF236" s="2" t="s">
        <v>278</v>
      </c>
      <c r="AG236" s="2"/>
      <c r="AH236" s="2"/>
    </row>
    <row r="237" spans="4:34" ht="20.100000000000001" customHeight="1" x14ac:dyDescent="0.25">
      <c r="U237" s="52" t="str">
        <f>TEXT(EDATE('Input - Site'!$E$12,5), "mmmm yyyy")</f>
        <v>June 2024</v>
      </c>
      <c r="V237" s="52">
        <f>'Input - Pasture Beef'!E27</f>
        <v>30</v>
      </c>
      <c r="W237" s="52">
        <f>'Input - Pasture Beef'!F27</f>
        <v>30</v>
      </c>
      <c r="X237" s="52">
        <f>'Input - Pasture Beef'!G27</f>
        <v>30</v>
      </c>
      <c r="Y237" s="52">
        <f>'Input - Pasture Beef'!H27</f>
        <v>30</v>
      </c>
      <c r="Z237" s="52">
        <f>'Input - Pasture Beef'!I27</f>
        <v>30</v>
      </c>
      <c r="AA237" s="52">
        <f>'Input - Pasture Beef'!J27</f>
        <v>30</v>
      </c>
      <c r="AB237" s="52">
        <f>'Input - Pasture Beef'!K27</f>
        <v>30</v>
      </c>
      <c r="AC237" s="52">
        <f>'Input - Pasture Beef'!L27</f>
        <v>30</v>
      </c>
      <c r="AD237" s="52">
        <f>'Input - Pasture Beef'!M27</f>
        <v>30</v>
      </c>
      <c r="AE237" s="52">
        <f>'Input - Pasture Beef'!N27</f>
        <v>30</v>
      </c>
      <c r="AF237" s="2" t="s">
        <v>278</v>
      </c>
      <c r="AG237" s="2"/>
      <c r="AH237" s="2"/>
    </row>
    <row r="238" spans="4:34" ht="20.100000000000001" customHeight="1" x14ac:dyDescent="0.25">
      <c r="U238" s="52" t="str">
        <f>TEXT(EDATE('Input - Site'!$E$12,6), "mmmm yyyy")</f>
        <v>July 2024</v>
      </c>
      <c r="V238" s="52">
        <f>'Input - Pasture Beef'!E28</f>
        <v>31</v>
      </c>
      <c r="W238" s="52">
        <f>'Input - Pasture Beef'!F28</f>
        <v>31</v>
      </c>
      <c r="X238" s="52">
        <f>'Input - Pasture Beef'!G28</f>
        <v>31</v>
      </c>
      <c r="Y238" s="52">
        <f>'Input - Pasture Beef'!H28</f>
        <v>31</v>
      </c>
      <c r="Z238" s="52">
        <f>'Input - Pasture Beef'!I28</f>
        <v>31</v>
      </c>
      <c r="AA238" s="52">
        <f>'Input - Pasture Beef'!J28</f>
        <v>31</v>
      </c>
      <c r="AB238" s="52">
        <f>'Input - Pasture Beef'!K28</f>
        <v>31</v>
      </c>
      <c r="AC238" s="52">
        <f>'Input - Pasture Beef'!L28</f>
        <v>31</v>
      </c>
      <c r="AD238" s="52">
        <f>'Input - Pasture Beef'!M28</f>
        <v>31</v>
      </c>
      <c r="AE238" s="52">
        <f>'Input - Pasture Beef'!N28</f>
        <v>31</v>
      </c>
      <c r="AF238" s="2" t="s">
        <v>278</v>
      </c>
      <c r="AG238" s="2"/>
      <c r="AH238" s="2"/>
    </row>
    <row r="239" spans="4:34" ht="20.100000000000001" customHeight="1" x14ac:dyDescent="0.25">
      <c r="U239" s="52" t="str">
        <f>TEXT(EDATE('Input - Site'!$E$12,7), "mmmm yyyy")</f>
        <v>August 2024</v>
      </c>
      <c r="V239" s="52">
        <f>'Input - Pasture Beef'!E29</f>
        <v>31</v>
      </c>
      <c r="W239" s="52">
        <f>'Input - Pasture Beef'!F29</f>
        <v>31</v>
      </c>
      <c r="X239" s="52">
        <f>'Input - Pasture Beef'!G29</f>
        <v>31</v>
      </c>
      <c r="Y239" s="52">
        <f>'Input - Pasture Beef'!H29</f>
        <v>31</v>
      </c>
      <c r="Z239" s="52">
        <f>'Input - Pasture Beef'!I29</f>
        <v>31</v>
      </c>
      <c r="AA239" s="52">
        <f>'Input - Pasture Beef'!J29</f>
        <v>31</v>
      </c>
      <c r="AB239" s="52">
        <f>'Input - Pasture Beef'!K29</f>
        <v>31</v>
      </c>
      <c r="AC239" s="52">
        <f>'Input - Pasture Beef'!L29</f>
        <v>31</v>
      </c>
      <c r="AD239" s="52">
        <f>'Input - Pasture Beef'!M29</f>
        <v>31</v>
      </c>
      <c r="AE239" s="52">
        <f>'Input - Pasture Beef'!N29</f>
        <v>31</v>
      </c>
      <c r="AF239" s="2" t="s">
        <v>278</v>
      </c>
      <c r="AG239" s="2"/>
      <c r="AH239" s="2"/>
    </row>
    <row r="240" spans="4:34" ht="20.100000000000001" customHeight="1" x14ac:dyDescent="0.25">
      <c r="U240" s="52" t="str">
        <f>TEXT(EDATE('Input - Site'!$E$12,8), "mmmm yyyy")</f>
        <v>September 2024</v>
      </c>
      <c r="V240" s="52">
        <f>'Input - Pasture Beef'!E30</f>
        <v>30</v>
      </c>
      <c r="W240" s="52">
        <f>'Input - Pasture Beef'!F30</f>
        <v>30</v>
      </c>
      <c r="X240" s="52">
        <f>'Input - Pasture Beef'!G30</f>
        <v>30</v>
      </c>
      <c r="Y240" s="52">
        <f>'Input - Pasture Beef'!H30</f>
        <v>30</v>
      </c>
      <c r="Z240" s="52">
        <f>'Input - Pasture Beef'!I30</f>
        <v>30</v>
      </c>
      <c r="AA240" s="52">
        <f>'Input - Pasture Beef'!J30</f>
        <v>30</v>
      </c>
      <c r="AB240" s="52">
        <f>'Input - Pasture Beef'!K30</f>
        <v>30</v>
      </c>
      <c r="AC240" s="52">
        <f>'Input - Pasture Beef'!L30</f>
        <v>30</v>
      </c>
      <c r="AD240" s="52">
        <f>'Input - Pasture Beef'!M30</f>
        <v>30</v>
      </c>
      <c r="AE240" s="52">
        <f>'Input - Pasture Beef'!N30</f>
        <v>30</v>
      </c>
      <c r="AF240" s="2" t="s">
        <v>278</v>
      </c>
      <c r="AG240" s="2"/>
      <c r="AH240" s="2"/>
    </row>
    <row r="241" spans="21:34" ht="20.100000000000001" customHeight="1" x14ac:dyDescent="0.25">
      <c r="U241" s="52" t="str">
        <f>TEXT(EDATE('Input - Site'!$E$12,9), "mmmm yyyy")</f>
        <v>October 2024</v>
      </c>
      <c r="V241" s="52">
        <f>'Input - Pasture Beef'!E31</f>
        <v>31</v>
      </c>
      <c r="W241" s="52">
        <f>'Input - Pasture Beef'!F31</f>
        <v>31</v>
      </c>
      <c r="X241" s="52">
        <f>'Input - Pasture Beef'!G31</f>
        <v>31</v>
      </c>
      <c r="Y241" s="52">
        <f>'Input - Pasture Beef'!H31</f>
        <v>31</v>
      </c>
      <c r="Z241" s="52">
        <f>'Input - Pasture Beef'!I31</f>
        <v>31</v>
      </c>
      <c r="AA241" s="52">
        <f>'Input - Pasture Beef'!J31</f>
        <v>31</v>
      </c>
      <c r="AB241" s="52">
        <f>'Input - Pasture Beef'!K31</f>
        <v>31</v>
      </c>
      <c r="AC241" s="52">
        <f>'Input - Pasture Beef'!L31</f>
        <v>31</v>
      </c>
      <c r="AD241" s="52">
        <f>'Input - Pasture Beef'!M31</f>
        <v>31</v>
      </c>
      <c r="AE241" s="52">
        <f>'Input - Pasture Beef'!N31</f>
        <v>31</v>
      </c>
      <c r="AF241" s="2" t="s">
        <v>278</v>
      </c>
      <c r="AG241" s="2"/>
      <c r="AH241" s="2"/>
    </row>
    <row r="242" spans="21:34" ht="20.100000000000001" customHeight="1" x14ac:dyDescent="0.25">
      <c r="U242" s="52" t="str">
        <f>TEXT(EDATE('Input - Site'!$E$12,10), "mmmm yyyy")</f>
        <v>November 2024</v>
      </c>
      <c r="V242" s="52">
        <f>'Input - Pasture Beef'!E32</f>
        <v>30</v>
      </c>
      <c r="W242" s="52">
        <f>'Input - Pasture Beef'!F32</f>
        <v>30</v>
      </c>
      <c r="X242" s="52">
        <f>'Input - Pasture Beef'!G32</f>
        <v>30</v>
      </c>
      <c r="Y242" s="52">
        <f>'Input - Pasture Beef'!H32</f>
        <v>30</v>
      </c>
      <c r="Z242" s="52">
        <f>'Input - Pasture Beef'!I32</f>
        <v>30</v>
      </c>
      <c r="AA242" s="52">
        <f>'Input - Pasture Beef'!J32</f>
        <v>30</v>
      </c>
      <c r="AB242" s="52">
        <f>'Input - Pasture Beef'!K32</f>
        <v>30</v>
      </c>
      <c r="AC242" s="52">
        <f>'Input - Pasture Beef'!L32</f>
        <v>30</v>
      </c>
      <c r="AD242" s="52">
        <f>'Input - Pasture Beef'!M32</f>
        <v>30</v>
      </c>
      <c r="AE242" s="52">
        <f>'Input - Pasture Beef'!N32</f>
        <v>30</v>
      </c>
      <c r="AF242" s="2" t="s">
        <v>278</v>
      </c>
      <c r="AG242" s="2"/>
      <c r="AH242" s="2"/>
    </row>
    <row r="243" spans="21:34" ht="20.100000000000001" customHeight="1" x14ac:dyDescent="0.25">
      <c r="U243" s="52" t="str">
        <f>TEXT(EDATE('Input - Site'!$E$12,11), "mmmm yyyy")</f>
        <v>December 2024</v>
      </c>
      <c r="V243" s="52">
        <f>'Input - Pasture Beef'!E33</f>
        <v>31</v>
      </c>
      <c r="W243" s="52">
        <f>'Input - Pasture Beef'!F33</f>
        <v>31</v>
      </c>
      <c r="X243" s="52">
        <f>'Input - Pasture Beef'!G33</f>
        <v>31</v>
      </c>
      <c r="Y243" s="52">
        <f>'Input - Pasture Beef'!H33</f>
        <v>31</v>
      </c>
      <c r="Z243" s="52">
        <f>'Input - Pasture Beef'!I33</f>
        <v>31</v>
      </c>
      <c r="AA243" s="52">
        <f>'Input - Pasture Beef'!J33</f>
        <v>31</v>
      </c>
      <c r="AB243" s="52">
        <f>'Input - Pasture Beef'!K33</f>
        <v>31</v>
      </c>
      <c r="AC243" s="52">
        <f>'Input - Pasture Beef'!L33</f>
        <v>31</v>
      </c>
      <c r="AD243" s="52">
        <f>'Input - Pasture Beef'!M33</f>
        <v>31</v>
      </c>
      <c r="AE243" s="52">
        <f>'Input - Pasture Beef'!N33</f>
        <v>31</v>
      </c>
      <c r="AF243" s="2" t="s">
        <v>278</v>
      </c>
      <c r="AG243" s="2"/>
      <c r="AH243" s="2"/>
    </row>
    <row r="244" spans="21:34" ht="20.100000000000001" customHeight="1" x14ac:dyDescent="0.25"/>
    <row r="245" spans="21:34" ht="20.100000000000001" customHeight="1" x14ac:dyDescent="0.25">
      <c r="U245" s="99" t="s">
        <v>318</v>
      </c>
    </row>
    <row r="246" spans="21:34" ht="20.100000000000001" customHeight="1" x14ac:dyDescent="0.25">
      <c r="U246" s="98" t="s">
        <v>319</v>
      </c>
    </row>
    <row r="247" spans="21:34" ht="20.100000000000001" customHeight="1" x14ac:dyDescent="0.25">
      <c r="U247" s="51" t="s">
        <v>132</v>
      </c>
      <c r="V247" s="51" t="s">
        <v>131</v>
      </c>
      <c r="W247" s="51" t="s">
        <v>130</v>
      </c>
      <c r="X247" s="51" t="s">
        <v>165</v>
      </c>
      <c r="Y247" s="51" t="s">
        <v>166</v>
      </c>
      <c r="Z247" s="51" t="s">
        <v>167</v>
      </c>
      <c r="AA247" s="51" t="s">
        <v>168</v>
      </c>
      <c r="AB247" s="51" t="s">
        <v>169</v>
      </c>
      <c r="AC247" s="51" t="s">
        <v>170</v>
      </c>
      <c r="AD247" s="51" t="s">
        <v>171</v>
      </c>
      <c r="AE247" s="51" t="s">
        <v>172</v>
      </c>
    </row>
    <row r="248" spans="21:34" ht="20.100000000000001" customHeight="1" x14ac:dyDescent="0.25">
      <c r="U248" s="52" t="str">
        <f>TEXT('Input - Site'!$E$12, "mmmm yyyy")</f>
        <v>January 2024</v>
      </c>
      <c r="V248" s="52" cm="1">
        <f t="array" ref="V248">MMS_PastureBeef_Soil_N2ODirect_Equations.VEERG_4_2_1_3__2_TotalNitrogenExcretedToPastureRangeAndPaddock(V216,V196,V232)</f>
        <v>351.34755115439344</v>
      </c>
      <c r="W248" s="52" cm="1">
        <f t="array" ref="W248">MMS_PastureBeef_Soil_N2ODirect_Equations.VEERG_4_2_1_3__2_TotalNitrogenExcretedToPastureRangeAndPaddock(W216,W196,W232)</f>
        <v>421.65805292524783</v>
      </c>
      <c r="X248" s="52" cm="1">
        <f t="array" ref="X248">MMS_PastureBeef_Soil_N2ODirect_Equations.VEERG_4_2_1_3__2_TotalNitrogenExcretedToPastureRangeAndPaddock(X216,X196,X232)</f>
        <v>303.40854404382895</v>
      </c>
      <c r="Y248" s="52" cm="1">
        <f t="array" ref="Y248">MMS_PastureBeef_Soil_N2ODirect_Equations.VEERG_4_2_1_3__2_TotalNitrogenExcretedToPastureRangeAndPaddock(Y216,Y196,Y232)</f>
        <v>313.21127433214627</v>
      </c>
      <c r="Z248" s="52" cm="1">
        <f t="array" ref="Z248">MMS_PastureBeef_Soil_N2ODirect_Equations.VEERG_4_2_1_3__2_TotalNitrogenExcretedToPastureRangeAndPaddock(Z216,Z196,Z232)</f>
        <v>329.00458281781619</v>
      </c>
      <c r="AA248" s="52" cm="1">
        <f t="array" ref="AA248">MMS_PastureBeef_Soil_N2ODirect_Equations.VEERG_4_2_1_3__2_TotalNitrogenExcretedToPastureRangeAndPaddock(AA216,AA196,AA232)</f>
        <v>329.00458281781619</v>
      </c>
      <c r="AB248" s="52" cm="1">
        <f t="array" ref="AB248">MMS_PastureBeef_Soil_N2ODirect_Equations.VEERG_4_2_1_3__2_TotalNitrogenExcretedToPastureRangeAndPaddock(AB216,AB196,AB232)</f>
        <v>327.63342507900626</v>
      </c>
      <c r="AC248" s="52" cm="1">
        <f t="array" ref="AC248">MMS_PastureBeef_Soil_N2ODirect_Equations.VEERG_4_2_1_3__2_TotalNitrogenExcretedToPastureRangeAndPaddock(AC216,AC196,AC232)</f>
        <v>326.89236244194075</v>
      </c>
      <c r="AD248" s="52" cm="1">
        <f t="array" ref="AD248">MMS_PastureBeef_Soil_N2ODirect_Equations.VEERG_4_2_1_3__2_TotalNitrogenExcretedToPastureRangeAndPaddock(AD216,AD196,AD232)</f>
        <v>326.89236244194075</v>
      </c>
      <c r="AE248" s="52" cm="1">
        <f t="array" ref="AE248">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2024</v>
      </c>
      <c r="V249" s="52" cm="1">
        <f t="array" ref="V249">MMS_PastureBeef_Soil_N2ODirect_Equations.VEERG_4_2_1_3__2_TotalNitrogenExcretedToPastureRangeAndPaddock(V217,V197,V233)</f>
        <v>270.49814902713058</v>
      </c>
      <c r="W249" s="52" cm="1">
        <f t="array" ref="W249">MMS_PastureBeef_Soil_N2ODirect_Equations.VEERG_4_2_1_3__2_TotalNitrogenExcretedToPastureRangeAndPaddock(W217,W197,W233)</f>
        <v>394.45430757523184</v>
      </c>
      <c r="X249" s="52" cm="1">
        <f t="array" ref="X249">MMS_PastureBeef_Soil_N2ODirect_Equations.VEERG_4_2_1_3__2_TotalNitrogenExcretedToPastureRangeAndPaddock(X217,X197,X233)</f>
        <v>225.6519810849895</v>
      </c>
      <c r="Y249" s="52" cm="1">
        <f t="array" ref="Y249">MMS_PastureBeef_Soil_N2ODirect_Equations.VEERG_4_2_1_3__2_TotalNitrogenExcretedToPastureRangeAndPaddock(Y217,Y197,Y233)</f>
        <v>311.98304055581087</v>
      </c>
      <c r="Z249" s="52" cm="1">
        <f t="array" ref="Z249">MMS_PastureBeef_Soil_N2ODirect_Equations.VEERG_4_2_1_3__2_TotalNitrogenExcretedToPastureRangeAndPaddock(Z217,Z197,Z233)</f>
        <v>327.00953552250638</v>
      </c>
      <c r="AA249" s="52" cm="1">
        <f t="array" ref="AA249">MMS_PastureBeef_Soil_N2ODirect_Equations.VEERG_4_2_1_3__2_TotalNitrogenExcretedToPastureRangeAndPaddock(AA217,AA197,AA233)</f>
        <v>327.00953552250638</v>
      </c>
      <c r="AB249" s="52" cm="1">
        <f t="array" ref="AB249">MMS_PastureBeef_Soil_N2ODirect_Equations.VEERG_4_2_1_3__2_TotalNitrogenExcretedToPastureRangeAndPaddock(AB217,AB197,AB233)</f>
        <v>248.31396656951023</v>
      </c>
      <c r="AC249" s="52" cm="1">
        <f t="array" ref="AC249">MMS_PastureBeef_Soil_N2ODirect_Equations.VEERG_4_2_1_3__2_TotalNitrogenExcretedToPastureRangeAndPaddock(AC217,AC197,AC233)</f>
        <v>305.8025326069768</v>
      </c>
      <c r="AD249" s="52" cm="1">
        <f t="array" ref="AD249">MMS_PastureBeef_Soil_N2ODirect_Equations.VEERG_4_2_1_3__2_TotalNitrogenExcretedToPastureRangeAndPaddock(AD217,AD197,AD233)</f>
        <v>305.8025326069768</v>
      </c>
      <c r="AE249" s="52" cm="1">
        <f t="array" ref="AE249">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2024</v>
      </c>
      <c r="V250" s="52" cm="1">
        <f t="array" ref="V250">MMS_PastureBeef_Soil_N2ODirect_Equations.VEERG_4_2_1_3__2_TotalNitrogenExcretedToPastureRangeAndPaddock(V218,V198,V234)</f>
        <v>41.820820957231291</v>
      </c>
      <c r="W250" s="52" cm="1">
        <f t="array" ref="W250">MMS_PastureBeef_Soil_N2ODirect_Equations.VEERG_4_2_1_3__2_TotalNitrogenExcretedToPastureRangeAndPaddock(W218,W198,W234)</f>
        <v>273.21237326588823</v>
      </c>
      <c r="X250" s="52" cm="1">
        <f t="array" ref="X250">MMS_PastureBeef_Soil_N2ODirect_Equations.VEERG_4_2_1_3__2_TotalNitrogenExcretedToPastureRangeAndPaddock(X218,X198,X234)</f>
        <v>34.105886288846641</v>
      </c>
      <c r="Y250" s="52" cm="1">
        <f t="array" ref="Y250">MMS_PastureBeef_Soil_N2ODirect_Equations.VEERG_4_2_1_3__2_TotalNitrogenExcretedToPastureRangeAndPaddock(Y218,Y198,Y234)</f>
        <v>162.22400157554256</v>
      </c>
      <c r="Z250" s="52" cm="1">
        <f t="array" ref="Z250">MMS_PastureBeef_Soil_N2ODirect_Equations.VEERG_4_2_1_3__2_TotalNitrogenExcretedToPastureRangeAndPaddock(Z218,Z198,Z234)</f>
        <v>214.47375788400842</v>
      </c>
      <c r="AA250" s="52" cm="1">
        <f t="array" ref="AA250">MMS_PastureBeef_Soil_N2ODirect_Equations.VEERG_4_2_1_3__2_TotalNitrogenExcretedToPastureRangeAndPaddock(AA218,AA198,AA234)</f>
        <v>214.47375788400842</v>
      </c>
      <c r="AB250" s="52" cm="1">
        <f t="array" ref="AB250">MMS_PastureBeef_Soil_N2ODirect_Equations.VEERG_4_2_1_3__2_TotalNitrogenExcretedToPastureRangeAndPaddock(AB218,AB198,AB234)</f>
        <v>42.567922288540977</v>
      </c>
      <c r="AC250" s="52" cm="1">
        <f t="array" ref="AC250">MMS_PastureBeef_Soil_N2ODirect_Equations.VEERG_4_2_1_3__2_TotalNitrogenExcretedToPastureRangeAndPaddock(AC218,AC198,AC234)</f>
        <v>171.12645843343526</v>
      </c>
      <c r="AD250" s="52" cm="1">
        <f t="array" ref="AD250">MMS_PastureBeef_Soil_N2ODirect_Equations.VEERG_4_2_1_3__2_TotalNitrogenExcretedToPastureRangeAndPaddock(AD218,AD198,AD234)</f>
        <v>171.12645843343526</v>
      </c>
      <c r="AE250" s="52" cm="1">
        <f t="array" ref="AE250">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2024</v>
      </c>
      <c r="V251" s="52" cm="1">
        <f t="array" ref="V251">MMS_PastureBeef_Soil_N2ODirect_Equations.VEERG_4_2_1_3__2_TotalNitrogenExcretedToPastureRangeAndPaddock(V219,V199,V235)</f>
        <v>40.471762216675444</v>
      </c>
      <c r="W251" s="52" cm="1">
        <f t="array" ref="W251">MMS_PastureBeef_Soil_N2ODirect_Equations.VEERG_4_2_1_3__2_TotalNitrogenExcretedToPastureRangeAndPaddock(W219,W199,W235)</f>
        <v>264.39907090247249</v>
      </c>
      <c r="X251" s="52" cm="1">
        <f t="array" ref="X251">MMS_PastureBeef_Soil_N2ODirect_Equations.VEERG_4_2_1_3__2_TotalNitrogenExcretedToPastureRangeAndPaddock(X219,X199,X235)</f>
        <v>33.005696408561263</v>
      </c>
      <c r="Y251" s="52" cm="1">
        <f t="array" ref="Y251">MMS_PastureBeef_Soil_N2ODirect_Equations.VEERG_4_2_1_3__2_TotalNitrogenExcretedToPastureRangeAndPaddock(Y219,Y199,Y235)</f>
        <v>156.9909692666541</v>
      </c>
      <c r="Z251" s="52" cm="1">
        <f t="array" ref="Z251">MMS_PastureBeef_Soil_N2ODirect_Equations.VEERG_4_2_1_3__2_TotalNitrogenExcretedToPastureRangeAndPaddock(Z219,Z199,Z235)</f>
        <v>207.55524956516945</v>
      </c>
      <c r="AA251" s="52" cm="1">
        <f t="array" ref="AA251">MMS_PastureBeef_Soil_N2ODirect_Equations.VEERG_4_2_1_3__2_TotalNitrogenExcretedToPastureRangeAndPaddock(AA219,AA199,AA235)</f>
        <v>207.55524956516945</v>
      </c>
      <c r="AB251" s="52" cm="1">
        <f t="array" ref="AB251">MMS_PastureBeef_Soil_N2ODirect_Equations.VEERG_4_2_1_3__2_TotalNitrogenExcretedToPastureRangeAndPaddock(AB219,AB199,AB235)</f>
        <v>41.19476350503966</v>
      </c>
      <c r="AC251" s="52" cm="1">
        <f t="array" ref="AC251">MMS_PastureBeef_Soil_N2ODirect_Equations.VEERG_4_2_1_3__2_TotalNitrogenExcretedToPastureRangeAndPaddock(AC219,AC199,AC235)</f>
        <v>165.60625009687283</v>
      </c>
      <c r="AD251" s="52" cm="1">
        <f t="array" ref="AD251">MMS_PastureBeef_Soil_N2ODirect_Equations.VEERG_4_2_1_3__2_TotalNitrogenExcretedToPastureRangeAndPaddock(AD219,AD199,AD235)</f>
        <v>165.60625009687283</v>
      </c>
      <c r="AE251" s="52" cm="1">
        <f t="array" ref="AE25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2024</v>
      </c>
      <c r="V252" s="52" cm="1">
        <f t="array" ref="V252">MMS_PastureBeef_Soil_N2ODirect_Equations.VEERG_4_2_1_3__2_TotalNitrogenExcretedToPastureRangeAndPaddock(V220,V200,V236)</f>
        <v>41.820820957231291</v>
      </c>
      <c r="W252" s="52" cm="1">
        <f t="array" ref="W252">MMS_PastureBeef_Soil_N2ODirect_Equations.VEERG_4_2_1_3__2_TotalNitrogenExcretedToPastureRangeAndPaddock(W220,W200,W236)</f>
        <v>273.21237326588823</v>
      </c>
      <c r="X252" s="52" cm="1">
        <f t="array" ref="X252">MMS_PastureBeef_Soil_N2ODirect_Equations.VEERG_4_2_1_3__2_TotalNitrogenExcretedToPastureRangeAndPaddock(X220,X200,X236)</f>
        <v>34.105886288846641</v>
      </c>
      <c r="Y252" s="52" cm="1">
        <f t="array" ref="Y252">MMS_PastureBeef_Soil_N2ODirect_Equations.VEERG_4_2_1_3__2_TotalNitrogenExcretedToPastureRangeAndPaddock(Y220,Y200,Y236)</f>
        <v>162.22400157554256</v>
      </c>
      <c r="Z252" s="52" cm="1">
        <f t="array" ref="Z252">MMS_PastureBeef_Soil_N2ODirect_Equations.VEERG_4_2_1_3__2_TotalNitrogenExcretedToPastureRangeAndPaddock(Z220,Z200,Z236)</f>
        <v>214.47375788400842</v>
      </c>
      <c r="AA252" s="52" cm="1">
        <f t="array" ref="AA252">MMS_PastureBeef_Soil_N2ODirect_Equations.VEERG_4_2_1_3__2_TotalNitrogenExcretedToPastureRangeAndPaddock(AA220,AA200,AA236)</f>
        <v>214.47375788400842</v>
      </c>
      <c r="AB252" s="52" cm="1">
        <f t="array" ref="AB252">MMS_PastureBeef_Soil_N2ODirect_Equations.VEERG_4_2_1_3__2_TotalNitrogenExcretedToPastureRangeAndPaddock(AB220,AB200,AB236)</f>
        <v>42.567922288540977</v>
      </c>
      <c r="AC252" s="52" cm="1">
        <f t="array" ref="AC252">MMS_PastureBeef_Soil_N2ODirect_Equations.VEERG_4_2_1_3__2_TotalNitrogenExcretedToPastureRangeAndPaddock(AC220,AC200,AC236)</f>
        <v>171.12645843343526</v>
      </c>
      <c r="AD252" s="52" cm="1">
        <f t="array" ref="AD252">MMS_PastureBeef_Soil_N2ODirect_Equations.VEERG_4_2_1_3__2_TotalNitrogenExcretedToPastureRangeAndPaddock(AD220,AD200,AD236)</f>
        <v>171.12645843343526</v>
      </c>
      <c r="AE252" s="52" cm="1">
        <f t="array" ref="AE252">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2024</v>
      </c>
      <c r="V253" s="52" cm="1">
        <f t="array" ref="V253">MMS_PastureBeef_Soil_N2ODirect_Equations.VEERG_4_2_1_3__2_TotalNitrogenExcretedToPastureRangeAndPaddock(V221,V201,V237)</f>
        <v>413.18213355318102</v>
      </c>
      <c r="W253" s="52" cm="1">
        <f t="array" ref="W253">MMS_PastureBeef_Soil_N2ODirect_Equations.VEERG_4_2_1_3__2_TotalNitrogenExcretedToPastureRangeAndPaddock(W221,W201,W237)</f>
        <v>942.76024604375755</v>
      </c>
      <c r="X253" s="52" cm="1">
        <f t="array" ref="X253">MMS_PastureBeef_Soil_N2ODirect_Equations.VEERG_4_2_1_3__2_TotalNitrogenExcretedToPastureRangeAndPaddock(X221,X201,X237)</f>
        <v>342.91705590235108</v>
      </c>
      <c r="Y253" s="52" cm="1">
        <f t="array" ref="Y253">MMS_PastureBeef_Soil_N2ODirect_Equations.VEERG_4_2_1_3__2_TotalNitrogenExcretedToPastureRangeAndPaddock(Y221,Y201,Y237)</f>
        <v>559.82295869692348</v>
      </c>
      <c r="Z253" s="52" cm="1">
        <f t="array" ref="Z253">MMS_PastureBeef_Soil_N2ODirect_Equations.VEERG_4_2_1_3__2_TotalNitrogenExcretedToPastureRangeAndPaddock(Z221,Z201,Z237)</f>
        <v>754.06991848471978</v>
      </c>
      <c r="AA253" s="52" cm="1">
        <f t="array" ref="AA253">MMS_PastureBeef_Soil_N2ODirect_Equations.VEERG_4_2_1_3__2_TotalNitrogenExcretedToPastureRangeAndPaddock(AA221,AA201,AA237)</f>
        <v>754.06991848471978</v>
      </c>
      <c r="AB253" s="52" cm="1">
        <f t="array" ref="AB253">MMS_PastureBeef_Soil_N2ODirect_Equations.VEERG_4_2_1_3__2_TotalNitrogenExcretedToPastureRangeAndPaddock(AB221,AB201,AB237)</f>
        <v>371.42949201308153</v>
      </c>
      <c r="AC253" s="52" cm="1">
        <f t="array" ref="AC253">MMS_PastureBeef_Soil_N2ODirect_Equations.VEERG_4_2_1_3__2_TotalNitrogenExcretedToPastureRangeAndPaddock(AC221,AC201,AC237)</f>
        <v>632.73028069278769</v>
      </c>
      <c r="AD253" s="52" cm="1">
        <f t="array" ref="AD253">MMS_PastureBeef_Soil_N2ODirect_Equations.VEERG_4_2_1_3__2_TotalNitrogenExcretedToPastureRangeAndPaddock(AD221,AD201,AD237)</f>
        <v>632.73028069278769</v>
      </c>
      <c r="AE253" s="52" cm="1">
        <f t="array" ref="AE253">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2024</v>
      </c>
      <c r="V254" s="52" cm="1">
        <f t="array" ref="V254">MMS_PastureBeef_Soil_N2ODirect_Equations.VEERG_4_2_1_3__2_TotalNitrogenExcretedToPastureRangeAndPaddock(V222,V202,V238)</f>
        <v>426.95487133828709</v>
      </c>
      <c r="W254" s="52" cm="1">
        <f t="array" ref="W254">MMS_PastureBeef_Soil_N2ODirect_Equations.VEERG_4_2_1_3__2_TotalNitrogenExcretedToPastureRangeAndPaddock(W222,W202,W238)</f>
        <v>974.18558757854953</v>
      </c>
      <c r="X254" s="52" cm="1">
        <f t="array" ref="X254">MMS_PastureBeef_Soil_N2ODirect_Equations.VEERG_4_2_1_3__2_TotalNitrogenExcretedToPastureRangeAndPaddock(X222,X202,X238)</f>
        <v>354.34762443242948</v>
      </c>
      <c r="Y254" s="52" cm="1">
        <f t="array" ref="Y254">MMS_PastureBeef_Soil_N2ODirect_Equations.VEERG_4_2_1_3__2_TotalNitrogenExcretedToPastureRangeAndPaddock(Y222,Y202,Y238)</f>
        <v>578.48372398682091</v>
      </c>
      <c r="Z254" s="52" cm="1">
        <f t="array" ref="Z254">MMS_PastureBeef_Soil_N2ODirect_Equations.VEERG_4_2_1_3__2_TotalNitrogenExcretedToPastureRangeAndPaddock(Z222,Z202,Z238)</f>
        <v>779.20558243421044</v>
      </c>
      <c r="AA254" s="52" cm="1">
        <f t="array" ref="AA254">MMS_PastureBeef_Soil_N2ODirect_Equations.VEERG_4_2_1_3__2_TotalNitrogenExcretedToPastureRangeAndPaddock(AA222,AA202,AA238)</f>
        <v>779.20558243421044</v>
      </c>
      <c r="AB254" s="52" cm="1">
        <f t="array" ref="AB254">MMS_PastureBeef_Soil_N2ODirect_Equations.VEERG_4_2_1_3__2_TotalNitrogenExcretedToPastureRangeAndPaddock(AB222,AB202,AB238)</f>
        <v>383.81047508018423</v>
      </c>
      <c r="AC254" s="52" cm="1">
        <f t="array" ref="AC254">MMS_PastureBeef_Soil_N2ODirect_Equations.VEERG_4_2_1_3__2_TotalNitrogenExcretedToPastureRangeAndPaddock(AC222,AC202,AC238)</f>
        <v>653.82129004921387</v>
      </c>
      <c r="AD254" s="52" cm="1">
        <f t="array" ref="AD254">MMS_PastureBeef_Soil_N2ODirect_Equations.VEERG_4_2_1_3__2_TotalNitrogenExcretedToPastureRangeAndPaddock(AD222,AD202,AD238)</f>
        <v>653.82129004921387</v>
      </c>
      <c r="AE254" s="52" cm="1">
        <f t="array" ref="AE254">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2024</v>
      </c>
      <c r="V255" s="52" cm="1">
        <f t="array" ref="V255">MMS_PastureBeef_Soil_N2ODirect_Equations.VEERG_4_2_1_3__2_TotalNitrogenExcretedToPastureRangeAndPaddock(V223,V203,V239)</f>
        <v>520.24640738844391</v>
      </c>
      <c r="W255" s="52" cm="1">
        <f t="array" ref="W255">MMS_PastureBeef_Soil_N2ODirect_Equations.VEERG_4_2_1_3__2_TotalNitrogenExcretedToPastureRangeAndPaddock(W223,W203,W239)</f>
        <v>974.18558757854953</v>
      </c>
      <c r="X255" s="52" cm="1">
        <f t="array" ref="X255">MMS_PastureBeef_Soil_N2ODirect_Equations.VEERG_4_2_1_3__2_TotalNitrogenExcretedToPastureRangeAndPaddock(X223,X203,X239)</f>
        <v>447.63916048258631</v>
      </c>
      <c r="Y255" s="52" cm="1">
        <f t="array" ref="Y255">MMS_PastureBeef_Soil_N2ODirect_Equations.VEERG_4_2_1_3__2_TotalNitrogenExcretedToPastureRangeAndPaddock(Y223,Y203,Y239)</f>
        <v>640.84537562963749</v>
      </c>
      <c r="Z255" s="52" cm="1">
        <f t="array" ref="Z255">MMS_PastureBeef_Soil_N2ODirect_Equations.VEERG_4_2_1_3__2_TotalNitrogenExcretedToPastureRangeAndPaddock(Z223,Z203,Z239)</f>
        <v>886.7378657506739</v>
      </c>
      <c r="AA255" s="52" cm="1">
        <f t="array" ref="AA255">MMS_PastureBeef_Soil_N2ODirect_Equations.VEERG_4_2_1_3__2_TotalNitrogenExcretedToPastureRangeAndPaddock(AA223,AA203,AA239)</f>
        <v>886.7378657506739</v>
      </c>
      <c r="AB255" s="52" cm="1">
        <f t="array" ref="AB255">MMS_PastureBeef_Soil_N2ODirect_Equations.VEERG_4_2_1_3__2_TotalNitrogenExcretedToPastureRangeAndPaddock(AB223,AB203,AB239)</f>
        <v>477.10201113034105</v>
      </c>
      <c r="AC255" s="52" cm="1">
        <f t="array" ref="AC255">MMS_PastureBeef_Soil_N2ODirect_Equations.VEERG_4_2_1_3__2_TotalNitrogenExcretedToPastureRangeAndPaddock(AC223,AC203,AC239)</f>
        <v>653.82129004921387</v>
      </c>
      <c r="AD255" s="52" cm="1">
        <f t="array" ref="AD255">MMS_PastureBeef_Soil_N2ODirect_Equations.VEERG_4_2_1_3__2_TotalNitrogenExcretedToPastureRangeAndPaddock(AD223,AD203,AD239)</f>
        <v>653.82129004921387</v>
      </c>
      <c r="AE255" s="52" cm="1">
        <f t="array" ref="AE255">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2024</v>
      </c>
      <c r="V256" s="52" cm="1">
        <f t="array" ref="V256">MMS_PastureBeef_Soil_N2ODirect_Equations.VEERG_4_2_1_3__2_TotalNitrogenExcretedToPastureRangeAndPaddock(V224,V204,V240)</f>
        <v>820.61359146483733</v>
      </c>
      <c r="W256" s="52" cm="1">
        <f t="array" ref="W256">MMS_PastureBeef_Soil_N2ODirect_Equations.VEERG_4_2_1_3__2_TotalNitrogenExcretedToPastureRangeAndPaddock(W224,W204,W240)</f>
        <v>1131.2440120269775</v>
      </c>
      <c r="X256" s="52" cm="1">
        <f t="array" ref="X256">MMS_PastureBeef_Soil_N2ODirect_Equations.VEERG_4_2_1_3__2_TotalNitrogenExcretedToPastureRangeAndPaddock(X224,X204,X240)</f>
        <v>652.43851833142526</v>
      </c>
      <c r="Y256" s="52" cm="1">
        <f t="array" ref="Y256">MMS_PastureBeef_Soil_N2ODirect_Equations.VEERG_4_2_1_3__2_TotalNitrogenExcretedToPastureRangeAndPaddock(Y224,Y204,Y240)</f>
        <v>909.49542050972343</v>
      </c>
      <c r="Z256" s="52" cm="1">
        <f t="array" ref="Z256">MMS_PastureBeef_Soil_N2ODirect_Equations.VEERG_4_2_1_3__2_TotalNitrogenExcretedToPastureRangeAndPaddock(Z224,Z204,Z240)</f>
        <v>1036.8013047213371</v>
      </c>
      <c r="AA256" s="52" cm="1">
        <f t="array" ref="AA256">MMS_PastureBeef_Soil_N2ODirect_Equations.VEERG_4_2_1_3__2_TotalNitrogenExcretedToPastureRangeAndPaddock(AA224,AA204,AA240)</f>
        <v>1036.8013047213371</v>
      </c>
      <c r="AB256" s="52" cm="1">
        <f t="array" ref="AB256">MMS_PastureBeef_Soil_N2ODirect_Equations.VEERG_4_2_1_3__2_TotalNitrogenExcretedToPastureRangeAndPaddock(AB224,AB204,AB240)</f>
        <v>734.7897413565089</v>
      </c>
      <c r="AC256" s="52" cm="1">
        <f t="array" ref="AC256">MMS_PastureBeef_Soil_N2ODirect_Equations.VEERG_4_2_1_3__2_TotalNitrogenExcretedToPastureRangeAndPaddock(AC224,AC204,AC240)</f>
        <v>880.40305898985866</v>
      </c>
      <c r="AD256" s="52" cm="1">
        <f t="array" ref="AD256">MMS_PastureBeef_Soil_N2ODirect_Equations.VEERG_4_2_1_3__2_TotalNitrogenExcretedToPastureRangeAndPaddock(AD224,AD204,AD240)</f>
        <v>880.40305898985866</v>
      </c>
      <c r="AE256" s="52" cm="1">
        <f t="array" ref="AE256">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2024</v>
      </c>
      <c r="V257" s="52" cm="1">
        <f t="array" ref="V257">MMS_PastureBeef_Soil_N2ODirect_Equations.VEERG_4_2_1_3__2_TotalNitrogenExcretedToPastureRangeAndPaddock(V225,V205,V241)</f>
        <v>847.96737784699849</v>
      </c>
      <c r="W257" s="52" cm="1">
        <f t="array" ref="W257">MMS_PastureBeef_Soil_N2ODirect_Equations.VEERG_4_2_1_3__2_TotalNitrogenExcretedToPastureRangeAndPaddock(W225,W205,W241)</f>
        <v>1168.95214576121</v>
      </c>
      <c r="X257" s="52" cm="1">
        <f t="array" ref="X257">MMS_PastureBeef_Soil_N2ODirect_Equations.VEERG_4_2_1_3__2_TotalNitrogenExcretedToPastureRangeAndPaddock(X225,X205,X241)</f>
        <v>674.18646894247274</v>
      </c>
      <c r="Y257" s="52" cm="1">
        <f t="array" ref="Y257">MMS_PastureBeef_Soil_N2ODirect_Equations.VEERG_4_2_1_3__2_TotalNitrogenExcretedToPastureRangeAndPaddock(Y225,Y205,Y241)</f>
        <v>939.81193452671414</v>
      </c>
      <c r="Z257" s="52" cm="1">
        <f t="array" ref="Z257">MMS_PastureBeef_Soil_N2ODirect_Equations.VEERG_4_2_1_3__2_TotalNitrogenExcretedToPastureRangeAndPaddock(Z225,Z205,Z241)</f>
        <v>1071.3613482120484</v>
      </c>
      <c r="AA257" s="52" cm="1">
        <f t="array" ref="AA257">MMS_PastureBeef_Soil_N2ODirect_Equations.VEERG_4_2_1_3__2_TotalNitrogenExcretedToPastureRangeAndPaddock(AA225,AA205,AA241)</f>
        <v>1071.3613482120484</v>
      </c>
      <c r="AB257" s="52" cm="1">
        <f t="array" ref="AB257">MMS_PastureBeef_Soil_N2ODirect_Equations.VEERG_4_2_1_3__2_TotalNitrogenExcretedToPastureRangeAndPaddock(AB225,AB205,AB241)</f>
        <v>759.2827327350592</v>
      </c>
      <c r="AC257" s="52" cm="1">
        <f t="array" ref="AC257">MMS_PastureBeef_Soil_N2ODirect_Equations.VEERG_4_2_1_3__2_TotalNitrogenExcretedToPastureRangeAndPaddock(AC225,AC205,AC241)</f>
        <v>909.74982762285401</v>
      </c>
      <c r="AD257" s="52" cm="1">
        <f t="array" ref="AD257">MMS_PastureBeef_Soil_N2ODirect_Equations.VEERG_4_2_1_3__2_TotalNitrogenExcretedToPastureRangeAndPaddock(AD225,AD205,AD241)</f>
        <v>909.74982762285401</v>
      </c>
      <c r="AE257" s="52" cm="1">
        <f t="array" ref="AE257">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2024</v>
      </c>
      <c r="V258" s="52" cm="1">
        <f t="array" ref="V258">MMS_PastureBeef_Soil_N2ODirect_Equations.VEERG_4_2_1_3__2_TotalNitrogenExcretedToPastureRangeAndPaddock(V226,V206,V242)</f>
        <v>790.5195475776901</v>
      </c>
      <c r="W258" s="52" cm="1">
        <f t="array" ref="W258">MMS_PastureBeef_Soil_N2ODirect_Equations.VEERG_4_2_1_3__2_TotalNitrogenExcretedToPastureRangeAndPaddock(W226,W206,W242)</f>
        <v>1131.2440120269775</v>
      </c>
      <c r="X258" s="52" cm="1">
        <f t="array" ref="X258">MMS_PastureBeef_Soil_N2ODirect_Equations.VEERG_4_2_1_3__2_TotalNitrogenExcretedToPastureRangeAndPaddock(X226,X206,X242)</f>
        <v>622.34447444427781</v>
      </c>
      <c r="Y258" s="52" cm="1">
        <f t="array" ref="Y258">MMS_PastureBeef_Soil_N2ODirect_Equations.VEERG_4_2_1_3__2_TotalNitrogenExcretedToPastureRangeAndPaddock(Y226,Y206,Y242)</f>
        <v>807.10700542886923</v>
      </c>
      <c r="Z258" s="52" cm="1">
        <f t="array" ref="Z258">MMS_PastureBeef_Soil_N2ODirect_Equations.VEERG_4_2_1_3__2_TotalNitrogenExcretedToPastureRangeAndPaddock(Z226,Z206,Z242)</f>
        <v>920.67343317274879</v>
      </c>
      <c r="AA258" s="52" cm="1">
        <f t="array" ref="AA258">MMS_PastureBeef_Soil_N2ODirect_Equations.VEERG_4_2_1_3__2_TotalNitrogenExcretedToPastureRangeAndPaddock(AA226,AA206,AA242)</f>
        <v>920.67343317274879</v>
      </c>
      <c r="AB258" s="52" cm="1">
        <f t="array" ref="AB258">MMS_PastureBeef_Soil_N2ODirect_Equations.VEERG_4_2_1_3__2_TotalNitrogenExcretedToPastureRangeAndPaddock(AB226,AB206,AB242)</f>
        <v>704.69569746936168</v>
      </c>
      <c r="AC258" s="52" cm="1">
        <f t="array" ref="AC258">MMS_PastureBeef_Soil_N2ODirect_Equations.VEERG_4_2_1_3__2_TotalNitrogenExcretedToPastureRangeAndPaddock(AC226,AC206,AC242)</f>
        <v>880.40305898985866</v>
      </c>
      <c r="AD258" s="52" cm="1">
        <f t="array" ref="AD258">MMS_PastureBeef_Soil_N2ODirect_Equations.VEERG_4_2_1_3__2_TotalNitrogenExcretedToPastureRangeAndPaddock(AD226,AD206,AD242)</f>
        <v>880.40305898985866</v>
      </c>
      <c r="AE258" s="52" cm="1">
        <f t="array" ref="AE258">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2024</v>
      </c>
      <c r="V259" s="52" cm="1">
        <f t="array" ref="V259">MMS_PastureBeef_Soil_N2ODirect_Equations.VEERG_4_2_1_3__2_TotalNitrogenExcretedToPastureRangeAndPaddock(V227,V207,V243)</f>
        <v>351.34755115439344</v>
      </c>
      <c r="W259" s="52" cm="1">
        <f t="array" ref="W259">MMS_PastureBeef_Soil_N2ODirect_Equations.VEERG_4_2_1_3__2_TotalNitrogenExcretedToPastureRangeAndPaddock(W227,W207,W243)</f>
        <v>421.65805292524783</v>
      </c>
      <c r="X259" s="52" cm="1">
        <f t="array" ref="X259">MMS_PastureBeef_Soil_N2ODirect_Equations.VEERG_4_2_1_3__2_TotalNitrogenExcretedToPastureRangeAndPaddock(X227,X207,X243)</f>
        <v>303.40854404382895</v>
      </c>
      <c r="Y259" s="52" cm="1">
        <f t="array" ref="Y259">MMS_PastureBeef_Soil_N2ODirect_Equations.VEERG_4_2_1_3__2_TotalNitrogenExcretedToPastureRangeAndPaddock(Y227,Y207,Y243)</f>
        <v>313.21127433214627</v>
      </c>
      <c r="Z259" s="52" cm="1">
        <f t="array" ref="Z259">MMS_PastureBeef_Soil_N2ODirect_Equations.VEERG_4_2_1_3__2_TotalNitrogenExcretedToPastureRangeAndPaddock(Z227,Z207,Z243)</f>
        <v>329.00458281781619</v>
      </c>
      <c r="AA259" s="52" cm="1">
        <f t="array" ref="AA259">MMS_PastureBeef_Soil_N2ODirect_Equations.VEERG_4_2_1_3__2_TotalNitrogenExcretedToPastureRangeAndPaddock(AA227,AA207,AA243)</f>
        <v>329.00458281781619</v>
      </c>
      <c r="AB259" s="52" cm="1">
        <f t="array" ref="AB259">MMS_PastureBeef_Soil_N2ODirect_Equations.VEERG_4_2_1_3__2_TotalNitrogenExcretedToPastureRangeAndPaddock(AB227,AB207,AB243)</f>
        <v>327.63342507900626</v>
      </c>
      <c r="AC259" s="52" cm="1">
        <f t="array" ref="AC259">MMS_PastureBeef_Soil_N2ODirect_Equations.VEERG_4_2_1_3__2_TotalNitrogenExcretedToPastureRangeAndPaddock(AC227,AC207,AC243)</f>
        <v>326.89236244194075</v>
      </c>
      <c r="AD259" s="52" cm="1">
        <f t="array" ref="AD259">MMS_PastureBeef_Soil_N2ODirect_Equations.VEERG_4_2_1_3__2_TotalNitrogenExcretedToPastureRangeAndPaddock(AD227,AD207,AD243)</f>
        <v>326.89236244194075</v>
      </c>
      <c r="AE259" s="52" cm="1">
        <f t="array" ref="AE259">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3" t="s">
        <v>301</v>
      </c>
      <c r="V261" s="45">
        <f>SUM(V248:AE259)</f>
        <v>60007.816333296949</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101" t="s">
        <v>110</v>
      </c>
      <c r="V267" s="102" cm="1">
        <f t="array" ref="V267">MMS_PastureBeef_Soil_N2ODirect_Equations.VEERG_4_2_1_3__1_DirectNitrousOxideEmissionsOnPasture($V$261,$H$225,$H$226)</f>
        <v>0.18859599419036183</v>
      </c>
      <c r="W267" s="103"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4"/>
      <c r="X269" s="52">
        <f>V267</f>
        <v>0.18859599419036183</v>
      </c>
    </row>
    <row r="270" spans="20:35" ht="20.100000000000001" customHeight="1" x14ac:dyDescent="0.25">
      <c r="U270" s="57" t="str">
        <v>GWPN2O</v>
      </c>
      <c r="V270" s="58" t="str">
        <v>Global warming potential for nitrous oxide (t CO2-e / t N2O)</v>
      </c>
      <c r="W270" s="104"/>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104</v>
      </c>
      <c r="V272" s="45" cm="1">
        <f t="array" ref="V272">Common_Equations.Common_ConvertN2OToCO2e(X269,X270)</f>
        <v>49.977938460445884</v>
      </c>
      <c r="W272" s="105"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T165"/>
  <sheetViews>
    <sheetView showGridLines="0" topLeftCell="A24" workbookViewId="0">
      <selection activeCell="G8" sqref="G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4.7109375" style="1" customWidth="1"/>
    <col min="10" max="10" width="4.7109375" customWidth="1"/>
    <col min="11" max="11" width="4.7109375" style="1" customWidth="1"/>
    <col min="12" max="19" width="30.7109375" style="1" customWidth="1"/>
    <col min="20" max="20" width="4.7109375" style="1" customWidth="1"/>
  </cols>
  <sheetData>
    <row r="1" spans="1:20" s="8" customFormat="1" ht="30" customHeight="1" x14ac:dyDescent="0.35">
      <c r="A1" s="8" t="e" vm="1">
        <v>#VALUE!</v>
      </c>
      <c r="C1" s="8" t="s">
        <v>307</v>
      </c>
    </row>
    <row r="2" spans="1:20" s="9" customFormat="1" ht="20.100000000000001" customHeight="1" x14ac:dyDescent="0.25"/>
    <row r="3" spans="1:20" ht="20.100000000000001" customHeight="1" x14ac:dyDescent="0.25">
      <c r="A3" s="17" t="str">
        <f>HYPERLINK("#'Home'!A1", "Home")</f>
        <v>Home</v>
      </c>
      <c r="C3" s="4"/>
      <c r="D3" s="4" t="s">
        <v>108</v>
      </c>
      <c r="E3" s="4"/>
      <c r="F3" s="4"/>
      <c r="G3" s="4"/>
      <c r="H3" s="4"/>
      <c r="I3" s="4"/>
      <c r="K3" s="4"/>
      <c r="L3" s="4" t="s">
        <v>109</v>
      </c>
      <c r="M3" s="4"/>
      <c r="N3" s="4"/>
      <c r="O3" s="4"/>
      <c r="P3" s="4"/>
      <c r="Q3" s="4"/>
      <c r="R3" s="4"/>
      <c r="S3" s="4"/>
      <c r="T3" s="4"/>
    </row>
    <row r="4" spans="1:20" ht="20.100000000000001" customHeight="1" x14ac:dyDescent="0.25">
      <c r="A4" s="17" t="str">
        <f>HYPERLINK("#'Results'!A1", "Results")</f>
        <v>Results</v>
      </c>
    </row>
    <row r="5" spans="1:20" ht="20.100000000000001" customHeight="1" x14ac:dyDescent="0.25">
      <c r="A5" s="16"/>
      <c r="D5" s="6" t="str" cm="1">
        <f t="array" ref="D5">MMS_PastureBeef_Soil_AtmosphericDeposition_Equations.VEERG_4_2_1_5__2_MassOfNitrogenVolatilisedOnPasture_Title()</f>
        <v>Mass of nitrogen volatilised</v>
      </c>
    </row>
    <row r="6" spans="1:20" ht="20.100000000000001" customHeight="1" x14ac:dyDescent="0.25">
      <c r="A6" s="20" t="s">
        <v>3</v>
      </c>
      <c r="D6" s="5" t="str" cm="1">
        <f t="array" ref="D6">MMS_PastureBeef_Soil_AtmosphericDeposition_Equations.VEERG_4_2_1_5__2_MassOfNitrogenVolatilisedOnPasture_Source()</f>
        <v>VEERG 2026: 4.2.1.5, Equation (2)</v>
      </c>
    </row>
    <row r="7" spans="1:20" ht="20.100000000000001" customHeight="1" x14ac:dyDescent="0.25">
      <c r="A7" s="17" t="str">
        <f>HYPERLINK("#'Input - Site'!A1", "Site")</f>
        <v>Site</v>
      </c>
      <c r="D7" s="13" t="s">
        <v>27</v>
      </c>
      <c r="E7" s="13" t="str" cm="1">
        <f t="array" aca="1" ref="E7" ca="1">Common_InputFunctions.Utility_DisplayFunctionName(E16)</f>
        <v>=MMS_PastureBeef_Soil_AtmosphericDeposition_Equations.VEERG_4_2_1_5__2_MassOfNitrogenVolatilisedOnPasture</v>
      </c>
    </row>
    <row r="8" spans="1:20" ht="20.100000000000001" customHeight="1" x14ac:dyDescent="0.25">
      <c r="A8" s="17" t="str">
        <f>HYPERLINK("#'Input - Pasture Beef'!A1", "Pasture Beef")</f>
        <v>Pasture Beef</v>
      </c>
    </row>
    <row r="9" spans="1:20" ht="20.100000000000001" customHeight="1" x14ac:dyDescent="0.25">
      <c r="A9" s="17"/>
    </row>
    <row r="10" spans="1:20" ht="20.100000000000001" customHeight="1" x14ac:dyDescent="0.25">
      <c r="A10" s="19" t="s">
        <v>77</v>
      </c>
      <c r="D10" s="53" t="s">
        <v>30</v>
      </c>
      <c r="E10" s="1" t="str" cm="1">
        <f t="array" ref="E10">MMS_PastureBeef_Soil_AtmosphericDeposition_Equations.VEERG_4_2_1_5__2_MassOfNitrogenVolatilisedOnPasture_Variable()</f>
        <v>M_vol</v>
      </c>
    </row>
    <row r="11" spans="1:20" ht="20.100000000000001" customHeight="1" x14ac:dyDescent="0.25">
      <c r="A11" s="17" t="str">
        <f>HYPERLINK("#'4.2.1.1-2 Methane'!A1", "4.2.1.1-2 Methane")</f>
        <v>4.2.1.1-2 Methane</v>
      </c>
      <c r="D11" s="53" t="s">
        <v>20</v>
      </c>
      <c r="E11" s="54" t="str" cm="1">
        <f t="array" ref="E11">MMS_PastureBeef_Soil_AtmosphericDeposition_Equations.VEERG_4_2_1_5__2_MassOfNitrogenVolatilisedOnPasture_Unit()</f>
        <v>kg N</v>
      </c>
    </row>
    <row r="12" spans="1:20" ht="20.100000000000001" customHeight="1" x14ac:dyDescent="0.25">
      <c r="A12" s="17" t="str">
        <f>HYPERLINK("#'4.2.1.3-4 Soil direct N2O'!A1", "4.2.1.3-4 Soil direct N2O")</f>
        <v>4.2.1.3-4 Soil direct N2O</v>
      </c>
    </row>
    <row r="13" spans="1:20" ht="20.100000000000001" customHeight="1" x14ac:dyDescent="0.25">
      <c r="A13" s="17" t="str">
        <f>HYPERLINK("#'4.2.1.5-6 Soil Atmos Dep'!A1", "4.2.1.5-6 Soil atm. deposition")</f>
        <v>4.2.1.5-6 Soil atm. deposition</v>
      </c>
      <c r="D13" s="57" t="str" cm="1">
        <f t="array" ref="D13:E14">MMS_PastureBeef_Soil_AtmosphericDeposition_Equations.VEERG_4_2_1_5__2_MassOfNitrogenVolatilisedOnPasture_Arguments()</f>
        <v>AE</v>
      </c>
      <c r="E13" s="58" t="str">
        <v>total mass of nitrogen excreted on PRP for beef cattle (kg N)</v>
      </c>
      <c r="F13" s="100"/>
      <c r="G13" s="59"/>
      <c r="H13" s="57">
        <f>'4.2.1.3-4 Soil direct N20'!$E$212</f>
        <v>67219.230344332333</v>
      </c>
      <c r="L13" s="57" t="str" cm="1">
        <f t="array" ref="L13:M14">MMS_PastureBeef_Soil_AtmosphericDeposition_Equations.VEERG_4_2_1_5__2_MassOfNitrogenVolatilisedOnPasture_Arguments()</f>
        <v>AE</v>
      </c>
      <c r="M13" s="58" t="str">
        <v>total mass of nitrogen excreted on PRP for beef cattle (kg N)</v>
      </c>
      <c r="N13" s="100"/>
      <c r="O13" s="59"/>
      <c r="P13" s="57">
        <f>'4.2.1.3-4 Soil direct N20'!$V$261</f>
        <v>60007.816333296949</v>
      </c>
    </row>
    <row r="14" spans="1:20" ht="20.100000000000001" customHeight="1" x14ac:dyDescent="0.25">
      <c r="A14" s="17" t="str">
        <f>HYPERLINK("#'4.2.1.7-8 Soil leach runoff'!A1", "4.2.1.7-8 Soil leach &amp; runoff")</f>
        <v>4.2.1.7-8 Soil leach &amp; runoff</v>
      </c>
      <c r="D14" s="57" t="str">
        <v>FracGASMsoil</v>
      </c>
      <c r="E14" s="58" t="str">
        <v>fraction of nitrogen volatilised from urine and faeces deposited on pasture ((kg NH3-N + NOx-N)/kg N)</v>
      </c>
      <c r="F14" s="100"/>
      <c r="G14" s="59"/>
      <c r="H14" s="57">
        <f>'Constants - Pature Beef'!$D$434</f>
        <v>0.21</v>
      </c>
      <c r="L14" s="57" t="str">
        <v>FracGASMsoil</v>
      </c>
      <c r="M14" s="58" t="str">
        <v>fraction of nitrogen volatilised from urine and faeces deposited on pasture ((kg NH3-N + NOx-N)/kg N)</v>
      </c>
      <c r="N14" s="100"/>
      <c r="O14" s="59"/>
      <c r="P14" s="57"/>
    </row>
    <row r="15" spans="1:20" ht="20.100000000000001" customHeight="1" x14ac:dyDescent="0.25">
      <c r="A15" s="17"/>
    </row>
    <row r="16" spans="1:20" ht="20.100000000000001" customHeight="1" x14ac:dyDescent="0.25">
      <c r="A16" s="18" t="s">
        <v>4</v>
      </c>
      <c r="D16" s="113" t="s">
        <v>320</v>
      </c>
      <c r="E16" s="45" cm="1">
        <f t="array" ref="E16">MMS_PastureBeef_Soil_AtmosphericDeposition_Equations.VEERG_4_2_1_5__2_MassOfNitrogenVolatilisedOnPasture(H13,H14)</f>
        <v>14116.038372309789</v>
      </c>
      <c r="F16" s="105" t="str">
        <f>E11</f>
        <v>kg N</v>
      </c>
      <c r="J16" s="56"/>
      <c r="L16" s="113" t="s">
        <v>320</v>
      </c>
      <c r="M16" s="45" cm="1">
        <f t="array" ref="M16">MMS_PastureBeef_Soil_AtmosphericDeposition_Equations.VEERG_4_2_1_5__2_MassOfNitrogenVolatilisedOnPasture(P13,$H$14)</f>
        <v>12601.641429992358</v>
      </c>
      <c r="N16" s="105">
        <f>M11</f>
        <v>0</v>
      </c>
    </row>
    <row r="17" spans="1:20" ht="20.100000000000001" customHeight="1" x14ac:dyDescent="0.25">
      <c r="A17" s="17" t="str">
        <f>HYPERLINK("#'Constants - Pasture Beef'!A1", "Constants - Pasture Beef")</f>
        <v>Constants - Pasture Beef</v>
      </c>
      <c r="J17" s="56"/>
    </row>
    <row r="18" spans="1:20" ht="20.100000000000001" customHeight="1" x14ac:dyDescent="0.25">
      <c r="A18" s="17" t="str">
        <f>HYPERLINK("#'Constants - Livestock'!A1", "Constants - Livestock")</f>
        <v>Constants - Livestock</v>
      </c>
      <c r="J18" s="56"/>
    </row>
    <row r="19" spans="1:20" ht="20.100000000000001" customHeight="1" x14ac:dyDescent="0.25">
      <c r="A19" s="17" t="str">
        <f>HYPERLINK("#'Constants - Common'!A1", "Constants - Common")</f>
        <v>Constants - Common</v>
      </c>
      <c r="C19" s="45"/>
      <c r="D19" s="45"/>
      <c r="E19" s="45"/>
      <c r="F19" s="45"/>
      <c r="G19" s="45"/>
      <c r="H19" s="45"/>
      <c r="I19" s="45"/>
      <c r="J19" s="56"/>
      <c r="K19" s="45"/>
      <c r="L19" s="45"/>
      <c r="M19" s="45"/>
      <c r="N19" s="45"/>
      <c r="O19" s="45"/>
      <c r="P19" s="45"/>
      <c r="Q19" s="45"/>
      <c r="R19" s="45"/>
      <c r="S19" s="45"/>
      <c r="T19" s="45"/>
    </row>
    <row r="20" spans="1:20"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0" ht="20.100000000000001" customHeight="1" x14ac:dyDescent="0.25">
      <c r="D21" s="5" t="str" cm="1">
        <f t="array" ref="D21">MMS_PastureBeef_Soil_AtmosphericDeposition_Equations.VEERG_4_2_1_5__1_AtmosphericDepositionEmissionsFromUrineAndDungOnPasture_Source()</f>
        <v>VEERG 2026: 4.2.1.5, Equation (1)</v>
      </c>
    </row>
    <row r="22" spans="1:20" ht="20.100000000000001" customHeight="1" x14ac:dyDescent="0.25">
      <c r="A22" s="17"/>
      <c r="D22" s="13" t="s">
        <v>27</v>
      </c>
      <c r="E22" s="13" t="str" cm="1">
        <f t="array" aca="1" ref="E22" ca="1">Common_InputFunctions.Utility_DisplayFunctionName($E$35)</f>
        <v>=MMS_PastureBeef_Soil_AtmosphericDeposition_Equations.VEERG_4_2_1_5__1_AtmosphericDepositionEmissionsFromUrineAndDungOnPasture</v>
      </c>
    </row>
    <row r="23" spans="1:20" ht="20.100000000000001" customHeight="1" x14ac:dyDescent="0.25">
      <c r="A23" s="17"/>
    </row>
    <row r="24" spans="1:20" ht="20.100000000000001" customHeight="1" x14ac:dyDescent="0.25">
      <c r="A24" s="17"/>
    </row>
    <row r="25" spans="1:20" ht="20.100000000000001" customHeight="1" x14ac:dyDescent="0.25">
      <c r="D25" s="53" t="s">
        <v>30</v>
      </c>
      <c r="E25" s="1" t="str" cm="1">
        <f t="array" ref="E25">MMS_PastureBeef_Soil_AtmosphericDeposition_Equations.VEERG_4_2_1_5__1_AtmosphericDepositionEmissionsFromUrineAndDungOnPasture_Variable()</f>
        <v>E_N2Oad</v>
      </c>
    </row>
    <row r="26" spans="1:20" ht="20.100000000000001" customHeight="1" x14ac:dyDescent="0.25">
      <c r="D26" s="53" t="s">
        <v>20</v>
      </c>
      <c r="E26" s="54" t="str" cm="1">
        <f t="array" ref="E26">MMS_PastureBeef_Soil_AtmosphericDeposition_Equations.VEERG_4_2_1_5__1_AtmosphericDepositionEmissionsFromUrineAndDungOnPasture_Unit()</f>
        <v>t N2O</v>
      </c>
    </row>
    <row r="27" spans="1:20" ht="20.100000000000001" customHeight="1" x14ac:dyDescent="0.25"/>
    <row r="28" spans="1:20" ht="20.100000000000001" customHeight="1" x14ac:dyDescent="0.25">
      <c r="D28" s="57" t="str" cm="1">
        <f t="array" ref="D28:E33">MMS_PastureBeef_Soil_AtmosphericDeposition_Equations.VEERG_4_2_1_5__1_AtmosphericDepositionEmissionsFromUrineAndDungOnPasture_Arguments()</f>
        <v>M_vol</v>
      </c>
      <c r="E28" s="58" t="str">
        <v>mass of nitrogen volatilised from urine and faeces deposited on pasture (kg N)</v>
      </c>
      <c r="F28" s="100"/>
      <c r="G28" s="59"/>
      <c r="H28" s="57">
        <f>E16</f>
        <v>14116.038372309789</v>
      </c>
      <c r="L28" s="57" t="str" cm="1">
        <f t="array" ref="L28:M33">MMS_PastureBeef_Soil_AtmosphericDeposition_Equations.VEERG_4_2_1_5__1_AtmosphericDepositionEmissionsFromUrineAndDungOnPasture_Arguments()</f>
        <v>M_vol</v>
      </c>
      <c r="M28" s="58" t="str">
        <v>mass of nitrogen volatilised from urine and faeces deposited on pasture (kg N)</v>
      </c>
      <c r="N28" s="100"/>
      <c r="O28" s="59"/>
      <c r="P28" s="57">
        <f>M16</f>
        <v>12601.641429992358</v>
      </c>
    </row>
    <row r="29" spans="1:20" ht="20.100000000000001" customHeight="1" x14ac:dyDescent="0.25">
      <c r="D29" s="57" t="str">
        <v>EF_N2O</v>
      </c>
      <c r="E29" s="58" t="str">
        <v>nitrous oxide emission factor for atmospheric deposition (kg N2O-N/kg N)</v>
      </c>
      <c r="F29" s="100"/>
      <c r="G29" s="59"/>
      <c r="H29" s="57">
        <f>Common_InputFunctions.Utility_LookupN2OEFFromProdIrrigationRainfall($H$31,$H$32,$H$33,Table_SourceData_Common_EFN2O[Production system only],Table_SourceData_Common_EFN2O[Irrigation method],Table_SourceData_Common_EFN2O[Rainfall zone],Table_SourceData_Common_EFN2O[EFN2O])</f>
        <v>1.8E-3</v>
      </c>
      <c r="L29" s="57" t="str">
        <v>EF_N2O</v>
      </c>
      <c r="M29" s="58" t="str">
        <v>nitrous oxide emission factor for atmospheric deposition (kg N2O-N/kg N)</v>
      </c>
      <c r="N29" s="100"/>
      <c r="O29" s="59"/>
      <c r="P29" s="57"/>
    </row>
    <row r="30" spans="1:20" ht="20.100000000000001" customHeight="1" x14ac:dyDescent="0.25">
      <c r="D30" s="57" t="str">
        <v>C_N2O</v>
      </c>
      <c r="E30" s="58" t="str">
        <v>factor to convert elemental mass of N2O to molecular mass</v>
      </c>
      <c r="F30" s="100"/>
      <c r="G30" s="59"/>
      <c r="H30" s="57">
        <f>Common_InputFunctions.Utility_LookupValueInTableNumber("N2O",Table_GasToMolecularConversionFactor[Gas],Table_GasToMolecularConversionFactor[Conversion factor combined])</f>
        <v>1.5714285714285714</v>
      </c>
      <c r="L30" s="57" t="str">
        <v>C_N2O</v>
      </c>
      <c r="M30" s="58" t="str">
        <v>factor to convert elemental mass of N2O to molecular mass</v>
      </c>
      <c r="N30" s="100"/>
      <c r="O30" s="59"/>
      <c r="P30" s="57"/>
    </row>
    <row r="31" spans="1:20" ht="20.100000000000001" customHeight="1" x14ac:dyDescent="0.25">
      <c r="D31" s="57" t="str">
        <v>j</v>
      </c>
      <c r="E31" s="58" t="str">
        <v>production system</v>
      </c>
      <c r="F31" s="100"/>
      <c r="G31" s="59"/>
      <c r="H31" s="57" t="str">
        <f>'Input - Pasture Beef'!$E$183</f>
        <v>Pasture</v>
      </c>
      <c r="L31" s="57" t="str">
        <v>j</v>
      </c>
      <c r="M31" s="58" t="str">
        <v>production system</v>
      </c>
      <c r="N31" s="100"/>
      <c r="O31" s="59"/>
      <c r="P31" s="57"/>
    </row>
    <row r="32" spans="1:20" ht="20.100000000000001" customHeight="1" x14ac:dyDescent="0.25">
      <c r="D32" s="57" t="str">
        <v>i</v>
      </c>
      <c r="E32" s="58" t="str">
        <v>irrigation method</v>
      </c>
      <c r="F32" s="100"/>
      <c r="G32" s="59"/>
      <c r="H32" s="57" t="str">
        <f>'Input - Pasture Beef'!$E$184</f>
        <v>Not irrigated</v>
      </c>
      <c r="L32" s="57" t="str">
        <v>i</v>
      </c>
      <c r="M32" s="58" t="str">
        <v>irrigation method</v>
      </c>
      <c r="N32" s="100"/>
      <c r="O32" s="59"/>
      <c r="P32" s="57"/>
    </row>
    <row r="33" spans="4:16" ht="20.100000000000001" customHeight="1" x14ac:dyDescent="0.25">
      <c r="D33" s="57" t="str">
        <v>r</v>
      </c>
      <c r="E33" s="58" t="str">
        <v>rainfall zone</v>
      </c>
      <c r="F33" s="100"/>
      <c r="G33" s="59"/>
      <c r="H33" s="57" t="str">
        <f>'Input - Site'!$E$30</f>
        <v>High rainfall</v>
      </c>
      <c r="L33" s="57" t="str">
        <v>r</v>
      </c>
      <c r="M33" s="58" t="str">
        <v>rainfall zone</v>
      </c>
      <c r="N33" s="100"/>
      <c r="O33" s="59"/>
      <c r="P33" s="57"/>
    </row>
    <row r="34" spans="4:16" ht="20.100000000000001" customHeight="1" x14ac:dyDescent="0.25"/>
    <row r="35" spans="4:16" ht="20.100000000000001" customHeight="1" x14ac:dyDescent="0.25">
      <c r="D35" s="113" t="s">
        <v>323</v>
      </c>
      <c r="E35" s="45" cm="1">
        <f t="array" ref="E35">MMS_PastureBeef_Soil_AtmosphericDeposition_Equations.VEERG_4_2_1_5__1_AtmosphericDepositionEmissionsFromUrineAndDungOnPasture(H28,H29,H30)</f>
        <v>3.9928222824533406E-2</v>
      </c>
      <c r="F35" s="105" t="str">
        <f>$E$26</f>
        <v>t N2O</v>
      </c>
      <c r="L35" s="113" t="s">
        <v>323</v>
      </c>
      <c r="M35" s="45" cm="1">
        <f t="array" ref="M35">MMS_PastureBeef_Soil_AtmosphericDeposition_Equations.VEERG_4_2_1_5__1_AtmosphericDepositionEmissionsFromUrineAndDungOnPasture(P28,H29,H30)</f>
        <v>3.5644642901978378E-2</v>
      </c>
      <c r="N35" s="105" t="str">
        <f>$E$26</f>
        <v>t N2O</v>
      </c>
    </row>
    <row r="36" spans="4:16" ht="20.100000000000001" customHeight="1" x14ac:dyDescent="0.25"/>
    <row r="37" spans="4:16" ht="20.100000000000001" customHeight="1" x14ac:dyDescent="0.25">
      <c r="D37" s="57" t="str" cm="1">
        <f t="array" ref="D37:E38">Common_Equations.Common_ConvertN2OToCO2e_Arguments()</f>
        <v>EN2O</v>
      </c>
      <c r="E37" s="58" t="str">
        <v>Nitrous oxide emissions (t N2O)</v>
      </c>
      <c r="F37" s="104"/>
      <c r="G37" s="52">
        <f>E35</f>
        <v>3.9928222824533406E-2</v>
      </c>
      <c r="L37" s="57" t="str" cm="1">
        <f t="array" ref="L37:M38">Common_Equations.Common_ConvertN2OToCO2e_Arguments()</f>
        <v>EN2O</v>
      </c>
      <c r="M37" s="58" t="str">
        <v>Nitrous oxide emissions (t N2O)</v>
      </c>
      <c r="N37" s="104"/>
      <c r="O37" s="52">
        <f>M35</f>
        <v>3.5644642901978378E-2</v>
      </c>
    </row>
    <row r="38" spans="4:16" ht="20.100000000000001" customHeight="1" x14ac:dyDescent="0.25">
      <c r="D38" s="57" t="str">
        <v>GWPN2O</v>
      </c>
      <c r="E38" s="58" t="str">
        <v>Global warming potential for nitrous oxide (t CO2-e / t N2O)</v>
      </c>
      <c r="F38" s="104"/>
      <c r="G38" s="52">
        <f>Common_InputFunctions.Utility_LookupValueInTableNumber("N2O",Table_GWPData[Gas],Table_GWPData[CO2-e factor])</f>
        <v>265</v>
      </c>
      <c r="L38" s="57" t="str">
        <v>GWPN2O</v>
      </c>
      <c r="M38" s="58" t="str">
        <v>Global warming potential for nitrous oxide (t CO2-e / t N2O)</v>
      </c>
      <c r="N38" s="104"/>
      <c r="O38" s="52">
        <f>Common_InputFunctions.Utility_LookupValueInTableNumber("N2O",Table_GWPData[Gas],Table_GWPData[CO2-e factor])</f>
        <v>265</v>
      </c>
    </row>
    <row r="39" spans="4:16" ht="20.100000000000001" customHeight="1" x14ac:dyDescent="0.25"/>
    <row r="40" spans="4:16" ht="20.100000000000001" customHeight="1" x14ac:dyDescent="0.25">
      <c r="D40" s="45" t="s">
        <v>104</v>
      </c>
      <c r="E40" s="45" cm="1">
        <f t="array" ref="E40">Common_Equations.Common_ConvertN2OToCO2e(G37,G38)</f>
        <v>10.580979048501353</v>
      </c>
      <c r="F40" s="105" t="str" cm="1">
        <f t="array" ref="F40">Common_Equations.Common_ConvertN2OToCO2e_Unit()</f>
        <v>t CO2e</v>
      </c>
      <c r="L40" s="45" t="s">
        <v>104</v>
      </c>
      <c r="M40" s="45" cm="1">
        <f t="array" ref="M40">Common_Equations.Common_ConvertN2OToCO2e(O37,O38)</f>
        <v>9.4458303690242698</v>
      </c>
      <c r="N40" s="105" t="str" cm="1">
        <f t="array" ref="N40">Common_Equations.Common_ConvertN2OToCO2e_Unit()</f>
        <v>t CO2e</v>
      </c>
    </row>
    <row r="41" spans="4:16" ht="20.100000000000001" customHeight="1" x14ac:dyDescent="0.25"/>
    <row r="42" spans="4:16" ht="20.100000000000001" customHeight="1" x14ac:dyDescent="0.25"/>
    <row r="43" spans="4:16" ht="20.100000000000001" customHeight="1" x14ac:dyDescent="0.25"/>
    <row r="44" spans="4:16" ht="20.100000000000001" customHeight="1" x14ac:dyDescent="0.25"/>
    <row r="45" spans="4:16" ht="20.100000000000001" customHeight="1" x14ac:dyDescent="0.25"/>
    <row r="46" spans="4:16" ht="20.100000000000001" customHeight="1" x14ac:dyDescent="0.25"/>
    <row r="47" spans="4:16" ht="20.100000000000001" customHeight="1" x14ac:dyDescent="0.25"/>
    <row r="48" spans="4:1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M19 E24 M24" xr:uid="{27894986-D8F7-4ECC-BDC3-495A6C274A89}"/>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O165"/>
  <sheetViews>
    <sheetView showGridLines="0" workbookViewId="0">
      <selection activeCell="G15" sqref="G15"/>
    </sheetView>
  </sheetViews>
  <sheetFormatPr defaultRowHeight="15.75" x14ac:dyDescent="0.25"/>
  <cols>
    <col min="1" max="1" width="30.7109375" customWidth="1"/>
    <col min="2" max="2" width="4.7109375" customWidth="1"/>
    <col min="3" max="3" width="4.7109375" style="1" customWidth="1"/>
    <col min="4" max="7" width="30.7109375" style="1" customWidth="1"/>
    <col min="8" max="8" width="4.7109375" style="1" customWidth="1"/>
    <col min="9" max="9" width="4.7109375" customWidth="1"/>
    <col min="10" max="10" width="4.7109375" style="1" customWidth="1"/>
    <col min="11" max="14" width="30.7109375" style="1" customWidth="1"/>
    <col min="15" max="15" width="4.7109375" style="1" customWidth="1"/>
  </cols>
  <sheetData>
    <row r="1" spans="1:15" s="8" customFormat="1" ht="30" customHeight="1" x14ac:dyDescent="0.35">
      <c r="A1" s="8" t="e" vm="1">
        <v>#VALUE!</v>
      </c>
      <c r="C1" s="8" t="s">
        <v>155</v>
      </c>
    </row>
    <row r="2" spans="1:15" s="9" customFormat="1" ht="20.100000000000001" customHeight="1" x14ac:dyDescent="0.25"/>
    <row r="3" spans="1:15" ht="20.100000000000001" customHeight="1" x14ac:dyDescent="0.25">
      <c r="A3" s="17" t="str">
        <f>HYPERLINK("#'Home'!A1", "Home")</f>
        <v>Home</v>
      </c>
      <c r="C3" s="4"/>
      <c r="D3" s="4" t="s">
        <v>108</v>
      </c>
      <c r="E3" s="4"/>
      <c r="F3" s="4"/>
      <c r="G3" s="4"/>
      <c r="H3" s="4"/>
      <c r="J3" s="4"/>
      <c r="K3" s="4" t="s">
        <v>109</v>
      </c>
      <c r="L3" s="4"/>
      <c r="M3" s="4"/>
      <c r="N3" s="4"/>
      <c r="O3" s="4"/>
    </row>
    <row r="4" spans="1:15" ht="20.100000000000001" customHeight="1" x14ac:dyDescent="0.25">
      <c r="A4" s="17" t="str">
        <f>HYPERLINK("#'Results'!A1", "Results")</f>
        <v>Results</v>
      </c>
    </row>
    <row r="5" spans="1:15" ht="20.100000000000001" customHeight="1" x14ac:dyDescent="0.25">
      <c r="A5" s="16"/>
      <c r="D5" s="6" t="str" cm="1">
        <f t="array" ref="D5">MMS_PastureBeef_Soil_LeachingAndRunoff.VEERG_4_2_1_7__2_MassOfNitrogenLostToLeachingAndRunoffOnPasture_Title()</f>
        <v>Mass of nitrogen lost to leaching and runoff</v>
      </c>
    </row>
    <row r="6" spans="1:15" ht="20.100000000000001" customHeight="1" x14ac:dyDescent="0.25">
      <c r="A6" s="20" t="s">
        <v>3</v>
      </c>
      <c r="D6" s="5" t="str" cm="1">
        <f t="array" ref="D6">MMS_PastureBeef_Soil_LeachingAndRunoff.VEERG_4_2_1_7__2_MassOfNitrogenLostToLeachingAndRunoffOnPasture_Source()</f>
        <v>VEERG 2026: 4.2.1.7, Equation (2)</v>
      </c>
    </row>
    <row r="7" spans="1:15" ht="20.100000000000001" customHeight="1" x14ac:dyDescent="0.25">
      <c r="A7" s="17" t="str">
        <f>HYPERLINK("#'Input - Site'!A1", "Site")</f>
        <v>Site</v>
      </c>
      <c r="D7" s="13" t="s">
        <v>27</v>
      </c>
      <c r="E7" s="13" t="str" cm="1">
        <f t="array" aca="1" ref="E7" ca="1">Common_InputFunctions.Utility_DisplayFunctionName(E20)</f>
        <v>=MMS_PastureBeef_Soil_LeachingAndRunoff.VEERG_4_2_1_7__2_MassOfNitrogenLostToLeachingAndRunoffOnPasture</v>
      </c>
    </row>
    <row r="8" spans="1:15" ht="20.100000000000001" customHeight="1" x14ac:dyDescent="0.25">
      <c r="A8" s="17" t="str">
        <f>HYPERLINK("#'Input - Pasture Beef'!A1", "Pasture Beef")</f>
        <v>Pasture Beef</v>
      </c>
    </row>
    <row r="9" spans="1:15" ht="20.100000000000001" customHeight="1" x14ac:dyDescent="0.25">
      <c r="A9" s="17"/>
    </row>
    <row r="10" spans="1:15" ht="20.100000000000001" customHeight="1" x14ac:dyDescent="0.25">
      <c r="A10" s="19" t="s">
        <v>77</v>
      </c>
      <c r="D10" s="53" t="s">
        <v>30</v>
      </c>
      <c r="E10" s="1" t="str" cm="1">
        <f t="array" ref="E10">MMS_PastureBeef_Soil_LeachingAndRunoff.VEERG_4_2_1_7__2_MassOfNitrogenLostToLeachingAndRunoffOnPasture_Variable()</f>
        <v>M_leach</v>
      </c>
    </row>
    <row r="11" spans="1:15" ht="20.100000000000001" customHeight="1" x14ac:dyDescent="0.25">
      <c r="A11" s="17" t="str">
        <f>HYPERLINK("#'4.2.1.1-2 Methane'!A1", "4.2.1.1-2 Methane")</f>
        <v>4.2.1.1-2 Methane</v>
      </c>
      <c r="D11" s="53" t="s">
        <v>20</v>
      </c>
      <c r="E11" s="54" t="str" cm="1">
        <f t="array" ref="E11">MMS_PastureBeef_Soil_LeachingAndRunoff.VEERG_4_2_1_7__2_MassOfNitrogenLostToLeachingAndRunoffOnPasture_Unit()</f>
        <v>kg N</v>
      </c>
    </row>
    <row r="12" spans="1:15" ht="20.100000000000001" customHeight="1" x14ac:dyDescent="0.25">
      <c r="A12" s="17" t="str">
        <f>HYPERLINK("#'4.2.1.3-4 Soil direct N2O'!A1", "4.2.1.3-4 Soil direct N2O")</f>
        <v>4.2.1.3-4 Soil direct N2O</v>
      </c>
    </row>
    <row r="13" spans="1:15" ht="20.100000000000001" customHeight="1" x14ac:dyDescent="0.25">
      <c r="A13" s="17" t="str">
        <f>HYPERLINK("#'4.2.1.5-6 Soil Atmos Dep'!A1", "4.2.1.5-6 Soil atm. deposition")</f>
        <v>4.2.1.5-6 Soil atm. deposition</v>
      </c>
      <c r="D13" s="108" t="str" cm="1">
        <f t="array" ref="D13:E18">MMS_PastureBeef_Soil_LeachingAndRunoff.VEERG_4_2_1_7__2_MassOfNitrogenLostToLeachingAndRunoffOnPasture_Arguments()</f>
        <v>AE</v>
      </c>
      <c r="E13" s="110" t="str">
        <v>total mass of nitrogen excreted on PRP for beef cattle (kg N)</v>
      </c>
      <c r="F13" s="109"/>
      <c r="G13" s="57">
        <f>'4.2.1.3-4 Soil direct N20'!$E$212</f>
        <v>67219.230344332333</v>
      </c>
      <c r="K13" s="108" t="str" cm="1">
        <f t="array" ref="K13:L18">MMS_PastureBeef_Soil_LeachingAndRunoff.VEERG_4_2_1_7__2_MassOfNitrogenLostToLeachingAndRunoffOnPasture_Arguments()</f>
        <v>AE</v>
      </c>
      <c r="L13" s="110" t="str">
        <v>total mass of nitrogen excreted on PRP for beef cattle (kg N)</v>
      </c>
      <c r="M13" s="109"/>
      <c r="N13" s="57">
        <f>'4.2.1.3-4 Soil direct N20'!$V$261</f>
        <v>60007.816333296949</v>
      </c>
    </row>
    <row r="14" spans="1:15" ht="20.100000000000001" customHeight="1" x14ac:dyDescent="0.25">
      <c r="A14" s="17" t="str">
        <f>HYPERLINK("#'4.2.1.7-8 Soil leach runoff'!A1", "4.2.1.7-8 Soil leach &amp; runoff")</f>
        <v>4.2.1.7-8 Soil leach &amp; runoff</v>
      </c>
      <c r="D14" s="108" t="str">
        <v>FracWet</v>
      </c>
      <c r="E14" s="110" t="str">
        <v>fraction of N available for leaching and runoff</v>
      </c>
      <c r="F14" s="109"/>
      <c r="G14" s="57">
        <f>Common_InputFunctions.CommonCropping_GetFracWET(G16,G18,#REF!,#REF!,Table_SourceData_FracWETIrrigation[Irrigation type i],Table_SourceData_FracWETIrrigation[FracWET])</f>
        <v>0</v>
      </c>
      <c r="K14" s="108" t="str">
        <v>FracWet</v>
      </c>
      <c r="L14" s="110" t="str">
        <v>fraction of N available for leaching and runoff</v>
      </c>
      <c r="M14" s="109"/>
      <c r="N14" s="57"/>
    </row>
    <row r="15" spans="1:15" ht="20.100000000000001" customHeight="1" x14ac:dyDescent="0.25">
      <c r="A15" s="17"/>
      <c r="D15" s="108" t="str">
        <v>FracLEACH</v>
      </c>
      <c r="E15" s="110" t="str">
        <v>fraction of all N that is lost through leaching and runoff</v>
      </c>
      <c r="F15" s="109"/>
      <c r="G15" s="57">
        <f>'Constants - Pature Beef'!$D$440</f>
        <v>0.24</v>
      </c>
      <c r="K15" s="108" t="str">
        <v>FracLEACH</v>
      </c>
      <c r="L15" s="110" t="str">
        <v>fraction of all N that is lost through leaching and runoff</v>
      </c>
      <c r="M15" s="109"/>
      <c r="N15" s="57"/>
    </row>
    <row r="16" spans="1:15" ht="20.100000000000001" customHeight="1" x14ac:dyDescent="0.25">
      <c r="A16" s="18" t="s">
        <v>4</v>
      </c>
      <c r="D16" s="108" t="str">
        <v>z</v>
      </c>
      <c r="E16" s="110" t="str">
        <v>location in leaching zone</v>
      </c>
      <c r="F16" s="109"/>
      <c r="G16" s="57" t="str">
        <f>'Input - Site'!$E$23</f>
        <v>NO - Not in leaching zone</v>
      </c>
      <c r="K16" s="108" t="str">
        <v>z</v>
      </c>
      <c r="L16" s="110" t="str">
        <v>location in leaching zone</v>
      </c>
      <c r="M16" s="109"/>
      <c r="N16" s="57"/>
    </row>
    <row r="17" spans="1:15" ht="20.100000000000001" customHeight="1" x14ac:dyDescent="0.25">
      <c r="A17" s="17" t="str">
        <f>HYPERLINK("#'Constants - Pasture Beef'!A1", "Constants - Pasture Beef")</f>
        <v>Constants - Pasture Beef</v>
      </c>
      <c r="D17" s="108" t="str">
        <v>j</v>
      </c>
      <c r="E17" s="110" t="str">
        <v>production system</v>
      </c>
      <c r="F17" s="109"/>
      <c r="G17" s="57" t="str">
        <f>'Input - Pasture Beef'!$E$183</f>
        <v>Pasture</v>
      </c>
      <c r="K17" s="108" t="str">
        <v>j</v>
      </c>
      <c r="L17" s="110" t="str">
        <v>production system</v>
      </c>
      <c r="M17" s="109"/>
      <c r="N17" s="57"/>
    </row>
    <row r="18" spans="1:15" ht="20.100000000000001" customHeight="1" x14ac:dyDescent="0.25">
      <c r="A18" s="17" t="str">
        <f>HYPERLINK("#'Constants - Livestock'!A1", "Constants - Livestock")</f>
        <v>Constants - Livestock</v>
      </c>
      <c r="D18" s="108" t="str">
        <v>ir</v>
      </c>
      <c r="E18" s="110" t="str">
        <v>irrigation method</v>
      </c>
      <c r="F18" s="109"/>
      <c r="G18" s="57" t="str">
        <f>'Input - Pasture Beef'!$E$184</f>
        <v>Not irrigated</v>
      </c>
      <c r="K18" s="108" t="str">
        <v>ir</v>
      </c>
      <c r="L18" s="110" t="str">
        <v>irrigation method</v>
      </c>
      <c r="M18" s="109"/>
      <c r="N18" s="57"/>
    </row>
    <row r="19" spans="1:15" ht="20.100000000000001" customHeight="1" x14ac:dyDescent="0.25">
      <c r="A19" s="17" t="str">
        <f>HYPERLINK("#'Constants - Common'!A1", "Constants - Common")</f>
        <v>Constants - Common</v>
      </c>
    </row>
    <row r="20" spans="1:15" ht="20.100000000000001" customHeight="1" x14ac:dyDescent="0.25">
      <c r="A20" s="17" t="str">
        <f>HYPERLINK("#'Acknowledgements'!A1", "Acknowledgements")</f>
        <v>Acknowledgements</v>
      </c>
      <c r="D20" s="113" t="s">
        <v>324</v>
      </c>
      <c r="E20" s="45" cm="1">
        <f t="array" ref="E20">MMS_PastureBeef_Soil_LeachingAndRunoff.VEERG_4_2_1_7__2_MassOfNitrogenLostToLeachingAndRunoffOnPasture($G$13,$G$14,$G$15)</f>
        <v>0</v>
      </c>
      <c r="F20" s="105" t="str">
        <f>$E$11</f>
        <v>kg N</v>
      </c>
      <c r="I20" s="56"/>
      <c r="K20" s="113" t="s">
        <v>324</v>
      </c>
      <c r="L20" s="45" cm="1">
        <f t="array" ref="L20">MMS_PastureBeef_Soil_LeachingAndRunoff.VEERG_4_2_1_7__2_MassOfNitrogenLostToLeachingAndRunoffOnPasture($N$13,$G$14,$G$15)</f>
        <v>0</v>
      </c>
      <c r="M20" s="105" t="str">
        <f>$E$11</f>
        <v>kg N</v>
      </c>
    </row>
    <row r="21" spans="1:15" ht="20.100000000000001" customHeight="1" x14ac:dyDescent="0.25">
      <c r="I21" s="56"/>
    </row>
    <row r="22" spans="1:15" ht="20.100000000000001" customHeight="1" x14ac:dyDescent="0.25">
      <c r="I22" s="56"/>
    </row>
    <row r="23" spans="1:15" ht="20.100000000000001" customHeight="1" x14ac:dyDescent="0.25">
      <c r="C23" s="45"/>
      <c r="D23" s="45"/>
      <c r="E23" s="45"/>
      <c r="F23" s="45"/>
      <c r="G23" s="45"/>
      <c r="H23" s="45"/>
      <c r="I23" s="56"/>
      <c r="J23" s="45"/>
      <c r="K23" s="45"/>
      <c r="L23" s="45"/>
      <c r="M23" s="45"/>
      <c r="N23" s="45"/>
      <c r="O23" s="45"/>
    </row>
    <row r="24" spans="1:15" ht="20.100000000000001" customHeight="1" x14ac:dyDescent="0.25">
      <c r="D24" s="1" t="str" cm="1">
        <f t="array" ref="D24">MMS_PastureBeef_Soil_LeachingAndRunoff.VEERG_4_2_1_7__1_LeachingAndRunoffEmissionsFromUrineAndDungOnPasture_Title()</f>
        <v>Leaching and runoff emissions from urine and dung deposited on pasture</v>
      </c>
    </row>
    <row r="25" spans="1:15" ht="20.100000000000001" customHeight="1" x14ac:dyDescent="0.25">
      <c r="D25" s="1" t="str" cm="1">
        <f t="array" ref="D25">MMS_PastureBeef_Soil_LeachingAndRunoff.VEERG_4_2_1_7__1_LeachingAndRunoffEmissionsFromUrineAndDungOnPasture_Source()</f>
        <v>VEERG 2026: 4.2.1.7, Equation (1)</v>
      </c>
    </row>
    <row r="26" spans="1:15" ht="20.100000000000001" customHeight="1" x14ac:dyDescent="0.25">
      <c r="D26" s="13" t="s">
        <v>27</v>
      </c>
      <c r="E26" s="13" t="str" cm="1">
        <f t="array" aca="1" ref="E26" ca="1">Common_InputFunctions.Utility_DisplayFunctionName(E36)</f>
        <v>=MMS_PastureBeef_Soil_LeachingAndRunoff.VEERG_4_2_1_7__1_LeachingAndRunoffEmissionsFromUrineAndDungOnPasture</v>
      </c>
    </row>
    <row r="27" spans="1:15" ht="20.100000000000001" customHeight="1" x14ac:dyDescent="0.25"/>
    <row r="28" spans="1:15" ht="20.100000000000001" customHeight="1" x14ac:dyDescent="0.25"/>
    <row r="29" spans="1:15" ht="20.100000000000001" customHeight="1" x14ac:dyDescent="0.25">
      <c r="D29" s="53" t="s">
        <v>30</v>
      </c>
      <c r="E29" s="1" t="str" cm="1">
        <f t="array" ref="E29">MMS_PastureBeef_Soil_LeachingAndRunoff.VEERG_4_2_1_7__1_LeachingAndRunoffEmissionsFromUrineAndDungOnPasture_Variable()</f>
        <v>E_N2Oleach</v>
      </c>
    </row>
    <row r="30" spans="1:15" ht="20.100000000000001" customHeight="1" x14ac:dyDescent="0.25">
      <c r="D30" s="53" t="s">
        <v>20</v>
      </c>
      <c r="E30" s="54" t="str" cm="1">
        <f t="array" ref="E30">MMS_PastureBeef_Soil_LeachingAndRunoff.VEERG_4_2_1_7__1_LeachingAndRunoffEmissionsFromUrineAndDungOnPasture_Unit()</f>
        <v>t N2O</v>
      </c>
    </row>
    <row r="31" spans="1:15" ht="20.100000000000001" customHeight="1" x14ac:dyDescent="0.25"/>
    <row r="32" spans="1:15" ht="20.100000000000001" customHeight="1" x14ac:dyDescent="0.25">
      <c r="D32" s="57" t="str" cm="1">
        <f t="array" ref="D32:E34">MMS_PastureBeef_Soil_LeachingAndRunoff.VEERG_4_2_1_7__1_LeachingAndRunoffEmissionsFromUrineAndDungOnPasture_Arguments()</f>
        <v>M_leach</v>
      </c>
      <c r="E32" s="57" t="str">
        <v>mass of nitrogen lost to leaching and runoff (kg N)</v>
      </c>
      <c r="F32" s="57"/>
      <c r="G32" s="57">
        <f>$E$20</f>
        <v>0</v>
      </c>
      <c r="K32" s="57" t="str" cm="1">
        <f t="array" ref="K32:L34">MMS_PastureBeef_Soil_LeachingAndRunoff.VEERG_4_2_1_7__1_LeachingAndRunoffEmissionsFromUrineAndDungOnPasture_Arguments()</f>
        <v>M_leach</v>
      </c>
      <c r="L32" s="57" t="str">
        <v>mass of nitrogen lost to leaching and runoff (kg N)</v>
      </c>
      <c r="M32" s="57"/>
      <c r="N32" s="57">
        <f>$E$20</f>
        <v>0</v>
      </c>
    </row>
    <row r="33" spans="4:14" ht="20.100000000000001" customHeight="1" x14ac:dyDescent="0.25">
      <c r="D33" s="57" t="str">
        <v>EF_leach</v>
      </c>
      <c r="E33" s="57" t="str">
        <v>emission factor for leaching and runoff (kg N2O-N/kg N)</v>
      </c>
      <c r="F33" s="57"/>
      <c r="G33" s="57">
        <f>'Constants - Common'!$E$170</f>
        <v>1.0999999999999999E-2</v>
      </c>
      <c r="K33" s="57" t="str">
        <v>EF_leach</v>
      </c>
      <c r="L33" s="57" t="str">
        <v>emission factor for leaching and runoff (kg N2O-N/kg N)</v>
      </c>
      <c r="M33" s="57"/>
      <c r="N33" s="57"/>
    </row>
    <row r="34" spans="4:14" ht="20.100000000000001" customHeight="1" x14ac:dyDescent="0.25">
      <c r="D34" s="57" t="str">
        <v>C_N2O</v>
      </c>
      <c r="E34" s="57" t="str">
        <v>factor to convert elemental mass of N2O to molecular mass</v>
      </c>
      <c r="F34" s="57"/>
      <c r="G34" s="57">
        <f>Common_InputFunctions.Utility_LookupValueInTableNumber("N2O",Table_GasToMolecularConversionFactor[Gas],Table_GasToMolecularConversionFactor[Conversion factor combined])</f>
        <v>1.5714285714285714</v>
      </c>
      <c r="K34" s="57" t="str">
        <v>C_N2O</v>
      </c>
      <c r="L34" s="57" t="str">
        <v>factor to convert elemental mass of N2O to molecular mass</v>
      </c>
      <c r="M34" s="57"/>
      <c r="N34" s="57"/>
    </row>
    <row r="35" spans="4:14" ht="20.100000000000001" customHeight="1" x14ac:dyDescent="0.25"/>
    <row r="36" spans="4:14" ht="20.100000000000001" customHeight="1" x14ac:dyDescent="0.25">
      <c r="D36" s="113" t="s">
        <v>156</v>
      </c>
      <c r="E36" s="45" cm="1">
        <f t="array" ref="E36">MMS_PastureBeef_Soil_LeachingAndRunoff.VEERG_4_2_1_7__1_LeachingAndRunoffEmissionsFromUrineAndDungOnPasture(G32,G33,G34)</f>
        <v>0</v>
      </c>
      <c r="F36" s="105" t="str">
        <f>$E$30</f>
        <v>t N2O</v>
      </c>
      <c r="K36" s="113" t="s">
        <v>156</v>
      </c>
      <c r="L36" s="45" cm="1">
        <f t="array" ref="L36">MMS_PastureBeef_Soil_LeachingAndRunoff.VEERG_4_2_1_7__1_LeachingAndRunoffEmissionsFromUrineAndDungOnPasture(N32,G33,G34)</f>
        <v>0</v>
      </c>
      <c r="M36" s="105" t="str">
        <f>$E$30</f>
        <v>t N2O</v>
      </c>
    </row>
    <row r="37" spans="4:14" ht="20.100000000000001" customHeight="1" x14ac:dyDescent="0.25"/>
    <row r="38" spans="4:14" ht="20.100000000000001" customHeight="1" x14ac:dyDescent="0.25">
      <c r="D38" s="57" t="str" cm="1">
        <f t="array" ref="D38:E39">Common_Equations.Common_ConvertN2OToCO2e_Arguments()</f>
        <v>EN2O</v>
      </c>
      <c r="E38" s="58" t="str">
        <v>Nitrous oxide emissions (t N2O)</v>
      </c>
      <c r="F38" s="104"/>
      <c r="G38" s="52">
        <f>E36</f>
        <v>0</v>
      </c>
      <c r="K38" s="57" t="str" cm="1">
        <f t="array" ref="K38:L39">Common_Equations.Common_ConvertN2OToCO2e_Arguments()</f>
        <v>EN2O</v>
      </c>
      <c r="L38" s="58" t="str">
        <v>Nitrous oxide emissions (t N2O)</v>
      </c>
      <c r="M38" s="104"/>
      <c r="N38" s="52">
        <f>L36</f>
        <v>0</v>
      </c>
    </row>
    <row r="39" spans="4:14" ht="20.100000000000001" customHeight="1" x14ac:dyDescent="0.25">
      <c r="D39" s="57" t="str">
        <v>GWPN2O</v>
      </c>
      <c r="E39" s="58" t="str">
        <v>Global warming potential for nitrous oxide (t CO2-e / t N2O)</v>
      </c>
      <c r="F39" s="104"/>
      <c r="G39" s="52">
        <f>Common_InputFunctions.Utility_LookupValueInTableNumber("N2O",Table_GWPData[Gas],Table_GWPData[CO2-e factor])</f>
        <v>265</v>
      </c>
      <c r="K39" s="57" t="str">
        <v>GWPN2O</v>
      </c>
      <c r="L39" s="58" t="str">
        <v>Global warming potential for nitrous oxide (t CO2-e / t N2O)</v>
      </c>
      <c r="M39" s="104"/>
      <c r="N39" s="52">
        <f>Common_InputFunctions.Utility_LookupValueInTableNumber("N2O",Table_GWPData[Gas],Table_GWPData[CO2-e factor])</f>
        <v>265</v>
      </c>
    </row>
    <row r="40" spans="4:14" ht="20.100000000000001" customHeight="1" x14ac:dyDescent="0.25"/>
    <row r="41" spans="4:14" ht="20.100000000000001" customHeight="1" x14ac:dyDescent="0.25">
      <c r="D41" s="45" t="s">
        <v>104</v>
      </c>
      <c r="E41" s="45" cm="1">
        <f t="array" ref="E41">Common_Equations.Common_ConvertN2OToCO2e(G38,G39)</f>
        <v>0</v>
      </c>
      <c r="F41" s="105" t="str" cm="1">
        <f t="array" ref="F41">Common_Equations.Common_ConvertN2OToCO2e_Unit()</f>
        <v>t CO2e</v>
      </c>
      <c r="K41" s="45" t="s">
        <v>104</v>
      </c>
      <c r="L41" s="45" cm="1">
        <f t="array" ref="L41">Common_Equations.Common_ConvertN2OToCO2e(N38,N39)</f>
        <v>0</v>
      </c>
      <c r="M41" s="105" t="str" cm="1">
        <f t="array" ref="M41">Common_Equations.Common_ConvertN2OToCO2e_Unit()</f>
        <v>t CO2e</v>
      </c>
    </row>
    <row r="42" spans="4:14" ht="20.100000000000001" customHeight="1" x14ac:dyDescent="0.25"/>
    <row r="43" spans="4:14" ht="20.100000000000001" customHeight="1" x14ac:dyDescent="0.25"/>
    <row r="44" spans="4:14" ht="20.100000000000001" customHeight="1" x14ac:dyDescent="0.25"/>
    <row r="45" spans="4:14" ht="20.100000000000001" customHeight="1" x14ac:dyDescent="0.25"/>
    <row r="46" spans="4:14" ht="20.100000000000001" customHeight="1" x14ac:dyDescent="0.25"/>
    <row r="47" spans="4:14" ht="20.100000000000001" customHeight="1" x14ac:dyDescent="0.25"/>
    <row r="48" spans="4:14"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L23 E28 L28" xr:uid="{FFC3CBA3-2876-48FD-90FB-22BFDC268162}"/>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abSelected="1" topLeftCell="D115" zoomScale="85" zoomScaleNormal="85" workbookViewId="0">
      <selection activeCell="F151" sqref="F15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322</v>
      </c>
      <c r="G5" s="6" t="s">
        <v>120</v>
      </c>
      <c r="M5" s="1" t="s">
        <v>206</v>
      </c>
      <c r="O5" s="1" t="s">
        <v>207</v>
      </c>
      <c r="Q5" s="1" t="s">
        <v>208</v>
      </c>
      <c r="S5" s="1" t="s">
        <v>219</v>
      </c>
    </row>
    <row r="6" spans="1:21" ht="20.100000000000001" customHeight="1" x14ac:dyDescent="0.25">
      <c r="A6" s="20" t="s">
        <v>3</v>
      </c>
      <c r="M6" s="1"/>
    </row>
    <row r="7" spans="1:21" ht="20.100000000000001" customHeight="1" x14ac:dyDescent="0.25">
      <c r="A7" s="17" t="str">
        <f>HYPERLINK("#'Input - Site'!A1", "Site")</f>
        <v>Site</v>
      </c>
      <c r="D7" s="37" t="s">
        <v>119</v>
      </c>
      <c r="G7" s="37" t="s">
        <v>118</v>
      </c>
      <c r="M7" t="s">
        <v>183</v>
      </c>
      <c r="O7" s="37" t="s">
        <v>183</v>
      </c>
      <c r="Q7" s="37" t="s">
        <v>183</v>
      </c>
      <c r="S7" s="37" t="s">
        <v>183</v>
      </c>
    </row>
    <row r="8" spans="1:21" ht="20.100000000000001" customHeight="1" x14ac:dyDescent="0.25">
      <c r="A8" s="17" t="str">
        <f>HYPERLINK("#'Input - Pasture Beef'!A1", "Pasture Beef")</f>
        <v>Pasture Beef</v>
      </c>
      <c r="D8" s="37" t="str">
        <f>'Constants - Common'!$F$187</f>
        <v>Pasture</v>
      </c>
      <c r="G8" s="37" t="s">
        <v>121</v>
      </c>
      <c r="M8" s="37" t="s">
        <v>209</v>
      </c>
      <c r="O8" s="37" t="s">
        <v>211</v>
      </c>
      <c r="Q8" s="37" t="s">
        <v>214</v>
      </c>
      <c r="S8" s="37" t="s">
        <v>202</v>
      </c>
    </row>
    <row r="9" spans="1:21" ht="20.100000000000001" customHeight="1" x14ac:dyDescent="0.25">
      <c r="A9" s="17"/>
      <c r="D9" s="1" t="str">
        <f>'Constants - Common'!$F$188</f>
        <v>Crop</v>
      </c>
      <c r="G9" s="37" t="s">
        <v>122</v>
      </c>
      <c r="M9" s="37" t="s">
        <v>210</v>
      </c>
      <c r="O9" s="37" t="s">
        <v>212</v>
      </c>
      <c r="Q9" s="37" t="s">
        <v>215</v>
      </c>
    </row>
    <row r="10" spans="1:21" ht="20.100000000000001" customHeight="1" x14ac:dyDescent="0.25">
      <c r="A10" s="19" t="s">
        <v>77</v>
      </c>
      <c r="G10" s="1" t="s">
        <v>123</v>
      </c>
      <c r="M10" s="37" t="s">
        <v>205</v>
      </c>
      <c r="O10" s="37" t="s">
        <v>213</v>
      </c>
      <c r="Q10" s="37" t="s">
        <v>216</v>
      </c>
      <c r="S10" s="1" t="s">
        <v>220</v>
      </c>
    </row>
    <row r="11" spans="1:21" ht="20.100000000000001" customHeight="1" x14ac:dyDescent="0.25">
      <c r="A11" s="17" t="str">
        <f>HYPERLINK("#'4.2.1.1-2 Methane'!A1", "4.2.1.1-2 Methane")</f>
        <v>4.2.1.1-2 Methane</v>
      </c>
      <c r="G11" s="1" t="s">
        <v>124</v>
      </c>
      <c r="M11" s="1"/>
      <c r="Q11" s="37" t="s">
        <v>217</v>
      </c>
    </row>
    <row r="12" spans="1:21" ht="20.100000000000001" customHeight="1" x14ac:dyDescent="0.25">
      <c r="A12" s="17" t="str">
        <f>HYPERLINK("#'4.2.1.3-4 Soil direct N2O'!A1", "4.2.1.3-4 Soil direct N2O")</f>
        <v>4.2.1.3-4 Soil direct N2O</v>
      </c>
      <c r="G12" s="1" t="s">
        <v>125</v>
      </c>
      <c r="M12" s="1"/>
      <c r="S12" s="37" t="s">
        <v>183</v>
      </c>
    </row>
    <row r="13" spans="1:21" ht="20.100000000000001" customHeight="1" x14ac:dyDescent="0.25">
      <c r="A13" s="17" t="str">
        <f>HYPERLINK("#'4.2.1.5-6 Soil Atmos Dep'!A1", "4.2.1.5-6 Soil atm. deposition")</f>
        <v>4.2.1.5-6 Soil atm. deposition</v>
      </c>
      <c r="M13" s="1"/>
      <c r="S13" s="37" t="s">
        <v>202</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221</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S17" s="37" t="s">
        <v>183</v>
      </c>
    </row>
    <row r="18" spans="1:19" ht="20.100000000000001" customHeight="1" x14ac:dyDescent="0.25">
      <c r="A18" s="17" t="str">
        <f>HYPERLINK("#'Constants - Livestock'!A1", "Constants - Livestock")</f>
        <v>Constants - Livestock</v>
      </c>
      <c r="D18" s="37" t="s">
        <v>8</v>
      </c>
      <c r="E18" s="37" t="s">
        <v>183</v>
      </c>
      <c r="F18" s="37" t="s">
        <v>184</v>
      </c>
      <c r="G18" s="37" t="s">
        <v>185</v>
      </c>
      <c r="H18" s="37" t="s">
        <v>186</v>
      </c>
      <c r="I18" s="37" t="s">
        <v>187</v>
      </c>
      <c r="J18" s="37" t="s">
        <v>188</v>
      </c>
      <c r="K18" s="37" t="s">
        <v>189</v>
      </c>
      <c r="L18" s="37" t="s">
        <v>190</v>
      </c>
      <c r="M18" s="37" t="s">
        <v>191</v>
      </c>
      <c r="S18" s="37" t="s">
        <v>202</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S20" s="1" t="s">
        <v>222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S22" s="37" t="s">
        <v>183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S23" s="37" t="s">
        <v>202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S25" s="1" t="s">
        <v>223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S27" s="37" t="s">
        <v>183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S28" s="37" t="s">
        <v>202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8</v>
      </c>
      <c r="E53" s="37" t="s">
        <v>183</v>
      </c>
      <c r="F53" s="37" t="s">
        <v>184</v>
      </c>
      <c r="G53" s="37" t="s">
        <v>203</v>
      </c>
      <c r="H53" s="37" t="s">
        <v>192</v>
      </c>
      <c r="I53" s="37" t="s">
        <v>193</v>
      </c>
      <c r="J53" s="37" t="s">
        <v>194</v>
      </c>
      <c r="K53" s="37" t="s">
        <v>195</v>
      </c>
      <c r="L53" s="37" t="s">
        <v>196</v>
      </c>
      <c r="M53" s="37" t="s">
        <v>197</v>
      </c>
      <c r="N53" s="37" t="s">
        <v>198</v>
      </c>
      <c r="O53" s="37" t="s">
        <v>199</v>
      </c>
      <c r="P53" s="37" t="s">
        <v>200</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201</v>
      </c>
      <c r="M84" s="1"/>
    </row>
    <row r="85" spans="4:22" ht="20.100000000000001" customHeight="1" x14ac:dyDescent="0.25">
      <c r="D85" s="37" t="s">
        <v>8</v>
      </c>
      <c r="E85" s="37" t="s">
        <v>183</v>
      </c>
      <c r="F85" s="37" t="s">
        <v>184</v>
      </c>
      <c r="G85" s="118" t="s">
        <v>131</v>
      </c>
      <c r="H85" s="118" t="s">
        <v>130</v>
      </c>
      <c r="I85" s="118" t="s">
        <v>165</v>
      </c>
      <c r="J85" s="118" t="s">
        <v>166</v>
      </c>
      <c r="K85" s="118" t="s">
        <v>167</v>
      </c>
      <c r="L85" s="118" t="s">
        <v>168</v>
      </c>
      <c r="M85" s="118" t="s">
        <v>169</v>
      </c>
      <c r="N85" s="118" t="s">
        <v>170</v>
      </c>
      <c r="O85" s="118" t="s">
        <v>171</v>
      </c>
      <c r="P85" s="118" t="s">
        <v>172</v>
      </c>
      <c r="V85" s="1"/>
    </row>
    <row r="86" spans="4:22" ht="20.100000000000001" customHeight="1" x14ac:dyDescent="0.25">
      <c r="D86" s="37" t="s">
        <v>83</v>
      </c>
      <c r="E86" s="37" t="s">
        <v>202</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83</v>
      </c>
      <c r="E87" s="37" t="s">
        <v>202</v>
      </c>
      <c r="F87" s="37" t="s">
        <v>174</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83</v>
      </c>
      <c r="E88" s="37" t="s">
        <v>202</v>
      </c>
      <c r="F88" s="37" t="s">
        <v>175</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83</v>
      </c>
      <c r="E89" s="37" t="s">
        <v>202</v>
      </c>
      <c r="F89" s="37" t="s">
        <v>176</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84</v>
      </c>
      <c r="E90" s="37" t="s">
        <v>202</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84</v>
      </c>
      <c r="E91" s="37" t="s">
        <v>202</v>
      </c>
      <c r="F91" s="37" t="s">
        <v>174</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84</v>
      </c>
      <c r="E92" s="37" t="s">
        <v>202</v>
      </c>
      <c r="F92" s="37" t="s">
        <v>175</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84</v>
      </c>
      <c r="E93" s="37" t="s">
        <v>202</v>
      </c>
      <c r="F93" s="37" t="s">
        <v>176</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87</v>
      </c>
      <c r="E94" s="37" t="s">
        <v>202</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87</v>
      </c>
      <c r="E95" s="37" t="s">
        <v>202</v>
      </c>
      <c r="F95" s="37" t="s">
        <v>174</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87</v>
      </c>
      <c r="E96" s="37" t="s">
        <v>202</v>
      </c>
      <c r="F96" s="37" t="s">
        <v>175</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87</v>
      </c>
      <c r="E97" s="37" t="s">
        <v>202</v>
      </c>
      <c r="F97" s="37" t="s">
        <v>176</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88</v>
      </c>
      <c r="E98" s="37" t="s">
        <v>202</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88</v>
      </c>
      <c r="E99" s="37" t="s">
        <v>202</v>
      </c>
      <c r="F99" s="37" t="s">
        <v>174</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88</v>
      </c>
      <c r="E100" s="37" t="s">
        <v>202</v>
      </c>
      <c r="F100" s="37" t="s">
        <v>175</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88</v>
      </c>
      <c r="E101" s="37" t="s">
        <v>202</v>
      </c>
      <c r="F101" s="37" t="s">
        <v>176</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89</v>
      </c>
      <c r="E102" s="37" t="s">
        <v>202</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89</v>
      </c>
      <c r="E103" s="37" t="s">
        <v>202</v>
      </c>
      <c r="F103" s="37" t="s">
        <v>174</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89</v>
      </c>
      <c r="E104" s="37" t="s">
        <v>202</v>
      </c>
      <c r="F104" s="37" t="s">
        <v>175</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89</v>
      </c>
      <c r="E105" s="37" t="s">
        <v>202</v>
      </c>
      <c r="F105" s="37" t="s">
        <v>176</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90</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90</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90</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90</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90</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90</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90</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90</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90</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90</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90</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90</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85</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85</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85</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85</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85</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85</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85</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85</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85</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85</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85</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85</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86</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86</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86</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86</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86</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86</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86</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86</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86</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86</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86</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86</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86</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86</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86</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86</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D146" s="1" t="s">
        <v>362</v>
      </c>
      <c r="E146" s="1" t="s">
        <v>202</v>
      </c>
      <c r="F146" s="1" t="str">
        <f>F142</f>
        <v>Spring</v>
      </c>
      <c r="G146" s="1">
        <f>AVERAGE(G86,G90,G94,G98,G102,G106,G110,G114,G118,G122,G126,G130,G134,G138,G142)</f>
        <v>198.73333333333332</v>
      </c>
      <c r="H146" s="1">
        <f>AVERAGE(H86,H90,H94,H98,H102,H106,H110,H114,H118,H122,H126,H130,H134,H138,H142)</f>
        <v>643.06666666666672</v>
      </c>
      <c r="I146" s="1">
        <f>AVERAGE(I86,I90,I94,I98,I102,I106,I110,I114,I118,I122,I126,I130,I134,I138,I142)</f>
        <v>173.4</v>
      </c>
      <c r="J146" s="1">
        <f>AVERAGE(J86,J90,J94,J98,J102,J106,J110,J114,J118,J122,J126,J130,J134,J138,J142)</f>
        <v>321.33333333333331</v>
      </c>
      <c r="K146" s="1">
        <f>AVERAGE(K86,K90,K94,K98,K102,K106,K110,K114,K118,K122,K126,K130,K134,K138,K142)</f>
        <v>426</v>
      </c>
      <c r="L146" s="1">
        <f>AVERAGE(L86,L90,L94,L98,L102,L106,L110,L114,L118,L122,L126,L130,L134,L138,L142)</f>
        <v>455.46666666666664</v>
      </c>
      <c r="M146" s="1">
        <f>AVERAGE(M86,M90,M94,M98,M102,M106,M110,M114,M118,M122,M126,M130,M134,M138,M142)</f>
        <v>187.26666666666668</v>
      </c>
      <c r="N146" s="1">
        <f>AVERAGE(N86,N90,N94,N98,N102,N106,N110,N114,N118,N122,N126,N130,N134,N138,N142)</f>
        <v>385.4</v>
      </c>
      <c r="O146" s="1">
        <f>AVERAGE(O86,O90,O94,O98,O102,O106,O110,O114,O118,O122,O126,O130,O134,O138,O142)</f>
        <v>442.07142857142856</v>
      </c>
      <c r="P146" s="1">
        <f>AVERAGE(P86,P90,P94,P98,P102,P106,P110,P114,P118,P122,P126,P130,P134,P138,P142)</f>
        <v>486.23076923076923</v>
      </c>
    </row>
    <row r="147" spans="4:16" ht="20.100000000000001" customHeight="1" x14ac:dyDescent="0.25">
      <c r="D147" s="1" t="s">
        <v>362</v>
      </c>
      <c r="E147" s="1" t="s">
        <v>202</v>
      </c>
      <c r="F147" s="1" t="str">
        <f>F143</f>
        <v>Summer</v>
      </c>
      <c r="G147" s="1">
        <f>AVERAGE(G87,G91,G95,G99,G103,G107,G111,G115,G119,G123,G127,G131,G135,G139,G143)</f>
        <v>193</v>
      </c>
      <c r="H147" s="1">
        <f>AVERAGE(H87,H91,H95,H99,H103,H107,H111,H115,H119,H123,H127,H131,H135,H139,H143)</f>
        <v>660.33333333333337</v>
      </c>
      <c r="I147" s="1">
        <f>AVERAGE(I87,I91,I95,I99,I103,I107,I111,I115,I119,I123,I127,I131,I135,I139,I143)</f>
        <v>156.33333333333334</v>
      </c>
      <c r="J147" s="1">
        <f>AVERAGE(J87,J91,J95,J99,J103,J107,J111,J115,J119,J123,J127,J131,J135,J139,J143)</f>
        <v>309.73333333333335</v>
      </c>
      <c r="K147" s="1">
        <f>AVERAGE(K87,K91,K95,K99,K103,K107,K111,K115,K119,K123,K127,K131,K135,K139,K143)</f>
        <v>417.4</v>
      </c>
      <c r="L147" s="1">
        <f>AVERAGE(L87,L91,L95,L99,L103,L107,L111,L115,L119,L123,L127,L131,L135,L139,L143)</f>
        <v>458.53333333333336</v>
      </c>
      <c r="M147" s="1">
        <f>AVERAGE(M87,M91,M95,M99,M103,M107,M111,M115,M119,M123,M127,M131,M135,M139,M143)</f>
        <v>162</v>
      </c>
      <c r="N147" s="1">
        <f>AVERAGE(N87,N91,N95,N99,N103,N107,N111,N115,N119,N123,N127,N131,N135,N139,N143)</f>
        <v>353.46666666666664</v>
      </c>
      <c r="O147" s="1">
        <f>AVERAGE(O87,O91,O95,O99,O103,O107,O111,O115,O119,O123,O127,O131,O135,O139,O143)</f>
        <v>428.42857142857144</v>
      </c>
      <c r="P147" s="1">
        <f>AVERAGE(P87,P91,P95,P99,P103,P107,P111,P115,P119,P123,P127,P131,P135,P139,P143)</f>
        <v>472.61538461538464</v>
      </c>
    </row>
    <row r="148" spans="4:16" ht="20.100000000000001" customHeight="1" x14ac:dyDescent="0.25">
      <c r="D148" s="1" t="s">
        <v>362</v>
      </c>
      <c r="E148" s="1" t="s">
        <v>202</v>
      </c>
      <c r="F148" s="1" t="str">
        <f>F144</f>
        <v>Autumn</v>
      </c>
      <c r="G148" s="1">
        <f>AVERAGE(G88,G92,G96,G100,G104,G108,G112,G116,G120,G124,G128,G132,G136,G140,G144)</f>
        <v>170.66666666666666</v>
      </c>
      <c r="H148" s="1">
        <f>AVERAGE(H88,H92,H96,H100,H104,H108,H112,H116,H120,H124,H128,H132,H136,H140,H144)</f>
        <v>654.26666666666665</v>
      </c>
      <c r="I148" s="1">
        <f>AVERAGE(I88,I92,I96,I100,I104,I108,I112,I116,I120,I124,I128,I132,I136,I140,I144)</f>
        <v>161.53333333333333</v>
      </c>
      <c r="J148" s="1">
        <f>AVERAGE(J88,J92,J96,J100,J104,J108,J112,J116,J120,J124,J128,J132,J136,J140,J144)</f>
        <v>307.93333333333334</v>
      </c>
      <c r="K148" s="1">
        <f>AVERAGE(K88,K92,K96,K100,K104,K108,K112,K116,K120,K124,K128,K132,K136,K140,K144)</f>
        <v>419.66666666666669</v>
      </c>
      <c r="L148" s="1">
        <f>AVERAGE(L88,L92,L96,L100,L104,L108,L112,L116,L120,L124,L128,L132,L136,L140,L144)</f>
        <v>454.06666666666666</v>
      </c>
      <c r="M148" s="1">
        <f>AVERAGE(M88,M92,M96,M100,M104,M108,M112,M116,M120,M124,M128,M132,M136,M140,M144)</f>
        <v>169.86666666666667</v>
      </c>
      <c r="N148" s="1">
        <f>AVERAGE(N88,N92,N96,N100,N104,N108,N112,N116,N120,N124,N128,N132,N136,N140,N144)</f>
        <v>363.13333333333333</v>
      </c>
      <c r="O148" s="1">
        <f>AVERAGE(O88,O92,O96,O100,O104,O108,O112,O116,O120,O124,O128,O132,O136,O140,O144)</f>
        <v>430.14285714285717</v>
      </c>
      <c r="P148" s="1">
        <f>AVERAGE(P88,P92,P96,P100,P104,P108,P112,P116,P120,P124,P128,P132,P136,P140,P144)</f>
        <v>479.69230769230768</v>
      </c>
    </row>
    <row r="149" spans="4:16" ht="20.100000000000001" customHeight="1" x14ac:dyDescent="0.25">
      <c r="D149" s="1" t="s">
        <v>362</v>
      </c>
      <c r="E149" s="1" t="s">
        <v>202</v>
      </c>
      <c r="F149" s="1" t="str">
        <f>F145</f>
        <v>Winter</v>
      </c>
      <c r="G149" s="1">
        <f>AVERAGE(G89,G93,G97,G101,G105,G109,G113,G117,G121,G125,G129,G133,G137,G141,G145)</f>
        <v>214.53333333333333</v>
      </c>
      <c r="H149" s="1">
        <f>AVERAGE(H89,H93,H97,H101,H105,H109,H113,H117,H121,H125,H129,H133,H137,H141,H145)</f>
        <v>650.5333333333333</v>
      </c>
      <c r="I149" s="1">
        <f>AVERAGE(I89,I93,I97,I101,I105,I109,I113,I117,I121,I125,I129,I133,I137,I141,I145)</f>
        <v>196.53333333333333</v>
      </c>
      <c r="J149" s="1">
        <f>AVERAGE(J89,J93,J97,J101,J105,J109,J113,J117,J121,J125,J129,J133,J137,J141,J145)</f>
        <v>333.6</v>
      </c>
      <c r="K149" s="1">
        <f>AVERAGE(K89,K93,K97,K101,K105,K109,K113,K117,K121,K125,K129,K133,K137,K141,K145)</f>
        <v>427.4</v>
      </c>
      <c r="L149" s="1">
        <f>AVERAGE(L89,L93,L97,L101,L105,L109,L113,L117,L121,L125,L129,L133,L137,L141,L145)</f>
        <v>453.33333333333331</v>
      </c>
      <c r="M149" s="1">
        <f>AVERAGE(M89,M93,M97,M101,M105,M109,M113,M117,M121,M125,M129,M133,M137,M141,M145)</f>
        <v>207.26666666666668</v>
      </c>
      <c r="N149" s="1">
        <f>AVERAGE(N89,N93,N97,N101,N105,N109,N113,N117,N121,N125,N129,N133,N137,N141,N145)</f>
        <v>381.93333333333334</v>
      </c>
      <c r="O149" s="1">
        <f>AVERAGE(O89,O93,O97,O101,O105,O109,O113,O117,O121,O125,O129,O133,O137,O141,O145)</f>
        <v>438.28571428571428</v>
      </c>
      <c r="P149" s="1">
        <f>AVERAGE(P89,P93,P97,P101,P105,P109,P113,P117,P121,P125,P129,P133,P137,P141,P145)</f>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4" t="str" cm="1">
        <f t="array" ref="D153">SourceData_PastureBeef.SourceData_PastureBeef_LiveweightGain_Unit()</f>
        <v>kg</v>
      </c>
      <c r="M153" s="1"/>
    </row>
    <row r="154" spans="4:16" ht="20.100000000000001" customHeight="1" x14ac:dyDescent="0.25">
      <c r="D154" s="37" t="s">
        <v>8</v>
      </c>
      <c r="E154" s="37" t="s">
        <v>183</v>
      </c>
      <c r="F154" s="37" t="s">
        <v>184</v>
      </c>
      <c r="G154" s="37" t="s">
        <v>203</v>
      </c>
      <c r="H154" s="37" t="s">
        <v>192</v>
      </c>
      <c r="I154" s="37" t="s">
        <v>224</v>
      </c>
      <c r="J154" s="37" t="s">
        <v>188</v>
      </c>
      <c r="K154" s="37" t="s">
        <v>225</v>
      </c>
      <c r="L154" s="37" t="s">
        <v>197</v>
      </c>
      <c r="M154" s="37" t="s">
        <v>226</v>
      </c>
    </row>
    <row r="155" spans="4:16" ht="20.100000000000001" customHeight="1" x14ac:dyDescent="0.25">
      <c r="D155" s="37"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Spring</v>
      </c>
      <c r="G155" s="37" cm="1">
        <f t="array" ref="G155">Common_InputFunctions.Utility_DisplayArrayInTable(SourceData_PastureBeef.SourceData_PastureBeef_LiveweightGain_Data(), Table_SourceData_PastureBeef_LiveweightGain[[#Headers],[State]],0)</f>
        <v>0.5</v>
      </c>
      <c r="H155" s="37" cm="1">
        <f t="array" ref="H155">Common_InputFunctions.Utility_DisplayArrayInTable(SourceData_PastureBeef.SourceData_PastureBeef_LiveweightGain_Data(), Table_SourceData_PastureBeef_LiveweightGain[[#Headers],[State]],0)</f>
        <v>0.2</v>
      </c>
      <c r="I155" s="37" cm="1">
        <f t="array" ref="I155">Common_InputFunctions.Utility_DisplayArrayInTable(SourceData_PastureBeef.SourceData_PastureBeef_LiveweightGain_Data(), Table_SourceData_PastureBeef_LiveweightGain[[#Headers],[State]],0)</f>
        <v>0.5</v>
      </c>
      <c r="J155" s="37" cm="1">
        <f t="array" ref="J155">Common_InputFunctions.Utility_DisplayArrayInTable(SourceData_PastureBeef.SourceData_PastureBeef_LiveweightGain_Data(), Table_SourceData_PastureBeef_LiveweightGain[[#Headers],[State]],0)</f>
        <v>0.4</v>
      </c>
      <c r="K155" s="37" cm="1">
        <f t="array" ref="K155">Common_InputFunctions.Utility_DisplayArrayInTable(SourceData_PastureBeef.SourceData_PastureBeef_LiveweightGain_Data(), Table_SourceData_PastureBeef_LiveweightGain[[#Headers],[State]],0)</f>
        <v>0.3</v>
      </c>
      <c r="L155" s="37" cm="1">
        <f t="array" ref="L155">Common_InputFunctions.Utility_DisplayArrayInTable(SourceData_PastureBeef.SourceData_PastureBeef_LiveweightGain_Data(), Table_SourceData_PastureBeef_LiveweightGain[[#Headers],[State]],0)</f>
        <v>0.5</v>
      </c>
      <c r="M155" s="37"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Summer</v>
      </c>
      <c r="G156" s="37" cm="1">
        <f t="array" ref="G156">Common_InputFunctions.Utility_DisplayArrayInTable(SourceData_PastureBeef.SourceData_PastureBeef_LiveweightGain_Data(), Table_SourceData_PastureBeef_LiveweightGain[[#Headers],[State]],0)</f>
        <v>1</v>
      </c>
      <c r="H156" s="37" cm="1">
        <f t="array" ref="H156">Common_InputFunctions.Utility_DisplayArrayInTable(SourceData_PastureBeef.SourceData_PastureBeef_LiveweightGain_Data(), Table_SourceData_PastureBeef_LiveweightGain[[#Headers],[State]],0)</f>
        <v>0.4</v>
      </c>
      <c r="I156" s="37" cm="1">
        <f t="array" ref="I156">Common_InputFunctions.Utility_DisplayArrayInTable(SourceData_PastureBeef.SourceData_PastureBeef_LiveweightGain_Data(), Table_SourceData_PastureBeef_LiveweightGain[[#Headers],[State]],0)</f>
        <v>0.9</v>
      </c>
      <c r="J156" s="37" cm="1">
        <f t="array" ref="J156">Common_InputFunctions.Utility_DisplayArrayInTable(SourceData_PastureBeef.SourceData_PastureBeef_LiveweightGain_Data(), Table_SourceData_PastureBeef_LiveweightGain[[#Headers],[State]],0)</f>
        <v>0.7</v>
      </c>
      <c r="K156" s="37" cm="1">
        <f t="array" ref="K156">Common_InputFunctions.Utility_DisplayArrayInTable(SourceData_PastureBeef.SourceData_PastureBeef_LiveweightGain_Data(), Table_SourceData_PastureBeef_LiveweightGain[[#Headers],[State]],0)</f>
        <v>0.3</v>
      </c>
      <c r="L156" s="37" cm="1">
        <f t="array" ref="L156">Common_InputFunctions.Utility_DisplayArrayInTable(SourceData_PastureBeef.SourceData_PastureBeef_LiveweightGain_Data(), Table_SourceData_PastureBeef_LiveweightGain[[#Headers],[State]],0)</f>
        <v>0.9</v>
      </c>
      <c r="M156" s="37"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Autumn</v>
      </c>
      <c r="G157" s="37" cm="1">
        <f t="array" ref="G157">Common_InputFunctions.Utility_DisplayArrayInTable(SourceData_PastureBeef.SourceData_PastureBeef_LiveweightGain_Data(), Table_SourceData_PastureBeef_LiveweightGain[[#Headers],[State]],0)</f>
        <v>0.8</v>
      </c>
      <c r="H157" s="37" cm="1">
        <f t="array" ref="H157">Common_InputFunctions.Utility_DisplayArrayInTable(SourceData_PastureBeef.SourceData_PastureBeef_LiveweightGain_Data(), Table_SourceData_PastureBeef_LiveweightGain[[#Headers],[State]],0)</f>
        <v>0.3</v>
      </c>
      <c r="I157" s="37" cm="1">
        <f t="array" ref="I157">Common_InputFunctions.Utility_DisplayArrayInTable(SourceData_PastureBeef.SourceData_PastureBeef_LiveweightGain_Data(), Table_SourceData_PastureBeef_LiveweightGain[[#Headers],[State]],0)</f>
        <v>0.7</v>
      </c>
      <c r="J157" s="37" cm="1">
        <f t="array" ref="J157">Common_InputFunctions.Utility_DisplayArrayInTable(SourceData_PastureBeef.SourceData_PastureBeef_LiveweightGain_Data(), Table_SourceData_PastureBeef_LiveweightGain[[#Headers],[State]],0)</f>
        <v>0.3</v>
      </c>
      <c r="K157" s="37" cm="1">
        <f t="array" ref="K157">Common_InputFunctions.Utility_DisplayArrayInTable(SourceData_PastureBeef.SourceData_PastureBeef_LiveweightGain_Data(), Table_SourceData_PastureBeef_LiveweightGain[[#Headers],[State]],0)</f>
        <v>0.2</v>
      </c>
      <c r="L157" s="37" cm="1">
        <f t="array" ref="L157">Common_InputFunctions.Utility_DisplayArrayInTable(SourceData_PastureBeef.SourceData_PastureBeef_LiveweightGain_Data(), Table_SourceData_PastureBeef_LiveweightGain[[#Headers],[State]],0)</f>
        <v>0.7</v>
      </c>
      <c r="M157" s="37"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Winter</v>
      </c>
      <c r="G158" s="37" cm="1">
        <f t="array" ref="G158">Common_InputFunctions.Utility_DisplayArrayInTable(SourceData_PastureBeef.SourceData_PastureBeef_LiveweightGain_Data(), Table_SourceData_PastureBeef_LiveweightGain[[#Headers],[State]],0)</f>
        <v>0.4</v>
      </c>
      <c r="H158" s="37" cm="1">
        <f t="array" ref="H158">Common_InputFunctions.Utility_DisplayArrayInTable(SourceData_PastureBeef.SourceData_PastureBeef_LiveweightGain_Data(), Table_SourceData_PastureBeef_LiveweightGain[[#Headers],[State]],0)</f>
        <v>0.1</v>
      </c>
      <c r="I158" s="37" cm="1">
        <f t="array" ref="I158">Common_InputFunctions.Utility_DisplayArrayInTable(SourceData_PastureBeef.SourceData_PastureBeef_LiveweightGain_Data(), Table_SourceData_PastureBeef_LiveweightGain[[#Headers],[State]],0)</f>
        <v>0.4</v>
      </c>
      <c r="J158" s="37" cm="1">
        <f t="array" ref="J158">Common_InputFunctions.Utility_DisplayArrayInTable(SourceData_PastureBeef.SourceData_PastureBeef_LiveweightGain_Data(), Table_SourceData_PastureBeef_LiveweightGain[[#Headers],[State]],0)</f>
        <v>0.2</v>
      </c>
      <c r="K158" s="37" cm="1">
        <f t="array" ref="K158">Common_InputFunctions.Utility_DisplayArrayInTable(SourceData_PastureBeef.SourceData_PastureBeef_LiveweightGain_Data(), Table_SourceData_PastureBeef_LiveweightGain[[#Headers],[State]],0)</f>
        <v>0.1</v>
      </c>
      <c r="L158" s="37" cm="1">
        <f t="array" ref="L158">Common_InputFunctions.Utility_DisplayArrayInTable(SourceData_PastureBeef.SourceData_PastureBeef_LiveweightGain_Data(), Table_SourceData_PastureBeef_LiveweightGain[[#Headers],[State]],0)</f>
        <v>0.4</v>
      </c>
      <c r="M158" s="37"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Spring</v>
      </c>
      <c r="G159" s="37" cm="1">
        <f t="array" ref="G159">Common_InputFunctions.Utility_DisplayArrayInTable(SourceData_PastureBeef.SourceData_PastureBeef_LiveweightGain_Data(), Table_SourceData_PastureBeef_LiveweightGain[[#Headers],[State]],0)</f>
        <v>0.99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0.88</v>
      </c>
      <c r="J159" s="37" cm="1">
        <f t="array" ref="J159">Common_InputFunctions.Utility_DisplayArrayInTable(SourceData_PastureBeef.SourceData_PastureBeef_LiveweightGain_Data(), Table_SourceData_PastureBeef_LiveweightGain[[#Headers],[State]],0)</f>
        <v>0.55000000000000004</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Summer</v>
      </c>
      <c r="G160" s="37" cm="1">
        <f t="array" ref="G160">Common_InputFunctions.Utility_DisplayArrayInTable(SourceData_PastureBeef.SourceData_PastureBeef_LiveweightGain_Data(), Table_SourceData_PastureBeef_LiveweightGain[[#Headers],[State]],0)</f>
        <v>0.77</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0.66</v>
      </c>
      <c r="J160" s="37" cm="1">
        <f t="array" ref="J160">Common_InputFunctions.Utility_DisplayArrayInTable(SourceData_PastureBeef.SourceData_PastureBeef_LiveweightGain_Data(), Table_SourceData_PastureBeef_LiveweightGain[[#Headers],[State]],0)</f>
        <v>0.22</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0.66</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Autumn</v>
      </c>
      <c r="G161" s="37" cm="1">
        <f t="array" ref="G161">Common_InputFunctions.Utility_DisplayArrayInTable(SourceData_PastureBeef.SourceData_PastureBeef_LiveweightGain_Data(), Table_SourceData_PastureBeef_LiveweightGain[[#Headers],[State]],0)</f>
        <v>0.9</v>
      </c>
      <c r="H161" s="37" cm="1">
        <f t="array" ref="H161">Common_InputFunctions.Utility_DisplayArrayInTable(SourceData_PastureBeef.SourceData_PastureBeef_LiveweightGain_Data(), Table_SourceData_PastureBeef_LiveweightGain[[#Headers],[State]],0)</f>
        <v>-1.1000000000000001</v>
      </c>
      <c r="I161" s="37" cm="1">
        <f t="array" ref="I161">Common_InputFunctions.Utility_DisplayArrayInTable(SourceData_PastureBeef.SourceData_PastureBeef_LiveweightGain_Data(), Table_SourceData_PastureBeef_LiveweightGain[[#Headers],[State]],0)</f>
        <v>0.7</v>
      </c>
      <c r="J161" s="37" cm="1">
        <f t="array" ref="J161">Common_InputFunctions.Utility_DisplayArrayInTable(SourceData_PastureBeef.SourceData_PastureBeef_LiveweightGain_Data(), Table_SourceData_PastureBeef_LiveweightGain[[#Headers],[State]],0)</f>
        <v>0.22</v>
      </c>
      <c r="K161" s="37" cm="1">
        <f t="array" ref="K161">Common_InputFunctions.Utility_DisplayArrayInTable(SourceData_PastureBeef.SourceData_PastureBeef_LiveweightGain_Data(), Table_SourceData_PastureBeef_LiveweightGain[[#Headers],[State]],0)</f>
        <v>-0.55000000000000004</v>
      </c>
      <c r="L161" s="37" cm="1">
        <f t="array" ref="L161">Common_InputFunctions.Utility_DisplayArrayInTable(SourceData_PastureBeef.SourceData_PastureBeef_LiveweightGain_Data(), Table_SourceData_PastureBeef_LiveweightGain[[#Headers],[State]],0)</f>
        <v>0.8</v>
      </c>
      <c r="M161" s="37"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Winter</v>
      </c>
      <c r="G162" s="37" cm="1">
        <f t="array" ref="G162">Common_InputFunctions.Utility_DisplayArrayInTable(SourceData_PastureBeef.SourceData_PastureBeef_LiveweightGain_Data(), Table_SourceData_PastureBeef_LiveweightGain[[#Headers],[State]],0)</f>
        <v>0.88</v>
      </c>
      <c r="H162" s="37" cm="1">
        <f t="array" ref="H162">Common_InputFunctions.Utility_DisplayArrayInTable(SourceData_PastureBeef.SourceData_PastureBeef_LiveweightGain_Data(), Table_SourceData_PastureBeef_LiveweightGain[[#Headers],[State]],0)</f>
        <v>0</v>
      </c>
      <c r="I162" s="37" cm="1">
        <f t="array" ref="I162">Common_InputFunctions.Utility_DisplayArrayInTable(SourceData_PastureBeef.SourceData_PastureBeef_LiveweightGain_Data(), Table_SourceData_PastureBeef_LiveweightGain[[#Headers],[State]],0)</f>
        <v>0.77</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v>
      </c>
      <c r="L162" s="37" cm="1">
        <f t="array" ref="L162">Common_InputFunctions.Utility_DisplayArrayInTable(SourceData_PastureBeef.SourceData_PastureBeef_LiveweightGain_Data(), Table_SourceData_PastureBeef_LiveweightGain[[#Headers],[State]],0)</f>
        <v>0.82</v>
      </c>
      <c r="M162" s="37"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Spring</v>
      </c>
      <c r="G163" s="37" cm="1">
        <f t="array" ref="G163">Common_InputFunctions.Utility_DisplayArrayInTable(SourceData_PastureBeef.SourceData_PastureBeef_LiveweightGain_Data(), Table_SourceData_PastureBeef_LiveweightGain[[#Headers],[State]],0)</f>
        <v>1</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1</v>
      </c>
      <c r="J163" s="37" cm="1">
        <f t="array" ref="J163">Common_InputFunctions.Utility_DisplayArrayInTable(SourceData_PastureBeef.SourceData_PastureBeef_LiveweightGain_Data(), Table_SourceData_PastureBeef_LiveweightGain[[#Headers],[State]],0)</f>
        <v>1</v>
      </c>
      <c r="K163" s="37" cm="1">
        <f t="array" ref="K163">Common_InputFunctions.Utility_DisplayArrayInTable(SourceData_PastureBeef.SourceData_PastureBeef_LiveweightGain_Data(), Table_SourceData_PastureBeef_LiveweightGain[[#Headers],[State]],0)</f>
        <v>-0.44</v>
      </c>
      <c r="L163" s="37" cm="1">
        <f t="array" ref="L163">Common_InputFunctions.Utility_DisplayArrayInTable(SourceData_PastureBeef.SourceData_PastureBeef_LiveweightGain_Data(), Table_SourceData_PastureBeef_LiveweightGain[[#Headers],[State]],0)</f>
        <v>1</v>
      </c>
      <c r="M163" s="37"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Summer</v>
      </c>
      <c r="G164" s="37" cm="1">
        <f t="array" ref="G164">Common_InputFunctions.Utility_DisplayArrayInTable(SourceData_PastureBeef.SourceData_PastureBeef_LiveweightGain_Data(), Table_SourceData_PastureBeef_LiveweightGain[[#Headers],[State]],0)</f>
        <v>0.82</v>
      </c>
      <c r="H164" s="37" cm="1">
        <f t="array" ref="H164">Common_InputFunctions.Utility_DisplayArrayInTable(SourceData_PastureBeef.SourceData_PastureBeef_LiveweightGain_Data(), Table_SourceData_PastureBeef_LiveweightGain[[#Headers],[State]],0)</f>
        <v>0.55000000000000004</v>
      </c>
      <c r="I164" s="37" cm="1">
        <f t="array" ref="I164">Common_InputFunctions.Utility_DisplayArrayInTable(SourceData_PastureBeef.SourceData_PastureBeef_LiveweightGain_Data(), Table_SourceData_PastureBeef_LiveweightGain[[#Headers],[State]],0)</f>
        <v>0.71</v>
      </c>
      <c r="J164" s="37" cm="1">
        <f t="array" ref="J164">Common_InputFunctions.Utility_DisplayArrayInTable(SourceData_PastureBeef.SourceData_PastureBeef_LiveweightGain_Data(), Table_SourceData_PastureBeef_LiveweightGain[[#Headers],[State]],0)</f>
        <v>0.55000000000000004</v>
      </c>
      <c r="K164" s="37" cm="1">
        <f t="array" ref="K164">Common_InputFunctions.Utility_DisplayArrayInTable(SourceData_PastureBeef.SourceData_PastureBeef_LiveweightGain_Data(), Table_SourceData_PastureBeef_LiveweightGain[[#Headers],[State]],0)</f>
        <v>0.99</v>
      </c>
      <c r="L164" s="37" cm="1">
        <f t="array" ref="L164">Common_InputFunctions.Utility_DisplayArrayInTable(SourceData_PastureBeef.SourceData_PastureBeef_LiveweightGain_Data(), Table_SourceData_PastureBeef_LiveweightGain[[#Headers],[State]],0)</f>
        <v>0.77</v>
      </c>
      <c r="M164" s="37"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Autumn</v>
      </c>
      <c r="G165" s="37" cm="1">
        <f t="array" ref="G165">Common_InputFunctions.Utility_DisplayArrayInTable(SourceData_PastureBeef.SourceData_PastureBeef_LiveweightGain_Data(), Table_SourceData_PastureBeef_LiveweightGain[[#Headers],[State]],0)</f>
        <v>0.77</v>
      </c>
      <c r="H165" s="37" cm="1">
        <f t="array" ref="H165">Common_InputFunctions.Utility_DisplayArrayInTable(SourceData_PastureBeef.SourceData_PastureBeef_LiveweightGain_Data(), Table_SourceData_PastureBeef_LiveweightGain[[#Headers],[State]],0)</f>
        <v>0.5</v>
      </c>
      <c r="I165" s="37" cm="1">
        <f t="array" ref="I165">Common_InputFunctions.Utility_DisplayArrayInTable(SourceData_PastureBeef.SourceData_PastureBeef_LiveweightGain_Data(), Table_SourceData_PastureBeef_LiveweightGain[[#Headers],[State]],0)</f>
        <v>0.55000000000000004</v>
      </c>
      <c r="J165" s="37" cm="1">
        <f t="array" ref="J165">Common_InputFunctions.Utility_DisplayArrayInTable(SourceData_PastureBeef.SourceData_PastureBeef_LiveweightGain_Data(), Table_SourceData_PastureBeef_LiveweightGain[[#Headers],[State]],0)</f>
        <v>0.11</v>
      </c>
      <c r="K165" s="37" cm="1">
        <f t="array" ref="K165">Common_InputFunctions.Utility_DisplayArrayInTable(SourceData_PastureBeef.SourceData_PastureBeef_LiveweightGain_Data(), Table_SourceData_PastureBeef_LiveweightGain[[#Headers],[State]],0)</f>
        <v>-0.33</v>
      </c>
      <c r="L165" s="37" cm="1">
        <f t="array" ref="L165">Common_InputFunctions.Utility_DisplayArrayInTable(SourceData_PastureBeef.SourceData_PastureBeef_LiveweightGain_Data(), Table_SourceData_PastureBeef_LiveweightGain[[#Headers],[State]],0)</f>
        <v>0.6</v>
      </c>
      <c r="M165" s="37"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Winter</v>
      </c>
      <c r="G166" s="37" cm="1">
        <f t="array" ref="G166">Common_InputFunctions.Utility_DisplayArrayInTable(SourceData_PastureBeef.SourceData_PastureBeef_LiveweightGain_Data(), Table_SourceData_PastureBeef_LiveweightGain[[#Headers],[State]],0)</f>
        <v>0.11</v>
      </c>
      <c r="H166" s="37" cm="1">
        <f t="array" ref="H166">Common_InputFunctions.Utility_DisplayArrayInTable(SourceData_PastureBeef.SourceData_PastureBeef_LiveweightGain_Data(), Table_SourceData_PastureBeef_LiveweightGain[[#Headers],[State]],0)</f>
        <v>-0.27</v>
      </c>
      <c r="I166" s="37" cm="1">
        <f t="array" ref="I166">Common_InputFunctions.Utility_DisplayArrayInTable(SourceData_PastureBeef.SourceData_PastureBeef_LiveweightGain_Data(), Table_SourceData_PastureBeef_LiveweightGain[[#Headers],[State]],0)</f>
        <v>0.11</v>
      </c>
      <c r="J166" s="37" cm="1">
        <f t="array" ref="J166">Common_InputFunctions.Utility_DisplayArrayInTable(SourceData_PastureBeef.SourceData_PastureBeef_LiveweightGain_Data(), Table_SourceData_PastureBeef_LiveweightGain[[#Headers],[State]],0)</f>
        <v>0.22</v>
      </c>
      <c r="K166" s="37" cm="1">
        <f t="array" ref="K166">Common_InputFunctions.Utility_DisplayArrayInTable(SourceData_PastureBeef.SourceData_PastureBeef_LiveweightGain_Data(), Table_SourceData_PastureBeef_LiveweightGain[[#Headers],[State]],0)</f>
        <v>-0.44</v>
      </c>
      <c r="L166" s="37" cm="1">
        <f t="array" ref="L166">Common_InputFunctions.Utility_DisplayArrayInTable(SourceData_PastureBeef.SourceData_PastureBeef_LiveweightGain_Data(), Table_SourceData_PastureBeef_LiveweightGain[[#Headers],[State]],0)</f>
        <v>0.16</v>
      </c>
      <c r="M166" s="37"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Spring</v>
      </c>
      <c r="G167" s="37" cm="1">
        <f t="array" ref="G167">Common_InputFunctions.Utility_DisplayArrayInTable(SourceData_PastureBeef.SourceData_PastureBeef_LiveweightGain_Data(), Table_SourceData_PastureBeef_LiveweightGain[[#Headers],[State]],0)</f>
        <v>1.1000000000000001</v>
      </c>
      <c r="H167" s="37" cm="1">
        <f t="array" ref="H167">Common_InputFunctions.Utility_DisplayArrayInTable(SourceData_PastureBeef.SourceData_PastureBeef_LiveweightGain_Data(), Table_SourceData_PastureBeef_LiveweightGain[[#Headers],[State]],0)</f>
        <v>1.1000000000000001</v>
      </c>
      <c r="I167" s="37" cm="1">
        <f t="array" ref="I167">Common_InputFunctions.Utility_DisplayArrayInTable(SourceData_PastureBeef.SourceData_PastureBeef_LiveweightGain_Data(), Table_SourceData_PastureBeef_LiveweightGain[[#Headers],[State]],0)</f>
        <v>1.1000000000000001</v>
      </c>
      <c r="J167" s="37" cm="1">
        <f t="array" ref="J167">Common_InputFunctions.Utility_DisplayArrayInTable(SourceData_PastureBeef.SourceData_PastureBeef_LiveweightGain_Data(), Table_SourceData_PastureBeef_LiveweightGain[[#Headers],[State]],0)</f>
        <v>0.99</v>
      </c>
      <c r="K167" s="37" cm="1">
        <f t="array" ref="K167">Common_InputFunctions.Utility_DisplayArrayInTable(SourceData_PastureBeef.SourceData_PastureBeef_LiveweightGain_Data(), Table_SourceData_PastureBeef_LiveweightGain[[#Headers],[State]],0)</f>
        <v>0.99</v>
      </c>
      <c r="L167" s="37" cm="1">
        <f t="array" ref="L167">Common_InputFunctions.Utility_DisplayArrayInTable(SourceData_PastureBeef.SourceData_PastureBeef_LiveweightGain_Data(), Table_SourceData_PastureBeef_LiveweightGain[[#Headers],[State]],0)</f>
        <v>1.1000000000000001</v>
      </c>
      <c r="M167" s="37"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Summer</v>
      </c>
      <c r="G168" s="37" cm="1">
        <f t="array" ref="G168">Common_InputFunctions.Utility_DisplayArrayInTable(SourceData_PastureBeef.SourceData_PastureBeef_LiveweightGain_Data(), Table_SourceData_PastureBeef_LiveweightGain[[#Headers],[State]],0)</f>
        <v>0.33</v>
      </c>
      <c r="H168" s="37" cm="1">
        <f t="array" ref="H168">Common_InputFunctions.Utility_DisplayArrayInTable(SourceData_PastureBeef.SourceData_PastureBeef_LiveweightGain_Data(), Table_SourceData_PastureBeef_LiveweightGain[[#Headers],[State]],0)</f>
        <v>0.33</v>
      </c>
      <c r="I168" s="37" cm="1">
        <f t="array" ref="I168">Common_InputFunctions.Utility_DisplayArrayInTable(SourceData_PastureBeef.SourceData_PastureBeef_LiveweightGain_Data(), Table_SourceData_PastureBeef_LiveweightGain[[#Headers],[State]],0)</f>
        <v>0.22</v>
      </c>
      <c r="J168" s="37" cm="1">
        <f t="array" ref="J168">Common_InputFunctions.Utility_DisplayArrayInTable(SourceData_PastureBeef.SourceData_PastureBeef_LiveweightGain_Data(), Table_SourceData_PastureBeef_LiveweightGain[[#Headers],[State]],0)</f>
        <v>0.33</v>
      </c>
      <c r="K168" s="37" cm="1">
        <f t="array" ref="K168">Common_InputFunctions.Utility_DisplayArrayInTable(SourceData_PastureBeef.SourceData_PastureBeef_LiveweightGain_Data(), Table_SourceData_PastureBeef_LiveweightGain[[#Headers],[State]],0)</f>
        <v>-0.1</v>
      </c>
      <c r="L168" s="37" cm="1">
        <f t="array" ref="L168">Common_InputFunctions.Utility_DisplayArrayInTable(SourceData_PastureBeef.SourceData_PastureBeef_LiveweightGain_Data(), Table_SourceData_PastureBeef_LiveweightGain[[#Headers],[State]],0)</f>
        <v>0.33</v>
      </c>
      <c r="M168" s="37"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7" t="str" cm="1">
        <f t="array" ref="E169">Common_InputFunctions.Utility_DisplayArrayInTable(SourceData_PastureBeef.SourceData_PastureBeef_LiveweightGain_Data(), Table_SourceData_PastureBeef_LiveweightGain[[#Headers],[State]],0)</f>
        <v>n/a</v>
      </c>
      <c r="F169" s="37" t="str" cm="1">
        <f t="array" ref="F169">Common_InputFunctions.Utility_DisplayArrayInTable(SourceData_PastureBeef.SourceData_PastureBeef_LiveweightGain_Data(), Table_SourceData_PastureBeef_LiveweightGain[[#Headers],[State]],0)</f>
        <v>Autumn</v>
      </c>
      <c r="G169" s="37" cm="1">
        <f t="array" ref="G169">Common_InputFunctions.Utility_DisplayArrayInTable(SourceData_PastureBeef.SourceData_PastureBeef_LiveweightGain_Data(), Table_SourceData_PastureBeef_LiveweightGain[[#Headers],[State]],0)</f>
        <v>0.5</v>
      </c>
      <c r="H169" s="37" cm="1">
        <f t="array" ref="H169">Common_InputFunctions.Utility_DisplayArrayInTable(SourceData_PastureBeef.SourceData_PastureBeef_LiveweightGain_Data(), Table_SourceData_PastureBeef_LiveweightGain[[#Headers],[State]],0)</f>
        <v>0.2</v>
      </c>
      <c r="I169" s="37" cm="1">
        <f t="array" ref="I169">Common_InputFunctions.Utility_DisplayArrayInTable(SourceData_PastureBeef.SourceData_PastureBeef_LiveweightGain_Data(), Table_SourceData_PastureBeef_LiveweightGain[[#Headers],[State]],0)</f>
        <v>0.55000000000000004</v>
      </c>
      <c r="J169" s="37" cm="1">
        <f t="array" ref="J169">Common_InputFunctions.Utility_DisplayArrayInTable(SourceData_PastureBeef.SourceData_PastureBeef_LiveweightGain_Data(), Table_SourceData_PastureBeef_LiveweightGain[[#Headers],[State]],0)</f>
        <v>0.44</v>
      </c>
      <c r="K169" s="37" cm="1">
        <f t="array" ref="K169">Common_InputFunctions.Utility_DisplayArrayInTable(SourceData_PastureBeef.SourceData_PastureBeef_LiveweightGain_Data(), Table_SourceData_PastureBeef_LiveweightGain[[#Headers],[State]],0)</f>
        <v>0.2</v>
      </c>
      <c r="L169" s="37" cm="1">
        <f t="array" ref="L169">Common_InputFunctions.Utility_DisplayArrayInTable(SourceData_PastureBeef.SourceData_PastureBeef_LiveweightGain_Data(), Table_SourceData_PastureBeef_LiveweightGain[[#Headers],[State]],0)</f>
        <v>0.55000000000000004</v>
      </c>
      <c r="M169" s="37"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7" t="str" cm="1">
        <f t="array" ref="E170">Common_InputFunctions.Utility_DisplayArrayInTable(SourceData_PastureBeef.SourceData_PastureBeef_LiveweightGain_Data(), Table_SourceData_PastureBeef_LiveweightGain[[#Headers],[State]],0)</f>
        <v>n/a</v>
      </c>
      <c r="F170" s="37" t="str" cm="1">
        <f t="array" ref="F170">Common_InputFunctions.Utility_DisplayArrayInTable(SourceData_PastureBeef.SourceData_PastureBeef_LiveweightGain_Data(), Table_SourceData_PastureBeef_LiveweightGain[[#Headers],[State]],0)</f>
        <v>Winter</v>
      </c>
      <c r="G170" s="37" cm="1">
        <f t="array" ref="G170">Common_InputFunctions.Utility_DisplayArrayInTable(SourceData_PastureBeef.SourceData_PastureBeef_LiveweightGain_Data(), Table_SourceData_PastureBeef_LiveweightGain[[#Headers],[State]],0)</f>
        <v>0.55000000000000004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0.49</v>
      </c>
      <c r="J170" s="37" cm="1">
        <f t="array" ref="J170">Common_InputFunctions.Utility_DisplayArrayInTable(SourceData_PastureBeef.SourceData_PastureBeef_LiveweightGain_Data(), Table_SourceData_PastureBeef_LiveweightGain[[#Headers],[State]],0)</f>
        <v>0.22</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0.49</v>
      </c>
      <c r="M170" s="37"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Spring</v>
      </c>
      <c r="G171" s="37" cm="1">
        <f t="array" ref="G171">Common_InputFunctions.Utility_DisplayArrayInTable(SourceData_PastureBeef.SourceData_PastureBeef_LiveweightGain_Data(), Table_SourceData_PastureBeef_LiveweightGain[[#Headers],[State]],0)</f>
        <v>1.64</v>
      </c>
      <c r="H171" s="37" cm="1">
        <f t="array" ref="H171">Common_InputFunctions.Utility_DisplayArrayInTable(SourceData_PastureBeef.SourceData_PastureBeef_LiveweightGain_Data(), Table_SourceData_PastureBeef_LiveweightGain[[#Headers],[State]],0)</f>
        <v>1.1000000000000001</v>
      </c>
      <c r="I171" s="37" cm="1">
        <f t="array" ref="I171">Common_InputFunctions.Utility_DisplayArrayInTable(SourceData_PastureBeef.SourceData_PastureBeef_LiveweightGain_Data(), Table_SourceData_PastureBeef_LiveweightGain[[#Headers],[State]],0)</f>
        <v>1.21</v>
      </c>
      <c r="J171" s="37" cm="1">
        <f t="array" ref="J171">Common_InputFunctions.Utility_DisplayArrayInTable(SourceData_PastureBeef.SourceData_PastureBeef_LiveweightGain_Data(), Table_SourceData_PastureBeef_LiveweightGain[[#Headers],[State]],0)</f>
        <v>0.99</v>
      </c>
      <c r="K171" s="37" cm="1">
        <f t="array" ref="K171">Common_InputFunctions.Utility_DisplayArrayInTable(SourceData_PastureBeef.SourceData_PastureBeef_LiveweightGain_Data(), Table_SourceData_PastureBeef_LiveweightGain[[#Headers],[State]],0)</f>
        <v>0.66</v>
      </c>
      <c r="L171" s="37" cm="1">
        <f t="array" ref="L171">Common_InputFunctions.Utility_DisplayArrayInTable(SourceData_PastureBeef.SourceData_PastureBeef_LiveweightGain_Data(), Table_SourceData_PastureBeef_LiveweightGain[[#Headers],[State]],0)</f>
        <v>1.42</v>
      </c>
      <c r="M171" s="37"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Summer</v>
      </c>
      <c r="G172" s="37" cm="1">
        <f t="array" ref="G172">Common_InputFunctions.Utility_DisplayArrayInTable(SourceData_PastureBeef.SourceData_PastureBeef_LiveweightGain_Data(), Table_SourceData_PastureBeef_LiveweightGain[[#Headers],[State]],0)</f>
        <v>0.44</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0.44</v>
      </c>
      <c r="J172" s="37" cm="1">
        <f t="array" ref="J172">Common_InputFunctions.Utility_DisplayArrayInTable(SourceData_PastureBeef.SourceData_PastureBeef_LiveweightGain_Data(), Table_SourceData_PastureBeef_LiveweightGain[[#Headers],[State]],0)</f>
        <v>0.33</v>
      </c>
      <c r="K172" s="37" cm="1">
        <f t="array" ref="K172">Common_InputFunctions.Utility_DisplayArrayInTable(SourceData_PastureBeef.SourceData_PastureBeef_LiveweightGain_Data(), Table_SourceData_PastureBeef_LiveweightGain[[#Headers],[State]],0)</f>
        <v>-0.22</v>
      </c>
      <c r="L172" s="37" cm="1">
        <f t="array" ref="L172">Common_InputFunctions.Utility_DisplayArrayInTable(SourceData_PastureBeef.SourceData_PastureBeef_LiveweightGain_Data(), Table_SourceData_PastureBeef_LiveweightGain[[#Headers],[State]],0)</f>
        <v>0.44</v>
      </c>
      <c r="M172" s="37"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South West</v>
      </c>
      <c r="F173" s="37" t="str" cm="1">
        <f t="array" ref="F173">Common_InputFunctions.Utility_DisplayArrayInTable(SourceData_PastureBeef.SourceData_PastureBeef_LiveweightGain_Data(), Table_SourceData_PastureBeef_LiveweightGain[[#Headers],[State]],0)</f>
        <v>Autumn</v>
      </c>
      <c r="G173" s="37" cm="1">
        <f t="array" ref="G173">Common_InputFunctions.Utility_DisplayArrayInTable(SourceData_PastureBeef.SourceData_PastureBeef_LiveweightGain_Data(), Table_SourceData_PastureBeef_LiveweightGain[[#Headers],[State]],0)</f>
        <v>0.6</v>
      </c>
      <c r="H173" s="37" cm="1">
        <f t="array" ref="H173">Common_InputFunctions.Utility_DisplayArrayInTable(SourceData_PastureBeef.SourceData_PastureBeef_LiveweightGain_Data(), Table_SourceData_PastureBeef_LiveweightGain[[#Headers],[State]],0)</f>
        <v>0</v>
      </c>
      <c r="I173" s="37" cm="1">
        <f t="array" ref="I173">Common_InputFunctions.Utility_DisplayArrayInTable(SourceData_PastureBeef.SourceData_PastureBeef_LiveweightGain_Data(), Table_SourceData_PastureBeef_LiveweightGain[[#Headers],[State]],0)</f>
        <v>0.6</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-0.55000000000000004</v>
      </c>
      <c r="L173" s="37" cm="1">
        <f t="array" ref="L173">Common_InputFunctions.Utility_DisplayArrayInTable(SourceData_PastureBeef.SourceData_PastureBeef_LiveweightGain_Data(), Table_SourceData_PastureBeef_LiveweightGain[[#Headers],[State]],0)</f>
        <v>0.6</v>
      </c>
      <c r="M173" s="37"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South West</v>
      </c>
      <c r="F174" s="37" t="str" cm="1">
        <f t="array" ref="F174">Common_InputFunctions.Utility_DisplayArrayInTable(SourceData_PastureBeef.SourceData_PastureBeef_LiveweightGain_Data(), Table_SourceData_PastureBeef_LiveweightGain[[#Headers],[State]],0)</f>
        <v>Winter</v>
      </c>
      <c r="G174" s="37" cm="1">
        <f t="array" ref="G174">Common_InputFunctions.Utility_DisplayArrayInTable(SourceData_PastureBeef.SourceData_PastureBeef_LiveweightGain_Data(), Table_SourceData_PastureBeef_LiveweightGain[[#Headers],[State]],0)</f>
        <v>0.99</v>
      </c>
      <c r="H174" s="37" cm="1">
        <f t="array" ref="H174">Common_InputFunctions.Utility_DisplayArrayInTable(SourceData_PastureBeef.SourceData_PastureBeef_LiveweightGain_Data(), Table_SourceData_PastureBeef_LiveweightGain[[#Headers],[State]],0)</f>
        <v>0.22</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0.11</v>
      </c>
      <c r="K174" s="37" cm="1">
        <f t="array" ref="K174">Common_InputFunctions.Utility_DisplayArrayInTable(SourceData_PastureBeef.SourceData_PastureBeef_LiveweightGain_Data(), Table_SourceData_PastureBeef_LiveweightGain[[#Headers],[State]],0)</f>
        <v>0.11</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Spring</v>
      </c>
      <c r="G175" s="37" cm="1">
        <f t="array" ref="G175">Common_InputFunctions.Utility_DisplayArrayInTable(SourceData_PastureBeef.SourceData_PastureBeef_LiveweightGain_Data(), Table_SourceData_PastureBeef_LiveweightGain[[#Headers],[State]],0)</f>
        <v>0.7</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0.7</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0.7</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Summer</v>
      </c>
      <c r="G176" s="37" cm="1">
        <f t="array" ref="G176">Common_InputFunctions.Utility_DisplayArrayInTable(SourceData_PastureBeef.SourceData_PastureBeef_LiveweightGain_Data(), Table_SourceData_PastureBeef_LiveweightGain[[#Headers],[State]],0)</f>
        <v>0.77</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0.77</v>
      </c>
      <c r="J176" s="37" cm="1">
        <f t="array" ref="J176">Common_InputFunctions.Utility_DisplayArrayInTable(SourceData_PastureBeef.SourceData_PastureBeef_LiveweightGain_Data(), Table_SourceData_PastureBeef_LiveweightGain[[#Headers],[State]],0)</f>
        <v>0.66</v>
      </c>
      <c r="K176" s="37" cm="1">
        <f t="array" ref="K176">Common_InputFunctions.Utility_DisplayArrayInTable(SourceData_PastureBeef.SourceData_PastureBeef_LiveweightGain_Data(), Table_SourceData_PastureBeef_LiveweightGain[[#Headers],[State]],0)</f>
        <v>0.55000000000000004</v>
      </c>
      <c r="L176" s="37" cm="1">
        <f t="array" ref="L176">Common_InputFunctions.Utility_DisplayArrayInTable(SourceData_PastureBeef.SourceData_PastureBeef_LiveweightGain_Data(), Table_SourceData_PastureBeef_LiveweightGain[[#Headers],[State]],0)</f>
        <v>0.77</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Pilbara</v>
      </c>
      <c r="F177" s="37" t="str" cm="1">
        <f t="array" ref="F177">Common_InputFunctions.Utility_DisplayArrayInTable(SourceData_PastureBeef.SourceData_PastureBeef_LiveweightGain_Data(), Table_SourceData_PastureBeef_LiveweightGain[[#Headers],[State]],0)</f>
        <v>Autumn</v>
      </c>
      <c r="G177" s="37" cm="1">
        <f t="array" ref="G177">Common_InputFunctions.Utility_DisplayArrayInTable(SourceData_PastureBeef.SourceData_PastureBeef_LiveweightGain_Data(), Table_SourceData_PastureBeef_LiveweightGain[[#Headers],[State]],0)</f>
        <v>0.88</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0.88</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0.22</v>
      </c>
      <c r="L177" s="37" cm="1">
        <f t="array" ref="L177">Common_InputFunctions.Utility_DisplayArrayInTable(SourceData_PastureBeef.SourceData_PastureBeef_LiveweightGain_Data(), Table_SourceData_PastureBeef_LiveweightGain[[#Headers],[State]],0)</f>
        <v>0.88</v>
      </c>
      <c r="M177" s="37"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Pilbara</v>
      </c>
      <c r="F178" s="37" t="str" cm="1">
        <f t="array" ref="F178">Common_InputFunctions.Utility_DisplayArrayInTable(SourceData_PastureBeef.SourceData_PastureBeef_LiveweightGain_Data(), Table_SourceData_PastureBeef_LiveweightGain[[#Headers],[State]],0)</f>
        <v>Winter</v>
      </c>
      <c r="G178" s="37" cm="1">
        <f t="array" ref="G178">Common_InputFunctions.Utility_DisplayArrayInTable(SourceData_PastureBeef.SourceData_PastureBeef_LiveweightGain_Data(), Table_SourceData_PastureBeef_LiveweightGain[[#Headers],[State]],0)</f>
        <v>0.22</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0.22</v>
      </c>
      <c r="J178" s="37" cm="1">
        <f t="array" ref="J178">Common_InputFunctions.Utility_DisplayArrayInTable(SourceData_PastureBeef.SourceData_PastureBeef_LiveweightGain_Data(), Table_SourceData_PastureBeef_LiveweightGain[[#Headers],[State]],0)</f>
        <v>0.11</v>
      </c>
      <c r="K178" s="37" cm="1">
        <f t="array" ref="K178">Common_InputFunctions.Utility_DisplayArrayInTable(SourceData_PastureBeef.SourceData_PastureBeef_LiveweightGain_Data(), Table_SourceData_PastureBeef_LiveweightGain[[#Headers],[State]],0)</f>
        <v>-0.22</v>
      </c>
      <c r="L178" s="37" cm="1">
        <f t="array" ref="L178">Common_InputFunctions.Utility_DisplayArrayInTable(SourceData_PastureBeef.SourceData_PastureBeef_LiveweightGain_Data(), Table_SourceData_PastureBeef_LiveweightGain[[#Headers],[State]],0)</f>
        <v>0.22</v>
      </c>
      <c r="M178" s="37"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Spring</v>
      </c>
      <c r="G179" s="37" cm="1">
        <f t="array" ref="G179">Common_InputFunctions.Utility_DisplayArrayInTable(SourceData_PastureBeef.SourceData_PastureBeef_LiveweightGain_Data(), Table_SourceData_PastureBeef_LiveweightGain[[#Headers],[State]],0)</f>
        <v>0.22</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0.33</v>
      </c>
      <c r="J179" s="37" cm="1">
        <f t="array" ref="J179">Common_InputFunctions.Utility_DisplayArrayInTable(SourceData_PastureBeef.SourceData_PastureBeef_LiveweightGain_Data(), Table_SourceData_PastureBeef_LiveweightGain[[#Headers],[State]],0)</f>
        <v>0.22</v>
      </c>
      <c r="K179" s="37" cm="1">
        <f t="array" ref="K179">Common_InputFunctions.Utility_DisplayArrayInTable(SourceData_PastureBeef.SourceData_PastureBeef_LiveweightGain_Data(), Table_SourceData_PastureBeef_LiveweightGain[[#Headers],[State]],0)</f>
        <v>-0.33</v>
      </c>
      <c r="L179" s="37" cm="1">
        <f t="array" ref="L179">Common_InputFunctions.Utility_DisplayArrayInTable(SourceData_PastureBeef.SourceData_PastureBeef_LiveweightGain_Data(), Table_SourceData_PastureBeef_LiveweightGain[[#Headers],[State]],0)</f>
        <v>0.22</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Summer</v>
      </c>
      <c r="G180" s="37" cm="1">
        <f t="array" ref="G180">Common_InputFunctions.Utility_DisplayArrayInTable(SourceData_PastureBeef.SourceData_PastureBeef_LiveweightGain_Data(), Table_SourceData_PastureBeef_LiveweightGain[[#Headers],[State]],0)</f>
        <v>0.8</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0.7</v>
      </c>
      <c r="J180" s="37" cm="1">
        <f t="array" ref="J180">Common_InputFunctions.Utility_DisplayArrayInTable(SourceData_PastureBeef.SourceData_PastureBeef_LiveweightGain_Data(), Table_SourceData_PastureBeef_LiveweightGain[[#Headers],[State]],0)</f>
        <v>0.44</v>
      </c>
      <c r="K180" s="37" cm="1">
        <f t="array" ref="K180">Common_InputFunctions.Utility_DisplayArrayInTable(SourceData_PastureBeef.SourceData_PastureBeef_LiveweightGain_Data(), Table_SourceData_PastureBeef_LiveweightGain[[#Headers],[State]],0)</f>
        <v>0.66</v>
      </c>
      <c r="L180" s="37" cm="1">
        <f t="array" ref="L180">Common_InputFunctions.Utility_DisplayArrayInTable(SourceData_PastureBeef.SourceData_PastureBeef_LiveweightGain_Data(), Table_SourceData_PastureBeef_LiveweightGain[[#Headers],[State]],0)</f>
        <v>0.8</v>
      </c>
      <c r="M180" s="37"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7" t="str" cm="1">
        <f t="array" ref="E181">Common_InputFunctions.Utility_DisplayArrayInTable(SourceData_PastureBeef.SourceData_PastureBeef_LiveweightGain_Data(), Table_SourceData_PastureBeef_LiveweightGain[[#Headers],[State]],0)</f>
        <v>Kimberley</v>
      </c>
      <c r="F181" s="37" t="str" cm="1">
        <f t="array" ref="F181">Common_InputFunctions.Utility_DisplayArrayInTable(SourceData_PastureBeef.SourceData_PastureBeef_LiveweightGain_Data(), Table_SourceData_PastureBeef_LiveweightGain[[#Headers],[State]],0)</f>
        <v>Autumn</v>
      </c>
      <c r="G181" s="37" cm="1">
        <f t="array" ref="G181">Common_InputFunctions.Utility_DisplayArrayInTable(SourceData_PastureBeef.SourceData_PastureBeef_LiveweightGain_Data(), Table_SourceData_PastureBeef_LiveweightGain[[#Headers],[State]],0)</f>
        <v>0.66</v>
      </c>
      <c r="H181" s="37" cm="1">
        <f t="array" ref="H181">Common_InputFunctions.Utility_DisplayArrayInTable(SourceData_PastureBeef.SourceData_PastureBeef_LiveweightGain_Data(), Table_SourceData_PastureBeef_LiveweightGain[[#Headers],[State]],0)</f>
        <v>0.55000000000000004</v>
      </c>
      <c r="I181" s="37" cm="1">
        <f t="array" ref="I181">Common_InputFunctions.Utility_DisplayArrayInTable(SourceData_PastureBeef.SourceData_PastureBeef_LiveweightGain_Data(), Table_SourceData_PastureBeef_LiveweightGain[[#Headers],[State]],0)</f>
        <v>0.55000000000000004</v>
      </c>
      <c r="J181" s="37" cm="1">
        <f t="array" ref="J181">Common_InputFunctions.Utility_DisplayArrayInTable(SourceData_PastureBeef.SourceData_PastureBeef_LiveweightGain_Data(), Table_SourceData_PastureBeef_LiveweightGain[[#Headers],[State]],0)</f>
        <v>0.55000000000000004</v>
      </c>
      <c r="K181" s="37" cm="1">
        <f t="array" ref="K181">Common_InputFunctions.Utility_DisplayArrayInTable(SourceData_PastureBeef.SourceData_PastureBeef_LiveweightGain_Data(), Table_SourceData_PastureBeef_LiveweightGain[[#Headers],[State]],0)</f>
        <v>0.11</v>
      </c>
      <c r="L181" s="37" cm="1">
        <f t="array" ref="L181">Common_InputFunctions.Utility_DisplayArrayInTable(SourceData_PastureBeef.SourceData_PastureBeef_LiveweightGain_Data(), Table_SourceData_PastureBeef_LiveweightGain[[#Headers],[State]],0)</f>
        <v>0.66</v>
      </c>
      <c r="M181" s="37"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7" t="str" cm="1">
        <f t="array" ref="E182">Common_InputFunctions.Utility_DisplayArrayInTable(SourceData_PastureBeef.SourceData_PastureBeef_LiveweightGain_Data(), Table_SourceData_PastureBeef_LiveweightGain[[#Headers],[State]],0)</f>
        <v>Kimberley</v>
      </c>
      <c r="F182" s="37" t="str" cm="1">
        <f t="array" ref="F182">Common_InputFunctions.Utility_DisplayArrayInTable(SourceData_PastureBeef.SourceData_PastureBeef_LiveweightGain_Data(), Table_SourceData_PastureBeef_LiveweightGain[[#Headers],[State]],0)</f>
        <v>Winter</v>
      </c>
      <c r="G182" s="37" cm="1">
        <f t="array" ref="G182">Common_InputFunctions.Utility_DisplayArrayInTable(SourceData_PastureBeef.SourceData_PastureBeef_LiveweightGain_Data(), Table_SourceData_PastureBeef_LiveweightGain[[#Headers],[State]],0)</f>
        <v>0.33</v>
      </c>
      <c r="H182" s="37" cm="1">
        <f t="array" ref="H182">Common_InputFunctions.Utility_DisplayArrayInTable(SourceData_PastureBeef.SourceData_PastureBeef_LiveweightGain_Data(), Table_SourceData_PastureBeef_LiveweightGain[[#Headers],[State]],0)</f>
        <v>-0.55000000000000004</v>
      </c>
      <c r="I182" s="37" cm="1">
        <f t="array" ref="I182">Common_InputFunctions.Utility_DisplayArrayInTable(SourceData_PastureBeef.SourceData_PastureBeef_LiveweightGain_Data(), Table_SourceData_PastureBeef_LiveweightGain[[#Headers],[State]],0)</f>
        <v>0.11</v>
      </c>
      <c r="J182" s="37" cm="1">
        <f t="array" ref="J182">Common_InputFunctions.Utility_DisplayArrayInTable(SourceData_PastureBeef.SourceData_PastureBeef_LiveweightGain_Data(), Table_SourceData_PastureBeef_LiveweightGain[[#Headers],[State]],0)</f>
        <v>0.11</v>
      </c>
      <c r="K182" s="37" cm="1">
        <f t="array" ref="K182">Common_InputFunctions.Utility_DisplayArrayInTable(SourceData_PastureBeef.SourceData_PastureBeef_LiveweightGain_Data(), Table_SourceData_PastureBeef_LiveweightGain[[#Headers],[State]],0)</f>
        <v>-0.44</v>
      </c>
      <c r="L182" s="37" cm="1">
        <f t="array" ref="L182">Common_InputFunctions.Utility_DisplayArrayInTable(SourceData_PastureBeef.SourceData_PastureBeef_LiveweightGain_Data(), Table_SourceData_PastureBeef_LiveweightGain[[#Headers],[State]],0)</f>
        <v>0.33</v>
      </c>
      <c r="M182" s="37"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4" t="str" cm="1">
        <f t="array" ref="D188">SourceData_PastureBeef.SourceData_PastureBeef_LiveweightGainNTQLD_Unit()</f>
        <v>kg</v>
      </c>
      <c r="M188" s="1"/>
    </row>
    <row r="189" spans="4:16" x14ac:dyDescent="0.25">
      <c r="D189" s="37" t="s">
        <v>8</v>
      </c>
      <c r="E189" s="37" t="s">
        <v>183</v>
      </c>
      <c r="F189" s="37" t="s">
        <v>184</v>
      </c>
      <c r="G189" s="37" t="s">
        <v>203</v>
      </c>
      <c r="H189" s="37" t="s">
        <v>192</v>
      </c>
      <c r="I189" s="37" t="s">
        <v>224</v>
      </c>
      <c r="J189" s="37" t="s">
        <v>188</v>
      </c>
      <c r="K189" s="37" t="s">
        <v>227</v>
      </c>
      <c r="L189" s="37" t="s">
        <v>228</v>
      </c>
      <c r="M189" s="37" t="s">
        <v>197</v>
      </c>
      <c r="N189" s="37" t="s">
        <v>198</v>
      </c>
      <c r="O189" s="37" t="s">
        <v>199</v>
      </c>
      <c r="P189" s="37" t="s">
        <v>200</v>
      </c>
    </row>
    <row r="190" spans="4:16" x14ac:dyDescent="0.25">
      <c r="D190" s="37"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Spring</v>
      </c>
      <c r="G190" s="37" cm="1">
        <f t="array" ref="G190">Common_InputFunctions.Utility_DisplayArrayInTable(SourceData_PastureBeef.SourceData_PastureBeef_LiveweightGainNTQLD_Data(),Table_SourceData_PastureBeef_LiveweightGainNTQLD[[#Headers],[State]],0)</f>
        <v>0.22</v>
      </c>
      <c r="H190" s="37" cm="1">
        <f t="array" ref="H190">Common_InputFunctions.Utility_DisplayArrayInTable(SourceData_PastureBeef.SourceData_PastureBeef_LiveweightGainNTQLD_Data(),Table_SourceData_PastureBeef_LiveweightGainNTQLD[[#Headers],[State]],0)</f>
        <v>-0.23</v>
      </c>
      <c r="I190" s="37" cm="1">
        <f t="array" ref="I190">Common_InputFunctions.Utility_DisplayArrayInTable(SourceData_PastureBeef.SourceData_PastureBeef_LiveweightGainNTQLD_Data(),Table_SourceData_PastureBeef_LiveweightGainNTQLD[[#Headers],[State]],0)</f>
        <v>0.25</v>
      </c>
      <c r="J190" s="37" cm="1">
        <f t="array" ref="J190">Common_InputFunctions.Utility_DisplayArrayInTable(SourceData_PastureBeef.SourceData_PastureBeef_LiveweightGainNTQLD_Data(),Table_SourceData_PastureBeef_LiveweightGainNTQLD[[#Headers],[State]],0)</f>
        <v>0.17</v>
      </c>
      <c r="K190" s="37" cm="1">
        <f t="array" ref="K190">Common_InputFunctions.Utility_DisplayArrayInTable(SourceData_PastureBeef.SourceData_PastureBeef_LiveweightGainNTQLD_Data(),Table_SourceData_PastureBeef_LiveweightGainNTQLD[[#Headers],[State]],0)</f>
        <v>0.18</v>
      </c>
      <c r="L190" s="37" cm="1">
        <f t="array" ref="L190">Common_InputFunctions.Utility_DisplayArrayInTable(SourceData_PastureBeef.SourceData_PastureBeef_LiveweightGainNTQLD_Data(),Table_SourceData_PastureBeef_LiveweightGainNTQLD[[#Headers],[State]],0)</f>
        <v>-0.28000000000000003</v>
      </c>
      <c r="M190" s="37" cm="1">
        <f t="array" ref="M190">Common_InputFunctions.Utility_DisplayArrayInTable(SourceData_PastureBeef.SourceData_PastureBeef_LiveweightGainNTQLD_Data(),Table_SourceData_PastureBeef_LiveweightGainNTQLD[[#Headers],[State]],0)</f>
        <v>0.32</v>
      </c>
      <c r="N190" s="37" cm="1">
        <f t="array" ref="N190">Common_InputFunctions.Utility_DisplayArrayInTable(SourceData_PastureBeef.SourceData_PastureBeef_LiveweightGainNTQLD_Data(),Table_SourceData_PastureBeef_LiveweightGainNTQLD[[#Headers],[State]],0)</f>
        <v>0.24</v>
      </c>
      <c r="O190" s="37" cm="1">
        <f t="array" ref="O190">Common_InputFunctions.Utility_DisplayArrayInTable(SourceData_PastureBeef.SourceData_PastureBeef_LiveweightGainNTQLD_Data(),Table_SourceData_PastureBeef_LiveweightGainNTQLD[[#Headers],[State]],0)</f>
        <v>0.25</v>
      </c>
      <c r="P190" s="37"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Summer</v>
      </c>
      <c r="G191" s="37" cm="1">
        <f t="array" ref="G191">Common_InputFunctions.Utility_DisplayArrayInTable(SourceData_PastureBeef.SourceData_PastureBeef_LiveweightGainNTQLD_Data(),Table_SourceData_PastureBeef_LiveweightGainNTQLD[[#Headers],[State]],0)</f>
        <v>0.66</v>
      </c>
      <c r="H191" s="37" cm="1">
        <f t="array" ref="H191">Common_InputFunctions.Utility_DisplayArrayInTable(SourceData_PastureBeef.SourceData_PastureBeef_LiveweightGainNTQLD_Data(),Table_SourceData_PastureBeef_LiveweightGainNTQLD[[#Headers],[State]],0)</f>
        <v>0.2</v>
      </c>
      <c r="I191" s="37" cm="1">
        <f t="array" ref="I191">Common_InputFunctions.Utility_DisplayArrayInTable(SourceData_PastureBeef.SourceData_PastureBeef_LiveweightGainNTQLD_Data(),Table_SourceData_PastureBeef_LiveweightGainNTQLD[[#Headers],[State]],0)</f>
        <v>0.62</v>
      </c>
      <c r="J191" s="37" cm="1">
        <f t="array" ref="J191">Common_InputFunctions.Utility_DisplayArrayInTable(SourceData_PastureBeef.SourceData_PastureBeef_LiveweightGainNTQLD_Data(),Table_SourceData_PastureBeef_LiveweightGainNTQLD[[#Headers],[State]],0)</f>
        <v>0.54</v>
      </c>
      <c r="K191" s="37" cm="1">
        <f t="array" ref="K191">Common_InputFunctions.Utility_DisplayArrayInTable(SourceData_PastureBeef.SourceData_PastureBeef_LiveweightGainNTQLD_Data(),Table_SourceData_PastureBeef_LiveweightGainNTQLD[[#Headers],[State]],0)</f>
        <v>0.38</v>
      </c>
      <c r="L191" s="37" cm="1">
        <f t="array" ref="L191">Common_InputFunctions.Utility_DisplayArrayInTable(SourceData_PastureBeef.SourceData_PastureBeef_LiveweightGainNTQLD_Data(),Table_SourceData_PastureBeef_LiveweightGainNTQLD[[#Headers],[State]],0)</f>
        <v>0.27</v>
      </c>
      <c r="M191" s="37" cm="1">
        <f t="array" ref="M191">Common_InputFunctions.Utility_DisplayArrayInTable(SourceData_PastureBeef.SourceData_PastureBeef_LiveweightGainNTQLD_Data(),Table_SourceData_PastureBeef_LiveweightGainNTQLD[[#Headers],[State]],0)</f>
        <v>0.75</v>
      </c>
      <c r="N191" s="37" cm="1">
        <f t="array" ref="N191">Common_InputFunctions.Utility_DisplayArrayInTable(SourceData_PastureBeef.SourceData_PastureBeef_LiveweightGainNTQLD_Data(),Table_SourceData_PastureBeef_LiveweightGainNTQLD[[#Headers],[State]],0)</f>
        <v>0.64</v>
      </c>
      <c r="O191" s="37" cm="1">
        <f t="array" ref="O191">Common_InputFunctions.Utility_DisplayArrayInTable(SourceData_PastureBeef.SourceData_PastureBeef_LiveweightGainNTQLD_Data(),Table_SourceData_PastureBeef_LiveweightGainNTQLD[[#Headers],[State]],0)</f>
        <v>0.55000000000000004</v>
      </c>
      <c r="P191" s="37"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Alice Springs</v>
      </c>
      <c r="F192" s="37" t="str" cm="1">
        <f t="array" ref="F192">Common_InputFunctions.Utility_DisplayArrayInTable(SourceData_PastureBeef.SourceData_PastureBeef_LiveweightGainNTQLD_Data(),Table_SourceData_PastureBeef_LiveweightGainNTQLD[[#Headers],[State]],0)</f>
        <v>Autumn</v>
      </c>
      <c r="G192" s="37" cm="1">
        <f t="array" ref="G192">Common_InputFunctions.Utility_DisplayArrayInTable(SourceData_PastureBeef.SourceData_PastureBeef_LiveweightGainNTQLD_Data(),Table_SourceData_PastureBeef_LiveweightGainNTQLD[[#Headers],[State]],0)</f>
        <v>0.49</v>
      </c>
      <c r="H192" s="37" cm="1">
        <f t="array" ref="H192">Common_InputFunctions.Utility_DisplayArrayInTable(SourceData_PastureBeef.SourceData_PastureBeef_LiveweightGainNTQLD_Data(),Table_SourceData_PastureBeef_LiveweightGainNTQLD[[#Headers],[State]],0)</f>
        <v>0.13</v>
      </c>
      <c r="I192" s="37" cm="1">
        <f t="array" ref="I192">Common_InputFunctions.Utility_DisplayArrayInTable(SourceData_PastureBeef.SourceData_PastureBeef_LiveweightGainNTQLD_Data(),Table_SourceData_PastureBeef_LiveweightGainNTQLD[[#Headers],[State]],0)</f>
        <v>0.54</v>
      </c>
      <c r="J192" s="37" cm="1">
        <f t="array" ref="J192">Common_InputFunctions.Utility_DisplayArrayInTable(SourceData_PastureBeef.SourceData_PastureBeef_LiveweightGainNTQLD_Data(),Table_SourceData_PastureBeef_LiveweightGainNTQLD[[#Headers],[State]],0)</f>
        <v>0.45</v>
      </c>
      <c r="K192" s="37" cm="1">
        <f t="array" ref="K192">Common_InputFunctions.Utility_DisplayArrayInTable(SourceData_PastureBeef.SourceData_PastureBeef_LiveweightGainNTQLD_Data(),Table_SourceData_PastureBeef_LiveweightGainNTQLD[[#Headers],[State]],0)</f>
        <v>0.35</v>
      </c>
      <c r="L192" s="37" cm="1">
        <f t="array" ref="L192">Common_InputFunctions.Utility_DisplayArrayInTable(SourceData_PastureBeef.SourceData_PastureBeef_LiveweightGainNTQLD_Data(),Table_SourceData_PastureBeef_LiveweightGainNTQLD[[#Headers],[State]],0)</f>
        <v>0.15</v>
      </c>
      <c r="M192" s="37" cm="1">
        <f t="array" ref="M192">Common_InputFunctions.Utility_DisplayArrayInTable(SourceData_PastureBeef.SourceData_PastureBeef_LiveweightGainNTQLD_Data(),Table_SourceData_PastureBeef_LiveweightGainNTQLD[[#Headers],[State]],0)</f>
        <v>0.63</v>
      </c>
      <c r="N192" s="37" cm="1">
        <f t="array" ref="N192">Common_InputFunctions.Utility_DisplayArrayInTable(SourceData_PastureBeef.SourceData_PastureBeef_LiveweightGainNTQLD_Data(),Table_SourceData_PastureBeef_LiveweightGainNTQLD[[#Headers],[State]],0)</f>
        <v>0.54</v>
      </c>
      <c r="O192" s="37" cm="1">
        <f t="array" ref="O192">Common_InputFunctions.Utility_DisplayArrayInTable(SourceData_PastureBeef.SourceData_PastureBeef_LiveweightGainNTQLD_Data(),Table_SourceData_PastureBeef_LiveweightGainNTQLD[[#Headers],[State]],0)</f>
        <v>0.42</v>
      </c>
      <c r="P192" s="37"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Alice Springs</v>
      </c>
      <c r="F193" s="37" t="str" cm="1">
        <f t="array" ref="F193">Common_InputFunctions.Utility_DisplayArrayInTable(SourceData_PastureBeef.SourceData_PastureBeef_LiveweightGainNTQLD_Data(),Table_SourceData_PastureBeef_LiveweightGainNTQLD[[#Headers],[State]],0)</f>
        <v>Winter</v>
      </c>
      <c r="G193" s="37" cm="1">
        <f t="array" ref="G193">Common_InputFunctions.Utility_DisplayArrayInTable(SourceData_PastureBeef.SourceData_PastureBeef_LiveweightGainNTQLD_Data(),Table_SourceData_PastureBeef_LiveweightGainNTQLD[[#Headers],[State]],0)</f>
        <v>0.27</v>
      </c>
      <c r="H193" s="37" cm="1">
        <f t="array" ref="H193">Common_InputFunctions.Utility_DisplayArrayInTable(SourceData_PastureBeef.SourceData_PastureBeef_LiveweightGainNTQLD_Data(),Table_SourceData_PastureBeef_LiveweightGainNTQLD[[#Headers],[State]],0)</f>
        <v>-0.8</v>
      </c>
      <c r="I193" s="37" cm="1">
        <f t="array" ref="I193">Common_InputFunctions.Utility_DisplayArrayInTable(SourceData_PastureBeef.SourceData_PastureBeef_LiveweightGainNTQLD_Data(),Table_SourceData_PastureBeef_LiveweightGainNTQLD[[#Headers],[State]],0)</f>
        <v>0.22</v>
      </c>
      <c r="J193" s="37" cm="1">
        <f t="array" ref="J193">Common_InputFunctions.Utility_DisplayArrayInTable(SourceData_PastureBeef.SourceData_PastureBeef_LiveweightGainNTQLD_Data(),Table_SourceData_PastureBeef_LiveweightGainNTQLD[[#Headers],[State]],0)</f>
        <v>0.09</v>
      </c>
      <c r="K193" s="37" cm="1">
        <f t="array" ref="K193">Common_InputFunctions.Utility_DisplayArrayInTable(SourceData_PastureBeef.SourceData_PastureBeef_LiveweightGainNTQLD_Data(),Table_SourceData_PastureBeef_LiveweightGainNTQLD[[#Headers],[State]],0)</f>
        <v>0.12</v>
      </c>
      <c r="L193" s="37" cm="1">
        <f t="array" ref="L193">Common_InputFunctions.Utility_DisplayArrayInTable(SourceData_PastureBeef.SourceData_PastureBeef_LiveweightGainNTQLD_Data(),Table_SourceData_PastureBeef_LiveweightGainNTQLD[[#Headers],[State]],0)</f>
        <v>0.02</v>
      </c>
      <c r="M193" s="37" cm="1">
        <f t="array" ref="M193">Common_InputFunctions.Utility_DisplayArrayInTable(SourceData_PastureBeef.SourceData_PastureBeef_LiveweightGainNTQLD_Data(),Table_SourceData_PastureBeef_LiveweightGainNTQLD[[#Headers],[State]],0)</f>
        <v>0.25</v>
      </c>
      <c r="N193" s="37" cm="1">
        <f t="array" ref="N193">Common_InputFunctions.Utility_DisplayArrayInTable(SourceData_PastureBeef.SourceData_PastureBeef_LiveweightGainNTQLD_Data(),Table_SourceData_PastureBeef_LiveweightGainNTQLD[[#Headers],[State]],0)</f>
        <v>0.18</v>
      </c>
      <c r="O193" s="37" cm="1">
        <f t="array" ref="O193">Common_InputFunctions.Utility_DisplayArrayInTable(SourceData_PastureBeef.SourceData_PastureBeef_LiveweightGainNTQLD_Data(),Table_SourceData_PastureBeef_LiveweightGainNTQLD[[#Headers],[State]],0)</f>
        <v>0.12</v>
      </c>
      <c r="P193" s="37"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Spring</v>
      </c>
      <c r="G194" s="37" cm="1">
        <f t="array" ref="G194">Common_InputFunctions.Utility_DisplayArrayInTable(SourceData_PastureBeef.SourceData_PastureBeef_LiveweightGainNTQLD_Data(),Table_SourceData_PastureBeef_LiveweightGainNTQLD[[#Headers],[State]],0)</f>
        <v>0.22</v>
      </c>
      <c r="H194" s="37" cm="1">
        <f t="array" ref="H194">Common_InputFunctions.Utility_DisplayArrayInTable(SourceData_PastureBeef.SourceData_PastureBeef_LiveweightGainNTQLD_Data(),Table_SourceData_PastureBeef_LiveweightGainNTQLD[[#Headers],[State]],0)</f>
        <v>-0.44</v>
      </c>
      <c r="I194" s="37" cm="1">
        <f t="array" ref="I194">Common_InputFunctions.Utility_DisplayArrayInTable(SourceData_PastureBeef.SourceData_PastureBeef_LiveweightGainNTQLD_Data(),Table_SourceData_PastureBeef_LiveweightGainNTQLD[[#Headers],[State]],0)</f>
        <v>0.2</v>
      </c>
      <c r="J194" s="37" cm="1">
        <f t="array" ref="J194">Common_InputFunctions.Utility_DisplayArrayInTable(SourceData_PastureBeef.SourceData_PastureBeef_LiveweightGainNTQLD_Data(),Table_SourceData_PastureBeef_LiveweightGainNTQLD[[#Headers],[State]],0)</f>
        <v>0.21</v>
      </c>
      <c r="K194" s="37" cm="1">
        <f t="array" ref="K194">Common_InputFunctions.Utility_DisplayArrayInTable(SourceData_PastureBeef.SourceData_PastureBeef_LiveweightGainNTQLD_Data(),Table_SourceData_PastureBeef_LiveweightGainNTQLD[[#Headers],[State]],0)</f>
        <v>0.18</v>
      </c>
      <c r="L194" s="37" cm="1">
        <f t="array" ref="L194">Common_InputFunctions.Utility_DisplayArrayInTable(SourceData_PastureBeef.SourceData_PastureBeef_LiveweightGainNTQLD_Data(),Table_SourceData_PastureBeef_LiveweightGainNTQLD[[#Headers],[State]],0)</f>
        <v>0.01</v>
      </c>
      <c r="M194" s="37" cm="1">
        <f t="array" ref="M194">Common_InputFunctions.Utility_DisplayArrayInTable(SourceData_PastureBeef.SourceData_PastureBeef_LiveweightGainNTQLD_Data(),Table_SourceData_PastureBeef_LiveweightGainNTQLD[[#Headers],[State]],0)</f>
        <v>0.12</v>
      </c>
      <c r="N194" s="37" cm="1">
        <f t="array" ref="N194">Common_InputFunctions.Utility_DisplayArrayInTable(SourceData_PastureBeef.SourceData_PastureBeef_LiveweightGainNTQLD_Data(),Table_SourceData_PastureBeef_LiveweightGainNTQLD[[#Headers],[State]],0)</f>
        <v>0.09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Summer</v>
      </c>
      <c r="G195" s="37" cm="1">
        <f t="array" ref="G195">Common_InputFunctions.Utility_DisplayArrayInTable(SourceData_PastureBeef.SourceData_PastureBeef_LiveweightGainNTQLD_Data(),Table_SourceData_PastureBeef_LiveweightGainNTQLD[[#Headers],[State]],0)</f>
        <v>0.66</v>
      </c>
      <c r="H195" s="37" cm="1">
        <f t="array" ref="H195">Common_InputFunctions.Utility_DisplayArrayInTable(SourceData_PastureBeef.SourceData_PastureBeef_LiveweightGainNTQLD_Data(),Table_SourceData_PastureBeef_LiveweightGainNTQLD[[#Headers],[State]],0)</f>
        <v>0.22</v>
      </c>
      <c r="I195" s="37" cm="1">
        <f t="array" ref="I195">Common_InputFunctions.Utility_DisplayArrayInTable(SourceData_PastureBeef.SourceData_PastureBeef_LiveweightGainNTQLD_Data(),Table_SourceData_PastureBeef_LiveweightGainNTQLD[[#Headers],[State]],0)</f>
        <v>0.68</v>
      </c>
      <c r="J195" s="37" cm="1">
        <f t="array" ref="J195">Common_InputFunctions.Utility_DisplayArrayInTable(SourceData_PastureBeef.SourceData_PastureBeef_LiveweightGainNTQLD_Data(),Table_SourceData_PastureBeef_LiveweightGainNTQLD[[#Headers],[State]],0)</f>
        <v>0.22</v>
      </c>
      <c r="K195" s="37" cm="1">
        <f t="array" ref="K195">Common_InputFunctions.Utility_DisplayArrayInTable(SourceData_PastureBeef.SourceData_PastureBeef_LiveweightGainNTQLD_Data(),Table_SourceData_PastureBeef_LiveweightGainNTQLD[[#Headers],[State]],0)</f>
        <v>0.24</v>
      </c>
      <c r="L195" s="37" cm="1">
        <f t="array" ref="L195">Common_InputFunctions.Utility_DisplayArrayInTable(SourceData_PastureBeef.SourceData_PastureBeef_LiveweightGainNTQLD_Data(),Table_SourceData_PastureBeef_LiveweightGainNTQLD[[#Headers],[State]],0)</f>
        <v>0.25</v>
      </c>
      <c r="M195" s="37" cm="1">
        <f t="array" ref="M195">Common_InputFunctions.Utility_DisplayArrayInTable(SourceData_PastureBeef.SourceData_PastureBeef_LiveweightGainNTQLD_Data(),Table_SourceData_PastureBeef_LiveweightGainNTQLD[[#Headers],[State]],0)</f>
        <v>0.64</v>
      </c>
      <c r="N195" s="37" cm="1">
        <f t="array" ref="N195">Common_InputFunctions.Utility_DisplayArrayInTable(SourceData_PastureBeef.SourceData_PastureBeef_LiveweightGainNTQLD_Data(),Table_SourceData_PastureBeef_LiveweightGainNTQLD[[#Headers],[State]],0)</f>
        <v>0.37</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Barkly</v>
      </c>
      <c r="F196" s="37" t="str" cm="1">
        <f t="array" ref="F196">Common_InputFunctions.Utility_DisplayArrayInTable(SourceData_PastureBeef.SourceData_PastureBeef_LiveweightGainNTQLD_Data(),Table_SourceData_PastureBeef_LiveweightGainNTQLD[[#Headers],[State]],0)</f>
        <v>Autumn</v>
      </c>
      <c r="G196" s="37" cm="1">
        <f t="array" ref="G196">Common_InputFunctions.Utility_DisplayArrayInTable(SourceData_PastureBeef.SourceData_PastureBeef_LiveweightGainNTQLD_Data(),Table_SourceData_PastureBeef_LiveweightGainNTQLD[[#Headers],[State]],0)</f>
        <v>0.49</v>
      </c>
      <c r="H196" s="37" cm="1">
        <f t="array" ref="H196">Common_InputFunctions.Utility_DisplayArrayInTable(SourceData_PastureBeef.SourceData_PastureBeef_LiveweightGainNTQLD_Data(),Table_SourceData_PastureBeef_LiveweightGainNTQLD[[#Headers],[State]],0)</f>
        <v>0.05</v>
      </c>
      <c r="I196" s="37" cm="1">
        <f t="array" ref="I196">Common_InputFunctions.Utility_DisplayArrayInTable(SourceData_PastureBeef.SourceData_PastureBeef_LiveweightGainNTQLD_Data(),Table_SourceData_PastureBeef_LiveweightGainNTQLD[[#Headers],[State]],0)</f>
        <v>0.64</v>
      </c>
      <c r="J196" s="37" cm="1">
        <f t="array" ref="J196">Common_InputFunctions.Utility_DisplayArrayInTable(SourceData_PastureBeef.SourceData_PastureBeef_LiveweightGainNTQLD_Data(),Table_SourceData_PastureBeef_LiveweightGainNTQLD[[#Headers],[State]],0)</f>
        <v>0.25</v>
      </c>
      <c r="K196" s="37" cm="1">
        <f t="array" ref="K196">Common_InputFunctions.Utility_DisplayArrayInTable(SourceData_PastureBeef.SourceData_PastureBeef_LiveweightGainNTQLD_Data(),Table_SourceData_PastureBeef_LiveweightGainNTQLD[[#Headers],[State]],0)</f>
        <v>0.28999999999999998</v>
      </c>
      <c r="L196" s="37" cm="1">
        <f t="array" ref="L196">Common_InputFunctions.Utility_DisplayArrayInTable(SourceData_PastureBeef.SourceData_PastureBeef_LiveweightGainNTQLD_Data(),Table_SourceData_PastureBeef_LiveweightGainNTQLD[[#Headers],[State]],0)</f>
        <v>0.12</v>
      </c>
      <c r="M196" s="37" cm="1">
        <f t="array" ref="M196">Common_InputFunctions.Utility_DisplayArrayInTable(SourceData_PastureBeef.SourceData_PastureBeef_LiveweightGainNTQLD_Data(),Table_SourceData_PastureBeef_LiveweightGainNTQLD[[#Headers],[State]],0)</f>
        <v>0.56999999999999995</v>
      </c>
      <c r="N196" s="37" cm="1">
        <f t="array" ref="N196">Common_InputFunctions.Utility_DisplayArrayInTable(SourceData_PastureBeef.SourceData_PastureBeef_LiveweightGainNTQLD_Data(),Table_SourceData_PastureBeef_LiveweightGainNTQLD[[#Headers],[State]],0)</f>
        <v>0.49</v>
      </c>
      <c r="O196" s="37" t="str" cm="1">
        <f t="array" ref="O196">Common_InputFunctions.Utility_DisplayArrayInTable(SourceData_PastureBeef.SourceData_PastureBeef_LiveweightGainNTQLD_Data(),Table_SourceData_PastureBeef_LiveweightGainNTQLD[[#Headers],[State]],0)</f>
        <v>NO</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Barkly</v>
      </c>
      <c r="F197" s="37" t="str" cm="1">
        <f t="array" ref="F197">Common_InputFunctions.Utility_DisplayArrayInTable(SourceData_PastureBeef.SourceData_PastureBeef_LiveweightGainNTQLD_Data(),Table_SourceData_PastureBeef_LiveweightGainNTQLD[[#Headers],[State]],0)</f>
        <v>Winter</v>
      </c>
      <c r="G197" s="37" cm="1">
        <f t="array" ref="G197">Common_InputFunctions.Utility_DisplayArrayInTable(SourceData_PastureBeef.SourceData_PastureBeef_LiveweightGainNTQLD_Data(),Table_SourceData_PastureBeef_LiveweightGainNTQLD[[#Headers],[State]],0)</f>
        <v>0.27</v>
      </c>
      <c r="H197" s="37" cm="1">
        <f t="array" ref="H197">Common_InputFunctions.Utility_DisplayArrayInTable(SourceData_PastureBeef.SourceData_PastureBeef_LiveweightGainNTQLD_Data(),Table_SourceData_PastureBeef_LiveweightGainNTQLD[[#Headers],[State]],0)</f>
        <v>-0.27</v>
      </c>
      <c r="I197" s="37" cm="1">
        <f t="array" ref="I197">Common_InputFunctions.Utility_DisplayArrayInTable(SourceData_PastureBeef.SourceData_PastureBeef_LiveweightGainNTQLD_Data(),Table_SourceData_PastureBeef_LiveweightGainNTQLD[[#Headers],[State]],0)</f>
        <v>0.31</v>
      </c>
      <c r="J197" s="37" cm="1">
        <f t="array" ref="J197">Common_InputFunctions.Utility_DisplayArrayInTable(SourceData_PastureBeef.SourceData_PastureBeef_LiveweightGainNTQLD_Data(),Table_SourceData_PastureBeef_LiveweightGainNTQLD[[#Headers],[State]],0)</f>
        <v>0.28999999999999998</v>
      </c>
      <c r="K197" s="37" cm="1">
        <f t="array" ref="K197">Common_InputFunctions.Utility_DisplayArrayInTable(SourceData_PastureBeef.SourceData_PastureBeef_LiveweightGainNTQLD_Data(),Table_SourceData_PastureBeef_LiveweightGainNTQLD[[#Headers],[State]],0)</f>
        <v>0.19</v>
      </c>
      <c r="L197" s="37" cm="1">
        <f t="array" ref="L197">Common_InputFunctions.Utility_DisplayArrayInTable(SourceData_PastureBeef.SourceData_PastureBeef_LiveweightGainNTQLD_Data(),Table_SourceData_PastureBeef_LiveweightGainNTQLD[[#Headers],[State]],0)</f>
        <v>0.04</v>
      </c>
      <c r="M197" s="37" cm="1">
        <f t="array" ref="M197">Common_InputFunctions.Utility_DisplayArrayInTable(SourceData_PastureBeef.SourceData_PastureBeef_LiveweightGainNTQLD_Data(),Table_SourceData_PastureBeef_LiveweightGainNTQLD[[#Headers],[State]],0)</f>
        <v>0.26</v>
      </c>
      <c r="N197" s="37" cm="1">
        <f t="array" ref="N197">Common_InputFunctions.Utility_DisplayArrayInTable(SourceData_PastureBeef.SourceData_PastureBeef_LiveweightGainNTQLD_Data(),Table_SourceData_PastureBeef_LiveweightGainNTQLD[[#Headers],[State]],0)</f>
        <v>0.28000000000000003</v>
      </c>
      <c r="O197" s="37" t="str" cm="1">
        <f t="array" ref="O197">Common_InputFunctions.Utility_DisplayArrayInTable(SourceData_PastureBeef.SourceData_PastureBeef_LiveweightGainNTQLD_Data(),Table_SourceData_PastureBeef_LiveweightGainNTQLD[[#Headers],[State]],0)</f>
        <v>NO</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Spring</v>
      </c>
      <c r="G198" s="37" cm="1">
        <f t="array" ref="G198">Common_InputFunctions.Utility_DisplayArrayInTable(SourceData_PastureBeef.SourceData_PastureBeef_LiveweightGainNTQLD_Data(),Table_SourceData_PastureBeef_LiveweightGainNTQLD[[#Headers],[State]],0)</f>
        <v>0.22</v>
      </c>
      <c r="H198" s="37" cm="1">
        <f t="array" ref="H198">Common_InputFunctions.Utility_DisplayArrayInTable(SourceData_PastureBeef.SourceData_PastureBeef_LiveweightGainNTQLD_Data(),Table_SourceData_PastureBeef_LiveweightGainNTQLD[[#Headers],[State]],0)</f>
        <v>-0.44</v>
      </c>
      <c r="I198" s="37" cm="1">
        <f t="array" ref="I198">Common_InputFunctions.Utility_DisplayArrayInTable(SourceData_PastureBeef.SourceData_PastureBeef_LiveweightGainNTQLD_Data(),Table_SourceData_PastureBeef_LiveweightGainNTQLD[[#Headers],[State]],0)</f>
        <v>0</v>
      </c>
      <c r="J198" s="37" cm="1">
        <f t="array" ref="J198">Common_InputFunctions.Utility_DisplayArrayInTable(SourceData_PastureBeef.SourceData_PastureBeef_LiveweightGainNTQLD_Data(),Table_SourceData_PastureBeef_LiveweightGainNTQLD[[#Headers],[State]],0)</f>
        <v>0.15</v>
      </c>
      <c r="K198" s="37" cm="1">
        <f t="array" ref="K198">Common_InputFunctions.Utility_DisplayArrayInTable(SourceData_PastureBeef.SourceData_PastureBeef_LiveweightGainNTQLD_Data(),Table_SourceData_PastureBeef_LiveweightGainNTQLD[[#Headers],[State]],0)</f>
        <v>0.08</v>
      </c>
      <c r="L198" s="37" cm="1">
        <f t="array" ref="L198">Common_InputFunctions.Utility_DisplayArrayInTable(SourceData_PastureBeef.SourceData_PastureBeef_LiveweightGainNTQLD_Data(),Table_SourceData_PastureBeef_LiveweightGainNTQLD[[#Headers],[State]],0)</f>
        <v>0.17</v>
      </c>
      <c r="M198" s="37" cm="1">
        <f t="array" ref="M198">Common_InputFunctions.Utility_DisplayArrayInTable(SourceData_PastureBeef.SourceData_PastureBeef_LiveweightGainNTQLD_Data(),Table_SourceData_PastureBeef_LiveweightGainNTQLD[[#Headers],[State]],0)</f>
        <v>0.06</v>
      </c>
      <c r="N198" s="37" cm="1">
        <f t="array" ref="N198">Common_InputFunctions.Utility_DisplayArrayInTable(SourceData_PastureBeef.SourceData_PastureBeef_LiveweightGainNTQLD_Data(),Table_SourceData_PastureBeef_LiveweightGainNTQLD[[#Headers],[State]],0)</f>
        <v>0.02</v>
      </c>
      <c r="O198" s="37" cm="1">
        <f t="array" ref="O198">Common_InputFunctions.Utility_DisplayArrayInTable(SourceData_PastureBeef.SourceData_PastureBeef_LiveweightGainNTQLD_Data(),Table_SourceData_PastureBeef_LiveweightGainNTQLD[[#Headers],[State]],0)</f>
        <v>-0.14000000000000001</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Summer</v>
      </c>
      <c r="G199" s="37" cm="1">
        <f t="array" ref="G199">Common_InputFunctions.Utility_DisplayArrayInTable(SourceData_PastureBeef.SourceData_PastureBeef_LiveweightGainNTQLD_Data(),Table_SourceData_PastureBeef_LiveweightGainNTQLD[[#Headers],[State]],0)</f>
        <v>0.66</v>
      </c>
      <c r="H199" s="37" cm="1">
        <f t="array" ref="H199">Common_InputFunctions.Utility_DisplayArrayInTable(SourceData_PastureBeef.SourceData_PastureBeef_LiveweightGainNTQLD_Data(),Table_SourceData_PastureBeef_LiveweightGainNTQLD[[#Headers],[State]],0)</f>
        <v>0.22</v>
      </c>
      <c r="I199" s="37" cm="1">
        <f t="array" ref="I199">Common_InputFunctions.Utility_DisplayArrayInTable(SourceData_PastureBeef.SourceData_PastureBeef_LiveweightGainNTQLD_Data(),Table_SourceData_PastureBeef_LiveweightGainNTQLD[[#Headers],[State]],0)</f>
        <v>0.79</v>
      </c>
      <c r="J199" s="37" cm="1">
        <f t="array" ref="J199">Common_InputFunctions.Utility_DisplayArrayInTable(SourceData_PastureBeef.SourceData_PastureBeef_LiveweightGainNTQLD_Data(),Table_SourceData_PastureBeef_LiveweightGainNTQLD[[#Headers],[State]],0)</f>
        <v>0.4</v>
      </c>
      <c r="K199" s="37" cm="1">
        <f t="array" ref="K199">Common_InputFunctions.Utility_DisplayArrayInTable(SourceData_PastureBeef.SourceData_PastureBeef_LiveweightGainNTQLD_Data(),Table_SourceData_PastureBeef_LiveweightGainNTQLD[[#Headers],[State]],0)</f>
        <v>0.38</v>
      </c>
      <c r="L199" s="37" cm="1">
        <f t="array" ref="L199">Common_InputFunctions.Utility_DisplayArrayInTable(SourceData_PastureBeef.SourceData_PastureBeef_LiveweightGainNTQLD_Data(),Table_SourceData_PastureBeef_LiveweightGainNTQLD[[#Headers],[State]],0)</f>
        <v>0.27</v>
      </c>
      <c r="M199" s="37" cm="1">
        <f t="array" ref="M199">Common_InputFunctions.Utility_DisplayArrayInTable(SourceData_PastureBeef.SourceData_PastureBeef_LiveweightGainNTQLD_Data(),Table_SourceData_PastureBeef_LiveweightGainNTQLD[[#Headers],[State]],0)</f>
        <v>0.8</v>
      </c>
      <c r="N199" s="37" cm="1">
        <f t="array" ref="N199">Common_InputFunctions.Utility_DisplayArrayInTable(SourceData_PastureBeef.SourceData_PastureBeef_LiveweightGainNTQLD_Data(),Table_SourceData_PastureBeef_LiveweightGainNTQLD[[#Headers],[State]],0)</f>
        <v>0.16</v>
      </c>
      <c r="O199" s="37" cm="1">
        <f t="array" ref="O199">Common_InputFunctions.Utility_DisplayArrayInTable(SourceData_PastureBeef.SourceData_PastureBeef_LiveweightGainNTQLD_Data(),Table_SourceData_PastureBeef_LiveweightGainNTQLD[[#Headers],[State]],0)</f>
        <v>0.3</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7" t="str" cm="1">
        <f t="array" ref="E200">Common_InputFunctions.Utility_DisplayArrayInTable(SourceData_PastureBeef.SourceData_PastureBeef_LiveweightGainNTQLD_Data(),Table_SourceData_PastureBeef_LiveweightGainNTQLD[[#Headers],[State]],0)</f>
        <v>Northern</v>
      </c>
      <c r="F200" s="37" t="str" cm="1">
        <f t="array" ref="F200">Common_InputFunctions.Utility_DisplayArrayInTable(SourceData_PastureBeef.SourceData_PastureBeef_LiveweightGainNTQLD_Data(),Table_SourceData_PastureBeef_LiveweightGainNTQLD[[#Headers],[State]],0)</f>
        <v>Autumn</v>
      </c>
      <c r="G200" s="37" cm="1">
        <f t="array" ref="G200">Common_InputFunctions.Utility_DisplayArrayInTable(SourceData_PastureBeef.SourceData_PastureBeef_LiveweightGainNTQLD_Data(),Table_SourceData_PastureBeef_LiveweightGainNTQLD[[#Headers],[State]],0)</f>
        <v>0.49</v>
      </c>
      <c r="H200" s="37" cm="1">
        <f t="array" ref="H200">Common_InputFunctions.Utility_DisplayArrayInTable(SourceData_PastureBeef.SourceData_PastureBeef_LiveweightGainNTQLD_Data(),Table_SourceData_PastureBeef_LiveweightGainNTQLD[[#Headers],[State]],0)</f>
        <v>0.05</v>
      </c>
      <c r="I200" s="37" cm="1">
        <f t="array" ref="I200">Common_InputFunctions.Utility_DisplayArrayInTable(SourceData_PastureBeef.SourceData_PastureBeef_LiveweightGainNTQLD_Data(),Table_SourceData_PastureBeef_LiveweightGainNTQLD[[#Headers],[State]],0)</f>
        <v>0.55000000000000004</v>
      </c>
      <c r="J200" s="37" cm="1">
        <f t="array" ref="J200">Common_InputFunctions.Utility_DisplayArrayInTable(SourceData_PastureBeef.SourceData_PastureBeef_LiveweightGainNTQLD_Data(),Table_SourceData_PastureBeef_LiveweightGainNTQLD[[#Headers],[State]],0)</f>
        <v>0.38</v>
      </c>
      <c r="K200" s="37" cm="1">
        <f t="array" ref="K200">Common_InputFunctions.Utility_DisplayArrayInTable(SourceData_PastureBeef.SourceData_PastureBeef_LiveweightGainNTQLD_Data(),Table_SourceData_PastureBeef_LiveweightGainNTQLD[[#Headers],[State]],0)</f>
        <v>0.36</v>
      </c>
      <c r="L200" s="37" cm="1">
        <f t="array" ref="L200">Common_InputFunctions.Utility_DisplayArrayInTable(SourceData_PastureBeef.SourceData_PastureBeef_LiveweightGainNTQLD_Data(),Table_SourceData_PastureBeef_LiveweightGainNTQLD[[#Headers],[State]],0)</f>
        <v>0.06</v>
      </c>
      <c r="M200" s="37" cm="1">
        <f t="array" ref="M200">Common_InputFunctions.Utility_DisplayArrayInTable(SourceData_PastureBeef.SourceData_PastureBeef_LiveweightGainNTQLD_Data(),Table_SourceData_PastureBeef_LiveweightGainNTQLD[[#Headers],[State]],0)</f>
        <v>0.57999999999999996</v>
      </c>
      <c r="N200" s="37" cm="1">
        <f t="array" ref="N200">Common_InputFunctions.Utility_DisplayArrayInTable(SourceData_PastureBeef.SourceData_PastureBeef_LiveweightGainNTQLD_Data(),Table_SourceData_PastureBeef_LiveweightGainNTQLD[[#Headers],[State]],0)</f>
        <v>0.23</v>
      </c>
      <c r="O200" s="37" cm="1">
        <f t="array" ref="O200">Common_InputFunctions.Utility_DisplayArrayInTable(SourceData_PastureBeef.SourceData_PastureBeef_LiveweightGainNTQLD_Data(),Table_SourceData_PastureBeef_LiveweightGainNTQLD[[#Headers],[State]],0)</f>
        <v>0.4</v>
      </c>
      <c r="P200" s="37"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7" t="str" cm="1">
        <f t="array" ref="E201">Common_InputFunctions.Utility_DisplayArrayInTable(SourceData_PastureBeef.SourceData_PastureBeef_LiveweightGainNTQLD_Data(),Table_SourceData_PastureBeef_LiveweightGainNTQLD[[#Headers],[State]],0)</f>
        <v>Northern</v>
      </c>
      <c r="F201" s="37" t="str" cm="1">
        <f t="array" ref="F201">Common_InputFunctions.Utility_DisplayArrayInTable(SourceData_PastureBeef.SourceData_PastureBeef_LiveweightGainNTQLD_Data(),Table_SourceData_PastureBeef_LiveweightGainNTQLD[[#Headers],[State]],0)</f>
        <v>Winter</v>
      </c>
      <c r="G201" s="37" cm="1">
        <f t="array" ref="G201">Common_InputFunctions.Utility_DisplayArrayInTable(SourceData_PastureBeef.SourceData_PastureBeef_LiveweightGainNTQLD_Data(),Table_SourceData_PastureBeef_LiveweightGainNTQLD[[#Headers],[State]],0)</f>
        <v>0.27</v>
      </c>
      <c r="H201" s="37" cm="1">
        <f t="array" ref="H201">Common_InputFunctions.Utility_DisplayArrayInTable(SourceData_PastureBeef.SourceData_PastureBeef_LiveweightGainNTQLD_Data(),Table_SourceData_PastureBeef_LiveweightGainNTQLD[[#Headers],[State]],0)</f>
        <v>-0.27</v>
      </c>
      <c r="I201" s="37" cm="1">
        <f t="array" ref="I201">Common_InputFunctions.Utility_DisplayArrayInTable(SourceData_PastureBeef.SourceData_PastureBeef_LiveweightGainNTQLD_Data(),Table_SourceData_PastureBeef_LiveweightGainNTQLD[[#Headers],[State]],0)</f>
        <v>0.02</v>
      </c>
      <c r="J201" s="37" cm="1">
        <f t="array" ref="J201">Common_InputFunctions.Utility_DisplayArrayInTable(SourceData_PastureBeef.SourceData_PastureBeef_LiveweightGainNTQLD_Data(),Table_SourceData_PastureBeef_LiveweightGainNTQLD[[#Headers],[State]],0)</f>
        <v>0.09</v>
      </c>
      <c r="K201" s="37" cm="1">
        <f t="array" ref="K201">Common_InputFunctions.Utility_DisplayArrayInTable(SourceData_PastureBeef.SourceData_PastureBeef_LiveweightGainNTQLD_Data(),Table_SourceData_PastureBeef_LiveweightGainNTQLD[[#Headers],[State]],0)</f>
        <v>0.16</v>
      </c>
      <c r="L201" s="37" cm="1">
        <f t="array" ref="L201">Common_InputFunctions.Utility_DisplayArrayInTable(SourceData_PastureBeef.SourceData_PastureBeef_LiveweightGainNTQLD_Data(),Table_SourceData_PastureBeef_LiveweightGainNTQLD[[#Headers],[State]],0)</f>
        <v>-0.04</v>
      </c>
      <c r="M201" s="37" cm="1">
        <f t="array" ref="M201">Common_InputFunctions.Utility_DisplayArrayInTable(SourceData_PastureBeef.SourceData_PastureBeef_LiveweightGainNTQLD_Data(),Table_SourceData_PastureBeef_LiveweightGainNTQLD[[#Headers],[State]],0)</f>
        <v>0.21</v>
      </c>
      <c r="N201" s="37" cm="1">
        <f t="array" ref="N201">Common_InputFunctions.Utility_DisplayArrayInTable(SourceData_PastureBeef.SourceData_PastureBeef_LiveweightGainNTQLD_Data(),Table_SourceData_PastureBeef_LiveweightGainNTQLD[[#Headers],[State]],0)</f>
        <v>0.03</v>
      </c>
      <c r="O201" s="37" cm="1">
        <f t="array" ref="O201">Common_InputFunctions.Utility_DisplayArrayInTable(SourceData_PastureBeef.SourceData_PastureBeef_LiveweightGainNTQLD_Data(),Table_SourceData_PastureBeef_LiveweightGainNTQLD[[#Headers],[State]],0)</f>
        <v>0.11</v>
      </c>
      <c r="P201" s="37"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Spring</v>
      </c>
      <c r="G202" s="37" cm="1">
        <f t="array" ref="G202">Common_InputFunctions.Utility_DisplayArrayInTable(SourceData_PastureBeef.SourceData_PastureBeef_LiveweightGainNTQLD_Data(),Table_SourceData_PastureBeef_LiveweightGainNTQLD[[#Headers],[State]],0)</f>
        <v>0.27</v>
      </c>
      <c r="H202" s="37" cm="1">
        <f t="array" ref="H202">Common_InputFunctions.Utility_DisplayArrayInTable(SourceData_PastureBeef.SourceData_PastureBeef_LiveweightGainNTQLD_Data(),Table_SourceData_PastureBeef_LiveweightGainNTQLD[[#Headers],[State]],0)</f>
        <v>-0.19</v>
      </c>
      <c r="I202" s="37" cm="1">
        <f t="array" ref="I202">Common_InputFunctions.Utility_DisplayArrayInTable(SourceData_PastureBeef.SourceData_PastureBeef_LiveweightGainNTQLD_Data(),Table_SourceData_PastureBeef_LiveweightGainNTQLD[[#Headers],[State]],0)</f>
        <v>0.38</v>
      </c>
      <c r="J202" s="37" cm="1">
        <f t="array" ref="J202">Common_InputFunctions.Utility_DisplayArrayInTable(SourceData_PastureBeef.SourceData_PastureBeef_LiveweightGainNTQLD_Data(),Table_SourceData_PastureBeef_LiveweightGainNTQLD[[#Headers],[State]],0)</f>
        <v>0.25</v>
      </c>
      <c r="K202" s="37" cm="1">
        <f t="array" ref="K202">Common_InputFunctions.Utility_DisplayArrayInTable(SourceData_PastureBeef.SourceData_PastureBeef_LiveweightGainNTQLD_Data(),Table_SourceData_PastureBeef_LiveweightGainNTQLD[[#Headers],[State]],0)</f>
        <v>7.0000000000000007E-2</v>
      </c>
      <c r="L202" s="37" cm="1">
        <f t="array" ref="L202">Common_InputFunctions.Utility_DisplayArrayInTable(SourceData_PastureBeef.SourceData_PastureBeef_LiveweightGainNTQLD_Data(),Table_SourceData_PastureBeef_LiveweightGainNTQLD[[#Headers],[State]],0)</f>
        <v>0.05</v>
      </c>
      <c r="M202" s="37" cm="1">
        <f t="array" ref="M202">Common_InputFunctions.Utility_DisplayArrayInTable(SourceData_PastureBeef.SourceData_PastureBeef_LiveweightGainNTQLD_Data(),Table_SourceData_PastureBeef_LiveweightGainNTQLD[[#Headers],[State]],0)</f>
        <v>0.52</v>
      </c>
      <c r="N202" s="37" cm="1">
        <f t="array" ref="N202">Common_InputFunctions.Utility_DisplayArrayInTable(SourceData_PastureBeef.SourceData_PastureBeef_LiveweightGainNTQLD_Data(),Table_SourceData_PastureBeef_LiveweightGainNTQLD[[#Headers],[State]],0)</f>
        <v>0.55000000000000004</v>
      </c>
      <c r="O202" s="37" cm="1">
        <f t="array" ref="O202">Common_InputFunctions.Utility_DisplayArrayInTable(SourceData_PastureBeef.SourceData_PastureBeef_LiveweightGainNTQLD_Data(),Table_SourceData_PastureBeef_LiveweightGainNTQLD[[#Headers],[State]],0)</f>
        <v>0.19</v>
      </c>
      <c r="P202" s="37"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Summer</v>
      </c>
      <c r="G203" s="37" cm="1">
        <f t="array" ref="G203">Common_InputFunctions.Utility_DisplayArrayInTable(SourceData_PastureBeef.SourceData_PastureBeef_LiveweightGainNTQLD_Data(),Table_SourceData_PastureBeef_LiveweightGainNTQLD[[#Headers],[State]],0)</f>
        <v>0.16</v>
      </c>
      <c r="H203" s="37" cm="1">
        <f t="array" ref="H203">Common_InputFunctions.Utility_DisplayArrayInTable(SourceData_PastureBeef.SourceData_PastureBeef_LiveweightGainNTQLD_Data(),Table_SourceData_PastureBeef_LiveweightGainNTQLD[[#Headers],[State]],0)</f>
        <v>0.16</v>
      </c>
      <c r="I203" s="37" cm="1">
        <f t="array" ref="I203">Common_InputFunctions.Utility_DisplayArrayInTable(SourceData_PastureBeef.SourceData_PastureBeef_LiveweightGainNTQLD_Data(),Table_SourceData_PastureBeef_LiveweightGainNTQLD[[#Headers],[State]],0)</f>
        <v>0.8</v>
      </c>
      <c r="J203" s="37" cm="1">
        <f t="array" ref="J203">Common_InputFunctions.Utility_DisplayArrayInTable(SourceData_PastureBeef.SourceData_PastureBeef_LiveweightGainNTQLD_Data(),Table_SourceData_PastureBeef_LiveweightGainNTQLD[[#Headers],[State]],0)</f>
        <v>0.56999999999999995</v>
      </c>
      <c r="K203" s="37" cm="1">
        <f t="array" ref="K203">Common_InputFunctions.Utility_DisplayArrayInTable(SourceData_PastureBeef.SourceData_PastureBeef_LiveweightGainNTQLD_Data(),Table_SourceData_PastureBeef_LiveweightGainNTQLD[[#Headers],[State]],0)</f>
        <v>0.76</v>
      </c>
      <c r="L203" s="37" cm="1">
        <f t="array" ref="L203">Common_InputFunctions.Utility_DisplayArrayInTable(SourceData_PastureBeef.SourceData_PastureBeef_LiveweightGainNTQLD_Data(),Table_SourceData_PastureBeef_LiveweightGainNTQLD[[#Headers],[State]],0)</f>
        <v>0.49</v>
      </c>
      <c r="M203" s="37" cm="1">
        <f t="array" ref="M203">Common_InputFunctions.Utility_DisplayArrayInTable(SourceData_PastureBeef.SourceData_PastureBeef_LiveweightGainNTQLD_Data(),Table_SourceData_PastureBeef_LiveweightGainNTQLD[[#Headers],[State]],0)</f>
        <v>0.84</v>
      </c>
      <c r="N203" s="37" cm="1">
        <f t="array" ref="N203">Common_InputFunctions.Utility_DisplayArrayInTable(SourceData_PastureBeef.SourceData_PastureBeef_LiveweightGainNTQLD_Data(),Table_SourceData_PastureBeef_LiveweightGainNTQLD[[#Headers],[State]],0)</f>
        <v>0.51</v>
      </c>
      <c r="O203" s="37" cm="1">
        <f t="array" ref="O203">Common_InputFunctions.Utility_DisplayArrayInTable(SourceData_PastureBeef.SourceData_PastureBeef_LiveweightGainNTQLD_Data(),Table_SourceData_PastureBeef_LiveweightGainNTQLD[[#Headers],[State]],0)</f>
        <v>0.36</v>
      </c>
      <c r="P203" s="37"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High</v>
      </c>
      <c r="F204" s="37" t="str" cm="1">
        <f t="array" ref="F204">Common_InputFunctions.Utility_DisplayArrayInTable(SourceData_PastureBeef.SourceData_PastureBeef_LiveweightGainNTQLD_Data(),Table_SourceData_PastureBeef_LiveweightGainNTQLD[[#Headers],[State]],0)</f>
        <v>Autumn</v>
      </c>
      <c r="G204" s="37" cm="1">
        <f t="array" ref="G204">Common_InputFunctions.Utility_DisplayArrayInTable(SourceData_PastureBeef.SourceData_PastureBeef_LiveweightGainNTQLD_Data(),Table_SourceData_PastureBeef_LiveweightGainNTQLD[[#Headers],[State]],0)</f>
        <v>0.45</v>
      </c>
      <c r="H204" s="37" cm="1">
        <f t="array" ref="H204">Common_InputFunctions.Utility_DisplayArrayInTable(SourceData_PastureBeef.SourceData_PastureBeef_LiveweightGainNTQLD_Data(),Table_SourceData_PastureBeef_LiveweightGainNTQLD[[#Headers],[State]],0)</f>
        <v>0.1</v>
      </c>
      <c r="I204" s="37" cm="1">
        <f t="array" ref="I204">Common_InputFunctions.Utility_DisplayArrayInTable(SourceData_PastureBeef.SourceData_PastureBeef_LiveweightGainNTQLD_Data(),Table_SourceData_PastureBeef_LiveweightGainNTQLD[[#Headers],[State]],0)</f>
        <v>0.49</v>
      </c>
      <c r="J204" s="37" cm="1">
        <f t="array" ref="J204">Common_InputFunctions.Utility_DisplayArrayInTable(SourceData_PastureBeef.SourceData_PastureBeef_LiveweightGainNTQLD_Data(),Table_SourceData_PastureBeef_LiveweightGainNTQLD[[#Headers],[State]],0)</f>
        <v>0.41</v>
      </c>
      <c r="K204" s="37" cm="1">
        <f t="array" ref="K204">Common_InputFunctions.Utility_DisplayArrayInTable(SourceData_PastureBeef.SourceData_PastureBeef_LiveweightGainNTQLD_Data(),Table_SourceData_PastureBeef_LiveweightGainNTQLD[[#Headers],[State]],0)</f>
        <v>0.4</v>
      </c>
      <c r="L204" s="37" cm="1">
        <f t="array" ref="L204">Common_InputFunctions.Utility_DisplayArrayInTable(SourceData_PastureBeef.SourceData_PastureBeef_LiveweightGainNTQLD_Data(),Table_SourceData_PastureBeef_LiveweightGainNTQLD[[#Headers],[State]],0)</f>
        <v>0.17</v>
      </c>
      <c r="M204" s="37" cm="1">
        <f t="array" ref="M204">Common_InputFunctions.Utility_DisplayArrayInTable(SourceData_PastureBeef.SourceData_PastureBeef_LiveweightGainNTQLD_Data(),Table_SourceData_PastureBeef_LiveweightGainNTQLD[[#Headers],[State]],0)</f>
        <v>0.54</v>
      </c>
      <c r="N204" s="37" cm="1">
        <f t="array" ref="N204">Common_InputFunctions.Utility_DisplayArrayInTable(SourceData_PastureBeef.SourceData_PastureBeef_LiveweightGainNTQLD_Data(),Table_SourceData_PastureBeef_LiveweightGainNTQLD[[#Headers],[State]],0)</f>
        <v>0.64</v>
      </c>
      <c r="O204" s="37" cm="1">
        <f t="array" ref="O204">Common_InputFunctions.Utility_DisplayArrayInTable(SourceData_PastureBeef.SourceData_PastureBeef_LiveweightGainNTQLD_Data(),Table_SourceData_PastureBeef_LiveweightGainNTQLD[[#Headers],[State]],0)</f>
        <v>-0.05</v>
      </c>
      <c r="P204" s="37"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High</v>
      </c>
      <c r="F205" s="37" t="str" cm="1">
        <f t="array" ref="F205">Common_InputFunctions.Utility_DisplayArrayInTable(SourceData_PastureBeef.SourceData_PastureBeef_LiveweightGainNTQLD_Data(),Table_SourceData_PastureBeef_LiveweightGainNTQLD[[#Headers],[State]],0)</f>
        <v>Winter</v>
      </c>
      <c r="G205" s="37" cm="1">
        <f t="array" ref="G205">Common_InputFunctions.Utility_DisplayArrayInTable(SourceData_PastureBeef.SourceData_PastureBeef_LiveweightGainNTQLD_Data(),Table_SourceData_PastureBeef_LiveweightGainNTQLD[[#Headers],[State]],0)</f>
        <v>0.51</v>
      </c>
      <c r="H205" s="37" cm="1">
        <f t="array" ref="H205">Common_InputFunctions.Utility_DisplayArrayInTable(SourceData_PastureBeef.SourceData_PastureBeef_LiveweightGainNTQLD_Data(),Table_SourceData_PastureBeef_LiveweightGainNTQLD[[#Headers],[State]],0)</f>
        <v>-7.0000000000000007E-2</v>
      </c>
      <c r="I205" s="37" cm="1">
        <f t="array" ref="I205">Common_InputFunctions.Utility_DisplayArrayInTable(SourceData_PastureBeef.SourceData_PastureBeef_LiveweightGainNTQLD_Data(),Table_SourceData_PastureBeef_LiveweightGainNTQLD[[#Headers],[State]],0)</f>
        <v>0.13</v>
      </c>
      <c r="J205" s="37" cm="1">
        <f t="array" ref="J205">Common_InputFunctions.Utility_DisplayArrayInTable(SourceData_PastureBeef.SourceData_PastureBeef_LiveweightGainNTQLD_Data(),Table_SourceData_PastureBeef_LiveweightGainNTQLD[[#Headers],[State]],0)</f>
        <v>-0.09</v>
      </c>
      <c r="K205" s="37" cm="1">
        <f t="array" ref="K205">Common_InputFunctions.Utility_DisplayArrayInTable(SourceData_PastureBeef.SourceData_PastureBeef_LiveweightGainNTQLD_Data(),Table_SourceData_PastureBeef_LiveweightGainNTQLD[[#Headers],[State]],0)</f>
        <v>-0.13</v>
      </c>
      <c r="L205" s="37" cm="1">
        <f t="array" ref="L205">Common_InputFunctions.Utility_DisplayArrayInTable(SourceData_PastureBeef.SourceData_PastureBeef_LiveweightGainNTQLD_Data(),Table_SourceData_PastureBeef_LiveweightGainNTQLD[[#Headers],[State]],0)</f>
        <v>7.0000000000000007E-2</v>
      </c>
      <c r="M205" s="37" cm="1">
        <f t="array" ref="M205">Common_InputFunctions.Utility_DisplayArrayInTable(SourceData_PastureBeef.SourceData_PastureBeef_LiveweightGainNTQLD_Data(),Table_SourceData_PastureBeef_LiveweightGainNTQLD[[#Headers],[State]],0)</f>
        <v>0.25</v>
      </c>
      <c r="N205" s="37" cm="1">
        <f t="array" ref="N205">Common_InputFunctions.Utility_DisplayArrayInTable(SourceData_PastureBeef.SourceData_PastureBeef_LiveweightGainNTQLD_Data(),Table_SourceData_PastureBeef_LiveweightGainNTQLD[[#Headers],[State]],0)</f>
        <v>0.71</v>
      </c>
      <c r="O205" s="37" cm="1">
        <f t="array" ref="O205">Common_InputFunctions.Utility_DisplayArrayInTable(SourceData_PastureBeef.SourceData_PastureBeef_LiveweightGainNTQLD_Data(),Table_SourceData_PastureBeef_LiveweightGainNTQLD[[#Headers],[State]],0)</f>
        <v>0.17</v>
      </c>
      <c r="P205" s="37"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Spring</v>
      </c>
      <c r="G206" s="37" cm="1">
        <f t="array" ref="G206">Common_InputFunctions.Utility_DisplayArrayInTable(SourceData_PastureBeef.SourceData_PastureBeef_LiveweightGainNTQLD_Data(),Table_SourceData_PastureBeef_LiveweightGainNTQLD[[#Headers],[State]],0)</f>
        <v>-0.12</v>
      </c>
      <c r="H206" s="37" cm="1">
        <f t="array" ref="H206">Common_InputFunctions.Utility_DisplayArrayInTable(SourceData_PastureBeef.SourceData_PastureBeef_LiveweightGainNTQLD_Data(),Table_SourceData_PastureBeef_LiveweightGainNTQLD[[#Headers],[State]],0)</f>
        <v>-0.19</v>
      </c>
      <c r="I206" s="37" cm="1">
        <f t="array" ref="I206">Common_InputFunctions.Utility_DisplayArrayInTable(SourceData_PastureBeef.SourceData_PastureBeef_LiveweightGainNTQLD_Data(),Table_SourceData_PastureBeef_LiveweightGainNTQLD[[#Headers],[State]],0)</f>
        <v>0.41</v>
      </c>
      <c r="J206" s="37" cm="1">
        <f t="array" ref="J206">Common_InputFunctions.Utility_DisplayArrayInTable(SourceData_PastureBeef.SourceData_PastureBeef_LiveweightGainNTQLD_Data(),Table_SourceData_PastureBeef_LiveweightGainNTQLD[[#Headers],[State]],0)</f>
        <v>0.09</v>
      </c>
      <c r="K206" s="37" cm="1">
        <f t="array" ref="K206">Common_InputFunctions.Utility_DisplayArrayInTable(SourceData_PastureBeef.SourceData_PastureBeef_LiveweightGainNTQLD_Data(),Table_SourceData_PastureBeef_LiveweightGainNTQLD[[#Headers],[State]],0)</f>
        <v>0.41</v>
      </c>
      <c r="L206" s="37" cm="1">
        <f t="array" ref="L206">Common_InputFunctions.Utility_DisplayArrayInTable(SourceData_PastureBeef.SourceData_PastureBeef_LiveweightGainNTQLD_Data(),Table_SourceData_PastureBeef_LiveweightGainNTQLD[[#Headers],[State]],0)</f>
        <v>-0.19</v>
      </c>
      <c r="M206" s="37" cm="1">
        <f t="array" ref="M206">Common_InputFunctions.Utility_DisplayArrayInTable(SourceData_PastureBeef.SourceData_PastureBeef_LiveweightGainNTQLD_Data(),Table_SourceData_PastureBeef_LiveweightGainNTQLD[[#Headers],[State]],0)</f>
        <v>7.0000000000000007E-2</v>
      </c>
      <c r="N206" s="37" cm="1">
        <f t="array" ref="N206">Common_InputFunctions.Utility_DisplayArrayInTable(SourceData_PastureBeef.SourceData_PastureBeef_LiveweightGainNTQLD_Data(),Table_SourceData_PastureBeef_LiveweightGainNTQLD[[#Headers],[State]],0)</f>
        <v>1.07</v>
      </c>
      <c r="O206" s="37" cm="1">
        <f t="array" ref="O206">Common_InputFunctions.Utility_DisplayArrayInTable(SourceData_PastureBeef.SourceData_PastureBeef_LiveweightGainNTQLD_Data(),Table_SourceData_PastureBeef_LiveweightGainNTQLD[[#Headers],[State]],0)</f>
        <v>-0.08</v>
      </c>
      <c r="P206" s="37"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Summer</v>
      </c>
      <c r="G207" s="37" cm="1">
        <f t="array" ref="G207">Common_InputFunctions.Utility_DisplayArrayInTable(SourceData_PastureBeef.SourceData_PastureBeef_LiveweightGainNTQLD_Data(),Table_SourceData_PastureBeef_LiveweightGainNTQLD[[#Headers],[State]],0)</f>
        <v>0.65</v>
      </c>
      <c r="H207" s="37" cm="1">
        <f t="array" ref="H207">Common_InputFunctions.Utility_DisplayArrayInTable(SourceData_PastureBeef.SourceData_PastureBeef_LiveweightGainNTQLD_Data(),Table_SourceData_PastureBeef_LiveweightGainNTQLD[[#Headers],[State]],0)</f>
        <v>0.19</v>
      </c>
      <c r="I207" s="37" cm="1">
        <f t="array" ref="I207">Common_InputFunctions.Utility_DisplayArrayInTable(SourceData_PastureBeef.SourceData_PastureBeef_LiveweightGainNTQLD_Data(),Table_SourceData_PastureBeef_LiveweightGainNTQLD[[#Headers],[State]],0)</f>
        <v>0.65</v>
      </c>
      <c r="J207" s="37" cm="1">
        <f t="array" ref="J207">Common_InputFunctions.Utility_DisplayArrayInTable(SourceData_PastureBeef.SourceData_PastureBeef_LiveweightGainNTQLD_Data(),Table_SourceData_PastureBeef_LiveweightGainNTQLD[[#Headers],[State]],0)</f>
        <v>0.51</v>
      </c>
      <c r="K207" s="37" cm="1">
        <f t="array" ref="K207">Common_InputFunctions.Utility_DisplayArrayInTable(SourceData_PastureBeef.SourceData_PastureBeef_LiveweightGainNTQLD_Data(),Table_SourceData_PastureBeef_LiveweightGainNTQLD[[#Headers],[State]],0)</f>
        <v>0.18</v>
      </c>
      <c r="L207" s="37" cm="1">
        <f t="array" ref="L207">Common_InputFunctions.Utility_DisplayArrayInTable(SourceData_PastureBeef.SourceData_PastureBeef_LiveweightGainNTQLD_Data(),Table_SourceData_PastureBeef_LiveweightGainNTQLD[[#Headers],[State]],0)</f>
        <v>0.63</v>
      </c>
      <c r="M207" s="37" cm="1">
        <f t="array" ref="M207">Common_InputFunctions.Utility_DisplayArrayInTable(SourceData_PastureBeef.SourceData_PastureBeef_LiveweightGainNTQLD_Data(),Table_SourceData_PastureBeef_LiveweightGainNTQLD[[#Headers],[State]],0)</f>
        <v>1.3</v>
      </c>
      <c r="N207" s="37" cm="1">
        <f t="array" ref="N207">Common_InputFunctions.Utility_DisplayArrayInTable(SourceData_PastureBeef.SourceData_PastureBeef_LiveweightGainNTQLD_Data(),Table_SourceData_PastureBeef_LiveweightGainNTQLD[[#Headers],[State]],0)</f>
        <v>0.48</v>
      </c>
      <c r="O207" s="37" cm="1">
        <f t="array" ref="O207">Common_InputFunctions.Utility_DisplayArrayInTable(SourceData_PastureBeef.SourceData_PastureBeef_LiveweightGainNTQLD_Data(),Table_SourceData_PastureBeef_LiveweightGainNTQLD[[#Headers],[State]],0)</f>
        <v>1.1200000000000001</v>
      </c>
      <c r="P207" s="37"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Moderate/High</v>
      </c>
      <c r="F208" s="37" t="str" cm="1">
        <f t="array" ref="F208">Common_InputFunctions.Utility_DisplayArrayInTable(SourceData_PastureBeef.SourceData_PastureBeef_LiveweightGainNTQLD_Data(),Table_SourceData_PastureBeef_LiveweightGainNTQLD[[#Headers],[State]],0)</f>
        <v>Autumn</v>
      </c>
      <c r="G208" s="37" cm="1">
        <f t="array" ref="G208">Common_InputFunctions.Utility_DisplayArrayInTable(SourceData_PastureBeef.SourceData_PastureBeef_LiveweightGainNTQLD_Data(),Table_SourceData_PastureBeef_LiveweightGainNTQLD[[#Headers],[State]],0)</f>
        <v>0.7</v>
      </c>
      <c r="H208" s="37" cm="1">
        <f t="array" ref="H208">Common_InputFunctions.Utility_DisplayArrayInTable(SourceData_PastureBeef.SourceData_PastureBeef_LiveweightGainNTQLD_Data(),Table_SourceData_PastureBeef_LiveweightGainNTQLD[[#Headers],[State]],0)</f>
        <v>0.13</v>
      </c>
      <c r="I208" s="37" cm="1">
        <f t="array" ref="I208">Common_InputFunctions.Utility_DisplayArrayInTable(SourceData_PastureBeef.SourceData_PastureBeef_LiveweightGainNTQLD_Data(),Table_SourceData_PastureBeef_LiveweightGainNTQLD[[#Headers],[State]],0)</f>
        <v>0.52</v>
      </c>
      <c r="J208" s="37" cm="1">
        <f t="array" ref="J208">Common_InputFunctions.Utility_DisplayArrayInTable(SourceData_PastureBeef.SourceData_PastureBeef_LiveweightGainNTQLD_Data(),Table_SourceData_PastureBeef_LiveweightGainNTQLD[[#Headers],[State]],0)</f>
        <v>0.34</v>
      </c>
      <c r="K208" s="37" cm="1">
        <f t="array" ref="K208">Common_InputFunctions.Utility_DisplayArrayInTable(SourceData_PastureBeef.SourceData_PastureBeef_LiveweightGainNTQLD_Data(),Table_SourceData_PastureBeef_LiveweightGainNTQLD[[#Headers],[State]],0)</f>
        <v>0.02</v>
      </c>
      <c r="L208" s="37" cm="1">
        <f t="array" ref="L208">Common_InputFunctions.Utility_DisplayArrayInTable(SourceData_PastureBeef.SourceData_PastureBeef_LiveweightGainNTQLD_Data(),Table_SourceData_PastureBeef_LiveweightGainNTQLD[[#Headers],[State]],0)</f>
        <v>0.04</v>
      </c>
      <c r="M208" s="37" cm="1">
        <f t="array" ref="M208">Common_InputFunctions.Utility_DisplayArrayInTable(SourceData_PastureBeef.SourceData_PastureBeef_LiveweightGainNTQLD_Data(),Table_SourceData_PastureBeef_LiveweightGainNTQLD[[#Headers],[State]],0)</f>
        <v>0.77</v>
      </c>
      <c r="N208" s="37" cm="1">
        <f t="array" ref="N208">Common_InputFunctions.Utility_DisplayArrayInTable(SourceData_PastureBeef.SourceData_PastureBeef_LiveweightGainNTQLD_Data(),Table_SourceData_PastureBeef_LiveweightGainNTQLD[[#Headers],[State]],0)</f>
        <v>0.42</v>
      </c>
      <c r="O208" s="37" cm="1">
        <f t="array" ref="O208">Common_InputFunctions.Utility_DisplayArrayInTable(SourceData_PastureBeef.SourceData_PastureBeef_LiveweightGainNTQLD_Data(),Table_SourceData_PastureBeef_LiveweightGainNTQLD[[#Headers],[State]],0)</f>
        <v>0.12</v>
      </c>
      <c r="P208" s="37"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Moderate/High</v>
      </c>
      <c r="F209" s="37" t="str" cm="1">
        <f t="array" ref="F209">Common_InputFunctions.Utility_DisplayArrayInTable(SourceData_PastureBeef.SourceData_PastureBeef_LiveweightGainNTQLD_Data(),Table_SourceData_PastureBeef_LiveweightGainNTQLD[[#Headers],[State]],0)</f>
        <v>Winter</v>
      </c>
      <c r="G209" s="37" cm="1">
        <f t="array" ref="G209">Common_InputFunctions.Utility_DisplayArrayInTable(SourceData_PastureBeef.SourceData_PastureBeef_LiveweightGainNTQLD_Data(),Table_SourceData_PastureBeef_LiveweightGainNTQLD[[#Headers],[State]],0)</f>
        <v>0.32</v>
      </c>
      <c r="H209" s="37" cm="1">
        <f t="array" ref="H209">Common_InputFunctions.Utility_DisplayArrayInTable(SourceData_PastureBeef.SourceData_PastureBeef_LiveweightGainNTQLD_Data(),Table_SourceData_PastureBeef_LiveweightGainNTQLD[[#Headers],[State]],0)</f>
        <v>-0.06</v>
      </c>
      <c r="I209" s="37" cm="1">
        <f t="array" ref="I209">Common_InputFunctions.Utility_DisplayArrayInTable(SourceData_PastureBeef.SourceData_PastureBeef_LiveweightGainNTQLD_Data(),Table_SourceData_PastureBeef_LiveweightGainNTQLD[[#Headers],[State]],0)</f>
        <v>0.25</v>
      </c>
      <c r="J209" s="37" cm="1">
        <f t="array" ref="J209">Common_InputFunctions.Utility_DisplayArrayInTable(SourceData_PastureBeef.SourceData_PastureBeef_LiveweightGainNTQLD_Data(),Table_SourceData_PastureBeef_LiveweightGainNTQLD[[#Headers],[State]],0)</f>
        <v>0.19</v>
      </c>
      <c r="K209" s="37" cm="1">
        <f t="array" ref="K209">Common_InputFunctions.Utility_DisplayArrayInTable(SourceData_PastureBeef.SourceData_PastureBeef_LiveweightGainNTQLD_Data(),Table_SourceData_PastureBeef_LiveweightGainNTQLD[[#Headers],[State]],0)</f>
        <v>-0.1</v>
      </c>
      <c r="L209" s="37" cm="1">
        <f t="array" ref="L209">Common_InputFunctions.Utility_DisplayArrayInTable(SourceData_PastureBeef.SourceData_PastureBeef_LiveweightGainNTQLD_Data(),Table_SourceData_PastureBeef_LiveweightGainNTQLD[[#Headers],[State]],0)</f>
        <v>-0.02</v>
      </c>
      <c r="M209" s="37" cm="1">
        <f t="array" ref="M209">Common_InputFunctions.Utility_DisplayArrayInTable(SourceData_PastureBeef.SourceData_PastureBeef_LiveweightGainNTQLD_Data(),Table_SourceData_PastureBeef_LiveweightGainNTQLD[[#Headers],[State]],0)</f>
        <v>0.02</v>
      </c>
      <c r="N209" s="37" cm="1">
        <f t="array" ref="N209">Common_InputFunctions.Utility_DisplayArrayInTable(SourceData_PastureBeef.SourceData_PastureBeef_LiveweightGainNTQLD_Data(),Table_SourceData_PastureBeef_LiveweightGainNTQLD[[#Headers],[State]],0)</f>
        <v>0.23</v>
      </c>
      <c r="O209" s="37" cm="1">
        <f t="array" ref="O209">Common_InputFunctions.Utility_DisplayArrayInTable(SourceData_PastureBeef.SourceData_PastureBeef_LiveweightGainNTQLD_Data(),Table_SourceData_PastureBeef_LiveweightGainNTQLD[[#Headers],[State]],0)</f>
        <v>-0.13</v>
      </c>
      <c r="P209" s="37"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Spring</v>
      </c>
      <c r="G210" s="37" cm="1">
        <f t="array" ref="G210">Common_InputFunctions.Utility_DisplayArrayInTable(SourceData_PastureBeef.SourceData_PastureBeef_LiveweightGainNTQLD_Data(),Table_SourceData_PastureBeef_LiveweightGainNTQLD[[#Headers],[State]],0)</f>
        <v>0.62</v>
      </c>
      <c r="H210" s="37" cm="1">
        <f t="array" ref="H210">Common_InputFunctions.Utility_DisplayArrayInTable(SourceData_PastureBeef.SourceData_PastureBeef_LiveweightGainNTQLD_Data(),Table_SourceData_PastureBeef_LiveweightGainNTQLD[[#Headers],[State]],0)</f>
        <v>-0.19</v>
      </c>
      <c r="I210" s="37" cm="1">
        <f t="array" ref="I210">Common_InputFunctions.Utility_DisplayArrayInTable(SourceData_PastureBeef.SourceData_PastureBeef_LiveweightGainNTQLD_Data(),Table_SourceData_PastureBeef_LiveweightGainNTQLD[[#Headers],[State]],0)</f>
        <v>0.37</v>
      </c>
      <c r="J210" s="37" cm="1">
        <f t="array" ref="J210">Common_InputFunctions.Utility_DisplayArrayInTable(SourceData_PastureBeef.SourceData_PastureBeef_LiveweightGainNTQLD_Data(),Table_SourceData_PastureBeef_LiveweightGainNTQLD[[#Headers],[State]],0)</f>
        <v>0.41</v>
      </c>
      <c r="K210" s="37" cm="1">
        <f t="array" ref="K210">Common_InputFunctions.Utility_DisplayArrayInTable(SourceData_PastureBeef.SourceData_PastureBeef_LiveweightGainNTQLD_Data(),Table_SourceData_PastureBeef_LiveweightGainNTQLD[[#Headers],[State]],0)</f>
        <v>0.06</v>
      </c>
      <c r="L210" s="37" cm="1">
        <f t="array" ref="L210">Common_InputFunctions.Utility_DisplayArrayInTable(SourceData_PastureBeef.SourceData_PastureBeef_LiveweightGainNTQLD_Data(),Table_SourceData_PastureBeef_LiveweightGainNTQLD[[#Headers],[State]],0)</f>
        <v>-0.02</v>
      </c>
      <c r="M210" s="37" cm="1">
        <f t="array" ref="M210">Common_InputFunctions.Utility_DisplayArrayInTable(SourceData_PastureBeef.SourceData_PastureBeef_LiveweightGainNTQLD_Data(),Table_SourceData_PastureBeef_LiveweightGainNTQLD[[#Headers],[State]],0)</f>
        <v>0.47</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v>
      </c>
      <c r="P210" s="37"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Summer</v>
      </c>
      <c r="G211" s="37" cm="1">
        <f t="array" ref="G211">Common_InputFunctions.Utility_DisplayArrayInTable(SourceData_PastureBeef.SourceData_PastureBeef_LiveweightGainNTQLD_Data(),Table_SourceData_PastureBeef_LiveweightGainNTQLD[[#Headers],[State]],0)</f>
        <v>0.05</v>
      </c>
      <c r="H211" s="37" cm="1">
        <f t="array" ref="H211">Common_InputFunctions.Utility_DisplayArrayInTable(SourceData_PastureBeef.SourceData_PastureBeef_LiveweightGainNTQLD_Data(),Table_SourceData_PastureBeef_LiveweightGainNTQLD[[#Headers],[State]],0)</f>
        <v>0.19</v>
      </c>
      <c r="I211" s="37" cm="1">
        <f t="array" ref="I211">Common_InputFunctions.Utility_DisplayArrayInTable(SourceData_PastureBeef.SourceData_PastureBeef_LiveweightGainNTQLD_Data(),Table_SourceData_PastureBeef_LiveweightGainNTQLD[[#Headers],[State]],0)</f>
        <v>0.31</v>
      </c>
      <c r="J211" s="37" cm="1">
        <f t="array" ref="J211">Common_InputFunctions.Utility_DisplayArrayInTable(SourceData_PastureBeef.SourceData_PastureBeef_LiveweightGainNTQLD_Data(),Table_SourceData_PastureBeef_LiveweightGainNTQLD[[#Headers],[State]],0)</f>
        <v>0.54</v>
      </c>
      <c r="K211" s="37" cm="1">
        <f t="array" ref="K211">Common_InputFunctions.Utility_DisplayArrayInTable(SourceData_PastureBeef.SourceData_PastureBeef_LiveweightGainNTQLD_Data(),Table_SourceData_PastureBeef_LiveweightGainNTQLD[[#Headers],[State]],0)</f>
        <v>0.53</v>
      </c>
      <c r="L211" s="37" cm="1">
        <f t="array" ref="L211">Common_InputFunctions.Utility_DisplayArrayInTable(SourceData_PastureBeef.SourceData_PastureBeef_LiveweightGainNTQLD_Data(),Table_SourceData_PastureBeef_LiveweightGainNTQLD[[#Headers],[State]],0)</f>
        <v>0.15</v>
      </c>
      <c r="M211" s="37" cm="1">
        <f t="array" ref="M211">Common_InputFunctions.Utility_DisplayArrayInTable(SourceData_PastureBeef.SourceData_PastureBeef_LiveweightGainNTQLD_Data(),Table_SourceData_PastureBeef_LiveweightGainNTQLD[[#Headers],[State]],0)</f>
        <v>0.28000000000000003</v>
      </c>
      <c r="N211" s="37" cm="1">
        <f t="array" ref="N211">Common_InputFunctions.Utility_DisplayArrayInTable(SourceData_PastureBeef.SourceData_PastureBeef_LiveweightGainNTQLD_Data(),Table_SourceData_PastureBeef_LiveweightGainNTQLD[[#Headers],[State]],0)</f>
        <v>0.56999999999999995</v>
      </c>
      <c r="O211" s="37" cm="1">
        <f t="array" ref="O211">Common_InputFunctions.Utility_DisplayArrayInTable(SourceData_PastureBeef.SourceData_PastureBeef_LiveweightGainNTQLD_Data(),Table_SourceData_PastureBeef_LiveweightGainNTQLD[[#Headers],[State]],0)</f>
        <v>0.42</v>
      </c>
      <c r="P211" s="37"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Moderate/Low</v>
      </c>
      <c r="F212" s="37" t="str" cm="1">
        <f t="array" ref="F212">Common_InputFunctions.Utility_DisplayArrayInTable(SourceData_PastureBeef.SourceData_PastureBeef_LiveweightGainNTQLD_Data(),Table_SourceData_PastureBeef_LiveweightGainNTQLD[[#Headers],[State]],0)</f>
        <v>Autumn</v>
      </c>
      <c r="G212" s="37" cm="1">
        <f t="array" ref="G212">Common_InputFunctions.Utility_DisplayArrayInTable(SourceData_PastureBeef.SourceData_PastureBeef_LiveweightGainNTQLD_Data(),Table_SourceData_PastureBeef_LiveweightGainNTQLD[[#Headers],[State]],0)</f>
        <v>0.33</v>
      </c>
      <c r="H212" s="37" cm="1">
        <f t="array" ref="H212">Common_InputFunctions.Utility_DisplayArrayInTable(SourceData_PastureBeef.SourceData_PastureBeef_LiveweightGainNTQLD_Data(),Table_SourceData_PastureBeef_LiveweightGainNTQLD[[#Headers],[State]],0)</f>
        <v>0.13</v>
      </c>
      <c r="I212" s="37" cm="1">
        <f t="array" ref="I212">Common_InputFunctions.Utility_DisplayArrayInTable(SourceData_PastureBeef.SourceData_PastureBeef_LiveweightGainNTQLD_Data(),Table_SourceData_PastureBeef_LiveweightGainNTQLD[[#Headers],[State]],0)</f>
        <v>0.39</v>
      </c>
      <c r="J212" s="37" cm="1">
        <f t="array" ref="J212">Common_InputFunctions.Utility_DisplayArrayInTable(SourceData_PastureBeef.SourceData_PastureBeef_LiveweightGainNTQLD_Data(),Table_SourceData_PastureBeef_LiveweightGainNTQLD[[#Headers],[State]],0)</f>
        <v>0.36</v>
      </c>
      <c r="K212" s="37" cm="1">
        <f t="array" ref="K212">Common_InputFunctions.Utility_DisplayArrayInTable(SourceData_PastureBeef.SourceData_PastureBeef_LiveweightGainNTQLD_Data(),Table_SourceData_PastureBeef_LiveweightGainNTQLD[[#Headers],[State]],0)</f>
        <v>0.26</v>
      </c>
      <c r="L212" s="37" cm="1">
        <f t="array" ref="L212">Common_InputFunctions.Utility_DisplayArrayInTable(SourceData_PastureBeef.SourceData_PastureBeef_LiveweightGainNTQLD_Data(),Table_SourceData_PastureBeef_LiveweightGainNTQLD[[#Headers],[State]],0)</f>
        <v>0.11</v>
      </c>
      <c r="M212" s="37" cm="1">
        <f t="array" ref="M212">Common_InputFunctions.Utility_DisplayArrayInTable(SourceData_PastureBeef.SourceData_PastureBeef_LiveweightGainNTQLD_Data(),Table_SourceData_PastureBeef_LiveweightGainNTQLD[[#Headers],[State]],0)</f>
        <v>0.4</v>
      </c>
      <c r="N212" s="37" cm="1">
        <f t="array" ref="N212">Common_InputFunctions.Utility_DisplayArrayInTable(SourceData_PastureBeef.SourceData_PastureBeef_LiveweightGainNTQLD_Data(),Table_SourceData_PastureBeef_LiveweightGainNTQLD[[#Headers],[State]],0)</f>
        <v>0.44</v>
      </c>
      <c r="O212" s="37" cm="1">
        <f t="array" ref="O212">Common_InputFunctions.Utility_DisplayArrayInTable(SourceData_PastureBeef.SourceData_PastureBeef_LiveweightGainNTQLD_Data(),Table_SourceData_PastureBeef_LiveweightGainNTQLD[[#Headers],[State]],0)</f>
        <v>0.37</v>
      </c>
      <c r="P212" s="37"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Moderate/Low</v>
      </c>
      <c r="F213" s="37" t="str" cm="1">
        <f t="array" ref="F213">Common_InputFunctions.Utility_DisplayArrayInTable(SourceData_PastureBeef.SourceData_PastureBeef_LiveweightGainNTQLD_Data(),Table_SourceData_PastureBeef_LiveweightGainNTQLD[[#Headers],[State]],0)</f>
        <v>Winter</v>
      </c>
      <c r="G213" s="37" cm="1">
        <f t="array" ref="G213">Common_InputFunctions.Utility_DisplayArrayInTable(SourceData_PastureBeef.SourceData_PastureBeef_LiveweightGainNTQLD_Data(),Table_SourceData_PastureBeef_LiveweightGainNTQLD[[#Headers],[State]],0)</f>
        <v>0.61</v>
      </c>
      <c r="H213" s="37" cm="1">
        <f t="array" ref="H213">Common_InputFunctions.Utility_DisplayArrayInTable(SourceData_PastureBeef.SourceData_PastureBeef_LiveweightGainNTQLD_Data(),Table_SourceData_PastureBeef_LiveweightGainNTQLD[[#Headers],[State]],0)</f>
        <v>-0.06</v>
      </c>
      <c r="I213" s="37" cm="1">
        <f t="array" ref="I213">Common_InputFunctions.Utility_DisplayArrayInTable(SourceData_PastureBeef.SourceData_PastureBeef_LiveweightGainNTQLD_Data(),Table_SourceData_PastureBeef_LiveweightGainNTQLD[[#Headers],[State]],0)</f>
        <v>0.21</v>
      </c>
      <c r="J213" s="37" cm="1">
        <f t="array" ref="J213">Common_InputFunctions.Utility_DisplayArrayInTable(SourceData_PastureBeef.SourceData_PastureBeef_LiveweightGainNTQLD_Data(),Table_SourceData_PastureBeef_LiveweightGainNTQLD[[#Headers],[State]],0)</f>
        <v>0.18</v>
      </c>
      <c r="K213" s="37" cm="1">
        <f t="array" ref="K213">Common_InputFunctions.Utility_DisplayArrayInTable(SourceData_PastureBeef.SourceData_PastureBeef_LiveweightGainNTQLD_Data(),Table_SourceData_PastureBeef_LiveweightGainNTQLD[[#Headers],[State]],0)</f>
        <v>0.12</v>
      </c>
      <c r="L213" s="37" cm="1">
        <f t="array" ref="L213">Common_InputFunctions.Utility_DisplayArrayInTable(SourceData_PastureBeef.SourceData_PastureBeef_LiveweightGainNTQLD_Data(),Table_SourceData_PastureBeef_LiveweightGainNTQLD[[#Headers],[State]],0)</f>
        <v>0.06</v>
      </c>
      <c r="M213" s="37" cm="1">
        <f t="array" ref="M213">Common_InputFunctions.Utility_DisplayArrayInTable(SourceData_PastureBeef.SourceData_PastureBeef_LiveweightGainNTQLD_Data(),Table_SourceData_PastureBeef_LiveweightGainNTQLD[[#Headers],[State]],0)</f>
        <v>0.28999999999999998</v>
      </c>
      <c r="N213" s="37" cm="1">
        <f t="array" ref="N213">Common_InputFunctions.Utility_DisplayArrayInTable(SourceData_PastureBeef.SourceData_PastureBeef_LiveweightGainNTQLD_Data(),Table_SourceData_PastureBeef_LiveweightGainNTQLD[[#Headers],[State]],0)</f>
        <v>0.41</v>
      </c>
      <c r="O213" s="37" cm="1">
        <f t="array" ref="O213">Common_InputFunctions.Utility_DisplayArrayInTable(SourceData_PastureBeef.SourceData_PastureBeef_LiveweightGainNTQLD_Data(),Table_SourceData_PastureBeef_LiveweightGainNTQLD[[#Headers],[State]],0)</f>
        <v>0.41</v>
      </c>
      <c r="P213" s="37"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Spring</v>
      </c>
      <c r="G214" s="37" cm="1">
        <f t="array" ref="G214">Common_InputFunctions.Utility_DisplayArrayInTable(SourceData_PastureBeef.SourceData_PastureBeef_LiveweightGainNTQLD_Data(),Table_SourceData_PastureBeef_LiveweightGainNTQLD[[#Headers],[State]],0)</f>
        <v>-0.2</v>
      </c>
      <c r="H214" s="37" cm="1">
        <f t="array" ref="H214">Common_InputFunctions.Utility_DisplayArrayInTable(SourceData_PastureBeef.SourceData_PastureBeef_LiveweightGainNTQLD_Data(),Table_SourceData_PastureBeef_LiveweightGainNTQLD[[#Headers],[State]],0)</f>
        <v>0.02</v>
      </c>
      <c r="I214" s="37" cm="1">
        <f t="array" ref="I214">Common_InputFunctions.Utility_DisplayArrayInTable(SourceData_PastureBeef.SourceData_PastureBeef_LiveweightGainNTQLD_Data(),Table_SourceData_PastureBeef_LiveweightGainNTQLD[[#Headers],[State]],0)</f>
        <v>0.24</v>
      </c>
      <c r="J214" s="37" cm="1">
        <f t="array" ref="J214">Common_InputFunctions.Utility_DisplayArrayInTable(SourceData_PastureBeef.SourceData_PastureBeef_LiveweightGainNTQLD_Data(),Table_SourceData_PastureBeef_LiveweightGainNTQLD[[#Headers],[State]],0)</f>
        <v>0.3</v>
      </c>
      <c r="K214" s="37" cm="1">
        <f t="array" ref="K214">Common_InputFunctions.Utility_DisplayArrayInTable(SourceData_PastureBeef.SourceData_PastureBeef_LiveweightGainNTQLD_Data(),Table_SourceData_PastureBeef_LiveweightGainNTQLD[[#Headers],[State]],0)</f>
        <v>0.23</v>
      </c>
      <c r="L214" s="37" cm="1">
        <f t="array" ref="L214">Common_InputFunctions.Utility_DisplayArrayInTable(SourceData_PastureBeef.SourceData_PastureBeef_LiveweightGainNTQLD_Data(),Table_SourceData_PastureBeef_LiveweightGainNTQLD[[#Headers],[State]],0)</f>
        <v>-0.05</v>
      </c>
      <c r="M214" s="37" cm="1">
        <f t="array" ref="M214">Common_InputFunctions.Utility_DisplayArrayInTable(SourceData_PastureBeef.SourceData_PastureBeef_LiveweightGainNTQLD_Data(),Table_SourceData_PastureBeef_LiveweightGainNTQLD[[#Headers],[State]],0)</f>
        <v>0.34</v>
      </c>
      <c r="N214" s="37" cm="1">
        <f t="array" ref="N214">Common_InputFunctions.Utility_DisplayArrayInTable(SourceData_PastureBeef.SourceData_PastureBeef_LiveweightGainNTQLD_Data(),Table_SourceData_PastureBeef_LiveweightGainNTQLD[[#Headers],[State]],0)</f>
        <v>0.3</v>
      </c>
      <c r="O214" s="37" cm="1">
        <f t="array" ref="O214">Common_InputFunctions.Utility_DisplayArrayInTable(SourceData_PastureBeef.SourceData_PastureBeef_LiveweightGainNTQLD_Data(),Table_SourceData_PastureBeef_LiveweightGainNTQLD[[#Headers],[State]],0)</f>
        <v>0.56999999999999995</v>
      </c>
      <c r="P214" s="37"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Summer</v>
      </c>
      <c r="G215" s="37" cm="1">
        <f t="array" ref="G215">Common_InputFunctions.Utility_DisplayArrayInTable(SourceData_PastureBeef.SourceData_PastureBeef_LiveweightGainNTQLD_Data(),Table_SourceData_PastureBeef_LiveweightGainNTQLD[[#Headers],[State]],0)</f>
        <v>0.62</v>
      </c>
      <c r="H215" s="37" cm="1">
        <f t="array" ref="H215">Common_InputFunctions.Utility_DisplayArrayInTable(SourceData_PastureBeef.SourceData_PastureBeef_LiveweightGainNTQLD_Data(),Table_SourceData_PastureBeef_LiveweightGainNTQLD[[#Headers],[State]],0)</f>
        <v>0.21</v>
      </c>
      <c r="I215" s="37" cm="1">
        <f t="array" ref="I215">Common_InputFunctions.Utility_DisplayArrayInTable(SourceData_PastureBeef.SourceData_PastureBeef_LiveweightGainNTQLD_Data(),Table_SourceData_PastureBeef_LiveweightGainNTQLD[[#Headers],[State]],0)</f>
        <v>0.25</v>
      </c>
      <c r="J215" s="37" cm="1">
        <f t="array" ref="J215">Common_InputFunctions.Utility_DisplayArrayInTable(SourceData_PastureBeef.SourceData_PastureBeef_LiveweightGainNTQLD_Data(),Table_SourceData_PastureBeef_LiveweightGainNTQLD[[#Headers],[State]],0)</f>
        <v>0.32</v>
      </c>
      <c r="K215" s="37" cm="1">
        <f t="array" ref="K215">Common_InputFunctions.Utility_DisplayArrayInTable(SourceData_PastureBeef.SourceData_PastureBeef_LiveweightGainNTQLD_Data(),Table_SourceData_PastureBeef_LiveweightGainNTQLD[[#Headers],[State]],0)</f>
        <v>0.47</v>
      </c>
      <c r="L215" s="37" cm="1">
        <f t="array" ref="L215">Common_InputFunctions.Utility_DisplayArrayInTable(SourceData_PastureBeef.SourceData_PastureBeef_LiveweightGainNTQLD_Data(),Table_SourceData_PastureBeef_LiveweightGainNTQLD[[#Headers],[State]],0)</f>
        <v>0.31</v>
      </c>
      <c r="M215" s="37" cm="1">
        <f t="array" ref="M215">Common_InputFunctions.Utility_DisplayArrayInTable(SourceData_PastureBeef.SourceData_PastureBeef_LiveweightGainNTQLD_Data(),Table_SourceData_PastureBeef_LiveweightGainNTQLD[[#Headers],[State]],0)</f>
        <v>0.14000000000000001</v>
      </c>
      <c r="N215" s="37" cm="1">
        <f t="array" ref="N215">Common_InputFunctions.Utility_DisplayArrayInTable(SourceData_PastureBeef.SourceData_PastureBeef_LiveweightGainNTQLD_Data(),Table_SourceData_PastureBeef_LiveweightGainNTQLD[[#Headers],[State]],0)</f>
        <v>0.4</v>
      </c>
      <c r="O215" s="37" cm="1">
        <f t="array" ref="O215">Common_InputFunctions.Utility_DisplayArrayInTable(SourceData_PastureBeef.SourceData_PastureBeef_LiveweightGainNTQLD_Data(),Table_SourceData_PastureBeef_LiveweightGainNTQLD[[#Headers],[State]],0)</f>
        <v>0.26</v>
      </c>
      <c r="P215" s="37"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7" t="str" cm="1">
        <f t="array" ref="E216">Common_InputFunctions.Utility_DisplayArrayInTable(SourceData_PastureBeef.SourceData_PastureBeef_LiveweightGainNTQLD_Data(),Table_SourceData_PastureBeef_LiveweightGainNTQLD[[#Headers],[State]],0)</f>
        <v>Low</v>
      </c>
      <c r="F216" s="37" t="str" cm="1">
        <f t="array" ref="F216">Common_InputFunctions.Utility_DisplayArrayInTable(SourceData_PastureBeef.SourceData_PastureBeef_LiveweightGainNTQLD_Data(),Table_SourceData_PastureBeef_LiveweightGainNTQLD[[#Headers],[State]],0)</f>
        <v>Autumn</v>
      </c>
      <c r="G216" s="37" cm="1">
        <f t="array" ref="G216">Common_InputFunctions.Utility_DisplayArrayInTable(SourceData_PastureBeef.SourceData_PastureBeef_LiveweightGainNTQLD_Data(),Table_SourceData_PastureBeef_LiveweightGainNTQLD[[#Headers],[State]],0)</f>
        <v>0.4</v>
      </c>
      <c r="H216" s="37" cm="1">
        <f t="array" ref="H216">Common_InputFunctions.Utility_DisplayArrayInTable(SourceData_PastureBeef.SourceData_PastureBeef_LiveweightGainNTQLD_Data(),Table_SourceData_PastureBeef_LiveweightGainNTQLD[[#Headers],[State]],0)</f>
        <v>0.13</v>
      </c>
      <c r="I216" s="37" cm="1">
        <f t="array" ref="I216">Common_InputFunctions.Utility_DisplayArrayInTable(SourceData_PastureBeef.SourceData_PastureBeef_LiveweightGainNTQLD_Data(),Table_SourceData_PastureBeef_LiveweightGainNTQLD[[#Headers],[State]],0)</f>
        <v>0.12</v>
      </c>
      <c r="J216" s="37" cm="1">
        <f t="array" ref="J216">Common_InputFunctions.Utility_DisplayArrayInTable(SourceData_PastureBeef.SourceData_PastureBeef_LiveweightGainNTQLD_Data(),Table_SourceData_PastureBeef_LiveweightGainNTQLD[[#Headers],[State]],0)</f>
        <v>0.27</v>
      </c>
      <c r="K216" s="37" cm="1">
        <f t="array" ref="K216">Common_InputFunctions.Utility_DisplayArrayInTable(SourceData_PastureBeef.SourceData_PastureBeef_LiveweightGainNTQLD_Data(),Table_SourceData_PastureBeef_LiveweightGainNTQLD[[#Headers],[State]],0)</f>
        <v>0.3</v>
      </c>
      <c r="L216" s="37" cm="1">
        <f t="array" ref="L216">Common_InputFunctions.Utility_DisplayArrayInTable(SourceData_PastureBeef.SourceData_PastureBeef_LiveweightGainNTQLD_Data(),Table_SourceData_PastureBeef_LiveweightGainNTQLD[[#Headers],[State]],0)</f>
        <v>0.08</v>
      </c>
      <c r="M216" s="37" cm="1">
        <f t="array" ref="M216">Common_InputFunctions.Utility_DisplayArrayInTable(SourceData_PastureBeef.SourceData_PastureBeef_LiveweightGainNTQLD_Data(),Table_SourceData_PastureBeef_LiveweightGainNTQLD[[#Headers],[State]],0)</f>
        <v>0.13</v>
      </c>
      <c r="N216" s="37" cm="1">
        <f t="array" ref="N216">Common_InputFunctions.Utility_DisplayArrayInTable(SourceData_PastureBeef.SourceData_PastureBeef_LiveweightGainNTQLD_Data(),Table_SourceData_PastureBeef_LiveweightGainNTQLD[[#Headers],[State]],0)</f>
        <v>0.24</v>
      </c>
      <c r="O216" s="37" cm="1">
        <f t="array" ref="O216">Common_InputFunctions.Utility_DisplayArrayInTable(SourceData_PastureBeef.SourceData_PastureBeef_LiveweightGainNTQLD_Data(),Table_SourceData_PastureBeef_LiveweightGainNTQLD[[#Headers],[State]],0)</f>
        <v>0.15</v>
      </c>
      <c r="P216" s="37"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7" t="str" cm="1">
        <f t="array" ref="E217">Common_InputFunctions.Utility_DisplayArrayInTable(SourceData_PastureBeef.SourceData_PastureBeef_LiveweightGainNTQLD_Data(),Table_SourceData_PastureBeef_LiveweightGainNTQLD[[#Headers],[State]],0)</f>
        <v>Low</v>
      </c>
      <c r="F217" s="37" t="str" cm="1">
        <f t="array" ref="F217">Common_InputFunctions.Utility_DisplayArrayInTable(SourceData_PastureBeef.SourceData_PastureBeef_LiveweightGainNTQLD_Data(),Table_SourceData_PastureBeef_LiveweightGainNTQLD[[#Headers],[State]],0)</f>
        <v>Winter</v>
      </c>
      <c r="G217" s="37" cm="1">
        <f t="array" ref="G217">Common_InputFunctions.Utility_DisplayArrayInTable(SourceData_PastureBeef.SourceData_PastureBeef_LiveweightGainNTQLD_Data(),Table_SourceData_PastureBeef_LiveweightGainNTQLD[[#Headers],[State]],0)</f>
        <v>0.08</v>
      </c>
      <c r="H217" s="37" cm="1">
        <f t="array" ref="H217">Common_InputFunctions.Utility_DisplayArrayInTable(SourceData_PastureBeef.SourceData_PastureBeef_LiveweightGainNTQLD_Data(),Table_SourceData_PastureBeef_LiveweightGainNTQLD[[#Headers],[State]],0)</f>
        <v>0.04</v>
      </c>
      <c r="I217" s="37" cm="1">
        <f t="array" ref="I217">Common_InputFunctions.Utility_DisplayArrayInTable(SourceData_PastureBeef.SourceData_PastureBeef_LiveweightGainNTQLD_Data(),Table_SourceData_PastureBeef_LiveweightGainNTQLD[[#Headers],[State]],0)</f>
        <v>0.06</v>
      </c>
      <c r="J217" s="37" cm="1">
        <f t="array" ref="J217">Common_InputFunctions.Utility_DisplayArrayInTable(SourceData_PastureBeef.SourceData_PastureBeef_LiveweightGainNTQLD_Data(),Table_SourceData_PastureBeef_LiveweightGainNTQLD[[#Headers],[State]],0)</f>
        <v>0.18</v>
      </c>
      <c r="K217" s="37" cm="1">
        <f t="array" ref="K217">Common_InputFunctions.Utility_DisplayArrayInTable(SourceData_PastureBeef.SourceData_PastureBeef_LiveweightGainNTQLD_Data(),Table_SourceData_PastureBeef_LiveweightGainNTQLD[[#Headers],[State]],0)</f>
        <v>0.11</v>
      </c>
      <c r="L217" s="37" cm="1">
        <f t="array" ref="L217">Common_InputFunctions.Utility_DisplayArrayInTable(SourceData_PastureBeef.SourceData_PastureBeef_LiveweightGainNTQLD_Data(),Table_SourceData_PastureBeef_LiveweightGainNTQLD[[#Headers],[State]],0)</f>
        <v>-7.0000000000000007E-2</v>
      </c>
      <c r="M217" s="37" cm="1">
        <f t="array" ref="M217">Common_InputFunctions.Utility_DisplayArrayInTable(SourceData_PastureBeef.SourceData_PastureBeef_LiveweightGainNTQLD_Data(),Table_SourceData_PastureBeef_LiveweightGainNTQLD[[#Headers],[State]],0)</f>
        <v>0.13</v>
      </c>
      <c r="N217" s="37" cm="1">
        <f t="array" ref="N217">Common_InputFunctions.Utility_DisplayArrayInTable(SourceData_PastureBeef.SourceData_PastureBeef_LiveweightGainNTQLD_Data(),Table_SourceData_PastureBeef_LiveweightGainNTQLD[[#Headers],[State]],0)</f>
        <v>0.16</v>
      </c>
      <c r="O217" s="37" cm="1">
        <f t="array" ref="O217">Common_InputFunctions.Utility_DisplayArrayInTable(SourceData_PastureBeef.SourceData_PastureBeef_LiveweightGainNTQLD_Data(),Table_SourceData_PastureBeef_LiveweightGainNTQLD[[#Headers],[State]],0)</f>
        <v>0.4</v>
      </c>
      <c r="P217" s="37"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201</v>
      </c>
      <c r="M220" s="1"/>
    </row>
    <row r="221" spans="4:16" x14ac:dyDescent="0.25">
      <c r="M221" s="1"/>
    </row>
    <row r="222" spans="4:16" x14ac:dyDescent="0.25">
      <c r="D222" s="37" t="s">
        <v>8</v>
      </c>
      <c r="E222" s="37" t="s">
        <v>183</v>
      </c>
      <c r="F222" s="37" t="s">
        <v>184</v>
      </c>
      <c r="G222" s="118" t="s">
        <v>131</v>
      </c>
      <c r="H222" s="118" t="s">
        <v>130</v>
      </c>
      <c r="I222" s="118" t="s">
        <v>165</v>
      </c>
      <c r="J222" s="118" t="s">
        <v>166</v>
      </c>
      <c r="K222" s="118" t="s">
        <v>167</v>
      </c>
      <c r="L222" s="118" t="s">
        <v>168</v>
      </c>
      <c r="M222" s="118" t="s">
        <v>169</v>
      </c>
      <c r="N222" s="118" t="s">
        <v>170</v>
      </c>
      <c r="O222" s="118" t="s">
        <v>171</v>
      </c>
      <c r="P222" s="118" t="s">
        <v>172</v>
      </c>
    </row>
    <row r="223" spans="4:16" x14ac:dyDescent="0.25">
      <c r="D223" s="37" t="s">
        <v>83</v>
      </c>
      <c r="E223" s="37" t="s">
        <v>202</v>
      </c>
      <c r="F223" s="37" t="str">
        <f>F155</f>
        <v>Spring</v>
      </c>
      <c r="G223" s="37">
        <f>G155</f>
        <v>0.5</v>
      </c>
      <c r="H223" s="37">
        <f t="shared" ref="H223:J223" si="79">H155</f>
        <v>0.2</v>
      </c>
      <c r="I223" s="37">
        <f t="shared" si="79"/>
        <v>0.5</v>
      </c>
      <c r="J223" s="37">
        <f t="shared" si="79"/>
        <v>0.4</v>
      </c>
      <c r="K223" s="37">
        <f>K155</f>
        <v>0.3</v>
      </c>
      <c r="L223" s="37">
        <f>K155</f>
        <v>0.3</v>
      </c>
      <c r="M223" s="37">
        <f>L155</f>
        <v>0.5</v>
      </c>
      <c r="N223" s="37">
        <f>M155</f>
        <v>0.4</v>
      </c>
      <c r="O223" s="37">
        <f>M155</f>
        <v>0.4</v>
      </c>
      <c r="P223" s="37">
        <f>M155</f>
        <v>0.4</v>
      </c>
    </row>
    <row r="224" spans="4:16" x14ac:dyDescent="0.25">
      <c r="D224" s="37" t="s">
        <v>83</v>
      </c>
      <c r="E224" s="37" t="s">
        <v>202</v>
      </c>
      <c r="F224" s="37" t="str">
        <f t="shared" ref="F224:K226" si="80">F156</f>
        <v>Summer</v>
      </c>
      <c r="G224" s="37">
        <f t="shared" si="80"/>
        <v>1</v>
      </c>
      <c r="H224" s="37">
        <f t="shared" si="80"/>
        <v>0.4</v>
      </c>
      <c r="I224" s="37">
        <f t="shared" si="80"/>
        <v>0.9</v>
      </c>
      <c r="J224" s="37">
        <f t="shared" si="80"/>
        <v>0.7</v>
      </c>
      <c r="K224" s="37">
        <f t="shared" si="80"/>
        <v>0.3</v>
      </c>
      <c r="L224" s="37">
        <f t="shared" ref="L224:M226" si="81">K156</f>
        <v>0.3</v>
      </c>
      <c r="M224" s="37">
        <f t="shared" si="81"/>
        <v>0.9</v>
      </c>
      <c r="N224" s="37">
        <f t="shared" ref="N224:N226" si="82">M156</f>
        <v>0.4</v>
      </c>
      <c r="O224" s="37">
        <f t="shared" ref="O224:O226" si="83">M156</f>
        <v>0.4</v>
      </c>
      <c r="P224" s="37">
        <f t="shared" ref="P224:P226" si="84">M156</f>
        <v>0.4</v>
      </c>
    </row>
    <row r="225" spans="4:16" x14ac:dyDescent="0.25">
      <c r="D225" s="37" t="s">
        <v>83</v>
      </c>
      <c r="E225" s="37" t="s">
        <v>202</v>
      </c>
      <c r="F225" s="37" t="str">
        <f t="shared" si="80"/>
        <v>Autumn</v>
      </c>
      <c r="G225" s="37">
        <f t="shared" si="80"/>
        <v>0.8</v>
      </c>
      <c r="H225" s="37">
        <f t="shared" si="80"/>
        <v>0.3</v>
      </c>
      <c r="I225" s="37">
        <f t="shared" si="80"/>
        <v>0.7</v>
      </c>
      <c r="J225" s="37">
        <f t="shared" si="80"/>
        <v>0.3</v>
      </c>
      <c r="K225" s="37">
        <f t="shared" si="80"/>
        <v>0.2</v>
      </c>
      <c r="L225" s="37">
        <f t="shared" si="81"/>
        <v>0.2</v>
      </c>
      <c r="M225" s="37">
        <f t="shared" si="81"/>
        <v>0.7</v>
      </c>
      <c r="N225" s="37">
        <f t="shared" si="82"/>
        <v>0.3</v>
      </c>
      <c r="O225" s="37">
        <f t="shared" si="83"/>
        <v>0.3</v>
      </c>
      <c r="P225" s="37">
        <f t="shared" si="84"/>
        <v>0.3</v>
      </c>
    </row>
    <row r="226" spans="4:16" x14ac:dyDescent="0.25">
      <c r="D226" s="37" t="s">
        <v>83</v>
      </c>
      <c r="E226" s="37" t="s">
        <v>202</v>
      </c>
      <c r="F226" s="37" t="str">
        <f t="shared" si="80"/>
        <v>Winter</v>
      </c>
      <c r="G226" s="37">
        <f t="shared" si="80"/>
        <v>0.4</v>
      </c>
      <c r="H226" s="37">
        <f t="shared" si="80"/>
        <v>0.1</v>
      </c>
      <c r="I226" s="37">
        <f t="shared" si="80"/>
        <v>0.4</v>
      </c>
      <c r="J226" s="37">
        <f t="shared" si="80"/>
        <v>0.2</v>
      </c>
      <c r="K226" s="37">
        <f t="shared" si="80"/>
        <v>0.1</v>
      </c>
      <c r="L226" s="37">
        <f t="shared" si="81"/>
        <v>0.1</v>
      </c>
      <c r="M226" s="37">
        <f t="shared" si="81"/>
        <v>0.4</v>
      </c>
      <c r="N226" s="37">
        <f t="shared" si="82"/>
        <v>0.1</v>
      </c>
      <c r="O226" s="37">
        <f t="shared" si="83"/>
        <v>0.1</v>
      </c>
      <c r="P226" s="37">
        <f t="shared" si="84"/>
        <v>0.1</v>
      </c>
    </row>
    <row r="227" spans="4:16" x14ac:dyDescent="0.25">
      <c r="D227" s="37" t="s">
        <v>84</v>
      </c>
      <c r="E227" s="37" t="s">
        <v>202</v>
      </c>
      <c r="F227" s="37" t="str">
        <f>F155</f>
        <v>Spring</v>
      </c>
      <c r="G227" s="37">
        <f>G155</f>
        <v>0.5</v>
      </c>
      <c r="H227" s="37">
        <f t="shared" ref="H227:J227" si="85">H155</f>
        <v>0.2</v>
      </c>
      <c r="I227" s="37">
        <f t="shared" si="85"/>
        <v>0.5</v>
      </c>
      <c r="J227" s="37">
        <f t="shared" si="85"/>
        <v>0.4</v>
      </c>
      <c r="K227" s="37">
        <f>K155</f>
        <v>0.3</v>
      </c>
      <c r="L227" s="37">
        <f>K155</f>
        <v>0.3</v>
      </c>
      <c r="M227" s="37">
        <f t="shared" ref="M227" si="86">L155</f>
        <v>0.5</v>
      </c>
      <c r="N227" s="37">
        <f>M155</f>
        <v>0.4</v>
      </c>
      <c r="O227" s="37">
        <f>M155</f>
        <v>0.4</v>
      </c>
      <c r="P227" s="37">
        <f>M155</f>
        <v>0.4</v>
      </c>
    </row>
    <row r="228" spans="4:16" x14ac:dyDescent="0.25">
      <c r="D228" s="37" t="s">
        <v>84</v>
      </c>
      <c r="E228" s="37" t="s">
        <v>202</v>
      </c>
      <c r="F228" s="37" t="str">
        <f t="shared" ref="F228:K230" si="87">F156</f>
        <v>Summer</v>
      </c>
      <c r="G228" s="37">
        <f t="shared" si="87"/>
        <v>1</v>
      </c>
      <c r="H228" s="37">
        <f t="shared" si="87"/>
        <v>0.4</v>
      </c>
      <c r="I228" s="37">
        <f t="shared" si="87"/>
        <v>0.9</v>
      </c>
      <c r="J228" s="37">
        <f t="shared" si="87"/>
        <v>0.7</v>
      </c>
      <c r="K228" s="37">
        <f t="shared" si="87"/>
        <v>0.3</v>
      </c>
      <c r="L228" s="37">
        <f t="shared" ref="L228:N228" si="88">K156</f>
        <v>0.3</v>
      </c>
      <c r="M228" s="37">
        <f t="shared" si="88"/>
        <v>0.9</v>
      </c>
      <c r="N228" s="37">
        <f t="shared" si="88"/>
        <v>0.4</v>
      </c>
      <c r="O228" s="37">
        <f t="shared" ref="O228:O230" si="89">M156</f>
        <v>0.4</v>
      </c>
      <c r="P228" s="37">
        <f t="shared" ref="P228:P230" si="90">M156</f>
        <v>0.4</v>
      </c>
    </row>
    <row r="229" spans="4:16" x14ac:dyDescent="0.25">
      <c r="D229" s="37" t="s">
        <v>84</v>
      </c>
      <c r="E229" s="37" t="s">
        <v>202</v>
      </c>
      <c r="F229" s="37" t="str">
        <f t="shared" si="87"/>
        <v>Autumn</v>
      </c>
      <c r="G229" s="37">
        <f t="shared" si="87"/>
        <v>0.8</v>
      </c>
      <c r="H229" s="37">
        <f t="shared" si="87"/>
        <v>0.3</v>
      </c>
      <c r="I229" s="37">
        <f t="shared" si="87"/>
        <v>0.7</v>
      </c>
      <c r="J229" s="37">
        <f t="shared" si="87"/>
        <v>0.3</v>
      </c>
      <c r="K229" s="37">
        <f t="shared" si="87"/>
        <v>0.2</v>
      </c>
      <c r="L229" s="37">
        <f t="shared" ref="L229:N229" si="91">K157</f>
        <v>0.2</v>
      </c>
      <c r="M229" s="37">
        <f t="shared" si="91"/>
        <v>0.7</v>
      </c>
      <c r="N229" s="37">
        <f t="shared" si="91"/>
        <v>0.3</v>
      </c>
      <c r="O229" s="37">
        <f t="shared" si="89"/>
        <v>0.3</v>
      </c>
      <c r="P229" s="37">
        <f t="shared" si="90"/>
        <v>0.3</v>
      </c>
    </row>
    <row r="230" spans="4:16" x14ac:dyDescent="0.25">
      <c r="D230" s="37" t="s">
        <v>84</v>
      </c>
      <c r="E230" s="37" t="s">
        <v>202</v>
      </c>
      <c r="F230" s="37" t="str">
        <f t="shared" si="87"/>
        <v>Winter</v>
      </c>
      <c r="G230" s="37">
        <f t="shared" si="87"/>
        <v>0.4</v>
      </c>
      <c r="H230" s="37">
        <f t="shared" si="87"/>
        <v>0.1</v>
      </c>
      <c r="I230" s="37">
        <f t="shared" si="87"/>
        <v>0.4</v>
      </c>
      <c r="J230" s="37">
        <f t="shared" si="87"/>
        <v>0.2</v>
      </c>
      <c r="K230" s="37">
        <f t="shared" si="87"/>
        <v>0.1</v>
      </c>
      <c r="L230" s="37">
        <f t="shared" ref="L230:N230" si="92">K158</f>
        <v>0.1</v>
      </c>
      <c r="M230" s="37">
        <f t="shared" si="92"/>
        <v>0.4</v>
      </c>
      <c r="N230" s="37">
        <f t="shared" si="92"/>
        <v>0.1</v>
      </c>
      <c r="O230" s="37">
        <f t="shared" si="89"/>
        <v>0.1</v>
      </c>
      <c r="P230" s="37">
        <f t="shared" si="90"/>
        <v>0.1</v>
      </c>
    </row>
    <row r="231" spans="4:16" x14ac:dyDescent="0.25">
      <c r="D231" s="37" t="s">
        <v>87</v>
      </c>
      <c r="E231" s="37" t="s">
        <v>202</v>
      </c>
      <c r="F231" s="37" t="str">
        <f>F159</f>
        <v>Spring</v>
      </c>
      <c r="G231" s="37">
        <f>G159</f>
        <v>0.99</v>
      </c>
      <c r="H231" s="37">
        <f t="shared" ref="H231:J231" si="93">H159</f>
        <v>1.1000000000000001</v>
      </c>
      <c r="I231" s="37">
        <f t="shared" si="93"/>
        <v>0.88</v>
      </c>
      <c r="J231" s="37">
        <f t="shared" si="93"/>
        <v>0.55000000000000004</v>
      </c>
      <c r="K231" s="37">
        <f>K159</f>
        <v>0.55000000000000004</v>
      </c>
      <c r="L231" s="37">
        <f>K159</f>
        <v>0.55000000000000004</v>
      </c>
      <c r="M231" s="37">
        <f t="shared" ref="M231" si="94">L159</f>
        <v>0.88</v>
      </c>
      <c r="N231" s="37">
        <f>M159</f>
        <v>0.22</v>
      </c>
      <c r="O231" s="37">
        <f>M159</f>
        <v>0.22</v>
      </c>
      <c r="P231" s="37">
        <f>M159</f>
        <v>0.22</v>
      </c>
    </row>
    <row r="232" spans="4:16" x14ac:dyDescent="0.25">
      <c r="D232" s="37" t="s">
        <v>87</v>
      </c>
      <c r="E232" s="37" t="s">
        <v>202</v>
      </c>
      <c r="F232" s="37" t="str">
        <f t="shared" ref="F232:K254" si="95">F160</f>
        <v>Summer</v>
      </c>
      <c r="G232" s="37">
        <f t="shared" si="95"/>
        <v>0.77</v>
      </c>
      <c r="H232" s="37">
        <f t="shared" si="95"/>
        <v>0</v>
      </c>
      <c r="I232" s="37">
        <f t="shared" si="95"/>
        <v>0.66</v>
      </c>
      <c r="J232" s="37">
        <f t="shared" si="95"/>
        <v>0.22</v>
      </c>
      <c r="K232" s="37">
        <f t="shared" si="95"/>
        <v>0</v>
      </c>
      <c r="L232" s="37">
        <f t="shared" ref="L232:N232" si="96">K160</f>
        <v>0</v>
      </c>
      <c r="M232" s="37">
        <f t="shared" si="96"/>
        <v>0.66</v>
      </c>
      <c r="N232" s="37">
        <f t="shared" si="96"/>
        <v>0</v>
      </c>
      <c r="O232" s="37">
        <f t="shared" ref="O232:O254" si="97">M160</f>
        <v>0</v>
      </c>
      <c r="P232" s="37">
        <f t="shared" ref="P232:P254" si="98">M160</f>
        <v>0</v>
      </c>
    </row>
    <row r="233" spans="4:16" x14ac:dyDescent="0.25">
      <c r="D233" s="37" t="s">
        <v>87</v>
      </c>
      <c r="E233" s="37" t="s">
        <v>202</v>
      </c>
      <c r="F233" s="37" t="str">
        <f t="shared" si="95"/>
        <v>Autumn</v>
      </c>
      <c r="G233" s="37">
        <f t="shared" si="95"/>
        <v>0.9</v>
      </c>
      <c r="H233" s="37">
        <f t="shared" si="95"/>
        <v>-1.1000000000000001</v>
      </c>
      <c r="I233" s="37">
        <f t="shared" si="95"/>
        <v>0.7</v>
      </c>
      <c r="J233" s="37">
        <f t="shared" si="95"/>
        <v>0.22</v>
      </c>
      <c r="K233" s="37">
        <f t="shared" si="95"/>
        <v>-0.55000000000000004</v>
      </c>
      <c r="L233" s="37">
        <f t="shared" ref="L233:N233" si="99">K161</f>
        <v>-0.55000000000000004</v>
      </c>
      <c r="M233" s="37">
        <f t="shared" si="99"/>
        <v>0.8</v>
      </c>
      <c r="N233" s="37">
        <f t="shared" si="99"/>
        <v>-0.22</v>
      </c>
      <c r="O233" s="37">
        <f t="shared" si="97"/>
        <v>-0.22</v>
      </c>
      <c r="P233" s="37">
        <f t="shared" si="98"/>
        <v>-0.22</v>
      </c>
    </row>
    <row r="234" spans="4:16" x14ac:dyDescent="0.25">
      <c r="D234" s="37" t="s">
        <v>87</v>
      </c>
      <c r="E234" s="37" t="s">
        <v>202</v>
      </c>
      <c r="F234" s="37" t="str">
        <f t="shared" si="95"/>
        <v>Winter</v>
      </c>
      <c r="G234" s="37">
        <f t="shared" si="95"/>
        <v>0.88</v>
      </c>
      <c r="H234" s="37">
        <f t="shared" si="95"/>
        <v>0</v>
      </c>
      <c r="I234" s="37">
        <f t="shared" si="95"/>
        <v>0.77</v>
      </c>
      <c r="J234" s="37">
        <f t="shared" si="95"/>
        <v>0.55000000000000004</v>
      </c>
      <c r="K234" s="37">
        <f t="shared" si="95"/>
        <v>0</v>
      </c>
      <c r="L234" s="37">
        <f t="shared" ref="L234:N234" si="100">K162</f>
        <v>0</v>
      </c>
      <c r="M234" s="37">
        <f t="shared" si="100"/>
        <v>0.82</v>
      </c>
      <c r="N234" s="37">
        <f t="shared" si="100"/>
        <v>0</v>
      </c>
      <c r="O234" s="37">
        <f t="shared" si="97"/>
        <v>0</v>
      </c>
      <c r="P234" s="37">
        <f t="shared" si="98"/>
        <v>0</v>
      </c>
    </row>
    <row r="235" spans="4:16" x14ac:dyDescent="0.25">
      <c r="D235" s="37" t="s">
        <v>88</v>
      </c>
      <c r="E235" s="37" t="s">
        <v>202</v>
      </c>
      <c r="F235" s="37" t="str">
        <f t="shared" si="95"/>
        <v>Spring</v>
      </c>
      <c r="G235" s="37">
        <f t="shared" si="95"/>
        <v>1</v>
      </c>
      <c r="H235" s="37">
        <f t="shared" si="95"/>
        <v>0.5</v>
      </c>
      <c r="I235" s="37">
        <f t="shared" si="95"/>
        <v>1</v>
      </c>
      <c r="J235" s="37">
        <f t="shared" si="95"/>
        <v>1</v>
      </c>
      <c r="K235" s="37">
        <f t="shared" si="95"/>
        <v>-0.44</v>
      </c>
      <c r="L235" s="37">
        <f t="shared" ref="L235:N235" si="101">K163</f>
        <v>-0.44</v>
      </c>
      <c r="M235" s="37">
        <f t="shared" si="101"/>
        <v>1</v>
      </c>
      <c r="N235" s="37">
        <f t="shared" si="101"/>
        <v>0.5</v>
      </c>
      <c r="O235" s="37">
        <f t="shared" si="97"/>
        <v>0.5</v>
      </c>
      <c r="P235" s="37">
        <f t="shared" si="98"/>
        <v>0.5</v>
      </c>
    </row>
    <row r="236" spans="4:16" x14ac:dyDescent="0.25">
      <c r="D236" s="37" t="s">
        <v>88</v>
      </c>
      <c r="E236" s="37" t="s">
        <v>202</v>
      </c>
      <c r="F236" s="37" t="str">
        <f t="shared" si="95"/>
        <v>Summer</v>
      </c>
      <c r="G236" s="37">
        <f t="shared" si="95"/>
        <v>0.82</v>
      </c>
      <c r="H236" s="37">
        <f t="shared" si="95"/>
        <v>0.55000000000000004</v>
      </c>
      <c r="I236" s="37">
        <f t="shared" si="95"/>
        <v>0.71</v>
      </c>
      <c r="J236" s="37">
        <f t="shared" si="95"/>
        <v>0.55000000000000004</v>
      </c>
      <c r="K236" s="37">
        <f t="shared" si="95"/>
        <v>0.99</v>
      </c>
      <c r="L236" s="37">
        <f t="shared" ref="L236:N236" si="102">K164</f>
        <v>0.99</v>
      </c>
      <c r="M236" s="37">
        <f t="shared" si="102"/>
        <v>0.77</v>
      </c>
      <c r="N236" s="37">
        <f t="shared" si="102"/>
        <v>0.5</v>
      </c>
      <c r="O236" s="37">
        <f t="shared" si="97"/>
        <v>0.5</v>
      </c>
      <c r="P236" s="37">
        <f t="shared" si="98"/>
        <v>0.5</v>
      </c>
    </row>
    <row r="237" spans="4:16" x14ac:dyDescent="0.25">
      <c r="D237" s="37" t="s">
        <v>88</v>
      </c>
      <c r="E237" s="37" t="s">
        <v>202</v>
      </c>
      <c r="F237" s="37" t="str">
        <f t="shared" si="95"/>
        <v>Autumn</v>
      </c>
      <c r="G237" s="37">
        <f t="shared" si="95"/>
        <v>0.77</v>
      </c>
      <c r="H237" s="37">
        <f t="shared" si="95"/>
        <v>0.5</v>
      </c>
      <c r="I237" s="37">
        <f t="shared" si="95"/>
        <v>0.55000000000000004</v>
      </c>
      <c r="J237" s="37">
        <f t="shared" si="95"/>
        <v>0.11</v>
      </c>
      <c r="K237" s="37">
        <f t="shared" si="95"/>
        <v>-0.33</v>
      </c>
      <c r="L237" s="37">
        <f t="shared" ref="L237:N237" si="103">K165</f>
        <v>-0.33</v>
      </c>
      <c r="M237" s="37">
        <f t="shared" si="103"/>
        <v>0.6</v>
      </c>
      <c r="N237" s="37">
        <f t="shared" si="103"/>
        <v>0.33</v>
      </c>
      <c r="O237" s="37">
        <f t="shared" si="97"/>
        <v>0.33</v>
      </c>
      <c r="P237" s="37">
        <f t="shared" si="98"/>
        <v>0.33</v>
      </c>
    </row>
    <row r="238" spans="4:16" x14ac:dyDescent="0.25">
      <c r="D238" s="37" t="s">
        <v>88</v>
      </c>
      <c r="E238" s="37" t="s">
        <v>202</v>
      </c>
      <c r="F238" s="37" t="str">
        <f t="shared" si="95"/>
        <v>Winter</v>
      </c>
      <c r="G238" s="37">
        <f t="shared" si="95"/>
        <v>0.11</v>
      </c>
      <c r="H238" s="37">
        <f t="shared" si="95"/>
        <v>-0.27</v>
      </c>
      <c r="I238" s="37">
        <f t="shared" si="95"/>
        <v>0.11</v>
      </c>
      <c r="J238" s="37">
        <f t="shared" si="95"/>
        <v>0.22</v>
      </c>
      <c r="K238" s="37">
        <f t="shared" si="95"/>
        <v>-0.44</v>
      </c>
      <c r="L238" s="37">
        <f t="shared" ref="L238:N238" si="104">K166</f>
        <v>-0.44</v>
      </c>
      <c r="M238" s="37">
        <f t="shared" si="104"/>
        <v>0.16</v>
      </c>
      <c r="N238" s="37">
        <f t="shared" si="104"/>
        <v>-0.22</v>
      </c>
      <c r="O238" s="37">
        <f t="shared" si="97"/>
        <v>-0.22</v>
      </c>
      <c r="P238" s="37">
        <f t="shared" si="98"/>
        <v>-0.22</v>
      </c>
    </row>
    <row r="239" spans="4:16" x14ac:dyDescent="0.25">
      <c r="D239" s="37" t="s">
        <v>89</v>
      </c>
      <c r="E239" s="37" t="s">
        <v>202</v>
      </c>
      <c r="F239" s="37" t="str">
        <f t="shared" si="95"/>
        <v>Spring</v>
      </c>
      <c r="G239" s="37">
        <f t="shared" si="95"/>
        <v>1.1000000000000001</v>
      </c>
      <c r="H239" s="37">
        <f t="shared" si="95"/>
        <v>1.1000000000000001</v>
      </c>
      <c r="I239" s="37">
        <f t="shared" si="95"/>
        <v>1.1000000000000001</v>
      </c>
      <c r="J239" s="37">
        <f t="shared" si="95"/>
        <v>0.99</v>
      </c>
      <c r="K239" s="37">
        <f t="shared" si="95"/>
        <v>0.99</v>
      </c>
      <c r="L239" s="37">
        <f t="shared" ref="L239:N239" si="105">K167</f>
        <v>0.99</v>
      </c>
      <c r="M239" s="37">
        <f t="shared" si="105"/>
        <v>1.1000000000000001</v>
      </c>
      <c r="N239" s="37">
        <f t="shared" si="105"/>
        <v>0.77</v>
      </c>
      <c r="O239" s="37">
        <f t="shared" si="97"/>
        <v>0.77</v>
      </c>
      <c r="P239" s="37">
        <f t="shared" si="98"/>
        <v>0.77</v>
      </c>
    </row>
    <row r="240" spans="4:16" x14ac:dyDescent="0.25">
      <c r="D240" s="37" t="s">
        <v>89</v>
      </c>
      <c r="E240" s="37" t="s">
        <v>202</v>
      </c>
      <c r="F240" s="37" t="str">
        <f t="shared" si="95"/>
        <v>Summer</v>
      </c>
      <c r="G240" s="37">
        <f t="shared" si="95"/>
        <v>0.33</v>
      </c>
      <c r="H240" s="37">
        <f t="shared" si="95"/>
        <v>0.33</v>
      </c>
      <c r="I240" s="37">
        <f t="shared" si="95"/>
        <v>0.22</v>
      </c>
      <c r="J240" s="37">
        <f t="shared" si="95"/>
        <v>0.33</v>
      </c>
      <c r="K240" s="37">
        <f t="shared" si="95"/>
        <v>-0.1</v>
      </c>
      <c r="L240" s="37">
        <f t="shared" ref="L240:N240" si="106">K168</f>
        <v>-0.1</v>
      </c>
      <c r="M240" s="37">
        <f t="shared" si="106"/>
        <v>0.33</v>
      </c>
      <c r="N240" s="37">
        <f t="shared" si="106"/>
        <v>0.11</v>
      </c>
      <c r="O240" s="37">
        <f t="shared" si="97"/>
        <v>0.11</v>
      </c>
      <c r="P240" s="37">
        <f t="shared" si="98"/>
        <v>0.11</v>
      </c>
    </row>
    <row r="241" spans="4:16" x14ac:dyDescent="0.25">
      <c r="D241" s="37" t="s">
        <v>89</v>
      </c>
      <c r="E241" s="37" t="s">
        <v>202</v>
      </c>
      <c r="F241" s="37" t="str">
        <f t="shared" si="95"/>
        <v>Autumn</v>
      </c>
      <c r="G241" s="37">
        <f t="shared" si="95"/>
        <v>0.5</v>
      </c>
      <c r="H241" s="37">
        <f t="shared" si="95"/>
        <v>0.2</v>
      </c>
      <c r="I241" s="37">
        <f t="shared" si="95"/>
        <v>0.55000000000000004</v>
      </c>
      <c r="J241" s="37">
        <f t="shared" si="95"/>
        <v>0.44</v>
      </c>
      <c r="K241" s="37">
        <f t="shared" si="95"/>
        <v>0.2</v>
      </c>
      <c r="L241" s="37">
        <f t="shared" ref="L241:N241" si="107">K169</f>
        <v>0.2</v>
      </c>
      <c r="M241" s="37">
        <f t="shared" si="107"/>
        <v>0.55000000000000004</v>
      </c>
      <c r="N241" s="37">
        <f t="shared" si="107"/>
        <v>0.2</v>
      </c>
      <c r="O241" s="37">
        <f t="shared" si="97"/>
        <v>0.2</v>
      </c>
      <c r="P241" s="37">
        <f t="shared" si="98"/>
        <v>0.2</v>
      </c>
    </row>
    <row r="242" spans="4:16" x14ac:dyDescent="0.25">
      <c r="D242" s="37" t="s">
        <v>89</v>
      </c>
      <c r="E242" s="37" t="s">
        <v>202</v>
      </c>
      <c r="F242" s="37" t="str">
        <f t="shared" si="95"/>
        <v>Winter</v>
      </c>
      <c r="G242" s="37">
        <f t="shared" si="95"/>
        <v>0.55000000000000004</v>
      </c>
      <c r="H242" s="37">
        <f t="shared" si="95"/>
        <v>0.22</v>
      </c>
      <c r="I242" s="37">
        <f t="shared" si="95"/>
        <v>0.49</v>
      </c>
      <c r="J242" s="37">
        <f t="shared" si="95"/>
        <v>0.22</v>
      </c>
      <c r="K242" s="37">
        <f t="shared" si="95"/>
        <v>0.22</v>
      </c>
      <c r="L242" s="37">
        <f t="shared" ref="L242:N242" si="108">K170</f>
        <v>0.22</v>
      </c>
      <c r="M242" s="37">
        <f t="shared" si="108"/>
        <v>0.49</v>
      </c>
      <c r="N242" s="37">
        <f t="shared" si="108"/>
        <v>0.33</v>
      </c>
      <c r="O242" s="37">
        <f t="shared" si="97"/>
        <v>0.33</v>
      </c>
      <c r="P242" s="37">
        <f t="shared" si="98"/>
        <v>0.33</v>
      </c>
    </row>
    <row r="243" spans="4:16" x14ac:dyDescent="0.25">
      <c r="D243" s="37" t="s">
        <v>90</v>
      </c>
      <c r="E243" s="37" t="str">
        <f>E171</f>
        <v>South West</v>
      </c>
      <c r="F243" s="37" t="str">
        <f t="shared" si="95"/>
        <v>Spring</v>
      </c>
      <c r="G243" s="37">
        <f t="shared" si="95"/>
        <v>1.64</v>
      </c>
      <c r="H243" s="37">
        <f t="shared" si="95"/>
        <v>1.1000000000000001</v>
      </c>
      <c r="I243" s="37">
        <f t="shared" si="95"/>
        <v>1.21</v>
      </c>
      <c r="J243" s="37">
        <f t="shared" si="95"/>
        <v>0.99</v>
      </c>
      <c r="K243" s="37">
        <f t="shared" si="95"/>
        <v>0.66</v>
      </c>
      <c r="L243" s="37">
        <f t="shared" ref="L243:N243" si="109">K171</f>
        <v>0.66</v>
      </c>
      <c r="M243" s="37">
        <f t="shared" si="109"/>
        <v>1.42</v>
      </c>
      <c r="N243" s="37">
        <f t="shared" si="109"/>
        <v>1.1000000000000001</v>
      </c>
      <c r="O243" s="37">
        <f t="shared" si="97"/>
        <v>1.1000000000000001</v>
      </c>
      <c r="P243" s="37">
        <f t="shared" si="98"/>
        <v>1.1000000000000001</v>
      </c>
    </row>
    <row r="244" spans="4:16" x14ac:dyDescent="0.25">
      <c r="D244" s="37" t="s">
        <v>90</v>
      </c>
      <c r="E244" s="37" t="str">
        <f t="shared" ref="E244:E254" si="110">E172</f>
        <v>South West</v>
      </c>
      <c r="F244" s="37" t="str">
        <f t="shared" si="95"/>
        <v>Summer</v>
      </c>
      <c r="G244" s="37">
        <f t="shared" si="95"/>
        <v>0.44</v>
      </c>
      <c r="H244" s="37">
        <f t="shared" si="95"/>
        <v>-0.22</v>
      </c>
      <c r="I244" s="37">
        <f t="shared" si="95"/>
        <v>0.44</v>
      </c>
      <c r="J244" s="37">
        <f t="shared" si="95"/>
        <v>0.33</v>
      </c>
      <c r="K244" s="37">
        <f t="shared" si="95"/>
        <v>-0.22</v>
      </c>
      <c r="L244" s="37">
        <f t="shared" ref="L244:N244" si="111">K172</f>
        <v>-0.22</v>
      </c>
      <c r="M244" s="37">
        <f t="shared" si="111"/>
        <v>0.44</v>
      </c>
      <c r="N244" s="37">
        <f t="shared" si="111"/>
        <v>-0.11</v>
      </c>
      <c r="O244" s="37">
        <f t="shared" si="97"/>
        <v>-0.11</v>
      </c>
      <c r="P244" s="37">
        <f t="shared" si="98"/>
        <v>-0.11</v>
      </c>
    </row>
    <row r="245" spans="4:16" x14ac:dyDescent="0.25">
      <c r="D245" s="37" t="s">
        <v>90</v>
      </c>
      <c r="E245" s="37" t="str">
        <f t="shared" si="110"/>
        <v>South West</v>
      </c>
      <c r="F245" s="37" t="str">
        <f t="shared" si="95"/>
        <v>Autumn</v>
      </c>
      <c r="G245" s="37">
        <f t="shared" si="95"/>
        <v>0.6</v>
      </c>
      <c r="H245" s="37">
        <f t="shared" si="95"/>
        <v>0</v>
      </c>
      <c r="I245" s="37">
        <f t="shared" si="95"/>
        <v>0.6</v>
      </c>
      <c r="J245" s="37">
        <f t="shared" si="95"/>
        <v>0.22</v>
      </c>
      <c r="K245" s="37">
        <f t="shared" si="95"/>
        <v>-0.55000000000000004</v>
      </c>
      <c r="L245" s="37">
        <f t="shared" ref="L245:N245" si="112">K173</f>
        <v>-0.55000000000000004</v>
      </c>
      <c r="M245" s="37">
        <f t="shared" si="112"/>
        <v>0.6</v>
      </c>
      <c r="N245" s="37">
        <f t="shared" si="112"/>
        <v>0</v>
      </c>
      <c r="O245" s="37">
        <f t="shared" si="97"/>
        <v>0</v>
      </c>
      <c r="P245" s="37">
        <f t="shared" si="98"/>
        <v>0</v>
      </c>
    </row>
    <row r="246" spans="4:16" x14ac:dyDescent="0.25">
      <c r="D246" s="37" t="s">
        <v>90</v>
      </c>
      <c r="E246" s="37" t="str">
        <f t="shared" si="110"/>
        <v>South West</v>
      </c>
      <c r="F246" s="37" t="str">
        <f t="shared" si="95"/>
        <v>Winter</v>
      </c>
      <c r="G246" s="37">
        <f t="shared" si="95"/>
        <v>0.99</v>
      </c>
      <c r="H246" s="37">
        <f t="shared" si="95"/>
        <v>0.22</v>
      </c>
      <c r="I246" s="37">
        <f t="shared" si="95"/>
        <v>0.77</v>
      </c>
      <c r="J246" s="37">
        <f t="shared" si="95"/>
        <v>0.11</v>
      </c>
      <c r="K246" s="37">
        <f t="shared" si="95"/>
        <v>0.11</v>
      </c>
      <c r="L246" s="37">
        <f t="shared" ref="L246:N246" si="113">K174</f>
        <v>0.11</v>
      </c>
      <c r="M246" s="37">
        <f t="shared" si="113"/>
        <v>0.77</v>
      </c>
      <c r="N246" s="37">
        <f t="shared" si="113"/>
        <v>0.44</v>
      </c>
      <c r="O246" s="37">
        <f t="shared" si="97"/>
        <v>0.44</v>
      </c>
      <c r="P246" s="37">
        <f t="shared" si="98"/>
        <v>0.44</v>
      </c>
    </row>
    <row r="247" spans="4:16" x14ac:dyDescent="0.25">
      <c r="D247" s="37" t="s">
        <v>90</v>
      </c>
      <c r="E247" s="37" t="str">
        <f t="shared" si="110"/>
        <v>Pilbara</v>
      </c>
      <c r="F247" s="37" t="str">
        <f t="shared" si="95"/>
        <v>Spring</v>
      </c>
      <c r="G247" s="37">
        <f t="shared" si="95"/>
        <v>0.7</v>
      </c>
      <c r="H247" s="37">
        <f t="shared" si="95"/>
        <v>-0.55000000000000004</v>
      </c>
      <c r="I247" s="37">
        <f t="shared" si="95"/>
        <v>0.7</v>
      </c>
      <c r="J247" s="37">
        <f t="shared" si="95"/>
        <v>0.22</v>
      </c>
      <c r="K247" s="37">
        <f t="shared" si="95"/>
        <v>-0.22</v>
      </c>
      <c r="L247" s="37">
        <f t="shared" ref="L247:N247" si="114">K175</f>
        <v>-0.22</v>
      </c>
      <c r="M247" s="37">
        <f t="shared" si="114"/>
        <v>0.7</v>
      </c>
      <c r="N247" s="37">
        <f t="shared" si="114"/>
        <v>-0.22</v>
      </c>
      <c r="O247" s="37">
        <f t="shared" si="97"/>
        <v>-0.22</v>
      </c>
      <c r="P247" s="37">
        <f t="shared" si="98"/>
        <v>-0.22</v>
      </c>
    </row>
    <row r="248" spans="4:16" x14ac:dyDescent="0.25">
      <c r="D248" s="37" t="s">
        <v>90</v>
      </c>
      <c r="E248" s="37" t="str">
        <f t="shared" si="110"/>
        <v>Pilbara</v>
      </c>
      <c r="F248" s="37" t="str">
        <f t="shared" si="95"/>
        <v>Summer</v>
      </c>
      <c r="G248" s="37">
        <f t="shared" si="95"/>
        <v>0.77</v>
      </c>
      <c r="H248" s="37">
        <f t="shared" si="95"/>
        <v>0.55000000000000004</v>
      </c>
      <c r="I248" s="37">
        <f t="shared" si="95"/>
        <v>0.77</v>
      </c>
      <c r="J248" s="37">
        <f t="shared" si="95"/>
        <v>0.66</v>
      </c>
      <c r="K248" s="37">
        <f t="shared" si="95"/>
        <v>0.55000000000000004</v>
      </c>
      <c r="L248" s="37">
        <f t="shared" ref="L248:N248" si="115">K176</f>
        <v>0.55000000000000004</v>
      </c>
      <c r="M248" s="37">
        <f t="shared" si="115"/>
        <v>0.77</v>
      </c>
      <c r="N248" s="37">
        <f t="shared" si="115"/>
        <v>0.33</v>
      </c>
      <c r="O248" s="37">
        <f t="shared" si="97"/>
        <v>0.33</v>
      </c>
      <c r="P248" s="37">
        <f t="shared" si="98"/>
        <v>0.33</v>
      </c>
    </row>
    <row r="249" spans="4:16" x14ac:dyDescent="0.25">
      <c r="D249" s="37" t="s">
        <v>90</v>
      </c>
      <c r="E249" s="37" t="str">
        <f t="shared" si="110"/>
        <v>Pilbara</v>
      </c>
      <c r="F249" s="37" t="str">
        <f t="shared" si="95"/>
        <v>Autumn</v>
      </c>
      <c r="G249" s="37">
        <f t="shared" si="95"/>
        <v>0.88</v>
      </c>
      <c r="H249" s="37">
        <f t="shared" si="95"/>
        <v>0.55000000000000004</v>
      </c>
      <c r="I249" s="37">
        <f t="shared" si="95"/>
        <v>0.88</v>
      </c>
      <c r="J249" s="37">
        <f t="shared" si="95"/>
        <v>0.22</v>
      </c>
      <c r="K249" s="37">
        <f t="shared" si="95"/>
        <v>0.22</v>
      </c>
      <c r="L249" s="37">
        <f t="shared" ref="L249:N249" si="116">K177</f>
        <v>0.22</v>
      </c>
      <c r="M249" s="37">
        <f t="shared" si="116"/>
        <v>0.88</v>
      </c>
      <c r="N249" s="37">
        <f t="shared" si="116"/>
        <v>0.22</v>
      </c>
      <c r="O249" s="37">
        <f t="shared" si="97"/>
        <v>0.22</v>
      </c>
      <c r="P249" s="37">
        <f t="shared" si="98"/>
        <v>0.22</v>
      </c>
    </row>
    <row r="250" spans="4:16" x14ac:dyDescent="0.25">
      <c r="D250" s="37" t="s">
        <v>90</v>
      </c>
      <c r="E250" s="37" t="str">
        <f t="shared" si="110"/>
        <v>Pilbara</v>
      </c>
      <c r="F250" s="37" t="str">
        <f t="shared" si="95"/>
        <v>Winter</v>
      </c>
      <c r="G250" s="37">
        <f t="shared" si="95"/>
        <v>0.22</v>
      </c>
      <c r="H250" s="37">
        <f t="shared" si="95"/>
        <v>-0.55000000000000004</v>
      </c>
      <c r="I250" s="37">
        <f t="shared" si="95"/>
        <v>0.22</v>
      </c>
      <c r="J250" s="37">
        <f t="shared" si="95"/>
        <v>0.11</v>
      </c>
      <c r="K250" s="37">
        <f t="shared" si="95"/>
        <v>-0.22</v>
      </c>
      <c r="L250" s="37">
        <f t="shared" ref="L250:N250" si="117">K178</f>
        <v>-0.22</v>
      </c>
      <c r="M250" s="37">
        <f t="shared" si="117"/>
        <v>0.22</v>
      </c>
      <c r="N250" s="37">
        <f t="shared" si="117"/>
        <v>-0.33</v>
      </c>
      <c r="O250" s="37">
        <f t="shared" si="97"/>
        <v>-0.33</v>
      </c>
      <c r="P250" s="37">
        <f t="shared" si="98"/>
        <v>-0.33</v>
      </c>
    </row>
    <row r="251" spans="4:16" x14ac:dyDescent="0.25">
      <c r="D251" s="37" t="s">
        <v>90</v>
      </c>
      <c r="E251" s="37" t="str">
        <f t="shared" si="110"/>
        <v>Kimberley</v>
      </c>
      <c r="F251" s="37" t="str">
        <f t="shared" si="95"/>
        <v>Spring</v>
      </c>
      <c r="G251" s="37">
        <f t="shared" si="95"/>
        <v>0.22</v>
      </c>
      <c r="H251" s="37">
        <f t="shared" si="95"/>
        <v>-0.55000000000000004</v>
      </c>
      <c r="I251" s="37">
        <f t="shared" si="95"/>
        <v>0.33</v>
      </c>
      <c r="J251" s="37">
        <f t="shared" si="95"/>
        <v>0.22</v>
      </c>
      <c r="K251" s="37">
        <f t="shared" si="95"/>
        <v>-0.33</v>
      </c>
      <c r="L251" s="37">
        <f t="shared" ref="L251:N251" si="118">K179</f>
        <v>-0.33</v>
      </c>
      <c r="M251" s="37">
        <f t="shared" si="118"/>
        <v>0.22</v>
      </c>
      <c r="N251" s="37">
        <f t="shared" si="118"/>
        <v>-0.55000000000000004</v>
      </c>
      <c r="O251" s="37">
        <f t="shared" si="97"/>
        <v>-0.55000000000000004</v>
      </c>
      <c r="P251" s="37">
        <f t="shared" si="98"/>
        <v>-0.55000000000000004</v>
      </c>
    </row>
    <row r="252" spans="4:16" x14ac:dyDescent="0.25">
      <c r="D252" s="37" t="s">
        <v>90</v>
      </c>
      <c r="E252" s="37" t="str">
        <f t="shared" si="110"/>
        <v>Kimberley</v>
      </c>
      <c r="F252" s="37" t="str">
        <f t="shared" si="95"/>
        <v>Summer</v>
      </c>
      <c r="G252" s="37">
        <f t="shared" si="95"/>
        <v>0.8</v>
      </c>
      <c r="H252" s="37">
        <f t="shared" si="95"/>
        <v>0.55000000000000004</v>
      </c>
      <c r="I252" s="37">
        <f t="shared" si="95"/>
        <v>0.7</v>
      </c>
      <c r="J252" s="37">
        <f t="shared" si="95"/>
        <v>0.44</v>
      </c>
      <c r="K252" s="37">
        <f t="shared" si="95"/>
        <v>0.66</v>
      </c>
      <c r="L252" s="37">
        <f t="shared" ref="L252:N252" si="119">K180</f>
        <v>0.66</v>
      </c>
      <c r="M252" s="37">
        <f t="shared" si="119"/>
        <v>0.8</v>
      </c>
      <c r="N252" s="37">
        <f t="shared" si="119"/>
        <v>0.55000000000000004</v>
      </c>
      <c r="O252" s="37">
        <f t="shared" si="97"/>
        <v>0.55000000000000004</v>
      </c>
      <c r="P252" s="37">
        <f t="shared" si="98"/>
        <v>0.55000000000000004</v>
      </c>
    </row>
    <row r="253" spans="4:16" x14ac:dyDescent="0.25">
      <c r="D253" s="37" t="s">
        <v>90</v>
      </c>
      <c r="E253" s="37" t="str">
        <f t="shared" si="110"/>
        <v>Kimberley</v>
      </c>
      <c r="F253" s="37" t="str">
        <f t="shared" si="95"/>
        <v>Autumn</v>
      </c>
      <c r="G253" s="37">
        <f t="shared" si="95"/>
        <v>0.66</v>
      </c>
      <c r="H253" s="37">
        <f t="shared" si="95"/>
        <v>0.55000000000000004</v>
      </c>
      <c r="I253" s="37">
        <f t="shared" si="95"/>
        <v>0.55000000000000004</v>
      </c>
      <c r="J253" s="37">
        <f t="shared" si="95"/>
        <v>0.55000000000000004</v>
      </c>
      <c r="K253" s="37">
        <f t="shared" si="95"/>
        <v>0.11</v>
      </c>
      <c r="L253" s="37">
        <f t="shared" ref="L253:N253" si="120">K181</f>
        <v>0.11</v>
      </c>
      <c r="M253" s="37">
        <f t="shared" si="120"/>
        <v>0.66</v>
      </c>
      <c r="N253" s="37">
        <f t="shared" si="120"/>
        <v>0.55000000000000004</v>
      </c>
      <c r="O253" s="37">
        <f t="shared" si="97"/>
        <v>0.55000000000000004</v>
      </c>
      <c r="P253" s="37">
        <f t="shared" si="98"/>
        <v>0.55000000000000004</v>
      </c>
    </row>
    <row r="254" spans="4:16" x14ac:dyDescent="0.25">
      <c r="D254" s="37" t="s">
        <v>90</v>
      </c>
      <c r="E254" s="37" t="str">
        <f t="shared" si="110"/>
        <v>Kimberley</v>
      </c>
      <c r="F254" s="37" t="str">
        <f t="shared" si="95"/>
        <v>Winter</v>
      </c>
      <c r="G254" s="37">
        <f t="shared" si="95"/>
        <v>0.33</v>
      </c>
      <c r="H254" s="37">
        <f t="shared" si="95"/>
        <v>-0.55000000000000004</v>
      </c>
      <c r="I254" s="37">
        <f t="shared" si="95"/>
        <v>0.11</v>
      </c>
      <c r="J254" s="37">
        <f t="shared" si="95"/>
        <v>0.11</v>
      </c>
      <c r="K254" s="37">
        <f t="shared" si="95"/>
        <v>-0.44</v>
      </c>
      <c r="L254" s="37">
        <f t="shared" ref="L254:N254" si="121">K182</f>
        <v>-0.44</v>
      </c>
      <c r="M254" s="37">
        <f t="shared" si="121"/>
        <v>0.33</v>
      </c>
      <c r="N254" s="37">
        <f t="shared" si="121"/>
        <v>-0.55000000000000004</v>
      </c>
      <c r="O254" s="37">
        <f t="shared" si="97"/>
        <v>-0.55000000000000004</v>
      </c>
      <c r="P254" s="37">
        <f t="shared" si="98"/>
        <v>-0.55000000000000004</v>
      </c>
    </row>
    <row r="255" spans="4:16" x14ac:dyDescent="0.25">
      <c r="D255" s="37" t="s">
        <v>85</v>
      </c>
      <c r="E255" s="37" t="str">
        <f>E190</f>
        <v>Alice Springs</v>
      </c>
      <c r="F255" s="37" t="str">
        <f>F190</f>
        <v>Spring</v>
      </c>
      <c r="G255" s="37">
        <f>G190</f>
        <v>0.22</v>
      </c>
      <c r="H255" s="37">
        <f t="shared" ref="H255:P255" si="122">H190</f>
        <v>-0.23</v>
      </c>
      <c r="I255" s="37">
        <f t="shared" si="122"/>
        <v>0.25</v>
      </c>
      <c r="J255" s="37">
        <f t="shared" si="122"/>
        <v>0.17</v>
      </c>
      <c r="K255" s="37">
        <f t="shared" si="122"/>
        <v>0.18</v>
      </c>
      <c r="L255" s="37">
        <f t="shared" si="122"/>
        <v>-0.28000000000000003</v>
      </c>
      <c r="M255" s="37">
        <f t="shared" si="122"/>
        <v>0.32</v>
      </c>
      <c r="N255" s="37">
        <f t="shared" si="122"/>
        <v>0.24</v>
      </c>
      <c r="O255" s="37">
        <f t="shared" si="122"/>
        <v>0.25</v>
      </c>
      <c r="P255" s="37">
        <f t="shared" si="122"/>
        <v>-0.05</v>
      </c>
    </row>
    <row r="256" spans="4:16" x14ac:dyDescent="0.25">
      <c r="D256" s="37" t="s">
        <v>85</v>
      </c>
      <c r="E256" s="37" t="str">
        <f t="shared" ref="E256:P282" si="123">E191</f>
        <v>Alice Springs</v>
      </c>
      <c r="F256" s="37" t="str">
        <f t="shared" si="123"/>
        <v>Summer</v>
      </c>
      <c r="G256" s="37">
        <f t="shared" si="123"/>
        <v>0.66</v>
      </c>
      <c r="H256" s="37">
        <f t="shared" si="123"/>
        <v>0.2</v>
      </c>
      <c r="I256" s="37">
        <f t="shared" si="123"/>
        <v>0.62</v>
      </c>
      <c r="J256" s="37">
        <f t="shared" si="123"/>
        <v>0.54</v>
      </c>
      <c r="K256" s="37">
        <f t="shared" si="123"/>
        <v>0.38</v>
      </c>
      <c r="L256" s="37">
        <f t="shared" si="123"/>
        <v>0.27</v>
      </c>
      <c r="M256" s="37">
        <f t="shared" si="123"/>
        <v>0.75</v>
      </c>
      <c r="N256" s="37">
        <f t="shared" si="123"/>
        <v>0.64</v>
      </c>
      <c r="O256" s="37">
        <f t="shared" si="123"/>
        <v>0.55000000000000004</v>
      </c>
      <c r="P256" s="37">
        <f t="shared" si="123"/>
        <v>0.48</v>
      </c>
    </row>
    <row r="257" spans="4:16" x14ac:dyDescent="0.25">
      <c r="D257" s="37" t="s">
        <v>85</v>
      </c>
      <c r="E257" s="37" t="str">
        <f t="shared" si="123"/>
        <v>Alice Springs</v>
      </c>
      <c r="F257" s="37" t="str">
        <f t="shared" si="123"/>
        <v>Autumn</v>
      </c>
      <c r="G257" s="37">
        <f t="shared" si="123"/>
        <v>0.49</v>
      </c>
      <c r="H257" s="37">
        <f t="shared" si="123"/>
        <v>0.13</v>
      </c>
      <c r="I257" s="37">
        <f t="shared" si="123"/>
        <v>0.54</v>
      </c>
      <c r="J257" s="37">
        <f t="shared" si="123"/>
        <v>0.45</v>
      </c>
      <c r="K257" s="37">
        <f t="shared" si="123"/>
        <v>0.35</v>
      </c>
      <c r="L257" s="37">
        <f t="shared" si="123"/>
        <v>0.15</v>
      </c>
      <c r="M257" s="37">
        <f t="shared" si="123"/>
        <v>0.63</v>
      </c>
      <c r="N257" s="37">
        <f t="shared" si="123"/>
        <v>0.54</v>
      </c>
      <c r="O257" s="37">
        <f t="shared" si="123"/>
        <v>0.42</v>
      </c>
      <c r="P257" s="37">
        <f t="shared" si="123"/>
        <v>0.26</v>
      </c>
    </row>
    <row r="258" spans="4:16" x14ac:dyDescent="0.25">
      <c r="D258" s="37" t="s">
        <v>85</v>
      </c>
      <c r="E258" s="37" t="str">
        <f t="shared" si="123"/>
        <v>Alice Springs</v>
      </c>
      <c r="F258" s="37" t="str">
        <f t="shared" si="123"/>
        <v>Winter</v>
      </c>
      <c r="G258" s="37">
        <f t="shared" si="123"/>
        <v>0.27</v>
      </c>
      <c r="H258" s="37">
        <f t="shared" si="123"/>
        <v>-0.8</v>
      </c>
      <c r="I258" s="37">
        <f t="shared" si="123"/>
        <v>0.22</v>
      </c>
      <c r="J258" s="37">
        <f t="shared" si="123"/>
        <v>0.09</v>
      </c>
      <c r="K258" s="37">
        <f t="shared" si="123"/>
        <v>0.12</v>
      </c>
      <c r="L258" s="37">
        <f t="shared" si="123"/>
        <v>0.02</v>
      </c>
      <c r="M258" s="37">
        <f t="shared" si="123"/>
        <v>0.25</v>
      </c>
      <c r="N258" s="37">
        <f t="shared" si="123"/>
        <v>0.18</v>
      </c>
      <c r="O258" s="37">
        <f t="shared" si="123"/>
        <v>0.12</v>
      </c>
      <c r="P258" s="37">
        <f t="shared" si="123"/>
        <v>0.03</v>
      </c>
    </row>
    <row r="259" spans="4:16" x14ac:dyDescent="0.25">
      <c r="D259" s="37" t="s">
        <v>85</v>
      </c>
      <c r="E259" s="37" t="str">
        <f t="shared" si="123"/>
        <v>Barkly</v>
      </c>
      <c r="F259" s="37" t="str">
        <f t="shared" si="123"/>
        <v>Spring</v>
      </c>
      <c r="G259" s="37">
        <f t="shared" si="123"/>
        <v>0.22</v>
      </c>
      <c r="H259" s="37">
        <f t="shared" si="123"/>
        <v>-0.44</v>
      </c>
      <c r="I259" s="37">
        <f t="shared" si="123"/>
        <v>0.2</v>
      </c>
      <c r="J259" s="37">
        <f t="shared" si="123"/>
        <v>0.21</v>
      </c>
      <c r="K259" s="37">
        <f t="shared" si="123"/>
        <v>0.18</v>
      </c>
      <c r="L259" s="37">
        <f t="shared" si="123"/>
        <v>0.01</v>
      </c>
      <c r="M259" s="37">
        <f t="shared" si="123"/>
        <v>0.12</v>
      </c>
      <c r="N259" s="37">
        <f t="shared" si="123"/>
        <v>0.09</v>
      </c>
      <c r="O259" s="37" t="str">
        <f t="shared" si="123"/>
        <v>NO</v>
      </c>
      <c r="P259" s="37" t="str">
        <f t="shared" si="123"/>
        <v>NO</v>
      </c>
    </row>
    <row r="260" spans="4:16" x14ac:dyDescent="0.25">
      <c r="D260" s="37" t="s">
        <v>85</v>
      </c>
      <c r="E260" s="37" t="str">
        <f t="shared" si="123"/>
        <v>Barkly</v>
      </c>
      <c r="F260" s="37" t="str">
        <f t="shared" si="123"/>
        <v>Summer</v>
      </c>
      <c r="G260" s="37">
        <f t="shared" si="123"/>
        <v>0.66</v>
      </c>
      <c r="H260" s="37">
        <f t="shared" si="123"/>
        <v>0.22</v>
      </c>
      <c r="I260" s="37">
        <f t="shared" si="123"/>
        <v>0.68</v>
      </c>
      <c r="J260" s="37">
        <f t="shared" si="123"/>
        <v>0.22</v>
      </c>
      <c r="K260" s="37">
        <f t="shared" si="123"/>
        <v>0.24</v>
      </c>
      <c r="L260" s="37">
        <f t="shared" si="123"/>
        <v>0.25</v>
      </c>
      <c r="M260" s="37">
        <f t="shared" si="123"/>
        <v>0.64</v>
      </c>
      <c r="N260" s="37">
        <f t="shared" si="123"/>
        <v>0.37</v>
      </c>
      <c r="O260" s="37" t="str">
        <f t="shared" si="123"/>
        <v>NO</v>
      </c>
      <c r="P260" s="37" t="str">
        <f t="shared" si="123"/>
        <v>NO</v>
      </c>
    </row>
    <row r="261" spans="4:16" x14ac:dyDescent="0.25">
      <c r="D261" s="37" t="s">
        <v>85</v>
      </c>
      <c r="E261" s="37" t="str">
        <f t="shared" si="123"/>
        <v>Barkly</v>
      </c>
      <c r="F261" s="37" t="str">
        <f t="shared" si="123"/>
        <v>Autumn</v>
      </c>
      <c r="G261" s="37">
        <f t="shared" si="123"/>
        <v>0.49</v>
      </c>
      <c r="H261" s="37">
        <f t="shared" si="123"/>
        <v>0.05</v>
      </c>
      <c r="I261" s="37">
        <f t="shared" si="123"/>
        <v>0.64</v>
      </c>
      <c r="J261" s="37">
        <f t="shared" si="123"/>
        <v>0.25</v>
      </c>
      <c r="K261" s="37">
        <f t="shared" si="123"/>
        <v>0.28999999999999998</v>
      </c>
      <c r="L261" s="37">
        <f t="shared" si="123"/>
        <v>0.12</v>
      </c>
      <c r="M261" s="37">
        <f t="shared" si="123"/>
        <v>0.56999999999999995</v>
      </c>
      <c r="N261" s="37">
        <f t="shared" si="123"/>
        <v>0.49</v>
      </c>
      <c r="O261" s="37" t="str">
        <f t="shared" si="123"/>
        <v>NO</v>
      </c>
      <c r="P261" s="37" t="str">
        <f t="shared" si="123"/>
        <v>NO</v>
      </c>
    </row>
    <row r="262" spans="4:16" x14ac:dyDescent="0.25">
      <c r="D262" s="37" t="s">
        <v>85</v>
      </c>
      <c r="E262" s="37" t="str">
        <f t="shared" si="123"/>
        <v>Barkly</v>
      </c>
      <c r="F262" s="37" t="str">
        <f t="shared" si="123"/>
        <v>Winter</v>
      </c>
      <c r="G262" s="37">
        <f t="shared" si="123"/>
        <v>0.27</v>
      </c>
      <c r="H262" s="37">
        <f t="shared" si="123"/>
        <v>-0.27</v>
      </c>
      <c r="I262" s="37">
        <f t="shared" si="123"/>
        <v>0.31</v>
      </c>
      <c r="J262" s="37">
        <f t="shared" si="123"/>
        <v>0.28999999999999998</v>
      </c>
      <c r="K262" s="37">
        <f t="shared" si="123"/>
        <v>0.19</v>
      </c>
      <c r="L262" s="37">
        <f t="shared" si="123"/>
        <v>0.04</v>
      </c>
      <c r="M262" s="37">
        <f t="shared" si="123"/>
        <v>0.26</v>
      </c>
      <c r="N262" s="37">
        <f t="shared" si="123"/>
        <v>0.28000000000000003</v>
      </c>
      <c r="O262" s="37" t="str">
        <f t="shared" si="123"/>
        <v>NO</v>
      </c>
      <c r="P262" s="37" t="str">
        <f t="shared" si="123"/>
        <v>NO</v>
      </c>
    </row>
    <row r="263" spans="4:16" x14ac:dyDescent="0.25">
      <c r="D263" s="37" t="s">
        <v>85</v>
      </c>
      <c r="E263" s="37" t="str">
        <f t="shared" si="123"/>
        <v>Northern</v>
      </c>
      <c r="F263" s="37" t="str">
        <f t="shared" si="123"/>
        <v>Spring</v>
      </c>
      <c r="G263" s="37">
        <f t="shared" si="123"/>
        <v>0.22</v>
      </c>
      <c r="H263" s="37">
        <f t="shared" si="123"/>
        <v>-0.44</v>
      </c>
      <c r="I263" s="37">
        <f t="shared" si="123"/>
        <v>0</v>
      </c>
      <c r="J263" s="37">
        <f t="shared" si="123"/>
        <v>0.15</v>
      </c>
      <c r="K263" s="37">
        <f t="shared" si="123"/>
        <v>0.08</v>
      </c>
      <c r="L263" s="37">
        <f t="shared" si="123"/>
        <v>0.17</v>
      </c>
      <c r="M263" s="37">
        <f t="shared" si="123"/>
        <v>0.06</v>
      </c>
      <c r="N263" s="37">
        <f t="shared" si="123"/>
        <v>0.02</v>
      </c>
      <c r="O263" s="37">
        <f t="shared" si="123"/>
        <v>-0.14000000000000001</v>
      </c>
      <c r="P263" s="37" t="str">
        <f t="shared" si="123"/>
        <v>NO</v>
      </c>
    </row>
    <row r="264" spans="4:16" x14ac:dyDescent="0.25">
      <c r="D264" s="37" t="s">
        <v>85</v>
      </c>
      <c r="E264" s="37" t="str">
        <f t="shared" si="123"/>
        <v>Northern</v>
      </c>
      <c r="F264" s="37" t="str">
        <f t="shared" si="123"/>
        <v>Summer</v>
      </c>
      <c r="G264" s="37">
        <f t="shared" si="123"/>
        <v>0.66</v>
      </c>
      <c r="H264" s="37">
        <f t="shared" si="123"/>
        <v>0.22</v>
      </c>
      <c r="I264" s="37">
        <f t="shared" si="123"/>
        <v>0.79</v>
      </c>
      <c r="J264" s="37">
        <f t="shared" si="123"/>
        <v>0.4</v>
      </c>
      <c r="K264" s="37">
        <f t="shared" si="123"/>
        <v>0.38</v>
      </c>
      <c r="L264" s="37">
        <f t="shared" si="123"/>
        <v>0.27</v>
      </c>
      <c r="M264" s="37">
        <f t="shared" si="123"/>
        <v>0.8</v>
      </c>
      <c r="N264" s="37">
        <f t="shared" si="123"/>
        <v>0.16</v>
      </c>
      <c r="O264" s="37">
        <f t="shared" si="123"/>
        <v>0.3</v>
      </c>
      <c r="P264" s="37" t="str">
        <f t="shared" si="123"/>
        <v>NO</v>
      </c>
    </row>
    <row r="265" spans="4:16" x14ac:dyDescent="0.25">
      <c r="D265" s="37" t="s">
        <v>85</v>
      </c>
      <c r="E265" s="37" t="str">
        <f t="shared" si="123"/>
        <v>Northern</v>
      </c>
      <c r="F265" s="37" t="str">
        <f t="shared" si="123"/>
        <v>Autumn</v>
      </c>
      <c r="G265" s="37">
        <f t="shared" si="123"/>
        <v>0.49</v>
      </c>
      <c r="H265" s="37">
        <f t="shared" si="123"/>
        <v>0.05</v>
      </c>
      <c r="I265" s="37">
        <f t="shared" si="123"/>
        <v>0.55000000000000004</v>
      </c>
      <c r="J265" s="37">
        <f t="shared" si="123"/>
        <v>0.38</v>
      </c>
      <c r="K265" s="37">
        <f t="shared" si="123"/>
        <v>0.36</v>
      </c>
      <c r="L265" s="37">
        <f t="shared" si="123"/>
        <v>0.06</v>
      </c>
      <c r="M265" s="37">
        <f t="shared" si="123"/>
        <v>0.57999999999999996</v>
      </c>
      <c r="N265" s="37">
        <f t="shared" si="123"/>
        <v>0.23</v>
      </c>
      <c r="O265" s="37">
        <f t="shared" si="123"/>
        <v>0.4</v>
      </c>
      <c r="P265" s="37" t="str">
        <f t="shared" si="123"/>
        <v>NO</v>
      </c>
    </row>
    <row r="266" spans="4:16" x14ac:dyDescent="0.25">
      <c r="D266" s="37" t="s">
        <v>85</v>
      </c>
      <c r="E266" s="37" t="str">
        <f t="shared" si="123"/>
        <v>Northern</v>
      </c>
      <c r="F266" s="37" t="str">
        <f t="shared" si="123"/>
        <v>Winter</v>
      </c>
      <c r="G266" s="37">
        <f t="shared" si="123"/>
        <v>0.27</v>
      </c>
      <c r="H266" s="37">
        <f t="shared" si="123"/>
        <v>-0.27</v>
      </c>
      <c r="I266" s="37">
        <f t="shared" si="123"/>
        <v>0.02</v>
      </c>
      <c r="J266" s="37">
        <f t="shared" si="123"/>
        <v>0.09</v>
      </c>
      <c r="K266" s="37">
        <f t="shared" si="123"/>
        <v>0.16</v>
      </c>
      <c r="L266" s="37">
        <f t="shared" si="123"/>
        <v>-0.04</v>
      </c>
      <c r="M266" s="37">
        <f t="shared" si="123"/>
        <v>0.21</v>
      </c>
      <c r="N266" s="37">
        <f t="shared" si="123"/>
        <v>0.03</v>
      </c>
      <c r="O266" s="37">
        <f t="shared" si="123"/>
        <v>0.11</v>
      </c>
      <c r="P266" s="37" t="str">
        <f t="shared" si="123"/>
        <v>NO</v>
      </c>
    </row>
    <row r="267" spans="4:16" x14ac:dyDescent="0.25">
      <c r="D267" s="37" t="s">
        <v>86</v>
      </c>
      <c r="E267" s="37" t="str">
        <f t="shared" si="123"/>
        <v>High</v>
      </c>
      <c r="F267" s="37" t="str">
        <f t="shared" si="123"/>
        <v>Spring</v>
      </c>
      <c r="G267" s="37">
        <f t="shared" si="123"/>
        <v>0.27</v>
      </c>
      <c r="H267" s="37">
        <f t="shared" si="123"/>
        <v>-0.19</v>
      </c>
      <c r="I267" s="37">
        <f t="shared" si="123"/>
        <v>0.38</v>
      </c>
      <c r="J267" s="37">
        <f t="shared" si="123"/>
        <v>0.25</v>
      </c>
      <c r="K267" s="37">
        <f t="shared" si="123"/>
        <v>7.0000000000000007E-2</v>
      </c>
      <c r="L267" s="37">
        <f t="shared" si="123"/>
        <v>0.05</v>
      </c>
      <c r="M267" s="37">
        <f t="shared" si="123"/>
        <v>0.52</v>
      </c>
      <c r="N267" s="37">
        <f t="shared" si="123"/>
        <v>0.55000000000000004</v>
      </c>
      <c r="O267" s="37">
        <f t="shared" si="123"/>
        <v>0.19</v>
      </c>
      <c r="P267" s="37">
        <f t="shared" si="123"/>
        <v>0.6</v>
      </c>
    </row>
    <row r="268" spans="4:16" x14ac:dyDescent="0.25">
      <c r="D268" s="37" t="s">
        <v>86</v>
      </c>
      <c r="E268" s="37" t="str">
        <f t="shared" si="123"/>
        <v>High</v>
      </c>
      <c r="F268" s="37" t="str">
        <f t="shared" si="123"/>
        <v>Summer</v>
      </c>
      <c r="G268" s="37">
        <f t="shared" si="123"/>
        <v>0.16</v>
      </c>
      <c r="H268" s="37">
        <f t="shared" si="123"/>
        <v>0.16</v>
      </c>
      <c r="I268" s="37">
        <f t="shared" si="123"/>
        <v>0.8</v>
      </c>
      <c r="J268" s="37">
        <f t="shared" si="123"/>
        <v>0.56999999999999995</v>
      </c>
      <c r="K268" s="37">
        <f t="shared" si="123"/>
        <v>0.76</v>
      </c>
      <c r="L268" s="37">
        <f t="shared" si="123"/>
        <v>0.49</v>
      </c>
      <c r="M268" s="37">
        <f t="shared" si="123"/>
        <v>0.84</v>
      </c>
      <c r="N268" s="37">
        <f t="shared" si="123"/>
        <v>0.51</v>
      </c>
      <c r="O268" s="37">
        <f t="shared" si="123"/>
        <v>0.36</v>
      </c>
      <c r="P268" s="37">
        <f t="shared" si="123"/>
        <v>0.17</v>
      </c>
    </row>
    <row r="269" spans="4:16" x14ac:dyDescent="0.25">
      <c r="D269" s="37" t="s">
        <v>86</v>
      </c>
      <c r="E269" s="37" t="str">
        <f t="shared" si="123"/>
        <v>High</v>
      </c>
      <c r="F269" s="37" t="str">
        <f t="shared" si="123"/>
        <v>Autumn</v>
      </c>
      <c r="G269" s="37">
        <f t="shared" si="123"/>
        <v>0.45</v>
      </c>
      <c r="H269" s="37">
        <f t="shared" si="123"/>
        <v>0.1</v>
      </c>
      <c r="I269" s="37">
        <f t="shared" si="123"/>
        <v>0.49</v>
      </c>
      <c r="J269" s="37">
        <f t="shared" si="123"/>
        <v>0.41</v>
      </c>
      <c r="K269" s="37">
        <f t="shared" si="123"/>
        <v>0.4</v>
      </c>
      <c r="L269" s="37">
        <f t="shared" si="123"/>
        <v>0.17</v>
      </c>
      <c r="M269" s="37">
        <f t="shared" si="123"/>
        <v>0.54</v>
      </c>
      <c r="N269" s="37">
        <f t="shared" si="123"/>
        <v>0.64</v>
      </c>
      <c r="O269" s="37">
        <f t="shared" si="123"/>
        <v>-0.05</v>
      </c>
      <c r="P269" s="37">
        <f t="shared" si="123"/>
        <v>0.32</v>
      </c>
    </row>
    <row r="270" spans="4:16" x14ac:dyDescent="0.25">
      <c r="D270" s="37" t="s">
        <v>86</v>
      </c>
      <c r="E270" s="37" t="str">
        <f t="shared" si="123"/>
        <v>High</v>
      </c>
      <c r="F270" s="37" t="str">
        <f t="shared" si="123"/>
        <v>Winter</v>
      </c>
      <c r="G270" s="37">
        <f t="shared" si="123"/>
        <v>0.51</v>
      </c>
      <c r="H270" s="37">
        <f t="shared" si="123"/>
        <v>-7.0000000000000007E-2</v>
      </c>
      <c r="I270" s="37">
        <f t="shared" si="123"/>
        <v>0.13</v>
      </c>
      <c r="J270" s="37">
        <f t="shared" si="123"/>
        <v>-0.09</v>
      </c>
      <c r="K270" s="37">
        <f t="shared" si="123"/>
        <v>-0.13</v>
      </c>
      <c r="L270" s="37">
        <f t="shared" si="123"/>
        <v>7.0000000000000007E-2</v>
      </c>
      <c r="M270" s="37">
        <f t="shared" si="123"/>
        <v>0.25</v>
      </c>
      <c r="N270" s="37">
        <f t="shared" si="123"/>
        <v>0.71</v>
      </c>
      <c r="O270" s="37">
        <f t="shared" si="123"/>
        <v>0.17</v>
      </c>
      <c r="P270" s="37">
        <f t="shared" si="123"/>
        <v>0.43</v>
      </c>
    </row>
    <row r="271" spans="4:16" x14ac:dyDescent="0.25">
      <c r="D271" s="37" t="s">
        <v>86</v>
      </c>
      <c r="E271" s="37" t="str">
        <f t="shared" si="123"/>
        <v>Moderate/High</v>
      </c>
      <c r="F271" s="37" t="str">
        <f t="shared" si="123"/>
        <v>Spring</v>
      </c>
      <c r="G271" s="37">
        <f t="shared" si="123"/>
        <v>-0.12</v>
      </c>
      <c r="H271" s="37">
        <f t="shared" si="123"/>
        <v>-0.19</v>
      </c>
      <c r="I271" s="37">
        <f t="shared" si="123"/>
        <v>0.41</v>
      </c>
      <c r="J271" s="37">
        <f t="shared" si="123"/>
        <v>0.09</v>
      </c>
      <c r="K271" s="37">
        <f t="shared" si="123"/>
        <v>0.41</v>
      </c>
      <c r="L271" s="37">
        <f t="shared" si="123"/>
        <v>-0.19</v>
      </c>
      <c r="M271" s="37">
        <f t="shared" si="123"/>
        <v>7.0000000000000007E-2</v>
      </c>
      <c r="N271" s="37">
        <f t="shared" si="123"/>
        <v>1.07</v>
      </c>
      <c r="O271" s="37">
        <f t="shared" si="123"/>
        <v>-0.08</v>
      </c>
      <c r="P271" s="37">
        <f t="shared" si="123"/>
        <v>0</v>
      </c>
    </row>
    <row r="272" spans="4:16" x14ac:dyDescent="0.25">
      <c r="D272" s="37" t="s">
        <v>86</v>
      </c>
      <c r="E272" s="37" t="str">
        <f t="shared" si="123"/>
        <v>Moderate/High</v>
      </c>
      <c r="F272" s="37" t="str">
        <f t="shared" si="123"/>
        <v>Summer</v>
      </c>
      <c r="G272" s="37">
        <f t="shared" si="123"/>
        <v>0.65</v>
      </c>
      <c r="H272" s="37">
        <f t="shared" si="123"/>
        <v>0.19</v>
      </c>
      <c r="I272" s="37">
        <f t="shared" si="123"/>
        <v>0.65</v>
      </c>
      <c r="J272" s="37">
        <f t="shared" si="123"/>
        <v>0.51</v>
      </c>
      <c r="K272" s="37">
        <f t="shared" si="123"/>
        <v>0.18</v>
      </c>
      <c r="L272" s="37">
        <f t="shared" si="123"/>
        <v>0.63</v>
      </c>
      <c r="M272" s="37">
        <f t="shared" si="123"/>
        <v>1.3</v>
      </c>
      <c r="N272" s="37">
        <f t="shared" si="123"/>
        <v>0.48</v>
      </c>
      <c r="O272" s="37">
        <f t="shared" si="123"/>
        <v>1.1200000000000001</v>
      </c>
      <c r="P272" s="37">
        <f t="shared" si="123"/>
        <v>0.38</v>
      </c>
    </row>
    <row r="273" spans="4:16" x14ac:dyDescent="0.25">
      <c r="D273" s="37" t="s">
        <v>86</v>
      </c>
      <c r="E273" s="37" t="str">
        <f t="shared" si="123"/>
        <v>Moderate/High</v>
      </c>
      <c r="F273" s="37" t="str">
        <f t="shared" si="123"/>
        <v>Autumn</v>
      </c>
      <c r="G273" s="37">
        <f t="shared" si="123"/>
        <v>0.7</v>
      </c>
      <c r="H273" s="37">
        <f t="shared" si="123"/>
        <v>0.13</v>
      </c>
      <c r="I273" s="37">
        <f t="shared" si="123"/>
        <v>0.52</v>
      </c>
      <c r="J273" s="37">
        <f t="shared" si="123"/>
        <v>0.34</v>
      </c>
      <c r="K273" s="37">
        <f t="shared" si="123"/>
        <v>0.02</v>
      </c>
      <c r="L273" s="37">
        <f t="shared" si="123"/>
        <v>0.04</v>
      </c>
      <c r="M273" s="37">
        <f t="shared" si="123"/>
        <v>0.77</v>
      </c>
      <c r="N273" s="37">
        <f t="shared" si="123"/>
        <v>0.42</v>
      </c>
      <c r="O273" s="37">
        <f t="shared" si="123"/>
        <v>0.12</v>
      </c>
      <c r="P273" s="37">
        <f t="shared" si="123"/>
        <v>0.74</v>
      </c>
    </row>
    <row r="274" spans="4:16" x14ac:dyDescent="0.25">
      <c r="D274" s="37" t="s">
        <v>86</v>
      </c>
      <c r="E274" s="37" t="str">
        <f t="shared" si="123"/>
        <v>Moderate/High</v>
      </c>
      <c r="F274" s="37" t="str">
        <f t="shared" si="123"/>
        <v>Winter</v>
      </c>
      <c r="G274" s="37">
        <f t="shared" si="123"/>
        <v>0.32</v>
      </c>
      <c r="H274" s="37">
        <f t="shared" si="123"/>
        <v>-0.06</v>
      </c>
      <c r="I274" s="37">
        <f t="shared" si="123"/>
        <v>0.25</v>
      </c>
      <c r="J274" s="37">
        <f t="shared" si="123"/>
        <v>0.19</v>
      </c>
      <c r="K274" s="37">
        <f t="shared" si="123"/>
        <v>-0.1</v>
      </c>
      <c r="L274" s="37">
        <f t="shared" si="123"/>
        <v>-0.02</v>
      </c>
      <c r="M274" s="37">
        <f t="shared" si="123"/>
        <v>0.02</v>
      </c>
      <c r="N274" s="37">
        <f t="shared" si="123"/>
        <v>0.23</v>
      </c>
      <c r="O274" s="37">
        <f t="shared" si="123"/>
        <v>-0.13</v>
      </c>
      <c r="P274" s="37">
        <f t="shared" si="123"/>
        <v>0</v>
      </c>
    </row>
    <row r="275" spans="4:16" x14ac:dyDescent="0.25">
      <c r="D275" s="37" t="s">
        <v>86</v>
      </c>
      <c r="E275" s="37" t="str">
        <f t="shared" si="123"/>
        <v>Moderate/Low</v>
      </c>
      <c r="F275" s="37" t="str">
        <f t="shared" si="123"/>
        <v>Spring</v>
      </c>
      <c r="G275" s="37">
        <f t="shared" si="123"/>
        <v>0.62</v>
      </c>
      <c r="H275" s="37">
        <f t="shared" si="123"/>
        <v>-0.19</v>
      </c>
      <c r="I275" s="37">
        <f t="shared" si="123"/>
        <v>0.37</v>
      </c>
      <c r="J275" s="37">
        <f t="shared" si="123"/>
        <v>0.41</v>
      </c>
      <c r="K275" s="37">
        <f t="shared" si="123"/>
        <v>0.06</v>
      </c>
      <c r="L275" s="37">
        <f t="shared" si="123"/>
        <v>-0.02</v>
      </c>
      <c r="M275" s="37">
        <f t="shared" si="123"/>
        <v>0.47</v>
      </c>
      <c r="N275" s="37">
        <f t="shared" si="123"/>
        <v>0.44</v>
      </c>
      <c r="O275" s="37">
        <f t="shared" si="123"/>
        <v>0.3</v>
      </c>
      <c r="P275" s="37">
        <f t="shared" si="123"/>
        <v>0.13</v>
      </c>
    </row>
    <row r="276" spans="4:16" x14ac:dyDescent="0.25">
      <c r="D276" s="37" t="s">
        <v>86</v>
      </c>
      <c r="E276" s="37" t="str">
        <f t="shared" si="123"/>
        <v>Moderate/Low</v>
      </c>
      <c r="F276" s="37" t="str">
        <f t="shared" si="123"/>
        <v>Summer</v>
      </c>
      <c r="G276" s="37">
        <f t="shared" si="123"/>
        <v>0.05</v>
      </c>
      <c r="H276" s="37">
        <f t="shared" ref="H276:P276" si="124">H211</f>
        <v>0.19</v>
      </c>
      <c r="I276" s="37">
        <f t="shared" si="124"/>
        <v>0.31</v>
      </c>
      <c r="J276" s="37">
        <f t="shared" si="124"/>
        <v>0.54</v>
      </c>
      <c r="K276" s="37">
        <f t="shared" si="124"/>
        <v>0.53</v>
      </c>
      <c r="L276" s="37">
        <f t="shared" si="124"/>
        <v>0.15</v>
      </c>
      <c r="M276" s="37">
        <f t="shared" si="124"/>
        <v>0.28000000000000003</v>
      </c>
      <c r="N276" s="37">
        <f t="shared" si="124"/>
        <v>0.56999999999999995</v>
      </c>
      <c r="O276" s="37">
        <f t="shared" si="124"/>
        <v>0.42</v>
      </c>
      <c r="P276" s="37">
        <f t="shared" si="124"/>
        <v>0.4</v>
      </c>
    </row>
    <row r="277" spans="4:16" x14ac:dyDescent="0.25">
      <c r="D277" s="37" t="s">
        <v>86</v>
      </c>
      <c r="E277" s="37" t="str">
        <f t="shared" si="123"/>
        <v>Moderate/Low</v>
      </c>
      <c r="F277" s="37" t="str">
        <f t="shared" si="123"/>
        <v>Autumn</v>
      </c>
      <c r="G277" s="37">
        <f t="shared" ref="G277:P277" si="125">G212</f>
        <v>0.33</v>
      </c>
      <c r="H277" s="37">
        <f t="shared" si="125"/>
        <v>0.13</v>
      </c>
      <c r="I277" s="37">
        <f t="shared" si="125"/>
        <v>0.39</v>
      </c>
      <c r="J277" s="37">
        <f t="shared" si="125"/>
        <v>0.36</v>
      </c>
      <c r="K277" s="37">
        <f t="shared" si="125"/>
        <v>0.26</v>
      </c>
      <c r="L277" s="37">
        <f t="shared" si="125"/>
        <v>0.11</v>
      </c>
      <c r="M277" s="37">
        <f t="shared" si="125"/>
        <v>0.4</v>
      </c>
      <c r="N277" s="37">
        <f t="shared" si="125"/>
        <v>0.44</v>
      </c>
      <c r="O277" s="37">
        <f t="shared" si="125"/>
        <v>0.37</v>
      </c>
      <c r="P277" s="37">
        <f t="shared" si="125"/>
        <v>-0.01</v>
      </c>
    </row>
    <row r="278" spans="4:16" x14ac:dyDescent="0.25">
      <c r="D278" s="37" t="s">
        <v>86</v>
      </c>
      <c r="E278" s="37" t="str">
        <f t="shared" si="123"/>
        <v>Moderate/Low</v>
      </c>
      <c r="F278" s="37" t="str">
        <f t="shared" si="123"/>
        <v>Winter</v>
      </c>
      <c r="G278" s="37">
        <f t="shared" ref="G278:P278" si="126">G213</f>
        <v>0.61</v>
      </c>
      <c r="H278" s="37">
        <f t="shared" si="126"/>
        <v>-0.06</v>
      </c>
      <c r="I278" s="37">
        <f t="shared" si="126"/>
        <v>0.21</v>
      </c>
      <c r="J278" s="37">
        <f t="shared" si="126"/>
        <v>0.18</v>
      </c>
      <c r="K278" s="37">
        <f t="shared" si="126"/>
        <v>0.12</v>
      </c>
      <c r="L278" s="37">
        <f t="shared" si="126"/>
        <v>0.06</v>
      </c>
      <c r="M278" s="37">
        <f t="shared" si="126"/>
        <v>0.28999999999999998</v>
      </c>
      <c r="N278" s="37">
        <f t="shared" si="126"/>
        <v>0.41</v>
      </c>
      <c r="O278" s="37">
        <f t="shared" si="126"/>
        <v>0.41</v>
      </c>
      <c r="P278" s="37">
        <f t="shared" si="126"/>
        <v>-0.15</v>
      </c>
    </row>
    <row r="279" spans="4:16" x14ac:dyDescent="0.25">
      <c r="D279" s="37" t="s">
        <v>86</v>
      </c>
      <c r="E279" s="37" t="str">
        <f t="shared" si="123"/>
        <v>Low</v>
      </c>
      <c r="F279" s="37" t="str">
        <f t="shared" si="123"/>
        <v>Spring</v>
      </c>
      <c r="G279" s="37">
        <f t="shared" ref="G279:P279" si="127">G214</f>
        <v>-0.2</v>
      </c>
      <c r="H279" s="37">
        <f t="shared" si="127"/>
        <v>0.02</v>
      </c>
      <c r="I279" s="37">
        <f t="shared" si="127"/>
        <v>0.24</v>
      </c>
      <c r="J279" s="37">
        <f t="shared" si="127"/>
        <v>0.3</v>
      </c>
      <c r="K279" s="37">
        <f t="shared" si="127"/>
        <v>0.23</v>
      </c>
      <c r="L279" s="37">
        <f t="shared" si="127"/>
        <v>-0.05</v>
      </c>
      <c r="M279" s="37">
        <f t="shared" si="127"/>
        <v>0.34</v>
      </c>
      <c r="N279" s="37">
        <f t="shared" si="127"/>
        <v>0.3</v>
      </c>
      <c r="O279" s="37">
        <f t="shared" si="127"/>
        <v>0.56999999999999995</v>
      </c>
      <c r="P279" s="37">
        <f t="shared" si="127"/>
        <v>0.52</v>
      </c>
    </row>
    <row r="280" spans="4:16" x14ac:dyDescent="0.25">
      <c r="D280" s="37" t="s">
        <v>86</v>
      </c>
      <c r="E280" s="37" t="str">
        <f t="shared" si="123"/>
        <v>Low</v>
      </c>
      <c r="F280" s="37" t="str">
        <f t="shared" si="123"/>
        <v>Summer</v>
      </c>
      <c r="G280" s="37">
        <f t="shared" ref="G280:P280" si="128">G215</f>
        <v>0.62</v>
      </c>
      <c r="H280" s="37">
        <f t="shared" si="128"/>
        <v>0.21</v>
      </c>
      <c r="I280" s="37">
        <f t="shared" si="128"/>
        <v>0.25</v>
      </c>
      <c r="J280" s="37">
        <f t="shared" si="128"/>
        <v>0.32</v>
      </c>
      <c r="K280" s="37">
        <f t="shared" si="128"/>
        <v>0.47</v>
      </c>
      <c r="L280" s="37">
        <f t="shared" si="128"/>
        <v>0.31</v>
      </c>
      <c r="M280" s="37">
        <f t="shared" si="128"/>
        <v>0.14000000000000001</v>
      </c>
      <c r="N280" s="37">
        <f t="shared" si="128"/>
        <v>0.4</v>
      </c>
      <c r="O280" s="37">
        <f t="shared" si="128"/>
        <v>0.26</v>
      </c>
      <c r="P280" s="37">
        <f t="shared" si="128"/>
        <v>0.43</v>
      </c>
    </row>
    <row r="281" spans="4:16" x14ac:dyDescent="0.25">
      <c r="D281" s="37" t="s">
        <v>86</v>
      </c>
      <c r="E281" s="37" t="str">
        <f t="shared" si="123"/>
        <v>Low</v>
      </c>
      <c r="F281" s="37" t="str">
        <f t="shared" si="123"/>
        <v>Autumn</v>
      </c>
      <c r="G281" s="37">
        <f t="shared" ref="G281:P281" si="129">G216</f>
        <v>0.4</v>
      </c>
      <c r="H281" s="37">
        <f t="shared" si="129"/>
        <v>0.13</v>
      </c>
      <c r="I281" s="37">
        <f t="shared" si="129"/>
        <v>0.12</v>
      </c>
      <c r="J281" s="37">
        <f t="shared" si="129"/>
        <v>0.27</v>
      </c>
      <c r="K281" s="37">
        <f t="shared" si="129"/>
        <v>0.3</v>
      </c>
      <c r="L281" s="37">
        <f t="shared" si="129"/>
        <v>0.08</v>
      </c>
      <c r="M281" s="37">
        <f t="shared" si="129"/>
        <v>0.13</v>
      </c>
      <c r="N281" s="37">
        <f t="shared" si="129"/>
        <v>0.24</v>
      </c>
      <c r="O281" s="37">
        <f t="shared" si="129"/>
        <v>0.15</v>
      </c>
      <c r="P281" s="37">
        <f t="shared" si="129"/>
        <v>0.21</v>
      </c>
    </row>
    <row r="282" spans="4:16" x14ac:dyDescent="0.25">
      <c r="D282" s="37" t="s">
        <v>86</v>
      </c>
      <c r="E282" s="37" t="str">
        <f t="shared" si="123"/>
        <v>Low</v>
      </c>
      <c r="F282" s="37" t="str">
        <f t="shared" si="123"/>
        <v>Winter</v>
      </c>
      <c r="G282" s="37">
        <f t="shared" ref="G282:P282" si="130">G217</f>
        <v>0.08</v>
      </c>
      <c r="H282" s="37">
        <f t="shared" si="130"/>
        <v>0.04</v>
      </c>
      <c r="I282" s="37">
        <f t="shared" si="130"/>
        <v>0.06</v>
      </c>
      <c r="J282" s="37">
        <f t="shared" si="130"/>
        <v>0.18</v>
      </c>
      <c r="K282" s="37">
        <f t="shared" si="130"/>
        <v>0.11</v>
      </c>
      <c r="L282" s="37">
        <f t="shared" si="130"/>
        <v>-7.0000000000000007E-2</v>
      </c>
      <c r="M282" s="37">
        <f t="shared" si="130"/>
        <v>0.13</v>
      </c>
      <c r="N282" s="37">
        <f t="shared" si="130"/>
        <v>0.16</v>
      </c>
      <c r="O282" s="37">
        <f t="shared" si="130"/>
        <v>0.4</v>
      </c>
      <c r="P282" s="37">
        <f t="shared" si="130"/>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4" t="str" cm="1">
        <f t="array" ref="D288">SourceData_PastureBeef.SourceData_PastureBeef_DryMatterDigestibility_Unit()</f>
        <v>fraction</v>
      </c>
      <c r="M288" s="22"/>
    </row>
    <row r="289" spans="4:13" x14ac:dyDescent="0.25">
      <c r="D289" s="55"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7" t="s">
        <v>8</v>
      </c>
      <c r="E290" s="37" t="s">
        <v>183</v>
      </c>
      <c r="F290" s="37" t="s">
        <v>173</v>
      </c>
      <c r="G290" s="37" t="s">
        <v>174</v>
      </c>
      <c r="H290" s="37" t="s">
        <v>175</v>
      </c>
      <c r="I290" s="37" t="s">
        <v>176</v>
      </c>
      <c r="M290" s="22"/>
    </row>
    <row r="291" spans="4:13" x14ac:dyDescent="0.25">
      <c r="D291" s="37" t="str" cm="1">
        <f t="array" ref="D291">Common_InputFunctions.Utility_DisplayArrayInTable(SourceData_PastureBeef.SourceData_PastureBeef_DryMatterDigestibility_Data(), Table_SourceData_PastureBeef_DryMatterDigestibility[[#Headers],[State]], 0)</f>
        <v>ACT</v>
      </c>
      <c r="E291" s="37" t="str" cm="1">
        <f t="array" ref="E291">Common_InputFunctions.Utility_DisplayArrayInTable(SourceData_PastureBeef.SourceData_PastureBeef_DryMatterDigestibility_Data(), Table_SourceData_PastureBeef_DryMatterDigestibility[[#Headers],[State]], 0)</f>
        <v>n/a</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0.65</v>
      </c>
      <c r="H291" s="37" cm="1">
        <f t="array" ref="H291">Common_InputFunctions.Utility_DisplayArrayInTable(SourceData_PastureBeef.SourceData_PastureBeef_DryMatterDigestibility_Data(), Table_SourceData_PastureBeef_DryMatterDigestibility[[#Headers],[State]], 0)</f>
        <v>0.6</v>
      </c>
      <c r="I291" s="37"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7" t="str" cm="1">
        <f t="array" ref="E292">Common_InputFunctions.Utility_DisplayArrayInTable(SourceData_PastureBeef.SourceData_PastureBeef_DryMatterDigestibility_Data(), Table_SourceData_PastureBeef_DryMatterDigestibility[[#Headers],[State]], 0)</f>
        <v>n/a</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0.65</v>
      </c>
      <c r="H292" s="37" cm="1">
        <f t="array" ref="H292">Common_InputFunctions.Utility_DisplayArrayInTable(SourceData_PastureBeef.SourceData_PastureBeef_DryMatterDigestibility_Data(), Table_SourceData_PastureBeef_DryMatterDigestibility[[#Headers],[State]], 0)</f>
        <v>0.6</v>
      </c>
      <c r="I292" s="37"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Alice Springs</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7" t="str" cm="1">
        <f t="array" ref="E294">Common_InputFunctions.Utility_DisplayArrayInTable(SourceData_PastureBeef.SourceData_PastureBeef_DryMatterDigestibility_Data(), Table_SourceData_PastureBeef_DryMatterDigestibility[[#Headers],[State]], 0)</f>
        <v>Barkly</v>
      </c>
      <c r="F294" s="37" cm="1">
        <f t="array" ref="F294">Common_InputFunctions.Utility_DisplayArrayInTable(SourceData_PastureBeef.SourceData_PastureBeef_DryMatterDigestibility_Data(), Table_SourceData_PastureBeef_DryMatterDigestibility[[#Headers],[State]], 0)</f>
        <v>0.55000000000000004</v>
      </c>
      <c r="G294" s="37" cm="1">
        <f t="array" ref="G294">Common_InputFunctions.Utility_DisplayArrayInTable(SourceData_PastureBeef.SourceData_PastureBeef_DryMatterDigestibility_Data(), Table_SourceData_PastureBeef_DryMatterDigestibility[[#Headers],[State]], 0)</f>
        <v>0.61</v>
      </c>
      <c r="H294" s="37" cm="1">
        <f t="array" ref="H294">Common_InputFunctions.Utility_DisplayArrayInTable(SourceData_PastureBeef.SourceData_PastureBeef_DryMatterDigestibility_Data(), Table_SourceData_PastureBeef_DryMatterDigestibility[[#Headers],[State]], 0)</f>
        <v>0.56999999999999995</v>
      </c>
      <c r="I294" s="37"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7" t="str" cm="1">
        <f t="array" ref="E295">Common_InputFunctions.Utility_DisplayArrayInTable(SourceData_PastureBeef.SourceData_PastureBeef_DryMatterDigestibility_Data(), Table_SourceData_PastureBeef_DryMatterDigestibility[[#Headers],[State]], 0)</f>
        <v>Northern</v>
      </c>
      <c r="F295" s="37" cm="1">
        <f t="array" ref="F295">Common_InputFunctions.Utility_DisplayArrayInTable(SourceData_PastureBeef.SourceData_PastureBeef_DryMatterDigestibility_Data(), Table_SourceData_PastureBeef_DryMatterDigestibility[[#Headers],[State]], 0)</f>
        <v>0.55000000000000004</v>
      </c>
      <c r="G295" s="37" cm="1">
        <f t="array" ref="G295">Common_InputFunctions.Utility_DisplayArrayInTable(SourceData_PastureBeef.SourceData_PastureBeef_DryMatterDigestibility_Data(), Table_SourceData_PastureBeef_DryMatterDigestibility[[#Headers],[State]], 0)</f>
        <v>0.61</v>
      </c>
      <c r="H295" s="37" cm="1">
        <f t="array" ref="H295">Common_InputFunctions.Utility_DisplayArrayInTable(SourceData_PastureBeef.SourceData_PastureBeef_DryMatterDigestibility_Data(), Table_SourceData_PastureBeef_DryMatterDigestibility[[#Headers],[State]], 0)</f>
        <v>0.56999999999999995</v>
      </c>
      <c r="I295" s="37"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High</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Moderate/High</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7" t="str" cm="1">
        <f t="array" ref="E298">Common_InputFunctions.Utility_DisplayArrayInTable(SourceData_PastureBeef.SourceData_PastureBeef_DryMatterDigestibility_Data(), Table_SourceData_PastureBeef_DryMatterDigestibility[[#Headers],[State]], 0)</f>
        <v>Moderate/Low</v>
      </c>
      <c r="F298" s="37" cm="1">
        <f t="array" ref="F298">Common_InputFunctions.Utility_DisplayArrayInTable(SourceData_PastureBeef.SourceData_PastureBeef_DryMatterDigestibility_Data(), Table_SourceData_PastureBeef_DryMatterDigestibility[[#Headers],[State]], 0)</f>
        <v>0.53</v>
      </c>
      <c r="G298" s="37" cm="1">
        <f t="array" ref="G298">Common_InputFunctions.Utility_DisplayArrayInTable(SourceData_PastureBeef.SourceData_PastureBeef_DryMatterDigestibility_Data(), Table_SourceData_PastureBeef_DryMatterDigestibility[[#Headers],[State]], 0)</f>
        <v>0.56999999999999995</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7" t="str" cm="1">
        <f t="array" ref="E299">Common_InputFunctions.Utility_DisplayArrayInTable(SourceData_PastureBeef.SourceData_PastureBeef_DryMatterDigestibility_Data(), Table_SourceData_PastureBeef_DryMatterDigestibility[[#Headers],[State]], 0)</f>
        <v>Low</v>
      </c>
      <c r="F299" s="37" cm="1">
        <f t="array" ref="F299">Common_InputFunctions.Utility_DisplayArrayInTable(SourceData_PastureBeef.SourceData_PastureBeef_DryMatterDigestibility_Data(), Table_SourceData_PastureBeef_DryMatterDigestibility[[#Headers],[State]], 0)</f>
        <v>0.53</v>
      </c>
      <c r="G299" s="37" cm="1">
        <f t="array" ref="G299">Common_InputFunctions.Utility_DisplayArrayInTable(SourceData_PastureBeef.SourceData_PastureBeef_DryMatterDigestibility_Data(), Table_SourceData_PastureBeef_DryMatterDigestibility[[#Headers],[State]], 0)</f>
        <v>0.56999999999999995</v>
      </c>
      <c r="H299" s="37" cm="1">
        <f t="array" ref="H299">Common_InputFunctions.Utility_DisplayArrayInTable(SourceData_PastureBeef.SourceData_PastureBeef_DryMatterDigestibility_Data(), Table_SourceData_PastureBeef_DryMatterDigestibility[[#Headers],[State]], 0)</f>
        <v>0.55000000000000004</v>
      </c>
      <c r="I299" s="37"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0.7</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0.55000000000000004</v>
      </c>
      <c r="I300" s="37"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7" t="str" cm="1">
        <f t="array" ref="E301">Common_InputFunctions.Utility_DisplayArrayInTable(SourceData_PastureBeef.SourceData_PastureBeef_DryMatterDigestibility_Data(), Table_SourceData_PastureBeef_DryMatterDigestibility[[#Headers],[State]], 0)</f>
        <v>n/a</v>
      </c>
      <c r="F301" s="37" cm="1">
        <f t="array" ref="F301">Common_InputFunctions.Utility_DisplayArrayInTable(SourceData_PastureBeef.SourceData_PastureBeef_DryMatterDigestibility_Data(), Table_SourceData_PastureBeef_DryMatterDigestibility[[#Headers],[State]], 0)</f>
        <v>0.75</v>
      </c>
      <c r="G301" s="37" cm="1">
        <f t="array" ref="G301">Common_InputFunctions.Utility_DisplayArrayInTable(SourceData_PastureBeef.SourceData_PastureBeef_DryMatterDigestibility_Data(), Table_SourceData_PastureBeef_DryMatterDigestibility[[#Headers],[State]], 0)</f>
        <v>0.6</v>
      </c>
      <c r="H301" s="37" cm="1">
        <f t="array" ref="H301">Common_InputFunctions.Utility_DisplayArrayInTable(SourceData_PastureBeef.SourceData_PastureBeef_DryMatterDigestibility_Data(), Table_SourceData_PastureBeef_DryMatterDigestibility[[#Headers],[State]], 0)</f>
        <v>0.7</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7" t="str" cm="1">
        <f t="array" ref="E302">Common_InputFunctions.Utility_DisplayArrayInTable(SourceData_PastureBeef.SourceData_PastureBeef_DryMatterDigestibility_Data(), Table_SourceData_PastureBeef_DryMatterDigestibility[[#Headers],[State]], 0)</f>
        <v>n/a</v>
      </c>
      <c r="F302" s="37" cm="1">
        <f t="array" ref="F302">Common_InputFunctions.Utility_DisplayArrayInTable(SourceData_PastureBeef.SourceData_PastureBeef_DryMatterDigestibility_Data(), Table_SourceData_PastureBeef_DryMatterDigestibility[[#Headers],[State]], 0)</f>
        <v>0.8</v>
      </c>
      <c r="G302" s="37" cm="1">
        <f t="array" ref="G302">Common_InputFunctions.Utility_DisplayArrayInTable(SourceData_PastureBeef.SourceData_PastureBeef_DryMatterDigestibility_Data(), Table_SourceData_PastureBeef_DryMatterDigestibility[[#Headers],[State]], 0)</f>
        <v>0.55000000000000004</v>
      </c>
      <c r="H302" s="37" cm="1">
        <f t="array" ref="H302">Common_InputFunctions.Utility_DisplayArrayInTable(SourceData_PastureBeef.SourceData_PastureBeef_DryMatterDigestibility_Data(), Table_SourceData_PastureBeef_DryMatterDigestibility[[#Headers],[State]], 0)</f>
        <v>0.6</v>
      </c>
      <c r="I302" s="37"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South West</v>
      </c>
      <c r="F303" s="37" cm="1">
        <f t="array" ref="F303">Common_InputFunctions.Utility_DisplayArrayInTable(SourceData_PastureBeef.SourceData_PastureBeef_DryMatterDigestibility_Data(), Table_SourceData_PastureBeef_DryMatterDigestibility[[#Headers],[State]], 0)</f>
        <v>0.8</v>
      </c>
      <c r="G303" s="37" cm="1">
        <f t="array" ref="G303">Common_InputFunctions.Utility_DisplayArrayInTable(SourceData_PastureBeef.SourceData_PastureBeef_DryMatterDigestibility_Data(), Table_SourceData_PastureBeef_DryMatterDigestibility[[#Headers],[State]], 0)</f>
        <v>0.57999999999999996</v>
      </c>
      <c r="H303" s="37" cm="1">
        <f t="array" ref="H303">Common_InputFunctions.Utility_DisplayArrayInTable(SourceData_PastureBeef.SourceData_PastureBeef_DryMatterDigestibility_Data(), Table_SourceData_PastureBeef_DryMatterDigestibility[[#Headers],[State]], 0)</f>
        <v>0.5</v>
      </c>
      <c r="I303" s="37"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7" t="str" cm="1">
        <f t="array" ref="E304">Common_InputFunctions.Utility_DisplayArrayInTable(SourceData_PastureBeef.SourceData_PastureBeef_DryMatterDigestibility_Data(), Table_SourceData_PastureBeef_DryMatterDigestibility[[#Headers],[State]], 0)</f>
        <v>Pilbara</v>
      </c>
      <c r="F304" s="37" cm="1">
        <f t="array" ref="F304">Common_InputFunctions.Utility_DisplayArrayInTable(SourceData_PastureBeef.SourceData_PastureBeef_DryMatterDigestibility_Data(), Table_SourceData_PastureBeef_DryMatterDigestibility[[#Headers],[State]], 0)</f>
        <v>0.4</v>
      </c>
      <c r="G304" s="37" cm="1">
        <f t="array" ref="G304">Common_InputFunctions.Utility_DisplayArrayInTable(SourceData_PastureBeef.SourceData_PastureBeef_DryMatterDigestibility_Data(), Table_SourceData_PastureBeef_DryMatterDigestibility[[#Headers],[State]], 0)</f>
        <v>0.65</v>
      </c>
      <c r="H304" s="37" cm="1">
        <f t="array" ref="H304">Common_InputFunctions.Utility_DisplayArrayInTable(SourceData_PastureBeef.SourceData_PastureBeef_DryMatterDigestibility_Data(), Table_SourceData_PastureBeef_DryMatterDigestibility[[#Headers],[State]], 0)</f>
        <v>0.55000000000000004</v>
      </c>
      <c r="I304" s="37"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7" t="str" cm="1">
        <f t="array" ref="E305">Common_InputFunctions.Utility_DisplayArrayInTable(SourceData_PastureBeef.SourceData_PastureBeef_DryMatterDigestibility_Data(), Table_SourceData_PastureBeef_DryMatterDigestibility[[#Headers],[State]], 0)</f>
        <v>Kimberley</v>
      </c>
      <c r="F305" s="37" cm="1">
        <f t="array" ref="F305">Common_InputFunctions.Utility_DisplayArrayInTable(SourceData_PastureBeef.SourceData_PastureBeef_DryMatterDigestibility_Data(), Table_SourceData_PastureBeef_DryMatterDigestibility[[#Headers],[State]], 0)</f>
        <v>0.4</v>
      </c>
      <c r="G305" s="37" cm="1">
        <f t="array" ref="G305">Common_InputFunctions.Utility_DisplayArrayInTable(SourceData_PastureBeef.SourceData_PastureBeef_DryMatterDigestibility_Data(), Table_SourceData_PastureBeef_DryMatterDigestibility[[#Headers],[State]], 0)</f>
        <v>0.65</v>
      </c>
      <c r="H305" s="37" cm="1">
        <f t="array" ref="H305">Common_InputFunctions.Utility_DisplayArrayInTable(SourceData_PastureBeef.SourceData_PastureBeef_DryMatterDigestibility_Data(), Table_SourceData_PastureBeef_DryMatterDigestibility[[#Headers],[State]], 0)</f>
        <v>0.55000000000000004</v>
      </c>
      <c r="I305" s="37"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4" t="str" cm="1">
        <f t="array" ref="D311">SourceData_PastureBeef.SourceData_PastureBeef_CrudeProteinContent_Unit()</f>
        <v>fraction</v>
      </c>
      <c r="M311" s="22"/>
    </row>
    <row r="312" spans="4:13" x14ac:dyDescent="0.25">
      <c r="D312" s="55"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7" t="s">
        <v>8</v>
      </c>
      <c r="E313" s="37" t="s">
        <v>183</v>
      </c>
      <c r="F313" s="37" t="s">
        <v>173</v>
      </c>
      <c r="G313" s="37" t="s">
        <v>174</v>
      </c>
      <c r="H313" s="37" t="s">
        <v>175</v>
      </c>
      <c r="I313" s="37" t="s">
        <v>176</v>
      </c>
      <c r="M313" s="22"/>
    </row>
    <row r="314" spans="4:13" x14ac:dyDescent="0.25">
      <c r="D314" s="37" t="str" cm="1">
        <f t="array" ref="D314">Common_InputFunctions.Utility_DisplayArrayInTable(SourceData_PastureBeef.SourceData_PastureBeef_CrudeProteinContent_Data(), Table_SourceData_PastureBeef_CrudeProtein[[#Headers],[State]], 0)</f>
        <v>ACT</v>
      </c>
      <c r="E314" s="37" t="str" cm="1">
        <f t="array" ref="E314">Common_InputFunctions.Utility_DisplayArrayInTable(SourceData_PastureBeef.SourceData_PastureBeef_CrudeProteinContent_Data(), Table_SourceData_PastureBeef_CrudeProtein[[#Headers],[State]], 0)</f>
        <v>n/a</v>
      </c>
      <c r="F314" s="37" cm="1">
        <f t="array" ref="F314">Common_InputFunctions.Utility_DisplayArrayInTable(SourceData_PastureBeef.SourceData_PastureBeef_CrudeProteinContent_Data(), Table_SourceData_PastureBeef_CrudeProtein[[#Headers],[State]], 0)</f>
        <v>7.0000000000000007E-2</v>
      </c>
      <c r="G314" s="37" cm="1">
        <f t="array" ref="G314">Common_InputFunctions.Utility_DisplayArrayInTable(SourceData_PastureBeef.SourceData_PastureBeef_CrudeProteinContent_Data(), Table_SourceData_PastureBeef_CrudeProtein[[#Headers],[State]], 0)</f>
        <v>0.13</v>
      </c>
      <c r="H314" s="37" cm="1">
        <f t="array" ref="H314">Common_InputFunctions.Utility_DisplayArrayInTable(SourceData_PastureBeef.SourceData_PastureBeef_CrudeProteinContent_Data(), Table_SourceData_PastureBeef_CrudeProtein[[#Headers],[State]], 0)</f>
        <v>0.1</v>
      </c>
      <c r="I314" s="37" cm="1">
        <f t="array" ref="I314">Common_InputFunctions.Utility_DisplayArrayInTable(SourceData_PastureBeef.SourceData_PastureBeef_CrudeProteinContent_Data(), Table_SourceData_PastureBeef_CrudeProtein[[#Headers],[State]], 0)</f>
        <v>0.06</v>
      </c>
      <c r="M314" s="22"/>
    </row>
    <row r="315" spans="4:13" x14ac:dyDescent="0.25">
      <c r="D315" s="37" t="str" cm="1">
        <f t="array" ref="D315">Common_InputFunctions.Utility_DisplayArrayInTable(SourceData_PastureBeef.SourceData_PastureBeef_CrudeProteinContent_Data(), Table_SourceData_PastureBeef_CrudeProtein[[#Headers],[State]], 0)</f>
        <v>NSW</v>
      </c>
      <c r="E315" s="37" t="str" cm="1">
        <f t="array" ref="E315">Common_InputFunctions.Utility_DisplayArrayInTable(SourceData_PastureBeef.SourceData_PastureBeef_CrudeProteinContent_Data(), Table_SourceData_PastureBeef_CrudeProtein[[#Headers],[State]], 0)</f>
        <v>n/a</v>
      </c>
      <c r="F315" s="37" cm="1">
        <f t="array" ref="F315">Common_InputFunctions.Utility_DisplayArrayInTable(SourceData_PastureBeef.SourceData_PastureBeef_CrudeProteinContent_Data(), Table_SourceData_PastureBeef_CrudeProtein[[#Headers],[State]], 0)</f>
        <v>7.0000000000000007E-2</v>
      </c>
      <c r="G315" s="37" cm="1">
        <f t="array" ref="G315">Common_InputFunctions.Utility_DisplayArrayInTable(SourceData_PastureBeef.SourceData_PastureBeef_CrudeProteinContent_Data(), Table_SourceData_PastureBeef_CrudeProtein[[#Headers],[State]], 0)</f>
        <v>0.13</v>
      </c>
      <c r="H315" s="37" cm="1">
        <f t="array" ref="H315">Common_InputFunctions.Utility_DisplayArrayInTable(SourceData_PastureBeef.SourceData_PastureBeef_CrudeProteinContent_Data(), Table_SourceData_PastureBeef_CrudeProtein[[#Headers],[State]], 0)</f>
        <v>0.1</v>
      </c>
      <c r="I315" s="37" cm="1">
        <f t="array" ref="I315">Common_InputFunctions.Utility_DisplayArrayInTable(SourceData_PastureBeef.SourceData_PastureBeef_CrudeProteinContent_Data(), Table_SourceData_PastureBeef_CrudeProtein[[#Headers],[State]], 0)</f>
        <v>0.06</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Alice Springs</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NT</v>
      </c>
      <c r="E317" s="37" t="str" cm="1">
        <f t="array" ref="E317">Common_InputFunctions.Utility_DisplayArrayInTable(SourceData_PastureBeef.SourceData_PastureBeef_CrudeProteinContent_Data(), Table_SourceData_PastureBeef_CrudeProtein[[#Headers],[State]], 0)</f>
        <v>Barkly</v>
      </c>
      <c r="F317" s="37" cm="1">
        <f t="array" ref="F317">Common_InputFunctions.Utility_DisplayArrayInTable(SourceData_PastureBeef.SourceData_PastureBeef_CrudeProteinContent_Data(), Table_SourceData_PastureBeef_CrudeProtein[[#Headers],[State]], 0)</f>
        <v>5.8000000000000003E-2</v>
      </c>
      <c r="G317" s="37" cm="1">
        <f t="array" ref="G317">Common_InputFunctions.Utility_DisplayArrayInTable(SourceData_PastureBeef.SourceData_PastureBeef_CrudeProteinContent_Data(), Table_SourceData_PastureBeef_CrudeProtein[[#Headers],[State]], 0)</f>
        <v>9.1999999999999998E-2</v>
      </c>
      <c r="H317" s="37" cm="1">
        <f t="array" ref="H317">Common_InputFunctions.Utility_DisplayArrayInTable(SourceData_PastureBeef.SourceData_PastureBeef_CrudeProteinContent_Data(), Table_SourceData_PastureBeef_CrudeProtein[[#Headers],[State]], 0)</f>
        <v>7.4999999999999997E-2</v>
      </c>
      <c r="I317" s="37"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7" t="str" cm="1">
        <f t="array" ref="D318">Common_InputFunctions.Utility_DisplayArrayInTable(SourceData_PastureBeef.SourceData_PastureBeef_CrudeProteinContent_Data(), Table_SourceData_PastureBeef_CrudeProtein[[#Headers],[State]], 0)</f>
        <v>NT</v>
      </c>
      <c r="E318" s="37" t="str" cm="1">
        <f t="array" ref="E318">Common_InputFunctions.Utility_DisplayArrayInTable(SourceData_PastureBeef.SourceData_PastureBeef_CrudeProteinContent_Data(), Table_SourceData_PastureBeef_CrudeProtein[[#Headers],[State]], 0)</f>
        <v>Northern</v>
      </c>
      <c r="F318" s="37" cm="1">
        <f t="array" ref="F318">Common_InputFunctions.Utility_DisplayArrayInTable(SourceData_PastureBeef.SourceData_PastureBeef_CrudeProteinContent_Data(), Table_SourceData_PastureBeef_CrudeProtein[[#Headers],[State]], 0)</f>
        <v>5.8000000000000003E-2</v>
      </c>
      <c r="G318" s="37" cm="1">
        <f t="array" ref="G318">Common_InputFunctions.Utility_DisplayArrayInTable(SourceData_PastureBeef.SourceData_PastureBeef_CrudeProteinContent_Data(), Table_SourceData_PastureBeef_CrudeProtein[[#Headers],[State]], 0)</f>
        <v>9.1999999999999998E-2</v>
      </c>
      <c r="H318" s="37" cm="1">
        <f t="array" ref="H318">Common_InputFunctions.Utility_DisplayArrayInTable(SourceData_PastureBeef.SourceData_PastureBeef_CrudeProteinContent_Data(), Table_SourceData_PastureBeef_CrudeProtein[[#Headers],[State]], 0)</f>
        <v>7.4999999999999997E-2</v>
      </c>
      <c r="I318" s="37"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High</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Moderate/High</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QLD</v>
      </c>
      <c r="E321" s="37" t="str" cm="1">
        <f t="array" ref="E321">Common_InputFunctions.Utility_DisplayArrayInTable(SourceData_PastureBeef.SourceData_PastureBeef_CrudeProteinContent_Data(), Table_SourceData_PastureBeef_CrudeProtein[[#Headers],[State]], 0)</f>
        <v>Moderate/Low</v>
      </c>
      <c r="F321" s="37" cm="1">
        <f t="array" ref="F321">Common_InputFunctions.Utility_DisplayArrayInTable(SourceData_PastureBeef.SourceData_PastureBeef_CrudeProteinContent_Data(), Table_SourceData_PastureBeef_CrudeProtein[[#Headers],[State]], 0)</f>
        <v>7.1999999999999995E-2</v>
      </c>
      <c r="G321" s="37" cm="1">
        <f t="array" ref="G321">Common_InputFunctions.Utility_DisplayArrayInTable(SourceData_PastureBeef.SourceData_PastureBeef_CrudeProteinContent_Data(), Table_SourceData_PastureBeef_CrudeProtein[[#Headers],[State]], 0)</f>
        <v>9.9000000000000005E-2</v>
      </c>
      <c r="H321" s="37" cm="1">
        <f t="array" ref="H321">Common_InputFunctions.Utility_DisplayArrayInTable(SourceData_PastureBeef.SourceData_PastureBeef_CrudeProteinContent_Data(), Table_SourceData_PastureBeef_CrudeProtein[[#Headers],[State]], 0)</f>
        <v>7.8E-2</v>
      </c>
      <c r="I321" s="37"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7" t="str" cm="1">
        <f t="array" ref="D322">Common_InputFunctions.Utility_DisplayArrayInTable(SourceData_PastureBeef.SourceData_PastureBeef_CrudeProteinContent_Data(), Table_SourceData_PastureBeef_CrudeProtein[[#Headers],[State]], 0)</f>
        <v>QLD</v>
      </c>
      <c r="E322" s="37" t="str" cm="1">
        <f t="array" ref="E322">Common_InputFunctions.Utility_DisplayArrayInTable(SourceData_PastureBeef.SourceData_PastureBeef_CrudeProteinContent_Data(), Table_SourceData_PastureBeef_CrudeProtein[[#Headers],[State]], 0)</f>
        <v>Low</v>
      </c>
      <c r="F322" s="37" cm="1">
        <f t="array" ref="F322">Common_InputFunctions.Utility_DisplayArrayInTable(SourceData_PastureBeef.SourceData_PastureBeef_CrudeProteinContent_Data(), Table_SourceData_PastureBeef_CrudeProtein[[#Headers],[State]], 0)</f>
        <v>7.1999999999999995E-2</v>
      </c>
      <c r="G322" s="37" cm="1">
        <f t="array" ref="G322">Common_InputFunctions.Utility_DisplayArrayInTable(SourceData_PastureBeef.SourceData_PastureBeef_CrudeProteinContent_Data(), Table_SourceData_PastureBeef_CrudeProtein[[#Headers],[State]], 0)</f>
        <v>9.9000000000000005E-2</v>
      </c>
      <c r="H322" s="37" cm="1">
        <f t="array" ref="H322">Common_InputFunctions.Utility_DisplayArrayInTable(SourceData_PastureBeef.SourceData_PastureBeef_CrudeProteinContent_Data(), Table_SourceData_PastureBeef_CrudeProtein[[#Headers],[State]], 0)</f>
        <v>7.8E-2</v>
      </c>
      <c r="I322" s="37"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7" t="str" cm="1">
        <f t="array" ref="D323">Common_InputFunctions.Utility_DisplayArrayInTable(SourceData_PastureBeef.SourceData_PastureBeef_CrudeProteinContent_Data(), Table_SourceData_PastureBeef_CrudeProtein[[#Headers],[State]], 0)</f>
        <v>SA</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0.16</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0.09</v>
      </c>
      <c r="I323" s="37" cm="1">
        <f t="array" ref="I323">Common_InputFunctions.Utility_DisplayArrayInTable(SourceData_PastureBeef.SourceData_PastureBeef_CrudeProteinContent_Data(), Table_SourceData_PastureBeef_CrudeProtein[[#Headers],[State]], 0)</f>
        <v>0.2</v>
      </c>
      <c r="M323" s="1"/>
    </row>
    <row r="324" spans="4:13" x14ac:dyDescent="0.25">
      <c r="D324" s="37" t="str" cm="1">
        <f t="array" ref="D324">Common_InputFunctions.Utility_DisplayArrayInTable(SourceData_PastureBeef.SourceData_PastureBeef_CrudeProteinContent_Data(), Table_SourceData_PastureBeef_CrudeProtein[[#Headers],[State]], 0)</f>
        <v>TAS</v>
      </c>
      <c r="E324" s="37" t="str" cm="1">
        <f t="array" ref="E324">Common_InputFunctions.Utility_DisplayArrayInTable(SourceData_PastureBeef.SourceData_PastureBeef_CrudeProteinContent_Data(), Table_SourceData_PastureBeef_CrudeProtein[[#Headers],[State]], 0)</f>
        <v>n/a</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0.1</v>
      </c>
      <c r="H324" s="37" cm="1">
        <f t="array" ref="H324">Common_InputFunctions.Utility_DisplayArrayInTable(SourceData_PastureBeef.SourceData_PastureBeef_CrudeProteinContent_Data(), Table_SourceData_PastureBeef_CrudeProtein[[#Headers],[State]], 0)</f>
        <v>0.16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VIC</v>
      </c>
      <c r="E325" s="37" t="str" cm="1">
        <f t="array" ref="E325">Common_InputFunctions.Utility_DisplayArrayInTable(SourceData_PastureBeef.SourceData_PastureBeef_CrudeProteinContent_Data(), Table_SourceData_PastureBeef_CrudeProtein[[#Headers],[State]], 0)</f>
        <v>n/a</v>
      </c>
      <c r="F325" s="37" cm="1">
        <f t="array" ref="F325">Common_InputFunctions.Utility_DisplayArrayInTable(SourceData_PastureBeef.SourceData_PastureBeef_CrudeProteinContent_Data(), Table_SourceData_PastureBeef_CrudeProtein[[#Headers],[State]], 0)</f>
        <v>0.25</v>
      </c>
      <c r="G325" s="37" cm="1">
        <f t="array" ref="G325">Common_InputFunctions.Utility_DisplayArrayInTable(SourceData_PastureBeef.SourceData_PastureBeef_CrudeProteinContent_Data(), Table_SourceData_PastureBeef_CrudeProtein[[#Headers],[State]], 0)</f>
        <v>7.0000000000000007E-2</v>
      </c>
      <c r="H325" s="37" cm="1">
        <f t="array" ref="H325">Common_InputFunctions.Utility_DisplayArrayInTable(SourceData_PastureBeef.SourceData_PastureBeef_CrudeProteinContent_Data(), Table_SourceData_PastureBeef_CrudeProtein[[#Headers],[State]], 0)</f>
        <v>0.1</v>
      </c>
      <c r="I325" s="37" cm="1">
        <f t="array" ref="I325">Common_InputFunctions.Utility_DisplayArrayInTable(SourceData_PastureBeef.SourceData_PastureBeef_CrudeProteinContent_Data(), Table_SourceData_PastureBeef_CrudeProtein[[#Headers],[State]], 0)</f>
        <v>0.21</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South West</v>
      </c>
      <c r="F326" s="37" cm="1">
        <f t="array" ref="F326">Common_InputFunctions.Utility_DisplayArrayInTable(SourceData_PastureBeef.SourceData_PastureBeef_CrudeProteinContent_Data(), Table_SourceData_PastureBeef_CrudeProtein[[#Headers],[State]], 0)</f>
        <v>0.2</v>
      </c>
      <c r="G326" s="37" cm="1">
        <f t="array" ref="G326">Common_InputFunctions.Utility_DisplayArrayInTable(SourceData_PastureBeef.SourceData_PastureBeef_CrudeProteinContent_Data(), Table_SourceData_PastureBeef_CrudeProtein[[#Headers],[State]], 0)</f>
        <v>0.09</v>
      </c>
      <c r="H326" s="37" cm="1">
        <f t="array" ref="H326">Common_InputFunctions.Utility_DisplayArrayInTable(SourceData_PastureBeef.SourceData_PastureBeef_CrudeProteinContent_Data(), Table_SourceData_PastureBeef_CrudeProtein[[#Headers],[State]], 0)</f>
        <v>0.06</v>
      </c>
      <c r="I326" s="37" cm="1">
        <f t="array" ref="I326">Common_InputFunctions.Utility_DisplayArrayInTable(SourceData_PastureBeef.SourceData_PastureBeef_CrudeProteinContent_Data(), Table_SourceData_PastureBeef_CrudeProtein[[#Headers],[State]], 0)</f>
        <v>0.2</v>
      </c>
      <c r="M326" s="1"/>
    </row>
    <row r="327" spans="4:13" x14ac:dyDescent="0.25">
      <c r="D327" s="37" t="str" cm="1">
        <f t="array" ref="D327">Common_InputFunctions.Utility_DisplayArrayInTable(SourceData_PastureBeef.SourceData_PastureBeef_CrudeProteinContent_Data(), Table_SourceData_PastureBeef_CrudeProtein[[#Headers],[State]], 0)</f>
        <v>WA</v>
      </c>
      <c r="E327" s="37" t="str" cm="1">
        <f t="array" ref="E327">Common_InputFunctions.Utility_DisplayArrayInTable(SourceData_PastureBeef.SourceData_PastureBeef_CrudeProteinContent_Data(), Table_SourceData_PastureBeef_CrudeProtein[[#Headers],[State]], 0)</f>
        <v>Pilbara</v>
      </c>
      <c r="F327" s="37" cm="1">
        <f t="array" ref="F327">Common_InputFunctions.Utility_DisplayArrayInTable(SourceData_PastureBeef.SourceData_PastureBeef_CrudeProteinContent_Data(), Table_SourceData_PastureBeef_CrudeProtein[[#Headers],[State]], 0)</f>
        <v>0.04</v>
      </c>
      <c r="G327" s="37" cm="1">
        <f t="array" ref="G327">Common_InputFunctions.Utility_DisplayArrayInTable(SourceData_PastureBeef.SourceData_PastureBeef_CrudeProteinContent_Data(), Table_SourceData_PastureBeef_CrudeProtein[[#Headers],[State]], 0)</f>
        <v>0.12</v>
      </c>
      <c r="H327" s="37" cm="1">
        <f t="array" ref="H327">Common_InputFunctions.Utility_DisplayArrayInTable(SourceData_PastureBeef.SourceData_PastureBeef_CrudeProteinContent_Data(), Table_SourceData_PastureBeef_CrudeProtein[[#Headers],[State]], 0)</f>
        <v>0.09</v>
      </c>
      <c r="I327" s="37" cm="1">
        <f t="array" ref="I327">Common_InputFunctions.Utility_DisplayArrayInTable(SourceData_PastureBeef.SourceData_PastureBeef_CrudeProteinContent_Data(), Table_SourceData_PastureBeef_CrudeProtein[[#Headers],[State]], 0)</f>
        <v>0.06</v>
      </c>
      <c r="M327" s="1"/>
    </row>
    <row r="328" spans="4:13" x14ac:dyDescent="0.25">
      <c r="D328" s="37" t="str" cm="1">
        <f t="array" ref="D328">Common_InputFunctions.Utility_DisplayArrayInTable(SourceData_PastureBeef.SourceData_PastureBeef_CrudeProteinContent_Data(), Table_SourceData_PastureBeef_CrudeProtein[[#Headers],[State]], 0)</f>
        <v>WA</v>
      </c>
      <c r="E328" s="37" t="str" cm="1">
        <f t="array" ref="E328">Common_InputFunctions.Utility_DisplayArrayInTable(SourceData_PastureBeef.SourceData_PastureBeef_CrudeProteinContent_Data(), Table_SourceData_PastureBeef_CrudeProtein[[#Headers],[State]], 0)</f>
        <v>Kimberley</v>
      </c>
      <c r="F328" s="37" cm="1">
        <f t="array" ref="F328">Common_InputFunctions.Utility_DisplayArrayInTable(SourceData_PastureBeef.SourceData_PastureBeef_CrudeProteinContent_Data(), Table_SourceData_PastureBeef_CrudeProtein[[#Headers],[State]], 0)</f>
        <v>0.04</v>
      </c>
      <c r="G328" s="37" cm="1">
        <f t="array" ref="G328">Common_InputFunctions.Utility_DisplayArrayInTable(SourceData_PastureBeef.SourceData_PastureBeef_CrudeProteinContent_Data(), Table_SourceData_PastureBeef_CrudeProtein[[#Headers],[State]], 0)</f>
        <v>0.12</v>
      </c>
      <c r="H328" s="37" cm="1">
        <f t="array" ref="H328">Common_InputFunctions.Utility_DisplayArrayInTable(SourceData_PastureBeef.SourceData_PastureBeef_CrudeProteinContent_Data(), Table_SourceData_PastureBeef_CrudeProtein[[#Headers],[State]], 0)</f>
        <v>0.09</v>
      </c>
      <c r="I328" s="37"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5" t="s">
        <v>248</v>
      </c>
      <c r="M333" s="1"/>
    </row>
    <row r="334" spans="4:13" x14ac:dyDescent="0.25">
      <c r="D334" s="37" t="s">
        <v>129</v>
      </c>
      <c r="E334" s="37" t="s">
        <v>184</v>
      </c>
      <c r="F334" s="37" t="s">
        <v>232</v>
      </c>
      <c r="G334" s="37" t="s">
        <v>233</v>
      </c>
      <c r="I334" s="37" t="s">
        <v>129</v>
      </c>
      <c r="J334" s="37" t="s">
        <v>184</v>
      </c>
      <c r="K334" s="37" t="s">
        <v>232</v>
      </c>
      <c r="L334" s="37" t="s">
        <v>233</v>
      </c>
      <c r="M334" s="1"/>
    </row>
    <row r="335" spans="4:13" x14ac:dyDescent="0.25">
      <c r="D335" s="37"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Spring</v>
      </c>
      <c r="F335" s="37" cm="1">
        <f t="array" ref="F335">Common_InputFunctions.Utility_DisplayArrayInTable(SourceData_PastureBeef.SourceData_PastureBeef_FeedAdjustmentAndMilkProduction_Data(), Table_SourceData_PastureBeef_FeedIntakeAdjustment[[#Headers],[Breed]], 0)</f>
        <v>1.3</v>
      </c>
      <c r="G335" s="37" cm="1">
        <f t="array" ref="G335">Common_InputFunctions.Utility_DisplayArrayInTable(SourceData_PastureBeef.SourceData_PastureBeef_FeedAdjustmentAndMilkProduction_Data(), Table_SourceData_PastureBeef_FeedIntakeAdjustment[[#Headers],[Breed]], 0)</f>
        <v>6</v>
      </c>
      <c r="I335" s="37" t="str">
        <f>Table_SourceData_PastureBeef_FeedIntakeAdjustment[[#This Row],[Breed]]</f>
        <v>Hereford or Shorthorn breeds</v>
      </c>
      <c r="J335" s="37" t="s">
        <v>246</v>
      </c>
      <c r="K335" s="37">
        <f>Table_SourceData_PastureBeef_FeedIntakeAdjustment[[#This Row],[Feed adjustment]]</f>
        <v>1.3</v>
      </c>
      <c r="L335" s="37">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Summer</v>
      </c>
      <c r="F336" s="37" cm="1">
        <f t="array" ref="F336">Common_InputFunctions.Utility_DisplayArrayInTable(SourceData_PastureBeef.SourceData_PastureBeef_FeedAdjustmentAndMilkProduction_Data(), Table_SourceData_PastureBeef_FeedIntakeAdjustment[[#Headers],[Breed]], 0)</f>
        <v>1.1000000000000001</v>
      </c>
      <c r="G336" s="37"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7" t="s">
        <v>247</v>
      </c>
      <c r="K336" s="37">
        <f>Table_SourceData_PastureBeef_FeedIntakeAdjustment[[#This Row],[Feed adjustment]]</f>
        <v>1.1000000000000001</v>
      </c>
      <c r="L336" s="37">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7" t="str" cm="1">
        <f t="array" ref="E337">Common_InputFunctions.Utility_DisplayArrayInTable(SourceData_PastureBeef.SourceData_PastureBeef_FeedAdjustmentAndMilkProduction_Data(), Table_SourceData_PastureBeef_FeedIntakeAdjustment[[#Headers],[Breed]], 0)</f>
        <v>Autumn</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7" t="s">
        <v>246</v>
      </c>
      <c r="K337" s="37">
        <f>F340</f>
        <v>1.3</v>
      </c>
      <c r="L337" s="37">
        <f t="shared" ref="L337:L338" si="13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7" t="str" cm="1">
        <f t="array" ref="E338">Common_InputFunctions.Utility_DisplayArrayInTable(SourceData_PastureBeef.SourceData_PastureBeef_FeedAdjustmentAndMilkProduction_Data(), Table_SourceData_PastureBeef_FeedIntakeAdjustment[[#Headers],[Breed]], 0)</f>
        <v>Winter</v>
      </c>
      <c r="F338" s="37" cm="1">
        <f t="array" ref="F338">Common_InputFunctions.Utility_DisplayArrayInTable(SourceData_PastureBeef.SourceData_PastureBeef_FeedAdjustmentAndMilkProduction_Data(), Table_SourceData_PastureBeef_FeedIntakeAdjustment[[#Headers],[Breed]], 0)</f>
        <v>0</v>
      </c>
      <c r="G338" s="37"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7" t="s">
        <v>247</v>
      </c>
      <c r="K338" s="37">
        <f t="shared" ref="K338" si="132">F341</f>
        <v>1.1000000000000001</v>
      </c>
      <c r="L338" s="37">
        <f t="shared" si="13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Spring</v>
      </c>
      <c r="F339" s="37" cm="1">
        <f t="array" ref="F339">Common_InputFunctions.Utility_DisplayArrayInTable(SourceData_PastureBeef.SourceData_PastureBeef_FeedAdjustmentAndMilkProduction_Data(), Table_SourceData_PastureBeef_FeedIntakeAdjustment[[#Headers],[Breed]], 0)</f>
        <v>0</v>
      </c>
      <c r="G339" s="37"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Summer</v>
      </c>
      <c r="F340" s="37" cm="1">
        <f t="array" ref="F340">Common_InputFunctions.Utility_DisplayArrayInTable(SourceData_PastureBeef.SourceData_PastureBeef_FeedAdjustmentAndMilkProduction_Data(), Table_SourceData_PastureBeef_FeedIntakeAdjustment[[#Headers],[Breed]], 0)</f>
        <v>1.3</v>
      </c>
      <c r="G340" s="37"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7" t="str" cm="1">
        <f t="array" ref="E341">Common_InputFunctions.Utility_DisplayArrayInTable(SourceData_PastureBeef.SourceData_PastureBeef_FeedAdjustmentAndMilkProduction_Data(), Table_SourceData_PastureBeef_FeedIntakeAdjustment[[#Headers],[Breed]], 0)</f>
        <v>Autumn</v>
      </c>
      <c r="F341" s="37" cm="1">
        <f t="array" ref="F341">Common_InputFunctions.Utility_DisplayArrayInTable(SourceData_PastureBeef.SourceData_PastureBeef_FeedAdjustmentAndMilkProduction_Data(), Table_SourceData_PastureBeef_FeedIntakeAdjustment[[#Headers],[Breed]], 0)</f>
        <v>1.1000000000000001</v>
      </c>
      <c r="G341" s="37"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7" t="str" cm="1">
        <f t="array" ref="E342">Common_InputFunctions.Utility_DisplayArrayInTable(SourceData_PastureBeef.SourceData_PastureBeef_FeedAdjustmentAndMilkProduction_Data(), Table_SourceData_PastureBeef_FeedIntakeAdjustment[[#Headers],[Breed]], 0)</f>
        <v>Winter</v>
      </c>
      <c r="F342" s="37" cm="1">
        <f t="array" ref="F342">Common_InputFunctions.Utility_DisplayArrayInTable(SourceData_PastureBeef.SourceData_PastureBeef_FeedAdjustmentAndMilkProduction_Data(), Table_SourceData_PastureBeef_FeedIntakeAdjustment[[#Headers],[Breed]], 0)</f>
        <v>0</v>
      </c>
      <c r="G342" s="37"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4" t="str" cm="1">
        <f t="array" ref="D348">SourceData_PastureBeef.SourceData_PastureBeef_StandardReferenceWeights_Unit()</f>
        <v>kg</v>
      </c>
      <c r="M348" s="1"/>
    </row>
    <row r="349" spans="4:13" x14ac:dyDescent="0.25">
      <c r="D349" s="55" t="str" cm="1">
        <f t="array" ref="D349">SourceData_PastureBeef.SourceData_PastureBeef_StandardReferenceWeights_Variation()</f>
        <v>VARIATION ON SOURCE: Split ACT and NSW into separate rows. Added 'State abbreviation' column to aid lookup.</v>
      </c>
      <c r="M349" s="1"/>
    </row>
    <row r="350" spans="4:13" x14ac:dyDescent="0.25">
      <c r="D350" s="37" t="s">
        <v>8</v>
      </c>
      <c r="E350" s="37" t="s">
        <v>234</v>
      </c>
      <c r="F350" s="37" t="s">
        <v>235</v>
      </c>
      <c r="G350" s="37" t="s">
        <v>193</v>
      </c>
      <c r="H350" s="37" t="s">
        <v>194</v>
      </c>
      <c r="I350" s="37" t="s">
        <v>236</v>
      </c>
      <c r="J350" s="37" t="s">
        <v>197</v>
      </c>
      <c r="K350" s="37" t="s">
        <v>226</v>
      </c>
      <c r="L350" s="37" t="s">
        <v>237</v>
      </c>
      <c r="M350" s="1"/>
    </row>
    <row r="351" spans="4:13" x14ac:dyDescent="0.25">
      <c r="D351" s="37" t="str" cm="1">
        <f t="array" ref="D351">Common_InputFunctions.Utility_DisplayArrayInTable(SourceData_PastureBeef.SourceData_PastureBeef_StandardReferenceWeights_Data(), Table_SourceData_PastureBeef_StandardReferenceWeights[[#Headers],[State]], 0)</f>
        <v>ACT</v>
      </c>
      <c r="E351" s="37" cm="1">
        <f t="array" ref="E351">Common_InputFunctions.Utility_DisplayArrayInTable(SourceData_PastureBeef.SourceData_PastureBeef_StandardReferenceWeights_Data(), Table_SourceData_PastureBeef_StandardReferenceWeights[[#Headers],[State]], 0)</f>
        <v>700</v>
      </c>
      <c r="F351" s="37" cm="1">
        <f t="array" ref="F351">Common_InputFunctions.Utility_DisplayArrayInTable(SourceData_PastureBeef.SourceData_PastureBeef_StandardReferenceWeights_Data(), Table_SourceData_PastureBeef_StandardReferenceWeights[[#Headers],[State]], 0)</f>
        <v>700</v>
      </c>
      <c r="G351" s="37" cm="1">
        <f t="array" ref="G351">Common_InputFunctions.Utility_DisplayArrayInTable(SourceData_PastureBeef.SourceData_PastureBeef_StandardReferenceWeights_Data(), Table_SourceData_PastureBeef_StandardReferenceWeights[[#Headers],[State]], 0)</f>
        <v>500</v>
      </c>
      <c r="H351" s="37" cm="1">
        <f t="array" ref="H351">Common_InputFunctions.Utility_DisplayArrayInTable(SourceData_PastureBeef.SourceData_PastureBeef_StandardReferenceWeights_Data(), Table_SourceData_PastureBeef_StandardReferenceWeights[[#Headers],[State]], 0)</f>
        <v>500</v>
      </c>
      <c r="I351" s="37" cm="1">
        <f t="array" ref="I351">Common_InputFunctions.Utility_DisplayArrayInTable(SourceData_PastureBeef.SourceData_PastureBeef_StandardReferenceWeights_Data(), Table_SourceData_PastureBeef_StandardReferenceWeights[[#Headers],[State]], 0)</f>
        <v>500</v>
      </c>
      <c r="J351" s="37" cm="1">
        <f t="array" ref="J351">Common_InputFunctions.Utility_DisplayArrayInTable(SourceData_PastureBeef.SourceData_PastureBeef_StandardReferenceWeights_Data(), Table_SourceData_PastureBeef_StandardReferenceWeights[[#Headers],[State]], 0)</f>
        <v>600</v>
      </c>
      <c r="K351" s="37" cm="1">
        <f t="array" ref="K351">Common_InputFunctions.Utility_DisplayArrayInTable(SourceData_PastureBeef.SourceData_PastureBeef_StandardReferenceWeights_Data(), Table_SourceData_PastureBeef_StandardReferenceWeights[[#Headers],[State]], 0)</f>
        <v>600</v>
      </c>
      <c r="L351" s="37"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7" cm="1">
        <f t="array" ref="E352">Common_InputFunctions.Utility_DisplayArrayInTable(SourceData_PastureBeef.SourceData_PastureBeef_StandardReferenceWeights_Data(), Table_SourceData_PastureBeef_StandardReferenceWeights[[#Headers],[State]], 0)</f>
        <v>700</v>
      </c>
      <c r="F352" s="37" cm="1">
        <f t="array" ref="F352">Common_InputFunctions.Utility_DisplayArrayInTable(SourceData_PastureBeef.SourceData_PastureBeef_StandardReferenceWeights_Data(), Table_SourceData_PastureBeef_StandardReferenceWeights[[#Headers],[State]], 0)</f>
        <v>700</v>
      </c>
      <c r="G352" s="37" cm="1">
        <f t="array" ref="G352">Common_InputFunctions.Utility_DisplayArrayInTable(SourceData_PastureBeef.SourceData_PastureBeef_StandardReferenceWeights_Data(), Table_SourceData_PastureBeef_StandardReferenceWeights[[#Headers],[State]], 0)</f>
        <v>500</v>
      </c>
      <c r="H352" s="37" cm="1">
        <f t="array" ref="H352">Common_InputFunctions.Utility_DisplayArrayInTable(SourceData_PastureBeef.SourceData_PastureBeef_StandardReferenceWeights_Data(), Table_SourceData_PastureBeef_StandardReferenceWeights[[#Headers],[State]], 0)</f>
        <v>500</v>
      </c>
      <c r="I352" s="37" cm="1">
        <f t="array" ref="I352">Common_InputFunctions.Utility_DisplayArrayInTable(SourceData_PastureBeef.SourceData_PastureBeef_StandardReferenceWeights_Data(), Table_SourceData_PastureBeef_StandardReferenceWeights[[#Headers],[State]], 0)</f>
        <v>500</v>
      </c>
      <c r="J352" s="37" cm="1">
        <f t="array" ref="J352">Common_InputFunctions.Utility_DisplayArrayInTable(SourceData_PastureBeef.SourceData_PastureBeef_StandardReferenceWeights_Data(), Table_SourceData_PastureBeef_StandardReferenceWeights[[#Headers],[State]], 0)</f>
        <v>600</v>
      </c>
      <c r="K352" s="37" cm="1">
        <f t="array" ref="K352">Common_InputFunctions.Utility_DisplayArrayInTable(SourceData_PastureBeef.SourceData_PastureBeef_StandardReferenceWeights_Data(), Table_SourceData_PastureBeef_StandardReferenceWeights[[#Headers],[State]], 0)</f>
        <v>600</v>
      </c>
      <c r="L352" s="37"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7" cm="1">
        <f t="array" ref="E357">Common_InputFunctions.Utility_DisplayArrayInTable(SourceData_PastureBeef.SourceData_PastureBeef_StandardReferenceWeights_Data(), Table_SourceData_PastureBeef_StandardReferenceWeights[[#Headers],[State]], 0)</f>
        <v>770</v>
      </c>
      <c r="F357" s="37" cm="1">
        <f t="array" ref="F357">Common_InputFunctions.Utility_DisplayArrayInTable(SourceData_PastureBeef.SourceData_PastureBeef_StandardReferenceWeights_Data(), Table_SourceData_PastureBeef_StandardReferenceWeights[[#Headers],[State]], 0)</f>
        <v>770</v>
      </c>
      <c r="G357" s="37" cm="1">
        <f t="array" ref="G357">Common_InputFunctions.Utility_DisplayArrayInTable(SourceData_PastureBeef.SourceData_PastureBeef_StandardReferenceWeights_Data(), Table_SourceData_PastureBeef_StandardReferenceWeights[[#Headers],[State]], 0)</f>
        <v>550</v>
      </c>
      <c r="H357" s="37" cm="1">
        <f t="array" ref="H357">Common_InputFunctions.Utility_DisplayArrayInTable(SourceData_PastureBeef.SourceData_PastureBeef_StandardReferenceWeights_Data(), Table_SourceData_PastureBeef_StandardReferenceWeights[[#Headers],[State]], 0)</f>
        <v>550</v>
      </c>
      <c r="I357" s="37" cm="1">
        <f t="array" ref="I357">Common_InputFunctions.Utility_DisplayArrayInTable(SourceData_PastureBeef.SourceData_PastureBeef_StandardReferenceWeights_Data(), Table_SourceData_PastureBeef_StandardReferenceWeights[[#Headers],[State]], 0)</f>
        <v>550</v>
      </c>
      <c r="J357" s="37" cm="1">
        <f t="array" ref="J357">Common_InputFunctions.Utility_DisplayArrayInTable(SourceData_PastureBeef.SourceData_PastureBeef_StandardReferenceWeights_Data(), Table_SourceData_PastureBeef_StandardReferenceWeights[[#Headers],[State]], 0)</f>
        <v>660</v>
      </c>
      <c r="K357" s="37" cm="1">
        <f t="array" ref="K357">Common_InputFunctions.Utility_DisplayArrayInTable(SourceData_PastureBeef.SourceData_PastureBeef_StandardReferenceWeights_Data(), Table_SourceData_PastureBeef_StandardReferenceWeights[[#Headers],[State]], 0)</f>
        <v>660</v>
      </c>
      <c r="L357" s="37"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7" cm="1">
        <f t="array" ref="E358">Common_InputFunctions.Utility_DisplayArrayInTable(SourceData_PastureBeef.SourceData_PastureBeef_StandardReferenceWeights_Data(), Table_SourceData_PastureBeef_StandardReferenceWeights[[#Headers],[State]], 0)</f>
        <v>770</v>
      </c>
      <c r="F358" s="37" cm="1">
        <f t="array" ref="F358">Common_InputFunctions.Utility_DisplayArrayInTable(SourceData_PastureBeef.SourceData_PastureBeef_StandardReferenceWeights_Data(), Table_SourceData_PastureBeef_StandardReferenceWeights[[#Headers],[State]], 0)</f>
        <v>770</v>
      </c>
      <c r="G358" s="37" cm="1">
        <f t="array" ref="G358">Common_InputFunctions.Utility_DisplayArrayInTable(SourceData_PastureBeef.SourceData_PastureBeef_StandardReferenceWeights_Data(), Table_SourceData_PastureBeef_StandardReferenceWeights[[#Headers],[State]], 0)</f>
        <v>550</v>
      </c>
      <c r="H358" s="37" cm="1">
        <f t="array" ref="H358">Common_InputFunctions.Utility_DisplayArrayInTable(SourceData_PastureBeef.SourceData_PastureBeef_StandardReferenceWeights_Data(), Table_SourceData_PastureBeef_StandardReferenceWeights[[#Headers],[State]], 0)</f>
        <v>550</v>
      </c>
      <c r="I358" s="37" cm="1">
        <f t="array" ref="I358">Common_InputFunctions.Utility_DisplayArrayInTable(SourceData_PastureBeef.SourceData_PastureBeef_StandardReferenceWeights_Data(), Table_SourceData_PastureBeef_StandardReferenceWeights[[#Headers],[State]], 0)</f>
        <v>550</v>
      </c>
      <c r="J358" s="37" cm="1">
        <f t="array" ref="J358">Common_InputFunctions.Utility_DisplayArrayInTable(SourceData_PastureBeef.SourceData_PastureBeef_StandardReferenceWeights_Data(), Table_SourceData_PastureBeef_StandardReferenceWeights[[#Headers],[State]], 0)</f>
        <v>660</v>
      </c>
      <c r="K358" s="37" cm="1">
        <f t="array" ref="K358">Common_InputFunctions.Utility_DisplayArrayInTable(SourceData_PastureBeef.SourceData_PastureBeef_StandardReferenceWeights_Data(), Table_SourceData_PastureBeef_StandardReferenceWeights[[#Headers],[State]], 0)</f>
        <v>660</v>
      </c>
      <c r="L358" s="37"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7" t="s">
        <v>8</v>
      </c>
      <c r="E361" s="118" t="s">
        <v>131</v>
      </c>
      <c r="F361" s="118" t="s">
        <v>130</v>
      </c>
      <c r="G361" s="118" t="s">
        <v>165</v>
      </c>
      <c r="H361" s="118" t="s">
        <v>166</v>
      </c>
      <c r="I361" s="118" t="s">
        <v>167</v>
      </c>
      <c r="J361" s="118" t="s">
        <v>168</v>
      </c>
      <c r="K361" s="118" t="s">
        <v>169</v>
      </c>
      <c r="L361" s="118" t="s">
        <v>170</v>
      </c>
      <c r="M361" s="118" t="s">
        <v>171</v>
      </c>
      <c r="N361" s="118" t="s">
        <v>172</v>
      </c>
      <c r="O361" s="37" t="s">
        <v>237</v>
      </c>
    </row>
    <row r="362" spans="4:15" x14ac:dyDescent="0.25">
      <c r="D362" s="37" t="str">
        <f>D351</f>
        <v>ACT</v>
      </c>
      <c r="E362" s="37">
        <f t="shared" ref="E362:H362" si="133">E351</f>
        <v>700</v>
      </c>
      <c r="F362" s="37">
        <f t="shared" si="133"/>
        <v>700</v>
      </c>
      <c r="G362" s="37">
        <f t="shared" si="133"/>
        <v>500</v>
      </c>
      <c r="H362" s="37">
        <f t="shared" si="133"/>
        <v>500</v>
      </c>
      <c r="I362" s="37">
        <f>I351</f>
        <v>500</v>
      </c>
      <c r="J362" s="37">
        <f>I351</f>
        <v>500</v>
      </c>
      <c r="K362" s="37">
        <f t="shared" ref="K362" si="134">J351</f>
        <v>600</v>
      </c>
      <c r="L362" s="37">
        <f>K351</f>
        <v>600</v>
      </c>
      <c r="M362" s="37">
        <f>K351</f>
        <v>600</v>
      </c>
      <c r="N362" s="37">
        <f>K351</f>
        <v>600</v>
      </c>
      <c r="O362" s="37" t="str">
        <f>L351</f>
        <v>ACT</v>
      </c>
    </row>
    <row r="363" spans="4:15" x14ac:dyDescent="0.25">
      <c r="D363" s="37" t="str">
        <f t="shared" ref="D363:I363" si="135">D352</f>
        <v>NSW</v>
      </c>
      <c r="E363" s="37">
        <f t="shared" si="135"/>
        <v>700</v>
      </c>
      <c r="F363" s="37">
        <f t="shared" si="135"/>
        <v>700</v>
      </c>
      <c r="G363" s="37">
        <f t="shared" si="135"/>
        <v>500</v>
      </c>
      <c r="H363" s="37">
        <f t="shared" si="135"/>
        <v>500</v>
      </c>
      <c r="I363" s="37">
        <f t="shared" si="135"/>
        <v>500</v>
      </c>
      <c r="J363" s="37">
        <f t="shared" ref="J363:L363" si="136">I352</f>
        <v>500</v>
      </c>
      <c r="K363" s="37">
        <f t="shared" si="136"/>
        <v>600</v>
      </c>
      <c r="L363" s="37">
        <f t="shared" si="136"/>
        <v>600</v>
      </c>
      <c r="M363" s="37">
        <f t="shared" ref="M363:M369" si="137">K352</f>
        <v>600</v>
      </c>
      <c r="N363" s="37">
        <f t="shared" ref="N363:N369" si="138">K352</f>
        <v>600</v>
      </c>
      <c r="O363" s="37" t="str">
        <f t="shared" ref="O363:O369" si="139">L352</f>
        <v>NSW</v>
      </c>
    </row>
    <row r="364" spans="4:15" x14ac:dyDescent="0.25">
      <c r="D364" s="37" t="str">
        <f t="shared" ref="D364:I364" si="140">D353</f>
        <v>Northern Territory</v>
      </c>
      <c r="E364" s="37">
        <f t="shared" si="140"/>
        <v>770</v>
      </c>
      <c r="F364" s="37">
        <f t="shared" si="140"/>
        <v>770</v>
      </c>
      <c r="G364" s="37">
        <f t="shared" si="140"/>
        <v>550</v>
      </c>
      <c r="H364" s="37">
        <f t="shared" si="140"/>
        <v>550</v>
      </c>
      <c r="I364" s="37">
        <f t="shared" si="140"/>
        <v>550</v>
      </c>
      <c r="J364" s="37">
        <f t="shared" ref="J364:L364" si="141">I353</f>
        <v>550</v>
      </c>
      <c r="K364" s="37">
        <f t="shared" si="141"/>
        <v>660</v>
      </c>
      <c r="L364" s="37">
        <f t="shared" si="141"/>
        <v>660</v>
      </c>
      <c r="M364" s="37">
        <f t="shared" si="137"/>
        <v>660</v>
      </c>
      <c r="N364" s="37">
        <f t="shared" si="138"/>
        <v>660</v>
      </c>
      <c r="O364" s="37" t="str">
        <f t="shared" si="139"/>
        <v>NT</v>
      </c>
    </row>
    <row r="365" spans="4:15" x14ac:dyDescent="0.25">
      <c r="D365" s="37" t="str">
        <f t="shared" ref="D365:I365" si="142">D354</f>
        <v>Queensland</v>
      </c>
      <c r="E365" s="37">
        <f t="shared" si="142"/>
        <v>770</v>
      </c>
      <c r="F365" s="37">
        <f t="shared" si="142"/>
        <v>770</v>
      </c>
      <c r="G365" s="37">
        <f t="shared" si="142"/>
        <v>550</v>
      </c>
      <c r="H365" s="37">
        <f t="shared" si="142"/>
        <v>550</v>
      </c>
      <c r="I365" s="37">
        <f t="shared" si="142"/>
        <v>550</v>
      </c>
      <c r="J365" s="37">
        <f t="shared" ref="J365:L365" si="143">I354</f>
        <v>550</v>
      </c>
      <c r="K365" s="37">
        <f t="shared" si="143"/>
        <v>660</v>
      </c>
      <c r="L365" s="37">
        <f t="shared" si="143"/>
        <v>660</v>
      </c>
      <c r="M365" s="37">
        <f t="shared" si="137"/>
        <v>660</v>
      </c>
      <c r="N365" s="37">
        <f t="shared" si="138"/>
        <v>660</v>
      </c>
      <c r="O365" s="37" t="str">
        <f t="shared" si="139"/>
        <v>QLD</v>
      </c>
    </row>
    <row r="366" spans="4:15" x14ac:dyDescent="0.25">
      <c r="D366" s="37" t="str">
        <f t="shared" ref="D366:I366" si="144">D355</f>
        <v>South Australia</v>
      </c>
      <c r="E366" s="37">
        <f t="shared" si="144"/>
        <v>770</v>
      </c>
      <c r="F366" s="37">
        <f t="shared" si="144"/>
        <v>770</v>
      </c>
      <c r="G366" s="37">
        <f t="shared" si="144"/>
        <v>550</v>
      </c>
      <c r="H366" s="37">
        <f t="shared" si="144"/>
        <v>550</v>
      </c>
      <c r="I366" s="37">
        <f t="shared" si="144"/>
        <v>550</v>
      </c>
      <c r="J366" s="37">
        <f t="shared" ref="J366:L366" si="145">I355</f>
        <v>550</v>
      </c>
      <c r="K366" s="37">
        <f t="shared" si="145"/>
        <v>660</v>
      </c>
      <c r="L366" s="37">
        <f t="shared" si="145"/>
        <v>660</v>
      </c>
      <c r="M366" s="37">
        <f t="shared" si="137"/>
        <v>660</v>
      </c>
      <c r="N366" s="37">
        <f t="shared" si="138"/>
        <v>660</v>
      </c>
      <c r="O366" s="37" t="str">
        <f t="shared" si="139"/>
        <v>SA</v>
      </c>
    </row>
    <row r="367" spans="4:15" x14ac:dyDescent="0.25">
      <c r="D367" s="37" t="str">
        <f t="shared" ref="D367:I367" si="146">D356</f>
        <v>Tasmania</v>
      </c>
      <c r="E367" s="37">
        <f t="shared" si="146"/>
        <v>770</v>
      </c>
      <c r="F367" s="37">
        <f t="shared" si="146"/>
        <v>770</v>
      </c>
      <c r="G367" s="37">
        <f t="shared" si="146"/>
        <v>550</v>
      </c>
      <c r="H367" s="37">
        <f t="shared" si="146"/>
        <v>550</v>
      </c>
      <c r="I367" s="37">
        <f t="shared" si="146"/>
        <v>550</v>
      </c>
      <c r="J367" s="37">
        <f t="shared" ref="J367:L367" si="147">I356</f>
        <v>550</v>
      </c>
      <c r="K367" s="37">
        <f t="shared" si="147"/>
        <v>660</v>
      </c>
      <c r="L367" s="37">
        <f t="shared" si="147"/>
        <v>660</v>
      </c>
      <c r="M367" s="37">
        <f t="shared" si="137"/>
        <v>660</v>
      </c>
      <c r="N367" s="37">
        <f t="shared" si="138"/>
        <v>660</v>
      </c>
      <c r="O367" s="37" t="str">
        <f t="shared" si="139"/>
        <v>TAS</v>
      </c>
    </row>
    <row r="368" spans="4:15" x14ac:dyDescent="0.25">
      <c r="D368" s="37" t="str">
        <f t="shared" ref="D368:I368" si="148">D357</f>
        <v>Victoria</v>
      </c>
      <c r="E368" s="37">
        <f t="shared" si="148"/>
        <v>770</v>
      </c>
      <c r="F368" s="37">
        <f t="shared" si="148"/>
        <v>770</v>
      </c>
      <c r="G368" s="37">
        <f t="shared" si="148"/>
        <v>550</v>
      </c>
      <c r="H368" s="37">
        <f t="shared" si="148"/>
        <v>550</v>
      </c>
      <c r="I368" s="37">
        <f t="shared" si="148"/>
        <v>550</v>
      </c>
      <c r="J368" s="37">
        <f t="shared" ref="J368:L368" si="149">I357</f>
        <v>550</v>
      </c>
      <c r="K368" s="37">
        <f t="shared" si="149"/>
        <v>660</v>
      </c>
      <c r="L368" s="37">
        <f t="shared" si="149"/>
        <v>660</v>
      </c>
      <c r="M368" s="37">
        <f t="shared" si="137"/>
        <v>660</v>
      </c>
      <c r="N368" s="37">
        <f t="shared" si="138"/>
        <v>660</v>
      </c>
      <c r="O368" s="37" t="str">
        <f t="shared" si="139"/>
        <v>VIC</v>
      </c>
    </row>
    <row r="369" spans="4:15" x14ac:dyDescent="0.25">
      <c r="D369" s="37" t="str">
        <f t="shared" ref="D369:I369" si="150">D358</f>
        <v>Western Australia</v>
      </c>
      <c r="E369" s="37">
        <f t="shared" si="150"/>
        <v>770</v>
      </c>
      <c r="F369" s="37">
        <f t="shared" si="150"/>
        <v>770</v>
      </c>
      <c r="G369" s="37">
        <f t="shared" si="150"/>
        <v>550</v>
      </c>
      <c r="H369" s="37">
        <f t="shared" si="150"/>
        <v>550</v>
      </c>
      <c r="I369" s="37">
        <f t="shared" si="150"/>
        <v>550</v>
      </c>
      <c r="J369" s="37">
        <f t="shared" ref="J369:L369" si="151">I358</f>
        <v>550</v>
      </c>
      <c r="K369" s="37">
        <f t="shared" si="151"/>
        <v>660</v>
      </c>
      <c r="L369" s="37">
        <f t="shared" si="151"/>
        <v>660</v>
      </c>
      <c r="M369" s="37">
        <f t="shared" si="137"/>
        <v>660</v>
      </c>
      <c r="N369" s="37">
        <f t="shared" si="138"/>
        <v>660</v>
      </c>
      <c r="O369" s="37" t="str">
        <f t="shared" si="139"/>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4" t="str" cm="1">
        <f t="array" ref="D375">SourceData_PastureBeef.SourceData_PastureBeef_FractionOfManureToMMS_Unit()</f>
        <v>fraction</v>
      </c>
      <c r="E375" s="107" t="s">
        <v>267</v>
      </c>
      <c r="M375" s="1"/>
    </row>
    <row r="376" spans="4:15" x14ac:dyDescent="0.25">
      <c r="D376" s="55" t="str" cm="1">
        <f t="array" ref="D376">SourceData_PastureBeef.SourceData_PastureBeef_FractionOfManureToMMS_Variation()</f>
        <v>VARIATION ON SOURCE: Removed comma from 'Pasture range and paddock' to aid lookup</v>
      </c>
      <c r="M376" s="1"/>
    </row>
    <row r="377" spans="4:15" x14ac:dyDescent="0.25">
      <c r="D377" s="37" t="s">
        <v>8</v>
      </c>
      <c r="E377" s="37" t="s">
        <v>183</v>
      </c>
      <c r="F377" s="37" t="s">
        <v>138</v>
      </c>
      <c r="G377" s="37" t="s">
        <v>238</v>
      </c>
      <c r="M377" s="1"/>
    </row>
    <row r="378" spans="4:15" x14ac:dyDescent="0.25">
      <c r="D378" s="37" t="str" cm="1">
        <f t="array" ref="D378">Common_InputFunctions.Utility_DisplayArrayInTable(SourceData_PastureBeef.SourceData_PastureBeef_FractionOfManureToMMS_Data(),Table_SourceData_PastureBeef_FractionManureToMMS[[#Headers],[State]], 0)</f>
        <v>ACT</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99.191999999999993</v>
      </c>
      <c r="G378" s="37"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99.451999999999998</v>
      </c>
      <c r="G379" s="37"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99.759</v>
      </c>
      <c r="G380" s="37"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7" t="str" cm="1">
        <f t="array" ref="E381">Common_InputFunctions.Utility_DisplayArrayInTable(SourceData_PastureBeef.SourceData_PastureBeef_FractionOfManureToMMS_Data(),Table_SourceData_PastureBeef_FractionManureToMMS[[#Headers],[State]], 0)</f>
        <v>n/a</v>
      </c>
      <c r="F381" s="37" cm="1">
        <f t="array" ref="F381">Common_InputFunctions.Utility_DisplayArrayInTable(SourceData_PastureBeef.SourceData_PastureBeef_FractionOfManureToMMS_Data(),Table_SourceData_PastureBeef_FractionManureToMMS[[#Headers],[State]], 0)</f>
        <v>99.122</v>
      </c>
      <c r="G381" s="37"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7" t="str" cm="1">
        <f t="array" ref="E382">Common_InputFunctions.Utility_DisplayArrayInTable(SourceData_PastureBeef.SourceData_PastureBeef_FractionOfManureToMMS_Data(),Table_SourceData_PastureBeef_FractionManureToMMS[[#Headers],[State]], 0)</f>
        <v>n/a</v>
      </c>
      <c r="F382" s="37" cm="1">
        <f t="array" ref="F382">Common_InputFunctions.Utility_DisplayArrayInTable(SourceData_PastureBeef.SourceData_PastureBeef_FractionOfManureToMMS_Data(),Table_SourceData_PastureBeef_FractionManureToMMS[[#Headers],[State]], 0)</f>
        <v>98.894000000000005</v>
      </c>
      <c r="G382" s="37"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South West</v>
      </c>
      <c r="F383" s="37" cm="1">
        <f t="array" ref="F383">Common_InputFunctions.Utility_DisplayArrayInTable(SourceData_PastureBeef.SourceData_PastureBeef_FractionOfManureToMMS_Data(),Table_SourceData_PastureBeef_FractionManureToMMS[[#Headers],[State]], 0)</f>
        <v>99.622</v>
      </c>
      <c r="G383" s="37"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7" t="str" cm="1">
        <f t="array" ref="E384">Common_InputFunctions.Utility_DisplayArrayInTable(SourceData_PastureBeef.SourceData_PastureBeef_FractionOfManureToMMS_Data(),Table_SourceData_PastureBeef_FractionManureToMMS[[#Headers],[State]], 0)</f>
        <v>Pilbara</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7" t="str" cm="1">
        <f t="array" ref="E385">Common_InputFunctions.Utility_DisplayArrayInTable(SourceData_PastureBeef.SourceData_PastureBeef_FractionOfManureToMMS_Data(),Table_SourceData_PastureBeef_FractionManureToMMS[[#Headers],[State]], 0)</f>
        <v>Kimberley</v>
      </c>
      <c r="F385" s="37" cm="1">
        <f t="array" ref="F385">Common_InputFunctions.Utility_DisplayArrayInTable(SourceData_PastureBeef.SourceData_PastureBeef_FractionOfManureToMMS_Data(),Table_SourceData_PastureBeef_FractionManureToMMS[[#Headers],[State]], 0)</f>
        <v>99.998999999999995</v>
      </c>
      <c r="G385" s="37"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Alice Springs</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7" t="str" cm="1">
        <f t="array" ref="E387">Common_InputFunctions.Utility_DisplayArrayInTable(SourceData_PastureBeef.SourceData_PastureBeef_FractionOfManureToMMS_Data(),Table_SourceData_PastureBeef_FractionManureToMMS[[#Headers],[State]], 0)</f>
        <v>Barkly</v>
      </c>
      <c r="F387" s="37" cm="1">
        <f t="array" ref="F387">Common_InputFunctions.Utility_DisplayArrayInTable(SourceData_PastureBeef.SourceData_PastureBeef_FractionOfManureToMMS_Data(),Table_SourceData_PastureBeef_FractionManureToMMS[[#Headers],[State]], 0)</f>
        <v>99.994</v>
      </c>
      <c r="G387" s="37"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7" t="str" cm="1">
        <f t="array" ref="E388">Common_InputFunctions.Utility_DisplayArrayInTable(SourceData_PastureBeef.SourceData_PastureBeef_FractionOfManureToMMS_Data(),Table_SourceData_PastureBeef_FractionManureToMMS[[#Headers],[State]], 0)</f>
        <v>Northern</v>
      </c>
      <c r="F388" s="37" cm="1">
        <f t="array" ref="F388">Common_InputFunctions.Utility_DisplayArrayInTable(SourceData_PastureBeef.SourceData_PastureBeef_FractionOfManureToMMS_Data(),Table_SourceData_PastureBeef_FractionManureToMMS[[#Headers],[State]], 0)</f>
        <v>99.998999999999995</v>
      </c>
      <c r="G388" s="37"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High</v>
      </c>
      <c r="F389" s="37" cm="1">
        <f t="array" ref="F389">Common_InputFunctions.Utility_DisplayArrayInTable(SourceData_PastureBeef.SourceData_PastureBeef_FractionOfManureToMMS_Data(),Table_SourceData_PastureBeef_FractionManureToMMS[[#Headers],[State]], 0)</f>
        <v>99.772999999999996</v>
      </c>
      <c r="G389" s="37"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Moderate/High</v>
      </c>
      <c r="F390" s="37" cm="1">
        <f t="array" ref="F390">Common_InputFunctions.Utility_DisplayArrayInTable(SourceData_PastureBeef.SourceData_PastureBeef_FractionOfManureToMMS_Data(),Table_SourceData_PastureBeef_FractionManureToMMS[[#Headers],[State]], 0)</f>
        <v>99.897999999999996</v>
      </c>
      <c r="G390" s="37"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7" t="str" cm="1">
        <f t="array" ref="E391">Common_InputFunctions.Utility_DisplayArrayInTable(SourceData_PastureBeef.SourceData_PastureBeef_FractionOfManureToMMS_Data(),Table_SourceData_PastureBeef_FractionManureToMMS[[#Headers],[State]], 0)</f>
        <v>Moderate/Low</v>
      </c>
      <c r="F391" s="37" cm="1">
        <f t="array" ref="F391">Common_InputFunctions.Utility_DisplayArrayInTable(SourceData_PastureBeef.SourceData_PastureBeef_FractionOfManureToMMS_Data(),Table_SourceData_PastureBeef_FractionManureToMMS[[#Headers],[State]], 0)</f>
        <v>99.978999999999999</v>
      </c>
      <c r="G391" s="37"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7" t="str" cm="1">
        <f t="array" ref="E392">Common_InputFunctions.Utility_DisplayArrayInTable(SourceData_PastureBeef.SourceData_PastureBeef_FractionOfManureToMMS_Data(),Table_SourceData_PastureBeef_FractionManureToMMS[[#Headers],[State]], 0)</f>
        <v>Low</v>
      </c>
      <c r="F392" s="37" cm="1">
        <f t="array" ref="F392">Common_InputFunctions.Utility_DisplayArrayInTable(SourceData_PastureBeef.SourceData_PastureBeef_FractionOfManureToMMS_Data(),Table_SourceData_PastureBeef_FractionManureToMMS[[#Headers],[State]], 0)</f>
        <v>99.977000000000004</v>
      </c>
      <c r="G392" s="37"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4" t="str" cm="1">
        <f t="array" ref="D398">SourceData_PastureBeef.SourceData_PastureBeef_MethaneConversionFactorPerRegion_Unit()</f>
        <v>fraction</v>
      </c>
      <c r="M398" s="1"/>
    </row>
    <row r="399" spans="4:13" x14ac:dyDescent="0.25">
      <c r="D399" s="55" t="str" cm="1">
        <f t="array" ref="D399">SourceData_PastureBeef.SourceData_PastureBeef_MethaneConversionFactorPerRegion_Variation()</f>
        <v>VARIATION ON SOURCE: Removed comma from 'Pasture range and paddock' to aid lookup</v>
      </c>
      <c r="M399" s="1"/>
    </row>
    <row r="400" spans="4:13" x14ac:dyDescent="0.25">
      <c r="D400" s="37" t="s">
        <v>8</v>
      </c>
      <c r="E400" s="37" t="s">
        <v>183</v>
      </c>
      <c r="F400" s="37" t="s">
        <v>138</v>
      </c>
      <c r="G400" s="37" t="s">
        <v>238</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ACT</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NSW</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SA</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TAS</v>
      </c>
      <c r="E404" s="37" t="str" cm="1">
        <f t="array" ref="E404">Common_InputFunctions.Utility_DisplayArrayInTable(SourceData_PastureBeef.SourceData_PastureBeef_MethaneConversionFactorPerRegion_Data(), Table_SourceData_PastureBeef_MethaneConversionFactor[[#Headers],[State]], 0)</f>
        <v>n/a</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VIC</v>
      </c>
      <c r="E405" s="37" t="str" cm="1">
        <f t="array" ref="E405">Common_InputFunctions.Utility_DisplayArrayInTable(SourceData_PastureBeef.SourceData_PastureBeef_MethaneConversionFactorPerRegion_Data(), Table_SourceData_PastureBeef_MethaneConversionFactor[[#Headers],[State]], 0)</f>
        <v>n/a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South West</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WA</v>
      </c>
      <c r="E407" s="37" t="str" cm="1">
        <f t="array" ref="E407">Common_InputFunctions.Utility_DisplayArrayInTable(SourceData_PastureBeef.SourceData_PastureBeef_MethaneConversionFactorPerRegion_Data(), Table_SourceData_PastureBeef_MethaneConversionFactor[[#Headers],[State]], 0)</f>
        <v>Pilbara</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WA</v>
      </c>
      <c r="E408" s="37" t="str" cm="1">
        <f t="array" ref="E408">Common_InputFunctions.Utility_DisplayArrayInTable(SourceData_PastureBeef.SourceData_PastureBeef_MethaneConversionFactorPerRegion_Data(), Table_SourceData_PastureBeef_MethaneConversionFactor[[#Headers],[State]], 0)</f>
        <v>Kimberley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Alice Springs</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NT</v>
      </c>
      <c r="E410" s="37" t="str" cm="1">
        <f t="array" ref="E410">Common_InputFunctions.Utility_DisplayArrayInTable(SourceData_PastureBeef.SourceData_PastureBeef_MethaneConversionFactorPerRegion_Data(), Table_SourceData_PastureBeef_MethaneConversionFactor[[#Headers],[State]], 0)</f>
        <v>Barkly</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NT</v>
      </c>
      <c r="E411" s="37" t="str" cm="1">
        <f t="array" ref="E411">Common_InputFunctions.Utility_DisplayArrayInTable(SourceData_PastureBeef.SourceData_PastureBeef_MethaneConversionFactorPerRegion_Data(), Table_SourceData_PastureBeef_MethaneConversionFactor[[#Headers],[State]], 0)</f>
        <v>Northern</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High</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Moderate/High</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7" t="str" cm="1">
        <f t="array" ref="D414">Common_InputFunctions.Utility_DisplayArrayInTable(SourceData_PastureBeef.SourceData_PastureBeef_MethaneConversionFactorPerRegion_Data(), Table_SourceData_PastureBeef_MethaneConversionFactor[[#Headers],[State]], 0)</f>
        <v>QLD</v>
      </c>
      <c r="E414" s="37" t="str" cm="1">
        <f t="array" ref="E414">Common_InputFunctions.Utility_DisplayArrayInTable(SourceData_PastureBeef.SourceData_PastureBeef_MethaneConversionFactorPerRegion_Data(), Table_SourceData_PastureBeef_MethaneConversionFactor[[#Headers],[State]], 0)</f>
        <v>Moderate/Low</v>
      </c>
      <c r="F414" s="37" cm="1">
        <f t="array" ref="F414">Common_InputFunctions.Utility_DisplayArrayInTable(SourceData_PastureBeef.SourceData_PastureBeef_MethaneConversionFactorPerRegion_Data(), Table_SourceData_PastureBeef_MethaneConversionFactor[[#Headers],[State]], 0)</f>
        <v>4.7000000000000002E-3</v>
      </c>
      <c r="G414" s="37"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7" t="str" cm="1">
        <f t="array" ref="D415">Common_InputFunctions.Utility_DisplayArrayInTable(SourceData_PastureBeef.SourceData_PastureBeef_MethaneConversionFactorPerRegion_Data(), Table_SourceData_PastureBeef_MethaneConversionFactor[[#Headers],[State]], 0)</f>
        <v>QLD</v>
      </c>
      <c r="E415" s="37" t="str" cm="1">
        <f t="array" ref="E415">Common_InputFunctions.Utility_DisplayArrayInTable(SourceData_PastureBeef.SourceData_PastureBeef_MethaneConversionFactorPerRegion_Data(), Table_SourceData_PastureBeef_MethaneConversionFactor[[#Headers],[State]], 0)</f>
        <v>Low</v>
      </c>
      <c r="F415" s="37" cm="1">
        <f t="array" ref="F415">Common_InputFunctions.Utility_DisplayArrayInTable(SourceData_PastureBeef.SourceData_PastureBeef_MethaneConversionFactorPerRegion_Data(), Table_SourceData_PastureBeef_MethaneConversionFactor[[#Headers],[State]], 0)</f>
        <v>4.7000000000000002E-3</v>
      </c>
      <c r="G415" s="37"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4" t="str" cm="1">
        <f t="array" ref="D421">SourceData_PastureBeef.SourceData_PastureBeef_AshContentOfFeedIntake_Unit()</f>
        <v>fraction</v>
      </c>
      <c r="M421" s="1"/>
    </row>
    <row r="422" spans="4:13" x14ac:dyDescent="0.25">
      <c r="D422" s="53"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4" t="str" cm="1">
        <f t="array" ref="D427">SourceData_PastureBeef.SourceData_PastureBeef_MethaneEmissionsPotential_Unit()</f>
        <v>m3 CH4 / kg VS</v>
      </c>
      <c r="M427" s="1"/>
    </row>
    <row r="428" spans="4:13" x14ac:dyDescent="0.25">
      <c r="D428" s="53"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4" t="str" cm="1">
        <f t="array" ref="D433">SourceData_PastureBeef.SourceData_PastureBeef_FracGASMSoil_Unit()</f>
        <v>fraction</v>
      </c>
      <c r="M433" s="1"/>
    </row>
    <row r="434" spans="4:13" x14ac:dyDescent="0.25">
      <c r="D434" s="53"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4" t="str" cm="1">
        <f t="array" ref="D439">SourceData_PastureBeef.SourceData_PastureBeef_FracLEACH_Unit()</f>
        <v>fraction</v>
      </c>
      <c r="M439" s="1"/>
    </row>
    <row r="440" spans="4:13" x14ac:dyDescent="0.25">
      <c r="D440" s="53"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CEF0-59FE-4C48-9801-0C22E47471C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22</v>
      </c>
      <c r="E6" s="37" t="s">
        <v>23</v>
      </c>
      <c r="F6" s="37" t="s">
        <v>24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28</v>
      </c>
      <c r="E36" s="37" t="s">
        <v>29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28</v>
      </c>
      <c r="E47" s="37" t="s">
        <v>31</v>
      </c>
      <c r="F47" s="37" t="s">
        <v>32</v>
      </c>
      <c r="G47" s="37" t="s">
        <v>33</v>
      </c>
      <c r="H47" s="37" t="s">
        <v>34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49</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37</v>
      </c>
      <c r="F89" s="37" t="s">
        <v>38</v>
      </c>
      <c r="G89" s="37" t="s">
        <v>39</v>
      </c>
      <c r="H89" s="37" t="s">
        <v>40</v>
      </c>
      <c r="I89" s="37" t="s">
        <v>41</v>
      </c>
      <c r="J89" s="37" t="s">
        <v>42</v>
      </c>
      <c r="K89" s="37" t="s">
        <v>43</v>
      </c>
      <c r="L89" s="37" t="s">
        <v>44</v>
      </c>
      <c r="M89" s="37" t="s">
        <v>45</v>
      </c>
      <c r="N89" s="37" t="s">
        <v>46</v>
      </c>
      <c r="O89" s="37" t="s">
        <v>50</v>
      </c>
      <c r="P89" s="37" t="s">
        <v>47</v>
      </c>
      <c r="Q89" s="37" t="s">
        <v>51</v>
      </c>
      <c r="R89" s="37" t="s">
        <v>48</v>
      </c>
      <c r="S89" s="37" t="s">
        <v>52</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4" t="str" cm="1">
        <f t="array" ref="D98:D101">Common_SourceData.Common_SourceData_ClimateZones_Appendices()</f>
        <v>Note:</v>
      </c>
    </row>
    <row r="99" spans="4:20" ht="20.100000000000001" customHeight="1" x14ac:dyDescent="0.25">
      <c r="D99" s="54" t="str">
        <v>MAT = mean annual temperature</v>
      </c>
    </row>
    <row r="100" spans="4:20" ht="20.100000000000001" customHeight="1" x14ac:dyDescent="0.25">
      <c r="D100" s="54" t="str">
        <v>MAP = mean annual precipitation</v>
      </c>
    </row>
    <row r="101" spans="4:20" ht="20.100000000000001" customHeight="1" x14ac:dyDescent="0.25">
      <c r="D101" s="54" t="str">
        <v>PET = potential evapotranspiration</v>
      </c>
    </row>
    <row r="102" spans="4:20" ht="20.100000000000001" customHeight="1" x14ac:dyDescent="0.25">
      <c r="D102" s="54"/>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56</v>
      </c>
      <c r="E109" s="37" t="s">
        <v>37</v>
      </c>
      <c r="F109" s="37" t="s">
        <v>57</v>
      </c>
      <c r="G109" s="37" t="s">
        <v>58</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59</v>
      </c>
      <c r="E119" s="37" t="s">
        <v>60</v>
      </c>
      <c r="F119" s="37" t="s">
        <v>44</v>
      </c>
      <c r="G119" s="37" t="s">
        <v>45</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66</v>
      </c>
      <c r="E127" s="37" t="s">
        <v>67</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94</v>
      </c>
      <c r="E134" t="s">
        <v>95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152</v>
      </c>
      <c r="E142" s="37" t="s">
        <v>95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69</v>
      </c>
      <c r="E153" s="37" t="s">
        <v>70</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36</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154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184</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53</v>
      </c>
      <c r="E231" s="37" t="s">
        <v>327</v>
      </c>
      <c r="F231" s="36" t="s">
        <v>266</v>
      </c>
      <c r="G231" s="37" t="s">
        <v>328</v>
      </c>
      <c r="H231" s="37" t="s">
        <v>329</v>
      </c>
      <c r="I231" s="37" t="s">
        <v>330</v>
      </c>
      <c r="J231" s="37" t="s">
        <v>331</v>
      </c>
      <c r="K231" s="37" t="s">
        <v>332</v>
      </c>
      <c r="L231" s="37" t="s">
        <v>333</v>
      </c>
      <c r="M231" s="37" t="s">
        <v>334</v>
      </c>
      <c r="N231" s="37" t="s">
        <v>335</v>
      </c>
      <c r="O231" s="37" t="s">
        <v>336</v>
      </c>
      <c r="P231" s="37" t="s">
        <v>337</v>
      </c>
      <c r="Q231" s="37" t="s">
        <v>338</v>
      </c>
      <c r="R231" s="37" t="s">
        <v>138</v>
      </c>
      <c r="S231" s="37" t="s">
        <v>339</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81</v>
      </c>
      <c r="E9" s="37" t="s">
        <v>21</v>
      </c>
      <c r="F9" s="37" t="s">
        <v>82</v>
      </c>
      <c r="G9" s="3"/>
    </row>
    <row r="10" spans="1:13" ht="20.100000000000001" customHeight="1" x14ac:dyDescent="0.25">
      <c r="A10" s="19" t="s">
        <v>77</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79</v>
      </c>
    </row>
    <row r="17" spans="1:1" ht="20.100000000000001" customHeight="1" x14ac:dyDescent="0.25">
      <c r="A17" s="67"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67" t="s">
        <v>1</v>
      </c>
    </row>
    <row r="23" spans="1:1" ht="20.100000000000001" customHeight="1" x14ac:dyDescent="0.25">
      <c r="A23" s="67"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79</v>
      </c>
    </row>
    <row r="32" spans="1:1" ht="20.100000000000001" customHeight="1" x14ac:dyDescent="0.25">
      <c r="A32" s="67"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IAAxAFwAIgAsACAAXAAiAEIAdQBsAGwAIAA+ACAAMQBcACIALAAgAFwAIgBDAG8AdwAgADwAIAAxAFwAIgAsACAAXAAiAEMAbwB3ACAAMQAtADIAXAAiACwAIABcACIAQwBvAHcAIAA+ACAAMgBcACIALAAgAFwAIgBTAHQAZQBlAHIAIAA8ACAAMQBcACIALAAgAFwAIgBTAHQAZQBlAHIAIAA+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HMAIAA8ADEAXAAiACwAIABcACIAQwBvAHcAcwAgADEALQAyAFwAIgAsACAAXAAiAEMAbwB3AHMAIAAyAC0AMwBcACIALAAgAFwAIgBDAG8AdwBz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AnAG4ALwBhACcAIAB3AGkAdABoACAAJwBTAG8AdQB0AGgAIABXAGUAcwB0AC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4AMgBcACIALAAgAFwAIgBTAHQAZQBlAHIAIAA8ADEAXAAiACwAIABcACIAUwB0AGUAZQByACAAPg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IALQAzAFwAIgAsACAAXAAiAEMAbwB3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JwBTAHQAYQB0AGUAIABhAGIAYgByAGUAdgBpAGEAdABpAG8AbgAn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A8ADEAXAAiACwAIABcACIAQgB1AGwAbABzACAAPgAxAFwAIgAsACAAXAAiAEMAbwB3AHMAIAA8ADEAXAAiACwAIABcACIAQwBvAHcAcwAgADEALQAyAFwAIgAsACAAXAAiAEMAbwB3AHMAIAA+ADIAXAAiACwAIABcACIAUwB0AGUAZQByACAAPAAxAFwAIgAsACAAXAAiAFMAdABlAGUAcgAgAD4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E0ATQBTAF8AUABhAHMAdAB1AHIAZQBCAGUAZQBm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wAgAE0AZQB0AGgAbwBkACAAMQAgAC0AIABTAG8AaQBsACAARABpAHIAZQBjAHQ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wBfAF8AMQBfAEQAaQByAGUAYwB0AE4AaQB0AHIAbwB1AHMATwB4AGkAZABlAEUAbQBpAHMAcwBpAG8AbgBzAE8AbgBQAGEAcwB0AHUAcgBlAFwAbgBUAG8AdABhAGwAIABhAG4AbgB1AGEAbAAgAGQAaQByAGUAYwB0ACAAbgBpAHQAcgBvAHUAcwAgAG8AeABpAGQAZQAgAGUAbQBpAHMAcwBpAG8AbgBzACAAZgByAG8AbQAgAGEAZwByAGkAYwB1AGwAdAB1AHIAYQBsACAAcwBvAGkAbABzACAAZgByAG8AbQAgAGQAZQBwAG8AcwBpAHQAaQBvAG4AIABvAGYAIAB1AHIAaQBuAGUAIABhAG4AZAAgAGQAdQBuAGcAXABuAEUAXwBOADIATwBkAGkAcgBcAG4AdAAgAE4AMgBPAFwAbgBFAF8AewBOADIATwAsAGQAaQByAH0APQBBAEUAXABcAHQAaQBtAGUAcwAgAEUARgBfAHsAUABSAFAAfQBcAFwAdABpAG0AZQBzACAAQwBfAHsATgAyAE8AfQBcAFwAdABpAG0AZQBzACAAMQAwAF4AewAtADMAfQBcAG4AQQBFACAAPQAgAHQAbwB0AGEAbAAgAG0AYQBzAHMAIABvAGYAIABuAGkAdAByAG8AZwBlAG4AIABlAHgAYwByAGUAdABlAGQAIABvAG4AIABQAFIAUAAgAGYAbwByACAAYgBlAGUAZgAgAGMAYQB0AHQAbABlACAAKABrAGcAIABOACkAXABuAEUARgBfAFAAUgBQACAAPQAgAGUAbQBpAHMAcwBpAG8AbgAgAGYAYQBjAHQAbwByACAAZgBvAHIAIABuAGkAdAByAG8AdQBzACAAbwB4AGkAZABlACAAZgByAG8AbQAgAHUAcgBpAG4AZQAgAGEAbgBkACAAZAB1AG4AZwAgAGQAZQBwAG8AcwBpAHQAZQBkACAAdABvACAAcwBvAGkAbAAgACgAawBnACAATgAyAE8ALQBOAC8AawBnACAATgAgAGQAZQBwAG8AcwBpAHQAZQBk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yAF8AMQBfADMAXwBfADEAXwBEAGkAcgBlAGMAdABOAGkAdAByAG8AdQBzAE8AeABpAGQAZQBFAG0AaQBzAHMAaQBvAG4AcwBPAG4AUABhAHMAdAB1AHIAZQBcAG4AIAAgAD0ATABBAE0AQgBEAEEAKABcAG4AIAAgACAAIABBAEUALAAgAEUARgBfAFAAUgBQACwAIABDAF8ATgAyAE8ALABcAG4AIAAgACAAIABBAEUAIAAqACAARQBGAF8AUABSAFAAIAAqACAAQwBfAE4AMgBPACAAKgAgADEAMAAgAF4AIAAtADMAXABuACAAIAApADsAXABuAFwAbgBWAEUARQBSAEcAXwA0AF8AMgBfADEAXwAzAF8AXwAxAF8ARABpAHIAZQBjAHQATgBpAHQAcgBvAHUAcwBPAHgAaQBkAGUARQBtAGkAcwBzAGkAbwBuAHMATwBuAFAAYQBzAHQAdQByAGUAXwBUAGkAdABsAGUAXABuACAAIAA9AEwAQQBNAEIARABBACgAXAAiAFQAbwB0AGEAbAAgAGEAbgBuAHUAYQBsACAAZABpAHIAZQBjAHQAIABuAGkAdAByAG8AdQBzACAAbwB4AGkAZABlACAAZQBtAGkAcwBzAGkAbwBuAHMAIABmAHIAbwBtACAAYQBnAHIAaQBjAHUAbAB0AHUAcgBhAGwAIABzAG8AaQBsAHMAIABmAHIAbwBtACAAZABlAHAAbwBzAGkAdABpAG8AbgAgAG8AZgAgAHUAcgBpAG4AZQAgAGEAbgBkACAAZAB1AG4AZwBcACIAKQA7AFwAbgBcAG4AVgBFAEUAUgBHAF8ANABfADIAXwAxAF8AMwBfAF8AMQBfAEQAaQByAGUAYwB0AE4AaQB0AHIAbwB1AHMATwB4AGkAZABlAEUAbQBpAHMAcwBpAG8AbgBzAE8AbgBQAGEAcwB0AHUAcgBlAF8AVgBhAHIAaQBhAGIAbABlAFwAbgAgACAAPQBMAEEATQBCAEQAQQAoAFwAIgBFAF8ATgAyAE8AZABpAHIAXAAiACkAOwBcAG4AXABuAFYARQBFAFIARwBfADQAXwAyAF8AMQBfADMAXwBfADEAXwBEAGkAcgBlAGMAdABOAGkAdAByAG8AdQBzAE8AeABpAGQAZQBFAG0AaQBzAHMAaQBvAG4AcwBPAG4AUABhAHMAdAB1AHIAZQBfAFUAbgBpAHQAXABuACAAIAA9AEwAQQBNAEIARABBACgAXAAiAHQAIABOADIATwBcACIAKQA7AFwAbgBcAG4AVgBFAEUAUgBHAF8ANABfADIAXwAxAF8AMwBfAF8AMQBfAEQAaQByAGUAYwB0AE4AaQB0AHIAbwB1AHMATwB4AGkAZABlAEUAbQBpAHMAcwBpAG8AbgBzAE8AbgBQAGEAcwB0AHUAcgBlAF8AUwBvAHUAcgBjAGUAXABuACAAIAA9AEwAQQBNAEIARABBACgAXAAiAFYARQBFAFIARwAgADIAMAAyADYAOgAgADQALgAyAC4AMQAuADMALAAgAEUAcQB1AGEAdABpAG8AbgAgACgAMQApAFwAIgApADsAXABuAFwAbgBWAEUARQBSAEcAXwA0AF8AMgBfADEAXwAzAF8AXwAxAF8ARABpAHIAZQBjAHQATgBpAHQAcgBvAHUAcwBPAHgAaQBkAGUARQBtAGkAcwBzAGkAbwBuAHMATwBuAFAAYQBzAHQAdQByAGUAXwBOAEkAUgBSAGUAZgBlAHIAZQBuAGMAZQBcAG4AIAAgAD0ATABBAE0AQgBEAEEAKABcACIAXAAiACkAOwBcAG4AXABuAFYARQBFAFIARwBfADQAXwAyAF8AMQBfADMAXwBfADEAXwBEAGkAcgBlAGMAdABOAGkAdAByAG8AdQBzAE8AeABpAGQAZQBFAG0AaQBzAHMAaQBvAG4AcwBPAG4AUABhAHMAdAB1AHIAZQBfAEwAYQB0AGUAeABFAHEAdQBhAHQAaQBvAG4AXABuACAAIAA9AEwAQQBNAEIARABBACgAXAAiAEUAXwB7AE4AMgBPACwAZABpAHIAfQA9AEEARQBcAFwAdABpAG0AZQBzACAARQBGAF8AewBQAFIAUAB9AFwAXAB0AGkAbQBlAHMAIABDAF8AewBOADIATwB9AFwAXAB0AGkAbQBlAHMAIAAxADAAXgB7AC0AMwB9AFwAIgApADsAXABuAFwAbgBWAEUARQBSAEcAXwA0AF8AMgBfADEAXwAzAF8AXwAxAF8ARABpAHIAZQBjAHQATgBpAHQAcgBvAHUAcwBPAHgAaQBkAGUARQBtAGkAcwBzAGkAbwBuAHMATwBuAFAAYQBzAHQAdQByAGUAXwBBAHIAZwB1AG0AZQBuAHQAcwBcAG4AIAAgAD0ATABBAE0AQgBEAEEAKABcAG4AIAAgACAAIABNAEEASwBFAEEAUgBSAEEAWQAoADQ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UARgBfAFAAUgBQAFwAIgAsACAAXAAiAGUAbQBpAHMAcwBpAG8AbgAgAGYAYQBjAHQAbwByACAAZgBvAHIAIABuAGkAdAByAG8AdQBzACAAbwB4AGkAZABlACAAZgByAG8AbQAgAHUAcgBpAG4AZQAgAGEAbgBkACAAZAB1AG4AZwAgAGQAZQBwAG8AcwBpAHQAZQBkACAAdABvACAAcwBvAGkAbAAgACgAawBnACAATgAyAE8ALQBOAC8AawBnACAATgAgAGQAZQBwAG8AcwBpAHQAZQBkACkAXAAiADsAXABuACAAIAAgACAAIAAgACAAIAAgACAAXAAiAEMAXwBOADIATwBcACIALAAgAFwAIgBmAGEAYwB0AG8AcgAgAHQAbwAgAGMAbwBuAHYAZQByAHQAIABlAGwAZQBtAGUAbgB0AGEAbAAgAG0AYQBzAHMAIABvAGYAIABuAGkAdAByAG8AdQBzACAAbwB4AGkAZABlACAAdABvACAAbQBvAGwAZQBjAHUAbABhAHIAIABtAGEAcwBzAFwAIgA7AFwAbgAgACAAIAAgACAAIAAgACAAIAAgAFwAIgB6AFwAIgAsACAAXAAiAHcAZQB0ACAAbwByACAAZAByAHkAIABjAGwAaQBtAGEAdABl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yAF8AVABvAHQAYQBsAE4AaQB0AHIAbwBnAGUAbgBFAHgAYwByAGUAdABlAGQAVABvAFAAYQBzAHQAdQByAGUAUgBhAG4AZwBlAEEAbgBkAFAAYQBkAGQAbwBjAGsAXABuAFQAbwB0AGEAbAAgAG4AaQB0AHIAbwBnAGUAbgAgAGUAeABjAHIAZQB0AGUAZAAgAHQAbwAgAHAAYQBzAHQAdQByAGUALAAgAHIAYQBuAGcAZQAgAGEAbgBkACAAcABhAGQAZABvAGMAawBcAG4AQQBFAFwAbgBrAGcAIABOAFwAbgBBAEUAPQBcAFwAcwB1AG0AXwB7AGoAfQBcAFwAcwB1AG0AXwB7AGsAfQBcAFwAcwB1AG0AXwB7AGwAfQAoAE4AXwB7AGoAawBsAH0AXABcAHQAaQBtAGUAcwAgAE4ARQBfAHsAagBrAGwAfQBcAFwAdABpAG0AZQBzACAARABfAGoAKQBcAG4ATgBfAGoAawBsACAAPQAgAG4AdQBtAGIAZQByACAAbwBmACAAYgBlAGUAZgAgAGMAYQB0AHQAbABlACAAYgB5ACAAdABpAG0AZQAtAHAAZQByAGkAbwBkACwAIABjAGwAYQBzAHMAIABhAG4AZAAgAHMAdQBiAGMAbABhAHMAcwAgACgAaABlAGEAZAApAFwAbgBOAEUAXwBqAGsAbAAgAD0AIABuAGkAdAByAG8AZwBlAG4AIABlAHgAYwByAGUAdABlAGQAIABpAG4AIABlAGEAYwBoACAAdABpAG0AZQAtAHAAZQByAGkAbwBkACwAIABiAHkAIABlAGEAYwBoACAAYwBsAGEAcwBzACAAYQBuAGQAIABzAHUAYgBjAGwAYQBzAHMAIAAoAGsAZwAgAE4ALwBoAGUAYQBkAC8AZABhAHkAKQBcAG4ARABfAGoAIAA9ACAAbgB1AG0AYgBlAHIAIABvAGYAIABkAGEAeQBzACAAaQBuACAAZQBhAGMAaAAgAHQAaQBtAGUALQBwAGUAcgBpAG8AZAAgACgAZABhAHkAcwApAFwAbgAtAC0ALQAtAC0ALQAtAC0ALQAtAC0ALQAtAC0ALQAtAC0ALQAtAC0ALQAtAC0ALQAtAC0ALQAtAC0ALQAtAC0ALQAtAC0ALQAtAC0AXABuACoALwBcAG4AXABuAFYARQBFAFIARwBfADQAXwAyAF8AMQBfADMAXwBfADIAXwBUAG8AdABhAGwATgBpAHQAcgBvAGcAZQBuAEUAeABjAHIAZQB0AGUAZABUAG8AUABhAHMAdAB1AHIAZQBSAGEAbgBnAGUAQQBuAGQAUABhAGQAZABvAGMAawBcAG4AIAAgAD0ATABBAE0AQgBEAEEAKABcAG4AIAAgACAAIABOAF8AagBrAGwALAAgAE4ARQBfAGoAawBsACwAIABEAF8AagAsAFwAbgAgACAAIAAgAFMAVQBNACgAKABOAF8AagBrAGwAIAAqACAATgBFAF8AagBrAGwAKQAgACoAIABEAF8AagApAFwAbgAgACAAKQA7AFwAbgBcAG4AVgBFAEUAUgBHAF8ANABfADIAXwAxAF8AMwBfAF8AMgBfAFQAbwB0AGEAbABOAGkAdAByAG8AZwBlAG4ARQB4AGMAcgBlAHQAZQBkAFQAbwBQAGEAcwB0AHUAcgBlAFIAYQBuAGcAZQBBAG4AZABQAGEAZABkAG8AYwBrAF8AVABpAHQAbABlAFwAbgAgACAAPQBMAEEATQBCAEQAQQAoAFwAIgBUAG8AdABhAGwAIABuAGkAdAByAG8AZwBlAG4AIABlAHgAYwByAGUAdABlAGQAIAB0AG8AIABwAGEAcwB0AHUAcgBlACwAIAByAGEAbgBnAGUAIABhAG4AZAAgAHAAYQBkAGQAbwBjAGsAXAAiACkAOwBcAG4AXABuAFYARQBFAFIARwBfADQAXwAyAF8AMQBfADMAXwBfADIAXwBUAG8AdABhAGwATgBpAHQAcgBvAGcAZQBuAEUAeABjAHIAZQB0AGUAZABUAG8AUABhAHMAdAB1AHIAZQBSAGEAbgBnAGUAQQBuAGQAUABhAGQAZABvAGMAawBfAFYAYQByAGkAYQBiAGwAZQBcAG4AIAAgAD0ATABBAE0AQgBEAEEAKABcACIAQQBFAFwAIgApADsAXABuAFwAbgBWAEUARQBSAEcAXwA0AF8AMgBfADEAXwAzAF8AXwAyAF8AVABvAHQAYQBsAE4AaQB0AHIAbwBnAGUAbgBFAHgAYwByAGUAdABlAGQAVABvAFAAYQBzAHQAdQByAGUAUgBhAG4AZwBlAEEAbgBkAFAAYQBkAGQAbwBjAGsAXwBVAG4AaQB0AFwAbgAgACAAPQBMAEEATQBCAEQAQQAoAFwAIgBrAGcAIABOAFwAIgApADsAXABuAFwAbgBWAEUARQBSAEcAXwA0AF8AMgBfADEAXwAzAF8AXwAyAF8AVABvAHQAYQBsAE4AaQB0AHIAbwBnAGUAbgBFAHgAYwByAGUAdABlAGQAVABvAFAAYQBzAHQAdQByAGUAUgBhAG4AZwBlAEEAbgBkAFAAYQBkAGQAbwBjAGsAXwBTAG8AdQByAGMAZQBcAG4AIAAgAD0ATABBAE0AQgBEAEEAKABcACIAVgBFAEUAUgBHACAAMgAwADIANgA6ACAANAAuADIALgAxAC4AMwAsACAARQBxAHUAYQB0AGkAbwBuACAAKAAyACkAXAAiACkAOwBcAG4AXABuAFYARQBFAFIARwBfADQAXwAyAF8AMQBfADMAXwBfADIAXwBUAG8AdABhAGwATgBpAHQAcgBvAGcAZQBuAEUAeABjAHIAZQB0AGUAZABUAG8AUABhAHMAdAB1AHIAZQBSAGEAbgBnAGUAQQBuAGQAUABhAGQAZABvAGMAawBfAE4ASQBSAFIAZQBmAGUAcgBlAG4AYwBlAFwAbgAgACAAPQBMAEEATQBCAEQAQQAoAFwAIgBcACIAKQA7AFwAbgBcAG4AVgBFAEUAUgBHAF8ANABfADIAXwAxAF8AMwBfAF8AMgBfAFQAbwB0AGEAbABOAGkAdAByAG8AZwBlAG4ARQB4AGMAcgBlAHQAZQBkAFQAbwBQAGEAcwB0AHUAcgBlAFIAYQBuAGcAZQBBAG4AZABQAGEAZABkAG8AYwBrAF8ATABhAHQAZQB4AEUAcQB1AGEAdABpAG8AbgBcAG4AIAAgAD0ATABBAE0AQgBEAEEAKABcACIAQQBFAD0AXABcAHMAdQBtAF8AewBqAH0AXABcAHMAdQBtAF8AewBrAH0AXABcAHMAdQBtAF8AewBsAH0AKABOAF8AewBqAGsAbAB9AFwAXAB0AGkAbQBlAHMAIABOAEUAXwB7AGoAawBsAH0AXABcAHQAaQBtAGUAcwAgAEQAXwBqACkAXAAiACkAOwBcAG4AXABuAFYARQBFAFIARwBfADQAXwAyAF8AMQBfADMAXwBfADIAXwBUAG8AdABhAGwATgBpAHQAcgBvAGcAZQBuAEUAeABjAHIAZQB0AGUAZABUAG8AUABhAHMAdAB1AHIAZQBSAGEAbgBnAGUAQQBuAGQAUABhAGQAZABvAGMAaw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iAHkAIAB0AGkAbQBlAC0AcABlAHIAaQBvAGQALAAgAGMAbABhAHMAcwAgAGEAbgBkACAAcwB1AGIAYwBsAGEAcwBzACAAKABoAGUAYQBkACkAXAAiADsAXABuACAAIAAgACAAIAAgACAAIAAgACAAXAAiAE4ARQBfAGoAawBsAFwAIgAsACAAXAAiAG4AaQB0AHIAbwBnAGUAbgAgAGUAeABjAHIAZQB0AGUAZAAgAGkAbgAgAGUAYQBjAGgAIAB0AGkAbQBlAC0AcABlAHIAaQBvAGQALAAgAGIAeQAgAGUAYQBjAGgAIABjAGwAYQBzAHMAIABhAG4AZAAgAHMAdQBiAGMAbABhAHMAcwAgACgAawBnACAATgAvAGgAZQBhAGQALwBkAGEAeQApAFwAIgA7AFwAbgAgACAAIAAgACAAIAAgACAAIAAgAFwAIgBEAF8AagBcACIALAAgAFwAIgBuAHUAbQBiAGUAcgAgAG8AZgAgAGQAYQB5AHMAIABpAG4AIABlAGEAYwBoACAAdABpAG0AZQAtAHAAZQByAGkAbwBkACAAKABkAGEAeQBz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EMAUABfAGoAXAAiACwAIABcACIAYwByAHUAZABlACAAcAByAG8AdABlAGkAbgAgAGMAbwBuAHQAZQBuAHQAIABvAGYAIABkAHIAeQAgAG0AYQB0AHQAZQByACAAaQBuAHQAYQBrAGUAXAAiADsAXABuACAAIAAgACAAIAAgACAAIAAgACAAXAAiAE0AQwBfAGoAawAxADMANgBcACIALAAgAFwAIgBtAGkAbABrACAAaQBuAHQAYQBrAGUAIAAoAGsAZwAvAGgAZQBhAGQALwBkAGEAeQApAFwAIgA7AFwAbgAgACAAIAAgACAAIAAgACAAIAAgAFwAIgBOAFIAXwBqAGsAbABcACIALAAgAFwAIgB0AGgAZQAgAGEAbQBvAHUAbgB0ACAAbwBmACAAbgBpAHQAcgBvAGcAZQBuACAAcgBlAHQAYQBpAG4AZQBkACAAYgB5ACAAdABoAGUAIABiAG8AZAB5ACAAKABrAGcAIABOAC8AaABlAGEAZAAvAGQAYQB5ACkAXAAiADsAXABuACAAIAAgACAAIAAgACAAIAAgACAAXAAiAFcAXwBqAGsAbABcACIALAAgAFwAIgBsAGkAdgBlAHcAZQBpAGcAaAB0ACAAKABrAGcALwBoAGUAYQBkACkAXAAiADsAXABuACAAIAAgACAAIAAgACAAIAAgACAAXAAiAGIAXAAiACwAIABcACIAYgByAGUAZQBkACAAbwBmACAAYwBhAHQAdABsAGUAXAAiADsAXABuACAAIAAgACAAIAAgACAAIAAgACAAXAAiAHMAXAAiACwAIABcACIAQwBhAGwAdgBpAG4AZwAgAHMAZQBhAHMAbwBu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IALABcAG4AIAAgACAAIAAgACAATABBAE0AQgBEAEEAKAByACwAYwAsAFwAbgAgACAAIAAgACAAIAAgACAASQBOAEQARQBYACgAewBcAG4AIAAgACAAIAAgACAAIAAgACAAIABcACIATQBQAF8AagBrADUAXAAiACwAIABcACIAbQBpAGwAawAgAHAAcgBvAGQAdQBjAHQAaQBvAG4AIAAoAGsAZwAvAGgAZQBhAGQALwBkAGEAeQApAFwAIgA7AFwAbgAgACAAIAAgACAAIAAgACAAIAAgAFwAIgBMAF8AagBrAGwAXAAiACwAIABcACIAaQBuAHQAYQBrAGUAIAByAGUAbABhAHQAaQB2AGUAIAB0AG8AIAB0AGgAYQB0ACAAbgBlAGUAZABlAGQAIABmAG8AcgAgAG0AYQBpAG4AdABlAG4AYQBuAGMAZQBcACIAOwBcAG4AIAAgACAAIAAgACAAIAAgACAAIABcACIAWgBfAGoAawBsAFwAIgAsACAAXAAiAHIAZQBsAGEAdABpAHYAZQAgAHMAaQB6AGUAXAAiADsAXABuACAAIAAgACAAIAAgACAAIAAgACAAXAAiAEwAVwBHAF8AagBrAGwAXAAiACwAIABcACIAbABpAHYAZQB3AGUAaQBnAGgAdAAgAGcAYQBpAG4AIAAoAGsAZw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I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OwBcAG4AIAAgACAAIAAgACAAIAAgACAAIABcACIARABNAFAAXwBqAGsANQBcACIALAAgAFwAIgBkAGEAaQBsAHkAIABtAGkAbABrACAAcAByAG8AZAB1AGMAdABpAG8AbgAgACgAawBnAC8AaABlAGEAZAAvAGQAYQB5ACkAXAAiADsAXABuACAAIAAgACAAIAAgACAAIAAgACAAXAAiAGIAXAAiACwAIABcACIAYgByAGUAZQBkACAAbwBmACAAYwBhAHQAdABsAGUAXAAiAFwAbgAgACAAIAAgACAAIAAgACAAfQAsACAAcgAsACAAYwApAFwAbgAgACAAIAAgACAAIAApAFwAbgAgACAAIAAgACkAXABuACAAIAApADsAXABuAFwAbgBWAEUARQBSAEcAXwA0AF8AMgBfADEAXwAzAF8AXwA1AF8ATQBpAGwAawBQAHIAbwBkAHUAYwB0AGkAbwBuAEYAbwByAEMAYQBsAHYAaQBuAGcAUwBlAGEAcwBvAG4AXwBBAHIAZwB1AG0AZQBuAHQAcwBWAGEAcgBpAGEAdABpAG8AbgBcAG4AIAAgAD0ATABBAE0AQgBEAEEAKABcAG4AIAAgACAAIABNAEEASwBFAEEAUgBSAEEAWQAoADUALAAgADIALABcAG4AIAAgACAAIAAgACAATABBAE0AQgBEAEEAKAByACwAYwAsAFwAbgAgACAAIAAgACAAIAAgACAASQBOAEQARQBYACgAewBcAG4AIAAgACAAIAAgACAAIAAgACAAIABcACIATABDAF8AagBrADUAYwB1AHIAcgBcACIALAAgAFwAIgBwAHIAbwBwAG8AcgB0AGkAbwBuACAAbwBmACAAYwBvAHcAcwAgAGcAcgBlAGEAdABlAHIAIAB0AGgAYQBuACAAMgAgAHkAZQBhAHIAcwAgAGwAYQBjAHQAYQB0AGkAbgBnACAAZgBvAHIAIAB0AGgAZQAgAHMAZQBhAHMAbwBuACAAbwBmACAAYwBhAGwAdgBpAG4AZw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OwBcAG4AIAAgACAAIAAgACAAIAAgACAAIABcACIARABNAFAAXwBqAGsANQBjAGEAbAB2AFwAIgAsACAAXAAiAGQAYQBpAGwAeQAgAG0AaQBsAGsAIABwAHIAbwBkAHUAYwB0AGkAbwBuACAAZgBvAHIAIAB0AGgAZQAgAHMAZQBhAHMAbwBuACAAbwBmACAAYwBhAGwAdgBpAG4AZwAgACgAawBnAC8AaABlAGEAZAAvAGQAYQB5ACkAXAAiADsAXABuACAAIAAgACAAIAAgACAAIAAgACAAXAAiAEQATQBQAF8AagBrADUAYQBmAHQAZQByAFwAIgAsACAAXAAiAGQAYQBpAGwAeQAgAG0AaQBsAGsAIABwAHIAbwBkAHUAYwB0AGkAbwBuACAAZgBvAHIAIAB0AGgAZQAgAHMAZQBhAHMAbwBuACAAYQBmAHQAZQByACAAYwBhAGwAdgBpAG4AZwAgACgAawBnAC8AaABlAGEAZAAvAGQAYQB5ACkAXAAiADsAXABuACAAIAAgACAAIAAgACAAIAAgACAAXAAiAGIAXAAiACwAIABcACIAYgByAGUAZQBkACAAbwBmACAAYwBhAHQAdABsAGUAXAAiAFwAbgAgACAAIAAgACAAIAAgACAAfQAsACAAcgAsACAAYwApAFwAbgAgACAAIAAgACAAIAApAFwAbgAgACAAIAAgACkAXABuACAAIAApADsAXABuAFwAbgBWAEUARQBSAEcAXwA0AF8AMgBfADEAXwAzAF8AXwA1AF8ATQBpAGwAawBQAHIAbwBkAHUAYwB0AGkAbwBuAEYAbwByAEMAYQBsAHYAaQBuAGcAUwBlAGEAcwBvAG4AXwBWAGEAcgBpAGEAdABpAG8AbgBcAG4APQBMAEEATQBCAEQAQQAoAFwAIgBWAEEAUgBJAEEAVABJAE8ATgAgAE8ATgAgAFMATwBVAFIAQwBFADoAIABTAHAAbABpAHQAIABMAEMAIABhAG4AZAAgAEQATQBQACAAaQBuAHQAbwAgAGMAYQBsAHYAaQBuAGcAIABzAGUAYQBzAG8AbgAgAGEAbgBkACAAYQBmAHQAZQByACAAYwBhAGwAdgBpAG4AZwAgAHMAZQBhAHMAbwBuACAAdgBhAGwAdQBlAHMALgBcACIAKQA7AFwAbgBcAG4ALwAqAFwAbgAtAC0ALQAtAC0ALQAtAC0ALQAtAC0ALQAtAC0ALQAtAC0ALQAtAC0ALQAtAC0ALQAtAC0ALQAtAC0ALQAtAC0ALQAtAC0ALQAtAC0AXABuAFYARQBFAFIARwBfADQAXwAyAF8AMQBfADMAXwBfADYAXwBJAG4AdABhAGsAZQBSAGUAbABhAHQAaQB2AGUAVABvAE0AYQBpAG4AdABlAG4AYQBuAGMAZQBcAG4ASQBuAHQAYQBrAGUAIAByAGUAbABhAHQAaQB2AGUAIAB0AG8AIAB0AGgAYQB0ACAAbgBlAGUAZABlAGQAIABmAG8AcgAgAG0AYQBpAG4AdABlAG4AYQBuAGMAZQBcAG4ATABfAGoAawBsAFwAbgByAGEAdABpAG8AXABuAEwAXwB7AGoAawBsAH0APQBcAFwAZgByAGEAYwB7AEkAXwB7AGoAawBsAH0AfQB7ACgAMQAuADEAOAA1ACsAMAAuADAAMAA0ADUANABcAFwAdABpAG0AZQBzACAAVwBfAHsAagBrAGwAfQAtADAALgAwADAAMAAwADAAMgA2AFwAXAB0AGkAbQBlAHMAIABXAF8AewBqAGsAbAB9AF4AewAyAH0AKQBeAHsAMgB9AH0AXABuAEkAXwBqAGsAbAAgAD0AIABkAHIAeQAgAG0AYQB0AHQAZQByACAAaQBuAHQAYQBrAGUAIABhAHMAIABjAGEAbABjAHUAbABhAHQAZQBkACAAaQBuACAAQwBoAGEAcAB0AGUAcgAgADMAIABTAGUAYwB0AGkAbwBuACAAMwAuADIALgAxACAAKABrAGcAIABEAE0ALwBoAGUAYQBkAC8AZABhAHkAKQBcAG4AVwBfAGoAawBsACAAPQAgAGwAaQB2AGUAdwBlAGkAZwBoAHQAIAAoAGsAZwAvAGgAZQBhAGQAKQBcAG4ALQAtAC0ALQAtAC0ALQAtAC0ALQAtAC0ALQAtAC0ALQAtAC0ALQAtAC0ALQAtAC0ALQAtAC0ALQAtAC0ALQAtAC0ALQAtAC0ALQAtAFwAbgAqAC8AXABuAFwAbgBWAEUARQBSAEcAXwA0AF8AMgBfADEAXwAzAF8AXwA2AF8ASQBuAHQAYQBrAGUAUgBlAGwAYQB0AGkAdgBlAFQAbwBNAGEAaQBuAHQAZQBuAGEAbgBjAGUAXABuACAAIAA9AEwAQQBNAEIARABBACgAXABuACAAIAAgACAASQBfAGoAawBsACwAIABXAF8AagBrAGwALABcAG4AIAAgACAAIABJAF8AagBrAGwAIAAvACAAKAAoADEALgAxADgANQAgACsAIAAwAC4AMAAwADQANQA0ACAAKgAgAFcAXwBqAGsAbAAgAC0AIAAwAC4AMAAwADAAMAAwADIANgAgACoAIABXAF8AagBrAGwAIABeACAAMgApACAAXgAgADIAKQBcAG4AIAAgACkAOwBcAG4AXABuAFYARQBFAFIARwBfADQAXwAyAF8AMQBfADMAXwBfADYAXwBJAG4AdABhAGsAZQBSAGUAbABhAHQAaQB2AGUAVABvAE0AYQBpAG4AdABlAG4AYQBuAGMAZQBfAFQAaQB0AGwAZQBcAG4AIAAgAD0ATABBAE0AQgBEAEEAKABcACIASQBuAHQAYQBrAGUAIAByAGUAbABhAHQAaQB2AGUAIAB0AG8AIAB0AGgAYQB0ACAAbgBlAGUAZABlAGQAIABmAG8AcgAgAG0AYQBpAG4AdABlAG4AYQBuAGMAZQBcACIAKQA7AFwAbgBcAG4AVgBFAEUAUgBHAF8ANABfADIAXwAxAF8AMwBfAF8ANgBfAEkAbgB0AGEAawBlAFIAZQBsAGEAdABpAHYAZQBUAG8ATQBhAGkAbgB0AGUAbgBhAG4AYwBlAF8AVgBhAHIAaQBhAGIAbABlAFwAbgAgACAAPQBMAEEATQBCAEQAQQAoAFwAIgBMAF8AagBrAGwAXAAiACkAOwBcAG4AXABuAFYARQBFAFIARwBfADQAXwAyAF8AMQBfADMAXwBfADYAXwBJAG4AdABhAGsAZQBSAGUAbABhAHQAaQB2AGUAVABvAE0AYQBpAG4AdABlAG4AYQBuAGMAZQBfAFUAbgBpAHQAXABuACAAIAA9AEwAQQBNAEIARABBACgAXAAiAHIAYQB0AGkAbwBcACIAKQA7AFwAbgBcAG4AVgBFAEUAUgBHAF8ANABfADIAXwAxAF8AMwBfAF8ANgBfAEkAbgB0AGEAawBlAFIAZQBsAGEAdABpAHYAZQBUAG8ATQBhAGkAbgB0AGUAbgBhAG4AYwBlAF8AUwBvAHUAcgBjAGUAXABuACAAIAA9AEwAQQBNAEIARABBACgAXAAiAFYARQBFAFIARwAgADIAMAAyADYAOgAgADQALgAyAC4AMQAuADMALAAgAEUAcQB1AGEAdABpAG8AbgAgACgANgApAFwAIgApADsAXABuAFwAbgBWAEUARQBSAEcAXwA0AF8AMgBfADEAXwAzAF8AXwA2AF8ASQBuAHQAYQBrAGUAUgBlAGwAYQB0AGkAdgBlAFQAbwBNAGEAaQBuAHQAZQBuAGEAbgBjAGUAXwBOAEkAUgBSAGUAZgBlAHIAZQBuAGMAZQBcAG4AIAAgAD0ATABBAE0AQgBEAEEAKABcACIAXAAiACkAOwBcAG4AXABuAFYARQBFAFIARwBfADQAXwAyAF8AMQBfADMAXwBfADYAXwBJAG4AdABhAGsAZQBSAGUAbABhAHQAaQB2AGUAVABvAE0AYQBpAG4AdABlAG4AYQBuAGMAZQBfAEwAYQB0AGUAeABFAHEAdQBhAHQAaQBvAG4AXABuACAAIAA9AEwAQQBNAEIARABBACgAXAAiAEwAXwB7AGoAawBsAH0APQBcAFwAZgByAGEAYwB7AEkAXwB7AGoAawBsAH0AfQB7ACgAMQAuADEAOAA1ACsAMAAuADAAMAA0ADUANABcAFwAdABpAG0AZQBzACAAVwBfAHsAagBrAGwAfQAtADAALgAwADAAMAAwADAAMgA2AFwAXAB0AGkAbQBlAHMAIABXAF8AewBqAGsAbAB9AF4AewAyAH0AKQBeAHsAMgB9AH0AXAAiACkAOwBcAG4AXABuAFYARQBFAFIARwBfADQAXwAyAF8AMQBfADMAXwBfADYAXwBJAG4AdABhAGsAZQBSAGUAbABhAHQAaQB2AGUAVABvAE0AYQBpAG4AdABlAG4AYQBuAGMAZQBfAEEAcgBnAHUAbQBlAG4AdABzAFwAbgAgACAAPQBMAEEATQBCAEQAQQAoAFwAbgAgACAAIAAgAE0AQQBLAEUAQQBSAFIAQQBZACgAMg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FcAXwBqAGsAbABcACIALAAgAFwAIgBsAGkAdgBlAHcAZQBpAGcAaAB0ACAAKABrAGcALwBoAGUAYQBk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IALABcAG4AIAAgACAAIAAgACAATABBAE0AQgBEAEEAKAByACwAYwAsAFwAbgAgACAAIAAgACAAIAAgACAASQBOAEQARQBYACgAewBcAG4AIAAgACAAIAAgACAAIAAgACAAIABcACIAVwBfAGoAawBsAFwAIgAsACAAXAAiAGwAaQB2AGUAdwBlAGkAZwBoAHQAIAAoAGsAZwApAFwAIgA7AFwAbgAgACAAIAAgACAAIAAgACAAIAAgAFwAIgBTAFIAVwBfAGsAXAAiACwAIABcACIAcwB0AGEAbgBkAGEAcgBkACAAcgBlAGYAZQByAGUAbgBjAGUAIAB3AGUAaQBnAGgAdAAgACgAawBnACkAXAAiADsAXABuACAAIAAgACAAIAAgACAAIAAgACAAXAAiAGkAXAAiACwAIABcACIAcwB0AGEAdABlAFwAIgBcAG4AIAAgACAAIAAgACAAIAAgAH0ALAAgAHIALAAgAGMAKQBcAG4AIAAgACAAIAAgACAAKQBcAG4AIAAgACAAIAApAFwAbgAgACAAKQA7AFwAbgAiAH0ALAB7ACIAcABhAHQAaAAiADoAIgAvAHAAcgBvAGoAZQBjAHQAcwAvAE0ATQBTAF8AUABhAHMAdAB1AHIAZQBCAGUAZQBm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QAgAE0AZQB0AGgAbwBkACAAMQAgAC0AIABTAG8AaQBsACAAQQB0AG0AbwBzAHAAaABlAHIAaQBjACAARABlAHAAbwBzAGkAdABpAG8Ab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1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fQBcAFwAdABpAG0AZQBzACAARQBGAF8AewBOADIATwB9AFwAXAB0AGkAbQBlAHMAIABDAF8AewBOADIATwB9AFwAXAB0AGkAbQBlAHMAIAAxADAAXgB7AC0AMwB9AFwAbgBNAF8AdgBvAGw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QBfAF8AMQBfAEEAdABtAG8AcwBwAGgAZQByAGkAYwBEAGUAcABvAHMAaQB0AGkAbwBuAEUAbQBpAHMAcwBpAG8AbgBzAEYAcgBvAG0AVQByAGkAbgBlAEEAbgBkAEQAdQBuAGcATwBuAFAAYQBzAHQAdQByAGUAXABuACAAIAA9AEwAQQBNAEIARABBACgAXABuACAAIAAgACAATQBfAHYAbwBsACwAIABFAEYAXwBOADIATwAsACAAQwBfAE4AMgBPACwAXABuACAAIAAgACAATQBfAHYAbwBsACAAKgAgAEUARgBfAE4AMgBPACAAKgAgAEMAXwBOADIATwAgACoAIAAxADAAIABeACAALQAzAFwAbgAgACAAKQA7AFwAbgBcAG4AVgBFAEUAUgBHAF8ANABfADIAXwAxAF8ANQ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yAF8AMQBfADU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gBfADEAXwA1AF8AXwAxAF8AQQB0AG0AbwBzAHAAaABlAHIAaQBjAEQAZQBwAG8AcwBpAHQAaQBvAG4ARQBtAGkAcwBzAGkAbwBuAHMARgByAG8AbQBVAHIAaQBuAGUAQQBuAGQARAB1AG4AZwBPAG4AUABhAHMAdAB1AHIAZQBfAFUAbgBpAHQAXABuACAAIAA9AEwAQQBNAEIARABBACgAXAAiAHQAIABOADIATwBcACIAKQA7AFwAbgBcAG4AVgBFAEUAUgBHAF8ANABfADIAXwAxAF8ANQBfAF8AMQBfAEEAdABtAG8AcwBwAGgAZQByAGkAYwBEAGUAcABvAHMAaQB0AGkAbwBuAEUAbQBpAHMAcwBpAG8AbgBzAEYAcgBvAG0AVQByAGkAbgBlAEEAbgBkAEQAdQBuAGcATwBuAFAAYQBzAHQAdQByAGUAXwBTAG8AdQByAGMAZQBcAG4AIAAgAD0ATABBAE0AQgBEAEEAKABcACIAVgBFAEUAUgBHACAAMgAwADIANgA6ACAANAAuADIALgAxAC4ANQAsACAARQBxAHUAYQB0AGkAbwBuACAAKAAxACkAXAAiACkAOwBcAG4AXABuAFYARQBFAFIARwBfADQAXwAyAF8AMQBfADUAXwBfADEAXwBBAHQAbQBvAHMAcABoAGUAcgBpAGMARABlAHAAbwBzAGkAdABpAG8AbgBFAG0AaQBzAHMAaQBvAG4AcwBGAHIAbwBtAFUAcgBpAG4AZQBBAG4AZABEAHUAbgBnAE8AbgBQAGEAcwB0AHUAcgBlAF8ATgBJAFIAUgBlAGYAZQByAGUAbgBjAGUAXABuACAAIAA9AEwAQQBNAEIARABBACgAXAAiAFwAIgApADsAXABuAFwAbgBWAEUARQBSAEcAXwA0AF8AMgBfADEAXwA1AF8AXwAxAF8AQQB0AG0AbwBzAHAAaABlAHIAaQBjAEQAZQBwAG8AcwBpAHQAaQBvAG4ARQBtAGkAcwBzAGkAbwBuAHMARgByAG8AbQBVAHIAaQBuAGUAQQBuAGQARAB1AG4AZwBPAG4AUABhAHMAdAB1AHIAZQBfAEwAYQB0AGUAeABFAHEAdQBhAHQAaQBvAG4AXABuACAAIAA9AEwAQQBNAEIARABBACgAXAAiAEUAXwB7AE4AMgBPACwAYQBkAH0APQBNAF8AewB2AG8AbAB9AFwAXAB0AGkAbQBlAHMAIABFAEYAXwB7AE4AMgBPAH0AXABcAHQAaQBtAGUAcwAgAEMAXwB7AE4AMgBPAH0AXABcAHQAaQBtAGUAcwAgADEAMABeAHsALQAzAH0AXAAiACkAOwBcAG4AXABuAFYARQBFAFIARwBfADQAXwAyAF8AMQBfADUAXwBfADEAXwBBAHQAbQBvAHMAcABoAGUAcgBpAGMARABlAHAAbwBzAGkAdABpAG8AbgBFAG0AaQBzAHMAaQBvAG4AcwBGAHIAbwBtAFUAcgBpAG4AZQBBAG4AZABEAHUAbgBnAE8AbgBQAGEAcwB0AHUAcgBlAF8AQQByAGcAdQBtAGUAbgB0AHMAXABuACAAIAA9AEwAQQBNAEIARABBACgAXABuACAAIAAgACAATQBBAEsARQBBAFIAUgBBAFkAKAA2ACwAIAAyACwAXABuACAAIAAgACAAIAAgAEwAQQBNAEIARABBACgAcgAsAGMALABcAG4AIAAgACAAIAAgACAAIAAgAEkATgBEAEUAWAAoAHsAXABuACAAIAAgACAAIAAgACAAIAAgACAAXAAiAE0AXwB2AG8AbABcACIALAAgAFwAIgBtAGEAcwBzACAAbwBmACAAbgBpAHQAcgBvAGcAZQBuACAAdgBvAGwAYQB0AGkAbABpAHMAZQBkACAAZgByAG8AbQAgAHUAcgBpAG4AZQAgAGEAbgBkACAAZgBhAGUAYwBlAHMAIABkAGUAcABvAHMAaQB0AGUAZAAgAG8AbgAgAHAAYQBzAHQAdQByAGU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XAAiACwAIABcACIAaQByAHIAaQBnAGEAdABpAG8AbgAgAG0AZQB0AGgAbwBkAFwAIgA7AFwAbgAgACAAIAAgACAAIAAgACAAIAAgAFwAIgByAFwAIgAsACAAXAAiAHIAYQBpAG4AZgBhAGwAbAAgAHoAbwBuAGU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y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CAAKABrAGcAIABOACkAXAAiADsAXABuACAAIAAgACAAIAAgACAAIAAgACAAXAAiAEUARgBfAGwAZQBhAGMAaABcACIALAAgAFwAIg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IAXwAxAF8ANwBfAF8AMgBfAE0AYQBzAHMATwBmAE4AaQB0AHIAbwBnAGUAbgBMAG8AcwB0AFQAbwBMAGUAYQBjAGgAaQBuAGcAQQBuAGQAUgB1AG4AbwBmAGYATwBuAFAAYQBzAHQAdQByAGUAXABuAE0AYQBzAHMAIABvAGYAIABuAGkAdAByAG8AZwBlAG4AIABsAG8AcwB0ACAAdABvACAAbABlAGEAYwBoAGkAbgBnACAAYQBuAGQAIAByAHUAbgBvAGYAZgBcAG4ATQBfAGwAZQBhAGMAaABcAG4AawBnACAATgBcAG4ATQBfAHsAbABlAGEAYwBoAH0APQBBAEUAXABcAHQAaQBtAGUAcwAgAEYAcgBhAGMAVwBlAHQAXABcAHQAaQBtAGUAcwAgAEYAcgBhAGMATABFAEEAQwBIAFwAbgBBAEUAIAA9ACAAdABvAHQAYQBsACAAbQBhAHMAcwAgAG8AZgAgAG4AaQB0AHIAbwBnAGUAbgAgAGUAeABjAHIAZQB0AGUAZAAgAG8AbgAgAFAAUgBQACAAZgBvAHIAIABiAGUAZQBmACAAYwBhAHQAdABsAGUAIAAoAGsAZwAgAE4AKQBcAG4ARgByAGEAYwBXAGUAdAAgAD0AIABmAHIAYQBjAHQAaQBvAG4AIABvAGYAIABOACAAYQB2AGEAaQBsAGEAYgBsAGUAIABmAG8AcgAgAGwAZQBhAGMAaABpAG4AZwAgAGEAbgBkACAAcgB1AG4AbwBmAGYAXABuAEYAcgBhAGMATABFAEEAQwBIACAAPQAgAGYAcgBhAGMAdABpAG8AbgAgAG8AZgAgAGEAbABsACAATgAgAHQAaABhAHQAIABpAHMAIABsAG8AcwB0ACAAdABoAHIAbwB1AGcAaAAgAGwAZQBhAGMAaABpAG4AZwAgAGEAbgBkACAAcgB1AG4AbwBmAGYAXABuAC0ALQAtAC0ALQAtAC0ALQAtAC0ALQAtAC0ALQAtAC0ALQAtAC0ALQAtAC0ALQAtAC0ALQAtAC0ALQAtAC0ALQAtAC0ALQAtAC0ALQBcAG4AKgAvAFwAbgBcAG4AVgBFAEUAUgBHAF8ANABfADIAXwAxAF8ANwBfAF8AMgBfAE0AYQBzAHMATwBmAE4AaQB0AHIAbwBnAGUAbgBMAG8AcwB0AFQAbwBMAGUAYQBjAGgAaQBuAGcAQQBuAGQAUgB1AG4AbwBmAGYATwBuAFAAYQBzAHQAdQByAGUAXABuACAAIAA9AEwAQQBNAEIARABBACgAXABuACAAIAAgACAAQQBFACwAIABGAHIAYQBjAFcAZQB0ACwAIABGAHIAYQBjAEwARQBBAEMASAAsAFwAbgAgACAAIAAgAEEARQAgACoAIABGAHIAYQBjAFcAZQB0ACAAKgAgAEYAcgBhAGMATABFAEEAQwBIAFwAbgAgACAAKQA7AFwAbgBcAG4AVgBFAEUAUgBHAF8ANABfADIAXwAxAF8ANw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BcACIAKQA7AFwAbgBcAG4AVgBFAEUAUgBHAF8ANABfADIAXwAxAF8ANwBfAF8AMgBfAE0AYQBzAHMATwBmAE4AaQB0AHIAbwBnAGUAbgBMAG8AcwB0AFQAbwBMAGUAYQBjAGgAaQBuAGcAQQBuAGQAUgB1AG4AbwBmAGYATwBuAFAAYQBzAHQAdQByAGUAXwBWAGEAcgBpAGEAYgBsAGUAXABuACAAIAA9AEwAQQBNAEIARABBACgAXAAiAE0AXwBsAGUAYQBjAGgAXAAiACkAOwBcAG4AXABuAFYARQBFAFIARwBfADQAXwAyAF8AMQBfADcAXwBfADIAXwBNAGEAcwBzAE8AZgBOAGkAdAByAG8AZwBlAG4ATABvAHMAdABUAG8ATABlAGEAYwBoAGkAbgBnAEEAbgBkAFIAdQBuAG8AZgBmAE8AbgBQAGEAcwB0AHUAcgBlAF8AVQBuAGkAdABcAG4AIAAgAD0ATABBAE0AQgBEAEEAKABcACIAawBnACAATgBcACIAKQA7AFwAbgBcAG4AVgBFAEUAUgBHAF8ANABfADIAXwAxAF8ANwBfAF8AMgBfAE0AYQBzAHMATwBmAE4AaQB0AHIAbwBnAGUAbgBMAG8AcwB0AFQAbwBMAGUAYQBjAGgAaQBuAGcAQQBuAGQAUgB1AG4AbwBmAGYATwBuAFAAYQBzAHQAdQByAGUAXwBTAG8AdQByAGMAZQBcAG4AIAAgAD0ATABBAE0AQgBEAEEAKABcACIAVgBFAEUAUgBHACAAMgAwADIANgA6ACAANAAuADIALgAxAC4ANwAsACAARQBxAHUAYQB0AGkAbwBuACAAKAAyACkAXAAiACkAOwBcAG4AXABuAFYARQBFAFIARwBfADQAXwAyAF8AMQBfADcAXwBfADIAXwBNAGEAcwBzAE8AZgBOAGkAdAByAG8AZwBlAG4ATABvAHMAdABUAG8ATABlAGEAYwBoAGkAbgBnAEEAbgBkAFIAdQBuAG8AZgBmAE8AbgBQAGEAcwB0AHUAcgBlAF8ATgBJAFIAUgBlAGYAZQByAGUAbgBjAGUAXABuACAAIAA9AEwAQQBNAEIARABBACgAXAAiAFwAIgApADsAXABuAFwAbgBWAEUARQBSAEcAXwA0AF8AMgBfADEAXwA3AF8AXwAyAF8ATQBhAHMAcwBPAGYATgBpAHQAcgBvAGcAZQBuAEwAbwBzAHQAVABvAEwAZQBhAGMAaABpAG4AZwBBAG4AZABSAHUAbgBvAGYAZgBPAG4AUABhAHMAdAB1AHIAZQBfAEwAYQB0AGUAeABFAHEAdQBhAHQAaQBvAG4AXABuACAAIAA9AEwAQQBNAEIARABBACgAXAAiAE0AXwB7AGwAZQBhAGMAaAB9AD0AQQBFAFwAXAB0AGkAbQBlAHMAIABGAHIAYQBjAFcAZQB0AFwAXAB0AGkAbQBlAHMAIABGAHIAYQBjAEwARQBBAEMASABcACIAKQA7AFwAbgBcAG4AVgBFAEUAUgBHAF8ANABfADIAXwAxAF8ANwBfAF8AMgBfAE0AYQBzAHMATwBmAE4AaQB0AHIAbwBnAGUAbgBMAG8AcwB0AFQAbwBMAGUAYQBjAGgAaQBuAGcAQQBuAGQAUgB1AG4AbwBmAGYATwBuAFAAYQBzAHQAdQByAGUAXwBBAHIAZwB1AG0AZQBuAHQAcwBcAG4AIAAgAD0ATABBAE0AQgBEAEEAKABcAG4AIAAgACAAIABNAEEASwBFAEEAUgBSAEEAWQAoADY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YAcgBhAGMAVwBlAHQAXAAiACwAIABcACIAZgByAGEAYwB0AGkAbwBuACAAbwBmACAATgAgAGEAdgBhAGkAbABhAGIAbABlACAAZgBvAHIAIABsAGUAYQBjAGgAaQBuAGcAIABhAG4AZAAgAHIAdQBuAG8AZgBmAFwAIgA7AFwAbgAgACAAIAAgACAAIAAgACAAIAAgAFwAIgBGAHIAYQBjAEwARQBBAEMASABcACIALAAgAFwAIgBmAHIAYQBjAHQAaQBvAG4AIABvAGYAIABhAGwAbAAgAE4AIAB0AGgAYQB0ACAAaQBzACAAbABvAHMAdAAgAHQAaAByAG8AdQBnAGgAIABsAGUAYQBjAGgAaQBuAGcAIABhAG4AZAAgAHIAdQBuAG8AZgBmAFwAIgA7AFwAbgAgACAAIAAgACAAIAAgACAAIAAgAFwAIgB6AFwAIgAsACAAXAAiAGwAbwBjAGEAdABpAG8AbgAgAGkAbgAgAGwAZQBhAGMAaABpAG4AZwAgAHoAbwBuAGUAXAAiADsAXABuACAAIAAgACAAIAAgACAAIAAgACAAXAAiAGoAXAAiACwAIABcACIAcAByAG8AZAB1AGMAdABpAG8AbgAgAHMAeQBzAHQAZQBtAFwAIgA7AFwAbgAgACAAIAAgACAAIAAgACAAIAAgAFwAIgBpAHIAXAAiACwAIABcACIAaQByAHIAaQBnAGEAdABpAG8AbgAgAG0AZQB0AGgAbwBk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NAE0AUwBfAFAAYQBzAHQAdQByAGUAQgBlAGUAZgBfAE0AZQB0AGgAYQBuAGUAXwBFAHEAdQBhAHQAaQBvAG4AcwAuAFYARQBFAFIARwBfADQAXwAyAF8AMQBfADEAXwBfADEAXwBUAG8AdABhAGwAQQBuAG4AdQBhAGwATQBlAHQAaABhAG4AZQBQAHIAbwBkAHUAYwB0AGkAbwBuAEYAcgBvAG0ATQBhAG4AdQByAGUATQBhAG4AYQBnAGUAbQBlAG4AdAAiACwAIgBNAE0AUwBfAFAAYQBzAHQAdQByAGUAQgBlAGUAZgBfAE0AZQB0AGgAYQBuAGUAXwBFAHEAdQBhAHQAaQBvAG4AcwAuAFYARQBFAFIARwBfADQAXwAyAF8AMQBfADEAXwBfADEAXwBUAG8AdABhAGwAQQBuAG4AdQBhAGwATQBlAHQAaABhAG4AZQBQAHIAbwBkAHUAYwB0AGkAbwBuAEYAcgBvAG0ATQBhAG4AdQByAGUATQBhAG4AYQBnAGUAbQBlAG4AdABfAFQAaQB0AGwAZQAiACwAIgBNAE0AUwBfAFAAYQBzAHQAdQByAGUAQgBlAGUAZgBfAE0AZQB0AGgAYQBuAGUAXwBFAHEAdQBhAHQAaQBvAG4AcwAuAFYARQBFAFIARwBfADQAXwAyAF8AMQBfADEAXwBfADEAXwBUAG8AdABhAGwAQQBuAG4AdQBhAGwATQBlAHQAaABhAG4AZQBQAHIAbwBkAHUAYwB0AGkAbwBuAEYAcgBvAG0ATQBhAG4AdQByAGUATQBhAG4AYQBnAGUAbQBlAG4AdABfAFYAYQByAGkAYQBiAGwAZQAiACwAIgBNAE0AUwBfAFAAYQBzAHQAdQByAGUAQgBlAGUAZgBfAE0AZQB0AGgAYQBuAGUAXwBFAHEAdQBhAHQAaQBvAG4AcwAuAFYARQBFAFIARwBfADQAXwAyAF8AMQBfADEAXwBfADEAXwBUAG8AdABhAGwAQQBuAG4AdQBhAGwATQBlAHQAaABhAG4AZQBQAHIAbwBkAHUAYwB0AGkAbwBuAEYAcgBvAG0ATQBhAG4AdQByAGUATQBhAG4AYQBnAGUAbQBlAG4AdABfAFUAbgBpAHQAIgAsACIATQBNAFMAXwBQAGEAcwB0AHUAcgBlAEIAZQBlAGYAXwBNAGUAdABoAGEAbgBlAF8ARQBxAHUAYQB0AGkAbwBuAHMALgBWAEUARQBSAEcAXwA0AF8AMgBfADEAXwAxAF8AXwAxAF8AVABvAHQAYQBsAEEAbgBuAHUAYQBsAE0AZQB0AGgAYQBuAGUAUAByAG8AZAB1AGMAdABpAG8AbgBGAHIAbwBtAE0AYQBuAHUAcgBlAE0AYQBuAGEAZwBlAG0AZQBuAHQAXwBTAG8AdQBy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4ASQBSAFIAZQBmAGUAcgBlAG4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ABhAHQAZQB4AEUAcQB1AGEAdABpAG8AbgAiACwAIgBNAE0AUwBfAFAAYQBzAHQAdQByAGUAQgBlAGUAZgBfAE0AZQB0AGgAYQBuAGUAXwBFAHEAdQBhAHQAaQBvAG4AcwAuAFYARQBFAFIARwBfADQAXwAyAF8AMQBfADEAXwBfADEAXwBUAG8AdABhAGwAQQBuAG4AdQBhAGwATQBlAHQAaABhAG4AZQBQAHIAbwBkAHUAYwB0AGkAbwBuAEYAcgBvAG0ATQBhAG4AdQByAGUATQBhAG4AYQBnAGUAbQBlAG4AdABfAEEAcgBnAHUAbQBlAG4AdABzACIALAAiAE0ATQBTAF8AUABhAHMAdAB1AHIAZQBCAGUAZQBmAF8ATQBlAHQAaABhAG4AZQBfAEUAcQB1AGEAdABpAG8AbgBzAC4AVgBFAEUAUgBHAF8ANABfADIAXwAxAF8AMQBfAF8AMgBfAE0AZQB0AGgAYQBuAGUAUAByAG8AZAB1AGMAdABpAG8AbgBGAHIAbwBtAE0AYQBuAHUAcgBlACIALAAiAE0ATQBTAF8AUABhAHMAdAB1AHIAZQBCAGUAZQBmAF8ATQBlAHQAaABhAG4AZQBfAEUAcQB1AGEAdABpAG8AbgBzAC4AVgBFAEUAUgBHAF8ANABfADIAXwAxAF8AMQBfAF8AMgBfAE0AZQB0AGgAYQBuAGUAUAByAG8AZAB1AGMAdABpAG8AbgBGAHIAbwBtAE0AYQBuAHUAcgBlAF8AVABpAHQAbABlACIALAAiAE0ATQBTAF8AUABhAHMAdAB1AHIAZQBCAGUAZQBmAF8ATQBlAHQAaABhAG4AZQBfAEUAcQB1AGEAdABpAG8AbgBzAC4AVgBFAEUAUgBHAF8ANABfADIAXwAxAF8AMQBfAF8AMgBfAE0AZQB0AGgAYQBuAGUAUAByAG8AZAB1AGMAdABpAG8AbgBGAHIAbwBtAE0AYQBuAHUAcgBlAF8AVgBhAHIAaQBhAGIAbABlACIALAAiAE0ATQBTAF8AUABhAHMAdAB1AHIAZQBCAGUAZQBmAF8ATQBlAHQAaABhAG4AZQBfAEUAcQB1AGEAdABpAG8AbgBzAC4AVgBFAEUAUgBHAF8ANABfADIAXwAxAF8AMQBfAF8AMgBfAE0AZQB0AGgAYQBuAGUAUAByAG8AZAB1AGMAdABpAG8AbgBGAHIAbwBtAE0AYQBuAHUAcgBlAF8AVQBuAGkAdAAiACwAIgBNAE0AUwBfAFAAYQBzAHQAdQByAGUAQgBlAGUAZgBfAE0AZQB0AGgAYQBuAGUAXwBFAHEAdQBhAHQAaQBvAG4AcwAuAFYARQBFAFIARwBfADQAXwAyAF8AMQBfADEAXwBfADIAXwBNAGUAdABoAGEAbgBlAFAAcgBvAGQAdQBjAHQAaQBvAG4ARgByAG8AbQBNAGEAbgB1AHIAZQBfAFMAbwB1AHIAYwBlACIALAAiAE0ATQBTAF8AUABhAHMAdAB1AHIAZQBCAGUAZQBmAF8ATQBlAHQAaABhAG4AZQBfAEUAcQB1AGEAdABpAG8AbgBzAC4AVgBFAEUAUgBHAF8ANABfADIAXwAxAF8AMQBfAF8AMgBfAE0AZQB0AGgAYQBuAGUAUAByAG8AZAB1AGMAdABpAG8AbgBGAHIAbwBtAE0AYQBuAHUAcgBlAF8ATgBJAFIAUgBlAGYAZQByAGUAbgBjAGUAIgAsACIATQBNAFMAXwBQAGEAcwB0AHUAcgBlAEIAZQBlAGYAXwBNAGUAdABoAGEAbgBlAF8ARQBxAHUAYQB0AGkAbwBuAHMALgBWAEUARQBSAEcAXwA0AF8AMgBfADEAXwAxAF8AXwAyAF8ATQBlAHQAaABhAG4AZQBQAHIAbwBkAHUAYwB0AGkAbwBuAEYAcgBvAG0ATQBhAG4AdQByAGUAXwBMAGEAdABlAHgARQBxAHUAYQB0AGkAbwBuACIALAAiAE0ATQBTAF8AUABhAHMAdAB1AHIAZQBCAGUAZQBmAF8ATQBlAHQAaABhAG4AZQBfAEUAcQB1AGEAdABpAG8AbgBzAC4AVgBFAEUAUgBHAF8ANABfADIAXwAxAF8AMQBfAF8AMgBfAE0AZQB0AGgAYQBuAGUAUAByAG8AZAB1AGMAdABpAG8AbgBGAHIAbwBtAE0AYQBuAHUAcgBlAF8AQQByAGcAdQBtAGUAbgB0AHMAIgAsACIATQBNAFMAXwBQAGEAcwB0AHUAcgBlAEIAZQBlAGYAXwBNAGUAdABoAGEAbgBlAF8ARQBxAHUAYQB0AGkAbwBuAHMALgBWAEUARQBSAEcAXwA0AF8AMgBfADEAXwAxAF8AXwAyAF8ATQBlAHQAaABhAG4AZQBQAHIAbwBkAHUAYwB0AGkAbwBuAEYAcgBvAG0ATQBhAG4AdQByAGUAXwBBAHIAZwB1AG0AZQBuAHQAcwBfAE0AZQB0AGgAbwBkADIAIgAsACIATQBNAFMAXwBQAGEAcwB0AHUAcgBlAEIAZQBlAGYAXwBNAGUAdABoAGEAbgBlAF8ARQBxAHUAYQB0AGkAbwBuAHMALgBWAEUARQBSAEcAXwA0AF8AMgBfADEAXwAxAF8AXwAzAF8AVgBvAGwAYQB0AGkAbABlAFMAbwBsAGkAZABQAHIAbwBkAHUAYwB0AGkAbwBuAEYAcgBvAG0ARwByAGEAegBpAG4AZwBCAGUAZQBmACIALAAiAE0ATQBTAF8AUABhAHMAdAB1AHIAZQBCAGUAZQBmAF8ATQBlAHQAaABhAG4AZQBfAEUAcQB1AGEAdABpAG8AbgBzAC4AVgBFAEUAUgBHAF8ANABfADIAXwAxAF8AMQBfAF8AMwBfAFYAbwBsAGEAdABpAGwAZQBTAG8AbABpAGQAUAByAG8AZAB1AGMAdABpAG8AbgBGAHIAbwBtAEcAcgBhAHoAaQBuAGcAQgBlAGUAZgBfAFQAaQB0AGwAZQAiACwAIgBNAE0AUwBfAFAAYQBzAHQAdQByAGUAQgBlAGUAZgBfAE0AZQB0AGgAYQBuAGUAXwBFAHEAdQBhAHQAaQBvAG4AcwAuAFYARQBFAFIARwBfADQAXwAyAF8AMQBfADEAXwBfADMAXwBWAG8AbABhAHQAaQBsAGUAUwBvAGwAaQBkAFAAcgBvAGQAdQBjAHQAaQBvAG4ARgByAG8AbQBHAHIAYQB6AGkAbgBnAEIAZQBlAGYAXwBWAGEAcgBpAGEAYgBsAGUAIgAsACIATQBNAFMAXwBQAGEAcwB0AHUAcgBlAEIAZQBlAGYAXwBNAGUAdABoAGEAbgBlAF8ARQBxAHUAYQB0AGkAbwBuAHMALgBWAEUARQBSAEcAXwA0AF8AMgBfADEAXwAxAF8AXwAzAF8AVgBvAGwAYQB0AGkAbABlAFMAbwBsAGkAZABQAHIAbwBkAHUAYwB0AGkAbwBuAEYAcgBvAG0ARwByAGEAegBpAG4AZwBCAGUAZQBmAF8AVQBuAGkAdAAiACwAIgBNAE0AUwBfAFAAYQBzAHQAdQByAGUAQgBlAGUAZgBfAE0AZQB0AGgAYQBuAGUAXwBFAHEAdQBhAHQAaQBvAG4AcwAuAFYARQBFAFIARwBfADQAXwAyAF8AMQBfADEAXwBfADMAXwBWAG8AbABhAHQAaQBsAGUAUwBvAGwAaQBkAFAAcgBvAGQAdQBjAHQAaQBvAG4ARgByAG8AbQBHAHIAYQB6AGkAbgBnAEIAZQBlAGYAXwBTAG8AdQByAGMAZQAiACwAIgBNAE0AUwBfAFAAYQBzAHQAdQByAGUAQgBlAGUAZgBfAE0AZQB0AGgAYQBuAGUAXwBFAHEAdQBhAHQAaQBvAG4AcwAuAFYARQBFAFIARwBfADQAXwAyAF8AMQBfADEAXwBfADMAXwBWAG8AbABhAHQAaQBsAGUAUwBvAGwAaQBkAFAAcgBvAGQAdQBjAHQAaQBvAG4ARgByAG8AbQBHAHIAYQB6AGkAbgBnAEIAZQBlAGYAXwBOAEkAUgBSAGUAZgBlAHIAZQBuAGMAZQAiACwAIgBNAE0AUwBfAFAAYQBzAHQAdQByAGUAQgBlAGUAZgBfAE0AZQB0AGgAYQBuAGUAXwBFAHEAdQBhAHQAaQBvAG4AcwAuAFYARQBFAFIARwBfADQAXwAyAF8AMQBfADEAXwBfADMAXwBWAG8AbABhAHQAaQBsAGUAUwBvAGwAaQBkAFAAcgBvAGQAdQBjAHQAaQBvAG4ARgByAG8AbQBHAHIAYQB6AGkAbgBnAEIAZQBlAGYAXwBMAGEAdABlAHgARQBxAHUAYQB0AGkAbwBuACIALAAiAE0ATQBTAF8AUABhAHMAdAB1AHIAZQBCAGUAZQBmAF8ATQBlAHQAaABhAG4AZQBfAEUAcQB1AGEAdABpAG8AbgBzAC4AVgBFAEUAUgBHAF8ANABfADIAXwAxAF8AMQBfAF8AMwBfAFYAbwBsAGEAdABpAGwAZQBTAG8AbABpAGQAUAByAG8AZAB1AGMAdABpAG8AbgBGAHIAbwBtAEcAcgBhAHoAaQBuAGcAQgBlAGUAZgBfAEEAcgBnAHUAbQBlAG4AdABz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E0ATQBTAF8AUABhAHMAdAB1AHIAZQBCAGUAZQBmAF8AUwBvAGkAbABfAE4AMgBPAEQAaQByAGUAYwB0AF8ARQBxAHUAYQB0AGkAbwBuAHMALgBWAEUARQBSAEcAXwA0AF8AMgBfADEAXwAzAF8AXwAxAF8ARABpAHIAZQBjAHQATgBpAHQAcgBvAHUAcwBPAHgAaQBkAGUARQBtAGkAcwBzAGkAbwBuAHMATwBuAFAAYQBzAHQAdQByAGUAIgAsACIATQBNAFMAXwBQAGEAcwB0AHUAcgBlAEIAZQBlAGYAXwBTAG8AaQBsAF8ATgAyAE8ARABpAHIAZQBjAHQAXwBFAHEAdQBhAHQAaQBvAG4AcwAuAFYARQBFAFIARwBfADQAXwAyAF8AMQBfADMAXwBfADEAXwBEAGkAcgBlAGMAdABOAGkAdAByAG8AdQBzAE8AeABpAGQAZQBFAG0AaQBzAHMAaQBvAG4AcwBPAG4AUABhAHMAdAB1AHIAZQBfAFQAaQB0AGwAZQAiACwAIgBNAE0AUwBfAFAAYQBzAHQAdQByAGUAQgBlAGUAZgBfAFMAbwBpAGwAXwBOADIATwBEAGkAcgBlAGMAdABfAEUAcQB1AGEAdABpAG8AbgBzAC4AVgBFAEUAUgBHAF8ANABfADIAXwAxAF8AMwBfAF8AMQBfAEQAaQByAGUAYwB0AE4AaQB0AHIAbwB1AHMATwB4AGkAZABlAEUAbQBpAHMAcwBpAG8AbgBzAE8AbgBQAGEAcwB0AHUAcgBlAF8AVgBhAHIAaQBhAGIAbABlACIALAAiAE0ATQBTAF8AUABhAHMAdAB1AHIAZQBCAGUAZQBmAF8AUwBvAGkAbABfAE4AMgBPAEQAaQByAGUAYwB0AF8ARQBxAHUAYQB0AGkAbwBuAHMALgBWAEUARQBSAEcAXwA0AF8AMgBfADEAXwAzAF8AXwAxAF8ARABpAHIAZQBjAHQATgBpAHQAcgBvAHUAcwBPAHgAaQBkAGUARQBtAGkAcwBzAGkAbwBuAHMATwBuAFAAYQBzAHQAdQByAGUAXwBVAG4AaQB0ACIALAAiAE0ATQBTAF8AUABhAHMAdAB1AHIAZQBCAGUAZQBmAF8AUwBvAGkAbABfAE4AMgBPAEQAaQByAGUAYwB0AF8ARQBxAHUAYQB0AGkAbwBuAHMALgBWAEUARQBSAEcAXwA0AF8AMgBfADEAXwAzAF8AXwAxAF8ARABpAHIAZQBjAHQATgBpAHQAcgBvAHUAcwBPAHgAaQBkAGUARQBtAGkAcwBzAGkAbwBuAHMATwBuAFAAYQBzAHQAdQByAGUAXwBTAG8AdQByAGMAZQAiACwAIgBNAE0AUwBfAFAAYQBzAHQAdQByAGUAQgBlAGUAZgBfAFMAbwBpAGwAXwBOADIATwBEAGkAcgBlAGMAdABfAEUAcQB1AGEAdABpAG8AbgBzAC4AVgBFAEUAUgBHAF8ANABfADIAXwAxAF8AMwBfAF8AMQBfAEQAaQByAGUAYwB0AE4AaQB0AHIAbwB1AHMATwB4AGkAZABlAEUAbQBpAHMAcwBpAG8AbgBzAE8AbgBQAGEAcwB0AHUAcgBlAF8ATgBJAFIAUgBlAGYAZQByAGUAbgBjAGUAIgAsACIATQBNAFMAXwBQAGEAcwB0AHUAcgBlAEIAZQBlAGYAXwBTAG8AaQBsAF8ATgAyAE8ARABpAHIAZQBjAHQAXwBFAHEAdQBhAHQAaQBvAG4AcwAuAFYARQBFAFIARwBfADQAXwAyAF8AMQBfADMAXwBfADEAXwBEAGkAcgBlAGMAdABOAGkAdAByAG8AdQBzAE8AeABpAGQAZQBFAG0AaQBzAHMAaQBvAG4AcwBPAG4AUABhAHMAdAB1AHIAZQBfAEwAYQB0AGUAeABFAHEAdQBhAHQAaQBvAG4AIgAsACIATQBNAFMAXwBQAGEAcwB0AHUAcgBlAEIAZQBlAGYAXwBTAG8AaQBsAF8ATgAyAE8ARABpAHIAZQBjAHQAXwBFAHEAdQBhAHQAaQBvAG4AcwAuAFYARQBFAFIARwBfADQAXwAyAF8AMQBfADMAXwBfADEAXwBEAGkAcgBlAGMAdABOAGkAdAByAG8AdQBzAE8AeABpAGQAZQBFAG0AaQBzAHMAaQBvAG4AcwBPAG4AUABhAHMAdAB1AHIAZQBfAEEAcgBnAHUAbQBlAG4AdABz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QAaQB0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gBhAHIAaQBhAGI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VAG4AaQB0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TAG8AdQBy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gBJAFIAUgBlAGYAZQByAGUAb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wAYQB0AGUAeABFAHEAdQBhAHQAaQBvAG4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EAcgBnAHUAbQBlAG4AdABzACIALAAiAE0ATQBTAF8AUABhAHMAdAB1AHIAZQBCAGUAZQBmAF8AUwBvAGkAbABfAE4AMgBPAEQAaQByAGUAYwB0AF8ARQBxAHUAYQB0AGkAbwBuAHMALgBWAEUARQBSAEcAXwA0AF8AMgBfADEAXwAzAF8AXwAzAF8ATgBpAHQAcgBvAGcAZQBuAEUAeABjAHIAZQB0AGUAZAAiACwAIgBNAE0AUwBfAFAAYQBzAHQAdQByAGUAQgBlAGUAZgBfAFMAbwBpAGwAXwBOADIATwBEAGkAcgBlAGMAdABfAEUAcQB1AGEAdABpAG8AbgBzAC4AVgBFAEUAUgBHAF8ANABfADIAXwAxAF8AMwBfAF8AMwBfAE4AaQB0AHIAbwBnAGUAbgBFAHgAYwByAGUAdABlAGQAXwBUAGkAdABsAGUAIgAsACIATQBNAFMAXwBQAGEAcwB0AHUAcgBlAEIAZQBlAGYAXwBTAG8AaQBsAF8ATgAyAE8ARABpAHIAZQBjAHQAXwBFAHEAdQBhAHQAaQBvAG4AcwAuAFYARQBFAFIARwBfADQAXwAyAF8AMQBfADMAXwBfADMAXwBOAGkAdAByAG8AZwBlAG4ARQB4AGMAcgBlAHQAZQBkAF8AVgBhAHIAaQBhAGIAbABlACIALAAiAE0ATQBTAF8AUABhAHMAdAB1AHIAZQBCAGUAZQBmAF8AUwBvAGkAbABfAE4AMgBPAEQAaQByAGUAYwB0AF8ARQBxAHUAYQB0AGkAbwBuAHMALgBWAEUARQBSAEcAXwA0AF8AMgBfADEAXwAzAF8AXwAzAF8ATgBpAHQAcgBvAGcAZQBuAEUAeABjAHIAZQB0AGUAZABfAFUAbgBpAHQAIgAsACIATQBNAFMAXwBQAGEAcwB0AHUAcgBlAEIAZQBlAGYAXwBTAG8AaQBsAF8ATgAyAE8ARABpAHIAZQBjAHQAXwBFAHEAdQBhAHQAaQBvAG4AcwAuAFYARQBFAFIARwBfADQAXwAyAF8AMQBfADMAXwBfADMAXwBOAGkAdAByAG8AZwBlAG4ARQB4AGMAcgBlAHQAZQBkAF8AUwBvAHUAcgBjAGUAIgAsACIATQBNAFMAXwBQAGEAcwB0AHUAcgBlAEIAZQBlAGYAXwBTAG8AaQBsAF8ATgAyAE8ARABpAHIAZQBjAHQAXwBFAHEAdQBhAHQAaQBvAG4AcwAuAFYARQBFAFIARwBfADQAXwAyAF8AMQBfADMAXwBfADMAXwBOAGkAdAByAG8AZwBlAG4ARQB4AGMAcgBlAHQAZQBkAF8ATgBJAFIAUgBlAGYAZQByAGUAbgBjAGUAIgAsACIATQBNAFMAXwBQAGEAcwB0AHUAcgBlAEIAZQBlAGYAXwBTAG8AaQBsAF8ATgAyAE8ARABpAHIAZQBjAHQAXwBFAHEAdQBhAHQAaQBvAG4AcwAuAFYARQBFAFIARwBfADQAXwAyAF8AMQBfADMAXwBfADMAXwBOAGkAdAByAG8AZwBlAG4ARQB4AGMAcgBlAHQAZQBkAF8ATABhAHQAZQB4AEUAcQB1AGEAdABpAG8AbgAiACwAIgBNAE0AUwBfAFAAYQBzAHQAdQByAGUAQgBlAGUAZgBfAFMAbwBpAGwAXwBOADIATwBEAGkAcgBlAGMAdABfAEUAcQB1AGEAdABpAG8AbgBzAC4AVgBFAEUAUgBHAF8ANABfADIAXwAxAF8AMwBfAF8AMwBfAE4AaQB0AHIAbwBnAGUAbgBFAHgAYwByAGUAdABlAGQAXwBBAHIAZwB1AG0AZQBuAHQAcwAiACwAIgBNAE0AUwBfAFAAYQBzAHQAdQByAGUAQgBlAGUAZgBfAFMAbwBpAGwAXwBOADIATwBEAGkAcgBlAGMAdABfAEUAcQB1AGEAdABpAG8AbgBzAC4AVgBFAEUAUgBHAF8ANABfADIAXwAxAF8AMwBfAF8ANABfAE4AaQB0AHIAbwBnAGUAbgBSAGUAdABhAGkAbgBlAGQAQgB5AEIAbwBkAHkAIgAsACIATQBNAFMAXwBQAGEAcwB0AHUAcgBlAEIAZQBlAGYAXwBTAG8AaQBsAF8ATgAyAE8ARABpAHIAZQBjAHQAXwBFAHEAdQBhAHQAaQBvAG4AcwAuAFYARQBFAFIARwBfADQAXwAyAF8AMQBfADMAXwBfADQAXwBOAGkAdAByAG8AZwBlAG4AUgBlAHQAYQBpAG4AZQBkAEIAeQBCAG8AZAB5AF8AVABpAHQAbABlACIALAAiAE0ATQBTAF8AUABhAHMAdAB1AHIAZQBCAGUAZQBmAF8AUwBvAGkAbABfAE4AMgBPAEQAaQByAGUAYwB0AF8ARQBxAHUAYQB0AGkAbwBuAHMALgBWAEUARQBSAEcAXwA0AF8AMgBfADEAXwAzAF8AXwA0AF8ATgBpAHQAcgBvAGcAZQBuAFIAZQB0AGEAaQBuAGUAZABCAHkAQgBvAGQAeQBfAFYAYQByAGkAYQBiAGwAZQAiACwAIgBNAE0AUwBfAFAAYQBzAHQAdQByAGUAQgBlAGUAZgBfAFMAbwBpAGwAXwBOADIATwBEAGkAcgBlAGMAdABfAEUAcQB1AGEAdABpAG8AbgBzAC4AVgBFAEUAUgBHAF8ANABfADIAXwAxAF8AMwBfAF8ANABfAE4AaQB0AHIAbwBnAGUAbgBSAGUAdABhAGkAbgBlAGQAQgB5AEIAbwBkAHkAXwBVAG4AaQB0ACIALAAiAE0ATQBTAF8AUABhAHMAdAB1AHIAZQBCAGUAZQBmAF8AUwBvAGkAbABfAE4AMgBPAEQAaQByAGUAYwB0AF8ARQBxAHUAYQB0AGkAbwBuAHMALgBWAEUARQBSAEcAXwA0AF8AMgBfADEAXwAzAF8AXwA0AF8ATgBpAHQAcgBvAGcAZQBuAFIAZQB0AGEAaQBuAGUAZABCAHkAQgBvAGQAeQBfAFMAbwB1AHIAYwBlACIALAAiAE0ATQBTAF8AUABhAHMAdAB1AHIAZQBCAGUAZQBmAF8AUwBvAGkAbABfAE4AMgBPAEQAaQByAGUAYwB0AF8ARQBxAHUAYQB0AGkAbwBuAHMALgBWAEUARQBSAEcAXwA0AF8AMgBfADEAXwAzAF8AXwA0AF8ATgBpAHQAcgBvAGcAZQBuAFIAZQB0AGEAaQBuAGUAZABCAHkAQgBvAGQAeQBfAE4ASQBSAFIAZQBmAGUAcgBlAG4AYwBlACIALAAiAE0ATQBTAF8AUABhAHMAdAB1AHIAZQBCAGUAZQBmAF8AUwBvAGkAbABfAE4AMgBPAEQAaQByAGUAYwB0AF8ARQBxAHUAYQB0AGkAbwBuAHMALgBWAEUARQBSAEcAXwA0AF8AMgBfADEAXwAzAF8AXwA0AF8ATgBpAHQAcgBvAGcAZQBuAFIAZQB0AGEAaQBuAGUAZABCAHkAQgBvAGQAeQBfAEwAYQB0AGUAeABFAHEAdQBhAHQAaQBvAG4AIgAsACIATQBNAFMAXwBQAGEAcwB0AHUAcgBlAEIAZQBlAGYAXwBTAG8AaQBsAF8ATgAyAE8ARABpAHIAZQBjAHQAXwBFAHEAdQBhAHQAaQBvAG4AcwAuAFYARQBFAFIARwBfADQAXwAyAF8AMQBfADMAXwBfADQAXwBOAGkAdAByAG8AZwBlAG4AUgBlAHQAYQBpAG4AZQBkAEIAeQBCAG8AZAB5AF8AQQByAGcAdQBtAGUAbgB0AHMAIgAsACIATQBNAFMAXwBQAGEAcwB0AHUAcgBlAEIAZQBlAGYAXwBTAG8AaQBsAF8ATgAyAE8ARABpAHIAZQBjAHQAXwBFAHEAdQBhAHQAaQBvAG4AcwAuAFYARQBFAFIARwBfADQAXwAyAF8AMQBfADMAXwBfADUAXwBNAGkAbABrAFAAcgBvAGQAdQBjAHQAaQBvAG4ARgBvAHIAQwBhAGwAdgBpAG4AZwBTAGUAYQBzAG8AbgAiACwAIgBNAE0AUwBfAFAAYQBzAHQAdQByAGUAQgBlAGUAZgBfAFMAbwBpAGwAXwBOADIATwBEAGkAcgBlAGMAdABfAEUAcQB1AGEAdABpAG8AbgBzAC4AVgBFAEUAUgBHAF8ANABfADIAXwAxAF8AMwBfAF8ANQBfAE0AaQBsAGsAUAByAG8AZAB1AGMAdABpAG8AbgBGAG8AcgBDAGEAbAB2AGkAbgBnAFMAZQBhAHMAbwBuAFYAYQByAGkAYQB0AGkAbwBuACIALAAiAE0ATQBTAF8AUABhAHMAdAB1AHIAZQBCAGUAZQBmAF8AUwBvAGkAbABfAE4AMgBPAEQAaQByAGUAYwB0AF8ARQBxAHUAYQB0AGkAbwBuAHMALgBWAEUARQBSAEcAXwA0AF8AMgBfADEAXwAzAF8AXwA1AF8ATQBpAGwAawBQAHIAbwBkAHUAYwB0AGkAbwBuAEYAbwByAEMAYQBsAHYAaQBuAGcAUwBlAGEAcwBvAG4AXwBUAGkAdABsAGUAIgAsACIATQBNAFMAXwBQAGEAcwB0AHUAcgBlAEIAZQBlAGYAXwBTAG8AaQBsAF8ATgAyAE8ARABpAHIAZQBjAHQAXwBFAHEAdQBhAHQAaQBvAG4AcwAuAFYARQBFAFIARwBfADQAXwAyAF8AMQBfADMAXwBfADUAXwBNAGkAbABrAFAAcgBvAGQAdQBjAHQAaQBvAG4ARgBvAHIAQwBhAGwAdgBpAG4AZwBTAGUAYQBzAG8AbgBfAFYAYQByAGkAYQBiAGwAZQAiACwAIgBNAE0AUwBfAFAAYQBzAHQAdQByAGUAQgBlAGUAZgBfAFMAbwBpAGwAXwBOADIATwBEAGkAcgBlAGMAdABfAEUAcQB1AGEAdABpAG8AbgBzAC4AVgBFAEUAUgBHAF8ANABfADIAXwAxAF8AMwBfAF8ANQBfAE0AaQBsAGsAUAByAG8AZAB1AGMAdABpAG8AbgBGAG8AcgBDAGEAbAB2AGkAbgBnAFMAZQBhAHMAbwBuAF8AVQBuAGkAdAAiACwAIgBNAE0AUwBfAFAAYQBzAHQAdQByAGUAQgBlAGUAZgBfAFMAbwBpAGwAXwBOADIATwBEAGkAcgBlAGMAdABfAEUAcQB1AGEAdABpAG8AbgBzAC4AVgBFAEUAUgBHAF8ANABfADIAXwAxAF8AMwBfAF8ANQBfAE0AaQBsAGsAUAByAG8AZAB1AGMAdABpAG8AbgBGAG8AcgBDAGEAbAB2AGkAbgBnAFMAZQBhAHMAbwBuAF8AUwBvAHUAcgBjAGUAIgAsACIATQBNAFMAXwBQAGEAcwB0AHUAcgBlAEIAZQBlAGYAXwBTAG8AaQBsAF8ATgAyAE8ARABpAHIAZQBjAHQAXwBFAHEAdQBhAHQAaQBvAG4AcwAuAFYARQBFAFIARwBfADQAXwAyAF8AMQBfADMAXwBfADUAXwBNAGkAbABrAFAAcgBvAGQAdQBjAHQAaQBvAG4ARgBvAHIAQwBhAGwAdgBpAG4AZwBTAGUAYQBzAG8AbgBfAE4ASQBSAFIAZQBmAGUAcgBlAG4AYwBlACIALAAiAE0ATQBTAF8AUABhAHMAdAB1AHIAZQBCAGUAZQBmAF8AUwBvAGkAbABfAE4AMgBPAEQAaQByAGUAYwB0AF8ARQBxAHUAYQB0AGkAbwBuAHMALgBWAEUARQBSAEcAXwA0AF8AMgBfADEAXwAzAF8AXwA1AF8ATQBpAGwAawBQAHIAbwBkAHUAYwB0AGkAbwBuAEYAbwByAEMAYQBsAHYAaQBuAGcAUwBlAGEAcwBvAG4AXwBMAGEAdABlAHgARQBxAHUAYQB0AGkAbwBuACIALAAiAE0ATQBTAF8AUABhAHMAdAB1AHIAZQBCAGUAZQBmAF8AUwBvAGkAbABfAE4AMgBPAEQAaQByAGUAYwB0AF8ARQBxAHUAYQB0AGkAbwBuAHMALgBWAEUARQBSAEcAXwA0AF8AMgBfADEAXwAzAF8AXwA1AF8ATQBpAGwAawBQAHIAbwBkAHUAYwB0AGkAbwBuAEYAbwByAEMAYQBsAHYAaQBuAGcAUwBlAGEAcwBvAG4AXwBMAGEAdABlAHgARQBxAHUAYQB0AGkAbwBuAFYAYQByAGkAYQB0AGkAbwBuACIALAAiAE0ATQBTAF8AUABhAHMAdAB1AHIAZQBCAGUAZQBmAF8AUwBvAGkAbABfAE4AMgBPAEQAaQByAGUAYwB0AF8ARQBxAHUAYQB0AGkAbwBuAHMALgBWAEUARQBSAEcAXwA0AF8AMgBfADEAXwAzAF8AXwA1AF8ATQBpAGwAawBQAHIAbwBkAHUAYwB0AGkAbwBuAEYAbwByAEMAYQBsAHYAaQBuAGcAUwBlAGEAcwBvAG4AXwBBAHIAZwB1AG0AZQBuAHQAcwAiACwAIgBNAE0AUwBfAFAAYQBzAHQAdQByAGUAQgBlAGUAZgBfAFMAbwBpAGwAXwBOADIATwBEAGkAcgBlAGMAdABfAEUAcQB1AGEAdABpAG8AbgBzAC4AVgBFAEUAUgBHAF8ANABfADIAXwAxAF8AMwBfAF8ANQBfAE0AaQBsAGsAUAByAG8AZAB1AGMAdABpAG8AbgBGAG8AcgBDAGEAbAB2AGkAbgBnAFMAZQBhAHMAbwBuAF8AQQByAGcAdQBtAGUAbgB0AHMAVgBhAHIAaQBhAHQAaQBvAG4AIgAsACIATQBNAFMAXwBQAGEAcwB0AHUAcgBlAEIAZQBlAGYAXwBTAG8AaQBsAF8ATgAyAE8ARABpAHIAZQBjAHQAXwBFAHEAdQBhAHQAaQBvAG4AcwAuAFYARQBFAFIARwBfADQAXwAyAF8AMQBfADMAXwBfADUAXwBNAGkAbABrAFAAcgBvAGQAdQBjAHQAaQBvAG4ARgBvAHIAQwBhAGwAdgBpAG4AZwBTAGUAYQBzAG8AbgBfAFYAYQByAGkAYQB0AGkAbwBuACIALAAiAE0ATQBTAF8AUABhAHMAdAB1AHIAZQBCAGUAZQBmAF8AUwBvAGkAbABfAE4AMgBPAEQAaQByAGUAYwB0AF8ARQBxAHUAYQB0AGkAbwBuAHMALgBWAEUARQBSAEcAXwA0AF8AMgBfADEAXwAzAF8AXwA2AF8ASQBuAHQAYQBrAGUAUgBlAGwAYQB0AGkAdgBlAFQAbwBNAGEAaQBuAHQAZQBuAGEAbgBjAGUAIgAsACIATQBNAFMAXwBQAGEAcwB0AHUAcgBlAEIAZQBlAGYAXwBTAG8AaQBsAF8ATgAyAE8ARABpAHIAZQBjAHQAXwBFAHEAdQBhAHQAaQBvAG4AcwAuAFYARQBFAFIARwBfADQAXwAyAF8AMQBfADMAXwBfADYAXwBJAG4AdABhAGsAZQBSAGUAbABhAHQAaQB2AGUAVABvAE0AYQBpAG4AdABlAG4AYQBuAGMAZQBfAFQAaQB0AGwAZQAiACwAIgBNAE0AUwBfAFAAYQBzAHQAdQByAGUAQgBlAGUAZgBfAFMAbwBpAGwAXwBOADIATwBEAGkAcgBlAGMAdABfAEUAcQB1AGEAdABpAG8AbgBzAC4AVgBFAEUAUgBHAF8ANABfADIAXwAxAF8AMwBfAF8ANgBfAEkAbgB0AGEAawBlAFIAZQBsAGEAdABpAHYAZQBUAG8ATQBhAGkAbgB0AGUAbgBhAG4AYwBlAF8AVgBhAHIAaQBhAGIAbABlACIALAAiAE0ATQBTAF8AUABhAHMAdAB1AHIAZQBCAGUAZQBmAF8AUwBvAGkAbABfAE4AMgBPAEQAaQByAGUAYwB0AF8ARQBxAHUAYQB0AGkAbwBuAHMALgBWAEUARQBSAEcAXwA0AF8AMgBfADEAXwAzAF8AXwA2AF8ASQBuAHQAYQBrAGUAUgBlAGwAYQB0AGkAdgBlAFQAbwBNAGEAaQBuAHQAZQBuAGEAbgBjAGUAXwBVAG4AaQB0ACIALAAiAE0ATQBTAF8AUABhAHMAdAB1AHIAZQBCAGUAZQBmAF8AUwBvAGkAbABfAE4AMgBPAEQAaQByAGUAYwB0AF8ARQBxAHUAYQB0AGkAbwBuAHMALgBWAEUARQBSAEcAXwA0AF8AMgBfADEAXwAzAF8AXwA2AF8ASQBuAHQAYQBrAGUAUgBlAGwAYQB0AGkAdgBlAFQAbwBNAGEAaQBuAHQAZQBuAGEAbgBjAGUAXwBTAG8AdQByAGMAZQAiACwAIgBNAE0AUwBfAFAAYQBzAHQAdQByAGUAQgBlAGUAZgBfAFMAbwBpAGwAXwBOADIATwBEAGkAcgBlAGMAdABfAEUAcQB1AGEAdABpAG8AbgBzAC4AVgBFAEUAUgBHAF8ANABfADIAXwAxAF8AMwBfAF8ANgBfAEkAbgB0AGEAawBlAFIAZQBsAGEAdABpAHYAZQBUAG8ATQBhAGkAbgB0AGUAbgBhAG4AYwBlAF8ATgBJAFIAUgBlAGYAZQByAGUAbgBjAGUAIgAsACIATQBNAFMAXwBQAGEAcwB0AHUAcgBlAEIAZQBlAGYAXwBTAG8AaQBsAF8ATgAyAE8ARABpAHIAZQBjAHQAXwBFAHEAdQBhAHQAaQBvAG4AcwAuAFYARQBFAFIARwBfADQAXwAyAF8AMQBfADMAXwBfADYAXwBJAG4AdABhAGsAZQBSAGUAbABhAHQAaQB2AGUAVABvAE0AYQBpAG4AdABlAG4AYQBuAGMAZQBfAEwAYQB0AGUAeABFAHEAdQBhAHQAaQBvAG4AIgAsACIATQBNAFMAXwBQAGEAcwB0AHUAcgBlAEIAZQBlAGYAXwBTAG8AaQBsAF8ATgAyAE8ARABpAHIAZQBjAHQAXwBFAHEAdQBhAHQAaQBvAG4AcwAuAFYARQBFAFIARwBfADQAXwAyAF8AMQBfADMAXwBfADYAXwBJAG4AdABhAGsAZQBSAGUAbABhAHQAaQB2AGUAVABvAE0AYQBpAG4AdABlAG4AYQBuAGMAZQBfAEEAcgBnAHUAbQBlAG4AdABzACIALAAiAE0ATQBTAF8AUABhAHMAdAB1AHIAZQBCAGUAZQBmAF8AUwBvAGkAbABfAE4AMgBPAEQAaQByAGUAYwB0AF8ARQBxAHUAYQB0AGkAbwBuAHMALgBWAEUARQBSAEcAXwA0AF8AMgBfADEAXwAzAF8AXwA3AF8AUgBlAGwAYQB0AGkAdgBlAFMAaQB6AGUAIgAsACIATQBNAFMAXwBQAGEAcwB0AHUAcgBlAEIAZQBlAGYAXwBTAG8AaQBsAF8ATgAyAE8ARABpAHIAZQBjAHQAXwBFAHEAdQBhAHQAaQBvAG4AcwAuAFYARQBFAFIARwBfADQAXwAyAF8AMQBfADMAXwBfADcAXwBSAGUAbABhAHQAaQB2AGUAUwBpAHoAZQBfAFQAaQB0AGwAZQAiACwAIgBNAE0AUwBfAFAAYQBzAHQAdQByAGUAQgBlAGUAZgBfAFMAbwBpAGwAXwBOADIATwBEAGkAcgBlAGMAdABfAEUAcQB1AGEAdABpAG8AbgBzAC4AVgBFAEUAUgBHAF8ANABfADIAXwAxAF8AMwBfAF8ANwBfAFIAZQBsAGEAdABpAHYAZQBTAGkAegBlAF8AVgBhAHIAaQBhAGIAbABlACIALAAiAE0ATQBTAF8AUABhAHMAdAB1AHIAZQBCAGUAZQBmAF8AUwBvAGkAbABfAE4AMgBPAEQAaQByAGUAYwB0AF8ARQBxAHUAYQB0AGkAbwBuAHMALgBWAEUARQBSAEcAXwA0AF8AMgBfADEAXwAzAF8AXwA3AF8AUgBlAGwAYQB0AGkAdgBlAFMAaQB6AGUAXwBVAG4AaQB0ACIALAAiAE0ATQBTAF8AUABhAHMAdAB1AHIAZQBCAGUAZQBmAF8AUwBvAGkAbABfAE4AMgBPAEQAaQByAGUAYwB0AF8ARQBxAHUAYQB0AGkAbwBuAHMALgBWAEUARQBSAEcAXwA0AF8AMgBfADEAXwAzAF8AXwA3AF8AUgBlAGwAYQB0AGkAdgBlAFMAaQB6AGUAXwBTAG8AdQByAGMAZQAiACwAIgBNAE0AUwBfAFAAYQBzAHQAdQByAGUAQgBlAGUAZgBfAFMAbwBpAGwAXwBOADIATwBEAGkAcgBlAGMAdABfAEUAcQB1AGEAdABpAG8AbgBzAC4AVgBFAEUAUgBHAF8ANABfADIAXwAxAF8AMwBfAF8ANwBfAFIAZQBsAGEAdABpAHYAZQBTAGkAegBlAF8ATgBJAFIAUgBlAGYAZQByAGUAbgBjAGUAIgAsACIATQBNAFMAXwBQAGEAcwB0AHUAcgBlAEIAZQBlAGYAXwBTAG8AaQBsAF8ATgAyAE8ARABpAHIAZQBjAHQAXwBFAHEAdQBhAHQAaQBvAG4AcwAuAFYARQBFAFIARwBfADQAXwAyAF8AMQBfADMAXwBfADcAXwBSAGUAbABhAHQAaQB2AGUAUwBpAHoAZQBfAEwAYQB0AGUAeABFAHEAdQBhAHQAaQBvAG4AIgAsACIATQBNAFMAXwBQAGEAcwB0AHUAcgBlAEIAZQBlAGYAXwBTAG8AaQBsAF8ATgAyAE8ARABpAHIAZQBjAHQAXwBFAHEAdQBhAHQAaQBvAG4AcwAuAFYARQBFAFIARwBfADQAXwAyAF8AMQBfADMAXwBfADcAXwBSAGUAbABhAHQAaQB2AGUAUwBpAHoAZQBfAEEAcgBnAHUAbQBlAG4AdABz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UAGkAdA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gBhAHIAaQBhAGI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UAbgBpAHQ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UwBvAHUAcgBj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TgBJAFIAUgBlAGYAZQByAGUAbgBj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TABhAHQAZQB4AEUAcQB1AGEAdABpAG8Abg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BAHIAZwB1AG0AZQBuAHQAcw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ABpAHQ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YAYQByAGkAYQBi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VAG4AaQB0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MAbwB1AHIAYw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4ASQBSAFIAZQBmAGUAcgBlAG4AYw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wAYQB0AGUAeABFAHEAdQBhAHQAaQBvAG4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QQByAGcAdQBtAGUAbgB0AHM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QAaQB0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WAGEAcgBpAGEAYg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QBuAGkAdA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TAG8AdQByAGM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OAEkAUgBSAGUAZgBlAHIAZQBuAGM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MAGEAdABlAHgARQBxAHUAYQB0AGkAbwBu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EAcgBnAHUAbQBlAG4AdABz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ABpAHQAbA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gBhAHIAaQBhAGIAbA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QBuAGkAdA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MAbwB1AHI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gBJAFIAUgBlAGYAZQByAGUAb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MAGEAdABlAHgARQBxAHUAYQB0AGkAbwBu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Home</vt:lpstr>
      <vt:lpstr>Results</vt:lpstr>
      <vt:lpstr>Input - Site</vt:lpstr>
      <vt:lpstr>Input - Pasture Beef</vt:lpstr>
      <vt:lpstr>4.2.1.1-2 Methane</vt:lpstr>
      <vt:lpstr>4.2.1.3-4 Soil direct N20</vt:lpstr>
      <vt:lpstr>4.2.1.5-6 Soil Atmos Dep</vt:lpstr>
      <vt:lpstr>4.2.1.7-8 Soil leach runoff</vt:lpstr>
      <vt:lpstr>Constants - Pature Beef</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2026-05-28T08:00:30Z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