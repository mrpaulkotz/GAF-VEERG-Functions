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3A7650C-29DE-4062-87CC-B0E7F36F9862}" xr6:coauthVersionLast="47" xr6:coauthVersionMax="47" xr10:uidLastSave="{00000000-0000-0000-0000-000000000000}"/>
  <bookViews>
    <workbookView xWindow="75" yWindow="300" windowWidth="37035" windowHeight="19020" activeTab="1"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_xlfn.LAMBDA(_xlfn.MAKEARRAY(7,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classes j=3,5","kg CH4/head/day","Calculated from 3.3.1.1 (2)";"D_j35","duration of stay on the farm for classes j=3,5","days","Input";"MPW_ENTERIC_j35","daily methane production for pre-weaned heifer and bull calves","kg CH4/head/day","Constant"}, _xlpm.r, _xlpm.c))))</definedName>
    <definedName name="EntericMethane_Dairy_Equations.VEERG_3_3_1_1__1_TotalAnnualMethaneFromEntericFermentation_LatexEquation">_xlfn.LAMBDA("E_{enteric}=((N_{j=1,2,4}\times M_{j=1,2,4}\times D_{j=1,2,4})+(N_{j=3,5}\times M_{j=3,5}\times D_{j=3,5})+(N_{j=3,5}\times MPW_{ENTERIC,j=3,5}\times D_{j=3,5}))\times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_xlfn.LAMBDA(_xlfn.MAKEARRAY(5, 4, _xlfn.LAMBDA(_xlpm.r,_xlpm.c, INDEX({"MP_j","milk production","L/head/day","Input";"NE","net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_xlfn.LAMBDA(_xlfn.MAKEARRAY(3, 4, _xlfn.LAMBDA(_xlpm.r,_xlpm.c, INDEX({"MS_j","daily production of milk solids","kg MS/head/day","Input";"FC_j","fat content in fat and protein corrected milk","per cent","XXXX";"PC_j","protein content in fat and protein corrected milk","per cent","XXXX"}, _xlpm.r, _xlpm.c))))</definedName>
    <definedName name="EntericMethane_Dairy_Equations.VEERG_3_3_1_1__5_MilkProductionFromMilkSolids_LatexEquation">_xlfn.LAMBDA("MP_j=MS_j/(0.01\times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_xlfn.LAMBDA(_xlfn.MAKEARRAY(4, 4, _xlfn.LAMBDA(_xlpm.r,_xlpm.c, INDEX({"MP_j","milk production","L/head/day","Input";"L_j","intake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43" l="1"/>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83" i="70"/>
  <c r="H83" i="70"/>
  <c r="G83" i="70"/>
  <c r="F83" i="70"/>
  <c r="I82" i="70"/>
  <c r="H82" i="70"/>
  <c r="G82" i="70"/>
  <c r="F82" i="70"/>
  <c r="E83" i="70"/>
  <c r="E82" i="70"/>
  <c r="I99" i="70"/>
  <c r="H99" i="70"/>
  <c r="G99" i="70"/>
  <c r="F99" i="70"/>
  <c r="I98" i="70"/>
  <c r="H98" i="70"/>
  <c r="G98" i="70"/>
  <c r="F98" i="70"/>
  <c r="E99" i="70"/>
  <c r="E98" i="70"/>
  <c r="D81" i="70"/>
  <c r="D97" i="70"/>
  <c r="V106" i="81"/>
  <c r="V40" i="81"/>
  <c r="K40" i="81"/>
  <c r="V52" i="81"/>
  <c r="K52" i="81"/>
  <c r="V76" i="81"/>
  <c r="G127" i="81"/>
  <c r="F134" i="81"/>
  <c r="F133" i="81"/>
  <c r="F132" i="81"/>
  <c r="F131" i="81"/>
  <c r="F130" i="81"/>
  <c r="F129" i="81"/>
  <c r="F128" i="81"/>
  <c r="F127" i="81"/>
  <c r="F65" i="81"/>
  <c r="G64" i="81"/>
  <c r="M97" i="70"/>
  <c r="F71" i="81" s="1"/>
  <c r="M96" i="70"/>
  <c r="F70" i="81" s="1"/>
  <c r="M95" i="70"/>
  <c r="F69" i="81" s="1"/>
  <c r="M94" i="70"/>
  <c r="F68" i="81" s="1"/>
  <c r="M81" i="70"/>
  <c r="F67" i="81" s="1"/>
  <c r="D90" i="70"/>
  <c r="D89" i="70"/>
  <c r="D88" i="70"/>
  <c r="M80" i="70"/>
  <c r="F66" i="81" s="1"/>
  <c r="M79" i="70"/>
  <c r="D74" i="70"/>
  <c r="D73" i="70"/>
  <c r="D72" i="70"/>
  <c r="M78" i="70"/>
  <c r="F64" i="81" s="1"/>
  <c r="A25" i="106" l="1"/>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V25" i="96"/>
  <c r="T19" i="96"/>
  <c r="K25" i="96"/>
  <c r="I19" i="96"/>
  <c r="I154" i="76" a="1"/>
  <c r="I154" i="76" s="1"/>
  <c r="I153" i="76" a="1"/>
  <c r="I153" i="76" s="1"/>
  <c r="I152" i="76" a="1"/>
  <c r="I152" i="76" s="1"/>
  <c r="I164" i="76"/>
  <c r="I159" i="76"/>
  <c r="G152" i="76" a="1"/>
  <c r="G152" i="76" s="1"/>
  <c r="D152" i="76" a="1"/>
  <c r="D152" i="76" s="1"/>
  <c r="G13" i="96" a="1"/>
  <c r="G13"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G13" i="81" s="1"/>
  <c r="D13" i="81" a="1"/>
  <c r="D13" i="81" s="1"/>
  <c r="G97" i="81" a="1"/>
  <c r="G97" i="81" s="1"/>
  <c r="D97" i="81" a="1"/>
  <c r="D97" i="81" s="1"/>
  <c r="V29" i="95"/>
  <c r="V23" i="95"/>
  <c r="K23" i="95"/>
  <c r="I42" i="95" a="1"/>
  <c r="I42" i="95" s="1"/>
  <c r="J13" i="95" a="1"/>
  <c r="J13" i="95" s="1"/>
  <c r="G42" i="95" a="1"/>
  <c r="G42" i="95" s="1"/>
  <c r="D42" i="95" a="1"/>
  <c r="D42" i="95" s="1"/>
  <c r="H13" i="95" a="1"/>
  <c r="H13" i="95" s="1"/>
  <c r="D13" i="95" a="1"/>
  <c r="D13" i="95" s="1"/>
  <c r="G61" i="82" a="1"/>
  <c r="G61" i="82" s="1"/>
  <c r="D61" i="82" a="1"/>
  <c r="D61" i="82" s="1"/>
  <c r="V40" i="82"/>
  <c r="K40" i="82"/>
  <c r="F31" i="82"/>
  <c r="V19" i="82"/>
  <c r="K19" i="82"/>
  <c r="I14" i="82" a="1"/>
  <c r="I14" i="82" s="1"/>
  <c r="I13" i="82" a="1"/>
  <c r="I13" i="82" s="1"/>
  <c r="G13" i="82" a="1"/>
  <c r="G13" i="82" s="1"/>
  <c r="D13" i="82" a="1"/>
  <c r="D13" i="82" s="1"/>
  <c r="I255" i="76" a="1"/>
  <c r="I255" i="76" s="1"/>
  <c r="I256" i="76" a="1"/>
  <c r="I256" i="76" s="1"/>
  <c r="G255" i="76" a="1"/>
  <c r="G255" i="76" s="1"/>
  <c r="D255" i="76" a="1"/>
  <c r="D255" i="76" s="1"/>
  <c r="I219" i="76" a="1"/>
  <c r="I219" i="76" s="1"/>
  <c r="I218" i="76" a="1"/>
  <c r="I218" i="76" s="1"/>
  <c r="J218" i="76" a="1"/>
  <c r="J218" i="76" s="1"/>
  <c r="G218" i="76" a="1"/>
  <c r="G218" i="76" s="1"/>
  <c r="D218" i="76" a="1"/>
  <c r="D218" i="76" s="1"/>
  <c r="S201" i="76"/>
  <c r="S196" i="76"/>
  <c r="I201" i="76"/>
  <c r="I196" i="76"/>
  <c r="I191" i="76"/>
  <c r="I186" i="76" a="1"/>
  <c r="I186" i="76" s="1"/>
  <c r="I185" i="76" a="1"/>
  <c r="I185" i="76" s="1"/>
  <c r="I184" i="76" a="1"/>
  <c r="I184" i="76" s="1"/>
  <c r="I183" i="76" a="1"/>
  <c r="I183" i="76" s="1"/>
  <c r="I182" i="76" a="1"/>
  <c r="I182" i="76" s="1"/>
  <c r="G182" i="76" a="1"/>
  <c r="G182" i="76" s="1"/>
  <c r="D182" i="76" a="1"/>
  <c r="D182" i="76" s="1"/>
  <c r="I132" i="76" a="1"/>
  <c r="I132" i="76" s="1"/>
  <c r="I133" i="76" a="1"/>
  <c r="I133" i="76" s="1"/>
  <c r="I134" i="76" a="1"/>
  <c r="I134" i="76" s="1"/>
  <c r="G132" i="76" a="1"/>
  <c r="G132" i="76" s="1"/>
  <c r="D132" i="76" a="1"/>
  <c r="D132" i="76" s="1"/>
  <c r="H108" i="76" a="1"/>
  <c r="H108" i="76" s="1"/>
  <c r="H109" i="76" a="1"/>
  <c r="H109" i="76" s="1"/>
  <c r="S114" i="76"/>
  <c r="I114" i="76"/>
  <c r="D108" i="76" a="1"/>
  <c r="D108" i="76" s="1"/>
  <c r="I86" i="76"/>
  <c r="H81" i="76" a="1"/>
  <c r="H81" i="76" s="1"/>
  <c r="H80" i="76" a="1"/>
  <c r="H80" i="76" s="1"/>
  <c r="H79" i="76" a="1"/>
  <c r="H79" i="76" s="1"/>
  <c r="H78" i="76" a="1"/>
  <c r="H78"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R273" i="69"/>
  <c r="P260" i="69"/>
  <c r="O260" i="69"/>
  <c r="E260" i="69"/>
  <c r="D260" i="69"/>
  <c r="P207" i="69"/>
  <c r="O207" i="69"/>
  <c r="E207" i="69"/>
  <c r="D207" i="69"/>
  <c r="O198" i="69"/>
  <c r="D198" i="69"/>
  <c r="P121" i="69"/>
  <c r="O121" i="69"/>
  <c r="P132" i="69"/>
  <c r="O132" i="69"/>
  <c r="P143" i="69"/>
  <c r="O143" i="69"/>
  <c r="E143" i="69"/>
  <c r="D143" i="69"/>
  <c r="E132" i="69"/>
  <c r="E121" i="69"/>
  <c r="D132" i="69"/>
  <c r="D121" i="69"/>
  <c r="I55" i="76" l="1"/>
  <c r="T190" i="69" l="1" a="1"/>
  <c r="T190" i="69" s="1"/>
  <c r="R188" i="69" a="1"/>
  <c r="R188" i="69" s="1"/>
  <c r="O188" i="69" a="1"/>
  <c r="O188" i="69" s="1"/>
  <c r="T193" i="69" l="1"/>
  <c r="P200" i="69" s="1" a="1"/>
  <c r="P200" i="69" s="1"/>
  <c r="O202" i="69"/>
  <c r="P202" i="69" s="1" a="1"/>
  <c r="P202" i="69" s="1"/>
  <c r="O201" i="69"/>
  <c r="O200" i="69"/>
  <c r="O199" i="69"/>
  <c r="P199" i="69" s="1" a="1"/>
  <c r="P199" i="69" s="1"/>
  <c r="D202" i="69"/>
  <c r="D201" i="69"/>
  <c r="D200" i="69"/>
  <c r="D199" i="69"/>
  <c r="J235" i="69" a="1"/>
  <c r="J235" i="69" s="1"/>
  <c r="J234" i="69" a="1"/>
  <c r="J234" i="69" s="1"/>
  <c r="J233" i="69" a="1"/>
  <c r="J233" i="69" s="1"/>
  <c r="J232" i="69" a="1"/>
  <c r="J232" i="69" s="1"/>
  <c r="J231" i="69" a="1"/>
  <c r="J231" i="69" s="1"/>
  <c r="J230" i="69" a="1"/>
  <c r="J230" i="69" s="1"/>
  <c r="J229" i="69" a="1"/>
  <c r="J229" i="69" s="1"/>
  <c r="J228" i="69" a="1"/>
  <c r="J228" i="69" s="1"/>
  <c r="H228" i="69" a="1"/>
  <c r="H228" i="69" s="1"/>
  <c r="D228" i="69" a="1"/>
  <c r="D228" i="69" s="1"/>
  <c r="I190" i="69" a="1"/>
  <c r="I190" i="69" s="1"/>
  <c r="I189" i="69" a="1"/>
  <c r="I189" i="69" s="1"/>
  <c r="J189" i="69" a="1"/>
  <c r="J189" i="69" s="1"/>
  <c r="I188" i="69" a="1"/>
  <c r="I188" i="69" s="1"/>
  <c r="G188" i="69" a="1"/>
  <c r="G188" i="69" s="1"/>
  <c r="D188" i="69" a="1"/>
  <c r="D188" i="69" s="1"/>
  <c r="I164" i="69" a="1"/>
  <c r="I164" i="69" s="1"/>
  <c r="I163" i="69" a="1"/>
  <c r="I163" i="69" s="1"/>
  <c r="I162" i="69" a="1"/>
  <c r="I162" i="69" s="1"/>
  <c r="G162" i="69" a="1"/>
  <c r="G162" i="69" s="1"/>
  <c r="D162" i="69" a="1"/>
  <c r="D162" i="69" s="1"/>
  <c r="I116" i="69" a="1"/>
  <c r="I116" i="69" s="1"/>
  <c r="I115" i="69" a="1"/>
  <c r="I115" i="69" s="1"/>
  <c r="G115" i="69" a="1"/>
  <c r="D115" i="69" a="1"/>
  <c r="D115" i="69" s="1"/>
  <c r="I97" i="69" a="1"/>
  <c r="I97" i="69" s="1"/>
  <c r="I96" i="69" a="1"/>
  <c r="I96" i="69" s="1"/>
  <c r="G96" i="69" a="1"/>
  <c r="G96" i="69" s="1"/>
  <c r="D96" i="69" a="1"/>
  <c r="D96" i="69" s="1"/>
  <c r="I61" i="69" a="1"/>
  <c r="I61" i="69" s="1"/>
  <c r="I62" i="69" a="1"/>
  <c r="I62" i="69" s="1"/>
  <c r="I63" i="69" a="1"/>
  <c r="I63" i="69" s="1"/>
  <c r="I64" i="69" a="1"/>
  <c r="I64" i="69" s="1"/>
  <c r="G61" i="69" a="1"/>
  <c r="G61" i="69" s="1"/>
  <c r="D61" i="69" a="1"/>
  <c r="D61" i="69" s="1"/>
  <c r="I35" i="69" a="1"/>
  <c r="I35" i="69" s="1"/>
  <c r="I39" i="69" a="1"/>
  <c r="I39" i="69" s="1"/>
  <c r="G35" i="69" a="1"/>
  <c r="G35" i="69" s="1"/>
  <c r="D35" i="69" a="1"/>
  <c r="D35" i="69" s="1"/>
  <c r="P201" i="69" l="1" a="1"/>
  <c r="P201" i="69" s="1"/>
  <c r="G115" i="69"/>
  <c r="G132" i="69"/>
  <c r="R132" i="69"/>
  <c r="K121" i="69" l="1"/>
  <c r="V122" i="69"/>
  <c r="G13" i="69" l="1" a="1"/>
  <c r="G13" i="69" s="1"/>
  <c r="D13" i="69" a="1"/>
  <c r="D13" i="69" s="1"/>
  <c r="G9" i="79"/>
  <c r="G8" i="79"/>
  <c r="I192" i="69"/>
  <c r="J44" i="96"/>
  <c r="E30" i="15"/>
  <c r="E33" i="15"/>
  <c r="E32" i="15"/>
  <c r="E31" i="15"/>
  <c r="J45" i="98"/>
  <c r="I40" i="97"/>
  <c r="J45" i="96"/>
  <c r="I44" i="95"/>
  <c r="I63" i="82"/>
  <c r="I257" i="76"/>
  <c r="R50" i="98"/>
  <c r="G50" i="98"/>
  <c r="R48" i="97"/>
  <c r="G48" i="97"/>
  <c r="R56" i="96"/>
  <c r="G56" i="96"/>
  <c r="R55" i="95"/>
  <c r="G55" i="95"/>
  <c r="R71" i="82"/>
  <c r="G71" i="82"/>
  <c r="Q283" i="76"/>
  <c r="G283" i="76"/>
  <c r="G273" i="69"/>
  <c r="I193"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19" i="69" a="1"/>
  <c r="D21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15" i="79" a="1"/>
  <c r="D215" i="79" s="1"/>
  <c r="I14" i="97" s="1"/>
  <c r="D214" i="79" a="1"/>
  <c r="D214" i="79" s="1"/>
  <c r="D213" i="79" a="1"/>
  <c r="D213" i="79" s="1"/>
  <c r="D212" i="79" a="1"/>
  <c r="D212" i="79" s="1"/>
  <c r="D211" i="79" a="1"/>
  <c r="D211"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D133" i="70"/>
  <c r="D157" i="70"/>
  <c r="O113" i="81"/>
  <c r="O112" i="81"/>
  <c r="O111" i="81"/>
  <c r="O110" i="81"/>
  <c r="O109" i="81"/>
  <c r="O108" i="81"/>
  <c r="O107" i="81"/>
  <c r="O106" i="81"/>
  <c r="D113" i="81"/>
  <c r="D112" i="81"/>
  <c r="D111" i="81"/>
  <c r="D110" i="81"/>
  <c r="D109" i="81"/>
  <c r="D108" i="81"/>
  <c r="D107" i="81"/>
  <c r="D106" i="8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E10" i="81" a="1"/>
  <c r="E10" i="81" s="1"/>
  <c r="D6" i="81" a="1"/>
  <c r="D6" i="81" s="1"/>
  <c r="D119" i="81" s="1"/>
  <c r="D5" i="81" a="1"/>
  <c r="D5" i="81" s="1"/>
  <c r="D209" i="79" a="1"/>
  <c r="D209" i="79" s="1"/>
  <c r="J15" i="95"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91" i="81" a="1"/>
  <c r="E7" i="81" a="1"/>
  <c r="E7" i="97" a="1"/>
  <c r="E36" i="95" a="1"/>
  <c r="E7" i="96" a="1"/>
  <c r="E37" i="98" a="1"/>
  <c r="E37" i="96" a="1"/>
  <c r="E55" i="82" a="1"/>
  <c r="E7" i="98" a="1"/>
  <c r="E32" i="97" a="1"/>
  <c r="E7" i="95" a="1"/>
  <c r="I14" i="98" l="1"/>
  <c r="I39" i="97"/>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J14" i="95" s="1"/>
  <c r="D6" i="95" a="1"/>
  <c r="D6" i="95" s="1"/>
  <c r="E11" i="95" a="1"/>
  <c r="E11"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85" i="76" a="1"/>
  <c r="P285" i="76" s="1"/>
  <c r="N282" i="76" a="1"/>
  <c r="N282" i="76" s="1"/>
  <c r="N278" i="76"/>
  <c r="N277" i="76"/>
  <c r="N276" i="76"/>
  <c r="N275" i="76"/>
  <c r="N274" i="76"/>
  <c r="N273" i="76"/>
  <c r="N272" i="76"/>
  <c r="N271" i="76"/>
  <c r="F285" i="76" a="1"/>
  <c r="F285" i="76" s="1"/>
  <c r="D282" i="76" a="1"/>
  <c r="D282" i="76" s="1"/>
  <c r="D278" i="76"/>
  <c r="D277" i="76"/>
  <c r="D276" i="76"/>
  <c r="D275" i="76"/>
  <c r="D274" i="76"/>
  <c r="D273" i="76"/>
  <c r="D272" i="76"/>
  <c r="D271" i="76"/>
  <c r="E253" i="76" a="1"/>
  <c r="E253" i="76" s="1"/>
  <c r="P280" i="76" s="1"/>
  <c r="E252" i="76" a="1"/>
  <c r="E252" i="76" s="1"/>
  <c r="D248" i="76" a="1"/>
  <c r="D248" i="76" s="1"/>
  <c r="D247" i="76" a="1"/>
  <c r="D247" i="76" s="1"/>
  <c r="N243" i="76"/>
  <c r="N242" i="76"/>
  <c r="N241" i="76"/>
  <c r="N240" i="76"/>
  <c r="N239" i="76"/>
  <c r="N238" i="76"/>
  <c r="N237" i="76"/>
  <c r="N236" i="76"/>
  <c r="D243" i="76"/>
  <c r="D242" i="76"/>
  <c r="D241" i="76"/>
  <c r="D240" i="76"/>
  <c r="D239" i="76"/>
  <c r="D238" i="76"/>
  <c r="D237" i="76"/>
  <c r="D236" i="76"/>
  <c r="N231" i="76"/>
  <c r="N230" i="76"/>
  <c r="N229" i="76"/>
  <c r="N228" i="76"/>
  <c r="N227" i="76"/>
  <c r="N226" i="76"/>
  <c r="N225" i="76"/>
  <c r="N224" i="76"/>
  <c r="D231" i="76"/>
  <c r="D230" i="76"/>
  <c r="D229" i="76"/>
  <c r="D228" i="76"/>
  <c r="D227" i="76"/>
  <c r="D226" i="76"/>
  <c r="D225" i="76"/>
  <c r="D224" i="76"/>
  <c r="E216" i="76" a="1"/>
  <c r="E216" i="76" s="1"/>
  <c r="E215" i="76" a="1"/>
  <c r="E215" i="76" s="1"/>
  <c r="D211" i="76" a="1"/>
  <c r="D211" i="76" s="1"/>
  <c r="D210" i="76" a="1"/>
  <c r="D210" i="76" s="1"/>
  <c r="D175" i="76" a="1"/>
  <c r="D175" i="76" s="1"/>
  <c r="E180" i="76" a="1"/>
  <c r="E180" i="76" s="1"/>
  <c r="E179" i="76" a="1"/>
  <c r="E179" i="76" s="1"/>
  <c r="D174" i="76" a="1"/>
  <c r="D174" i="76" s="1"/>
  <c r="D173" i="76" a="1"/>
  <c r="D173" i="76" s="1"/>
  <c r="H159" i="76"/>
  <c r="G159" i="76"/>
  <c r="F159" i="76"/>
  <c r="E159" i="76"/>
  <c r="D159" i="76"/>
  <c r="H240" i="69"/>
  <c r="G240" i="69"/>
  <c r="F240" i="69"/>
  <c r="E240" i="69"/>
  <c r="D240" i="69"/>
  <c r="D145" i="76" a="1"/>
  <c r="D145" i="76" s="1"/>
  <c r="E150" i="76" a="1"/>
  <c r="E150" i="76" s="1"/>
  <c r="S169" i="76" s="1"/>
  <c r="E149" i="76" a="1"/>
  <c r="E149" i="76" s="1"/>
  <c r="D144" i="76" a="1"/>
  <c r="D144" i="76" s="1"/>
  <c r="D143" i="76" a="1"/>
  <c r="D143" i="76" s="1"/>
  <c r="E130" i="76" a="1"/>
  <c r="E130" i="76" s="1"/>
  <c r="I139" i="76" s="1"/>
  <c r="E129" i="76" a="1"/>
  <c r="E129" i="76" s="1"/>
  <c r="D124" i="76" a="1"/>
  <c r="D124" i="76" s="1"/>
  <c r="D123" i="76" a="1"/>
  <c r="D123" i="76" s="1"/>
  <c r="R114" i="76"/>
  <c r="Q114" i="76"/>
  <c r="P114" i="76"/>
  <c r="O114" i="76"/>
  <c r="N114" i="76"/>
  <c r="E106" i="76" a="1"/>
  <c r="E106" i="76" s="1"/>
  <c r="S119" i="76" s="1"/>
  <c r="E105" i="76" a="1"/>
  <c r="E105" i="76" s="1"/>
  <c r="D101" i="76" a="1"/>
  <c r="D101" i="76" s="1"/>
  <c r="D100" i="76" a="1"/>
  <c r="D100" i="76" s="1"/>
  <c r="D86" i="76"/>
  <c r="D78" i="76" a="1"/>
  <c r="E76" i="76" a="1"/>
  <c r="E76" i="76" s="1"/>
  <c r="I96"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275" i="69" a="1"/>
  <c r="Q275" i="69" s="1"/>
  <c r="O272" i="69" a="1"/>
  <c r="O272" i="69" s="1"/>
  <c r="O268" i="69"/>
  <c r="O267" i="69"/>
  <c r="O266" i="69"/>
  <c r="O265" i="69"/>
  <c r="O264" i="69"/>
  <c r="O263" i="69"/>
  <c r="O262" i="69"/>
  <c r="O261" i="69"/>
  <c r="O215" i="69"/>
  <c r="O214" i="69"/>
  <c r="O213" i="69"/>
  <c r="O212" i="69"/>
  <c r="O211" i="69"/>
  <c r="O210" i="69"/>
  <c r="O209" i="69"/>
  <c r="O208" i="69"/>
  <c r="F275" i="69" a="1"/>
  <c r="F275" i="69" s="1"/>
  <c r="J7" i="13" s="1"/>
  <c r="D272" i="69" a="1"/>
  <c r="D272" i="69" s="1"/>
  <c r="D268" i="69"/>
  <c r="D267" i="69"/>
  <c r="D266" i="69"/>
  <c r="D265" i="69"/>
  <c r="D264" i="69"/>
  <c r="D263" i="69"/>
  <c r="D262" i="69"/>
  <c r="D261" i="69"/>
  <c r="E226" i="69" a="1"/>
  <c r="E226" i="69" s="1"/>
  <c r="Q270" i="69" s="1"/>
  <c r="E225" i="69" a="1"/>
  <c r="E225" i="69" s="1"/>
  <c r="D221" i="69" a="1"/>
  <c r="D221" i="69" s="1"/>
  <c r="D220" i="69" a="1"/>
  <c r="D220" i="69" s="1"/>
  <c r="D215" i="69"/>
  <c r="D214" i="69"/>
  <c r="D213" i="69"/>
  <c r="D212" i="69"/>
  <c r="D211" i="69"/>
  <c r="D210" i="69"/>
  <c r="D209" i="69"/>
  <c r="D208" i="69"/>
  <c r="D195" i="79" a="1"/>
  <c r="D195" i="79" s="1"/>
  <c r="D194" i="79" a="1"/>
  <c r="D194" i="79" s="1"/>
  <c r="D193" i="79" a="1"/>
  <c r="D193" i="79" s="1"/>
  <c r="D192" i="79" a="1"/>
  <c r="D192" i="79" s="1"/>
  <c r="D191" i="79" a="1"/>
  <c r="D191" i="79" s="1"/>
  <c r="E185" i="69" a="1"/>
  <c r="E185" i="69" s="1"/>
  <c r="D181" i="69" a="1"/>
  <c r="D181" i="69" s="1"/>
  <c r="E186" i="69" a="1"/>
  <c r="E186" i="69" s="1"/>
  <c r="D180" i="69" a="1"/>
  <c r="D180" i="69" s="1"/>
  <c r="O176" i="69"/>
  <c r="O175" i="69"/>
  <c r="O170" i="69"/>
  <c r="O169" i="69"/>
  <c r="D155" i="69" a="1"/>
  <c r="D155" i="69" s="1"/>
  <c r="D176" i="69"/>
  <c r="D175" i="69"/>
  <c r="D170" i="69"/>
  <c r="D169" i="69"/>
  <c r="E160" i="69" a="1"/>
  <c r="E160" i="69" s="1"/>
  <c r="V176" i="69" s="1"/>
  <c r="E159" i="69" a="1"/>
  <c r="E159" i="69" s="1"/>
  <c r="D154" i="69" a="1"/>
  <c r="D154" i="69" s="1"/>
  <c r="D153" i="69" a="1"/>
  <c r="D153" i="69" s="1"/>
  <c r="O149" i="69"/>
  <c r="O148" i="69"/>
  <c r="O147" i="69"/>
  <c r="O146" i="69"/>
  <c r="O145" i="69"/>
  <c r="O144" i="69"/>
  <c r="D108" i="69" a="1"/>
  <c r="D108" i="69" s="1"/>
  <c r="D149" i="69"/>
  <c r="D148" i="69"/>
  <c r="D147" i="69"/>
  <c r="D146" i="69"/>
  <c r="D145" i="69"/>
  <c r="D144" i="69"/>
  <c r="Q135" i="69"/>
  <c r="Q134" i="69"/>
  <c r="Q133" i="69"/>
  <c r="O138" i="69"/>
  <c r="O137" i="69"/>
  <c r="O136" i="69"/>
  <c r="O135" i="69"/>
  <c r="O134" i="69"/>
  <c r="O133" i="69"/>
  <c r="O127" i="69"/>
  <c r="O126" i="69"/>
  <c r="O125" i="69"/>
  <c r="O124" i="69"/>
  <c r="O123" i="69"/>
  <c r="O122" i="69"/>
  <c r="F135" i="69"/>
  <c r="F134" i="69"/>
  <c r="F133" i="69"/>
  <c r="D138" i="69"/>
  <c r="D137" i="69"/>
  <c r="D136" i="69"/>
  <c r="D135" i="69"/>
  <c r="D134" i="69"/>
  <c r="D133" i="69"/>
  <c r="D127" i="69"/>
  <c r="D126" i="69"/>
  <c r="D125" i="69"/>
  <c r="D124" i="69"/>
  <c r="D123" i="69"/>
  <c r="D122" i="69"/>
  <c r="E112" i="69" a="1"/>
  <c r="E112" i="69" s="1"/>
  <c r="E113" i="69" a="1"/>
  <c r="E113" i="69" s="1"/>
  <c r="D107" i="69" a="1"/>
  <c r="D107" i="69" s="1"/>
  <c r="D188" i="79" a="1"/>
  <c r="D188" i="79" s="1"/>
  <c r="I98" i="69" s="1"/>
  <c r="D187" i="79" a="1"/>
  <c r="D187" i="79" s="1"/>
  <c r="D186" i="79" a="1"/>
  <c r="D186" i="79" s="1"/>
  <c r="D185" i="79" a="1"/>
  <c r="D185" i="79" s="1"/>
  <c r="D184" i="79" a="1"/>
  <c r="D184" i="79" s="1"/>
  <c r="D44" i="69"/>
  <c r="D27" i="69" a="1"/>
  <c r="D27" i="69" s="1"/>
  <c r="S18" i="69"/>
  <c r="S23" i="69" s="1" a="1"/>
  <c r="S23" i="69" s="1"/>
  <c r="R18" i="69"/>
  <c r="R23" i="69" s="1" a="1"/>
  <c r="R23" i="69" s="1"/>
  <c r="Q18" i="69"/>
  <c r="Q23" i="69" s="1" a="1"/>
  <c r="Q23" i="69" s="1"/>
  <c r="P18" i="69"/>
  <c r="P23" i="69" s="1" a="1"/>
  <c r="P23" i="69" s="1"/>
  <c r="O18" i="69"/>
  <c r="O23" i="69" s="1" a="1"/>
  <c r="O23" i="69" s="1"/>
  <c r="I13" i="69"/>
  <c r="D6" i="69" a="1"/>
  <c r="D6" i="69" s="1"/>
  <c r="E10" i="69" a="1"/>
  <c r="E10" i="69" s="1"/>
  <c r="E11" i="69" a="1"/>
  <c r="E11" i="69" s="1"/>
  <c r="D5" i="69" a="1"/>
  <c r="D5" i="69" s="1"/>
  <c r="D28" i="69" a="1"/>
  <c r="D28" i="69" s="1"/>
  <c r="D181" i="79" a="1"/>
  <c r="D181" i="79" s="1"/>
  <c r="I38" i="69" s="1"/>
  <c r="D180" i="79" a="1"/>
  <c r="D180" i="79" s="1"/>
  <c r="D179" i="79" a="1"/>
  <c r="D179" i="79" s="1"/>
  <c r="D178" i="79" a="1"/>
  <c r="D178" i="79" s="1"/>
  <c r="D177" i="79" a="1"/>
  <c r="D177" i="79" s="1"/>
  <c r="D174" i="79" a="1"/>
  <c r="D174" i="79" s="1"/>
  <c r="I37" i="69" s="1"/>
  <c r="D173" i="79" a="1"/>
  <c r="D173" i="79" s="1"/>
  <c r="D172" i="79" a="1"/>
  <c r="D172" i="79" s="1"/>
  <c r="D171" i="79" a="1"/>
  <c r="D171" i="79" s="1"/>
  <c r="D170" i="79" a="1"/>
  <c r="D170" i="79" s="1"/>
  <c r="D167" i="79" a="1"/>
  <c r="D167" i="79" s="1"/>
  <c r="I36" i="69" s="1"/>
  <c r="D166" i="79" a="1"/>
  <c r="D166" i="79" s="1"/>
  <c r="D165" i="79" a="1"/>
  <c r="D165" i="79" s="1"/>
  <c r="D164" i="79" a="1"/>
  <c r="D164" i="79" s="1"/>
  <c r="D163" i="79" a="1"/>
  <c r="D163" i="79" s="1"/>
  <c r="E32" i="69" a="1"/>
  <c r="E32" i="69" s="1"/>
  <c r="E33" i="69" a="1"/>
  <c r="E33" i="69" s="1"/>
  <c r="T49" i="69" s="1"/>
  <c r="D54" i="69" a="1"/>
  <c r="D54" i="69" s="1"/>
  <c r="E58" i="69" a="1"/>
  <c r="E58" i="69" s="1"/>
  <c r="E59" i="69" a="1"/>
  <c r="E59" i="69" s="1"/>
  <c r="I84" i="69" s="1"/>
  <c r="D53" i="69" a="1"/>
  <c r="D53" i="69" s="1"/>
  <c r="D160" i="79" a="1"/>
  <c r="D160" i="79" s="1"/>
  <c r="E37" i="70" s="1"/>
  <c r="D18" i="69" s="1"/>
  <c r="D23" i="69" s="1" a="1"/>
  <c r="D23" i="69" s="1"/>
  <c r="D159" i="79" a="1"/>
  <c r="D159" i="79" s="1"/>
  <c r="D158" i="79" a="1"/>
  <c r="D158" i="79" s="1"/>
  <c r="D157" i="79" a="1"/>
  <c r="D157" i="79" s="1"/>
  <c r="D156" i="79" a="1"/>
  <c r="D156" i="79" s="1"/>
  <c r="D150" i="79" a="1"/>
  <c r="D150" i="79" s="1"/>
  <c r="D151" i="79" a="1"/>
  <c r="D151" i="79" s="1"/>
  <c r="D152" i="79" a="1"/>
  <c r="D152" i="79" s="1"/>
  <c r="D153" i="79" a="1"/>
  <c r="D153" i="79" s="1"/>
  <c r="F38" i="70" s="1"/>
  <c r="E114" i="76" s="1"/>
  <c r="D149" i="79" a="1"/>
  <c r="D149" i="79" s="1"/>
  <c r="D89" i="69" a="1"/>
  <c r="D89" i="69" s="1"/>
  <c r="E93" i="69" a="1"/>
  <c r="E93" i="69" s="1"/>
  <c r="E94" i="69" a="1"/>
  <c r="E94" i="69" s="1"/>
  <c r="I103" i="69" s="1"/>
  <c r="D88" i="69" a="1"/>
  <c r="D88" i="69" s="1"/>
  <c r="I178" i="70"/>
  <c r="H178" i="70"/>
  <c r="G178" i="70"/>
  <c r="F178" i="70"/>
  <c r="E178" i="70"/>
  <c r="I173" i="70"/>
  <c r="H173" i="70"/>
  <c r="G173" i="70"/>
  <c r="F173" i="70"/>
  <c r="E173" i="70"/>
  <c r="I168" i="70"/>
  <c r="H168" i="70"/>
  <c r="G168" i="70"/>
  <c r="F168" i="70"/>
  <c r="E168" i="70"/>
  <c r="I163" i="70"/>
  <c r="H163" i="70"/>
  <c r="G163" i="70"/>
  <c r="F163" i="70"/>
  <c r="E163" i="70"/>
  <c r="G90" i="70"/>
  <c r="Q138" i="69" s="1"/>
  <c r="F90" i="70"/>
  <c r="F138" i="69" s="1"/>
  <c r="G89" i="70"/>
  <c r="Q137" i="69" s="1"/>
  <c r="F89" i="70"/>
  <c r="F137" i="69" s="1"/>
  <c r="G88" i="70"/>
  <c r="Q136" i="69" s="1"/>
  <c r="F88" i="70"/>
  <c r="F136" i="69" s="1"/>
  <c r="D70" i="70"/>
  <c r="D86" i="70"/>
  <c r="I154" i="70"/>
  <c r="H154" i="70"/>
  <c r="G154" i="70"/>
  <c r="F154" i="70"/>
  <c r="E154" i="70"/>
  <c r="E182" i="69" a="1"/>
  <c r="E125" i="76" a="1"/>
  <c r="E176" i="76" a="1"/>
  <c r="E90" i="69" a="1"/>
  <c r="E7" i="69" a="1"/>
  <c r="E109" i="69" a="1"/>
  <c r="E222" i="69" a="1"/>
  <c r="E146" i="76" a="1"/>
  <c r="E55" i="69" a="1"/>
  <c r="E212" i="76" a="1"/>
  <c r="E7" i="82" a="1"/>
  <c r="E71" i="76" a="1"/>
  <c r="E102" i="76" a="1"/>
  <c r="E35" i="76" a="1"/>
  <c r="E7" i="76" a="1"/>
  <c r="E249" i="76" a="1"/>
  <c r="E29" i="69" a="1"/>
  <c r="E156" i="69" a="1"/>
  <c r="I62" i="82" l="1"/>
  <c r="D78" i="76"/>
  <c r="I91" i="76"/>
  <c r="S91" i="76"/>
  <c r="S139" i="76"/>
  <c r="F49" i="82"/>
  <c r="Q49" i="82"/>
  <c r="O61" i="82"/>
  <c r="P61" i="82"/>
  <c r="I191" i="69"/>
  <c r="S29" i="76"/>
  <c r="S206" i="76"/>
  <c r="I206" i="76"/>
  <c r="I169" i="76"/>
  <c r="K29" i="95"/>
  <c r="S96" i="76"/>
  <c r="I119" i="76"/>
  <c r="F280" i="76"/>
  <c r="G8" i="13" s="1"/>
  <c r="T84" i="69"/>
  <c r="S50" i="76" s="1"/>
  <c r="T103" i="69"/>
  <c r="I65" i="76"/>
  <c r="F37" i="70"/>
  <c r="E18" i="69" s="1"/>
  <c r="E23" i="69" s="1" a="1"/>
  <c r="E23" i="69" s="1"/>
  <c r="E49" i="69" s="1" a="1"/>
  <c r="E49" i="69" s="1"/>
  <c r="E60" i="76" s="1"/>
  <c r="V175" i="69"/>
  <c r="K176" i="69"/>
  <c r="K175" i="69"/>
  <c r="G37" i="70"/>
  <c r="F18" i="69" s="1"/>
  <c r="F23" i="69" s="1" a="1"/>
  <c r="F23" i="69" s="1"/>
  <c r="F49" i="69" s="1" a="1"/>
  <c r="F49" i="69" s="1"/>
  <c r="F60" i="76" s="1"/>
  <c r="H37" i="70"/>
  <c r="G18" i="69" s="1"/>
  <c r="G23" i="69" s="1" a="1"/>
  <c r="G23" i="69" s="1"/>
  <c r="G49" i="69" s="1" a="1"/>
  <c r="G49" i="69" s="1"/>
  <c r="G60" i="76" s="1"/>
  <c r="G38" i="70"/>
  <c r="F114" i="76" s="1"/>
  <c r="I38" i="70"/>
  <c r="H114" i="76" s="1"/>
  <c r="H38" i="70"/>
  <c r="G114" i="76" s="1"/>
  <c r="E38" i="70"/>
  <c r="D114" i="76" s="1"/>
  <c r="I37" i="70"/>
  <c r="H18" i="69" s="1"/>
  <c r="H23" i="69" s="1" a="1"/>
  <c r="H23" i="69" s="1"/>
  <c r="H49" i="69" s="1" a="1"/>
  <c r="H49" i="69" s="1"/>
  <c r="H60" i="76" s="1"/>
  <c r="F270" i="69"/>
  <c r="G7" i="13" s="1"/>
  <c r="I23" i="69"/>
  <c r="T23" i="69"/>
  <c r="Q68" i="82"/>
  <c r="V143" i="69"/>
  <c r="V207" i="69"/>
  <c r="K207" i="69"/>
  <c r="J8" i="13"/>
  <c r="K143" i="69"/>
  <c r="E7" i="82"/>
  <c r="E249" i="76"/>
  <c r="E212" i="76"/>
  <c r="E176" i="76"/>
  <c r="E146" i="76"/>
  <c r="E125" i="76"/>
  <c r="E102" i="76"/>
  <c r="E71" i="76"/>
  <c r="E35" i="76"/>
  <c r="E7" i="76"/>
  <c r="E222" i="69"/>
  <c r="E182" i="69"/>
  <c r="E156" i="69"/>
  <c r="E109" i="69"/>
  <c r="E55" i="69"/>
  <c r="E90" i="69"/>
  <c r="R49" i="69" a="1"/>
  <c r="R49" i="69" s="1"/>
  <c r="P49" i="69" a="1"/>
  <c r="P49" i="69" s="1"/>
  <c r="S49" i="69" a="1"/>
  <c r="S49" i="69" s="1"/>
  <c r="I49" i="69"/>
  <c r="I60" i="76" s="1"/>
  <c r="D49" i="69" a="1"/>
  <c r="D49" i="69" s="1"/>
  <c r="D60" i="76" s="1"/>
  <c r="O49" i="69" a="1"/>
  <c r="O49" i="69" s="1"/>
  <c r="Q49" i="69" a="1"/>
  <c r="Q49" i="69" s="1"/>
  <c r="E29" i="69"/>
  <c r="E7" i="69"/>
  <c r="D146" i="79" l="1"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1" i="76" l="1"/>
  <c r="Q201" i="76"/>
  <c r="G255" i="69"/>
  <c r="P196" i="76"/>
  <c r="Q245" i="69"/>
  <c r="G29" i="70"/>
  <c r="H245" i="69"/>
  <c r="H196" i="76"/>
  <c r="F201" i="76"/>
  <c r="F255" i="69"/>
  <c r="F245" i="69"/>
  <c r="F196" i="76"/>
  <c r="E164" i="76"/>
  <c r="E245" i="69"/>
  <c r="R196" i="76"/>
  <c r="S245" i="69"/>
  <c r="I29" i="70"/>
  <c r="D245" i="69"/>
  <c r="D164" i="76"/>
  <c r="D201" i="76"/>
  <c r="N201" i="76"/>
  <c r="D255" i="69"/>
  <c r="P245" i="69"/>
  <c r="F29" i="70"/>
  <c r="P255" i="69" s="1"/>
  <c r="O164" i="76"/>
  <c r="H201" i="76"/>
  <c r="H255" i="69"/>
  <c r="G245" i="69"/>
  <c r="G164" i="76"/>
  <c r="E201" i="76"/>
  <c r="E255" i="69"/>
  <c r="O201" i="76"/>
  <c r="Q164" i="76"/>
  <c r="R245" i="69"/>
  <c r="H29" i="70"/>
  <c r="R255" i="69" s="1"/>
  <c r="N164" i="76"/>
  <c r="O245" i="69"/>
  <c r="E29" i="70"/>
  <c r="O255" i="69" s="1"/>
  <c r="P201" i="76" l="1"/>
  <c r="Q255" i="69"/>
  <c r="S255" i="69"/>
  <c r="R201" i="76"/>
  <c r="I144" i="70" l="1"/>
  <c r="H144" i="70"/>
  <c r="I149" i="70"/>
  <c r="H149" i="70"/>
  <c r="I139" i="70"/>
  <c r="H139" i="70"/>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1" i="76" s="1"/>
  <c r="F64" i="79" a="1"/>
  <c r="F64" i="79" s="1"/>
  <c r="E64" i="79" a="1"/>
  <c r="E64" i="79" s="1"/>
  <c r="H250" i="69" s="1"/>
  <c r="D64" i="79" a="1"/>
  <c r="D64" i="79" s="1"/>
  <c r="G63" i="79" a="1"/>
  <c r="G63" i="79" s="1"/>
  <c r="F191" i="76" s="1"/>
  <c r="F63" i="79" a="1"/>
  <c r="F63" i="79" s="1"/>
  <c r="E63" i="79" a="1"/>
  <c r="E63" i="79" s="1"/>
  <c r="F25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E198" i="69" l="1" a="1"/>
  <c r="E198" i="69" s="1"/>
  <c r="P198" i="69" a="1"/>
  <c r="P198" i="69" s="1"/>
  <c r="F35" i="81"/>
  <c r="F34" i="81"/>
  <c r="F32" i="81"/>
  <c r="F31" i="81"/>
  <c r="F33" i="81"/>
  <c r="E22" i="81" a="1"/>
  <c r="E31" i="81" a="1"/>
  <c r="E31" i="81" s="1"/>
  <c r="D31" i="81" a="1"/>
  <c r="D31" i="81" s="1"/>
  <c r="D22" i="81" a="1"/>
  <c r="D22" i="81" s="1"/>
  <c r="E262" i="76" a="1"/>
  <c r="E262" i="76" s="1"/>
  <c r="E31" i="82" a="1"/>
  <c r="E31" i="82" s="1"/>
  <c r="D262" i="76" a="1"/>
  <c r="D262" i="76" s="1"/>
  <c r="D31" i="82" a="1"/>
  <c r="D31" i="82" s="1"/>
  <c r="H55" i="76"/>
  <c r="G55" i="76"/>
  <c r="E55" i="76"/>
  <c r="F55" i="76"/>
  <c r="F79" i="69"/>
  <c r="E79" i="69"/>
  <c r="G79" i="69"/>
  <c r="H79" i="69"/>
  <c r="D7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65" i="70" a="1"/>
  <c r="G65" i="70" s="1"/>
  <c r="H60" i="70" a="1"/>
  <c r="H60" i="70" s="1"/>
  <c r="E65" i="70" a="1"/>
  <c r="E65" i="70" s="1"/>
  <c r="I64" i="70" a="1"/>
  <c r="I64" i="70" s="1"/>
  <c r="I58" i="70" a="1"/>
  <c r="I58" i="70" s="1"/>
  <c r="J121" i="69" s="1"/>
  <c r="J143" i="69" s="1" a="1"/>
  <c r="J143" i="69" s="1"/>
  <c r="G63" i="70" a="1"/>
  <c r="G63" i="70" s="1"/>
  <c r="H65" i="70" a="1"/>
  <c r="H65" i="70" s="1"/>
  <c r="F65" i="70" a="1"/>
  <c r="F65" i="70" s="1"/>
  <c r="G60" i="70" a="1"/>
  <c r="G60" i="70" s="1"/>
  <c r="F60" i="70" a="1"/>
  <c r="F60" i="70" s="1"/>
  <c r="E60" i="70" a="1"/>
  <c r="E60" i="70" s="1"/>
  <c r="E58" i="70" a="1"/>
  <c r="E58" i="70" s="1"/>
  <c r="H64" i="70" a="1"/>
  <c r="H64" i="70" s="1"/>
  <c r="I59" i="70" a="1"/>
  <c r="I59" i="70" s="1"/>
  <c r="J169" i="69" s="1"/>
  <c r="E64" i="70" a="1"/>
  <c r="E64" i="70" s="1"/>
  <c r="E59" i="70" a="1"/>
  <c r="E59" i="70" s="1"/>
  <c r="I60" i="70" a="1"/>
  <c r="I60" i="70" s="1"/>
  <c r="G64" i="70" a="1"/>
  <c r="G64" i="70" s="1"/>
  <c r="H59" i="70" a="1"/>
  <c r="H59" i="70" s="1"/>
  <c r="I169" i="69" s="1"/>
  <c r="F59" i="70" a="1"/>
  <c r="F59" i="70" s="1"/>
  <c r="G169" i="69" s="1"/>
  <c r="H63" i="70" a="1"/>
  <c r="H63" i="70" s="1"/>
  <c r="F64" i="70" a="1"/>
  <c r="F64" i="70" s="1"/>
  <c r="G59" i="70" a="1"/>
  <c r="G59" i="70" s="1"/>
  <c r="H169" i="69" s="1"/>
  <c r="I63" i="70" a="1"/>
  <c r="I63" i="70" s="1"/>
  <c r="H58" i="70" a="1"/>
  <c r="H58" i="70" s="1"/>
  <c r="I121" i="69" s="1"/>
  <c r="I143" i="69" s="1" a="1"/>
  <c r="I143" i="69" s="1"/>
  <c r="F63" i="70" a="1"/>
  <c r="F63" i="70" s="1"/>
  <c r="G58" i="70" a="1"/>
  <c r="G58" i="70" s="1"/>
  <c r="H121" i="69" s="1"/>
  <c r="H143" i="69" s="1" a="1"/>
  <c r="H143" i="69" s="1"/>
  <c r="I65" i="70" a="1"/>
  <c r="I65" i="70" s="1"/>
  <c r="E63" i="70" a="1"/>
  <c r="E63" i="70" s="1"/>
  <c r="F58" i="70" a="1"/>
  <c r="F58" i="70" s="1"/>
  <c r="G121" i="69" s="1"/>
  <c r="G143" i="69" s="1" a="1"/>
  <c r="G143" i="69" s="1"/>
  <c r="F169" i="69" l="1"/>
  <c r="F122" i="69"/>
  <c r="Q25" i="96"/>
  <c r="Q121" i="69"/>
  <c r="Q143" i="69" s="1" a="1"/>
  <c r="Q143" i="69" s="1"/>
  <c r="S25" i="96"/>
  <c r="S121" i="69"/>
  <c r="S143" i="69" s="1" a="1"/>
  <c r="S143" i="69" s="1"/>
  <c r="F25" i="96"/>
  <c r="F121" i="69"/>
  <c r="F143" i="69" s="1" a="1"/>
  <c r="F143" i="69" s="1"/>
  <c r="T25" i="96"/>
  <c r="T121" i="69"/>
  <c r="T143" i="69" s="1" a="1"/>
  <c r="T143" i="69" s="1"/>
  <c r="R25" i="96"/>
  <c r="R121" i="69"/>
  <c r="R143" i="69" s="1" a="1"/>
  <c r="R143" i="69" s="1"/>
  <c r="U25" i="96"/>
  <c r="U121" i="69"/>
  <c r="U143" i="69" s="1" a="1"/>
  <c r="U143" i="69" s="1"/>
  <c r="E22" i="81"/>
  <c r="J25" i="96"/>
  <c r="G25" i="96"/>
  <c r="H25" i="96"/>
  <c r="I25" i="96"/>
  <c r="R224" i="76" a="1"/>
  <c r="R224" i="76" s="1"/>
  <c r="R226" i="76" a="1"/>
  <c r="R226" i="76" s="1"/>
  <c r="R227" i="76" a="1"/>
  <c r="R227" i="76" s="1"/>
  <c r="R225" i="76" a="1"/>
  <c r="R225" i="76" s="1"/>
  <c r="T226" i="76" a="1"/>
  <c r="T226" i="76" s="1"/>
  <c r="T224" i="76" a="1"/>
  <c r="T224" i="76" s="1"/>
  <c r="T225" i="76" a="1"/>
  <c r="T225" i="76" s="1"/>
  <c r="T227" i="76" a="1"/>
  <c r="T227" i="76" s="1"/>
  <c r="R74" i="69"/>
  <c r="Q91" i="76"/>
  <c r="J229" i="76" a="1"/>
  <c r="J229" i="76" s="1"/>
  <c r="J230" i="76" a="1"/>
  <c r="J230" i="76" s="1"/>
  <c r="J231" i="76" a="1"/>
  <c r="J231" i="76" s="1"/>
  <c r="J228" i="76" a="1"/>
  <c r="J228" i="76" s="1"/>
  <c r="P231" i="76" a="1"/>
  <c r="P231" i="76" s="1"/>
  <c r="P229" i="76" a="1"/>
  <c r="P229" i="76" s="1"/>
  <c r="P228" i="76" a="1"/>
  <c r="P228" i="76" s="1"/>
  <c r="P230" i="76" a="1"/>
  <c r="P230" i="76" s="1"/>
  <c r="G74" i="69"/>
  <c r="G91" i="76"/>
  <c r="F225" i="76" a="1"/>
  <c r="F225" i="76" s="1"/>
  <c r="F227" i="76" a="1"/>
  <c r="F227" i="76" s="1"/>
  <c r="F226" i="76" a="1"/>
  <c r="F226" i="76" s="1"/>
  <c r="F224" i="76" a="1"/>
  <c r="F224" i="76" s="1"/>
  <c r="I230" i="76" a="1"/>
  <c r="I230" i="76" s="1"/>
  <c r="I229" i="76" a="1"/>
  <c r="I229" i="76" s="1"/>
  <c r="I231" i="76" a="1"/>
  <c r="I231" i="76" s="1"/>
  <c r="I228" i="76" a="1"/>
  <c r="I228" i="76" s="1"/>
  <c r="F74" i="69"/>
  <c r="F91" i="76"/>
  <c r="P227" i="76" a="1"/>
  <c r="P227" i="76" s="1"/>
  <c r="P224" i="76" a="1"/>
  <c r="P224" i="76" s="1"/>
  <c r="P226" i="76" a="1"/>
  <c r="P226" i="76" s="1"/>
  <c r="P225" i="76" a="1"/>
  <c r="P225" i="76" s="1"/>
  <c r="R229" i="76" a="1"/>
  <c r="R229" i="76" s="1"/>
  <c r="R231" i="76" a="1"/>
  <c r="R231" i="76" s="1"/>
  <c r="R228" i="76" a="1"/>
  <c r="R228" i="76" s="1"/>
  <c r="R230" i="76" a="1"/>
  <c r="R230" i="76" s="1"/>
  <c r="Q74" i="69"/>
  <c r="P91" i="76"/>
  <c r="T231" i="76" a="1"/>
  <c r="T231" i="76" s="1"/>
  <c r="T228" i="76" a="1"/>
  <c r="T228" i="76" s="1"/>
  <c r="T230" i="76" a="1"/>
  <c r="T230" i="76" s="1"/>
  <c r="T229" i="76" a="1"/>
  <c r="T229" i="76" s="1"/>
  <c r="J227" i="76" a="1"/>
  <c r="J227" i="76" s="1"/>
  <c r="J224" i="76" a="1"/>
  <c r="J224" i="76" s="1"/>
  <c r="J226" i="76" a="1"/>
  <c r="J226" i="76" s="1"/>
  <c r="J225" i="76" a="1"/>
  <c r="J225" i="76" s="1"/>
  <c r="E74" i="69"/>
  <c r="E91" i="76"/>
  <c r="P69" i="69"/>
  <c r="O19" i="76"/>
  <c r="O29" i="76" s="1" a="1"/>
  <c r="O29" i="76" s="1"/>
  <c r="S224" i="76" a="1"/>
  <c r="S224" i="76" s="1"/>
  <c r="S226" i="76" a="1"/>
  <c r="S226" i="76" s="1"/>
  <c r="S225" i="76" a="1"/>
  <c r="S225" i="76" s="1"/>
  <c r="S227" i="76" a="1"/>
  <c r="S227" i="76" s="1"/>
  <c r="P74" i="69"/>
  <c r="O91" i="76"/>
  <c r="E69" i="69"/>
  <c r="E19" i="76"/>
  <c r="E29" i="76" s="1" a="1"/>
  <c r="E29" i="76" s="1"/>
  <c r="O74" i="69"/>
  <c r="N91" i="76"/>
  <c r="Q69" i="69"/>
  <c r="P19" i="76"/>
  <c r="P29" i="76" s="1" a="1"/>
  <c r="P29" i="76" s="1"/>
  <c r="F228" i="76" a="1"/>
  <c r="F228" i="76" s="1"/>
  <c r="F230" i="76" a="1"/>
  <c r="F230" i="76" s="1"/>
  <c r="F229" i="76" a="1"/>
  <c r="F229" i="76" s="1"/>
  <c r="F231" i="76" a="1"/>
  <c r="F231" i="76" s="1"/>
  <c r="D74" i="69"/>
  <c r="D91" i="76"/>
  <c r="F69" i="69"/>
  <c r="F19" i="76"/>
  <c r="F29" i="76" s="1" a="1"/>
  <c r="F29" i="76" s="1"/>
  <c r="G228" i="76" a="1"/>
  <c r="G228" i="76" s="1"/>
  <c r="G230" i="76" a="1"/>
  <c r="G230" i="76" s="1"/>
  <c r="G231" i="76" a="1"/>
  <c r="G231" i="76" s="1"/>
  <c r="G229" i="76" a="1"/>
  <c r="G229" i="76" s="1"/>
  <c r="H69" i="69"/>
  <c r="H19" i="76"/>
  <c r="H29" i="76" s="1" a="1"/>
  <c r="H29" i="76" s="1"/>
  <c r="O69" i="69"/>
  <c r="N19" i="76"/>
  <c r="N29" i="76" s="1" a="1"/>
  <c r="N29" i="76" s="1"/>
  <c r="H225" i="76" a="1"/>
  <c r="H225" i="76" s="1"/>
  <c r="H227" i="76" a="1"/>
  <c r="H227" i="76" s="1"/>
  <c r="H224" i="76" a="1"/>
  <c r="H224" i="76" s="1"/>
  <c r="H226" i="76" a="1"/>
  <c r="H226" i="76" s="1"/>
  <c r="H230" i="76" a="1"/>
  <c r="H230" i="76" s="1"/>
  <c r="H229" i="76" a="1"/>
  <c r="H229" i="76" s="1"/>
  <c r="H228" i="76" a="1"/>
  <c r="H228" i="76" s="1"/>
  <c r="H231" i="76" a="1"/>
  <c r="H231" i="76" s="1"/>
  <c r="S69" i="69"/>
  <c r="R19" i="76"/>
  <c r="R29" i="76" s="1" a="1"/>
  <c r="R29" i="76" s="1"/>
  <c r="D69" i="69"/>
  <c r="D19" i="76"/>
  <c r="D29" i="76" s="1" a="1"/>
  <c r="D29" i="76" s="1"/>
  <c r="Q224" i="76" a="1"/>
  <c r="Q224" i="76" s="1"/>
  <c r="Q226" i="76" a="1"/>
  <c r="Q226" i="76" s="1"/>
  <c r="Q227" i="76" a="1"/>
  <c r="Q227" i="76" s="1"/>
  <c r="Q225" i="76" a="1"/>
  <c r="Q225" i="76" s="1"/>
  <c r="Q229" i="76" a="1"/>
  <c r="Q229" i="76" s="1"/>
  <c r="Q231" i="76" a="1"/>
  <c r="Q231" i="76" s="1"/>
  <c r="Q228" i="76" a="1"/>
  <c r="Q228" i="76" s="1"/>
  <c r="Q230" i="76" a="1"/>
  <c r="Q230" i="76" s="1"/>
  <c r="G69" i="69"/>
  <c r="G19" i="76"/>
  <c r="G29" i="76" s="1" a="1"/>
  <c r="G29" i="76" s="1"/>
  <c r="S229" i="76" a="1"/>
  <c r="S229" i="76" s="1"/>
  <c r="S231" i="76" a="1"/>
  <c r="S231" i="76" s="1"/>
  <c r="S228" i="76" a="1"/>
  <c r="S228" i="76" s="1"/>
  <c r="S230" i="76" a="1"/>
  <c r="S230" i="76" s="1"/>
  <c r="R69" i="69"/>
  <c r="R84" i="69" s="1" a="1"/>
  <c r="R84" i="69" s="1"/>
  <c r="Q19" i="76"/>
  <c r="Q29" i="76" s="1" a="1"/>
  <c r="Q29" i="76" s="1"/>
  <c r="G225" i="76" a="1"/>
  <c r="G225" i="76" s="1"/>
  <c r="G227" i="76" a="1"/>
  <c r="G227" i="76" s="1"/>
  <c r="G224" i="76" a="1"/>
  <c r="G224" i="76" s="1"/>
  <c r="G226" i="76" a="1"/>
  <c r="G226" i="76" s="1"/>
  <c r="H74" i="69"/>
  <c r="H91" i="76"/>
  <c r="I225" i="76" a="1"/>
  <c r="I225" i="76" s="1"/>
  <c r="I227" i="76" a="1"/>
  <c r="I227" i="76" s="1"/>
  <c r="I224" i="76" a="1"/>
  <c r="I224" i="76" s="1"/>
  <c r="I226" i="76" a="1"/>
  <c r="I226" i="76" s="1"/>
  <c r="S74" i="69"/>
  <c r="R91" i="76"/>
  <c r="J125" i="69"/>
  <c r="J147" i="69" s="1" a="1"/>
  <c r="J147" i="69" s="1"/>
  <c r="J127" i="69"/>
  <c r="J149" i="69" s="1" a="1"/>
  <c r="J149" i="69" s="1"/>
  <c r="J126" i="69"/>
  <c r="J148" i="69" s="1" a="1"/>
  <c r="J148" i="69" s="1"/>
  <c r="J170" i="69"/>
  <c r="Q125" i="69"/>
  <c r="Q147" i="69" s="1" a="1"/>
  <c r="Q147" i="69" s="1"/>
  <c r="Q126" i="69"/>
  <c r="Q148" i="69" s="1" a="1"/>
  <c r="Q148" i="69" s="1"/>
  <c r="Q127" i="69"/>
  <c r="Q149" i="69" s="1" a="1"/>
  <c r="Q149" i="69" s="1"/>
  <c r="Q170" i="69"/>
  <c r="S127" i="69"/>
  <c r="S149" i="69" s="1" a="1"/>
  <c r="S149" i="69" s="1"/>
  <c r="S126" i="69"/>
  <c r="S148" i="69" s="1" a="1"/>
  <c r="S148" i="69" s="1"/>
  <c r="S125" i="69"/>
  <c r="S147" i="69" s="1" a="1"/>
  <c r="S147" i="69" s="1"/>
  <c r="S170" i="69"/>
  <c r="T169" i="69"/>
  <c r="T124" i="69"/>
  <c r="T146" i="69" s="1" a="1"/>
  <c r="T146" i="69" s="1"/>
  <c r="T123" i="69"/>
  <c r="T145" i="69" s="1" a="1"/>
  <c r="T145" i="69" s="1"/>
  <c r="T122" i="69"/>
  <c r="T144" i="69" s="1" a="1"/>
  <c r="T144" i="69" s="1"/>
  <c r="F124" i="69"/>
  <c r="F146" i="69" s="1" a="1"/>
  <c r="F146" i="69" s="1"/>
  <c r="F123" i="69"/>
  <c r="F145" i="69" s="1" a="1"/>
  <c r="F145" i="69" s="1"/>
  <c r="F144" i="69" a="1"/>
  <c r="F144" i="69" s="1"/>
  <c r="U127" i="69"/>
  <c r="U149" i="69" s="1" a="1"/>
  <c r="U149" i="69" s="1"/>
  <c r="U126" i="69"/>
  <c r="U148" i="69" s="1" a="1"/>
  <c r="U148" i="69" s="1"/>
  <c r="U125" i="69"/>
  <c r="U147" i="69" s="1" a="1"/>
  <c r="U147" i="69" s="1"/>
  <c r="U170" i="69"/>
  <c r="F126" i="69"/>
  <c r="F148" i="69" s="1" a="1"/>
  <c r="F148" i="69" s="1"/>
  <c r="F170" i="69"/>
  <c r="F125" i="69"/>
  <c r="F147" i="69" s="1" a="1"/>
  <c r="F147" i="69" s="1"/>
  <c r="F127" i="69"/>
  <c r="F149" i="69" s="1" a="1"/>
  <c r="F149" i="69" s="1"/>
  <c r="H125" i="69"/>
  <c r="H147" i="69" s="1" a="1"/>
  <c r="H147" i="69" s="1"/>
  <c r="H170" i="69"/>
  <c r="H127" i="69"/>
  <c r="H149" i="69" s="1" a="1"/>
  <c r="H149" i="69" s="1"/>
  <c r="H126" i="69"/>
  <c r="H148" i="69" s="1" a="1"/>
  <c r="H148" i="69" s="1"/>
  <c r="J124" i="69"/>
  <c r="J146" i="69" s="1" a="1"/>
  <c r="J146" i="69" s="1"/>
  <c r="J123" i="69"/>
  <c r="J145" i="69" s="1" a="1"/>
  <c r="J145" i="69" s="1"/>
  <c r="J122" i="69"/>
  <c r="J144" i="69" s="1" a="1"/>
  <c r="J144" i="69" s="1"/>
  <c r="G125" i="69"/>
  <c r="G147" i="69" s="1" a="1"/>
  <c r="G147" i="69" s="1"/>
  <c r="G170" i="69"/>
  <c r="G127" i="69"/>
  <c r="G149" i="69" s="1" a="1"/>
  <c r="G149" i="69" s="1"/>
  <c r="G126" i="69"/>
  <c r="G148" i="69" s="1" a="1"/>
  <c r="G148" i="69" s="1"/>
  <c r="H122" i="69"/>
  <c r="H144" i="69" s="1" a="1"/>
  <c r="H144" i="69" s="1"/>
  <c r="H124" i="69"/>
  <c r="H146" i="69" s="1" a="1"/>
  <c r="H146" i="69" s="1"/>
  <c r="H123" i="69"/>
  <c r="H145" i="69" s="1" a="1"/>
  <c r="H145" i="69" s="1"/>
  <c r="R122" i="69"/>
  <c r="R144" i="69" s="1" a="1"/>
  <c r="R144" i="69" s="1"/>
  <c r="R169" i="69"/>
  <c r="R124" i="69"/>
  <c r="R146" i="69" s="1" a="1"/>
  <c r="R146" i="69" s="1"/>
  <c r="R123" i="69"/>
  <c r="R145" i="69" s="1" a="1"/>
  <c r="R145" i="69" s="1"/>
  <c r="T170" i="69"/>
  <c r="T126" i="69"/>
  <c r="T148" i="69" s="1" a="1"/>
  <c r="T148" i="69" s="1"/>
  <c r="T125" i="69"/>
  <c r="T147" i="69" s="1" a="1"/>
  <c r="T147" i="69" s="1"/>
  <c r="T127" i="69"/>
  <c r="T149" i="69" s="1" a="1"/>
  <c r="T149" i="69" s="1"/>
  <c r="I170" i="69"/>
  <c r="I127" i="69"/>
  <c r="I149" i="69" s="1" a="1"/>
  <c r="I149" i="69" s="1"/>
  <c r="I126" i="69"/>
  <c r="I148" i="69" s="1" a="1"/>
  <c r="I148" i="69" s="1"/>
  <c r="I125" i="69"/>
  <c r="I147" i="69" s="1" a="1"/>
  <c r="I147" i="69" s="1"/>
  <c r="G124" i="69"/>
  <c r="G146" i="69" s="1" a="1"/>
  <c r="G146" i="69" s="1"/>
  <c r="G123" i="69"/>
  <c r="G145" i="69" s="1" a="1"/>
  <c r="G145" i="69" s="1"/>
  <c r="G122" i="69"/>
  <c r="G144" i="69" s="1" a="1"/>
  <c r="G144" i="69" s="1"/>
  <c r="Q169" i="69"/>
  <c r="Q123" i="69"/>
  <c r="Q145" i="69" s="1" a="1"/>
  <c r="Q145" i="69" s="1"/>
  <c r="Q124" i="69"/>
  <c r="Q146" i="69" s="1" a="1"/>
  <c r="Q146" i="69" s="1"/>
  <c r="Q122" i="69"/>
  <c r="Q144" i="69" s="1" a="1"/>
  <c r="Q144" i="69" s="1"/>
  <c r="R125" i="69"/>
  <c r="R147" i="69" s="1" a="1"/>
  <c r="R147" i="69" s="1"/>
  <c r="R127" i="69"/>
  <c r="R149" i="69" s="1" a="1"/>
  <c r="R149" i="69" s="1"/>
  <c r="R126" i="69"/>
  <c r="R148" i="69" s="1" a="1"/>
  <c r="R148" i="69" s="1"/>
  <c r="R170" i="69"/>
  <c r="I122" i="69"/>
  <c r="I144" i="69" s="1" a="1"/>
  <c r="I144" i="69" s="1"/>
  <c r="I124" i="69"/>
  <c r="I146" i="69" s="1" a="1"/>
  <c r="I146" i="69" s="1"/>
  <c r="I123" i="69"/>
  <c r="I145" i="69" s="1" a="1"/>
  <c r="I145" i="69" s="1"/>
  <c r="S122" i="69"/>
  <c r="S144" i="69" s="1" a="1"/>
  <c r="S144" i="69" s="1"/>
  <c r="S169" i="69"/>
  <c r="S124" i="69"/>
  <c r="S146" i="69" s="1" a="1"/>
  <c r="S146" i="69" s="1"/>
  <c r="S123" i="69"/>
  <c r="S145" i="69" s="1" a="1"/>
  <c r="S145" i="69" s="1"/>
  <c r="U169" i="69"/>
  <c r="U123" i="69"/>
  <c r="U145" i="69" s="1" a="1"/>
  <c r="U145" i="69" s="1"/>
  <c r="U122" i="69"/>
  <c r="U144" i="69" s="1" a="1"/>
  <c r="U144" i="69" s="1"/>
  <c r="U124" i="69"/>
  <c r="U146" i="69" s="1" a="1"/>
  <c r="U146" i="69" s="1"/>
  <c r="J46" i="96"/>
  <c r="G149" i="70"/>
  <c r="F149" i="70"/>
  <c r="E149" i="70"/>
  <c r="D84" i="69" l="1" a="1"/>
  <c r="D84" i="69" s="1"/>
  <c r="D103" i="69" s="1" a="1"/>
  <c r="D103" i="69" s="1"/>
  <c r="G84" i="69" a="1"/>
  <c r="G84" i="69" s="1"/>
  <c r="G50" i="76" s="1"/>
  <c r="F84" i="69" a="1"/>
  <c r="F84" i="69" s="1"/>
  <c r="F103" i="69" s="1" a="1"/>
  <c r="F103" i="69" s="1"/>
  <c r="E84" i="69" a="1"/>
  <c r="E84" i="69" s="1"/>
  <c r="E103" i="69" s="1" a="1"/>
  <c r="E103" i="69" s="1"/>
  <c r="H84" i="69" a="1"/>
  <c r="H84" i="69" s="1"/>
  <c r="H103" i="69" s="1" a="1"/>
  <c r="H103" i="69" s="1"/>
  <c r="I43" i="97"/>
  <c r="I66" i="82"/>
  <c r="Q84" i="69" a="1"/>
  <c r="Q84" i="69" s="1"/>
  <c r="P50" i="76" s="1"/>
  <c r="P84" i="69" a="1"/>
  <c r="P84" i="69" s="1"/>
  <c r="O50" i="76" s="1"/>
  <c r="S84" i="69" a="1"/>
  <c r="S84" i="69" s="1"/>
  <c r="S103" i="69" s="1" a="1"/>
  <c r="S103" i="69" s="1"/>
  <c r="O84" i="69" a="1"/>
  <c r="O84" i="69" s="1"/>
  <c r="O103" i="69" s="1" a="1"/>
  <c r="O103" i="69" s="1"/>
  <c r="R176" i="69" a="1"/>
  <c r="R176" i="69" s="1"/>
  <c r="G176" i="69" a="1"/>
  <c r="G176" i="69" s="1"/>
  <c r="Q176" i="69" a="1"/>
  <c r="Q176" i="69" s="1"/>
  <c r="J176" i="69" a="1"/>
  <c r="J176" i="69" s="1"/>
  <c r="S175" i="69" a="1"/>
  <c r="S175" i="69" s="1"/>
  <c r="F176" i="69" a="1"/>
  <c r="F176" i="69" s="1"/>
  <c r="U176" i="69" a="1"/>
  <c r="U176" i="69" s="1"/>
  <c r="I176" i="69" a="1"/>
  <c r="I176" i="69" s="1"/>
  <c r="R103" i="69" a="1"/>
  <c r="R103" i="69" s="1"/>
  <c r="Q50" i="76"/>
  <c r="T176" i="69" a="1"/>
  <c r="T176" i="69" s="1"/>
  <c r="G175" i="69" a="1"/>
  <c r="G175" i="69" s="1"/>
  <c r="S176" i="69" a="1"/>
  <c r="S176" i="69" s="1"/>
  <c r="H175" i="69" a="1"/>
  <c r="H175" i="69" s="1"/>
  <c r="U175" i="69" a="1"/>
  <c r="U175" i="69" s="1"/>
  <c r="Q175" i="69" a="1"/>
  <c r="Q175" i="69" s="1"/>
  <c r="R175" i="69" a="1"/>
  <c r="R175" i="69" s="1"/>
  <c r="H176" i="69" a="1"/>
  <c r="H176" i="69" s="1"/>
  <c r="F175" i="69" a="1"/>
  <c r="F175" i="69" s="1"/>
  <c r="J175" i="69" a="1"/>
  <c r="J175" i="69" s="1"/>
  <c r="T175" i="69" a="1"/>
  <c r="T175" i="69" s="1"/>
  <c r="I175" i="69" a="1"/>
  <c r="I175" i="69" s="1"/>
  <c r="U207" i="69" l="1" a="1"/>
  <c r="U207" i="69" s="1"/>
  <c r="U260" i="69" s="1" a="1"/>
  <c r="U260" i="69" s="1"/>
  <c r="T207" i="69" a="1"/>
  <c r="T207" i="69" s="1"/>
  <c r="T260" i="69" s="1" a="1"/>
  <c r="T260" i="69" s="1"/>
  <c r="J207" i="69" a="1"/>
  <c r="J207" i="69" s="1"/>
  <c r="J260" i="69" s="1" a="1"/>
  <c r="J260" i="69" s="1"/>
  <c r="H207" i="69" a="1"/>
  <c r="H207" i="69" s="1"/>
  <c r="H260" i="69" s="1" a="1"/>
  <c r="H260" i="69" s="1"/>
  <c r="Q207" i="69" a="1"/>
  <c r="Q207" i="69" s="1"/>
  <c r="Q260" i="69" s="1" a="1"/>
  <c r="Q260" i="69" s="1"/>
  <c r="G207" i="69" a="1"/>
  <c r="G207" i="69" s="1"/>
  <c r="G260" i="69" s="1" a="1"/>
  <c r="G260" i="69" s="1"/>
  <c r="F207" i="69" a="1"/>
  <c r="F207" i="69" s="1"/>
  <c r="F260" i="69" s="1" a="1"/>
  <c r="F260" i="69" s="1"/>
  <c r="F50" i="76"/>
  <c r="F65" i="76" s="1" a="1"/>
  <c r="F65" i="76" s="1"/>
  <c r="F96" i="76" s="1" a="1"/>
  <c r="F96" i="76" s="1"/>
  <c r="G103" i="69" a="1"/>
  <c r="G103" i="69" s="1"/>
  <c r="D50" i="76"/>
  <c r="D119" i="76" s="1" a="1"/>
  <c r="D119" i="76" s="1"/>
  <c r="H50" i="76"/>
  <c r="H65" i="76" s="1" a="1"/>
  <c r="H65" i="76" s="1"/>
  <c r="H96" i="76" s="1" a="1"/>
  <c r="H96" i="76" s="1"/>
  <c r="R50" i="76"/>
  <c r="R119" i="76" s="1" a="1"/>
  <c r="R119" i="76" s="1"/>
  <c r="Q103" i="69" a="1"/>
  <c r="Q103" i="69" s="1"/>
  <c r="E50" i="76"/>
  <c r="E65" i="76" s="1" a="1"/>
  <c r="E65" i="76" s="1"/>
  <c r="E96" i="76" s="1" a="1"/>
  <c r="E96" i="76" s="1"/>
  <c r="P103" i="69" a="1"/>
  <c r="P103" i="69" s="1"/>
  <c r="N50" i="76"/>
  <c r="N65" i="76" s="1" a="1"/>
  <c r="N65" i="76" s="1"/>
  <c r="N96" i="76" s="1" a="1"/>
  <c r="N96" i="76" s="1"/>
  <c r="P65" i="76" a="1"/>
  <c r="P65" i="76" s="1"/>
  <c r="P96" i="76" s="1" a="1"/>
  <c r="P96" i="76" s="1"/>
  <c r="P119" i="76" a="1"/>
  <c r="P119" i="76" s="1"/>
  <c r="Q65" i="76" a="1"/>
  <c r="Q65" i="76" s="1"/>
  <c r="Q96" i="76" s="1" a="1"/>
  <c r="Q96" i="76" s="1"/>
  <c r="Q119" i="76" a="1"/>
  <c r="Q119" i="76" s="1"/>
  <c r="G119" i="76" a="1"/>
  <c r="G119" i="76" s="1"/>
  <c r="G65" i="76" a="1"/>
  <c r="G65" i="76" s="1"/>
  <c r="G96" i="76" s="1" a="1"/>
  <c r="G96" i="76" s="1"/>
  <c r="O65" i="76" a="1"/>
  <c r="O65" i="76" s="1"/>
  <c r="O96" i="76" s="1" a="1"/>
  <c r="O96" i="76" s="1"/>
  <c r="O119" i="76" a="1"/>
  <c r="O119" i="76" s="1"/>
  <c r="A39" i="74"/>
  <c r="A38" i="74"/>
  <c r="A37" i="74"/>
  <c r="A36" i="74"/>
  <c r="A33" i="74"/>
  <c r="A30" i="74"/>
  <c r="A29" i="74"/>
  <c r="A28" i="74"/>
  <c r="A27" i="74"/>
  <c r="A26" i="74"/>
  <c r="A25" i="74"/>
  <c r="A24" i="74"/>
  <c r="A19" i="74"/>
  <c r="A18" i="74"/>
  <c r="A15" i="74"/>
  <c r="A14" i="74"/>
  <c r="A13" i="74"/>
  <c r="A12" i="74"/>
  <c r="A11" i="74"/>
  <c r="A10" i="74"/>
  <c r="A9" i="74"/>
  <c r="A8" i="74"/>
  <c r="A7" i="74"/>
  <c r="A4" i="74"/>
  <c r="S207" i="69" l="1" a="1"/>
  <c r="S207" i="69" s="1"/>
  <c r="S260" i="69" s="1" a="1"/>
  <c r="S260" i="69" s="1"/>
  <c r="F119" i="76" a="1"/>
  <c r="F119" i="76" s="1"/>
  <c r="F139" i="76" s="1" a="1"/>
  <c r="F139" i="76" s="1"/>
  <c r="F206" i="76" s="1" a="1"/>
  <c r="F206" i="76" s="1"/>
  <c r="F19" i="96" s="1"/>
  <c r="R207" i="69" a="1"/>
  <c r="R207" i="69" s="1"/>
  <c r="R260" i="69" s="1" a="1"/>
  <c r="R260" i="69" s="1"/>
  <c r="I207" i="69" a="1"/>
  <c r="I207" i="69" s="1"/>
  <c r="I260" i="69" s="1" a="1"/>
  <c r="I260" i="69" s="1"/>
  <c r="N119" i="76" a="1"/>
  <c r="N119" i="76" s="1"/>
  <c r="N139" i="76" s="1" a="1"/>
  <c r="N139" i="76" s="1"/>
  <c r="D65" i="76" a="1"/>
  <c r="D65" i="76" s="1"/>
  <c r="D96" i="76" s="1" a="1"/>
  <c r="D96" i="76" s="1"/>
  <c r="D139" i="76" s="1" a="1"/>
  <c r="D139" i="76" s="1"/>
  <c r="D206" i="76" s="1" a="1"/>
  <c r="D206" i="76" s="1"/>
  <c r="E119" i="76" a="1"/>
  <c r="E119" i="76" s="1"/>
  <c r="E139" i="76" s="1" a="1"/>
  <c r="E139" i="76" s="1"/>
  <c r="H119" i="76" a="1"/>
  <c r="H119" i="76" s="1"/>
  <c r="H139" i="76" s="1" a="1"/>
  <c r="H139" i="76" s="1"/>
  <c r="R65" i="76" a="1"/>
  <c r="R65" i="76" s="1"/>
  <c r="R96" i="76" s="1" a="1"/>
  <c r="R96" i="76" s="1"/>
  <c r="R139" i="76" s="1" a="1"/>
  <c r="R139" i="76" s="1"/>
  <c r="R169" i="76" s="1" a="1"/>
  <c r="R169" i="76" s="1"/>
  <c r="Q139" i="76" a="1"/>
  <c r="Q139" i="76" s="1"/>
  <c r="Q169" i="76" s="1" a="1"/>
  <c r="Q169" i="76" s="1"/>
  <c r="R19" i="96" s="1"/>
  <c r="G139" i="76" a="1"/>
  <c r="G139" i="76" s="1"/>
  <c r="G206" i="76" s="1" a="1"/>
  <c r="G206" i="76" s="1"/>
  <c r="O139" i="76" a="1"/>
  <c r="O139" i="76" s="1"/>
  <c r="P139" i="76" a="1"/>
  <c r="P139" i="76" s="1"/>
  <c r="G139" i="70"/>
  <c r="F139" i="70"/>
  <c r="G144" i="70"/>
  <c r="F144" i="70"/>
  <c r="E144" i="70"/>
  <c r="G169" i="76" l="1" a="1"/>
  <c r="G169" i="76" s="1"/>
  <c r="G19" i="96" s="1"/>
  <c r="I31" i="96" s="1" a="1"/>
  <c r="I31" i="96" s="1"/>
  <c r="H169" i="76" a="1"/>
  <c r="H169" i="76" s="1"/>
  <c r="H206" i="76" a="1"/>
  <c r="H206" i="76" s="1"/>
  <c r="H19" i="96" s="1"/>
  <c r="U31" i="96" s="1" a="1"/>
  <c r="U31" i="96" s="1"/>
  <c r="F169" i="76" a="1"/>
  <c r="F169" i="76" s="1"/>
  <c r="D169" i="76" a="1"/>
  <c r="D169" i="76" s="1"/>
  <c r="D19" i="96" s="1"/>
  <c r="Q31" i="96" s="1" a="1"/>
  <c r="Q31" i="96" s="1"/>
  <c r="R206" i="76" a="1"/>
  <c r="R206" i="76" s="1"/>
  <c r="S31" i="96" a="1"/>
  <c r="S31" i="96" s="1"/>
  <c r="H31" i="96" a="1"/>
  <c r="H31" i="96" s="1"/>
  <c r="Q206" i="76" a="1"/>
  <c r="Q206" i="76" s="1"/>
  <c r="H243" i="76" a="1"/>
  <c r="H243" i="76" s="1"/>
  <c r="H47" i="81" s="1"/>
  <c r="H242" i="76" a="1"/>
  <c r="H242" i="76" s="1"/>
  <c r="H46" i="81" s="1"/>
  <c r="H241" i="76" a="1"/>
  <c r="H241" i="76" s="1"/>
  <c r="H45" i="81" s="1"/>
  <c r="H239" i="76" a="1"/>
  <c r="H239" i="76" s="1"/>
  <c r="H43" i="81" s="1"/>
  <c r="H237" i="76" a="1"/>
  <c r="H237" i="76" s="1"/>
  <c r="H41" i="81" s="1"/>
  <c r="H236" i="76" a="1"/>
  <c r="H236" i="76" s="1"/>
  <c r="H40" i="81" s="1"/>
  <c r="H240" i="76" a="1"/>
  <c r="H240" i="76" s="1"/>
  <c r="H44" i="81" s="1"/>
  <c r="H238" i="76" a="1"/>
  <c r="H238" i="76" s="1"/>
  <c r="H42" i="81" s="1"/>
  <c r="S243" i="76" a="1"/>
  <c r="S243" i="76" s="1"/>
  <c r="T47" i="81" s="1"/>
  <c r="S241" i="76" a="1"/>
  <c r="S241" i="76" s="1"/>
  <c r="T45" i="81" s="1"/>
  <c r="S236" i="76" a="1"/>
  <c r="S236" i="76" s="1"/>
  <c r="T40" i="81" s="1"/>
  <c r="S239" i="76" a="1"/>
  <c r="S239" i="76" s="1"/>
  <c r="T43" i="81" s="1"/>
  <c r="S238" i="76" a="1"/>
  <c r="S238" i="76" s="1"/>
  <c r="T42" i="81" s="1"/>
  <c r="S240" i="76" a="1"/>
  <c r="S240" i="76" s="1"/>
  <c r="T44" i="81" s="1"/>
  <c r="S237" i="76" a="1"/>
  <c r="S237" i="76" s="1"/>
  <c r="T41" i="81" s="1"/>
  <c r="S242" i="76" a="1"/>
  <c r="S242" i="76" s="1"/>
  <c r="T46" i="81" s="1"/>
  <c r="O169" i="76" a="1"/>
  <c r="O169" i="76" s="1"/>
  <c r="P19" i="96" s="1"/>
  <c r="O206" i="76" a="1"/>
  <c r="O206" i="76" s="1"/>
  <c r="E169" i="76" a="1"/>
  <c r="E169" i="76" s="1"/>
  <c r="E19" i="96" s="1"/>
  <c r="E206" i="76" a="1"/>
  <c r="E206" i="76" s="1"/>
  <c r="N169" i="76" a="1"/>
  <c r="N169" i="76" s="1"/>
  <c r="O19" i="96" s="1"/>
  <c r="N206" i="76" a="1"/>
  <c r="N206" i="76" s="1"/>
  <c r="P169" i="76" a="1"/>
  <c r="P169" i="76" s="1"/>
  <c r="P206" i="76" a="1"/>
  <c r="P206" i="76" s="1"/>
  <c r="Q19" i="96" s="1"/>
  <c r="T236" i="76" l="1" a="1"/>
  <c r="T236" i="76" s="1"/>
  <c r="U40" i="81" s="1"/>
  <c r="S19" i="96"/>
  <c r="I243" i="76" a="1"/>
  <c r="I243" i="76" s="1"/>
  <c r="I47" i="81" s="1"/>
  <c r="I239" i="76" a="1"/>
  <c r="I239" i="76" s="1"/>
  <c r="I43" i="81" s="1"/>
  <c r="I242" i="76" a="1"/>
  <c r="I242" i="76" s="1"/>
  <c r="I46" i="81" s="1"/>
  <c r="I241" i="76" a="1"/>
  <c r="I241" i="76" s="1"/>
  <c r="I45" i="81" s="1"/>
  <c r="I236" i="76" a="1"/>
  <c r="I236" i="76" s="1"/>
  <c r="I40" i="81" s="1"/>
  <c r="I237" i="76" a="1"/>
  <c r="I237" i="76" s="1"/>
  <c r="I41" i="81" s="1"/>
  <c r="I238" i="76" a="1"/>
  <c r="I238" i="76" s="1"/>
  <c r="I42" i="81" s="1"/>
  <c r="T31" i="96" a="1"/>
  <c r="T31" i="96" s="1"/>
  <c r="T51" i="96" s="1" a="1"/>
  <c r="T51" i="96" s="1"/>
  <c r="I240" i="76" a="1"/>
  <c r="I240" i="76" s="1"/>
  <c r="I44" i="81" s="1"/>
  <c r="J241" i="76" a="1"/>
  <c r="J241" i="76" s="1"/>
  <c r="J45" i="81" s="1"/>
  <c r="F243" i="76" a="1"/>
  <c r="F243" i="76" s="1"/>
  <c r="F47" i="81" s="1"/>
  <c r="J239" i="76" a="1"/>
  <c r="J239" i="76" s="1"/>
  <c r="J43" i="81" s="1"/>
  <c r="F237" i="76" a="1"/>
  <c r="F237" i="76" s="1"/>
  <c r="F41" i="81" s="1"/>
  <c r="F239" i="76" a="1"/>
  <c r="F239" i="76" s="1"/>
  <c r="F43" i="81" s="1"/>
  <c r="T239" i="76" a="1"/>
  <c r="T239" i="76" s="1"/>
  <c r="U43" i="81" s="1"/>
  <c r="F238" i="76" a="1"/>
  <c r="F238" i="76" s="1"/>
  <c r="F42" i="81" s="1"/>
  <c r="T240" i="76" a="1"/>
  <c r="T240" i="76" s="1"/>
  <c r="U44" i="81" s="1"/>
  <c r="T238" i="76" a="1"/>
  <c r="T238" i="76" s="1"/>
  <c r="U42" i="81" s="1"/>
  <c r="T243" i="76" a="1"/>
  <c r="T243" i="76" s="1"/>
  <c r="U47" i="81" s="1"/>
  <c r="J236" i="76" a="1"/>
  <c r="J236" i="76" s="1"/>
  <c r="F31" i="96" a="1"/>
  <c r="F31" i="96" s="1"/>
  <c r="F23" i="98" s="1"/>
  <c r="F28" i="98" s="1" a="1"/>
  <c r="F28" i="98" s="1"/>
  <c r="J242" i="76" a="1"/>
  <c r="J242" i="76" s="1"/>
  <c r="J25" i="82" s="1"/>
  <c r="J46" i="82" s="1" a="1"/>
  <c r="J46" i="82" s="1"/>
  <c r="T242" i="76" a="1"/>
  <c r="T242" i="76" s="1"/>
  <c r="U46" i="81" s="1"/>
  <c r="J31" i="96" a="1"/>
  <c r="J31" i="96" s="1"/>
  <c r="J51" i="96" s="1" a="1"/>
  <c r="J51" i="96" s="1"/>
  <c r="T241" i="76" a="1"/>
  <c r="T241" i="76" s="1"/>
  <c r="T276" i="76" s="1" a="1"/>
  <c r="T276" i="76" s="1"/>
  <c r="J243" i="76" a="1"/>
  <c r="J243" i="76" s="1"/>
  <c r="J240" i="76" a="1"/>
  <c r="J240" i="76" s="1"/>
  <c r="J238" i="76" a="1"/>
  <c r="J238" i="76" s="1"/>
  <c r="J273" i="76" s="1" a="1"/>
  <c r="J273" i="76" s="1"/>
  <c r="F236" i="76" a="1"/>
  <c r="F236" i="76" s="1"/>
  <c r="J237" i="76" a="1"/>
  <c r="J237" i="76" s="1"/>
  <c r="J41" i="81" s="1"/>
  <c r="F240" i="76" a="1"/>
  <c r="F240" i="76" s="1"/>
  <c r="F241" i="76" a="1"/>
  <c r="F241" i="76" s="1"/>
  <c r="F45" i="81" s="1"/>
  <c r="F242" i="76" a="1"/>
  <c r="F242" i="76" s="1"/>
  <c r="F277" i="76" s="1" a="1"/>
  <c r="F277" i="76" s="1"/>
  <c r="T237" i="76" a="1"/>
  <c r="T237" i="76" s="1"/>
  <c r="U41" i="81" s="1"/>
  <c r="H23" i="98"/>
  <c r="H28" i="98" s="1" a="1"/>
  <c r="H28" i="98" s="1"/>
  <c r="H19" i="97"/>
  <c r="H24" i="97" s="1" a="1"/>
  <c r="H24" i="97" s="1"/>
  <c r="S23" i="98"/>
  <c r="S28" i="98" s="1" a="1"/>
  <c r="S28" i="98" s="1"/>
  <c r="S19" i="97"/>
  <c r="S24" i="97" s="1" a="1"/>
  <c r="S24" i="97" s="1"/>
  <c r="Q23" i="98"/>
  <c r="Q28" i="98" s="1" a="1"/>
  <c r="Q28" i="98" s="1"/>
  <c r="Q19" i="97"/>
  <c r="Q24" i="97" s="1" a="1"/>
  <c r="Q24" i="97" s="1"/>
  <c r="U23" i="98"/>
  <c r="U28" i="98" s="1" a="1"/>
  <c r="U28" i="98" s="1"/>
  <c r="U19" i="97"/>
  <c r="U24" i="97" s="1" a="1"/>
  <c r="U24" i="97" s="1"/>
  <c r="I19" i="97"/>
  <c r="I24" i="97" s="1" a="1"/>
  <c r="I24" i="97" s="1"/>
  <c r="I23" i="98"/>
  <c r="I28" i="98" s="1" a="1"/>
  <c r="I28" i="98" s="1"/>
  <c r="H51" i="96" a="1"/>
  <c r="H51" i="96" s="1"/>
  <c r="S51" i="96" a="1"/>
  <c r="S51" i="96" s="1"/>
  <c r="Q51" i="96" a="1"/>
  <c r="Q51" i="96" s="1"/>
  <c r="U51" i="96" a="1"/>
  <c r="U51" i="96" s="1"/>
  <c r="I51" i="96" a="1"/>
  <c r="I51" i="96" s="1"/>
  <c r="R31" i="96" a="1"/>
  <c r="R3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U19" i="82"/>
  <c r="U40" i="82" s="1" a="1"/>
  <c r="U40"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74" i="76" a="1"/>
  <c r="H274" i="76" s="1"/>
  <c r="H276" i="76" a="1"/>
  <c r="H276" i="76" s="1"/>
  <c r="H277" i="76" a="1"/>
  <c r="H277" i="76" s="1"/>
  <c r="P240" i="76" a="1"/>
  <c r="P240" i="76" s="1"/>
  <c r="Q44" i="81" s="1"/>
  <c r="P238" i="76" a="1"/>
  <c r="P238" i="76" s="1"/>
  <c r="Q42" i="81" s="1"/>
  <c r="P243" i="76" a="1"/>
  <c r="P243" i="76" s="1"/>
  <c r="Q47" i="81" s="1"/>
  <c r="P241" i="76" a="1"/>
  <c r="P241" i="76" s="1"/>
  <c r="Q45" i="81" s="1"/>
  <c r="P236" i="76" a="1"/>
  <c r="P236" i="76" s="1"/>
  <c r="Q40" i="81" s="1"/>
  <c r="P239" i="76" a="1"/>
  <c r="P239" i="76" s="1"/>
  <c r="Q43" i="81" s="1"/>
  <c r="P242" i="76" a="1"/>
  <c r="P242" i="76" s="1"/>
  <c r="Q46" i="81" s="1"/>
  <c r="P237" i="76" a="1"/>
  <c r="P237" i="76" s="1"/>
  <c r="Q41" i="81" s="1"/>
  <c r="S275" i="76" a="1"/>
  <c r="S275" i="76" s="1"/>
  <c r="S276" i="76" a="1"/>
  <c r="S276" i="76" s="1"/>
  <c r="S277" i="76" a="1"/>
  <c r="S277" i="76" s="1"/>
  <c r="H278" i="76" a="1"/>
  <c r="H278" i="76" s="1"/>
  <c r="S278" i="76" a="1"/>
  <c r="S278" i="76" s="1"/>
  <c r="H273" i="76" a="1"/>
  <c r="H273" i="76" s="1"/>
  <c r="S273" i="76" a="1"/>
  <c r="S273" i="76" s="1"/>
  <c r="S271" i="76" a="1"/>
  <c r="S271" i="76" s="1"/>
  <c r="G238" i="76" a="1"/>
  <c r="G238" i="76" s="1"/>
  <c r="G42" i="81" s="1"/>
  <c r="G237" i="76" a="1"/>
  <c r="G237" i="76" s="1"/>
  <c r="G41" i="81" s="1"/>
  <c r="G236" i="76" a="1"/>
  <c r="G236" i="76" s="1"/>
  <c r="G40" i="81" s="1"/>
  <c r="G243" i="76" a="1"/>
  <c r="G243" i="76" s="1"/>
  <c r="G47" i="81" s="1"/>
  <c r="G240" i="76" a="1"/>
  <c r="G240" i="76" s="1"/>
  <c r="G44" i="81" s="1"/>
  <c r="G239" i="76" a="1"/>
  <c r="G239" i="76" s="1"/>
  <c r="G43" i="81" s="1"/>
  <c r="G241" i="76" a="1"/>
  <c r="G241" i="76" s="1"/>
  <c r="G45" i="81" s="1"/>
  <c r="G242" i="76" a="1"/>
  <c r="G242" i="76" s="1"/>
  <c r="G46" i="81" s="1"/>
  <c r="I274" i="76" a="1"/>
  <c r="I274" i="76" s="1"/>
  <c r="S272" i="76" a="1"/>
  <c r="S272" i="76" s="1"/>
  <c r="T271" i="76" a="1"/>
  <c r="T271" i="76" s="1"/>
  <c r="S274" i="76" a="1"/>
  <c r="S274" i="76" s="1"/>
  <c r="Q243" i="76" a="1"/>
  <c r="Q243" i="76" s="1"/>
  <c r="R47" i="81" s="1"/>
  <c r="Q238" i="76" a="1"/>
  <c r="Q238" i="76" s="1"/>
  <c r="R42" i="81" s="1"/>
  <c r="Q241" i="76" a="1"/>
  <c r="Q241" i="76" s="1"/>
  <c r="R45" i="81" s="1"/>
  <c r="Q236" i="76" a="1"/>
  <c r="Q236" i="76" s="1"/>
  <c r="R40" i="81" s="1"/>
  <c r="Q240" i="76" a="1"/>
  <c r="Q240" i="76" s="1"/>
  <c r="R44" i="81" s="1"/>
  <c r="Q242" i="76" a="1"/>
  <c r="Q242" i="76" s="1"/>
  <c r="R46" i="81" s="1"/>
  <c r="Q239" i="76" a="1"/>
  <c r="Q239" i="76" s="1"/>
  <c r="R43" i="81" s="1"/>
  <c r="Q237" i="76" a="1"/>
  <c r="Q237" i="76" s="1"/>
  <c r="R41" i="81" s="1"/>
  <c r="H275" i="76" a="1"/>
  <c r="H275" i="76" s="1"/>
  <c r="R243" i="76" a="1"/>
  <c r="R243" i="76" s="1"/>
  <c r="S47" i="81" s="1"/>
  <c r="R238" i="76" a="1"/>
  <c r="R238" i="76" s="1"/>
  <c r="S42" i="81" s="1"/>
  <c r="R241" i="76" a="1"/>
  <c r="R241" i="76" s="1"/>
  <c r="S45" i="81" s="1"/>
  <c r="R236" i="76" a="1"/>
  <c r="R236" i="76" s="1"/>
  <c r="S40" i="81" s="1"/>
  <c r="R239" i="76" a="1"/>
  <c r="R239" i="76" s="1"/>
  <c r="S43" i="81" s="1"/>
  <c r="R237" i="76" a="1"/>
  <c r="R237" i="76" s="1"/>
  <c r="S41" i="81" s="1"/>
  <c r="R240" i="76" a="1"/>
  <c r="R240" i="76" s="1"/>
  <c r="S44" i="81" s="1"/>
  <c r="R242" i="76" a="1"/>
  <c r="R242" i="76" s="1"/>
  <c r="S46" i="81" s="1"/>
  <c r="H271" i="76" a="1"/>
  <c r="H271" i="76" s="1"/>
  <c r="H272" i="76" a="1"/>
  <c r="H272" i="76" s="1"/>
  <c r="A25" i="13"/>
  <c r="A23" i="13"/>
  <c r="A24" i="13"/>
  <c r="A8" i="13"/>
  <c r="A5" i="13"/>
  <c r="A3" i="13"/>
  <c r="I271" i="76" l="1" a="1"/>
  <c r="I271" i="76" s="1"/>
  <c r="I25" i="82"/>
  <c r="I46" i="82" s="1" a="1"/>
  <c r="I46" i="82" s="1"/>
  <c r="I26" i="82"/>
  <c r="I47" i="82" s="1" a="1"/>
  <c r="I47" i="82" s="1"/>
  <c r="I24" i="95"/>
  <c r="I30" i="95" s="1" a="1"/>
  <c r="I30" i="95" s="1"/>
  <c r="I50" i="95" s="1" a="1"/>
  <c r="I50" i="95" s="1"/>
  <c r="I21" i="82"/>
  <c r="I42" i="82" s="1" a="1"/>
  <c r="I42" i="82" s="1"/>
  <c r="I22" i="82"/>
  <c r="I43" i="82" s="1" a="1"/>
  <c r="I43" i="82" s="1"/>
  <c r="I275" i="76" a="1"/>
  <c r="I275" i="76" s="1"/>
  <c r="I276" i="76" a="1"/>
  <c r="I276" i="76" s="1"/>
  <c r="J22" i="82"/>
  <c r="J43" i="82" s="1" a="1"/>
  <c r="J43" i="82" s="1"/>
  <c r="I24" i="82"/>
  <c r="I45" i="82" s="1" a="1"/>
  <c r="I45" i="82" s="1"/>
  <c r="I19" i="82"/>
  <c r="I40" i="82" s="1" a="1"/>
  <c r="I40" i="82" s="1"/>
  <c r="F278" i="76" a="1"/>
  <c r="F278" i="76" s="1"/>
  <c r="I273" i="76" a="1"/>
  <c r="I273" i="76" s="1"/>
  <c r="I278" i="76" a="1"/>
  <c r="I278" i="76" s="1"/>
  <c r="I23" i="95"/>
  <c r="I29" i="95" s="1" a="1"/>
  <c r="I29" i="95" s="1"/>
  <c r="I55" i="81" s="1"/>
  <c r="I272" i="76" a="1"/>
  <c r="I272" i="76" s="1"/>
  <c r="J24" i="82"/>
  <c r="J45" i="82" s="1" a="1"/>
  <c r="J45" i="82" s="1"/>
  <c r="I277" i="76" a="1"/>
  <c r="I277" i="76" s="1"/>
  <c r="J23" i="95"/>
  <c r="J29" i="95" s="1" a="1"/>
  <c r="J29" i="95" s="1"/>
  <c r="J49" i="95" s="1" a="1"/>
  <c r="J49" i="95" s="1"/>
  <c r="J274" i="76" a="1"/>
  <c r="J274" i="76" s="1"/>
  <c r="I20" i="82"/>
  <c r="I41" i="82" s="1" a="1"/>
  <c r="I41" i="82" s="1"/>
  <c r="I23" i="82"/>
  <c r="I44" i="82" s="1" a="1"/>
  <c r="I44" i="82" s="1"/>
  <c r="F26" i="82"/>
  <c r="F47" i="82" s="1" a="1"/>
  <c r="F47" i="82" s="1"/>
  <c r="F24" i="95"/>
  <c r="F30" i="95" s="1" a="1"/>
  <c r="F30" i="95" s="1"/>
  <c r="F59" i="81" s="1"/>
  <c r="J276" i="76" a="1"/>
  <c r="J276" i="76" s="1"/>
  <c r="T19" i="97"/>
  <c r="T24" i="97" s="1" a="1"/>
  <c r="T24" i="97" s="1"/>
  <c r="T23" i="98"/>
  <c r="T28" i="98" s="1" a="1"/>
  <c r="T28" i="98" s="1"/>
  <c r="F274" i="76" a="1"/>
  <c r="F274" i="76" s="1"/>
  <c r="F22" i="82"/>
  <c r="F43" i="82" s="1" a="1"/>
  <c r="F43" i="82" s="1"/>
  <c r="F23" i="95"/>
  <c r="F29" i="95" s="1" a="1"/>
  <c r="F29" i="95" s="1"/>
  <c r="F55" i="81" s="1"/>
  <c r="F272" i="76" a="1"/>
  <c r="F272" i="76" s="1"/>
  <c r="F20" i="82"/>
  <c r="F41" i="82" s="1" a="1"/>
  <c r="F41" i="82" s="1"/>
  <c r="U22" i="82"/>
  <c r="U43" i="82" s="1" a="1"/>
  <c r="U43" i="82" s="1"/>
  <c r="U23" i="95"/>
  <c r="U29" i="95" s="1" a="1"/>
  <c r="U29" i="95" s="1"/>
  <c r="U55" i="81" s="1"/>
  <c r="T274" i="76" a="1"/>
  <c r="T274" i="76" s="1"/>
  <c r="T273" i="76" a="1"/>
  <c r="T273" i="76" s="1"/>
  <c r="U21" i="82"/>
  <c r="U42" i="82" s="1" a="1"/>
  <c r="U42" i="82" s="1"/>
  <c r="U23" i="82"/>
  <c r="U44" i="82" s="1" a="1"/>
  <c r="U44" i="82" s="1"/>
  <c r="T275" i="76" a="1"/>
  <c r="T275" i="76" s="1"/>
  <c r="F273" i="76" a="1"/>
  <c r="F273" i="76" s="1"/>
  <c r="F21" i="82"/>
  <c r="F42" i="82" s="1" a="1"/>
  <c r="F42" i="82" s="1"/>
  <c r="T278" i="76" a="1"/>
  <c r="T278" i="76" s="1"/>
  <c r="T277" i="76" a="1"/>
  <c r="T277" i="76" s="1"/>
  <c r="U26" i="82"/>
  <c r="U47" i="82" s="1" a="1"/>
  <c r="U47" i="82" s="1"/>
  <c r="U24" i="95"/>
  <c r="U30" i="95" s="1" a="1"/>
  <c r="U30" i="95" s="1"/>
  <c r="H50" i="95" a="1"/>
  <c r="H50" i="95" s="1"/>
  <c r="H59" i="81"/>
  <c r="F275" i="76" a="1"/>
  <c r="F275" i="76" s="1"/>
  <c r="F44" i="81"/>
  <c r="J24" i="95"/>
  <c r="J30" i="95" s="1" a="1"/>
  <c r="J30" i="95" s="1"/>
  <c r="J47" i="81"/>
  <c r="J19" i="82"/>
  <c r="J40" i="82" s="1" a="1"/>
  <c r="J40" i="82" s="1"/>
  <c r="J40" i="81"/>
  <c r="U25" i="82"/>
  <c r="U46" i="82" s="1" a="1"/>
  <c r="U46" i="82" s="1"/>
  <c r="T49" i="95" a="1"/>
  <c r="T49" i="95" s="1"/>
  <c r="T55" i="81"/>
  <c r="U24" i="82"/>
  <c r="U45" i="82" s="1" a="1"/>
  <c r="U45" i="82" s="1"/>
  <c r="U45" i="81"/>
  <c r="J277" i="76" a="1"/>
  <c r="J277" i="76" s="1"/>
  <c r="J46" i="81"/>
  <c r="F25" i="82"/>
  <c r="F46" i="82" s="1" a="1"/>
  <c r="F46" i="82" s="1"/>
  <c r="F46" i="81"/>
  <c r="H49" i="95" a="1"/>
  <c r="H49" i="95" s="1"/>
  <c r="H55" i="81"/>
  <c r="F271" i="76" a="1"/>
  <c r="F271" i="76" s="1"/>
  <c r="F40" i="81"/>
  <c r="J21" i="82"/>
  <c r="J42" i="82" s="1" a="1"/>
  <c r="J42" i="82" s="1"/>
  <c r="J42" i="81"/>
  <c r="J271" i="76" a="1"/>
  <c r="J271" i="76" s="1"/>
  <c r="T50" i="95" a="1"/>
  <c r="T50" i="95" s="1"/>
  <c r="T59" i="81"/>
  <c r="J23" i="82"/>
  <c r="J44" i="82" s="1" a="1"/>
  <c r="J44" i="82" s="1"/>
  <c r="J44" i="81"/>
  <c r="J23" i="98"/>
  <c r="J28" i="98" s="1" a="1"/>
  <c r="J28" i="98" s="1"/>
  <c r="U20" i="82"/>
  <c r="U41" i="82" s="1" a="1"/>
  <c r="U41" i="82" s="1"/>
  <c r="J19" i="97"/>
  <c r="J24" i="97" s="1" a="1"/>
  <c r="J24" i="97" s="1"/>
  <c r="J278" i="76" a="1"/>
  <c r="J278" i="76" s="1"/>
  <c r="F19" i="82"/>
  <c r="F40" i="82" s="1" a="1"/>
  <c r="F40" i="82" s="1"/>
  <c r="J275" i="76" a="1"/>
  <c r="J275" i="76" s="1"/>
  <c r="F51" i="96" a="1"/>
  <c r="F51" i="96" s="1"/>
  <c r="F19" i="97"/>
  <c r="F24" i="97" s="1" a="1"/>
  <c r="F24" i="97" s="1"/>
  <c r="T272" i="76" a="1"/>
  <c r="T272" i="76" s="1"/>
  <c r="F276" i="76" a="1"/>
  <c r="F276" i="76" s="1"/>
  <c r="F24" i="82"/>
  <c r="F45" i="82" s="1" a="1"/>
  <c r="F45" i="82" s="1"/>
  <c r="J272" i="76" a="1"/>
  <c r="J272" i="76" s="1"/>
  <c r="F23" i="82"/>
  <c r="F44" i="82" s="1" a="1"/>
  <c r="F44" i="82"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P53"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77" i="76" a="1"/>
  <c r="G277" i="76" s="1"/>
  <c r="R273" i="76" a="1"/>
  <c r="R273" i="76" s="1"/>
  <c r="P272" i="76" a="1"/>
  <c r="P272" i="76" s="1"/>
  <c r="P277" i="76" a="1"/>
  <c r="P277" i="76" s="1"/>
  <c r="P274" i="76" a="1"/>
  <c r="P274" i="76" s="1"/>
  <c r="R278" i="76" a="1"/>
  <c r="R278" i="76" s="1"/>
  <c r="P271" i="76" a="1"/>
  <c r="P271" i="76" s="1"/>
  <c r="Q277" i="76" a="1"/>
  <c r="Q277" i="76" s="1"/>
  <c r="G274" i="76" a="1"/>
  <c r="G274" i="76" s="1"/>
  <c r="P276" i="76" a="1"/>
  <c r="P276" i="76" s="1"/>
  <c r="P278" i="76" a="1"/>
  <c r="P278" i="76" s="1"/>
  <c r="P273" i="76" a="1"/>
  <c r="P273" i="76" s="1"/>
  <c r="Q272" i="76" a="1"/>
  <c r="Q272" i="76" s="1"/>
  <c r="Q274" i="76" a="1"/>
  <c r="Q274" i="76" s="1"/>
  <c r="G276" i="76" a="1"/>
  <c r="G276" i="76" s="1"/>
  <c r="G275" i="76" a="1"/>
  <c r="G275" i="76" s="1"/>
  <c r="R277" i="76" a="1"/>
  <c r="R277" i="76" s="1"/>
  <c r="Q271" i="76" a="1"/>
  <c r="Q271" i="76" s="1"/>
  <c r="G278" i="76" a="1"/>
  <c r="G278" i="76" s="1"/>
  <c r="R275" i="76" a="1"/>
  <c r="R275" i="76" s="1"/>
  <c r="Q276" i="76" a="1"/>
  <c r="Q276" i="76" s="1"/>
  <c r="G271" i="76" a="1"/>
  <c r="G271" i="76" s="1"/>
  <c r="P275" i="76" a="1"/>
  <c r="P275" i="76" s="1"/>
  <c r="Q275" i="76" a="1"/>
  <c r="Q275" i="76" s="1"/>
  <c r="R272" i="76" a="1"/>
  <c r="R272" i="76" s="1"/>
  <c r="R274" i="76" a="1"/>
  <c r="R274" i="76" s="1"/>
  <c r="G273" i="76" a="1"/>
  <c r="G273" i="76" s="1"/>
  <c r="R271" i="76" a="1"/>
  <c r="R271" i="76" s="1"/>
  <c r="Q273" i="76" a="1"/>
  <c r="Q273" i="76" s="1"/>
  <c r="G272" i="76" a="1"/>
  <c r="G272" i="76" s="1"/>
  <c r="Q278" i="76" a="1"/>
  <c r="Q278" i="76" s="1"/>
  <c r="R276" i="76" a="1"/>
  <c r="R276"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I59" i="81" l="1"/>
  <c r="J55" i="81"/>
  <c r="I49" i="95" a="1"/>
  <c r="I49" i="95" s="1"/>
  <c r="P26" i="97"/>
  <c r="S38" i="97" s="1"/>
  <c r="P45" i="97" s="1" a="1"/>
  <c r="P45" i="97" s="1"/>
  <c r="F12" i="13" s="1"/>
  <c r="F50" i="95" a="1"/>
  <c r="F50" i="95" s="1"/>
  <c r="P30" i="98"/>
  <c r="U43" i="98" s="1"/>
  <c r="P47" i="98" s="1" a="1"/>
  <c r="P47" i="98" s="1"/>
  <c r="F13" i="13" s="1"/>
  <c r="F49" i="95" a="1"/>
  <c r="F49" i="95" s="1"/>
  <c r="U49" i="95" a="1"/>
  <c r="U49" i="95" s="1"/>
  <c r="J50" i="95" a="1"/>
  <c r="J50" i="95" s="1"/>
  <c r="J59" i="81"/>
  <c r="G49" i="95" a="1"/>
  <c r="G49" i="95" s="1"/>
  <c r="G55" i="81"/>
  <c r="G50" i="95" a="1"/>
  <c r="G50" i="95" s="1"/>
  <c r="G59" i="81"/>
  <c r="R50" i="95" a="1"/>
  <c r="R50" i="95" s="1"/>
  <c r="R59" i="81"/>
  <c r="U50" i="95" a="1"/>
  <c r="U50" i="95" s="1"/>
  <c r="U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6" i="97"/>
  <c r="I38" i="97" s="1"/>
  <c r="E45" i="97" s="1" a="1"/>
  <c r="E45" i="97" s="1"/>
  <c r="E12" i="13" s="1"/>
  <c r="E53" i="96"/>
  <c r="G55" i="96" s="1"/>
  <c r="E58" i="96" s="1" a="1"/>
  <c r="E58" i="96" s="1"/>
  <c r="H11" i="13" s="1"/>
  <c r="E28" i="98"/>
  <c r="P28" i="98"/>
  <c r="E23" i="98"/>
  <c r="P23" i="98"/>
  <c r="E49" i="82"/>
  <c r="P49" i="82"/>
  <c r="R61" i="82" s="1"/>
  <c r="R55" i="96"/>
  <c r="P58" i="96" s="1" a="1"/>
  <c r="P58" i="96" s="1"/>
  <c r="I11" i="13" s="1"/>
  <c r="F11" i="13"/>
  <c r="P19" i="97"/>
  <c r="E19" i="97"/>
  <c r="P24" i="97"/>
  <c r="E24" i="97"/>
  <c r="P51" i="96"/>
  <c r="P25" i="96"/>
  <c r="E25" i="96"/>
  <c r="P31" i="96"/>
  <c r="E51" i="96"/>
  <c r="E31" i="96"/>
  <c r="E200" i="69" a="1"/>
  <c r="E200" i="69" s="1"/>
  <c r="D79" i="70"/>
  <c r="D95" i="70"/>
  <c r="E201" i="69" a="1"/>
  <c r="E201" i="69" s="1"/>
  <c r="D80" i="70"/>
  <c r="D96" i="70"/>
  <c r="E199" i="69" a="1"/>
  <c r="E199" i="69" s="1"/>
  <c r="D78" i="70"/>
  <c r="D94" i="70"/>
  <c r="E202" i="69" a="1"/>
  <c r="E202" i="69" s="1"/>
  <c r="E29" i="15"/>
  <c r="R47" i="97" l="1"/>
  <c r="P50" i="97" s="1" a="1"/>
  <c r="P50" i="97" s="1"/>
  <c r="I12" i="13" s="1"/>
  <c r="P68" i="82" a="1"/>
  <c r="P68" i="82" s="1"/>
  <c r="F9" i="13" s="1"/>
  <c r="R49" i="98"/>
  <c r="P52" i="98" s="1" a="1"/>
  <c r="P52" i="98" s="1"/>
  <c r="I13" i="13" s="1"/>
  <c r="E52" i="95"/>
  <c r="G54" i="95" s="1"/>
  <c r="E57" i="95" s="1" a="1"/>
  <c r="E57" i="95" s="1"/>
  <c r="H10" i="13" s="1"/>
  <c r="P52" i="95"/>
  <c r="R54" i="95" s="1"/>
  <c r="P57" i="95" s="1" a="1"/>
  <c r="P57" i="95" s="1"/>
  <c r="I10"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I61" i="82"/>
  <c r="E68" i="82" s="1" a="1"/>
  <c r="E68" i="82" s="1"/>
  <c r="E9" i="13" s="1"/>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R70" i="82"/>
  <c r="P73" i="82" s="1" a="1"/>
  <c r="P73" i="82" s="1"/>
  <c r="I9" i="13" s="1"/>
  <c r="P267" i="69"/>
  <c r="E242" i="76"/>
  <c r="E46" i="82"/>
  <c r="P25" i="82"/>
  <c r="O277" i="76"/>
  <c r="E277" i="76"/>
  <c r="E267" i="69"/>
  <c r="P149" i="69"/>
  <c r="P214" i="69"/>
  <c r="E149" i="69"/>
  <c r="E214" i="69"/>
  <c r="G214" i="69" s="1" a="1"/>
  <c r="G214" i="69" s="1"/>
  <c r="O230" i="76"/>
  <c r="P46" i="82"/>
  <c r="E25" i="82"/>
  <c r="O242" i="76"/>
  <c r="E230" i="76"/>
  <c r="P127" i="69"/>
  <c r="E127" i="69"/>
  <c r="P138" i="69"/>
  <c r="E138" i="69"/>
  <c r="P45" i="82"/>
  <c r="E266" i="69"/>
  <c r="P266" i="69"/>
  <c r="E241" i="76"/>
  <c r="E45" i="82"/>
  <c r="P24" i="82"/>
  <c r="E276" i="76"/>
  <c r="O241" i="76"/>
  <c r="P213" i="69"/>
  <c r="E213" i="69"/>
  <c r="H213" i="69" s="1" a="1"/>
  <c r="H213" i="69" s="1"/>
  <c r="P148" i="69"/>
  <c r="O229" i="76"/>
  <c r="O276" i="76"/>
  <c r="E24" i="82"/>
  <c r="E229" i="76"/>
  <c r="P137" i="69"/>
  <c r="E137" i="69"/>
  <c r="E148" i="69"/>
  <c r="P126" i="69"/>
  <c r="E126" i="69"/>
  <c r="P209" i="69"/>
  <c r="P134" i="69"/>
  <c r="P41" i="82"/>
  <c r="O225" i="76"/>
  <c r="E134" i="69"/>
  <c r="E123" i="69"/>
  <c r="E20" i="82"/>
  <c r="E225" i="76"/>
  <c r="O272" i="76"/>
  <c r="E41" i="82"/>
  <c r="P20" i="82"/>
  <c r="E272" i="76"/>
  <c r="O237" i="76"/>
  <c r="E262" i="69"/>
  <c r="E145" i="69"/>
  <c r="P123" i="69"/>
  <c r="E237" i="76"/>
  <c r="P145" i="69"/>
  <c r="E209" i="69"/>
  <c r="F209" i="69" s="1" a="1"/>
  <c r="F209" i="69" s="1"/>
  <c r="P262" i="69"/>
  <c r="D165" i="70"/>
  <c r="D141" i="70"/>
  <c r="D160" i="70"/>
  <c r="E40" i="82"/>
  <c r="P19" i="82"/>
  <c r="E271" i="76"/>
  <c r="E261" i="69"/>
  <c r="P144" i="69"/>
  <c r="P122" i="69"/>
  <c r="P133" i="69"/>
  <c r="E122" i="69"/>
  <c r="O271" i="76"/>
  <c r="O224" i="76"/>
  <c r="E133" i="69"/>
  <c r="E19" i="82"/>
  <c r="E224" i="76"/>
  <c r="P40" i="82"/>
  <c r="E236" i="76"/>
  <c r="O236" i="76"/>
  <c r="E144" i="69"/>
  <c r="P208" i="69"/>
  <c r="P261" i="69"/>
  <c r="E208" i="69"/>
  <c r="H208" i="69" s="1" a="1"/>
  <c r="H208" i="69" s="1"/>
  <c r="D136" i="70"/>
  <c r="O226" i="76"/>
  <c r="P210" i="69"/>
  <c r="O273" i="76"/>
  <c r="E135" i="69"/>
  <c r="E124" i="69"/>
  <c r="O238" i="76"/>
  <c r="E21" i="82"/>
  <c r="E226" i="76"/>
  <c r="P42" i="82"/>
  <c r="E238" i="76"/>
  <c r="E210" i="69"/>
  <c r="J210" i="69" s="1" a="1"/>
  <c r="J210" i="69" s="1"/>
  <c r="E42" i="82"/>
  <c r="P21" i="82"/>
  <c r="E273" i="76"/>
  <c r="E146" i="69"/>
  <c r="P124" i="69"/>
  <c r="P146" i="69"/>
  <c r="P135" i="69"/>
  <c r="P263" i="69"/>
  <c r="E263" i="69"/>
  <c r="D146" i="70"/>
  <c r="D170" i="70"/>
  <c r="E23" i="82"/>
  <c r="E228" i="76"/>
  <c r="E136" i="69"/>
  <c r="O240" i="76"/>
  <c r="O275" i="76"/>
  <c r="P265" i="69"/>
  <c r="E240" i="76"/>
  <c r="E44" i="82"/>
  <c r="P23" i="82"/>
  <c r="E275" i="76"/>
  <c r="E265" i="69"/>
  <c r="P44" i="82"/>
  <c r="P147" i="69"/>
  <c r="P212" i="69"/>
  <c r="P136" i="69"/>
  <c r="O228" i="76"/>
  <c r="E212" i="69"/>
  <c r="F212" i="69" s="1" a="1"/>
  <c r="F212" i="69" s="1"/>
  <c r="E147" i="69"/>
  <c r="P125" i="69"/>
  <c r="E125" i="69"/>
  <c r="O231" i="76"/>
  <c r="E170" i="69"/>
  <c r="P170" i="69"/>
  <c r="J215" i="69" a="1"/>
  <c r="J215" i="69" s="1"/>
  <c r="D151" i="70"/>
  <c r="H211" i="69" a="1"/>
  <c r="H211" i="69" s="1"/>
  <c r="E169" i="69"/>
  <c r="P169" i="69"/>
  <c r="D175" i="70"/>
  <c r="E13" i="15"/>
  <c r="F78" i="81" l="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15" i="69" a="1"/>
  <c r="I215" i="69" s="1"/>
  <c r="I268" i="69" s="1" a="1"/>
  <c r="I268" i="69" s="1"/>
  <c r="J214" i="69" a="1"/>
  <c r="J214" i="69" s="1"/>
  <c r="J267" i="69" s="1" a="1"/>
  <c r="J267" i="69" s="1"/>
  <c r="F213" i="69" a="1"/>
  <c r="F213" i="69" s="1"/>
  <c r="F266" i="69" s="1" a="1"/>
  <c r="F266" i="69" s="1"/>
  <c r="I211" i="69" a="1"/>
  <c r="I211" i="69" s="1"/>
  <c r="I264" i="69" s="1" a="1"/>
  <c r="I264" i="69" s="1"/>
  <c r="G210" i="69" a="1"/>
  <c r="G210" i="69" s="1"/>
  <c r="G263" i="69" s="1" a="1"/>
  <c r="G263" i="69" s="1"/>
  <c r="J209" i="69" a="1"/>
  <c r="J209" i="69" s="1"/>
  <c r="J262" i="69" s="1" a="1"/>
  <c r="J262" i="69" s="1"/>
  <c r="U211" i="69" a="1"/>
  <c r="U211" i="69" s="1"/>
  <c r="U264" i="69" s="1" a="1"/>
  <c r="U264" i="69" s="1"/>
  <c r="T211" i="69" a="1"/>
  <c r="T211" i="69" s="1"/>
  <c r="T264" i="69" s="1" a="1"/>
  <c r="T264" i="69" s="1"/>
  <c r="Q211" i="69" a="1"/>
  <c r="Q211" i="69" s="1"/>
  <c r="Q264" i="69" s="1" a="1"/>
  <c r="Q264" i="69" s="1"/>
  <c r="S211" i="69" a="1"/>
  <c r="S211" i="69" s="1"/>
  <c r="S264" i="69" s="1" a="1"/>
  <c r="S264" i="69" s="1"/>
  <c r="R211" i="69" a="1"/>
  <c r="R211" i="69" s="1"/>
  <c r="R264" i="69" s="1" a="1"/>
  <c r="R264" i="69" s="1"/>
  <c r="U215" i="69" a="1"/>
  <c r="U215" i="69" s="1"/>
  <c r="U268" i="69" s="1" a="1"/>
  <c r="U268" i="69" s="1"/>
  <c r="Q215" i="69" a="1"/>
  <c r="Q215" i="69" s="1"/>
  <c r="Q268" i="69" s="1" a="1"/>
  <c r="Q268" i="69" s="1"/>
  <c r="T215" i="69" a="1"/>
  <c r="T215" i="69" s="1"/>
  <c r="T268" i="69" s="1" a="1"/>
  <c r="T268" i="69" s="1"/>
  <c r="R215" i="69" a="1"/>
  <c r="R215" i="69" s="1"/>
  <c r="R268" i="69" s="1" a="1"/>
  <c r="R268" i="69" s="1"/>
  <c r="S215" i="69" a="1"/>
  <c r="S215" i="69" s="1"/>
  <c r="S268" i="69" s="1" a="1"/>
  <c r="S268" i="69" s="1"/>
  <c r="U214" i="69" a="1"/>
  <c r="U214" i="69" s="1"/>
  <c r="U267" i="69" s="1" a="1"/>
  <c r="U267" i="69" s="1"/>
  <c r="Q214" i="69" a="1"/>
  <c r="Q214" i="69" s="1"/>
  <c r="Q267" i="69" s="1" a="1"/>
  <c r="Q267" i="69" s="1"/>
  <c r="T214" i="69" a="1"/>
  <c r="T214" i="69" s="1"/>
  <c r="T267" i="69" s="1" a="1"/>
  <c r="T267" i="69" s="1"/>
  <c r="R214" i="69" a="1"/>
  <c r="R214" i="69" s="1"/>
  <c r="R267" i="69" s="1" a="1"/>
  <c r="R267" i="69" s="1"/>
  <c r="S214" i="69" a="1"/>
  <c r="S214" i="69" s="1"/>
  <c r="S267" i="69" s="1" a="1"/>
  <c r="S267" i="69" s="1"/>
  <c r="G215" i="69" a="1"/>
  <c r="G215" i="69" s="1"/>
  <c r="G268" i="69" s="1" a="1"/>
  <c r="G268" i="69" s="1"/>
  <c r="H210" i="69" a="1"/>
  <c r="H210" i="69" s="1"/>
  <c r="H263" i="69" s="1" a="1"/>
  <c r="H263" i="69" s="1"/>
  <c r="I212" i="69" a="1"/>
  <c r="I212" i="69" s="1"/>
  <c r="I265" i="69" s="1" a="1"/>
  <c r="I265" i="69" s="1"/>
  <c r="H215" i="69" a="1"/>
  <c r="H215" i="69" s="1"/>
  <c r="H268" i="69" s="1" a="1"/>
  <c r="H268" i="69" s="1"/>
  <c r="H214" i="69" a="1"/>
  <c r="H214" i="69" s="1"/>
  <c r="H267" i="69" s="1" a="1"/>
  <c r="H267" i="69" s="1"/>
  <c r="I208" i="69" a="1"/>
  <c r="I208" i="69" s="1"/>
  <c r="I261" i="69" s="1" a="1"/>
  <c r="I261" i="69" s="1"/>
  <c r="F215" i="69" a="1"/>
  <c r="F215" i="69" s="1"/>
  <c r="F268" i="69" s="1" a="1"/>
  <c r="F268" i="69" s="1"/>
  <c r="F210" i="69" a="1"/>
  <c r="F210" i="69" s="1"/>
  <c r="F263" i="69" s="1" a="1"/>
  <c r="F263" i="69" s="1"/>
  <c r="J208" i="69" a="1"/>
  <c r="J208" i="69" s="1"/>
  <c r="J261" i="69" s="1" a="1"/>
  <c r="J261" i="69" s="1"/>
  <c r="F211" i="69" a="1"/>
  <c r="F211" i="69" s="1"/>
  <c r="F264" i="69" s="1" a="1"/>
  <c r="F264" i="69" s="1"/>
  <c r="F214" i="69" a="1"/>
  <c r="F214" i="69" s="1"/>
  <c r="F267" i="69" s="1" a="1"/>
  <c r="F267" i="69" s="1"/>
  <c r="J212" i="69" a="1"/>
  <c r="J212" i="69" s="1"/>
  <c r="J265" i="69" s="1" a="1"/>
  <c r="J265" i="69" s="1"/>
  <c r="J211" i="69" a="1"/>
  <c r="J211" i="69" s="1"/>
  <c r="J264" i="69" s="1" a="1"/>
  <c r="J264" i="69" s="1"/>
  <c r="I209" i="69" a="1"/>
  <c r="I209" i="69" s="1"/>
  <c r="I262" i="69" s="1" a="1"/>
  <c r="I262" i="69" s="1"/>
  <c r="G208" i="69" a="1"/>
  <c r="G208" i="69" s="1"/>
  <c r="G261" i="69" s="1" a="1"/>
  <c r="G261" i="69" s="1"/>
  <c r="I213" i="69" a="1"/>
  <c r="I213" i="69" s="1"/>
  <c r="I266" i="69" s="1" a="1"/>
  <c r="I266" i="69" s="1"/>
  <c r="H212" i="69" a="1"/>
  <c r="H212" i="69" s="1"/>
  <c r="H265" i="69" s="1" a="1"/>
  <c r="H265" i="69" s="1"/>
  <c r="G211" i="69" a="1"/>
  <c r="G211" i="69" s="1"/>
  <c r="G264" i="69" s="1" a="1"/>
  <c r="G264" i="69" s="1"/>
  <c r="G209" i="69" a="1"/>
  <c r="G209" i="69" s="1"/>
  <c r="G262" i="69" s="1" a="1"/>
  <c r="G262" i="69" s="1"/>
  <c r="F208" i="69" a="1"/>
  <c r="F208" i="69" s="1"/>
  <c r="F261" i="69" s="1" a="1"/>
  <c r="F261" i="69" s="1"/>
  <c r="G213" i="69" a="1"/>
  <c r="G213" i="69" s="1"/>
  <c r="G266" i="69" s="1" a="1"/>
  <c r="G266" i="69" s="1"/>
  <c r="G212" i="69" a="1"/>
  <c r="G212" i="69" s="1"/>
  <c r="G265" i="69" s="1" a="1"/>
  <c r="G265" i="69" s="1"/>
  <c r="T208" i="69" a="1"/>
  <c r="T208" i="69" s="1"/>
  <c r="T261" i="69" s="1" a="1"/>
  <c r="T261" i="69" s="1"/>
  <c r="U208" i="69" a="1"/>
  <c r="U208" i="69" s="1"/>
  <c r="U261" i="69" s="1" a="1"/>
  <c r="U261" i="69" s="1"/>
  <c r="Q208" i="69" a="1"/>
  <c r="Q208" i="69" s="1"/>
  <c r="Q261" i="69" s="1" a="1"/>
  <c r="Q261" i="69" s="1"/>
  <c r="R208" i="69" a="1"/>
  <c r="R208" i="69" s="1"/>
  <c r="R261" i="69" s="1" a="1"/>
  <c r="R261" i="69" s="1"/>
  <c r="S208" i="69" a="1"/>
  <c r="S208" i="69" s="1"/>
  <c r="S261" i="69" s="1" a="1"/>
  <c r="S261" i="69" s="1"/>
  <c r="T210" i="69" a="1"/>
  <c r="T210" i="69" s="1"/>
  <c r="T263" i="69" s="1" a="1"/>
  <c r="T263" i="69" s="1"/>
  <c r="U210" i="69" a="1"/>
  <c r="U210" i="69" s="1"/>
  <c r="U263" i="69" s="1" a="1"/>
  <c r="U263" i="69" s="1"/>
  <c r="Q210" i="69" a="1"/>
  <c r="Q210" i="69" s="1"/>
  <c r="Q263" i="69" s="1" a="1"/>
  <c r="Q263" i="69" s="1"/>
  <c r="R210" i="69" a="1"/>
  <c r="R210" i="69" s="1"/>
  <c r="R263" i="69" s="1" a="1"/>
  <c r="R263" i="69" s="1"/>
  <c r="S210" i="69" a="1"/>
  <c r="S210" i="69" s="1"/>
  <c r="S263" i="69" s="1" a="1"/>
  <c r="S263" i="69" s="1"/>
  <c r="U213" i="69" a="1"/>
  <c r="U213" i="69" s="1"/>
  <c r="U266" i="69" s="1" a="1"/>
  <c r="U266" i="69" s="1"/>
  <c r="T213" i="69" a="1"/>
  <c r="T213" i="69" s="1"/>
  <c r="T266" i="69" s="1" a="1"/>
  <c r="T266" i="69" s="1"/>
  <c r="Q213" i="69" a="1"/>
  <c r="Q213" i="69" s="1"/>
  <c r="Q266" i="69" s="1" a="1"/>
  <c r="Q266" i="69" s="1"/>
  <c r="R213" i="69" a="1"/>
  <c r="R213" i="69" s="1"/>
  <c r="R266" i="69" s="1" a="1"/>
  <c r="R266" i="69" s="1"/>
  <c r="S213" i="69" a="1"/>
  <c r="S213" i="69" s="1"/>
  <c r="S266" i="69" s="1" a="1"/>
  <c r="S266" i="69" s="1"/>
  <c r="I214" i="69" a="1"/>
  <c r="I214" i="69" s="1"/>
  <c r="I267" i="69" s="1" a="1"/>
  <c r="I267" i="69" s="1"/>
  <c r="J213" i="69" a="1"/>
  <c r="J213" i="69" s="1"/>
  <c r="J266" i="69" s="1" a="1"/>
  <c r="J266" i="69" s="1"/>
  <c r="I210" i="69" a="1"/>
  <c r="I210" i="69" s="1"/>
  <c r="I263" i="69" s="1" a="1"/>
  <c r="I263" i="69" s="1"/>
  <c r="H209" i="69" a="1"/>
  <c r="H209" i="69" s="1"/>
  <c r="H262" i="69" s="1" a="1"/>
  <c r="H262" i="69" s="1"/>
  <c r="U209" i="69" a="1"/>
  <c r="U209" i="69" s="1"/>
  <c r="U262" i="69" s="1" a="1"/>
  <c r="U262" i="69" s="1"/>
  <c r="Q209" i="69" a="1"/>
  <c r="Q209" i="69" s="1"/>
  <c r="Q262" i="69" s="1" a="1"/>
  <c r="Q262" i="69" s="1"/>
  <c r="T209" i="69" a="1"/>
  <c r="T209" i="69" s="1"/>
  <c r="T262" i="69" s="1" a="1"/>
  <c r="T262" i="69" s="1"/>
  <c r="S209" i="69" a="1"/>
  <c r="S209" i="69" s="1"/>
  <c r="S262" i="69" s="1" a="1"/>
  <c r="S262" i="69" s="1"/>
  <c r="R209" i="69" a="1"/>
  <c r="R209" i="69" s="1"/>
  <c r="R262" i="69" s="1" a="1"/>
  <c r="R262" i="69" s="1"/>
  <c r="T212" i="69" a="1"/>
  <c r="T212" i="69" s="1"/>
  <c r="T265" i="69" s="1" a="1"/>
  <c r="T265" i="69" s="1"/>
  <c r="U212" i="69" a="1"/>
  <c r="U212" i="69" s="1"/>
  <c r="U265" i="69" s="1" a="1"/>
  <c r="U265" i="69" s="1"/>
  <c r="Q212" i="69" a="1"/>
  <c r="Q212" i="69" s="1"/>
  <c r="Q265" i="69" s="1" a="1"/>
  <c r="Q265" i="69" s="1"/>
  <c r="S212" i="69" a="1"/>
  <c r="S212" i="69" s="1"/>
  <c r="S265" i="69" s="1" a="1"/>
  <c r="S265" i="69" s="1"/>
  <c r="R212" i="69" a="1"/>
  <c r="R212" i="69" s="1"/>
  <c r="R265" i="69" s="1" a="1"/>
  <c r="R265" i="69" s="1"/>
  <c r="E10" i="13"/>
  <c r="F262" i="69" a="1"/>
  <c r="F262" i="69" s="1"/>
  <c r="F265" i="69" a="1"/>
  <c r="F265" i="69" s="1"/>
  <c r="H264" i="69" a="1"/>
  <c r="H264" i="69" s="1"/>
  <c r="J268" i="69" a="1"/>
  <c r="J268" i="69" s="1"/>
  <c r="J263" i="69" a="1"/>
  <c r="J263" i="69" s="1"/>
  <c r="H266" i="69" a="1"/>
  <c r="H266" i="69" s="1"/>
  <c r="H261" i="69" a="1"/>
  <c r="H261" i="69" s="1"/>
  <c r="G267" i="69" a="1"/>
  <c r="G267" i="69" s="1"/>
  <c r="F10" i="13"/>
  <c r="G70" i="82"/>
  <c r="E73" i="82" s="1" a="1"/>
  <c r="E73" i="82" s="1"/>
  <c r="H9" i="13" s="1"/>
  <c r="E280" i="76"/>
  <c r="O280" i="76"/>
  <c r="F8" i="13" s="1"/>
  <c r="P270" i="69" l="1"/>
  <c r="R272" i="69" s="1"/>
  <c r="P275" i="69" s="1" a="1"/>
  <c r="P275" i="69" s="1"/>
  <c r="I7" i="13" s="1"/>
  <c r="E270" i="69"/>
  <c r="G272" i="69" s="1"/>
  <c r="E275" i="69" s="1" a="1"/>
  <c r="E275" i="69" s="1"/>
  <c r="H7" i="13" s="1"/>
  <c r="E85" i="81"/>
  <c r="E20" i="13" s="1"/>
  <c r="P115" i="81"/>
  <c r="E115" i="81"/>
  <c r="E22" i="13" s="1"/>
  <c r="E148" i="81"/>
  <c r="E21" i="13" s="1"/>
  <c r="P148" i="81"/>
  <c r="Q282" i="76"/>
  <c r="O285" i="76" s="1" a="1"/>
  <c r="O285" i="76" s="1"/>
  <c r="I8" i="13" s="1"/>
  <c r="G282" i="76"/>
  <c r="E285" i="76" s="1" a="1"/>
  <c r="E285"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<sst xmlns="http://schemas.openxmlformats.org/spreadsheetml/2006/main" count="1658" uniqueCount="455">
  <si>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</si>
  <si>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</si>
  <si>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</si>
  <si>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</si>
  <si>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</si>
  <si>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</si>
  <si>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</si>
  <si>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</si>
  <si>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</si>
  <si>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</si>
  <si>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</si>
  <si>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</si>
  <si>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</si>
  <si>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</si>
  <si>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</si>
  <si>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</si>
  <si>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</si>
  <si>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</si>
  <si>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</si>
  <si>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</si>
  <si>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</si>
  <si>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</si>
  <si>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</si>
  <si>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</si>
  <si>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</si>
  <si>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</si>
  <si>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</si>
  <si>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</si>
  <si>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</si>
  <si>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</si>
  <si>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</si>
  <si>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</si>
  <si>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</si>
  <si>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</si>
  <si>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</si>
  <si>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</si>
  <si>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</si>
  <si>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</si>
  <si>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</si>
  <si>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</si>
  <si>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</si>
  <si>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</si>
  <si>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</si>
  <si>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</si>
  <si>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</si>
  <si>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</si>
  <si>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</si>
  <si>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</si>
  <si>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</si>
  <si>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</si>
  <si>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</si>
  <si>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</si>
  <si>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</si>
  <si>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</si>
  <si>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</si>
  <si>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</si>
  <si>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</si>
  <si>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</si>
  <si>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</si>
  <si>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</si>
  <si>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</si>
  <si>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</si>
  <si>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</si>
  <si>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</si>
  <si>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</si>
  <si>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</si>
  <si>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</si>
  <si>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</si>
  <si>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</si>
  <si>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</si>
  <si>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</si>
  <si>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</si>
  <si>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</si>
  <si>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</si>
  <si>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</si>
  <si>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</si>
  <si>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</si>
  <si>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</si>
  <si>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</si>
  <si>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</si>
  <si>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</si>
  <si>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</si>
  <si>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</si>
  <si>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</si>
  <si>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</si>
  <si>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</si>
  <si>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</si>
  <si>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</si>
  <si>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</si>
  <si>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</si>
  <si>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</si>
  <si>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</si>
  <si>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</si>
  <si>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</si>
  <si>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</si>
  <si>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</si>
  <si>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</si>
  <si>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</si>
  <si>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</si>
  <si>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</si>
  <si>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</si>
  <si>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</si>
  <si>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</si>
  <si>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</si>
  <si>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</si>
  <si>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</si>
  <si>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</si>
  <si>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</si>
  <si>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</si>
  <si>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</si>
  <si>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</si>
  <si>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</si>
  <si>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Sold as fertiliser</t>
  </si>
  <si>
    <t>Formula name</t>
  </si>
  <si>
    <t>Crude protein</t>
  </si>
  <si>
    <t>Source Data - Feedlot</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</si>
  <si>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</si>
  <si>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</si>
  <si>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</si>
  <si>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</si>
  <si>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</si>
  <si>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</si>
  <si>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</si>
  <si>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</si>
  <si>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</si>
  <si>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</si>
  <si>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</si>
  <si>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</si>
  <si>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</si>
  <si>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</si>
  <si>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</si>
  <si>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</si>
  <si>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</si>
  <si>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</si>
  <si>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</si>
  <si>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</si>
  <si>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</si>
  <si>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Deposited on farm soils as waste (Direct application MMS)</t>
  </si>
  <si>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</si>
  <si>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</si>
  <si>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</si>
  <si>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</si>
  <si>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</si>
  <si>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</si>
  <si>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</si>
  <si>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</si>
  <si>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</si>
  <si>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</si>
  <si>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</si>
  <si>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</si>
  <si>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</si>
  <si>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</si>
  <si>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</si>
  <si>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</si>
  <si>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</si>
  <si>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</si>
  <si>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</si>
  <si>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</si>
  <si>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</si>
  <si>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</si>
  <si>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</si>
  <si>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</si>
  <si>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</si>
  <si>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</si>
  <si>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</si>
  <si>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</si>
  <si>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</si>
  <si>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</si>
  <si>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</si>
  <si>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</si>
  <si>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</si>
  <si>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</si>
  <si>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</si>
  <si>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</si>
  <si>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</si>
  <si>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</si>
  <si>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</si>
  <si>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</si>
  <si>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</si>
  <si>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</si>
  <si>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</si>
  <si>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</si>
  <si>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</si>
  <si>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</si>
  <si>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</si>
  <si>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</si>
  <si>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</si>
  <si>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</si>
  <si>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</si>
  <si>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</si>
  <si>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</si>
  <si>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</si>
  <si>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</si>
  <si>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</si>
  <si>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</si>
  <si>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</si>
  <si>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</si>
  <si>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</si>
  <si>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</si>
  <si>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</si>
  <si>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</si>
  <si>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</si>
  <si>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</si>
  <si>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</si>
  <si>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litres/head/day</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</si>
  <si>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</si>
  <si>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</si>
  <si>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</si>
  <si>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</si>
  <si>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</si>
  <si>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</si>
  <si>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</si>
  <si>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</si>
  <si>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</si>
  <si>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Post treatment destinations</t>
  </si>
  <si>
    <t>Production systems</t>
  </si>
  <si>
    <t>No</t>
  </si>
  <si>
    <t>System 3: Pasture-grazed 3-9 months/year</t>
  </si>
  <si>
    <t>Applied to farm soils as fertiliser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</si>
  <si>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</si>
  <si>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</si>
  <si>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</si>
  <si>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</si>
  <si>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</si>
  <si>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</si>
  <si>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</si>
  <si>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</si>
  <si>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</si>
  <si>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</si>
  <si>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</si>
  <si>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</si>
  <si>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</si>
  <si>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</si>
  <si>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</si>
  <si>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</si>
  <si>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</si>
  <si>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</si>
  <si>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</si>
  <si>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</si>
  <si>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</si>
  <si>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</si>
  <si>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</si>
  <si>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</si>
  <si>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</si>
  <si>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</si>
  <si>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</si>
  <si>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</si>
  <si>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</si>
  <si>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</si>
  <si>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</si>
  <si>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</si>
  <si>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</si>
  <si>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</si>
  <si>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</si>
  <si>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</si>
  <si>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</si>
  <si>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</si>
  <si>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</si>
  <si>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</si>
  <si>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</si>
  <si>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</si>
  <si>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</si>
  <si>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</si>
  <si>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</si>
  <si>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</si>
  <si>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</si>
  <si>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</si>
  <si>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</si>
  <si>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</si>
  <si>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</si>
  <si>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</si>
  <si>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</si>
  <si>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</si>
  <si>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</si>
  <si>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</si>
  <si>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</si>
  <si>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</si>
  <si>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</si>
  <si>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</si>
  <si>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</si>
  <si>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</si>
  <si>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</si>
  <si>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</si>
  <si>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</si>
  <si>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</si>
  <si>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</si>
  <si>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</si>
  <si>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</si>
  <si>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</si>
  <si>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</si>
  <si>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</si>
  <si>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</si>
  <si>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</si>
  <si>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</si>
  <si>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</si>
  <si>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</si>
  <si>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</si>
  <si>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</si>
  <si>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</si>
  <si>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</si>
  <si>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</si>
  <si>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</si>
  <si>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</si>
  <si>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</si>
  <si>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</si>
  <si>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</si>
  <si>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</si>
  <si>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</si>
  <si>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</si>
  <si>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</si>
  <si>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</si>
  <si>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</si>
  <si>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</si>
  <si>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</si>
  <si>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</si>
  <si>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</si>
  <si>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</si>
  <si>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</si>
  <si>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</si>
  <si>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</si>
  <si>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</si>
  <si>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</si>
  <si>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</si>
  <si>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</si>
  <si>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</si>
  <si>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</si>
  <si>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</si>
  <si>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</si>
  <si>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</si>
  <si>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</si>
  <si>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</si>
  <si>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</si>
  <si>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</si>
  <si>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</si>
  <si>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</si>
  <si>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</si>
  <si>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</si>
  <si>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</si>
  <si>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</si>
  <si>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</si>
  <si>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</si>
  <si>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</si>
  <si>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</si>
  <si>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</si>
  <si>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</si>
  <si>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</si>
  <si>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</si>
  <si>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</si>
  <si>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</si>
  <si>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</si>
  <si>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</si>
  <si>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</si>
  <si>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</si>
  <si>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</si>
  <si>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</si>
  <si>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</si>
  <si>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</si>
  <si>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</si>
  <si>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</si>
  <si>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</si>
  <si>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</si>
  <si>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</si>
  <si>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</si>
  <si>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</si>
  <si>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</si>
  <si>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</si>
  <si>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</si>
  <si>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</si>
  <si>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</si>
  <si>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</si>
  <si>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</si>
  <si>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</si>
  <si>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</si>
  <si>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</si>
  <si>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</si>
  <si>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</si>
  <si>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</si>
  <si>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</si>
  <si>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</si>
  <si>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</si>
  <si>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</si>
  <si>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</si>
  <si>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</si>
  <si>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</si>
  <si>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</si>
  <si>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</si>
  <si>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</si>
  <si>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</si>
  <si>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</si>
  <si>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</si>
  <si>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</si>
  <si>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</si>
  <si>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</si>
  <si>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</si>
  <si>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</si>
  <si>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</si>
  <si>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</si>
  <si>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</si>
  <si>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</si>
  <si>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</si>
  <si>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</si>
  <si>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</si>
  <si>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</si>
  <si>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</si>
  <si>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</si>
  <si>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</si>
  <si>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</si>
  <si>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</si>
  <si>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</si>
  <si>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</si>
  <si>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</si>
  <si>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</si>
  <si>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</si>
  <si>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</si>
  <si>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</si>
  <si>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</si>
  <si>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</si>
  <si>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</si>
  <si>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</si>
  <si>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</si>
  <si>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</si>
  <si>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</si>
  <si>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</si>
  <si>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</si>
  <si>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</si>
  <si>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</si>
  <si>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</si>
  <si>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</si>
  <si>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</si>
  <si>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</si>
  <si>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</si>
  <si>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</si>
  <si>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</si>
  <si>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</si>
  <si>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</si>
  <si>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</si>
  <si>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</si>
  <si>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</si>
  <si>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</si>
  <si>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 xml:space="preserve">  </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</si>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</sst>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2" formatCode="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0" tint="-0.14999847407452621"/>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66">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2"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2" fontId="2" fillId="0" borderId="2" xfId="14" applyNumberFormat="1" applyFont="1" applyBorder="1" applyAlignment="1">
      <alignment horizontal="center" vertical="center"/>
    </xf>
    <xf numFmtId="172"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0" fontId="13" fillId="6" borderId="0" xfId="29" applyAlignment="1">
      <alignment horizontal="left" vertical="center" indent="3"/>
    </xf>
    <xf numFmtId="0" fontId="71" fillId="6" borderId="0" xfId="30" applyFont="1" applyProtection="1">
      <alignment horizontal="center" vertical="center"/>
    </xf>
    <xf numFmtId="0" fontId="42"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70" fillId="4" borderId="0" xfId="62" applyFont="1" applyAlignment="1">
      <alignment horizontal="left" vertical="center" indent="6"/>
    </xf>
    <xf numFmtId="0" fontId="3" fillId="4" borderId="1" xfId="7" applyBorder="1">
      <alignment horizontal="left" vertical="center"/>
    </xf>
    <xf numFmtId="0" fontId="2" fillId="0" borderId="20" xfId="59" applyBorder="1">
      <alignment horizontal="center" vertical="center"/>
    </xf>
    <xf numFmtId="0" fontId="70" fillId="4" borderId="0" xfId="62" applyFont="1" applyAlignment="1">
      <alignment horizontal="left" vertical="center" indent="5"/>
    </xf>
    <xf numFmtId="0" fontId="40" fillId="4" borderId="0" xfId="8" applyFill="1">
      <alignment horizontal="left" vertical="center"/>
    </xf>
    <xf numFmtId="0" fontId="0" fillId="4" borderId="1" xfId="0" applyFill="1" applyBorder="1"/>
    <xf numFmtId="0" fontId="0" fillId="4" borderId="0" xfId="0" applyFill="1" applyBorder="1"/>
    <xf numFmtId="0" fontId="0" fillId="17" borderId="1" xfId="0" applyFill="1" applyBorder="1"/>
    <xf numFmtId="0" fontId="0" fillId="17" borderId="0" xfId="0" applyFill="1"/>
    <xf numFmtId="0" fontId="46" fillId="13" borderId="22" xfId="41" applyBorder="1">
      <alignment horizontal="left" vertical="center"/>
    </xf>
    <xf numFmtId="0" fontId="46" fillId="13" borderId="21" xfId="41" applyBorder="1">
      <alignment horizontal="left" vertical="center"/>
    </xf>
    <xf numFmtId="0" fontId="47" fillId="13" borderId="22" xfId="41" applyFont="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CC6600"/>
      <color rgb="FF0C769E"/>
      <color rgb="FF0D9D96"/>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4.3.1.1-4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65</xdr:row>
      <xdr:rowOff>44035</xdr:rowOff>
    </xdr:from>
    <xdr:to>
      <xdr:col>25</xdr:col>
      <xdr:colOff>584910</xdr:colOff>
      <xdr:row>68</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219738" y="15719464"/>
          <a:ext cx="151685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46</xdr:row>
      <xdr:rowOff>152894</xdr:rowOff>
    </xdr:from>
    <xdr:to>
      <xdr:col>31</xdr:col>
      <xdr:colOff>389411</xdr:colOff>
      <xdr:row>49</xdr:row>
      <xdr:rowOff>136071</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694853" y="11555680"/>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13</xdr:row>
      <xdr:rowOff>161058</xdr:rowOff>
    </xdr:from>
    <xdr:to>
      <xdr:col>5</xdr:col>
      <xdr:colOff>413160</xdr:colOff>
      <xdr:row>16</xdr:row>
      <xdr:rowOff>138108</xdr:rowOff>
    </xdr:to>
    <xdr:sp macro="" textlink="'4.3.1.1-2 Methane'!D27">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351385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t>Additional intake required for milk production</a:t>
          </a:fld>
          <a:endParaRPr lang="en-AU" sz="1000">
            <a:solidFill>
              <a:srgbClr val="0D9D96"/>
            </a:solidFill>
          </a:endParaRPr>
        </a:p>
      </xdr:txBody>
    </xdr:sp>
    <xdr:clientData/>
  </xdr:twoCellAnchor>
  <xdr:twoCellAnchor>
    <xdr:from>
      <xdr:col>3</xdr:col>
      <xdr:colOff>110835</xdr:colOff>
      <xdr:row>17</xdr:row>
      <xdr:rowOff>161058</xdr:rowOff>
    </xdr:from>
    <xdr:to>
      <xdr:col>5</xdr:col>
      <xdr:colOff>403635</xdr:colOff>
      <xdr:row>20</xdr:row>
      <xdr:rowOff>138108</xdr:rowOff>
    </xdr:to>
    <xdr:sp macro="" textlink="'4.3.1.1-2 Methane'!D5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87360" y="450445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t>Feed intake</a:t>
          </a:fld>
          <a:endParaRPr lang="en-AU" sz="1000">
            <a:solidFill>
              <a:srgbClr val="0D9D96"/>
            </a:solidFill>
          </a:endParaRPr>
        </a:p>
      </xdr:txBody>
    </xdr:sp>
    <xdr:clientData/>
  </xdr:twoCellAnchor>
  <xdr:twoCellAnchor>
    <xdr:from>
      <xdr:col>7</xdr:col>
      <xdr:colOff>101310</xdr:colOff>
      <xdr:row>21</xdr:row>
      <xdr:rowOff>27708</xdr:rowOff>
    </xdr:from>
    <xdr:to>
      <xdr:col>9</xdr:col>
      <xdr:colOff>394110</xdr:colOff>
      <xdr:row>24</xdr:row>
      <xdr:rowOff>4758</xdr:rowOff>
    </xdr:to>
    <xdr:sp macro="" textlink="'4.3.1.1-2 Methane'!D8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216235" y="536170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t>Volatile solids for weaned dairy cattle</a:t>
          </a:fld>
          <a:endParaRPr lang="en-AU" sz="1000">
            <a:solidFill>
              <a:srgbClr val="0C769E"/>
            </a:solidFill>
          </a:endParaRPr>
        </a:p>
      </xdr:txBody>
    </xdr:sp>
    <xdr:clientData/>
  </xdr:twoCellAnchor>
  <xdr:twoCellAnchor>
    <xdr:from>
      <xdr:col>7</xdr:col>
      <xdr:colOff>74096</xdr:colOff>
      <xdr:row>42</xdr:row>
      <xdr:rowOff>97104</xdr:rowOff>
    </xdr:from>
    <xdr:to>
      <xdr:col>9</xdr:col>
      <xdr:colOff>366896</xdr:colOff>
      <xdr:row>45</xdr:row>
      <xdr:rowOff>74154</xdr:rowOff>
    </xdr:to>
    <xdr:sp macro="" textlink="'4.3.1.1-2 Methane'!D10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203989" y="1052017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t>Fraction of volatile solids in each system other than solid storage</a:t>
          </a:fld>
          <a:endParaRPr lang="en-AU" sz="1000">
            <a:solidFill>
              <a:srgbClr val="0C769E"/>
            </a:solidFill>
          </a:endParaRPr>
        </a:p>
      </xdr:txBody>
    </xdr:sp>
    <xdr:clientData/>
  </xdr:twoCellAnchor>
  <xdr:twoCellAnchor>
    <xdr:from>
      <xdr:col>7</xdr:col>
      <xdr:colOff>93146</xdr:colOff>
      <xdr:row>45</xdr:row>
      <xdr:rowOff>237257</xdr:rowOff>
    </xdr:from>
    <xdr:to>
      <xdr:col>9</xdr:col>
      <xdr:colOff>385946</xdr:colOff>
      <xdr:row>48</xdr:row>
      <xdr:rowOff>214307</xdr:rowOff>
    </xdr:to>
    <xdr:sp macro="" textlink="'4.3.1.1-2 Methane'!D15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223039" y="11395114"/>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t>Fraction of volatile solids in solid storage</a:t>
          </a:fld>
          <a:endParaRPr lang="en-AU" sz="1000">
            <a:solidFill>
              <a:srgbClr val="0C769E"/>
            </a:solidFill>
          </a:endParaRPr>
        </a:p>
      </xdr:txBody>
    </xdr:sp>
    <xdr:clientData/>
  </xdr:twoCellAnchor>
  <xdr:twoCellAnchor>
    <xdr:from>
      <xdr:col>7</xdr:col>
      <xdr:colOff>93146</xdr:colOff>
      <xdr:row>49</xdr:row>
      <xdr:rowOff>163779</xdr:rowOff>
    </xdr:from>
    <xdr:to>
      <xdr:col>9</xdr:col>
      <xdr:colOff>385946</xdr:colOff>
      <xdr:row>52</xdr:row>
      <xdr:rowOff>140829</xdr:rowOff>
    </xdr:to>
    <xdr:sp macro="" textlink="'4.3.1.1-2 Methane'!D18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223039" y="12301350"/>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t>Methane from manure production from weaned dairy cattle</a:t>
          </a:fld>
          <a:endParaRPr lang="en-AU" sz="1000">
            <a:solidFill>
              <a:srgbClr val="0C769E"/>
            </a:solidFill>
          </a:endParaRPr>
        </a:p>
      </xdr:txBody>
    </xdr:sp>
    <xdr:clientData/>
  </xdr:twoCellAnchor>
  <xdr:twoCellAnchor>
    <xdr:from>
      <xdr:col>7</xdr:col>
      <xdr:colOff>74096</xdr:colOff>
      <xdr:row>56</xdr:row>
      <xdr:rowOff>241815</xdr:rowOff>
    </xdr:from>
    <xdr:to>
      <xdr:col>9</xdr:col>
      <xdr:colOff>366896</xdr:colOff>
      <xdr:row>60</xdr:row>
      <xdr:rowOff>82792</xdr:rowOff>
    </xdr:to>
    <xdr:sp macro="" textlink="'4.3.1.1-2 Methane'!D21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203989" y="14093886"/>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t>Total annual methane production from manure management</a:t>
          </a:fld>
          <a:endParaRPr lang="en-AU" sz="1000" b="1">
            <a:solidFill>
              <a:srgbClr val="0C769E"/>
            </a:solidFill>
          </a:endParaRPr>
        </a:p>
      </xdr:txBody>
    </xdr:sp>
    <xdr:clientData/>
  </xdr:twoCellAnchor>
  <xdr:twoCellAnchor>
    <xdr:from>
      <xdr:col>4</xdr:col>
      <xdr:colOff>257234</xdr:colOff>
      <xdr:row>12</xdr:row>
      <xdr:rowOff>157158</xdr:rowOff>
    </xdr:from>
    <xdr:to>
      <xdr:col>4</xdr:col>
      <xdr:colOff>266759</xdr:colOff>
      <xdr:row>13</xdr:row>
      <xdr:rowOff>161058</xdr:rowOff>
    </xdr:to>
    <xdr:cxnSp macro="">
      <xdr:nvCxnSpPr>
        <xdr:cNvPr id="50" name="Connector: Curved 49">
          <a:extLst>
            <a:ext uri="{FF2B5EF4-FFF2-40B4-BE49-F238E27FC236}">
              <a16:creationId xmlns:a16="http://schemas.microsoft.com/office/drawing/2014/main" id="{DC00356C-F557-7067-0F8A-6AAF6CE6E3B1}"/>
            </a:ext>
          </a:extLst>
        </xdr:cNvPr>
        <xdr:cNvCxnSpPr>
          <a:stCxn id="3" idx="2"/>
          <a:endCxn id="41" idx="0"/>
        </xdr:cNvCxnSpPr>
      </xdr:nvCxnSpPr>
      <xdr:spPr>
        <a:xfrm rot="16200000" flipH="1">
          <a:off x="3422347" y="3383320"/>
          <a:ext cx="251550"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16</xdr:row>
      <xdr:rowOff>138108</xdr:rowOff>
    </xdr:from>
    <xdr:to>
      <xdr:col>4</xdr:col>
      <xdr:colOff>266761</xdr:colOff>
      <xdr:row>17</xdr:row>
      <xdr:rowOff>161058</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411633" y="4401305"/>
          <a:ext cx="272981"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19</xdr:row>
      <xdr:rowOff>24567</xdr:rowOff>
    </xdr:from>
    <xdr:to>
      <xdr:col>8</xdr:col>
      <xdr:colOff>247710</xdr:colOff>
      <xdr:row>21</xdr:row>
      <xdr:rowOff>27708</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96979" y="4906130"/>
          <a:ext cx="1665731" cy="503203"/>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24</xdr:row>
      <xdr:rowOff>4758</xdr:rowOff>
    </xdr:from>
    <xdr:to>
      <xdr:col>8</xdr:col>
      <xdr:colOff>247711</xdr:colOff>
      <xdr:row>42</xdr:row>
      <xdr:rowOff>97104</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25788" y="8256038"/>
          <a:ext cx="450106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220498</xdr:colOff>
      <xdr:row>45</xdr:row>
      <xdr:rowOff>74153</xdr:rowOff>
    </xdr:from>
    <xdr:to>
      <xdr:col>8</xdr:col>
      <xdr:colOff>239548</xdr:colOff>
      <xdr:row>45</xdr:row>
      <xdr:rowOff>237256</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90685" y="11304037"/>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233197</xdr:colOff>
      <xdr:row>48</xdr:row>
      <xdr:rowOff>220657</xdr:rowOff>
    </xdr:from>
    <xdr:to>
      <xdr:col>8</xdr:col>
      <xdr:colOff>245897</xdr:colOff>
      <xdr:row>49</xdr:row>
      <xdr:rowOff>170129</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84561" y="12204150"/>
          <a:ext cx="194400"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52</xdr:row>
      <xdr:rowOff>140829</xdr:rowOff>
    </xdr:from>
    <xdr:to>
      <xdr:col>8</xdr:col>
      <xdr:colOff>239547</xdr:colOff>
      <xdr:row>56</xdr:row>
      <xdr:rowOff>241815</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431886" y="13544011"/>
          <a:ext cx="1080700"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20</xdr:row>
      <xdr:rowOff>202730</xdr:rowOff>
    </xdr:from>
    <xdr:to>
      <xdr:col>14</xdr:col>
      <xdr:colOff>170923</xdr:colOff>
      <xdr:row>23</xdr:row>
      <xdr:rowOff>179780</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24379" y="5334324"/>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t>Intake relative to maintenance</a:t>
          </a:fld>
          <a:endParaRPr lang="en-AU" sz="1000">
            <a:solidFill>
              <a:srgbClr val="002060"/>
            </a:solidFill>
          </a:endParaRPr>
        </a:p>
      </xdr:txBody>
    </xdr:sp>
    <xdr:clientData/>
  </xdr:twoCellAnchor>
  <xdr:twoCellAnchor>
    <xdr:from>
      <xdr:col>5</xdr:col>
      <xdr:colOff>403635</xdr:colOff>
      <xdr:row>19</xdr:row>
      <xdr:rowOff>24567</xdr:rowOff>
    </xdr:from>
    <xdr:to>
      <xdr:col>13</xdr:col>
      <xdr:colOff>25714</xdr:colOff>
      <xdr:row>20</xdr:row>
      <xdr:rowOff>202730</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96979" y="4906130"/>
          <a:ext cx="4479829" cy="428194"/>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24</xdr:row>
      <xdr:rowOff>122958</xdr:rowOff>
    </xdr:from>
    <xdr:to>
      <xdr:col>14</xdr:col>
      <xdr:colOff>162589</xdr:colOff>
      <xdr:row>27</xdr:row>
      <xdr:rowOff>100008</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8016045" y="6254677"/>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t>Amount of nitrogen retained by the body</a:t>
          </a:fld>
          <a:endParaRPr lang="en-AU" sz="1000">
            <a:solidFill>
              <a:srgbClr val="002060"/>
            </a:solidFill>
          </a:endParaRPr>
        </a:p>
      </xdr:txBody>
    </xdr:sp>
    <xdr:clientData/>
  </xdr:twoCellAnchor>
  <xdr:twoCellAnchor>
    <xdr:from>
      <xdr:col>13</xdr:col>
      <xdr:colOff>23164</xdr:colOff>
      <xdr:row>12</xdr:row>
      <xdr:rowOff>157158</xdr:rowOff>
    </xdr:from>
    <xdr:to>
      <xdr:col>13</xdr:col>
      <xdr:colOff>26907</xdr:colOff>
      <xdr:row>20</xdr:row>
      <xdr:rowOff>202730</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826356" y="4233001"/>
          <a:ext cx="2005001"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28</xdr:row>
      <xdr:rowOff>43186</xdr:rowOff>
    </xdr:from>
    <xdr:to>
      <xdr:col>14</xdr:col>
      <xdr:colOff>166161</xdr:colOff>
      <xdr:row>31</xdr:row>
      <xdr:rowOff>20236</xdr:rowOff>
    </xdr:to>
    <xdr:sp macro="" textlink="'4.3.1.3-4 Direct N20'!D100">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8019617" y="7175030"/>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t>Crude protein intake of dairy cattle</a:t>
          </a:fld>
          <a:endParaRPr lang="en-AU" sz="1000">
            <a:solidFill>
              <a:srgbClr val="002060"/>
            </a:solidFill>
          </a:endParaRPr>
        </a:p>
      </xdr:txBody>
    </xdr:sp>
    <xdr:clientData/>
  </xdr:twoCellAnchor>
  <xdr:twoCellAnchor>
    <xdr:from>
      <xdr:col>11</xdr:col>
      <xdr:colOff>498440</xdr:colOff>
      <xdr:row>31</xdr:row>
      <xdr:rowOff>189633</xdr:rowOff>
    </xdr:from>
    <xdr:to>
      <xdr:col>14</xdr:col>
      <xdr:colOff>181640</xdr:colOff>
      <xdr:row>34</xdr:row>
      <xdr:rowOff>166684</xdr:rowOff>
    </xdr:to>
    <xdr:sp macro="" textlink="'4.3.1.3-4 Direct N20'!D123">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35096" y="8071571"/>
          <a:ext cx="1504857" cy="72714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t>Nitrogen excreted by dairy cattle greater than one year old</a:t>
          </a:fld>
          <a:endParaRPr lang="en-AU" sz="1000">
            <a:solidFill>
              <a:srgbClr val="002060"/>
            </a:solidFill>
          </a:endParaRPr>
        </a:p>
      </xdr:txBody>
    </xdr:sp>
    <xdr:clientData/>
  </xdr:twoCellAnchor>
  <xdr:twoCellAnchor>
    <xdr:from>
      <xdr:col>10</xdr:col>
      <xdr:colOff>238262</xdr:colOff>
      <xdr:row>35</xdr:row>
      <xdr:rowOff>230736</xdr:rowOff>
    </xdr:from>
    <xdr:to>
      <xdr:col>12</xdr:col>
      <xdr:colOff>534375</xdr:colOff>
      <xdr:row>38</xdr:row>
      <xdr:rowOff>207787</xdr:rowOff>
    </xdr:to>
    <xdr:sp macro="" textlink="'4.3.1.3-4 Direct N20'!D143">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203936" y="9059997"/>
          <a:ext cx="1521939" cy="72248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35</xdr:row>
      <xdr:rowOff>234308</xdr:rowOff>
    </xdr:from>
    <xdr:to>
      <xdr:col>15</xdr:col>
      <xdr:colOff>359354</xdr:colOff>
      <xdr:row>38</xdr:row>
      <xdr:rowOff>211359</xdr:rowOff>
    </xdr:to>
    <xdr:sp macro="" textlink="'4.3.1.3-4 Direct N20'!D173">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867653" y="9063569"/>
          <a:ext cx="1521940" cy="72248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42</xdr:row>
      <xdr:rowOff>100847</xdr:rowOff>
    </xdr:from>
    <xdr:to>
      <xdr:col>14</xdr:col>
      <xdr:colOff>136966</xdr:colOff>
      <xdr:row>45</xdr:row>
      <xdr:rowOff>77897</xdr:rowOff>
    </xdr:to>
    <xdr:sp macro="" textlink="'4.3.1.3-4 Direct N20'!D210">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8038638" y="10523918"/>
          <a:ext cx="1514471" cy="71183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t>Total nitrogen in each MMS</a:t>
          </a:fld>
          <a:endParaRPr lang="en-AU" sz="1000">
            <a:solidFill>
              <a:srgbClr val="002060"/>
            </a:solidFill>
          </a:endParaRPr>
        </a:p>
      </xdr:txBody>
    </xdr:sp>
    <xdr:clientData/>
  </xdr:twoCellAnchor>
  <xdr:twoCellAnchor>
    <xdr:from>
      <xdr:col>11</xdr:col>
      <xdr:colOff>457078</xdr:colOff>
      <xdr:row>57</xdr:row>
      <xdr:rowOff>12164</xdr:rowOff>
    </xdr:from>
    <xdr:to>
      <xdr:col>14</xdr:col>
      <xdr:colOff>134585</xdr:colOff>
      <xdr:row>60</xdr:row>
      <xdr:rowOff>98070</xdr:rowOff>
    </xdr:to>
    <xdr:sp macro="" textlink="'4.3.1.3-4 Direct N20'!D247">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8036257" y="14109164"/>
          <a:ext cx="1514471"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t>Total annual direct nitrous oxide emissions from manure management systems</a:t>
          </a:fld>
          <a:endParaRPr lang="en-AU" sz="1000" b="1">
            <a:solidFill>
              <a:srgbClr val="002060"/>
            </a:solidFill>
          </a:endParaRPr>
        </a:p>
      </xdr:txBody>
    </xdr:sp>
    <xdr:clientData/>
  </xdr:twoCellAnchor>
  <xdr:twoCellAnchor>
    <xdr:from>
      <xdr:col>13</xdr:col>
      <xdr:colOff>17381</xdr:colOff>
      <xdr:row>23</xdr:row>
      <xdr:rowOff>179779</xdr:rowOff>
    </xdr:from>
    <xdr:to>
      <xdr:col>13</xdr:col>
      <xdr:colOff>25715</xdr:colOff>
      <xdr:row>24</xdr:row>
      <xdr:rowOff>122957</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76037" y="6153905"/>
          <a:ext cx="193209"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17381</xdr:colOff>
      <xdr:row>27</xdr:row>
      <xdr:rowOff>100007</xdr:rowOff>
    </xdr:from>
    <xdr:to>
      <xdr:col>13</xdr:col>
      <xdr:colOff>20953</xdr:colOff>
      <xdr:row>28</xdr:row>
      <xdr:rowOff>43185</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73656" y="7076639"/>
          <a:ext cx="193209"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20952</xdr:colOff>
      <xdr:row>31</xdr:row>
      <xdr:rowOff>20235</xdr:rowOff>
    </xdr:from>
    <xdr:to>
      <xdr:col>13</xdr:col>
      <xdr:colOff>36431</xdr:colOff>
      <xdr:row>31</xdr:row>
      <xdr:rowOff>189632</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95087" y="7979132"/>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34</xdr:row>
      <xdr:rowOff>166685</xdr:rowOff>
    </xdr:from>
    <xdr:to>
      <xdr:col>13</xdr:col>
      <xdr:colOff>33584</xdr:colOff>
      <xdr:row>35</xdr:row>
      <xdr:rowOff>230737</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245187" y="8467187"/>
          <a:ext cx="312530" cy="87309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386317</xdr:colOff>
      <xdr:row>38</xdr:row>
      <xdr:rowOff>207787</xdr:rowOff>
    </xdr:from>
    <xdr:to>
      <xdr:col>12</xdr:col>
      <xdr:colOff>604373</xdr:colOff>
      <xdr:row>42</xdr:row>
      <xdr:rowOff>100847</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944298" y="9672342"/>
          <a:ext cx="872774" cy="83037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33584</xdr:colOff>
      <xdr:row>34</xdr:row>
      <xdr:rowOff>166684</xdr:rowOff>
    </xdr:from>
    <xdr:to>
      <xdr:col>14</xdr:col>
      <xdr:colOff>211297</xdr:colOff>
      <xdr:row>35</xdr:row>
      <xdr:rowOff>234308</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75259" y="8510205"/>
          <a:ext cx="316102" cy="7906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604374</xdr:colOff>
      <xdr:row>38</xdr:row>
      <xdr:rowOff>211359</xdr:rowOff>
    </xdr:from>
    <xdr:to>
      <xdr:col>14</xdr:col>
      <xdr:colOff>211297</xdr:colOff>
      <xdr:row>42</xdr:row>
      <xdr:rowOff>100847</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77056" y="9673534"/>
          <a:ext cx="869202" cy="83156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601993</xdr:colOff>
      <xdr:row>45</xdr:row>
      <xdr:rowOff>77898</xdr:rowOff>
    </xdr:from>
    <xdr:to>
      <xdr:col>12</xdr:col>
      <xdr:colOff>604374</xdr:colOff>
      <xdr:row>57</xdr:row>
      <xdr:rowOff>12165</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57979" y="12671269"/>
          <a:ext cx="2873410"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43</xdr:row>
      <xdr:rowOff>211836</xdr:rowOff>
    </xdr:from>
    <xdr:to>
      <xdr:col>17</xdr:col>
      <xdr:colOff>304490</xdr:colOff>
      <xdr:row>46</xdr:row>
      <xdr:rowOff>174783</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553109" y="10879836"/>
          <a:ext cx="2004488" cy="697733"/>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304490</xdr:colOff>
      <xdr:row>49</xdr:row>
      <xdr:rowOff>151834</xdr:rowOff>
    </xdr:from>
    <xdr:to>
      <xdr:col>17</xdr:col>
      <xdr:colOff>307389</xdr:colOff>
      <xdr:row>56</xdr:row>
      <xdr:rowOff>230869</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662279" y="13184723"/>
          <a:ext cx="1793535"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43</xdr:row>
      <xdr:rowOff>211836</xdr:rowOff>
    </xdr:from>
    <xdr:to>
      <xdr:col>21</xdr:col>
      <xdr:colOff>292245</xdr:colOff>
      <xdr:row>46</xdr:row>
      <xdr:rowOff>158217</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553109" y="10879836"/>
          <a:ext cx="4441529" cy="681167"/>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49</xdr:row>
      <xdr:rowOff>135269</xdr:rowOff>
    </xdr:from>
    <xdr:to>
      <xdr:col>21</xdr:col>
      <xdr:colOff>303841</xdr:colOff>
      <xdr:row>56</xdr:row>
      <xdr:rowOff>218919</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3101361" y="13166117"/>
          <a:ext cx="1798150"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65</xdr:row>
      <xdr:rowOff>37409</xdr:rowOff>
    </xdr:from>
    <xdr:to>
      <xdr:col>28</xdr:col>
      <xdr:colOff>341580</xdr:colOff>
      <xdr:row>68</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812779" y="15712838"/>
          <a:ext cx="151744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43</xdr:row>
      <xdr:rowOff>211836</xdr:rowOff>
    </xdr:from>
    <xdr:to>
      <xdr:col>24</xdr:col>
      <xdr:colOff>438807</xdr:colOff>
      <xdr:row>65</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553109" y="10879836"/>
          <a:ext cx="6425055" cy="48396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43</xdr:row>
      <xdr:rowOff>211836</xdr:rowOff>
    </xdr:from>
    <xdr:to>
      <xdr:col>27</xdr:col>
      <xdr:colOff>195180</xdr:colOff>
      <xdr:row>65</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553109" y="10879836"/>
          <a:ext cx="8018392" cy="4833002"/>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46</xdr:row>
      <xdr:rowOff>174783</xdr:rowOff>
    </xdr:from>
    <xdr:to>
      <xdr:col>18</xdr:col>
      <xdr:colOff>450889</xdr:colOff>
      <xdr:row>49</xdr:row>
      <xdr:rowOff>151835</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98875" y="11577569"/>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t>Total nitrogen volatilised from MMS</a:t>
          </a:fld>
          <a:endParaRPr lang="en-AU" sz="1000">
            <a:solidFill>
              <a:srgbClr val="7030A0"/>
            </a:solidFill>
          </a:endParaRPr>
        </a:p>
      </xdr:txBody>
    </xdr:sp>
    <xdr:clientData/>
  </xdr:twoCellAnchor>
  <xdr:twoCellAnchor>
    <xdr:from>
      <xdr:col>20</xdr:col>
      <xdr:colOff>144485</xdr:colOff>
      <xdr:row>46</xdr:row>
      <xdr:rowOff>158217</xdr:rowOff>
    </xdr:from>
    <xdr:to>
      <xdr:col>22</xdr:col>
      <xdr:colOff>440006</xdr:colOff>
      <xdr:row>49</xdr:row>
      <xdr:rowOff>135269</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234556" y="11561003"/>
          <a:ext cx="1520164" cy="71183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56</xdr:row>
      <xdr:rowOff>230870</xdr:rowOff>
    </xdr:from>
    <xdr:to>
      <xdr:col>18</xdr:col>
      <xdr:colOff>453788</xdr:colOff>
      <xdr:row>60</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801774" y="14082941"/>
          <a:ext cx="1517443" cy="71183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t>Annual atmospheric deposition emissions from MMS</a:t>
          </a:fld>
          <a:endParaRPr lang="en-AU" sz="1000" b="1">
            <a:solidFill>
              <a:srgbClr val="7030A0"/>
            </a:solidFill>
          </a:endParaRPr>
        </a:p>
      </xdr:txBody>
    </xdr:sp>
    <xdr:clientData/>
  </xdr:twoCellAnchor>
  <xdr:twoCellAnchor>
    <xdr:from>
      <xdr:col>20</xdr:col>
      <xdr:colOff>156081</xdr:colOff>
      <xdr:row>56</xdr:row>
      <xdr:rowOff>218919</xdr:rowOff>
    </xdr:from>
    <xdr:to>
      <xdr:col>22</xdr:col>
      <xdr:colOff>451602</xdr:colOff>
      <xdr:row>60</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246152" y="14070990"/>
          <a:ext cx="1520164" cy="71183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t>Annual atmospheric deposition emissions from MMS</a:t>
          </a:fld>
          <a:endParaRPr lang="en-AU" sz="1000" b="1">
            <a:solidFill>
              <a:srgbClr val="C00000"/>
            </a:solidFill>
          </a:endParaRPr>
        </a:p>
      </xdr:txBody>
    </xdr:sp>
    <xdr:clientData/>
  </xdr:twoCellAnchor>
  <xdr:twoCellAnchor>
    <xdr:from>
      <xdr:col>14</xdr:col>
      <xdr:colOff>136966</xdr:colOff>
      <xdr:row>43</xdr:row>
      <xdr:rowOff>211836</xdr:rowOff>
    </xdr:from>
    <xdr:to>
      <xdr:col>30</xdr:col>
      <xdr:colOff>241650</xdr:colOff>
      <xdr:row>46</xdr:row>
      <xdr:rowOff>152894</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553109" y="10879836"/>
          <a:ext cx="9901827" cy="67584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46</xdr:row>
      <xdr:rowOff>169223</xdr:rowOff>
    </xdr:from>
    <xdr:to>
      <xdr:col>34</xdr:col>
      <xdr:colOff>460168</xdr:colOff>
      <xdr:row>49</xdr:row>
      <xdr:rowOff>152400</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602574" y="11572009"/>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51</xdr:row>
      <xdr:rowOff>22266</xdr:rowOff>
    </xdr:from>
    <xdr:to>
      <xdr:col>34</xdr:col>
      <xdr:colOff>462889</xdr:colOff>
      <xdr:row>54</xdr:row>
      <xdr:rowOff>5443</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605295" y="12649695"/>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46</xdr:row>
      <xdr:rowOff>161059</xdr:rowOff>
    </xdr:from>
    <xdr:to>
      <xdr:col>38</xdr:col>
      <xdr:colOff>302324</xdr:colOff>
      <xdr:row>49</xdr:row>
      <xdr:rowOff>144236</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894016" y="11563845"/>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51</xdr:row>
      <xdr:rowOff>22266</xdr:rowOff>
    </xdr:from>
    <xdr:to>
      <xdr:col>38</xdr:col>
      <xdr:colOff>299604</xdr:colOff>
      <xdr:row>54</xdr:row>
      <xdr:rowOff>5443</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891296" y="12649695"/>
          <a:ext cx="1520165" cy="71796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43</xdr:row>
      <xdr:rowOff>211836</xdr:rowOff>
    </xdr:from>
    <xdr:to>
      <xdr:col>33</xdr:col>
      <xdr:colOff>312407</xdr:colOff>
      <xdr:row>46</xdr:row>
      <xdr:rowOff>169223</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553109" y="10879836"/>
          <a:ext cx="11809548" cy="692173"/>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43</xdr:row>
      <xdr:rowOff>211836</xdr:rowOff>
    </xdr:from>
    <xdr:to>
      <xdr:col>37</xdr:col>
      <xdr:colOff>154563</xdr:colOff>
      <xdr:row>46</xdr:row>
      <xdr:rowOff>161059</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553109" y="10879836"/>
          <a:ext cx="14100990" cy="68400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312406</xdr:colOff>
      <xdr:row>49</xdr:row>
      <xdr:rowOff>152400</xdr:rowOff>
    </xdr:from>
    <xdr:to>
      <xdr:col>33</xdr:col>
      <xdr:colOff>315127</xdr:colOff>
      <xdr:row>51</xdr:row>
      <xdr:rowOff>22266</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1184155" y="12468472"/>
          <a:ext cx="359724"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151843</xdr:colOff>
      <xdr:row>49</xdr:row>
      <xdr:rowOff>144236</xdr:rowOff>
    </xdr:from>
    <xdr:to>
      <xdr:col>37</xdr:col>
      <xdr:colOff>154563</xdr:colOff>
      <xdr:row>51</xdr:row>
      <xdr:rowOff>22266</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468795" y="12464391"/>
          <a:ext cx="367888"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43</xdr:row>
      <xdr:rowOff>201631</xdr:rowOff>
    </xdr:from>
    <xdr:to>
      <xdr:col>45</xdr:col>
      <xdr:colOff>341701</xdr:colOff>
      <xdr:row>47</xdr:row>
      <xdr:rowOff>106383</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07657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20</xdr:row>
      <xdr:rowOff>84363</xdr:rowOff>
    </xdr:from>
    <xdr:to>
      <xdr:col>45</xdr:col>
      <xdr:colOff>330815</xdr:colOff>
      <xdr:row>23</xdr:row>
      <xdr:rowOff>234042</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7067328" y="5119006"/>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20</xdr:row>
      <xdr:rowOff>73478</xdr:rowOff>
    </xdr:from>
    <xdr:to>
      <xdr:col>54</xdr:col>
      <xdr:colOff>279109</xdr:colOff>
      <xdr:row>23</xdr:row>
      <xdr:rowOff>223157</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526515" y="5108121"/>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43</xdr:row>
      <xdr:rowOff>168975</xdr:rowOff>
    </xdr:from>
    <xdr:to>
      <xdr:col>51</xdr:col>
      <xdr:colOff>268223</xdr:colOff>
      <xdr:row>47</xdr:row>
      <xdr:rowOff>73727</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07330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50</xdr:row>
      <xdr:rowOff>95250</xdr:rowOff>
    </xdr:from>
    <xdr:to>
      <xdr:col>55</xdr:col>
      <xdr:colOff>28735</xdr:colOff>
      <xdr:row>53</xdr:row>
      <xdr:rowOff>27214</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888465" y="12477750"/>
          <a:ext cx="1661591" cy="666750"/>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43</xdr:row>
      <xdr:rowOff>228847</xdr:rowOff>
    </xdr:from>
    <xdr:to>
      <xdr:col>58</xdr:col>
      <xdr:colOff>19611</xdr:colOff>
      <xdr:row>47</xdr:row>
      <xdr:rowOff>106384</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07929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54</xdr:row>
      <xdr:rowOff>220436</xdr:rowOff>
    </xdr:from>
    <xdr:to>
      <xdr:col>58</xdr:col>
      <xdr:colOff>6004</xdr:colOff>
      <xdr:row>58</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698215" y="13582650"/>
          <a:ext cx="1666075" cy="86813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54</xdr:row>
      <xdr:rowOff>214993</xdr:rowOff>
    </xdr:from>
    <xdr:to>
      <xdr:col>51</xdr:col>
      <xdr:colOff>270944</xdr:colOff>
      <xdr:row>58</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681386" y="13577207"/>
          <a:ext cx="1661594" cy="8844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64</xdr:row>
      <xdr:rowOff>16328</xdr:rowOff>
    </xdr:from>
    <xdr:to>
      <xdr:col>51</xdr:col>
      <xdr:colOff>534920</xdr:colOff>
      <xdr:row>67</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945364" y="15501257"/>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64</xdr:row>
      <xdr:rowOff>16328</xdr:rowOff>
    </xdr:from>
    <xdr:to>
      <xdr:col>54</xdr:col>
      <xdr:colOff>408534</xdr:colOff>
      <xdr:row>67</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655941" y="15501257"/>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64</xdr:row>
      <xdr:rowOff>16328</xdr:rowOff>
    </xdr:from>
    <xdr:to>
      <xdr:col>57</xdr:col>
      <xdr:colOff>310724</xdr:colOff>
      <xdr:row>67</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395094" y="15501257"/>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23</xdr:row>
      <xdr:rowOff>234042</xdr:rowOff>
    </xdr:from>
    <xdr:to>
      <xdr:col>44</xdr:col>
      <xdr:colOff>126318</xdr:colOff>
      <xdr:row>43</xdr:row>
      <xdr:rowOff>201631</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83519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23</xdr:row>
      <xdr:rowOff>223157</xdr:rowOff>
    </xdr:from>
    <xdr:to>
      <xdr:col>53</xdr:col>
      <xdr:colOff>63727</xdr:colOff>
      <xdr:row>43</xdr:row>
      <xdr:rowOff>168975</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74209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23</xdr:row>
      <xdr:rowOff>223156</xdr:rowOff>
    </xdr:from>
    <xdr:to>
      <xdr:col>56</xdr:col>
      <xdr:colOff>408126</xdr:colOff>
      <xdr:row>43</xdr:row>
      <xdr:rowOff>228846</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72841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47</xdr:row>
      <xdr:rowOff>73727</xdr:rowOff>
    </xdr:from>
    <xdr:to>
      <xdr:col>50</xdr:col>
      <xdr:colOff>55560</xdr:colOff>
      <xdr:row>54</xdr:row>
      <xdr:rowOff>214993</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25254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47</xdr:row>
      <xdr:rowOff>73726</xdr:rowOff>
    </xdr:from>
    <xdr:to>
      <xdr:col>53</xdr:col>
      <xdr:colOff>419490</xdr:colOff>
      <xdr:row>50</xdr:row>
      <xdr:rowOff>95249</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08895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422582</xdr:colOff>
      <xdr:row>53</xdr:row>
      <xdr:rowOff>27214</xdr:rowOff>
    </xdr:from>
    <xdr:to>
      <xdr:col>56</xdr:col>
      <xdr:colOff>397610</xdr:colOff>
      <xdr:row>54</xdr:row>
      <xdr:rowOff>220436</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406182" y="12457579"/>
          <a:ext cx="438150" cy="1811992"/>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47</xdr:row>
      <xdr:rowOff>106385</xdr:rowOff>
    </xdr:from>
    <xdr:to>
      <xdr:col>56</xdr:col>
      <xdr:colOff>408125</xdr:colOff>
      <xdr:row>54</xdr:row>
      <xdr:rowOff>220437</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25391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20</xdr:row>
      <xdr:rowOff>84362</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8302259" y="2829294"/>
          <a:ext cx="15744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20</xdr:row>
      <xdr:rowOff>73478</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1009461" y="3033031"/>
          <a:ext cx="15635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53831</xdr:colOff>
      <xdr:row>58</xdr:row>
      <xdr:rowOff>119742</xdr:rowOff>
    </xdr:from>
    <xdr:to>
      <xdr:col>50</xdr:col>
      <xdr:colOff>316447</xdr:colOff>
      <xdr:row>64</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993071" y="15005277"/>
          <a:ext cx="1039585" cy="262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53831</xdr:colOff>
      <xdr:row>58</xdr:row>
      <xdr:rowOff>119742</xdr:rowOff>
    </xdr:from>
    <xdr:to>
      <xdr:col>53</xdr:col>
      <xdr:colOff>191421</xdr:colOff>
      <xdr:row>64</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844958" y="14153390"/>
          <a:ext cx="1039585" cy="19663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53830</xdr:colOff>
      <xdr:row>58</xdr:row>
      <xdr:rowOff>119742</xdr:rowOff>
    </xdr:from>
    <xdr:to>
      <xdr:col>56</xdr:col>
      <xdr:colOff>93609</xdr:colOff>
      <xdr:row>64</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710452" y="13287895"/>
          <a:ext cx="1039585" cy="369737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58</xdr:row>
      <xdr:rowOff>108857</xdr:rowOff>
    </xdr:from>
    <xdr:to>
      <xdr:col>56</xdr:col>
      <xdr:colOff>396249</xdr:colOff>
      <xdr:row>64</xdr:row>
      <xdr:rowOff>16329</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987637" y="13262441"/>
          <a:ext cx="1050472" cy="373740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191420</xdr:colOff>
      <xdr:row>58</xdr:row>
      <xdr:rowOff>108857</xdr:rowOff>
    </xdr:from>
    <xdr:to>
      <xdr:col>56</xdr:col>
      <xdr:colOff>396249</xdr:colOff>
      <xdr:row>64</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839524" y="14114328"/>
          <a:ext cx="1050472" cy="20336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93609</xdr:colOff>
      <xdr:row>58</xdr:row>
      <xdr:rowOff>108856</xdr:rowOff>
    </xdr:from>
    <xdr:to>
      <xdr:col>56</xdr:col>
      <xdr:colOff>396249</xdr:colOff>
      <xdr:row>64</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705018" y="14979822"/>
          <a:ext cx="1050472" cy="3026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90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55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29</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7</xdr:row>
      <xdr:rowOff>128587</xdr:rowOff>
    </xdr:from>
    <xdr:ext cx="2435346"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0337" y="1995487"/>
              <a:ext cx="243534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𝑞𝑚_𝑗=0.795×(𝐷𝑀𝐷_𝑗×100)−0.0014</a:t>
              </a:r>
              <a:endParaRPr lang="en-AU" sz="1100"/>
            </a:p>
          </xdr:txBody>
        </xdr:sp>
      </mc:Fallback>
    </mc:AlternateContent>
    <xdr:clientData/>
  </xdr:oneCellAnchor>
  <xdr:oneCellAnchor>
    <xdr:from>
      <xdr:col>3</xdr:col>
      <xdr:colOff>14287</xdr:colOff>
      <xdr:row>109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156</xdr:row>
      <xdr:rowOff>157162</xdr:rowOff>
    </xdr:from>
    <xdr:ext cx="3888692" cy="194990"/>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156</xdr:row>
      <xdr:rowOff>128587</xdr:rowOff>
    </xdr:from>
    <xdr:ext cx="5606791" cy="194990"/>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182</xdr:row>
      <xdr:rowOff>157162</xdr:rowOff>
    </xdr:from>
    <xdr:ext cx="2591222" cy="182871"/>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222</xdr:row>
      <xdr:rowOff>166687</xdr:rowOff>
    </xdr:from>
    <xdr:ext cx="7943200" cy="332079"/>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222</xdr:row>
      <xdr:rowOff>147637</xdr:rowOff>
    </xdr:from>
    <xdr:ext cx="8406468" cy="332079"/>
    <mc:AlternateContent xmlns:mc="http://schemas.openxmlformats.org/markup-compatibility/2006">
      <mc:Choice xmlns:a14="http://schemas.microsoft.com/office/drawing/2010/main"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9525</xdr:colOff>
      <xdr:row>71</xdr:row>
      <xdr:rowOff>90487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86050" y="178069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𝑁𝑅_𝑗=((0.032×𝑀𝑃_𝑗×1.03)/6.38)+{(0.212−0.008×(𝐿_𝑗−2)−[(0.140−0.008×(𝐿_𝑗−2))/(1+𝑒^(−6×(𝑍_𝑗−0.4) ) )])×(𝐿𝑊𝐺_𝑗×0.92)}×1/6.25</a:t>
              </a:r>
            </a:p>
          </xdr:txBody>
        </xdr:sp>
      </mc:Fallback>
    </mc:AlternateContent>
    <xdr:clientData/>
  </xdr:oneCellAnchor>
  <xdr:oneCellAnchor>
    <xdr:from>
      <xdr:col>3</xdr:col>
      <xdr:colOff>85725</xdr:colOff>
      <xdr:row>102</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762250" y="2554128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125</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146</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146</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176</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176</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212</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249</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𝐸_(𝑁2𝑂,𝑑𝑖𝑟)=∑10_𝑗▒∑10_𝑚▒(𝑀𝑁_𝑗𝑚×𝐸𝐹_𝑚×𝐶_𝑁2𝑂×10^(−3) ) </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45"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44"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43"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42"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41"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40"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39"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38"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37"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36"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35"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34"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33"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32"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31"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30"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29"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28"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27"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26"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25"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24"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23"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22"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21"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20"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19"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18"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17"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16"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1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14"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13"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12"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11"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10"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9"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73"/>
  <sheetViews>
    <sheetView showGridLines="0" tabSelected="1" zoomScale="85" zoomScaleNormal="85" workbookViewId="0">
      <selection activeCell="A5" sqref="A5"/>
    </sheetView>
  </sheetViews>
  <sheetFormatPr defaultRowHeight="15" x14ac:dyDescent="0.25"/>
  <cols>
    <col min="1" max="1" width="30.7109375" customWidth="1"/>
    <col min="2" max="3" width="4.7109375" customWidth="1"/>
  </cols>
  <sheetData>
    <row r="1" spans="1:64" ht="30" customHeight="1" x14ac:dyDescent="0.35">
      <c r="A1" s="71" t="e" vm="1">
        <v>#VALUE!</v>
      </c>
      <c r="C1" s="143" t="s">
        <v>438</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64" t="s">
        <v>454</v>
      </c>
      <c r="E5" s="164"/>
      <c r="F5" s="164"/>
      <c r="G5" s="164"/>
      <c r="H5" s="164"/>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65" t="s">
        <v>437</v>
      </c>
      <c r="E6" s="163"/>
      <c r="F6" s="163"/>
      <c r="G6" s="163"/>
      <c r="H6" s="163"/>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58"/>
      <c r="D12" s="158"/>
      <c r="E12" s="158"/>
      <c r="F12" s="158"/>
      <c r="G12" s="158"/>
      <c r="H12" s="158"/>
      <c r="I12" s="158"/>
      <c r="J12" s="158"/>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8"/>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58"/>
      <c r="D14" s="158"/>
      <c r="E14" s="158"/>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58"/>
      <c r="D16" s="158"/>
      <c r="E16" s="158"/>
      <c r="F16" s="158"/>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58"/>
      <c r="D17" s="158"/>
      <c r="E17" s="158"/>
      <c r="F17" s="158"/>
      <c r="G17" s="158"/>
      <c r="H17" s="158"/>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58"/>
      <c r="D18" s="158"/>
      <c r="E18" s="158"/>
      <c r="F18" s="158"/>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58"/>
      <c r="D20" s="158"/>
      <c r="E20" s="158"/>
      <c r="F20" s="158"/>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58"/>
      <c r="D21" s="158"/>
      <c r="E21" s="158"/>
      <c r="F21" s="158"/>
      <c r="G21" s="158"/>
      <c r="H21" s="158"/>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58"/>
      <c r="D23" s="158"/>
      <c r="E23" s="158"/>
      <c r="F23" s="158"/>
      <c r="G23" s="158"/>
      <c r="H23" s="158"/>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58"/>
      <c r="D27" s="158"/>
      <c r="E27" s="158"/>
      <c r="F27" s="158"/>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58"/>
      <c r="D30" s="158"/>
      <c r="E30" s="158"/>
      <c r="F30" s="158"/>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58"/>
      <c r="D34" s="158"/>
      <c r="E34" s="158"/>
      <c r="F34" s="158"/>
      <c r="G34" s="158"/>
      <c r="H34" s="158"/>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t="s">
        <v>439</v>
      </c>
      <c r="BG40" s="24"/>
      <c r="BH40" s="24"/>
      <c r="BI40" s="24"/>
      <c r="BJ40" s="24"/>
      <c r="BK40" s="24"/>
      <c r="BL40" s="24"/>
    </row>
    <row r="41" spans="3:64" ht="20.100000000000001" customHeight="1" x14ac:dyDescent="0.25">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161"/>
      <c r="BB41" s="161"/>
      <c r="BC41" s="161"/>
      <c r="BD41" s="161"/>
      <c r="BE41" s="161"/>
      <c r="BF41" s="161"/>
      <c r="BG41" s="161"/>
      <c r="BH41" s="161"/>
      <c r="BI41" s="161"/>
      <c r="BJ41" s="161"/>
      <c r="BK41" s="161"/>
      <c r="BL41" s="161"/>
    </row>
    <row r="42" spans="3:64" ht="20.100000000000001" customHeight="1" x14ac:dyDescent="0.25">
      <c r="C42" s="162"/>
      <c r="D42" s="162"/>
      <c r="E42" s="162"/>
      <c r="F42" s="162"/>
      <c r="G42" s="162"/>
      <c r="H42" s="162"/>
      <c r="I42" s="162"/>
      <c r="J42" s="162"/>
      <c r="K42" s="162"/>
      <c r="L42" s="162"/>
      <c r="M42" s="162"/>
      <c r="N42" s="162"/>
      <c r="O42" s="162"/>
      <c r="P42" s="162"/>
      <c r="Q42" s="162"/>
      <c r="R42" s="162"/>
      <c r="S42" s="162"/>
      <c r="T42" s="162"/>
      <c r="U42" s="162"/>
      <c r="V42" s="162"/>
      <c r="W42" s="162"/>
      <c r="X42" s="162"/>
      <c r="Y42" s="162"/>
      <c r="Z42" s="162"/>
      <c r="AA42" s="162"/>
      <c r="AB42" s="162"/>
      <c r="AC42" s="162"/>
      <c r="AD42" s="162"/>
      <c r="AE42" s="162"/>
      <c r="AF42" s="162"/>
      <c r="AG42" s="162"/>
      <c r="AH42" s="162"/>
      <c r="AI42" s="162"/>
      <c r="AJ42" s="162"/>
      <c r="AK42" s="162"/>
      <c r="AL42" s="162"/>
      <c r="AM42" s="162"/>
      <c r="AN42" s="162"/>
      <c r="AO42" s="162"/>
      <c r="AP42" s="162"/>
      <c r="AQ42" s="162"/>
      <c r="AR42" s="162"/>
      <c r="AS42" s="162"/>
      <c r="AT42" s="162"/>
      <c r="AU42" s="162"/>
      <c r="AV42" s="162"/>
      <c r="AW42" s="162"/>
      <c r="AX42" s="162"/>
      <c r="AY42" s="162"/>
      <c r="AZ42" s="162"/>
      <c r="BA42" s="162"/>
      <c r="BB42" s="162"/>
      <c r="BC42" s="162"/>
      <c r="BD42" s="162"/>
      <c r="BE42" s="162"/>
      <c r="BF42" s="162"/>
      <c r="BG42" s="162"/>
      <c r="BH42" s="162"/>
      <c r="BI42" s="162"/>
      <c r="BJ42" s="162"/>
      <c r="BK42" s="162"/>
      <c r="BL42" s="162"/>
    </row>
    <row r="43" spans="3:64" ht="20.100000000000001" customHeight="1" x14ac:dyDescent="0.25">
      <c r="C43" s="162"/>
      <c r="D43" s="162"/>
      <c r="E43" s="162"/>
      <c r="F43" s="162"/>
      <c r="G43" s="162"/>
      <c r="H43" s="162"/>
      <c r="I43" s="162"/>
      <c r="J43" s="162"/>
      <c r="K43" s="162"/>
      <c r="L43" s="162"/>
      <c r="M43" s="162"/>
      <c r="N43" s="162"/>
      <c r="O43" s="162"/>
      <c r="P43" s="162"/>
      <c r="Q43" s="162"/>
      <c r="R43" s="162"/>
      <c r="S43" s="162"/>
      <c r="T43" s="162"/>
      <c r="U43" s="162"/>
      <c r="V43" s="162"/>
      <c r="W43" s="162"/>
      <c r="X43" s="162"/>
      <c r="Y43" s="162"/>
      <c r="Z43" s="162"/>
      <c r="AA43" s="162"/>
      <c r="AB43" s="162"/>
      <c r="AC43" s="162"/>
      <c r="AD43" s="162"/>
      <c r="AE43" s="162"/>
      <c r="AF43" s="162"/>
      <c r="AG43" s="162"/>
      <c r="AH43" s="162"/>
      <c r="AI43" s="162"/>
      <c r="AJ43" s="162"/>
      <c r="AK43" s="162"/>
      <c r="AL43" s="162"/>
      <c r="AM43" s="162"/>
      <c r="AN43" s="162"/>
      <c r="AO43" s="162"/>
      <c r="AP43" s="162"/>
      <c r="AQ43" s="162"/>
      <c r="AR43" s="162"/>
      <c r="AS43" s="162"/>
      <c r="AT43" s="162"/>
      <c r="AU43" s="162"/>
      <c r="AV43" s="162"/>
      <c r="AW43" s="162"/>
      <c r="AX43" s="162"/>
      <c r="AY43" s="162"/>
      <c r="AZ43" s="162"/>
      <c r="BA43" s="162"/>
      <c r="BB43" s="162"/>
      <c r="BC43" s="162"/>
      <c r="BD43" s="162"/>
      <c r="BE43" s="162"/>
      <c r="BF43" s="162"/>
      <c r="BG43" s="162"/>
      <c r="BH43" s="162"/>
      <c r="BI43" s="162"/>
      <c r="BJ43" s="162"/>
      <c r="BK43" s="162"/>
      <c r="BL43" s="162"/>
    </row>
    <row r="44" spans="3:64" ht="20.100000000000001" customHeight="1" x14ac:dyDescent="0.25">
      <c r="C44" s="162"/>
      <c r="D44" s="162"/>
      <c r="E44" s="162"/>
      <c r="F44" s="162"/>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row>
    <row r="45" spans="3:64" ht="20.100000000000001" customHeight="1" x14ac:dyDescent="0.25">
      <c r="C45" s="162"/>
      <c r="D45" s="162"/>
      <c r="E45" s="162"/>
      <c r="F45" s="162"/>
      <c r="G45" s="162"/>
      <c r="H45" s="162"/>
      <c r="I45" s="162"/>
      <c r="J45" s="162"/>
      <c r="K45" s="162"/>
      <c r="L45" s="162"/>
      <c r="M45" s="162"/>
      <c r="N45" s="162"/>
      <c r="O45" s="162"/>
      <c r="P45" s="162"/>
      <c r="Q45" s="162"/>
      <c r="R45" s="162"/>
      <c r="S45" s="162"/>
      <c r="T45" s="162"/>
      <c r="U45" s="162"/>
      <c r="V45" s="162"/>
      <c r="W45" s="162"/>
      <c r="X45" s="162"/>
      <c r="Y45" s="162"/>
      <c r="Z45" s="162"/>
      <c r="AA45" s="162"/>
      <c r="AB45" s="162"/>
      <c r="AC45" s="162"/>
      <c r="AD45" s="162"/>
      <c r="AE45" s="162"/>
      <c r="AF45" s="162"/>
      <c r="AG45" s="162"/>
      <c r="AH45" s="162"/>
      <c r="AI45" s="162"/>
      <c r="AJ45" s="162"/>
      <c r="AK45" s="162"/>
      <c r="AL45" s="162"/>
      <c r="AM45" s="162"/>
      <c r="AN45" s="162"/>
      <c r="AO45" s="162"/>
      <c r="AP45" s="162"/>
      <c r="AQ45" s="162"/>
      <c r="AR45" s="162"/>
      <c r="AS45" s="162"/>
      <c r="AT45" s="162"/>
      <c r="AU45" s="162"/>
      <c r="AV45" s="162"/>
      <c r="AW45" s="162"/>
      <c r="AX45" s="162"/>
      <c r="AY45" s="162"/>
      <c r="AZ45" s="162"/>
      <c r="BA45" s="162"/>
      <c r="BB45" s="162"/>
      <c r="BC45" s="162"/>
      <c r="BD45" s="162"/>
      <c r="BE45" s="162"/>
      <c r="BF45" s="162"/>
      <c r="BG45" s="162"/>
      <c r="BH45" s="162"/>
      <c r="BI45" s="162"/>
      <c r="BJ45" s="162"/>
      <c r="BK45" s="162"/>
      <c r="BL45" s="162"/>
    </row>
    <row r="46" spans="3:64" ht="20.100000000000001" customHeight="1" x14ac:dyDescent="0.25">
      <c r="C46" s="162"/>
      <c r="D46" s="162"/>
      <c r="E46" s="162"/>
      <c r="F46" s="162"/>
      <c r="G46" s="162"/>
      <c r="H46" s="162"/>
      <c r="I46" s="162"/>
      <c r="J46" s="162"/>
      <c r="K46" s="162"/>
      <c r="L46" s="162"/>
      <c r="M46" s="162"/>
      <c r="N46" s="162"/>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row>
    <row r="47" spans="3:64" ht="20.100000000000001" customHeight="1" x14ac:dyDescent="0.25">
      <c r="C47" s="162"/>
      <c r="D47" s="162"/>
      <c r="E47" s="162"/>
      <c r="F47" s="162"/>
      <c r="G47" s="162"/>
      <c r="H47" s="162"/>
      <c r="I47" s="162"/>
      <c r="J47" s="162"/>
      <c r="K47" s="162"/>
      <c r="L47" s="162"/>
      <c r="M47" s="162"/>
      <c r="N47" s="162"/>
      <c r="O47" s="162"/>
      <c r="P47" s="162"/>
      <c r="Q47" s="162"/>
      <c r="R47" s="162"/>
      <c r="S47" s="162"/>
      <c r="T47" s="162"/>
      <c r="U47" s="162"/>
      <c r="V47" s="162"/>
      <c r="W47" s="162"/>
      <c r="X47" s="162"/>
      <c r="Y47" s="162"/>
      <c r="Z47" s="162"/>
      <c r="AA47" s="162"/>
      <c r="AB47" s="162"/>
      <c r="AC47" s="162"/>
      <c r="AD47" s="162"/>
      <c r="AE47" s="162"/>
      <c r="AF47" s="162"/>
      <c r="AG47" s="162"/>
      <c r="AH47" s="162"/>
      <c r="AI47" s="162"/>
      <c r="AJ47" s="162"/>
      <c r="AK47" s="162"/>
      <c r="AL47" s="162"/>
      <c r="AM47" s="162"/>
      <c r="AN47" s="162"/>
      <c r="AO47" s="162"/>
      <c r="AP47" s="162"/>
      <c r="AQ47" s="162"/>
      <c r="AR47" s="162"/>
      <c r="AS47" s="162"/>
      <c r="AT47" s="162"/>
      <c r="AU47" s="162"/>
      <c r="AV47" s="162"/>
      <c r="AW47" s="162"/>
      <c r="AX47" s="162"/>
      <c r="AY47" s="162"/>
      <c r="AZ47" s="162"/>
      <c r="BA47" s="162"/>
      <c r="BB47" s="162"/>
      <c r="BC47" s="162"/>
      <c r="BD47" s="162"/>
      <c r="BE47" s="162"/>
      <c r="BF47" s="162"/>
      <c r="BG47" s="162"/>
      <c r="BH47" s="162"/>
      <c r="BI47" s="162"/>
      <c r="BJ47" s="162"/>
      <c r="BK47" s="162"/>
      <c r="BL47" s="162"/>
    </row>
    <row r="48" spans="3:64" ht="20.100000000000001" customHeight="1" x14ac:dyDescent="0.25">
      <c r="C48" s="162"/>
      <c r="D48" s="162"/>
      <c r="E48" s="162"/>
      <c r="F48" s="162"/>
      <c r="G48" s="162"/>
      <c r="H48" s="162"/>
      <c r="I48" s="162"/>
      <c r="J48" s="162"/>
      <c r="K48" s="162"/>
      <c r="L48" s="162"/>
      <c r="M48" s="162"/>
      <c r="N48" s="162"/>
      <c r="O48" s="162"/>
      <c r="P48" s="162"/>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row>
    <row r="49" spans="3:64" ht="20.100000000000001" customHeight="1" x14ac:dyDescent="0.25">
      <c r="C49" s="162"/>
      <c r="D49" s="162"/>
      <c r="E49" s="162"/>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62"/>
      <c r="AV49" s="162"/>
      <c r="AW49" s="162"/>
      <c r="AX49" s="162"/>
      <c r="AY49" s="162"/>
      <c r="AZ49" s="162"/>
      <c r="BA49" s="162"/>
      <c r="BB49" s="162"/>
      <c r="BC49" s="162"/>
      <c r="BD49" s="162"/>
      <c r="BE49" s="162"/>
      <c r="BF49" s="162"/>
      <c r="BG49" s="162"/>
      <c r="BH49" s="162"/>
      <c r="BI49" s="162"/>
      <c r="BJ49" s="162"/>
      <c r="BK49" s="162"/>
      <c r="BL49" s="162"/>
    </row>
    <row r="50" spans="3:64" ht="20.100000000000001" customHeight="1" x14ac:dyDescent="0.25">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62"/>
      <c r="AP50" s="162"/>
      <c r="AQ50" s="162"/>
      <c r="AR50" s="162"/>
      <c r="AS50" s="162"/>
      <c r="AT50" s="162"/>
      <c r="AU50" s="162"/>
      <c r="AV50" s="162"/>
      <c r="AW50" s="162"/>
      <c r="AX50" s="162"/>
      <c r="AY50" s="162"/>
      <c r="AZ50" s="162"/>
      <c r="BA50" s="162"/>
      <c r="BB50" s="162"/>
      <c r="BC50" s="162"/>
      <c r="BD50" s="162"/>
      <c r="BE50" s="162"/>
      <c r="BF50" s="162"/>
      <c r="BG50" s="162"/>
      <c r="BH50" s="162"/>
      <c r="BI50" s="162"/>
      <c r="BJ50" s="162"/>
      <c r="BK50" s="162"/>
      <c r="BL50" s="162"/>
    </row>
    <row r="51" spans="3:64" ht="20.100000000000001" customHeight="1" x14ac:dyDescent="0.25">
      <c r="C51" s="162"/>
      <c r="D51" s="162"/>
      <c r="E51" s="162"/>
      <c r="F51" s="162"/>
      <c r="G51" s="162"/>
      <c r="H51" s="162"/>
      <c r="I51" s="162"/>
      <c r="J51" s="162"/>
      <c r="K51" s="162"/>
      <c r="L51" s="162"/>
      <c r="M51" s="162"/>
      <c r="N51" s="162"/>
      <c r="O51" s="162"/>
      <c r="P51" s="162"/>
      <c r="Q51" s="162"/>
      <c r="R51" s="162"/>
      <c r="S51" s="162"/>
      <c r="T51" s="162"/>
      <c r="U51" s="162"/>
      <c r="V51" s="162"/>
      <c r="W51" s="162"/>
      <c r="X51" s="162"/>
      <c r="Y51" s="162"/>
      <c r="Z51" s="162"/>
      <c r="AA51" s="162"/>
      <c r="AB51" s="162"/>
      <c r="AC51" s="162"/>
      <c r="AD51" s="162"/>
      <c r="AE51" s="162"/>
      <c r="AF51" s="162"/>
      <c r="AG51" s="162"/>
      <c r="AH51" s="162"/>
      <c r="AI51" s="162"/>
      <c r="AJ51" s="162"/>
      <c r="AK51" s="162"/>
      <c r="AL51" s="162"/>
      <c r="AM51" s="162"/>
      <c r="AN51" s="162"/>
      <c r="AO51" s="162"/>
      <c r="AP51" s="162"/>
      <c r="AQ51" s="162"/>
      <c r="AR51" s="162"/>
      <c r="AS51" s="162"/>
      <c r="AT51" s="162"/>
      <c r="AU51" s="162"/>
      <c r="AV51" s="162"/>
      <c r="AW51" s="162"/>
      <c r="AX51" s="162"/>
      <c r="AY51" s="162"/>
      <c r="AZ51" s="162"/>
      <c r="BA51" s="162"/>
      <c r="BB51" s="162"/>
      <c r="BC51" s="162"/>
      <c r="BD51" s="162"/>
      <c r="BE51" s="162"/>
      <c r="BF51" s="162"/>
      <c r="BG51" s="162"/>
      <c r="BH51" s="162"/>
      <c r="BI51" s="162"/>
      <c r="BJ51" s="162"/>
      <c r="BK51" s="162"/>
      <c r="BL51" s="162"/>
    </row>
    <row r="52" spans="3:64" ht="20.100000000000001" customHeight="1" x14ac:dyDescent="0.25">
      <c r="C52" s="162"/>
      <c r="D52" s="162"/>
      <c r="E52" s="162"/>
      <c r="F52" s="162"/>
      <c r="G52" s="162"/>
      <c r="H52" s="162"/>
      <c r="I52" s="162"/>
      <c r="J52" s="162"/>
      <c r="K52" s="162"/>
      <c r="L52" s="162"/>
      <c r="M52" s="162"/>
      <c r="N52" s="162"/>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row>
    <row r="53" spans="3:64" ht="20.100000000000001" customHeight="1" x14ac:dyDescent="0.25">
      <c r="C53" s="162"/>
      <c r="D53" s="162"/>
      <c r="E53" s="162"/>
      <c r="F53" s="162"/>
      <c r="G53" s="162"/>
      <c r="H53" s="162"/>
      <c r="I53" s="162"/>
      <c r="J53" s="162"/>
      <c r="K53" s="162"/>
      <c r="L53" s="162"/>
      <c r="M53" s="162"/>
      <c r="N53" s="162"/>
      <c r="O53" s="162"/>
      <c r="P53" s="162"/>
      <c r="Q53" s="162"/>
      <c r="R53" s="162"/>
      <c r="S53" s="162"/>
      <c r="T53" s="162"/>
      <c r="U53" s="162"/>
      <c r="V53" s="162"/>
      <c r="W53" s="162"/>
      <c r="X53" s="162"/>
      <c r="Y53" s="162"/>
      <c r="Z53" s="162"/>
      <c r="AA53" s="162"/>
      <c r="AB53" s="162"/>
      <c r="AC53" s="162"/>
      <c r="AD53" s="162"/>
      <c r="AE53" s="162"/>
      <c r="AF53" s="162"/>
      <c r="AG53" s="162"/>
      <c r="AH53" s="162"/>
      <c r="AI53" s="162"/>
      <c r="AJ53" s="162"/>
      <c r="AK53" s="162"/>
      <c r="AL53" s="162"/>
      <c r="AM53" s="162"/>
      <c r="AN53" s="162"/>
      <c r="AO53" s="162"/>
      <c r="AP53" s="162"/>
      <c r="AQ53" s="162"/>
      <c r="AR53" s="162"/>
      <c r="AS53" s="162"/>
      <c r="AT53" s="162"/>
      <c r="AU53" s="162"/>
      <c r="AV53" s="162"/>
      <c r="AW53" s="162"/>
      <c r="AX53" s="162"/>
      <c r="AY53" s="162"/>
      <c r="AZ53" s="162"/>
      <c r="BA53" s="162"/>
      <c r="BB53" s="162"/>
      <c r="BC53" s="162"/>
      <c r="BD53" s="162"/>
      <c r="BE53" s="162"/>
      <c r="BF53" s="162"/>
      <c r="BG53" s="162"/>
      <c r="BH53" s="162"/>
      <c r="BI53" s="162"/>
      <c r="BJ53" s="162"/>
      <c r="BK53" s="162"/>
      <c r="BL53" s="162"/>
    </row>
    <row r="54" spans="3:64" ht="20.100000000000001" customHeight="1" x14ac:dyDescent="0.25">
      <c r="C54" s="162"/>
      <c r="D54" s="162"/>
      <c r="E54" s="162"/>
      <c r="F54" s="162"/>
      <c r="G54" s="162"/>
      <c r="H54" s="162"/>
      <c r="I54" s="162"/>
      <c r="J54" s="162"/>
      <c r="K54" s="162"/>
      <c r="L54" s="162"/>
      <c r="M54" s="162"/>
      <c r="N54" s="162"/>
      <c r="O54" s="162"/>
      <c r="P54" s="162"/>
      <c r="Q54" s="162"/>
      <c r="R54" s="162"/>
      <c r="S54" s="162"/>
      <c r="T54" s="162"/>
      <c r="U54" s="162"/>
      <c r="V54" s="162"/>
      <c r="W54" s="162"/>
      <c r="X54" s="162"/>
      <c r="Y54" s="162"/>
      <c r="Z54" s="162"/>
      <c r="AA54" s="162"/>
      <c r="AB54" s="162"/>
      <c r="AC54" s="162"/>
      <c r="AD54" s="162"/>
      <c r="AE54" s="162"/>
      <c r="AF54" s="162"/>
      <c r="AG54" s="162"/>
      <c r="AH54" s="162"/>
      <c r="AI54" s="162"/>
      <c r="AJ54" s="162"/>
      <c r="AK54" s="162"/>
      <c r="AL54" s="162"/>
      <c r="AM54" s="162"/>
      <c r="AN54" s="162"/>
      <c r="AO54" s="162"/>
      <c r="AP54" s="162"/>
      <c r="AQ54" s="162"/>
      <c r="AR54" s="162"/>
      <c r="AS54" s="162"/>
      <c r="AT54" s="162"/>
      <c r="AU54" s="162"/>
      <c r="AV54" s="162"/>
      <c r="AW54" s="162"/>
      <c r="AX54" s="162"/>
      <c r="AY54" s="162"/>
      <c r="AZ54" s="162"/>
      <c r="BA54" s="162"/>
      <c r="BB54" s="162"/>
      <c r="BC54" s="162"/>
      <c r="BD54" s="162"/>
      <c r="BE54" s="162"/>
      <c r="BF54" s="162"/>
      <c r="BG54" s="162"/>
      <c r="BH54" s="162"/>
      <c r="BI54" s="162"/>
      <c r="BJ54" s="162"/>
      <c r="BK54" s="162"/>
      <c r="BL54" s="162"/>
    </row>
    <row r="55" spans="3:64" ht="20.100000000000001" customHeight="1" x14ac:dyDescent="0.25">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c r="AR55" s="162"/>
      <c r="AS55" s="162"/>
      <c r="AT55" s="162"/>
      <c r="AU55" s="162"/>
      <c r="AV55" s="162"/>
      <c r="AW55" s="162"/>
      <c r="AX55" s="162"/>
      <c r="AY55" s="162"/>
      <c r="AZ55" s="162"/>
      <c r="BA55" s="162"/>
      <c r="BB55" s="162"/>
      <c r="BC55" s="162"/>
      <c r="BD55" s="162"/>
      <c r="BE55" s="162"/>
      <c r="BF55" s="162"/>
      <c r="BG55" s="162"/>
      <c r="BH55" s="162"/>
      <c r="BI55" s="162"/>
      <c r="BJ55" s="162"/>
      <c r="BK55" s="162"/>
      <c r="BL55" s="162"/>
    </row>
    <row r="56" spans="3:64" ht="20.100000000000001" customHeight="1" x14ac:dyDescent="0.25">
      <c r="C56" s="162"/>
      <c r="D56" s="162"/>
      <c r="E56" s="162"/>
      <c r="F56" s="162"/>
      <c r="G56" s="162"/>
      <c r="H56" s="162"/>
      <c r="I56" s="162"/>
      <c r="J56" s="162"/>
      <c r="K56" s="162"/>
      <c r="L56" s="162"/>
      <c r="M56" s="162"/>
      <c r="N56" s="162"/>
      <c r="O56" s="162"/>
      <c r="P56" s="162"/>
      <c r="Q56" s="162"/>
      <c r="R56" s="162"/>
      <c r="S56" s="162"/>
      <c r="T56" s="162"/>
      <c r="U56" s="162"/>
      <c r="V56" s="162"/>
      <c r="W56" s="162"/>
      <c r="X56" s="162"/>
      <c r="Y56" s="162"/>
      <c r="Z56" s="162"/>
      <c r="AA56" s="162"/>
      <c r="AB56" s="162"/>
      <c r="AC56" s="162"/>
      <c r="AD56" s="162"/>
      <c r="AE56" s="162"/>
      <c r="AF56" s="162"/>
      <c r="AG56" s="162"/>
      <c r="AH56" s="162"/>
      <c r="AI56" s="162"/>
      <c r="AJ56" s="162"/>
      <c r="AK56" s="162"/>
      <c r="AL56" s="162"/>
      <c r="AM56" s="162"/>
      <c r="AN56" s="162"/>
      <c r="AO56" s="162"/>
      <c r="AP56" s="162"/>
      <c r="AQ56" s="162"/>
      <c r="AR56" s="162"/>
      <c r="AS56" s="162"/>
      <c r="AT56" s="162"/>
      <c r="AU56" s="162"/>
      <c r="AV56" s="162"/>
      <c r="AW56" s="162"/>
      <c r="AX56" s="162"/>
      <c r="AY56" s="162"/>
      <c r="AZ56" s="162"/>
      <c r="BA56" s="162"/>
      <c r="BB56" s="162"/>
      <c r="BC56" s="162"/>
      <c r="BD56" s="162"/>
      <c r="BE56" s="162"/>
      <c r="BF56" s="162"/>
      <c r="BG56" s="162"/>
      <c r="BH56" s="162"/>
      <c r="BI56" s="162"/>
      <c r="BJ56" s="162"/>
      <c r="BK56" s="162"/>
      <c r="BL56" s="162"/>
    </row>
    <row r="57" spans="3:64" ht="20.100000000000001" customHeight="1" x14ac:dyDescent="0.25">
      <c r="C57" s="162"/>
      <c r="D57" s="162"/>
      <c r="E57" s="162"/>
      <c r="F57" s="162"/>
      <c r="G57" s="162"/>
      <c r="H57" s="162"/>
      <c r="I57" s="162"/>
      <c r="J57" s="162"/>
      <c r="K57" s="162"/>
      <c r="L57" s="162"/>
      <c r="M57" s="162"/>
      <c r="N57" s="162"/>
      <c r="O57" s="162"/>
      <c r="P57" s="162"/>
      <c r="Q57" s="162"/>
      <c r="R57" s="162"/>
      <c r="S57" s="162"/>
      <c r="T57" s="162"/>
      <c r="U57" s="162"/>
      <c r="V57" s="162"/>
      <c r="W57" s="162"/>
      <c r="X57" s="162"/>
      <c r="Y57" s="162"/>
      <c r="Z57" s="162"/>
      <c r="AA57" s="162"/>
      <c r="AB57" s="162"/>
      <c r="AC57" s="162"/>
      <c r="AD57" s="162"/>
      <c r="AE57" s="162"/>
      <c r="AF57" s="162"/>
      <c r="AG57" s="162"/>
      <c r="AH57" s="162"/>
      <c r="AI57" s="162"/>
      <c r="AJ57" s="162"/>
      <c r="AK57" s="162"/>
      <c r="AL57" s="162"/>
      <c r="AM57" s="162"/>
      <c r="AN57" s="162"/>
      <c r="AO57" s="162"/>
      <c r="AP57" s="162"/>
      <c r="AQ57" s="162"/>
      <c r="AR57" s="162"/>
      <c r="AS57" s="162"/>
      <c r="AT57" s="162"/>
      <c r="AU57" s="162"/>
      <c r="AV57" s="162"/>
      <c r="AW57" s="162"/>
      <c r="AX57" s="162"/>
      <c r="AY57" s="162"/>
      <c r="AZ57" s="162"/>
      <c r="BA57" s="162"/>
      <c r="BB57" s="162"/>
      <c r="BC57" s="162"/>
      <c r="BD57" s="162"/>
      <c r="BE57" s="162"/>
      <c r="BF57" s="162"/>
      <c r="BG57" s="162"/>
      <c r="BH57" s="162"/>
      <c r="BI57" s="162"/>
      <c r="BJ57" s="162"/>
      <c r="BK57" s="162"/>
      <c r="BL57" s="162"/>
    </row>
    <row r="58" spans="3:64" ht="20.100000000000001" customHeight="1" x14ac:dyDescent="0.25">
      <c r="C58" s="162"/>
      <c r="D58" s="162"/>
      <c r="E58" s="162"/>
      <c r="F58" s="162"/>
      <c r="G58" s="162"/>
      <c r="H58" s="162"/>
      <c r="I58" s="162"/>
      <c r="J58" s="162"/>
      <c r="K58" s="162"/>
      <c r="L58" s="162"/>
      <c r="M58" s="162"/>
      <c r="N58" s="162"/>
      <c r="O58" s="162"/>
      <c r="P58" s="162"/>
      <c r="Q58" s="162"/>
      <c r="R58" s="162"/>
      <c r="S58" s="162"/>
      <c r="T58" s="162"/>
      <c r="U58" s="162"/>
      <c r="V58" s="162"/>
      <c r="W58" s="162"/>
      <c r="X58" s="162"/>
      <c r="Y58" s="162"/>
      <c r="Z58" s="162"/>
      <c r="AA58" s="162"/>
      <c r="AB58" s="162"/>
      <c r="AC58" s="162"/>
      <c r="AD58" s="162"/>
      <c r="AE58" s="162"/>
      <c r="AF58" s="162"/>
      <c r="AG58" s="162"/>
      <c r="AH58" s="162"/>
      <c r="AI58" s="162"/>
      <c r="AJ58" s="162"/>
      <c r="AK58" s="162"/>
      <c r="AL58" s="162"/>
      <c r="AM58" s="162"/>
      <c r="AN58" s="162"/>
      <c r="AO58" s="162"/>
      <c r="AP58" s="162"/>
      <c r="AQ58" s="162"/>
      <c r="AR58" s="162"/>
      <c r="AS58" s="162"/>
      <c r="AT58" s="162"/>
      <c r="AU58" s="162"/>
      <c r="AV58" s="162"/>
      <c r="AW58" s="162"/>
      <c r="AX58" s="162"/>
      <c r="AY58" s="162"/>
      <c r="AZ58" s="162"/>
      <c r="BA58" s="162"/>
      <c r="BB58" s="162"/>
      <c r="BC58" s="162"/>
      <c r="BD58" s="162"/>
      <c r="BE58" s="162"/>
      <c r="BF58" s="162"/>
      <c r="BG58" s="162"/>
      <c r="BH58" s="162"/>
      <c r="BI58" s="162"/>
      <c r="BJ58" s="162"/>
      <c r="BK58" s="162"/>
      <c r="BL58" s="162"/>
    </row>
    <row r="59" spans="3:64" x14ac:dyDescent="0.25">
      <c r="C59" s="162"/>
      <c r="D59" s="162"/>
      <c r="E59" s="162"/>
      <c r="F59" s="162"/>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row>
    <row r="60" spans="3:64" x14ac:dyDescent="0.25">
      <c r="C60" s="162"/>
      <c r="D60" s="162"/>
      <c r="E60" s="162"/>
      <c r="F60" s="162"/>
      <c r="G60" s="162"/>
      <c r="H60" s="162"/>
      <c r="I60" s="162"/>
      <c r="J60" s="162"/>
      <c r="K60" s="162"/>
      <c r="L60" s="162"/>
      <c r="M60" s="162"/>
      <c r="N60" s="162"/>
      <c r="O60" s="162"/>
      <c r="P60" s="162"/>
      <c r="Q60" s="162"/>
      <c r="R60" s="162"/>
      <c r="S60" s="162"/>
      <c r="T60" s="162"/>
      <c r="U60" s="162"/>
      <c r="V60" s="162"/>
      <c r="W60" s="162"/>
      <c r="X60" s="162"/>
      <c r="Y60" s="162"/>
      <c r="Z60" s="162"/>
      <c r="AA60" s="162"/>
      <c r="AB60" s="162"/>
      <c r="AC60" s="162"/>
      <c r="AD60" s="162"/>
      <c r="AE60" s="162"/>
      <c r="AF60" s="162"/>
      <c r="AG60" s="162"/>
      <c r="AH60" s="162"/>
      <c r="AI60" s="162"/>
      <c r="AJ60" s="162"/>
      <c r="AK60" s="162"/>
      <c r="AL60" s="162"/>
      <c r="AM60" s="162"/>
      <c r="AN60" s="162"/>
      <c r="AO60" s="162"/>
      <c r="AP60" s="162"/>
      <c r="AQ60" s="162"/>
      <c r="AR60" s="162"/>
      <c r="AS60" s="162"/>
      <c r="AT60" s="162"/>
      <c r="AU60" s="162"/>
      <c r="AV60" s="162"/>
      <c r="AW60" s="162"/>
      <c r="AX60" s="162"/>
      <c r="AY60" s="162"/>
      <c r="AZ60" s="162"/>
      <c r="BA60" s="162"/>
      <c r="BB60" s="162"/>
      <c r="BC60" s="162"/>
      <c r="BD60" s="162"/>
      <c r="BE60" s="162"/>
      <c r="BF60" s="162"/>
      <c r="BG60" s="162"/>
      <c r="BH60" s="162"/>
      <c r="BI60" s="162"/>
      <c r="BJ60" s="162"/>
      <c r="BK60" s="162"/>
      <c r="BL60" s="162"/>
    </row>
    <row r="61" spans="3:64" x14ac:dyDescent="0.25">
      <c r="C61" s="162"/>
      <c r="D61" s="162"/>
      <c r="E61" s="162"/>
      <c r="F61" s="162"/>
      <c r="G61" s="162"/>
      <c r="H61" s="162"/>
      <c r="I61" s="162"/>
      <c r="J61" s="162"/>
      <c r="K61" s="162"/>
      <c r="L61" s="162"/>
      <c r="M61" s="162"/>
      <c r="N61" s="162"/>
      <c r="O61" s="162"/>
      <c r="P61" s="162"/>
      <c r="Q61" s="162"/>
      <c r="R61" s="162"/>
      <c r="S61" s="162"/>
      <c r="T61" s="162"/>
      <c r="U61" s="162"/>
      <c r="V61" s="162"/>
      <c r="W61" s="162"/>
      <c r="X61" s="162"/>
      <c r="Y61" s="162"/>
      <c r="Z61" s="162"/>
      <c r="AA61" s="162"/>
      <c r="AB61" s="162"/>
      <c r="AC61" s="162"/>
      <c r="AD61" s="162"/>
      <c r="AE61" s="162"/>
      <c r="AF61" s="162"/>
      <c r="AG61" s="162"/>
      <c r="AH61" s="162"/>
      <c r="AI61" s="162"/>
      <c r="AJ61" s="162"/>
      <c r="AK61" s="162"/>
      <c r="AL61" s="162"/>
      <c r="AM61" s="162"/>
      <c r="AN61" s="162"/>
      <c r="AO61" s="162"/>
      <c r="AP61" s="162"/>
      <c r="AQ61" s="162"/>
      <c r="AR61" s="162"/>
      <c r="AS61" s="162"/>
      <c r="AT61" s="162"/>
      <c r="AU61" s="162"/>
      <c r="AV61" s="162"/>
      <c r="AW61" s="162"/>
      <c r="AX61" s="162"/>
      <c r="AY61" s="162"/>
      <c r="AZ61" s="162"/>
      <c r="BA61" s="162"/>
      <c r="BB61" s="162"/>
      <c r="BC61" s="162"/>
      <c r="BD61" s="162"/>
      <c r="BE61" s="162"/>
      <c r="BF61" s="162"/>
      <c r="BG61" s="162"/>
      <c r="BH61" s="162"/>
      <c r="BI61" s="162"/>
      <c r="BJ61" s="162"/>
      <c r="BK61" s="162"/>
      <c r="BL61" s="162"/>
    </row>
    <row r="62" spans="3:64" x14ac:dyDescent="0.25">
      <c r="C62" s="162"/>
      <c r="D62" s="162"/>
      <c r="E62" s="162"/>
      <c r="F62" s="162"/>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2"/>
      <c r="AJ62" s="162"/>
      <c r="AK62" s="162"/>
      <c r="AL62" s="162"/>
      <c r="AM62" s="162"/>
      <c r="AN62" s="162"/>
      <c r="AO62" s="162"/>
      <c r="AP62" s="162"/>
      <c r="AQ62" s="162"/>
      <c r="AR62" s="162"/>
      <c r="AS62" s="162"/>
      <c r="AT62" s="162"/>
      <c r="AU62" s="162"/>
      <c r="AV62" s="162"/>
      <c r="AW62" s="162"/>
      <c r="AX62" s="162"/>
      <c r="AY62" s="162"/>
      <c r="AZ62" s="162"/>
      <c r="BA62" s="162"/>
      <c r="BB62" s="162"/>
      <c r="BC62" s="162"/>
      <c r="BD62" s="162"/>
      <c r="BE62" s="162"/>
      <c r="BF62" s="162"/>
      <c r="BG62" s="162"/>
      <c r="BH62" s="162"/>
      <c r="BI62" s="162"/>
      <c r="BJ62" s="162"/>
      <c r="BK62" s="162"/>
      <c r="BL62" s="162"/>
    </row>
    <row r="63" spans="3:64" x14ac:dyDescent="0.25">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c r="AF63" s="159"/>
      <c r="AG63" s="159"/>
      <c r="AH63" s="159"/>
      <c r="AI63" s="159"/>
      <c r="AJ63" s="159"/>
      <c r="AK63" s="159"/>
      <c r="AL63" s="159"/>
      <c r="AM63" s="159"/>
      <c r="AN63" s="159"/>
      <c r="AO63" s="159"/>
      <c r="AP63" s="159"/>
      <c r="AQ63" s="159"/>
      <c r="AR63" s="159"/>
      <c r="AS63" s="159"/>
      <c r="AT63" s="159"/>
      <c r="AU63" s="159"/>
      <c r="AV63" s="159"/>
      <c r="AW63" s="159"/>
      <c r="AX63" s="159"/>
      <c r="AY63" s="159"/>
      <c r="AZ63" s="159"/>
      <c r="BA63" s="159"/>
      <c r="BB63" s="159"/>
      <c r="BC63" s="159"/>
      <c r="BD63" s="159"/>
      <c r="BE63" s="159"/>
      <c r="BF63" s="159"/>
      <c r="BG63" s="159"/>
      <c r="BH63" s="159"/>
      <c r="BI63" s="159"/>
      <c r="BJ63" s="159"/>
      <c r="BK63" s="159"/>
      <c r="BL63" s="159"/>
    </row>
    <row r="64" spans="3:64" x14ac:dyDescent="0.25">
      <c r="C64" s="160"/>
      <c r="D64" s="160"/>
      <c r="E64" s="160"/>
      <c r="F64" s="160"/>
      <c r="G64" s="160"/>
      <c r="H64" s="160"/>
      <c r="I64" s="160"/>
      <c r="J64" s="160"/>
      <c r="K64" s="160"/>
      <c r="L64" s="160"/>
      <c r="M64" s="160"/>
      <c r="N64" s="160"/>
      <c r="O64" s="160"/>
      <c r="P64" s="160"/>
      <c r="Q64" s="160"/>
      <c r="R64" s="160"/>
      <c r="S64" s="160"/>
      <c r="T64" s="160"/>
      <c r="U64" s="160"/>
      <c r="V64" s="160"/>
      <c r="W64" s="160"/>
      <c r="X64" s="160"/>
      <c r="Y64" s="160"/>
      <c r="Z64" s="160"/>
      <c r="AA64" s="160"/>
      <c r="AB64" s="160"/>
      <c r="AC64" s="160"/>
      <c r="AD64" s="160"/>
      <c r="AE64" s="160"/>
      <c r="AF64" s="160"/>
      <c r="AG64" s="160"/>
      <c r="AH64" s="160"/>
      <c r="AI64" s="160"/>
      <c r="AJ64" s="160"/>
      <c r="AK64" s="160"/>
      <c r="AL64" s="160"/>
      <c r="AM64" s="160"/>
      <c r="AN64" s="160"/>
      <c r="AO64" s="160"/>
      <c r="AP64" s="160"/>
      <c r="AQ64" s="160"/>
      <c r="AR64" s="160"/>
      <c r="AS64" s="160"/>
      <c r="AT64" s="160"/>
      <c r="AU64" s="160"/>
      <c r="AV64" s="160"/>
      <c r="AW64" s="160"/>
      <c r="AX64" s="160"/>
      <c r="AY64" s="160"/>
      <c r="AZ64" s="160"/>
      <c r="BA64" s="160"/>
      <c r="BB64" s="160"/>
      <c r="BC64" s="160"/>
      <c r="BD64" s="160"/>
      <c r="BE64" s="160"/>
      <c r="BF64" s="160"/>
      <c r="BG64" s="160"/>
      <c r="BH64" s="160"/>
      <c r="BI64" s="160"/>
      <c r="BJ64" s="160"/>
      <c r="BK64" s="160"/>
      <c r="BL64" s="160"/>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7" sqref="E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328</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145</v>
      </c>
      <c r="E6" s="122" t="s">
        <v>393</v>
      </c>
      <c r="F6" s="122" t="s">
        <v>394</v>
      </c>
      <c r="G6" s="122" t="s">
        <v>162</v>
      </c>
      <c r="H6" s="122" t="s">
        <v>399</v>
      </c>
      <c r="I6" s="122" t="s">
        <v>400</v>
      </c>
      <c r="J6" s="122" t="s">
        <v>163</v>
      </c>
      <c r="K6" s="24"/>
    </row>
    <row r="7" spans="1:11" ht="20.100000000000001" customHeight="1" x14ac:dyDescent="0.25">
      <c r="A7" s="20" t="s">
        <v>3</v>
      </c>
      <c r="C7" s="24"/>
      <c r="D7" s="1" t="s">
        <v>395</v>
      </c>
      <c r="E7" s="117">
        <f>'4.3.1.1-2 Methane'!$E$270</f>
        <v>8.6755390403092623</v>
      </c>
      <c r="F7" s="117">
        <f>'4.3.1.1-2 Methane'!$P$270</f>
        <v>8.9300276045623619</v>
      </c>
      <c r="G7" s="57" t="str">
        <f>'4.3.1.1-2 Methane'!$F$270</f>
        <v>t CH4</v>
      </c>
      <c r="H7" s="117">
        <f>'4.3.1.1-2 Methane'!$E$275</f>
        <v>242.91509312865935</v>
      </c>
      <c r="I7" s="117">
        <f>'4.3.1.1-2 Methane'!$P$275</f>
        <v>250.04077292774613</v>
      </c>
      <c r="J7" s="57" t="str">
        <f>'4.3.1.1-2 Methane'!$F$275</f>
        <v>t CO2e</v>
      </c>
      <c r="K7" s="24"/>
    </row>
    <row r="8" spans="1:11" ht="20.100000000000001" customHeight="1" x14ac:dyDescent="0.25">
      <c r="A8" s="17" t="str">
        <f>HYPERLINK("#'Input - Site'!A1", "Site")</f>
        <v>Site</v>
      </c>
      <c r="C8" s="24"/>
      <c r="D8" s="1" t="s">
        <v>396</v>
      </c>
      <c r="E8" s="117">
        <f>'4.3.1.3-4 Direct N20'!$E$280</f>
        <v>1.7559968594126556E-2</v>
      </c>
      <c r="F8" s="117">
        <f>'4.3.1.3-4 Direct N20'!$O$280</f>
        <v>1.7559968594126556E-2</v>
      </c>
      <c r="G8" s="57" t="str">
        <f>'4.3.1.3-4 Direct N20'!$F$280</f>
        <v>t N2O</v>
      </c>
      <c r="H8" s="117">
        <f>'4.3.1.3-4 Direct N20'!$E$285</f>
        <v>4.6533916774435369</v>
      </c>
      <c r="I8" s="117">
        <f>'4.3.1.3-4 Direct N20'!$O$285</f>
        <v>4.6533916774435369</v>
      </c>
      <c r="J8" s="57" t="str">
        <f>'4.3.1.3-4 Direct N20'!$F$285</f>
        <v>t CO2e</v>
      </c>
      <c r="K8" s="24"/>
    </row>
    <row r="9" spans="1:11" ht="20.100000000000001" customHeight="1" x14ac:dyDescent="0.25">
      <c r="A9" s="17" t="str">
        <f>HYPERLINK("#'Input - Dairy'!A1", "Dairy")</f>
        <v>Dairy</v>
      </c>
      <c r="C9" s="24"/>
      <c r="D9" s="1" t="s">
        <v>397</v>
      </c>
      <c r="E9" s="117">
        <f>'4.3.1.5 Atmos deposition'!$E$68</f>
        <v>3.8269027723897175E-2</v>
      </c>
      <c r="F9" s="117">
        <f>'4.3.1.5 Atmos deposition'!$P$68</f>
        <v>3.8269027723897175E-2</v>
      </c>
      <c r="G9" s="57" t="str">
        <f>'4.3.1.5 Atmos deposition'!$F$68</f>
        <v>t N2O</v>
      </c>
      <c r="H9" s="117">
        <f>'4.3.1.5 Atmos deposition'!$E$73</f>
        <v>10.141292346832751</v>
      </c>
      <c r="I9" s="117">
        <f>'4.3.1.5 Atmos deposition'!$P$73</f>
        <v>10.141292346832751</v>
      </c>
      <c r="J9" s="57" t="str">
        <f>'4.3.1.5 Atmos deposition'!$F$73</f>
        <v>t CO2e</v>
      </c>
      <c r="K9" s="24"/>
    </row>
    <row r="10" spans="1:11" ht="20.100000000000001" customHeight="1" x14ac:dyDescent="0.25">
      <c r="A10" s="17"/>
      <c r="C10" s="24"/>
      <c r="D10" s="1" t="s">
        <v>398</v>
      </c>
      <c r="E10" s="117">
        <f>'4.3.1.6-7 Leaching and runoff'!$E$52</f>
        <v>2.0994898959935987E-3</v>
      </c>
      <c r="F10" s="117">
        <f>'4.3.1.6-7 Leaching and runoff'!$P$52</f>
        <v>2.0994898959935987E-3</v>
      </c>
      <c r="G10" s="57" t="str">
        <f>'4.3.1.6-7 Leaching and runoff'!$F$52</f>
        <v>t N2O</v>
      </c>
      <c r="H10" s="117">
        <f>'4.3.1.6-7 Leaching and runoff'!$E$57</f>
        <v>0.55636482243830365</v>
      </c>
      <c r="I10" s="117">
        <f>'4.3.1.6-7 Leaching and runoff'!$P$57</f>
        <v>0.55636482243830365</v>
      </c>
      <c r="J10" s="57" t="str">
        <f>'4.3.1.6-7 Leaching and runoff'!$F$57</f>
        <v>t CO2e</v>
      </c>
      <c r="K10" s="24"/>
    </row>
    <row r="11" spans="1:11" ht="20.100000000000001" customHeight="1" x14ac:dyDescent="0.25">
      <c r="A11" s="19" t="s">
        <v>78</v>
      </c>
      <c r="C11" s="24"/>
      <c r="D11" s="1" t="s">
        <v>365</v>
      </c>
      <c r="E11" s="117">
        <f>'4.3.1.9 Soil direct N2O'!$E$53</f>
        <v>6.045118108813663E-2</v>
      </c>
      <c r="F11" s="117">
        <f>'4.3.1.9 Soil direct N2O'!$P$53</f>
        <v>6.045118108813663E-2</v>
      </c>
      <c r="G11" s="57" t="str">
        <f>'4.3.1.9 Soil direct N2O'!$F$53</f>
        <v>t N2O</v>
      </c>
      <c r="H11" s="117">
        <f>'4.3.1.9 Soil direct N2O'!$E$58</f>
        <v>16.019562988356206</v>
      </c>
      <c r="I11" s="117">
        <f>'4.3.1.9 Soil direct N2O'!$P$58</f>
        <v>16.019562988356206</v>
      </c>
      <c r="J11" s="57" t="str">
        <f>'4.3.1.9 Soil direct N2O'!$F$58</f>
        <v>t CO2e</v>
      </c>
      <c r="K11" s="24"/>
    </row>
    <row r="12" spans="1:11" ht="20.100000000000001" customHeight="1" x14ac:dyDescent="0.25">
      <c r="A12" s="17" t="str">
        <f>HYPERLINK("#'4.3.1.1-2 Methane'!A1", "4.3.1.1-2 Methane")</f>
        <v>4.3.1.1-2 Methane</v>
      </c>
      <c r="C12" s="24"/>
      <c r="D12" s="1" t="s">
        <v>381</v>
      </c>
      <c r="E12" s="117">
        <f>'4.3.1.10-11 Soil Atmos Dep'!$E$45</f>
        <v>3.7449506684100645E-2</v>
      </c>
      <c r="F12" s="117">
        <f>'4.3.1.10-11 Soil Atmos Dep'!$P$45</f>
        <v>3.7449506684100645E-2</v>
      </c>
      <c r="G12" s="57" t="str">
        <f>'4.3.1.10-11 Soil Atmos Dep'!$F$45</f>
        <v>t N2O</v>
      </c>
      <c r="H12" s="117">
        <f>'4.3.1.10-11 Soil Atmos Dep'!$E$50</f>
        <v>9.9241192712866706</v>
      </c>
      <c r="I12" s="117">
        <f>'4.3.1.10-11 Soil Atmos Dep'!$P$50</f>
        <v>9.9241192712866706</v>
      </c>
      <c r="J12" s="57" t="str">
        <f>'4.3.1.10-11 Soil Atmos Dep'!$F$50</f>
        <v>t CO2e</v>
      </c>
      <c r="K12" s="24"/>
    </row>
    <row r="13" spans="1:11" ht="20.100000000000001" customHeight="1" x14ac:dyDescent="0.25">
      <c r="A13" s="17" t="str">
        <f>HYPERLINK("#'4.3.1.3-4 Direct N20'!A1", "4.3.1.3-4 Direct N2O")</f>
        <v>4.3.1.3-4 Direct N2O</v>
      </c>
      <c r="C13" s="24"/>
      <c r="D13" s="1" t="s">
        <v>382</v>
      </c>
      <c r="E13" s="117">
        <f>'4.3.1.12-13 Soil leach runoff'!$E$47</f>
        <v>6.64962991969503E-3</v>
      </c>
      <c r="F13" s="117">
        <f>'4.3.1.12-13 Soil leach runoff'!$P$47</f>
        <v>6.64962991969503E-3</v>
      </c>
      <c r="G13" s="57" t="str">
        <f>'4.3.1.12-13 Soil leach runoff'!$F$47</f>
        <v>t N2O</v>
      </c>
      <c r="H13" s="117">
        <f>'4.3.1.12-13 Soil leach runoff'!$E$52</f>
        <v>1.7621519287191829</v>
      </c>
      <c r="I13" s="117">
        <f>'4.3.1.12-13 Soil leach runoff'!$P$52</f>
        <v>1.7621519287191829</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160</v>
      </c>
      <c r="E14" s="25"/>
      <c r="F14" s="25"/>
      <c r="G14" s="31"/>
      <c r="H14" s="119">
        <f>SUM(H7:H13)</f>
        <v>285.97197616373597</v>
      </c>
      <c r="I14" s="119">
        <f>SUM(I7:I13)</f>
        <v>293.09765596282273</v>
      </c>
      <c r="J14" s="112" t="s">
        <v>363</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351</v>
      </c>
      <c r="E16" s="1"/>
      <c r="F16" s="1"/>
      <c r="G16" s="1"/>
      <c r="H16" s="26"/>
      <c r="I16" s="1"/>
      <c r="J16" s="1"/>
      <c r="K16" s="24"/>
    </row>
    <row r="17" spans="1:11" ht="20.100000000000001" customHeight="1" x14ac:dyDescent="0.25">
      <c r="A17" s="17" t="str">
        <f>HYPERLINK("#'4.3.1.9 Soil direct N2O'!A1", "4.3.1.9 Soil direct N2O")</f>
        <v>4.3.1.9 Soil direct N2O</v>
      </c>
      <c r="C17" s="24"/>
      <c r="D17" s="113" t="s">
        <v>168</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174</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169</v>
      </c>
      <c r="E19" s="122" t="s">
        <v>166</v>
      </c>
      <c r="F19" s="122" t="s">
        <v>167</v>
      </c>
      <c r="G19" s="122" t="s">
        <v>161</v>
      </c>
      <c r="H19" s="122" t="s">
        <v>173</v>
      </c>
      <c r="I19" s="1"/>
      <c r="J19" s="1"/>
      <c r="K19" s="24"/>
    </row>
    <row r="20" spans="1:11" ht="20.100000000000001" customHeight="1" x14ac:dyDescent="0.25">
      <c r="A20" s="17"/>
      <c r="C20" s="24"/>
      <c r="D20" s="1" t="s">
        <v>407</v>
      </c>
      <c r="E20" s="121">
        <f>'4.3.1.8 Manure applied to soils'!$E$85</f>
        <v>9379.260858797159</v>
      </c>
      <c r="F20" s="57" t="s">
        <v>135</v>
      </c>
      <c r="G20" s="1" t="s">
        <v>401</v>
      </c>
      <c r="H20" s="1" t="s">
        <v>172</v>
      </c>
      <c r="I20" s="1"/>
      <c r="J20" s="1"/>
      <c r="K20" s="24"/>
    </row>
    <row r="21" spans="1:11" ht="20.100000000000001" customHeight="1" x14ac:dyDescent="0.25">
      <c r="A21" s="18" t="s">
        <v>4</v>
      </c>
      <c r="C21" s="24"/>
      <c r="D21" s="1" t="s">
        <v>170</v>
      </c>
      <c r="E21" s="121">
        <f>'4.3.1.8 Manure applied to soils'!$E$148</f>
        <v>3126.4202862657203</v>
      </c>
      <c r="F21" s="57" t="s">
        <v>135</v>
      </c>
      <c r="G21" s="1" t="s">
        <v>401</v>
      </c>
      <c r="H21" s="1" t="s">
        <v>172</v>
      </c>
      <c r="I21" s="24"/>
      <c r="J21" s="1"/>
      <c r="K21" s="24"/>
    </row>
    <row r="22" spans="1:11" ht="20.100000000000001" customHeight="1" x14ac:dyDescent="0.25">
      <c r="A22" s="17" t="str">
        <f>HYPERLINK("#'Constants - Dairy'!A1", "Constants - Dairy")</f>
        <v>Constants - Dairy</v>
      </c>
      <c r="C22" s="24"/>
      <c r="D22" s="1" t="s">
        <v>164</v>
      </c>
      <c r="E22" s="121">
        <f>'4.3.1.8 Manure applied to soils'!$E$115</f>
        <v>3126.4202862657203</v>
      </c>
      <c r="F22" s="57" t="s">
        <v>135</v>
      </c>
      <c r="G22" s="1" t="s">
        <v>165</v>
      </c>
      <c r="H22" s="1" t="s">
        <v>171</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105</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80"/>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199</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106</v>
      </c>
      <c r="N5" s="3"/>
      <c r="R5" s="7"/>
    </row>
    <row r="6" spans="1:23" ht="20.100000000000001" customHeight="1" x14ac:dyDescent="0.25">
      <c r="A6" s="16"/>
      <c r="N6" s="3"/>
      <c r="R6" s="7"/>
    </row>
    <row r="7" spans="1:23" ht="20.100000000000001" customHeight="1" x14ac:dyDescent="0.25">
      <c r="A7" s="20" t="s">
        <v>3</v>
      </c>
      <c r="D7" s="1" t="s">
        <v>177</v>
      </c>
      <c r="E7" s="42" t="s">
        <v>225</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178</v>
      </c>
      <c r="F9" s="41" t="s">
        <v>195</v>
      </c>
      <c r="G9" s="41" t="s">
        <v>196</v>
      </c>
      <c r="H9" s="41" t="s">
        <v>197</v>
      </c>
      <c r="I9" s="41" t="s">
        <v>198</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222</v>
      </c>
      <c r="R12" s="7"/>
    </row>
    <row r="13" spans="1:23" ht="20.100000000000001" customHeight="1" x14ac:dyDescent="0.25">
      <c r="A13" s="17" t="str">
        <f>HYPERLINK("#'4.3.1.3-4 Direct N20'!A1", "4.3.1.3-4 Direct N2O")</f>
        <v>4.3.1.3-4 Direct N2O</v>
      </c>
      <c r="D13" s="66" t="s">
        <v>212</v>
      </c>
      <c r="E13" s="41" t="s">
        <v>178</v>
      </c>
      <c r="F13" s="41" t="s">
        <v>195</v>
      </c>
      <c r="G13" s="41" t="s">
        <v>196</v>
      </c>
      <c r="H13" s="41" t="s">
        <v>197</v>
      </c>
      <c r="I13" s="41" t="s">
        <v>198</v>
      </c>
      <c r="R13" s="40"/>
    </row>
    <row r="14" spans="1:23" ht="20.100000000000001" customHeight="1" x14ac:dyDescent="0.25">
      <c r="A14" s="17" t="str">
        <f>HYPERLINK("#'4.3.1.5 Atmos Deposition'!A1", "4.3.1.5 Atmospheric deposition")</f>
        <v>4.3.1.5 Atmospheric deposition</v>
      </c>
      <c r="D14" s="1" t="s">
        <v>223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200</v>
      </c>
      <c r="K14" s="2"/>
      <c r="L14" s="2"/>
      <c r="M14" s="2"/>
      <c r="R14" s="40"/>
    </row>
    <row r="15" spans="1:23" ht="20.100000000000001" customHeight="1" x14ac:dyDescent="0.25">
      <c r="A15" s="17" t="str">
        <f>HYPERLINK("#'4.3.1.6-7 Leaching and runoff'!A1", "4.3.1.6-7 Leaching and runoff")</f>
        <v>4.3.1.6-7 Leaching and runoff</v>
      </c>
      <c r="D15" s="1" t="s">
        <v>224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201</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211</v>
      </c>
      <c r="E17" s="41" t="s">
        <v>178</v>
      </c>
      <c r="F17" s="41" t="s">
        <v>195</v>
      </c>
      <c r="G17" s="41" t="s">
        <v>196</v>
      </c>
      <c r="H17" s="41" t="s">
        <v>197</v>
      </c>
      <c r="I17" s="41" t="s">
        <v>198</v>
      </c>
      <c r="R17" s="7"/>
    </row>
    <row r="18" spans="1:18" ht="20.100000000000001" customHeight="1" x14ac:dyDescent="0.25">
      <c r="A18" s="17" t="str">
        <f>HYPERLINK("#'4.3.1.10-11 Soil Atmos Dep'!A1", "4.3.1.10-11 Soil atm. deposition")</f>
        <v>4.3.1.10-11 Soil atm. deposition</v>
      </c>
      <c r="D18" s="1" t="s">
        <v>223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200</v>
      </c>
      <c r="K18" s="2"/>
      <c r="L18" s="2"/>
      <c r="M18" s="2"/>
      <c r="R18" s="7"/>
    </row>
    <row r="19" spans="1:18" ht="20.100000000000001" customHeight="1" x14ac:dyDescent="0.25">
      <c r="A19" s="17" t="str">
        <f>HYPERLINK("#'4.3.1.12-13 Soil leach runoff'!A1", "4.3.1.12-13 Soil leach &amp; runoff")</f>
        <v>4.3.1.12-13 Soil leach &amp; runoff</v>
      </c>
      <c r="D19" s="1" t="s">
        <v>224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201</v>
      </c>
      <c r="K19" s="2"/>
      <c r="L19" s="2"/>
      <c r="M19" s="2"/>
      <c r="R19" s="7"/>
    </row>
    <row r="20" spans="1:18" ht="20.100000000000001" customHeight="1" x14ac:dyDescent="0.25">
      <c r="A20" s="17"/>
      <c r="R20" s="7"/>
    </row>
    <row r="21" spans="1:18" ht="20.100000000000001" customHeight="1" x14ac:dyDescent="0.25">
      <c r="A21" s="18" t="s">
        <v>4</v>
      </c>
      <c r="D21" s="51" t="s">
        <v>107</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212</v>
      </c>
      <c r="E23" s="41" t="s">
        <v>178</v>
      </c>
      <c r="F23" s="41" t="s">
        <v>195</v>
      </c>
      <c r="G23" s="41" t="s">
        <v>196</v>
      </c>
      <c r="H23" s="41" t="s">
        <v>197</v>
      </c>
      <c r="I23" s="41" t="s">
        <v>198</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211</v>
      </c>
      <c r="E27" s="41" t="s">
        <v>178</v>
      </c>
      <c r="F27" s="41" t="s">
        <v>195</v>
      </c>
      <c r="G27" s="41" t="s">
        <v>196</v>
      </c>
      <c r="H27" s="41" t="s">
        <v>197</v>
      </c>
      <c r="I27" s="41" t="s">
        <v>198</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220</v>
      </c>
      <c r="R33" s="7"/>
    </row>
    <row r="34" spans="1:18" ht="20.100000000000001" customHeight="1" x14ac:dyDescent="0.25">
      <c r="D34" s="51"/>
      <c r="R34" s="7"/>
    </row>
    <row r="35" spans="1:18" ht="20.100000000000001" customHeight="1" x14ac:dyDescent="0.25">
      <c r="D35" s="66" t="s">
        <v>212</v>
      </c>
      <c r="E35" s="41" t="s">
        <v>178</v>
      </c>
      <c r="F35" s="41" t="s">
        <v>195</v>
      </c>
      <c r="G35" s="41" t="s">
        <v>196</v>
      </c>
      <c r="H35" s="41" t="s">
        <v>197</v>
      </c>
      <c r="I35" s="41" t="s">
        <v>198</v>
      </c>
      <c r="R35" s="7"/>
    </row>
    <row r="36" spans="1:18" ht="20.100000000000001" customHeight="1" x14ac:dyDescent="0.25">
      <c r="D36" s="1" t="s">
        <v>219</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221</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114</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211</v>
      </c>
      <c r="E40" s="41" t="s">
        <v>178</v>
      </c>
      <c r="F40" s="41" t="s">
        <v>195</v>
      </c>
      <c r="G40" s="41" t="s">
        <v>196</v>
      </c>
      <c r="H40" s="41" t="s">
        <v>197</v>
      </c>
      <c r="I40" s="41" t="s">
        <v>198</v>
      </c>
      <c r="R40" s="7"/>
    </row>
    <row r="41" spans="1:18" ht="20.100000000000001" customHeight="1" x14ac:dyDescent="0.25">
      <c r="A41" s="47"/>
      <c r="D41" s="1" t="s">
        <v>219</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221</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114</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202</v>
      </c>
      <c r="E47" s="3"/>
      <c r="F47" s="3"/>
      <c r="G47" s="3"/>
      <c r="H47" s="3"/>
      <c r="I47" s="3"/>
      <c r="J47" s="3"/>
      <c r="K47" s="3"/>
      <c r="L47" s="3"/>
      <c r="M47" s="3"/>
      <c r="R47" s="7"/>
    </row>
    <row r="48" spans="1:18" ht="20.100000000000001" customHeight="1" x14ac:dyDescent="0.25">
      <c r="E48" s="41" t="s">
        <v>178</v>
      </c>
      <c r="F48" s="6"/>
      <c r="G48" s="6"/>
      <c r="H48" s="6"/>
      <c r="I48" s="6"/>
      <c r="J48" s="126"/>
      <c r="K48" s="126"/>
      <c r="L48" s="126"/>
      <c r="M48" s="126"/>
      <c r="R48" s="7"/>
    </row>
    <row r="49" spans="3:18" ht="20.100000000000001" customHeight="1" x14ac:dyDescent="0.25">
      <c r="D49" s="1" t="s">
        <v>203</v>
      </c>
      <c r="E49" s="156">
        <v>44</v>
      </c>
      <c r="F49" s="2" t="s">
        <v>204</v>
      </c>
      <c r="H49" s="3"/>
      <c r="I49" s="3"/>
      <c r="J49" s="3"/>
      <c r="K49" s="3"/>
      <c r="L49" s="3"/>
      <c r="M49" s="3"/>
      <c r="R49" s="7"/>
    </row>
    <row r="50" spans="3:18" ht="20.100000000000001" customHeight="1" x14ac:dyDescent="0.25">
      <c r="R50" s="7"/>
    </row>
    <row r="51" spans="3:18" ht="20.100000000000001" customHeight="1" x14ac:dyDescent="0.25">
      <c r="R51" s="7"/>
    </row>
    <row r="52" spans="3:18" ht="20.100000000000001" customHeight="1" x14ac:dyDescent="0.25">
      <c r="C52" s="48"/>
      <c r="D52" s="48"/>
      <c r="E52" s="48"/>
      <c r="F52" s="48"/>
      <c r="G52" s="48"/>
      <c r="H52" s="48"/>
      <c r="I52" s="48"/>
      <c r="J52" s="48"/>
      <c r="K52" s="48"/>
      <c r="L52" s="48"/>
      <c r="M52" s="48"/>
      <c r="N52" s="48"/>
      <c r="R52" s="7"/>
    </row>
    <row r="53" spans="3:18" ht="20.100000000000001" customHeight="1" x14ac:dyDescent="0.25">
      <c r="D53" s="6" t="s">
        <v>215</v>
      </c>
      <c r="R53" s="7"/>
    </row>
    <row r="54" spans="3:18" ht="20.100000000000001" customHeight="1" x14ac:dyDescent="0.25">
      <c r="D54" s="51" t="s">
        <v>207</v>
      </c>
      <c r="R54" s="7"/>
    </row>
    <row r="55" spans="3:18" ht="20.100000000000001" customHeight="1" x14ac:dyDescent="0.25">
      <c r="D55" s="1" t="s">
        <v>209</v>
      </c>
      <c r="E55" s="42" t="s">
        <v>217</v>
      </c>
      <c r="F55" s="2" t="s">
        <v>11</v>
      </c>
      <c r="N55" s="3"/>
      <c r="R55" s="7"/>
    </row>
    <row r="56" spans="3:18" ht="20.100000000000001" customHeight="1" x14ac:dyDescent="0.25">
      <c r="N56" s="3"/>
      <c r="R56" s="7"/>
    </row>
    <row r="57" spans="3:18" ht="20.100000000000001" customHeight="1" x14ac:dyDescent="0.25">
      <c r="D57" s="66" t="s">
        <v>212</v>
      </c>
      <c r="E57" s="41" t="s">
        <v>178</v>
      </c>
      <c r="F57" s="41" t="s">
        <v>195</v>
      </c>
      <c r="G57" s="41" t="s">
        <v>196</v>
      </c>
      <c r="H57" s="41" t="s">
        <v>197</v>
      </c>
      <c r="I57" s="41" t="s">
        <v>198</v>
      </c>
      <c r="N57" s="3"/>
      <c r="R57" s="7"/>
    </row>
    <row r="58" spans="3:18" ht="20.100000000000001" customHeight="1" x14ac:dyDescent="0.25">
      <c r="D58" s="1" t="s">
        <v>151</v>
      </c>
      <c r="E58" s="140" cm="1">
        <f t="array" ref="E58">Common_InputFunctions.Utility_LookupValueInTableNumber($E$55, Table_SourceData_Dairy_ProductionSystemTemplates[Area],Table_SourceData_Dairy_ProductionSystemTemplates[Pasture])</f>
        <v>0.53400000000000003</v>
      </c>
      <c r="F58" s="140" cm="1">
        <f t="array" ref="F58">Common_InputFunctions.Utility_LookupValueInTableNumber($E$55, Table_SourceData_Dairy_ProductionSystemTemplates[Area],Table_SourceData_Dairy_ProductionSystemTemplates[Pasture])</f>
        <v>0.53400000000000003</v>
      </c>
      <c r="G58" s="140" cm="1">
        <f t="array" ref="G58">Common_InputFunctions.Utility_LookupValueInTableNumber($E$55, Table_SourceData_Dairy_ProductionSystemTemplates[Area],Table_SourceData_Dairy_ProductionSystemTemplates[Pasture])</f>
        <v>0.53400000000000003</v>
      </c>
      <c r="H58" s="140" cm="1">
        <f t="array" ref="H58">Common_InputFunctions.Utility_LookupValueInTableNumber($E$55, Table_SourceData_Dairy_ProductionSystemTemplates[Area],Table_SourceData_Dairy_ProductionSystemTemplates[Pasture])</f>
        <v>0.53400000000000003</v>
      </c>
      <c r="I58" s="140" cm="1">
        <f t="array" ref="I58">Common_InputFunctions.Utility_LookupValueInTableNumber($E$55, Table_SourceData_Dairy_ProductionSystemTemplates[Area],Table_SourceData_Dairy_ProductionSystemTemplates[Pasture])</f>
        <v>0.53400000000000003</v>
      </c>
      <c r="J58" s="2" t="s">
        <v>20</v>
      </c>
      <c r="K58" s="2"/>
      <c r="L58" s="2"/>
      <c r="M58" s="2"/>
      <c r="N58" s="3"/>
      <c r="R58" s="7"/>
    </row>
    <row r="59" spans="3:18" ht="20.100000000000001" customHeight="1" x14ac:dyDescent="0.25">
      <c r="D59" s="1" t="s">
        <v>192</v>
      </c>
      <c r="E59" s="140" cm="1">
        <f t="array" ref="E59">Common_InputFunctions.Utility_LookupValueInTableNumber($E$55, Table_SourceData_Dairy_ProductionSystemTemplates[Area],Table_SourceData_Dairy_ProductionSystemTemplates[Milking shed])</f>
        <v>0.11</v>
      </c>
      <c r="F59" s="140" cm="1">
        <f t="array" ref="F59">Common_InputFunctions.Utility_LookupValueInTableNumber($E$55, Table_SourceData_Dairy_ProductionSystemTemplates[Area],Table_SourceData_Dairy_ProductionSystemTemplates[Milking shed])</f>
        <v>0.11</v>
      </c>
      <c r="G59" s="140" cm="1">
        <f t="array" ref="G59">Common_InputFunctions.Utility_LookupValueInTableNumber($E$55, Table_SourceData_Dairy_ProductionSystemTemplates[Area],Table_SourceData_Dairy_ProductionSystemTemplates[Milking shed])</f>
        <v>0.11</v>
      </c>
      <c r="H59" s="140" cm="1">
        <f t="array" ref="H59">Common_InputFunctions.Utility_LookupValueInTableNumber($E$55, Table_SourceData_Dairy_ProductionSystemTemplates[Area],Table_SourceData_Dairy_ProductionSystemTemplates[Milking shed])</f>
        <v>0.11</v>
      </c>
      <c r="I59" s="140" cm="1">
        <f t="array" ref="I59">Common_InputFunctions.Utility_LookupValueInTableNumber($E$55, Table_SourceData_Dairy_ProductionSystemTemplates[Area],Table_SourceData_Dairy_ProductionSystemTemplates[Milking shed])</f>
        <v>0.11</v>
      </c>
      <c r="J59" s="2" t="s">
        <v>20</v>
      </c>
      <c r="K59" s="2"/>
      <c r="L59" s="2"/>
      <c r="M59" s="2"/>
      <c r="N59" s="3"/>
      <c r="R59" s="7"/>
    </row>
    <row r="60" spans="3:18" ht="20.100000000000001" customHeight="1" x14ac:dyDescent="0.25">
      <c r="D60" s="1" t="s">
        <v>208</v>
      </c>
      <c r="E60" s="140" cm="1">
        <f t="array" ref="E60">Common_InputFunctions.Utility_LookupValueInTableNumber($E$55, Table_SourceData_Dairy_ProductionSystemTemplates[Area],Table_SourceData_Dairy_ProductionSystemTemplates[Feedpad])</f>
        <v>0.35599999999999998</v>
      </c>
      <c r="F60" s="140" cm="1">
        <f t="array" ref="F60">Common_InputFunctions.Utility_LookupValueInTableNumber($E$55, Table_SourceData_Dairy_ProductionSystemTemplates[Area],Table_SourceData_Dairy_ProductionSystemTemplates[Feedpad])</f>
        <v>0.35599999999999998</v>
      </c>
      <c r="G60" s="140" cm="1">
        <f t="array" ref="G60">Common_InputFunctions.Utility_LookupValueInTableNumber($E$55, Table_SourceData_Dairy_ProductionSystemTemplates[Area],Table_SourceData_Dairy_ProductionSystemTemplates[Feedpad])</f>
        <v>0.35599999999999998</v>
      </c>
      <c r="H60" s="140" cm="1">
        <f t="array" ref="H60">Common_InputFunctions.Utility_LookupValueInTableNumber($E$55, Table_SourceData_Dairy_ProductionSystemTemplates[Area],Table_SourceData_Dairy_ProductionSystemTemplates[Feedpad])</f>
        <v>0.35599999999999998</v>
      </c>
      <c r="I60" s="140" cm="1">
        <f t="array" ref="I60">Common_InputFunctions.Utility_LookupValueInTableNumber($E$55, Table_SourceData_Dairy_ProductionSystemTemplates[Area],Table_SourceData_Dairy_ProductionSystemTemplates[Feedpad])</f>
        <v>0.35599999999999998</v>
      </c>
      <c r="J60" s="2" t="s">
        <v>20</v>
      </c>
      <c r="K60" s="2"/>
      <c r="L60" s="2"/>
      <c r="M60" s="2"/>
      <c r="N60" s="3"/>
      <c r="R60" s="7"/>
    </row>
    <row r="61" spans="3:18" ht="20.100000000000001" customHeight="1" x14ac:dyDescent="0.25">
      <c r="N61" s="3"/>
      <c r="R61" s="7"/>
    </row>
    <row r="62" spans="3:18" ht="20.100000000000001" customHeight="1" x14ac:dyDescent="0.25">
      <c r="D62" s="66" t="s">
        <v>211</v>
      </c>
      <c r="E62" s="41" t="s">
        <v>178</v>
      </c>
      <c r="F62" s="41" t="s">
        <v>195</v>
      </c>
      <c r="G62" s="41" t="s">
        <v>196</v>
      </c>
      <c r="H62" s="41" t="s">
        <v>197</v>
      </c>
      <c r="I62" s="41" t="s">
        <v>198</v>
      </c>
      <c r="N62" s="3"/>
      <c r="R62" s="7"/>
    </row>
    <row r="63" spans="3:18" ht="20.100000000000001" customHeight="1" x14ac:dyDescent="0.25">
      <c r="D63" s="1" t="s">
        <v>151</v>
      </c>
      <c r="E63" s="139" cm="1">
        <f t="array" ref="E63">Common_InputFunctions.Utility_LookupValueInTableNumber($E$55, Table_SourceData_Dairy_ProductionSystemTemplates[Area],Table_SourceData_Dairy_ProductionSystemTemplates[Pasture])</f>
        <v>0.53400000000000003</v>
      </c>
      <c r="F63" s="139" cm="1">
        <f t="array" ref="F63">Common_InputFunctions.Utility_LookupValueInTableNumber($E$55, Table_SourceData_Dairy_ProductionSystemTemplates[Area],Table_SourceData_Dairy_ProductionSystemTemplates[Pasture])</f>
        <v>0.53400000000000003</v>
      </c>
      <c r="G63" s="139" cm="1">
        <f t="array" ref="G63">Common_InputFunctions.Utility_LookupValueInTableNumber($E$55, Table_SourceData_Dairy_ProductionSystemTemplates[Area],Table_SourceData_Dairy_ProductionSystemTemplates[Pasture])</f>
        <v>0.53400000000000003</v>
      </c>
      <c r="H63" s="139" cm="1">
        <f t="array" ref="H63">Common_InputFunctions.Utility_LookupValueInTableNumber($E$55, Table_SourceData_Dairy_ProductionSystemTemplates[Area],Table_SourceData_Dairy_ProductionSystemTemplates[Pasture])</f>
        <v>0.53400000000000003</v>
      </c>
      <c r="I63" s="139" cm="1">
        <f t="array" ref="I63">Common_InputFunctions.Utility_LookupValueInTableNumber($E$55, Table_SourceData_Dairy_ProductionSystemTemplates[Area],Table_SourceData_Dairy_ProductionSystemTemplates[Pasture])</f>
        <v>0.53400000000000003</v>
      </c>
      <c r="J63" s="2" t="s">
        <v>20</v>
      </c>
      <c r="K63" s="2"/>
      <c r="L63" s="2"/>
      <c r="M63" s="2"/>
      <c r="N63" s="3"/>
      <c r="R63" s="7"/>
    </row>
    <row r="64" spans="3:18" ht="20.100000000000001" customHeight="1" x14ac:dyDescent="0.25">
      <c r="D64" s="1" t="s">
        <v>192</v>
      </c>
      <c r="E64" s="139" cm="1">
        <f t="array" ref="E64">Common_InputFunctions.Utility_LookupValueInTableNumber($E$55, Table_SourceData_Dairy_ProductionSystemTemplates[Area],Table_SourceData_Dairy_ProductionSystemTemplates[Milking shed])</f>
        <v>0.11</v>
      </c>
      <c r="F64" s="139" cm="1">
        <f t="array" ref="F64">Common_InputFunctions.Utility_LookupValueInTableNumber($E$55, Table_SourceData_Dairy_ProductionSystemTemplates[Area],Table_SourceData_Dairy_ProductionSystemTemplates[Milking shed])</f>
        <v>0.11</v>
      </c>
      <c r="G64" s="139" cm="1">
        <f t="array" ref="G64">Common_InputFunctions.Utility_LookupValueInTableNumber($E$55, Table_SourceData_Dairy_ProductionSystemTemplates[Area],Table_SourceData_Dairy_ProductionSystemTemplates[Milking shed])</f>
        <v>0.11</v>
      </c>
      <c r="H64" s="139" cm="1">
        <f t="array" ref="H64">Common_InputFunctions.Utility_LookupValueInTableNumber($E$55, Table_SourceData_Dairy_ProductionSystemTemplates[Area],Table_SourceData_Dairy_ProductionSystemTemplates[Milking shed])</f>
        <v>0.11</v>
      </c>
      <c r="I64" s="139" cm="1">
        <f t="array" ref="I64">Common_InputFunctions.Utility_LookupValueInTableNumber($E$55, Table_SourceData_Dairy_ProductionSystemTemplates[Area],Table_SourceData_Dairy_ProductionSystemTemplates[Milking shed])</f>
        <v>0.11</v>
      </c>
      <c r="J64" s="2" t="s">
        <v>20</v>
      </c>
      <c r="K64" s="2"/>
      <c r="L64" s="2"/>
      <c r="M64" s="2"/>
      <c r="N64" s="3"/>
      <c r="R64" s="7"/>
    </row>
    <row r="65" spans="3:18" ht="20.100000000000001" customHeight="1" x14ac:dyDescent="0.25">
      <c r="D65" s="1" t="s">
        <v>208</v>
      </c>
      <c r="E65" s="139" cm="1">
        <f t="array" ref="E65">Common_InputFunctions.Utility_LookupValueInTableNumber($E$55, Table_SourceData_Dairy_ProductionSystemTemplates[Area],Table_SourceData_Dairy_ProductionSystemTemplates[Feedpad])</f>
        <v>0.35599999999999998</v>
      </c>
      <c r="F65" s="139" cm="1">
        <f t="array" ref="F65">Common_InputFunctions.Utility_LookupValueInTableNumber($E$55, Table_SourceData_Dairy_ProductionSystemTemplates[Area],Table_SourceData_Dairy_ProductionSystemTemplates[Feedpad])</f>
        <v>0.35599999999999998</v>
      </c>
      <c r="G65" s="139" cm="1">
        <f t="array" ref="G65">Common_InputFunctions.Utility_LookupValueInTableNumber($E$55, Table_SourceData_Dairy_ProductionSystemTemplates[Area],Table_SourceData_Dairy_ProductionSystemTemplates[Feedpad])</f>
        <v>0.35599999999999998</v>
      </c>
      <c r="H65" s="139" cm="1">
        <f t="array" ref="H65">Common_InputFunctions.Utility_LookupValueInTableNumber($E$55, Table_SourceData_Dairy_ProductionSystemTemplates[Area],Table_SourceData_Dairy_ProductionSystemTemplates[Feedpad])</f>
        <v>0.35599999999999998</v>
      </c>
      <c r="I65" s="139" cm="1">
        <f t="array" ref="I65">Common_InputFunctions.Utility_LookupValueInTableNumber($E$55, Table_SourceData_Dairy_ProductionSystemTemplates[Area],Table_SourceData_Dairy_ProductionSystemTemplates[Feedpad])</f>
        <v>0.35599999999999998</v>
      </c>
      <c r="J65" s="2" t="s">
        <v>20</v>
      </c>
      <c r="K65" s="2"/>
      <c r="L65" s="2"/>
      <c r="M65" s="2"/>
      <c r="N65" s="3"/>
    </row>
    <row r="66" spans="3:18" ht="20.100000000000001" customHeight="1" x14ac:dyDescent="0.25">
      <c r="E66" s="130"/>
      <c r="N66" s="3"/>
    </row>
    <row r="67" spans="3:18" ht="20.100000000000001" customHeight="1" x14ac:dyDescent="0.25"/>
    <row r="68" spans="3:18" ht="20.100000000000001" customHeight="1" x14ac:dyDescent="0.25">
      <c r="C68" s="48"/>
      <c r="D68" s="48"/>
      <c r="E68" s="48"/>
      <c r="F68" s="48"/>
      <c r="G68" s="48"/>
      <c r="H68" s="48"/>
      <c r="I68" s="48"/>
      <c r="J68" s="48"/>
      <c r="K68" s="48"/>
      <c r="L68" s="48"/>
      <c r="M68" s="48"/>
      <c r="N68" s="155"/>
    </row>
    <row r="69" spans="3:18" ht="20.100000000000001" customHeight="1" x14ac:dyDescent="0.25">
      <c r="D69" s="6" t="s">
        <v>104</v>
      </c>
      <c r="F69" s="127"/>
      <c r="N69" s="3"/>
    </row>
    <row r="70" spans="3:18" ht="20.100000000000001" customHeight="1" x14ac:dyDescent="0.25">
      <c r="D70" s="51" t="str">
        <f>"From " &amp; $D$59</f>
        <v>From Milking shed</v>
      </c>
      <c r="N70" s="3"/>
    </row>
    <row r="71" spans="3:18" ht="20.100000000000001" customHeight="1" x14ac:dyDescent="0.25">
      <c r="D71" s="147" t="s">
        <v>445</v>
      </c>
      <c r="E71" s="148" t="s">
        <v>446</v>
      </c>
      <c r="F71" s="148" t="s">
        <v>447</v>
      </c>
      <c r="G71" s="148" t="s">
        <v>448</v>
      </c>
      <c r="N71" s="3"/>
    </row>
    <row r="72" spans="3:18" ht="20.100000000000001" customHeight="1" x14ac:dyDescent="0.25">
      <c r="D72" s="149" t="str">
        <f>'Constants - Dairy'!$D$8</f>
        <v>Anaerobic lagoon</v>
      </c>
      <c r="E72" s="42" t="s">
        <v>213</v>
      </c>
      <c r="F72" s="101">
        <v>0.2</v>
      </c>
      <c r="G72" s="49">
        <v>0.2</v>
      </c>
      <c r="N72" s="3"/>
    </row>
    <row r="73" spans="3:18" ht="20.100000000000001" customHeight="1" x14ac:dyDescent="0.25">
      <c r="D73" s="149" t="str">
        <f>'Constants - Dairy'!$D$9</f>
        <v>Sump and dispersal system</v>
      </c>
      <c r="E73" s="42" t="s">
        <v>213</v>
      </c>
      <c r="F73" s="101">
        <v>0.2</v>
      </c>
      <c r="G73" s="49">
        <v>0.2</v>
      </c>
      <c r="N73" s="3"/>
    </row>
    <row r="74" spans="3:18" ht="20.100000000000001" customHeight="1" x14ac:dyDescent="0.25">
      <c r="D74" s="149" t="str">
        <f>'Constants - Dairy'!$D$10</f>
        <v>Drains to paddock</v>
      </c>
      <c r="E74" s="42" t="s">
        <v>213</v>
      </c>
      <c r="F74" s="101">
        <v>0.2</v>
      </c>
      <c r="G74" s="49">
        <v>0.2</v>
      </c>
      <c r="N74" s="3"/>
    </row>
    <row r="75" spans="3:18" ht="20.100000000000001" customHeight="1" x14ac:dyDescent="0.25">
      <c r="D75" s="154" t="s">
        <v>449</v>
      </c>
      <c r="N75" s="3"/>
    </row>
    <row r="76" spans="3:18" ht="20.100000000000001" customHeight="1" x14ac:dyDescent="0.25">
      <c r="D76" s="151" t="s">
        <v>103</v>
      </c>
      <c r="E76" s="41" t="s">
        <v>178</v>
      </c>
      <c r="F76" s="41" t="s">
        <v>195</v>
      </c>
      <c r="G76" s="41" t="s">
        <v>196</v>
      </c>
      <c r="H76" s="41" t="s">
        <v>197</v>
      </c>
      <c r="I76" s="41" t="s">
        <v>198</v>
      </c>
      <c r="J76" s="146" t="s">
        <v>441</v>
      </c>
      <c r="K76" s="66" t="s">
        <v>440</v>
      </c>
      <c r="L76" s="66"/>
      <c r="M76" s="41"/>
      <c r="N76" s="3"/>
    </row>
    <row r="77" spans="3:18" ht="20.100000000000001" customHeight="1" x14ac:dyDescent="0.25">
      <c r="K77" s="121" t="s">
        <v>442</v>
      </c>
      <c r="L77" s="121" t="s">
        <v>443</v>
      </c>
      <c r="M77" s="121" t="s">
        <v>444</v>
      </c>
      <c r="N77" s="3"/>
    </row>
    <row r="78" spans="3:18" ht="20.100000000000001" customHeight="1" x14ac:dyDescent="0.25">
      <c r="D78" s="152" t="str">
        <f>'Constants - Dairy'!$D$8</f>
        <v>Anaerobic lagoon</v>
      </c>
      <c r="E78" s="49">
        <v>0.25</v>
      </c>
      <c r="F78" s="49">
        <v>0.25</v>
      </c>
      <c r="G78" s="49">
        <v>0.25</v>
      </c>
      <c r="H78" s="49">
        <v>0.25</v>
      </c>
      <c r="I78" s="49">
        <v>0.25</v>
      </c>
      <c r="J78" s="2" t="s">
        <v>20</v>
      </c>
      <c r="K78" s="49">
        <v>0.25</v>
      </c>
      <c r="L78" s="49">
        <v>0.25</v>
      </c>
      <c r="M78" s="101">
        <f>1-SUM(K78:L78)</f>
        <v>0.5</v>
      </c>
    </row>
    <row r="79" spans="3:18" ht="20.100000000000001" customHeight="1" x14ac:dyDescent="0.25">
      <c r="D79" s="152" t="str">
        <f>'Constants - Dairy'!$D$9</f>
        <v>Sump and dispersal system</v>
      </c>
      <c r="E79" s="49">
        <v>0.25</v>
      </c>
      <c r="F79" s="49">
        <v>0.25</v>
      </c>
      <c r="G79" s="49">
        <v>0.25</v>
      </c>
      <c r="H79" s="49">
        <v>0.25</v>
      </c>
      <c r="I79" s="49">
        <v>0.25</v>
      </c>
      <c r="J79" s="2" t="s">
        <v>20</v>
      </c>
      <c r="K79" s="49">
        <v>0.25</v>
      </c>
      <c r="L79" s="49">
        <v>0.25</v>
      </c>
      <c r="M79" s="101">
        <f t="shared" ref="M79:M80" si="1">1-SUM(K79:L79)</f>
        <v>0.5</v>
      </c>
    </row>
    <row r="80" spans="3:18" ht="20.100000000000001" customHeight="1" x14ac:dyDescent="0.25">
      <c r="D80" s="152" t="str">
        <f>'Constants - Dairy'!$D$10</f>
        <v>Drains to paddock</v>
      </c>
      <c r="E80" s="49">
        <v>0.25</v>
      </c>
      <c r="F80" s="49">
        <v>0.25</v>
      </c>
      <c r="G80" s="49">
        <v>0.25</v>
      </c>
      <c r="H80" s="49">
        <v>0.25</v>
      </c>
      <c r="I80" s="49">
        <v>0.25</v>
      </c>
      <c r="J80" s="2" t="s">
        <v>20</v>
      </c>
      <c r="K80" s="49">
        <v>0.25</v>
      </c>
      <c r="L80" s="49">
        <v>0.25</v>
      </c>
      <c r="M80" s="101">
        <f t="shared" si="1"/>
        <v>0.5</v>
      </c>
      <c r="R80" s="7"/>
    </row>
    <row r="81" spans="4:18" ht="20.100000000000001" customHeight="1" x14ac:dyDescent="0.25">
      <c r="D81" s="152" t="str">
        <f>'Constants - Dairy'!$D$11 &amp; " (before solid separation)"</f>
        <v>Solid storage (before solid separation)</v>
      </c>
      <c r="E81" s="49">
        <v>0.25</v>
      </c>
      <c r="F81" s="49">
        <v>0.25</v>
      </c>
      <c r="G81" s="49">
        <v>0.25</v>
      </c>
      <c r="H81" s="49">
        <v>0.25</v>
      </c>
      <c r="I81" s="49">
        <v>0.25</v>
      </c>
      <c r="J81" s="2" t="s">
        <v>20</v>
      </c>
      <c r="K81" s="49">
        <v>0.25</v>
      </c>
      <c r="L81" s="49">
        <v>0.25</v>
      </c>
      <c r="M81" s="101">
        <f t="shared" ref="M81" si="2">1-SUM(K81:L81)</f>
        <v>0.5</v>
      </c>
      <c r="R81" s="7"/>
    </row>
    <row r="82" spans="4:18" ht="20.100000000000001" customHeight="1" x14ac:dyDescent="0.25">
      <c r="D82" s="153" t="s">
        <v>452</v>
      </c>
      <c r="E82" s="101">
        <f>E81+(E78*$F72)+(E79*$F73)+(E80*$F74)</f>
        <v>0.39999999999999997</v>
      </c>
      <c r="F82" s="101">
        <f t="shared" ref="F82:I82" si="3">F81+(F78*$F72)+(F79*$F73)+(F80*$F74)</f>
        <v>0.39999999999999997</v>
      </c>
      <c r="G82" s="101">
        <f t="shared" si="3"/>
        <v>0.39999999999999997</v>
      </c>
      <c r="H82" s="101">
        <f t="shared" si="3"/>
        <v>0.39999999999999997</v>
      </c>
      <c r="I82" s="101">
        <f t="shared" si="3"/>
        <v>0.39999999999999997</v>
      </c>
      <c r="J82" s="2" t="s">
        <v>20</v>
      </c>
      <c r="K82" s="2"/>
      <c r="L82" s="2"/>
      <c r="M82" s="2"/>
      <c r="R82" s="7"/>
    </row>
    <row r="83" spans="4:18" ht="20.100000000000001" customHeight="1" x14ac:dyDescent="0.25">
      <c r="D83" s="153" t="s">
        <v>453</v>
      </c>
      <c r="E83" s="101">
        <f>E81+(E78*$G72)+(E79*$G73)+(E80*$G74)</f>
        <v>0.39999999999999997</v>
      </c>
      <c r="F83" s="101">
        <f t="shared" ref="F83:I83" si="4">F81+(F78*$G72)+(F79*$G73)+(F80*$G74)</f>
        <v>0.39999999999999997</v>
      </c>
      <c r="G83" s="101">
        <f t="shared" si="4"/>
        <v>0.39999999999999997</v>
      </c>
      <c r="H83" s="101">
        <f t="shared" si="4"/>
        <v>0.39999999999999997</v>
      </c>
      <c r="I83" s="101">
        <f t="shared" si="4"/>
        <v>0.39999999999999997</v>
      </c>
      <c r="J83" s="2" t="s">
        <v>20</v>
      </c>
      <c r="R83" s="7"/>
    </row>
    <row r="84" spans="4:18" ht="20.100000000000001" customHeight="1" x14ac:dyDescent="0.25">
      <c r="F84" s="2"/>
      <c r="R84" s="7"/>
    </row>
    <row r="85" spans="4:18" ht="20.100000000000001" customHeight="1" x14ac:dyDescent="0.25">
      <c r="F85" s="150"/>
      <c r="R85" s="7"/>
    </row>
    <row r="86" spans="4:18" ht="20.100000000000001" customHeight="1" x14ac:dyDescent="0.25">
      <c r="D86" s="51" t="str">
        <f>"From " &amp; $D$60</f>
        <v>From Feed pad</v>
      </c>
      <c r="R86" s="7"/>
    </row>
    <row r="87" spans="4:18" ht="20.100000000000001" customHeight="1" x14ac:dyDescent="0.25">
      <c r="D87" s="147" t="s">
        <v>445</v>
      </c>
      <c r="E87" s="148" t="s">
        <v>446</v>
      </c>
      <c r="F87" s="148" t="s">
        <v>447</v>
      </c>
      <c r="G87" s="148" t="s">
        <v>448</v>
      </c>
      <c r="R87" s="7"/>
    </row>
    <row r="88" spans="4:18" ht="20.100000000000001" customHeight="1" x14ac:dyDescent="0.25">
      <c r="D88" s="149" t="str">
        <f>'Constants - Dairy'!$D$8</f>
        <v>Anaerobic lagoon</v>
      </c>
      <c r="E88" s="42" t="s">
        <v>216</v>
      </c>
      <c r="F88" s="101">
        <f>IF(E88="Yes", 20%, 0)</f>
        <v>0</v>
      </c>
      <c r="G88" s="49">
        <f>IF(E88="Yes", 20%, 0)</f>
        <v>0</v>
      </c>
      <c r="K88" s="2"/>
      <c r="L88" s="2"/>
      <c r="M88" s="2"/>
      <c r="R88" s="7"/>
    </row>
    <row r="89" spans="4:18" ht="20.100000000000001" customHeight="1" x14ac:dyDescent="0.25">
      <c r="D89" s="149" t="str">
        <f>'Constants - Dairy'!$D$9</f>
        <v>Sump and dispersal system</v>
      </c>
      <c r="E89" s="42" t="s">
        <v>213</v>
      </c>
      <c r="F89" s="101">
        <f>IF(E89="Yes", 20%, 0)</f>
        <v>0.2</v>
      </c>
      <c r="G89" s="49">
        <f>IF(E89="Yes", 20%, 0)</f>
        <v>0.2</v>
      </c>
      <c r="R89" s="7"/>
    </row>
    <row r="90" spans="4:18" ht="20.100000000000001" customHeight="1" x14ac:dyDescent="0.25">
      <c r="D90" s="149" t="str">
        <f>'Constants - Dairy'!$D$10</f>
        <v>Drains to paddock</v>
      </c>
      <c r="E90" s="42" t="s">
        <v>213</v>
      </c>
      <c r="F90" s="101">
        <f>IF(E90="Yes", 20%, 0)</f>
        <v>0.2</v>
      </c>
      <c r="G90" s="49">
        <f>IF(E90="Yes", 20%, 0)</f>
        <v>0.2</v>
      </c>
      <c r="R90" s="7"/>
    </row>
    <row r="91" spans="4:18" ht="20.100000000000001" customHeight="1" x14ac:dyDescent="0.25">
      <c r="D91" s="157" t="s">
        <v>449</v>
      </c>
      <c r="F91" s="2"/>
      <c r="R91" s="7"/>
    </row>
    <row r="92" spans="4:18" ht="20.100000000000001" customHeight="1" x14ac:dyDescent="0.25">
      <c r="D92" s="151" t="s">
        <v>103</v>
      </c>
      <c r="E92" s="41" t="s">
        <v>178</v>
      </c>
      <c r="F92" s="41" t="s">
        <v>195</v>
      </c>
      <c r="G92" s="41" t="s">
        <v>196</v>
      </c>
      <c r="H92" s="41" t="s">
        <v>197</v>
      </c>
      <c r="I92" s="41" t="s">
        <v>198</v>
      </c>
      <c r="J92" s="146" t="s">
        <v>441</v>
      </c>
      <c r="K92" s="66" t="s">
        <v>440</v>
      </c>
      <c r="L92" s="66"/>
      <c r="M92" s="41"/>
      <c r="R92" s="7"/>
    </row>
    <row r="93" spans="4:18" ht="20.100000000000001" customHeight="1" x14ac:dyDescent="0.25">
      <c r="D93" s="153"/>
      <c r="K93" s="121" t="s">
        <v>442</v>
      </c>
      <c r="L93" s="121" t="s">
        <v>443</v>
      </c>
      <c r="M93" s="121" t="s">
        <v>444</v>
      </c>
      <c r="R93" s="7"/>
    </row>
    <row r="94" spans="4:18" ht="20.100000000000001" customHeight="1" x14ac:dyDescent="0.25">
      <c r="D94" s="152" t="str">
        <f>'Constants - Dairy'!$D$8</f>
        <v>Anaerobic lagoon</v>
      </c>
      <c r="E94" s="49">
        <v>0.25</v>
      </c>
      <c r="F94" s="49">
        <v>0.25</v>
      </c>
      <c r="G94" s="49">
        <v>0.25</v>
      </c>
      <c r="H94" s="49">
        <v>0.25</v>
      </c>
      <c r="I94" s="49">
        <v>0.25</v>
      </c>
      <c r="J94" s="2" t="s">
        <v>20</v>
      </c>
      <c r="K94" s="49">
        <v>0.25</v>
      </c>
      <c r="L94" s="49">
        <v>0.25</v>
      </c>
      <c r="M94" s="101">
        <f>1-SUM(K94:L94)</f>
        <v>0.5</v>
      </c>
      <c r="R94" s="7"/>
    </row>
    <row r="95" spans="4:18" ht="20.100000000000001" customHeight="1" x14ac:dyDescent="0.25">
      <c r="D95" s="152" t="str">
        <f>'Constants - Dairy'!$D$9</f>
        <v>Sump and dispersal system</v>
      </c>
      <c r="E95" s="49">
        <v>0.25</v>
      </c>
      <c r="F95" s="49">
        <v>0.25</v>
      </c>
      <c r="G95" s="49">
        <v>0.25</v>
      </c>
      <c r="H95" s="49">
        <v>0.25</v>
      </c>
      <c r="I95" s="49">
        <v>0.25</v>
      </c>
      <c r="J95" s="2" t="s">
        <v>20</v>
      </c>
      <c r="K95" s="49">
        <v>0.25</v>
      </c>
      <c r="L95" s="49">
        <v>0.25</v>
      </c>
      <c r="M95" s="101">
        <f t="shared" ref="M95:M97" si="5">1-SUM(K95:L95)</f>
        <v>0.5</v>
      </c>
      <c r="R95" s="7"/>
    </row>
    <row r="96" spans="4:18" ht="20.100000000000001" customHeight="1" x14ac:dyDescent="0.25">
      <c r="D96" s="152" t="str">
        <f>'Constants - Dairy'!$D$10</f>
        <v>Drains to paddock</v>
      </c>
      <c r="E96" s="49">
        <v>0.25</v>
      </c>
      <c r="F96" s="49">
        <v>0.25</v>
      </c>
      <c r="G96" s="49">
        <v>0.25</v>
      </c>
      <c r="H96" s="49">
        <v>0.25</v>
      </c>
      <c r="I96" s="49">
        <v>0.25</v>
      </c>
      <c r="J96" s="2" t="s">
        <v>20</v>
      </c>
      <c r="K96" s="49">
        <v>0.25</v>
      </c>
      <c r="L96" s="49">
        <v>0.25</v>
      </c>
      <c r="M96" s="101">
        <f t="shared" si="5"/>
        <v>0.5</v>
      </c>
      <c r="R96" s="7"/>
    </row>
    <row r="97" spans="4:18" ht="20.100000000000001" customHeight="1" x14ac:dyDescent="0.25">
      <c r="D97" s="152" t="str">
        <f>'Constants - Dairy'!$D$11 &amp; " (before solid separation)"</f>
        <v>Solid storage (before solid separation)</v>
      </c>
      <c r="E97" s="49">
        <v>0.25</v>
      </c>
      <c r="F97" s="49">
        <v>0.25</v>
      </c>
      <c r="G97" s="49">
        <v>0.25</v>
      </c>
      <c r="H97" s="49">
        <v>0.25</v>
      </c>
      <c r="I97" s="49">
        <v>0.25</v>
      </c>
      <c r="J97" s="2" t="s">
        <v>20</v>
      </c>
      <c r="K97" s="49">
        <v>0.25</v>
      </c>
      <c r="L97" s="49">
        <v>0.25</v>
      </c>
      <c r="M97" s="101">
        <f>1-SUM(K97:L97)</f>
        <v>0.5</v>
      </c>
      <c r="R97" s="7"/>
    </row>
    <row r="98" spans="4:18" ht="20.100000000000001" customHeight="1" x14ac:dyDescent="0.25">
      <c r="D98" s="153" t="s">
        <v>452</v>
      </c>
      <c r="E98" s="101">
        <f>E97+(E94*$F88)+(E95*$F89)+(E96*$F90)</f>
        <v>0.35</v>
      </c>
      <c r="F98" s="101">
        <f t="shared" ref="F98:I98" si="6">F97+(F94*$F88)+(F95*$F89)+(F96*$F90)</f>
        <v>0.35</v>
      </c>
      <c r="G98" s="101">
        <f t="shared" si="6"/>
        <v>0.35</v>
      </c>
      <c r="H98" s="101">
        <f t="shared" si="6"/>
        <v>0.35</v>
      </c>
      <c r="I98" s="101">
        <f t="shared" si="6"/>
        <v>0.35</v>
      </c>
      <c r="J98" s="2" t="s">
        <v>20</v>
      </c>
      <c r="K98" s="2"/>
      <c r="L98" s="2"/>
      <c r="M98" s="2"/>
      <c r="R98" s="7"/>
    </row>
    <row r="99" spans="4:18" ht="20.100000000000001" customHeight="1" x14ac:dyDescent="0.25">
      <c r="D99" s="153" t="s">
        <v>453</v>
      </c>
      <c r="E99" s="101">
        <f>E97+(E94*$G88)+(E95*$G89)+(E96*$G90)</f>
        <v>0.35</v>
      </c>
      <c r="F99" s="101">
        <f t="shared" ref="F99:I99" si="7">F97+(F94*$G88)+(F95*$G89)+(F96*$G90)</f>
        <v>0.35</v>
      </c>
      <c r="G99" s="101">
        <f t="shared" si="7"/>
        <v>0.35</v>
      </c>
      <c r="H99" s="101">
        <f t="shared" si="7"/>
        <v>0.35</v>
      </c>
      <c r="I99" s="101">
        <f t="shared" si="7"/>
        <v>0.35</v>
      </c>
      <c r="J99" s="2" t="s">
        <v>20</v>
      </c>
      <c r="R99" s="7"/>
    </row>
    <row r="100" spans="4:18" ht="20.100000000000001" customHeight="1" x14ac:dyDescent="0.25">
      <c r="R100" s="7"/>
    </row>
    <row r="101" spans="4:18" ht="20.100000000000001" customHeight="1" x14ac:dyDescent="0.25">
      <c r="R101" s="7"/>
    </row>
    <row r="102" spans="4:18" ht="20.100000000000001" customHeight="1" x14ac:dyDescent="0.25">
      <c r="D102" s="1" t="s">
        <v>146</v>
      </c>
      <c r="E102" s="42" t="s">
        <v>151</v>
      </c>
      <c r="F102" s="2" t="s">
        <v>11</v>
      </c>
      <c r="R102" s="7"/>
    </row>
    <row r="103" spans="4:18" ht="20.100000000000001" customHeight="1" x14ac:dyDescent="0.25">
      <c r="E103" s="42" t="s">
        <v>156</v>
      </c>
      <c r="F103" s="2" t="s">
        <v>11</v>
      </c>
      <c r="K103" s="2"/>
      <c r="L103" s="2"/>
      <c r="M103" s="2"/>
      <c r="R103" s="7"/>
    </row>
    <row r="104" spans="4:18" ht="20.100000000000001" customHeight="1" x14ac:dyDescent="0.25">
      <c r="R104" s="7"/>
    </row>
    <row r="105" spans="4:18" ht="20.100000000000001" customHeight="1" x14ac:dyDescent="0.25">
      <c r="R105" s="7"/>
    </row>
    <row r="106" spans="4:18" ht="20.100000000000001" customHeight="1" x14ac:dyDescent="0.25">
      <c r="R106" s="7"/>
    </row>
    <row r="107" spans="4:18" ht="20.100000000000001" customHeight="1" x14ac:dyDescent="0.25">
      <c r="K107" s="2"/>
      <c r="L107" s="2"/>
      <c r="M107" s="2"/>
    </row>
    <row r="108" spans="4:18" ht="20.100000000000001" customHeight="1" x14ac:dyDescent="0.25">
      <c r="F108" s="2"/>
    </row>
    <row r="109" spans="4:18" ht="20.100000000000001" customHeight="1" x14ac:dyDescent="0.25"/>
    <row r="110" spans="4:18" ht="20.100000000000001" customHeight="1" x14ac:dyDescent="0.25"/>
    <row r="111" spans="4:18" ht="20.100000000000001" customHeight="1" x14ac:dyDescent="0.25">
      <c r="K111" s="2"/>
      <c r="L111" s="2"/>
      <c r="M111" s="2"/>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4:13" ht="20.100000000000001" customHeight="1" x14ac:dyDescent="0.25"/>
    <row r="130" spans="4:13" ht="20.100000000000001" customHeight="1" x14ac:dyDescent="0.25"/>
    <row r="131" spans="4:13" ht="20.100000000000001" customHeight="1" x14ac:dyDescent="0.25"/>
    <row r="132" spans="4:13" ht="20.100000000000001" customHeight="1" x14ac:dyDescent="0.25">
      <c r="D132" s="6" t="s">
        <v>214</v>
      </c>
    </row>
    <row r="133" spans="4:13" ht="20.100000000000001" customHeight="1" x14ac:dyDescent="0.25">
      <c r="D133" s="51" t="str">
        <f>"From " &amp; $D$59</f>
        <v>From Milking shed</v>
      </c>
    </row>
    <row r="134" spans="4:13" ht="20.100000000000001" customHeight="1" x14ac:dyDescent="0.25"/>
    <row r="135" spans="4:13" ht="20.100000000000001" customHeight="1" x14ac:dyDescent="0.25">
      <c r="D135" s="66" t="s">
        <v>103</v>
      </c>
      <c r="E135" s="41" t="s">
        <v>178</v>
      </c>
      <c r="F135" s="41" t="s">
        <v>195</v>
      </c>
      <c r="G135" s="41" t="s">
        <v>196</v>
      </c>
      <c r="H135" s="41" t="s">
        <v>197</v>
      </c>
      <c r="I135" s="41" t="s">
        <v>198</v>
      </c>
    </row>
    <row r="136" spans="4:13" ht="20.100000000000001" customHeight="1" x14ac:dyDescent="0.25">
      <c r="D136" s="56" t="str">
        <f>"Sent from stage 1: " &amp; $D$78 &amp; " to:"</f>
        <v>Sent from stage 1: Anaerobic lagoon to:</v>
      </c>
      <c r="E136" s="58"/>
    </row>
    <row r="137" spans="4:13" ht="20.100000000000001" customHeight="1" x14ac:dyDescent="0.25">
      <c r="D137" s="1" t="s">
        <v>112</v>
      </c>
      <c r="F137" s="49">
        <v>0.25</v>
      </c>
      <c r="G137" s="49">
        <v>0.25</v>
      </c>
      <c r="H137" s="49">
        <v>0.25</v>
      </c>
      <c r="I137" s="49">
        <v>0.25</v>
      </c>
      <c r="J137" s="2" t="s">
        <v>20</v>
      </c>
      <c r="K137" s="2"/>
      <c r="L137" s="2"/>
      <c r="M137" s="2"/>
    </row>
    <row r="138" spans="4:13" ht="20.100000000000001" customHeight="1" x14ac:dyDescent="0.25">
      <c r="D138" s="1" t="s">
        <v>218</v>
      </c>
      <c r="F138" s="49">
        <v>0.25</v>
      </c>
      <c r="G138" s="49">
        <v>0.25</v>
      </c>
      <c r="H138" s="49">
        <v>0.25</v>
      </c>
      <c r="I138" s="49">
        <v>0.25</v>
      </c>
      <c r="J138" s="2" t="s">
        <v>20</v>
      </c>
      <c r="K138" s="2"/>
      <c r="L138" s="2"/>
      <c r="M138" s="2"/>
    </row>
    <row r="139" spans="4:13" ht="20.100000000000001" customHeight="1" x14ac:dyDescent="0.25">
      <c r="D139" s="1" t="s">
        <v>137</v>
      </c>
      <c r="F139" s="101">
        <f t="shared" ref="E139:I139" si="8">1-SUM(F137:F138)</f>
        <v>0.5</v>
      </c>
      <c r="G139" s="101">
        <f t="shared" si="8"/>
        <v>0.5</v>
      </c>
      <c r="H139" s="101">
        <f t="shared" si="8"/>
        <v>0.5</v>
      </c>
      <c r="I139" s="101">
        <f t="shared" si="8"/>
        <v>0.5</v>
      </c>
      <c r="J139" s="2" t="s">
        <v>20</v>
      </c>
      <c r="K139" s="2"/>
      <c r="L139" s="2"/>
      <c r="M139" s="2"/>
    </row>
    <row r="140" spans="4:13" ht="20.100000000000001" customHeight="1" x14ac:dyDescent="0.25"/>
    <row r="141" spans="4:13" ht="20.100000000000001" customHeight="1" x14ac:dyDescent="0.25">
      <c r="D141" s="56" t="str">
        <f>"Sent from stage 1: " &amp; $D$79 &amp; " to:"</f>
        <v>Sent from stage 1: Sump and dispersal system to:</v>
      </c>
    </row>
    <row r="142" spans="4:13" ht="20.100000000000001" customHeight="1" x14ac:dyDescent="0.25">
      <c r="D142" s="1" t="s">
        <v>112</v>
      </c>
      <c r="E142" s="49">
        <v>0.25</v>
      </c>
      <c r="F142" s="49">
        <v>0.25</v>
      </c>
      <c r="G142" s="49">
        <v>0.25</v>
      </c>
      <c r="H142" s="49">
        <v>0.25</v>
      </c>
      <c r="I142" s="49">
        <v>0.25</v>
      </c>
      <c r="J142" s="2" t="s">
        <v>20</v>
      </c>
      <c r="K142" s="2"/>
      <c r="L142" s="2"/>
      <c r="M142" s="2"/>
    </row>
    <row r="143" spans="4:13" ht="20.100000000000001" customHeight="1" x14ac:dyDescent="0.25">
      <c r="D143" s="1" t="s">
        <v>218</v>
      </c>
      <c r="E143" s="49">
        <v>0.25</v>
      </c>
      <c r="F143" s="49">
        <v>0.25</v>
      </c>
      <c r="G143" s="49">
        <v>0.25</v>
      </c>
      <c r="H143" s="49">
        <v>0.25</v>
      </c>
      <c r="I143" s="49">
        <v>0.25</v>
      </c>
      <c r="J143" s="2" t="s">
        <v>20</v>
      </c>
      <c r="K143" s="2"/>
      <c r="L143" s="2"/>
      <c r="M143" s="2"/>
    </row>
    <row r="144" spans="4:13" ht="20.100000000000001" customHeight="1" x14ac:dyDescent="0.25">
      <c r="D144" s="1" t="s">
        <v>137</v>
      </c>
      <c r="E144" s="101">
        <f>1-SUM(E142:E143)</f>
        <v>0.5</v>
      </c>
      <c r="F144" s="101">
        <f t="shared" ref="F144:I144" si="9">1-SUM(F142:F143)</f>
        <v>0.5</v>
      </c>
      <c r="G144" s="101">
        <f t="shared" si="9"/>
        <v>0.5</v>
      </c>
      <c r="H144" s="101">
        <f t="shared" si="9"/>
        <v>0.5</v>
      </c>
      <c r="I144" s="101">
        <f t="shared" si="9"/>
        <v>0.5</v>
      </c>
      <c r="J144" s="2" t="s">
        <v>20</v>
      </c>
      <c r="K144" s="2"/>
      <c r="L144" s="2"/>
      <c r="M144" s="2"/>
    </row>
    <row r="145" spans="4:13" ht="20.100000000000001" customHeight="1" x14ac:dyDescent="0.25"/>
    <row r="146" spans="4:13" ht="20.100000000000001" customHeight="1" x14ac:dyDescent="0.25">
      <c r="D146" s="56" t="str">
        <f>"Sent from stage 1: " &amp; $D$80 &amp; " to:"</f>
        <v>Sent from stage 1: Drains to paddock to:</v>
      </c>
    </row>
    <row r="147" spans="4:13" ht="20.100000000000001" customHeight="1" x14ac:dyDescent="0.25">
      <c r="D147" s="1" t="s">
        <v>112</v>
      </c>
      <c r="E147" s="49">
        <v>0.25</v>
      </c>
      <c r="F147" s="49">
        <v>0.25</v>
      </c>
      <c r="G147" s="49">
        <v>0.25</v>
      </c>
      <c r="H147" s="49">
        <v>0.25</v>
      </c>
      <c r="I147" s="49">
        <v>0.25</v>
      </c>
      <c r="J147" s="2" t="s">
        <v>20</v>
      </c>
      <c r="K147" s="2"/>
      <c r="L147" s="2"/>
      <c r="M147" s="2"/>
    </row>
    <row r="148" spans="4:13" ht="20.100000000000001" customHeight="1" x14ac:dyDescent="0.25">
      <c r="D148" s="1" t="s">
        <v>218</v>
      </c>
      <c r="E148" s="49">
        <v>0.25</v>
      </c>
      <c r="F148" s="49">
        <v>0.25</v>
      </c>
      <c r="G148" s="49">
        <v>0.25</v>
      </c>
      <c r="H148" s="49">
        <v>0.25</v>
      </c>
      <c r="I148" s="49">
        <v>0.25</v>
      </c>
      <c r="J148" s="2" t="s">
        <v>20</v>
      </c>
      <c r="K148" s="2"/>
      <c r="L148" s="2"/>
      <c r="M148" s="2"/>
    </row>
    <row r="149" spans="4:13" ht="20.100000000000001" customHeight="1" x14ac:dyDescent="0.25">
      <c r="D149" s="1" t="s">
        <v>137</v>
      </c>
      <c r="E149" s="101">
        <f>1-SUM(E147:E148)</f>
        <v>0.5</v>
      </c>
      <c r="F149" s="101">
        <f t="shared" ref="F149:I149" si="10">1-SUM(F147:F148)</f>
        <v>0.5</v>
      </c>
      <c r="G149" s="101">
        <f t="shared" si="10"/>
        <v>0.5</v>
      </c>
      <c r="H149" s="101">
        <f t="shared" si="10"/>
        <v>0.5</v>
      </c>
      <c r="I149" s="101">
        <f t="shared" si="10"/>
        <v>0.5</v>
      </c>
      <c r="J149" s="2" t="s">
        <v>20</v>
      </c>
      <c r="K149" s="2"/>
      <c r="L149" s="2"/>
      <c r="M149" s="2"/>
    </row>
    <row r="150" spans="4:13" ht="20.100000000000001" customHeight="1" x14ac:dyDescent="0.25"/>
    <row r="151" spans="4:13" ht="20.100000000000001" customHeight="1" x14ac:dyDescent="0.25">
      <c r="D151" s="56" t="str">
        <f>"Sent from stage 1: " &amp; $D$81 &amp; " to:"</f>
        <v>Sent from stage 1: Solid storage (before solid separation) to:</v>
      </c>
    </row>
    <row r="152" spans="4:13" ht="20.100000000000001" customHeight="1" x14ac:dyDescent="0.25">
      <c r="D152" s="1" t="s">
        <v>112</v>
      </c>
      <c r="E152" s="49">
        <v>0.25</v>
      </c>
      <c r="F152" s="49">
        <v>0.25</v>
      </c>
      <c r="G152" s="49">
        <v>0.25</v>
      </c>
      <c r="H152" s="49">
        <v>0.25</v>
      </c>
      <c r="I152" s="49">
        <v>0.25</v>
      </c>
      <c r="J152" s="2" t="s">
        <v>20</v>
      </c>
      <c r="K152" s="2"/>
      <c r="L152" s="2"/>
      <c r="M152" s="2"/>
    </row>
    <row r="153" spans="4:13" ht="20.100000000000001" customHeight="1" x14ac:dyDescent="0.25">
      <c r="D153" s="1" t="s">
        <v>218</v>
      </c>
      <c r="E153" s="49">
        <v>0.25</v>
      </c>
      <c r="F153" s="49">
        <v>0.25</v>
      </c>
      <c r="G153" s="49">
        <v>0.25</v>
      </c>
      <c r="H153" s="49">
        <v>0.25</v>
      </c>
      <c r="I153" s="49">
        <v>0.25</v>
      </c>
      <c r="J153" s="2" t="s">
        <v>20</v>
      </c>
      <c r="K153" s="2"/>
      <c r="L153" s="2"/>
      <c r="M153" s="2"/>
    </row>
    <row r="154" spans="4:13" ht="20.100000000000001" customHeight="1" x14ac:dyDescent="0.25">
      <c r="D154" s="1" t="s">
        <v>137</v>
      </c>
      <c r="E154" s="101">
        <f>1-SUM(E152:E153)</f>
        <v>0.5</v>
      </c>
      <c r="F154" s="101">
        <f t="shared" ref="F154:I154" si="11">1-SUM(F152:F153)</f>
        <v>0.5</v>
      </c>
      <c r="G154" s="101">
        <f t="shared" si="11"/>
        <v>0.5</v>
      </c>
      <c r="H154" s="101">
        <f t="shared" si="11"/>
        <v>0.5</v>
      </c>
      <c r="I154" s="101">
        <f t="shared" si="11"/>
        <v>0.5</v>
      </c>
      <c r="J154" s="2" t="s">
        <v>20</v>
      </c>
      <c r="K154" s="2"/>
      <c r="L154" s="2"/>
      <c r="M154" s="2"/>
    </row>
    <row r="155" spans="4:13" ht="20.100000000000001" customHeight="1" x14ac:dyDescent="0.25"/>
    <row r="156" spans="4:13" ht="20.100000000000001" customHeight="1" x14ac:dyDescent="0.25">
      <c r="D156" s="113"/>
    </row>
    <row r="157" spans="4:13" ht="20.100000000000001" customHeight="1" x14ac:dyDescent="0.25">
      <c r="D157" s="51" t="str">
        <f>"From " &amp; $D$60</f>
        <v>From Feed pad</v>
      </c>
    </row>
    <row r="158" spans="4:13" ht="20.100000000000001" customHeight="1" x14ac:dyDescent="0.25"/>
    <row r="159" spans="4:13" ht="20.100000000000001" customHeight="1" x14ac:dyDescent="0.25">
      <c r="D159" s="66" t="s">
        <v>103</v>
      </c>
      <c r="E159" s="41" t="s">
        <v>178</v>
      </c>
      <c r="F159" s="41" t="s">
        <v>195</v>
      </c>
      <c r="G159" s="41" t="s">
        <v>196</v>
      </c>
      <c r="H159" s="41" t="s">
        <v>197</v>
      </c>
      <c r="I159" s="41" t="s">
        <v>198</v>
      </c>
    </row>
    <row r="160" spans="4:13" ht="20.100000000000001" customHeight="1" x14ac:dyDescent="0.25">
      <c r="D160" s="56" t="str">
        <f>"Sent from stage 1: " &amp; $D$78 &amp; " to:"</f>
        <v>Sent from stage 1: Anaerobic lagoon to:</v>
      </c>
      <c r="E160" s="58"/>
    </row>
    <row r="161" spans="4:13" ht="20.100000000000001" customHeight="1" x14ac:dyDescent="0.25">
      <c r="D161" s="1" t="s">
        <v>112</v>
      </c>
      <c r="E161" s="49">
        <v>0.25</v>
      </c>
      <c r="F161" s="49">
        <v>0.25</v>
      </c>
      <c r="G161" s="49">
        <v>0.25</v>
      </c>
      <c r="H161" s="49">
        <v>0.25</v>
      </c>
      <c r="I161" s="49">
        <v>0.25</v>
      </c>
      <c r="J161" s="2" t="s">
        <v>20</v>
      </c>
      <c r="K161" s="2"/>
      <c r="L161" s="2"/>
      <c r="M161" s="2"/>
    </row>
    <row r="162" spans="4:13" ht="20.100000000000001" customHeight="1" x14ac:dyDescent="0.25">
      <c r="D162" s="1" t="s">
        <v>218</v>
      </c>
      <c r="E162" s="49">
        <v>0.25</v>
      </c>
      <c r="F162" s="49">
        <v>0.25</v>
      </c>
      <c r="G162" s="49">
        <v>0.25</v>
      </c>
      <c r="H162" s="49">
        <v>0.25</v>
      </c>
      <c r="I162" s="49">
        <v>0.25</v>
      </c>
      <c r="J162" s="2" t="s">
        <v>20</v>
      </c>
      <c r="K162" s="2"/>
      <c r="L162" s="2"/>
      <c r="M162" s="2"/>
    </row>
    <row r="163" spans="4:13" ht="20.100000000000001" customHeight="1" x14ac:dyDescent="0.25">
      <c r="D163" s="1" t="s">
        <v>137</v>
      </c>
      <c r="E163" s="101">
        <f t="shared" ref="E163:I163" si="12">1-SUM(E161:E162)</f>
        <v>0.5</v>
      </c>
      <c r="F163" s="101">
        <f t="shared" si="12"/>
        <v>0.5</v>
      </c>
      <c r="G163" s="101">
        <f t="shared" si="12"/>
        <v>0.5</v>
      </c>
      <c r="H163" s="101">
        <f t="shared" si="12"/>
        <v>0.5</v>
      </c>
      <c r="I163" s="101">
        <f t="shared" si="12"/>
        <v>0.5</v>
      </c>
      <c r="J163" s="2" t="s">
        <v>20</v>
      </c>
      <c r="K163" s="2"/>
      <c r="L163" s="2"/>
      <c r="M163" s="2"/>
    </row>
    <row r="164" spans="4:13" ht="20.100000000000001" customHeight="1" x14ac:dyDescent="0.25"/>
    <row r="165" spans="4:13" ht="20.100000000000001" customHeight="1" x14ac:dyDescent="0.25">
      <c r="D165" s="56" t="str">
        <f>"Sent from stage 1: " &amp; $D$79 &amp; " to:"</f>
        <v>Sent from stage 1: Sump and dispersal system to:</v>
      </c>
    </row>
    <row r="166" spans="4:13" x14ac:dyDescent="0.25">
      <c r="D166" s="1" t="s">
        <v>112</v>
      </c>
      <c r="E166" s="49">
        <v>0.25</v>
      </c>
      <c r="F166" s="49">
        <v>0.25</v>
      </c>
      <c r="G166" s="49">
        <v>0.25</v>
      </c>
      <c r="H166" s="49">
        <v>0.25</v>
      </c>
      <c r="I166" s="49">
        <v>0.25</v>
      </c>
      <c r="J166" s="2" t="s">
        <v>20</v>
      </c>
      <c r="K166" s="2"/>
      <c r="L166" s="2"/>
      <c r="M166" s="2"/>
    </row>
    <row r="167" spans="4:13" x14ac:dyDescent="0.25">
      <c r="D167" s="1" t="s">
        <v>218</v>
      </c>
      <c r="E167" s="49">
        <v>0.25</v>
      </c>
      <c r="F167" s="49">
        <v>0.25</v>
      </c>
      <c r="G167" s="49">
        <v>0.25</v>
      </c>
      <c r="H167" s="49">
        <v>0.25</v>
      </c>
      <c r="I167" s="49">
        <v>0.25</v>
      </c>
      <c r="J167" s="2" t="s">
        <v>20</v>
      </c>
      <c r="K167" s="2"/>
      <c r="L167" s="2"/>
      <c r="M167" s="2"/>
    </row>
    <row r="168" spans="4:13" x14ac:dyDescent="0.25">
      <c r="D168" s="1" t="s">
        <v>137</v>
      </c>
      <c r="E168" s="101">
        <f>1-SUM(E166:E167)</f>
        <v>0.5</v>
      </c>
      <c r="F168" s="101">
        <f t="shared" ref="F168:I168" si="13">1-SUM(F166:F167)</f>
        <v>0.5</v>
      </c>
      <c r="G168" s="101">
        <f t="shared" si="13"/>
        <v>0.5</v>
      </c>
      <c r="H168" s="101">
        <f t="shared" si="13"/>
        <v>0.5</v>
      </c>
      <c r="I168" s="101">
        <f t="shared" si="13"/>
        <v>0.5</v>
      </c>
      <c r="J168" s="2" t="s">
        <v>20</v>
      </c>
      <c r="K168" s="2"/>
      <c r="L168" s="2"/>
      <c r="M168" s="2"/>
    </row>
    <row r="170" spans="4:13" x14ac:dyDescent="0.25">
      <c r="D170" s="56" t="str">
        <f>"Sent from stage 1: " &amp; $D$80 &amp; " to:"</f>
        <v>Sent from stage 1: Drains to paddock to:</v>
      </c>
    </row>
    <row r="171" spans="4:13" x14ac:dyDescent="0.25">
      <c r="D171" s="1" t="s">
        <v>112</v>
      </c>
      <c r="E171" s="49">
        <v>0.25</v>
      </c>
      <c r="F171" s="49">
        <v>0.25</v>
      </c>
      <c r="G171" s="49">
        <v>0.25</v>
      </c>
      <c r="H171" s="49">
        <v>0.25</v>
      </c>
      <c r="I171" s="49">
        <v>0.25</v>
      </c>
      <c r="J171" s="2" t="s">
        <v>20</v>
      </c>
      <c r="K171" s="2"/>
      <c r="L171" s="2"/>
      <c r="M171" s="2"/>
    </row>
    <row r="172" spans="4:13" x14ac:dyDescent="0.25">
      <c r="D172" s="1" t="s">
        <v>218</v>
      </c>
      <c r="E172" s="49">
        <v>0.25</v>
      </c>
      <c r="F172" s="49">
        <v>0.25</v>
      </c>
      <c r="G172" s="49">
        <v>0.25</v>
      </c>
      <c r="H172" s="49">
        <v>0.25</v>
      </c>
      <c r="I172" s="49">
        <v>0.25</v>
      </c>
      <c r="J172" s="2" t="s">
        <v>20</v>
      </c>
      <c r="K172" s="2"/>
      <c r="L172" s="2"/>
      <c r="M172" s="2"/>
    </row>
    <row r="173" spans="4:13" x14ac:dyDescent="0.25">
      <c r="D173" s="1" t="s">
        <v>137</v>
      </c>
      <c r="E173" s="101">
        <f>1-SUM(E171:E172)</f>
        <v>0.5</v>
      </c>
      <c r="F173" s="101">
        <f t="shared" ref="F173:I173" si="14">1-SUM(F171:F172)</f>
        <v>0.5</v>
      </c>
      <c r="G173" s="101">
        <f t="shared" si="14"/>
        <v>0.5</v>
      </c>
      <c r="H173" s="101">
        <f t="shared" si="14"/>
        <v>0.5</v>
      </c>
      <c r="I173" s="101">
        <f t="shared" si="14"/>
        <v>0.5</v>
      </c>
      <c r="J173" s="2" t="s">
        <v>20</v>
      </c>
      <c r="K173" s="2"/>
      <c r="L173" s="2"/>
      <c r="M173" s="2"/>
    </row>
    <row r="175" spans="4:13" x14ac:dyDescent="0.25">
      <c r="D175" s="56" t="str">
        <f>"Sent from stage 1: " &amp; $D$81 &amp; " to:"</f>
        <v>Sent from stage 1: Solid storage (before solid separation) to:</v>
      </c>
    </row>
    <row r="176" spans="4:13" x14ac:dyDescent="0.25">
      <c r="D176" s="1" t="s">
        <v>112</v>
      </c>
      <c r="E176" s="49">
        <v>0.25</v>
      </c>
      <c r="F176" s="49">
        <v>0.25</v>
      </c>
      <c r="G176" s="49">
        <v>0.25</v>
      </c>
      <c r="H176" s="49">
        <v>0.25</v>
      </c>
      <c r="I176" s="49">
        <v>0.25</v>
      </c>
      <c r="J176" s="2" t="s">
        <v>20</v>
      </c>
      <c r="K176" s="2"/>
      <c r="L176" s="2"/>
      <c r="M176" s="2"/>
    </row>
    <row r="177" spans="4:13" x14ac:dyDescent="0.25">
      <c r="D177" s="1" t="s">
        <v>218</v>
      </c>
      <c r="E177" s="49">
        <v>0.25</v>
      </c>
      <c r="F177" s="49">
        <v>0.25</v>
      </c>
      <c r="G177" s="49">
        <v>0.25</v>
      </c>
      <c r="H177" s="49">
        <v>0.25</v>
      </c>
      <c r="I177" s="49">
        <v>0.25</v>
      </c>
      <c r="J177" s="2" t="s">
        <v>20</v>
      </c>
      <c r="K177" s="2"/>
      <c r="L177" s="2"/>
      <c r="M177" s="2"/>
    </row>
    <row r="178" spans="4:13" x14ac:dyDescent="0.25">
      <c r="D178" s="1" t="s">
        <v>137</v>
      </c>
      <c r="E178" s="101">
        <f>1-SUM(E176:E177)</f>
        <v>0.5</v>
      </c>
      <c r="F178" s="101">
        <f t="shared" ref="F178:I178" si="15">1-SUM(F176:F177)</f>
        <v>0.5</v>
      </c>
      <c r="G178" s="101">
        <f t="shared" si="15"/>
        <v>0.5</v>
      </c>
      <c r="H178" s="101">
        <f t="shared" si="15"/>
        <v>0.5</v>
      </c>
      <c r="I178" s="101">
        <f t="shared" si="15"/>
        <v>0.5</v>
      </c>
      <c r="J178" s="2" t="s">
        <v>20</v>
      </c>
      <c r="K178" s="2"/>
      <c r="L178" s="2"/>
      <c r="M178" s="2"/>
    </row>
    <row r="180" spans="4:13" x14ac:dyDescent="0.25">
      <c r="D180" s="113"/>
    </row>
  </sheetData>
  <conditionalFormatting sqref="E10:M10 E24:M25 E28:M29 K82:M82 K88:M88 J78:J83 K103:M103 K107:M107 K111:M111 F91 K98:M98 O43:P43 N44 J94:J99">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0:F81">
    <cfRule type="cellIs" dxfId="3" priority="21" operator="lessThan">
      <formula>0</formula>
    </cfRule>
  </conditionalFormatting>
  <conditionalFormatting sqref="F84">
    <cfRule type="cellIs" dxfId="2" priority="20" operator="lessThan">
      <formula>0</formula>
    </cfRule>
  </conditionalFormatting>
  <conditionalFormatting sqref="J58:M60">
    <cfRule type="cellIs" dxfId="1" priority="24" operator="lessThan">
      <formula>0</formula>
    </cfRule>
  </conditionalFormatting>
  <conditionalFormatting sqref="J63:M65">
    <cfRule type="cellIs" dxfId="0" priority="23" operator="lessThan">
      <formula>0</formula>
    </cfRule>
  </conditionalFormatting>
  <dataValidations count="5">
    <dataValidation type="list" allowBlank="1" showInputMessage="1" showErrorMessage="1" sqref="E102" xr:uid="{AF94BFC8-A9BD-4286-932B-111409BF1EB6}">
      <formula1>INDIRECT("Table_SourceData_Dairy_CropProdSystems[Production system]")</formula1>
    </dataValidation>
    <dataValidation type="list" allowBlank="1" showInputMessage="1" showErrorMessage="1" sqref="E103" xr:uid="{20E9D9A1-CABD-46A5-B149-02F06B30AA0E}">
      <formula1>INDIRECT("Table_SourceData_Dairy_IrrigationMethods[Irrigation method]")</formula1>
    </dataValidation>
    <dataValidation type="list" allowBlank="1" showInputMessage="1" showErrorMessage="1" sqref="E55" xr:uid="{9FB53635-991F-44AA-A123-E8ABEF9EE0A6}">
      <formula1>INDIRECT("Table_SourceData_Dairy_ProductionSystemTemplates[Area]")</formula1>
    </dataValidation>
    <dataValidation type="list" allowBlank="1" showInputMessage="1" showErrorMessage="1" sqref="E72:E74 E88:E90"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275"/>
  <sheetViews>
    <sheetView showGridLines="0" topLeftCell="A79" zoomScale="85" zoomScaleNormal="85" workbookViewId="0">
      <selection activeCell="E175" sqref="E17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291</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13" t="s">
        <v>28</v>
      </c>
      <c r="E7" s="13" t="str" cm="1">
        <f t="array" aca="1" ref="E7" ca="1">Common_InputFunctions.Utility_DisplayFunctionName(D23)</f>
        <v>=EntericMethane_Dairy_Equations.VEERG_3_3_1_1__6_MetabolisabilityOfDiet</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EntericMethane_Dairy_Equations.VEERG_3_3_1_1__6_MetabolisabilityOfDiet_Variable()</f>
        <v>qm_j</v>
      </c>
    </row>
    <row r="11" spans="1:23" ht="20.100000000000001" customHeight="1" x14ac:dyDescent="0.25">
      <c r="A11" s="19" t="s">
        <v>78</v>
      </c>
      <c r="D11" s="56" t="s">
        <v>21</v>
      </c>
      <c r="E11" s="57" t="str" cm="1">
        <f t="array" ref="E11">EntericMethane_Dairy_Equations.VEERG_3_3_1_1__6_MetabolisabilityOfDiet_Unit()</f>
        <v>fraction</v>
      </c>
    </row>
    <row r="12" spans="1:23" ht="20.100000000000001" customHeight="1" x14ac:dyDescent="0.25">
      <c r="A12" s="22" t="str">
        <f>HYPERLINK("#'4.3.1.1-2 Methane'!A1", "4.3.1.1-2 Methane")</f>
        <v>4.3.1.1-2 Methane</v>
      </c>
    </row>
    <row r="13" spans="1:23" ht="20.100000000000001" customHeight="1" x14ac:dyDescent="0.25">
      <c r="A13" s="17" t="str">
        <f>HYPERLINK("#'4.3.1.3-4 Direct N20'!A1", "4.3.1.3-4 Direct N2O")</f>
        <v>4.3.1.3-4 Direct N2O</v>
      </c>
      <c r="D13" s="137" t="str" cm="1">
        <f t="array" ref="D13:E13">_xlfn.CHOOSECOLS(EntericMethane_Dairy_Equations.VEERG_3_3_1_1__6_MetabolisabilityOfDiet_Arguments(), 1,2)</f>
        <v>DMD_j</v>
      </c>
      <c r="E13" s="137" t="str">
        <v>dry matter digestibility expressed as a fraction</v>
      </c>
      <c r="F13" s="137"/>
      <c r="G13" s="137" t="str" cm="1">
        <f t="array" ref="G13:H13">_xlfn.CHOOSECOLS(EntericMethane_Dairy_Equations.VEERG_3_3_1_1__6_MetabolisabilityOfDiet_Arguments(), 3,4)</f>
        <v>fraction</v>
      </c>
      <c r="H13" s="135" t="str">
        <v>Input</v>
      </c>
      <c r="I13" s="137" t="str">
        <f>"See " &amp; D15</f>
        <v>See M1_Table_DMD_j</v>
      </c>
    </row>
    <row r="14" spans="1:23" ht="20.100000000000001" customHeight="1" x14ac:dyDescent="0.25">
      <c r="A14" s="17" t="str">
        <f>HYPERLINK("#'4.3.1.5 Atmos Deposition'!A1", "4.3.1.5 Atmospheric deposition")</f>
        <v>4.3.1.5 Atmospheric deposition</v>
      </c>
    </row>
    <row r="15" spans="1:23" ht="20.100000000000001" customHeight="1" x14ac:dyDescent="0.25">
      <c r="A15" s="17" t="str">
        <f>HYPERLINK("#'4.3.1.6-7 Leaching and runoff'!A1", "4.3.1.6-7 Leaching and runoff")</f>
        <v>4.3.1.6-7 Leaching and runoff</v>
      </c>
      <c r="D15" s="104" t="s">
        <v>128</v>
      </c>
      <c r="O15" s="104" t="s">
        <v>131</v>
      </c>
    </row>
    <row r="16" spans="1:23" ht="20.100000000000001" customHeight="1" x14ac:dyDescent="0.25">
      <c r="A16" s="17" t="str">
        <f>HYPERLINK("#'4.3.1.8 Manure applied to soils'!A1", "4.3.1.8 Manure applied to soils")</f>
        <v>4.3.1.8 Manure applied to soils</v>
      </c>
      <c r="D16" s="103" t="s">
        <v>130</v>
      </c>
      <c r="O16" s="103" t="s">
        <v>247</v>
      </c>
    </row>
    <row r="17" spans="1:23" ht="20.100000000000001" customHeight="1" x14ac:dyDescent="0.25">
      <c r="A17" s="17" t="str">
        <f>HYPERLINK("#'4.3.1.9 Soil direct N2O'!A1", "4.3.1.9 Soil direct N2O")</f>
        <v>4.3.1.9 Soil direct N2O</v>
      </c>
      <c r="D17" s="41" t="s">
        <v>178</v>
      </c>
      <c r="E17" s="41" t="s">
        <v>195</v>
      </c>
      <c r="F17" s="41" t="s">
        <v>196</v>
      </c>
      <c r="G17" s="41" t="s">
        <v>197</v>
      </c>
      <c r="H17" s="41" t="s">
        <v>198</v>
      </c>
      <c r="O17" s="41" t="s">
        <v>178</v>
      </c>
      <c r="P17" s="41" t="s">
        <v>195</v>
      </c>
      <c r="Q17" s="41" t="s">
        <v>196</v>
      </c>
      <c r="R17" s="41" t="s">
        <v>197</v>
      </c>
      <c r="S17" s="41" t="s">
        <v>198</v>
      </c>
    </row>
    <row r="18" spans="1:23" ht="20.100000000000001" customHeight="1" x14ac:dyDescent="0.25">
      <c r="A18" s="17" t="str">
        <f>HYPERLINK("#'4.3.1.10-11 Soil Atmos Dep'!A1", "4.3.1.10-11 Soil atm. deposition")</f>
        <v>4.3.1.10-11 Soil atm. deposition</v>
      </c>
      <c r="D18" s="55">
        <f>'Input - Dairy'!$E$37</f>
        <v>0.75</v>
      </c>
      <c r="E18" s="55">
        <f>'Input - Dairy'!$F$37</f>
        <v>0.75</v>
      </c>
      <c r="F18" s="55">
        <f>'Input - Dairy'!$G$37</f>
        <v>0.75</v>
      </c>
      <c r="G18" s="55">
        <f>'Input - Dairy'!$H$37</f>
        <v>0.75</v>
      </c>
      <c r="H18" s="55">
        <f>'Input - Dairy'!$I$37</f>
        <v>0.75</v>
      </c>
      <c r="I18" s="2" t="s">
        <v>236</v>
      </c>
      <c r="J18" s="2"/>
      <c r="K18" s="2"/>
      <c r="O18" s="55">
        <f>'Input - Dairy'!$E$42</f>
        <v>0.75</v>
      </c>
      <c r="P18" s="55">
        <f>'Input - Dairy'!$F$42</f>
        <v>0.75</v>
      </c>
      <c r="Q18" s="55">
        <f>'Input - Dairy'!$G$42</f>
        <v>0.75</v>
      </c>
      <c r="R18" s="55">
        <f>'Input - Dairy'!$H$42</f>
        <v>0.75</v>
      </c>
      <c r="S18" s="55">
        <f>'Input - Dairy'!$I$42</f>
        <v>0.75</v>
      </c>
      <c r="T18" s="2" t="s">
        <v>236</v>
      </c>
      <c r="U18" s="2"/>
      <c r="V18" s="2"/>
    </row>
    <row r="19" spans="1:23" ht="20.100000000000001" customHeight="1" x14ac:dyDescent="0.25">
      <c r="A19" s="17" t="str">
        <f>HYPERLINK("#'4.3.1.12-13 Soil leach runoff'!A1", "4.3.1.12-13 Soil leach &amp; runoff")</f>
        <v>4.3.1.12-13 Soil leach &amp; runoff</v>
      </c>
    </row>
    <row r="20" spans="1:23" ht="20.100000000000001" customHeight="1" x14ac:dyDescent="0.25">
      <c r="A20" s="17"/>
      <c r="D20" s="104" t="s">
        <v>237</v>
      </c>
      <c r="O20" s="104" t="s">
        <v>239</v>
      </c>
    </row>
    <row r="21" spans="1:23" ht="20.100000000000001" customHeight="1" x14ac:dyDescent="0.25">
      <c r="A21" s="18" t="s">
        <v>4</v>
      </c>
      <c r="D21" s="103" t="s">
        <v>238</v>
      </c>
      <c r="O21" s="103" t="s">
        <v>240</v>
      </c>
    </row>
    <row r="22" spans="1:23" ht="20.100000000000001" customHeight="1" x14ac:dyDescent="0.25">
      <c r="A22" s="17" t="str">
        <f>HYPERLINK("#'Constants - Dairy'!A1", "Constants - Dairy")</f>
        <v>Constants - Dairy</v>
      </c>
      <c r="D22" s="54" t="s">
        <v>178</v>
      </c>
      <c r="E22" s="54" t="s">
        <v>195</v>
      </c>
      <c r="F22" s="54" t="s">
        <v>196</v>
      </c>
      <c r="G22" s="54" t="s">
        <v>197</v>
      </c>
      <c r="H22" s="54" t="s">
        <v>198</v>
      </c>
      <c r="O22" s="54" t="s">
        <v>178</v>
      </c>
      <c r="P22" s="54" t="s">
        <v>195</v>
      </c>
      <c r="Q22" s="54" t="s">
        <v>196</v>
      </c>
      <c r="R22" s="54" t="s">
        <v>197</v>
      </c>
      <c r="S22" s="54" t="s">
        <v>198</v>
      </c>
    </row>
    <row r="23" spans="1:23" ht="20.100000000000001" customHeight="1" x14ac:dyDescent="0.25">
      <c r="A23" s="17" t="str">
        <f>HYPERLINK("#'Constants - Livestock'!A1", "Constants - Livestock")</f>
        <v>Constants - Livestock</v>
      </c>
      <c r="D23" s="55" cm="1">
        <f t="array" ref="D23">EntericMethane_Dairy_Equations.VEERG_3_3_1_1__6_MetabolisabilityOfDiet(D18)</f>
        <v>59.623600000000003</v>
      </c>
      <c r="E23" s="55" cm="1">
        <f t="array" ref="E23">EntericMethane_Dairy_Equations.VEERG_3_3_1_1__6_MetabolisabilityOfDiet(E18)</f>
        <v>59.623600000000003</v>
      </c>
      <c r="F23" s="55" cm="1">
        <f t="array" ref="F23">EntericMethane_Dairy_Equations.VEERG_3_3_1_1__6_MetabolisabilityOfDiet(F18)</f>
        <v>59.623600000000003</v>
      </c>
      <c r="G23" s="55" cm="1">
        <f t="array" ref="G23">EntericMethane_Dairy_Equations.VEERG_3_3_1_1__6_MetabolisabilityOfDiet(G18)</f>
        <v>59.623600000000003</v>
      </c>
      <c r="H23" s="55" cm="1">
        <f t="array" ref="H23">EntericMethane_Dairy_Equations.VEERG_3_3_1_1__6_MetabolisabilityOfDiet(H18)</f>
        <v>59.623600000000003</v>
      </c>
      <c r="I23" s="2" t="str">
        <f>$E$11</f>
        <v>fraction</v>
      </c>
      <c r="J23" s="2"/>
      <c r="K23" s="2"/>
      <c r="O23" s="55" cm="1">
        <f t="array" ref="O23">EntericMethane_Dairy_Equations.VEERG_3_3_1_1__6_MetabolisabilityOfDiet(O18)</f>
        <v>59.623600000000003</v>
      </c>
      <c r="P23" s="55" cm="1">
        <f t="array" ref="P23">EntericMethane_Dairy_Equations.VEERG_3_3_1_1__6_MetabolisabilityOfDiet(P18)</f>
        <v>59.623600000000003</v>
      </c>
      <c r="Q23" s="55" cm="1">
        <f t="array" ref="Q23">EntericMethane_Dairy_Equations.VEERG_3_3_1_1__6_MetabolisabilityOfDiet(Q18)</f>
        <v>59.623600000000003</v>
      </c>
      <c r="R23" s="55" cm="1">
        <f t="array" ref="R23">EntericMethane_Dairy_Equations.VEERG_3_3_1_1__6_MetabolisabilityOfDiet(R18)</f>
        <v>59.623600000000003</v>
      </c>
      <c r="S23" s="55" cm="1">
        <f t="array" ref="S23">EntericMethane_Dairy_Equations.VEERG_3_3_1_1__6_MetabolisabilityOfDiet(S18)</f>
        <v>59.623600000000003</v>
      </c>
      <c r="T23" s="2" t="str">
        <f>$E$11</f>
        <v>fraction</v>
      </c>
      <c r="U23" s="2"/>
      <c r="V23" s="2"/>
    </row>
    <row r="24" spans="1:23" ht="20.100000000000001" customHeight="1" x14ac:dyDescent="0.25">
      <c r="A24" s="17" t="str">
        <f>HYPERLINK("#'Constants - Common'!A1", "Constants - Common")</f>
        <v>Constants - Common</v>
      </c>
    </row>
    <row r="25" spans="1:23" ht="20.100000000000001" customHeight="1" x14ac:dyDescent="0.25">
      <c r="A25" s="17" t="str">
        <f>HYPERLINK("#'Acknowledgements'!A1", "Acknowledgements")</f>
        <v>Acknowledgements</v>
      </c>
    </row>
    <row r="26" spans="1:23" ht="20.100000000000001" customHeight="1" x14ac:dyDescent="0.25">
      <c r="C26" s="48"/>
      <c r="D26" s="48"/>
      <c r="E26" s="48"/>
      <c r="F26" s="48"/>
      <c r="G26" s="48"/>
      <c r="H26" s="48"/>
      <c r="I26" s="48"/>
      <c r="J26" s="48"/>
      <c r="K26" s="48"/>
      <c r="L26" s="48"/>
      <c r="N26" s="48"/>
      <c r="O26" s="48"/>
      <c r="P26" s="48"/>
      <c r="Q26" s="48"/>
      <c r="R26" s="48"/>
      <c r="S26" s="48"/>
      <c r="T26" s="48"/>
      <c r="U26" s="48"/>
      <c r="V26" s="48"/>
      <c r="W26" s="48"/>
    </row>
    <row r="27" spans="1:23" ht="20.100000000000001" customHeight="1" x14ac:dyDescent="0.25">
      <c r="D27" s="6" t="str" cm="1">
        <f t="array" ref="D27">EntericMethane_Dairy_Equations.VEERG_3_3_1_1__4_AdditionalIntakeForMilkProduction_Title()</f>
        <v>Additional intake required for milk production</v>
      </c>
    </row>
    <row r="28" spans="1:23" ht="20.100000000000001" customHeight="1" x14ac:dyDescent="0.25">
      <c r="D28" s="5" t="str" cm="1">
        <f t="array" ref="D28">EntericMethane_Dairy_Equations.VEERG_3_3_1_1__4_AdditionalIntakeForMilkProduction_Source()</f>
        <v>VEERG 2026: 3.3.1.1, Equation (4)</v>
      </c>
    </row>
    <row r="29" spans="1:23" ht="20.100000000000001" customHeight="1" x14ac:dyDescent="0.25">
      <c r="D29" s="13" t="s">
        <v>28</v>
      </c>
      <c r="E29" s="13" t="str" cm="1">
        <f t="array" aca="1" ref="E29" ca="1">Common_InputFunctions.Utility_DisplayFunctionName(D49)</f>
        <v>=EntericMethane_Dairy_Equations.VEERG_3_3_1_1__4_AdditionalIntakeForMilkProduction</v>
      </c>
    </row>
    <row r="30" spans="1:23" ht="20.100000000000001" customHeight="1" x14ac:dyDescent="0.25"/>
    <row r="31" spans="1:23" ht="20.100000000000001" customHeight="1" x14ac:dyDescent="0.25">
      <c r="D31" s="6"/>
    </row>
    <row r="32" spans="1:23" ht="20.100000000000001" customHeight="1" x14ac:dyDescent="0.25">
      <c r="D32" s="56" t="s">
        <v>31</v>
      </c>
      <c r="E32" s="1" t="str" cm="1">
        <f t="array" ref="E32">EntericMethane_Dairy_Equations.VEERG_3_3_1_1__4_AdditionalIntakeForMilkProduction_Variable()</f>
        <v>MI_j</v>
      </c>
    </row>
    <row r="33" spans="4:19" ht="20.100000000000001" customHeight="1" x14ac:dyDescent="0.25">
      <c r="D33" s="56" t="s">
        <v>21</v>
      </c>
      <c r="E33" s="57" t="str" cm="1">
        <f t="array" ref="E33">EntericMethane_Dairy_Equations.VEERG_3_3_1_1__4_AdditionalIntakeForMilkProduction_Unit()</f>
        <v>kg DM/head/day</v>
      </c>
    </row>
    <row r="34" spans="4:19" ht="20.100000000000001" customHeight="1" x14ac:dyDescent="0.25"/>
    <row r="35" spans="4:19" ht="20.100000000000001" customHeight="1" x14ac:dyDescent="0.25">
      <c r="D35" s="137" t="str" cm="1">
        <f t="array" ref="D35:E39">_xlfn.CHOOSECOLS(EntericMethane_Dairy_Equations.VEERG_3_3_1_1__4_AdditionalIntakeForMilkProduction_Arguments(), 1,2)</f>
        <v>MP_j</v>
      </c>
      <c r="E35" s="136" t="str">
        <v>milk production</v>
      </c>
      <c r="F35" s="138"/>
      <c r="G35" s="137" t="str" cm="1">
        <f t="array" ref="G35:H39">_xlfn.CHOOSECOLS(EntericMethane_Dairy_Equations.VEERG_3_3_1_1__4_AdditionalIntakeForMilkProduction_Arguments(), 3,4)</f>
        <v>L/head/day</v>
      </c>
      <c r="H35" s="135" t="str">
        <v>Input</v>
      </c>
      <c r="I35" s="134" t="str" cm="1">
        <f t="array" aca="1" ref="I35" ca="1">HYPERLINK(Common_InputFunctions.Utility_SourceHyperlink($D$41), $D$41)</f>
        <v>Table_MP_j</v>
      </c>
    </row>
    <row r="36" spans="4:19" ht="20.100000000000001" customHeight="1" x14ac:dyDescent="0.25">
      <c r="D36" s="137" t="str">
        <v>NE</v>
      </c>
      <c r="E36" s="136" t="str">
        <v>net energy</v>
      </c>
      <c r="F36" s="138"/>
      <c r="G36" s="137" t="str">
        <v>MJ net energy/kg milk</v>
      </c>
      <c r="H36" s="133" t="str">
        <v>Constant</v>
      </c>
      <c r="I36" s="137">
        <f>'Constants - Dairy'!$D$167</f>
        <v>3.0539999999999998</v>
      </c>
    </row>
    <row r="37" spans="4:19" ht="20.100000000000001" customHeight="1" x14ac:dyDescent="0.25">
      <c r="D37" s="137" t="str">
        <v>GEC</v>
      </c>
      <c r="E37" s="136" t="str">
        <v>gross energy content</v>
      </c>
      <c r="F37" s="138"/>
      <c r="G37" s="137" t="str">
        <v>MJ/kgDM</v>
      </c>
      <c r="H37" s="133" t="str">
        <v>Constant</v>
      </c>
      <c r="I37" s="137">
        <f>'Constants - Dairy'!$D$174</f>
        <v>18.399999999999999</v>
      </c>
    </row>
    <row r="38" spans="4:19" ht="20.100000000000001" customHeight="1" x14ac:dyDescent="0.25">
      <c r="D38" s="137" t="str">
        <v>k</v>
      </c>
      <c r="E38" s="136" t="str">
        <v>efficiency of metabolizable energy use for milk production</v>
      </c>
      <c r="F38" s="138"/>
      <c r="G38" s="137" t="str">
        <v>fraction</v>
      </c>
      <c r="H38" s="133" t="str">
        <v>Constant</v>
      </c>
      <c r="I38" s="137">
        <f>'Constants - Dairy'!$D$181</f>
        <v>0.6</v>
      </c>
    </row>
    <row r="39" spans="4:19" ht="20.100000000000001" customHeight="1" x14ac:dyDescent="0.25">
      <c r="D39" s="137" t="str">
        <v>qm_j</v>
      </c>
      <c r="E39" s="136" t="str">
        <v>metabolisability of the diet</v>
      </c>
      <c r="F39" s="138"/>
      <c r="G39" s="137" t="str">
        <v>fraction</v>
      </c>
      <c r="H39" s="133" t="str">
        <v>Calculated from 3.3.1.1 (6)</v>
      </c>
      <c r="I39" s="134" t="str" cm="1">
        <f t="array" aca="1" ref="I39" ca="1">HYPERLINK(Common_InputFunctions.Utility_SourceHyperlink($D$20), $D$20)</f>
        <v>M1_Table_qm_j</v>
      </c>
    </row>
    <row r="40" spans="4:19" ht="20.100000000000001" customHeight="1" x14ac:dyDescent="0.25"/>
    <row r="41" spans="4:19" ht="20.100000000000001" customHeight="1" x14ac:dyDescent="0.25">
      <c r="D41" s="104" t="s">
        <v>246</v>
      </c>
    </row>
    <row r="42" spans="4:19" ht="20.100000000000001" customHeight="1" x14ac:dyDescent="0.25">
      <c r="D42" s="103" t="s">
        <v>202</v>
      </c>
    </row>
    <row r="43" spans="4:19" ht="20.100000000000001" customHeight="1" x14ac:dyDescent="0.25">
      <c r="D43" s="41" t="s">
        <v>178</v>
      </c>
      <c r="E43" s="41" t="s">
        <v>195</v>
      </c>
      <c r="F43" s="41" t="s">
        <v>196</v>
      </c>
      <c r="G43" s="41" t="s">
        <v>197</v>
      </c>
      <c r="H43" s="41" t="s">
        <v>198</v>
      </c>
    </row>
    <row r="44" spans="4:19" ht="20.100000000000001" customHeight="1" x14ac:dyDescent="0.25">
      <c r="D44" s="55">
        <f>'Input - Dairy'!$E$49</f>
        <v>44</v>
      </c>
      <c r="E44" s="55">
        <v>0</v>
      </c>
      <c r="F44" s="55">
        <v>0</v>
      </c>
      <c r="G44" s="55">
        <v>0</v>
      </c>
      <c r="H44" s="55">
        <v>0</v>
      </c>
      <c r="I44" s="2" t="s">
        <v>243</v>
      </c>
      <c r="J44" s="2"/>
      <c r="K44" s="2"/>
    </row>
    <row r="45" spans="4:19" ht="20.100000000000001" customHeight="1" x14ac:dyDescent="0.25"/>
    <row r="46" spans="4:19" ht="20.100000000000001" customHeight="1" x14ac:dyDescent="0.25">
      <c r="D46" s="104" t="s">
        <v>241</v>
      </c>
      <c r="O46" s="104" t="s">
        <v>244</v>
      </c>
    </row>
    <row r="47" spans="4:19" ht="20.100000000000001" customHeight="1" x14ac:dyDescent="0.25">
      <c r="D47" s="103" t="s">
        <v>242</v>
      </c>
      <c r="O47" s="103" t="s">
        <v>245</v>
      </c>
    </row>
    <row r="48" spans="4:19" ht="20.100000000000001" customHeight="1" x14ac:dyDescent="0.25">
      <c r="D48" s="54" t="s">
        <v>178</v>
      </c>
      <c r="E48" s="54" t="s">
        <v>195</v>
      </c>
      <c r="F48" s="54" t="s">
        <v>196</v>
      </c>
      <c r="G48" s="54" t="s">
        <v>197</v>
      </c>
      <c r="H48" s="54" t="s">
        <v>198</v>
      </c>
      <c r="O48" s="54" t="s">
        <v>178</v>
      </c>
      <c r="P48" s="54" t="s">
        <v>195</v>
      </c>
      <c r="Q48" s="54" t="s">
        <v>196</v>
      </c>
      <c r="R48" s="54" t="s">
        <v>197</v>
      </c>
      <c r="S48" s="54" t="s">
        <v>198</v>
      </c>
    </row>
    <row r="49" spans="1:23" ht="20.100000000000001" customHeight="1" x14ac:dyDescent="0.25">
      <c r="D49" s="55" cm="1">
        <f t="array" ref="D49">EntericMethane_Dairy_Equations.VEERG_3_3_1_1__4_AdditionalIntakeForMilkProduction(D44, $I$36,$I$37,$I$38,D23)</f>
        <v>0.21026726504853488</v>
      </c>
      <c r="E49" s="55" cm="1">
        <f t="array" ref="E49">EntericMethane_Dairy_Equations.VEERG_3_3_1_1__4_AdditionalIntakeForMilkProduction(E44, $I$36,$I$37,$I$38,E23)</f>
        <v>0</v>
      </c>
      <c r="F49" s="55" cm="1">
        <f t="array" ref="F49">EntericMethane_Dairy_Equations.VEERG_3_3_1_1__4_AdditionalIntakeForMilkProduction(F44, $I$36,$I$37,$I$38,F23)</f>
        <v>0</v>
      </c>
      <c r="G49" s="55" cm="1">
        <f t="array" ref="G49">EntericMethane_Dairy_Equations.VEERG_3_3_1_1__4_AdditionalIntakeForMilkProduction(G44, $I$36,$I$37,$I$38,G23)</f>
        <v>0</v>
      </c>
      <c r="H49" s="55" cm="1">
        <f t="array" ref="H49">EntericMethane_Dairy_Equations.VEERG_3_3_1_1__4_AdditionalIntakeForMilkProduction(H44, $I$36,$I$37,$I$38,H23)</f>
        <v>0</v>
      </c>
      <c r="I49" s="2" t="str">
        <f>$E$33</f>
        <v>kg DM/head/day</v>
      </c>
      <c r="J49" s="2"/>
      <c r="K49" s="2"/>
      <c r="O49" s="55" cm="1">
        <f t="array" ref="O49">EntericMethane_Dairy_Equations.VEERG_3_3_1_1__4_AdditionalIntakeForMilkProduction(D44, $I$36,$I$37,$I$38,O23)</f>
        <v>0.21026726504853488</v>
      </c>
      <c r="P49" s="55" cm="1">
        <f t="array" ref="P49">EntericMethane_Dairy_Equations.VEERG_3_3_1_1__4_AdditionalIntakeForMilkProduction(E44, $I$36,$I$37,$I$38,P23)</f>
        <v>0</v>
      </c>
      <c r="Q49" s="55" cm="1">
        <f t="array" ref="Q49">EntericMethane_Dairy_Equations.VEERG_3_3_1_1__4_AdditionalIntakeForMilkProduction(F44, $I$36,$I$37,$I$38,Q23)</f>
        <v>0</v>
      </c>
      <c r="R49" s="55" cm="1">
        <f t="array" ref="R49">EntericMethane_Dairy_Equations.VEERG_3_3_1_1__4_AdditionalIntakeForMilkProduction(G44, $I$36,$I$37,$I$38,R23)</f>
        <v>0</v>
      </c>
      <c r="S49" s="55" cm="1">
        <f t="array" ref="S49">EntericMethane_Dairy_Equations.VEERG_3_3_1_1__4_AdditionalIntakeForMilkProduction(H44, $I$36,$I$37,$I$38,S23)</f>
        <v>0</v>
      </c>
      <c r="T49" s="2" t="str">
        <f>$E$33</f>
        <v>kg DM/head/day</v>
      </c>
      <c r="U49" s="2"/>
      <c r="V49" s="2"/>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EntericMethane_Dairy_Equations.VEERG_3_3_1_1__3_DryMatterFeedIntake_Title()</f>
        <v>Feed intake</v>
      </c>
    </row>
    <row r="54" spans="1:23" ht="20.100000000000001" customHeight="1" x14ac:dyDescent="0.25">
      <c r="D54" s="5" t="str" cm="1">
        <f t="array" ref="D54">EntericMethane_Dairy_Equations.VEERG_3_3_1_1__3_DryMatterFeedIntake_Source()</f>
        <v>VEERG 2026: 3.3.1.1, Equation (3)</v>
      </c>
    </row>
    <row r="55" spans="1:23" ht="20.100000000000001" customHeight="1" x14ac:dyDescent="0.25">
      <c r="D55" s="13" t="s">
        <v>28</v>
      </c>
      <c r="E55" s="13" t="str" cm="1">
        <f t="array" aca="1" ref="E55" ca="1">Common_InputFunctions.Utility_DisplayFunctionName(D84)</f>
        <v>=EntericMethane_Dairy_Equations.VEERG_3_3_1_1__3_DryMatterFeedIntake</v>
      </c>
    </row>
    <row r="56" spans="1:23" ht="20.100000000000001" customHeight="1" x14ac:dyDescent="0.25"/>
    <row r="57" spans="1:23" ht="20.100000000000001" customHeight="1" x14ac:dyDescent="0.25"/>
    <row r="58" spans="1:23" ht="20.100000000000001" customHeight="1" x14ac:dyDescent="0.25">
      <c r="D58" s="56" t="s">
        <v>31</v>
      </c>
      <c r="E58" s="1" t="str" cm="1">
        <f t="array" ref="E58">EntericMethane_Dairy_Equations.VEERG_3_3_1_1__3_DryMatterFeedIntake_Variable()</f>
        <v>I_j</v>
      </c>
    </row>
    <row r="59" spans="1:23" ht="20.100000000000001" customHeight="1" x14ac:dyDescent="0.25">
      <c r="D59" s="56" t="s">
        <v>21</v>
      </c>
      <c r="E59" s="57" t="str" cm="1">
        <f t="array" ref="E59">EntericMethane_Dairy_Equations.VEERG_3_3_1_1__3_DryMatterFeedIntake_Unit()</f>
        <v>kg DM/head/day</v>
      </c>
    </row>
    <row r="60" spans="1:23" ht="20.100000000000001" customHeight="1" x14ac:dyDescent="0.25"/>
    <row r="61" spans="1:23" ht="20.100000000000001" customHeight="1" x14ac:dyDescent="0.25">
      <c r="D61" s="137" t="str" cm="1">
        <f t="array" ref="D61:E64">_xlfn.CHOOSECOLS(EntericMethane_Dairy_Equations.VEERG_3_3_1_1__3_DryMatterFeedIntake_Arguments(),1,2)</f>
        <v>W_j</v>
      </c>
      <c r="E61" s="136" t="str">
        <v>liveweight</v>
      </c>
      <c r="F61" s="138"/>
      <c r="G61" s="137" t="str" cm="1">
        <f t="array" ref="G61:H64">_xlfn.CHOOSECOLS(EntericMethane_Dairy_Equations.VEERG_3_3_1_1__3_DryMatterFeedIntake_Arguments(),3,4)</f>
        <v>kg</v>
      </c>
      <c r="H61" s="135" t="str">
        <v>Input</v>
      </c>
      <c r="I61" s="134" t="str" cm="1">
        <f t="array" aca="1" ref="I61" ca="1">HYPERLINK(Common_InputFunctions.Utility_SourceHyperlink($D$66), $D$66)</f>
        <v>M1_Table_W_j</v>
      </c>
    </row>
    <row r="62" spans="1:23" ht="20.100000000000001" customHeight="1" x14ac:dyDescent="0.25">
      <c r="D62" s="137" t="str">
        <v>LWG_j</v>
      </c>
      <c r="E62" s="136" t="str">
        <v>liveweight gain</v>
      </c>
      <c r="F62" s="138"/>
      <c r="G62" s="137" t="str">
        <v>kg/head/day</v>
      </c>
      <c r="H62" s="135" t="str">
        <v>Input</v>
      </c>
      <c r="I62" s="134" t="str" cm="1">
        <f t="array" aca="1" ref="I62" ca="1">HYPERLINK(Common_InputFunctions.Utility_SourceHyperlink($D$71), $D$71)</f>
        <v>M1_Table_LWG_j</v>
      </c>
    </row>
    <row r="63" spans="1:23" ht="20.100000000000001" customHeight="1" x14ac:dyDescent="0.25">
      <c r="D63" s="137" t="str">
        <v>MR_j</v>
      </c>
      <c r="E63" s="136" t="str">
        <v>increase in metabolic rate when producing milk</v>
      </c>
      <c r="F63" s="138"/>
      <c r="G63" s="137" t="str">
        <v>fraction</v>
      </c>
      <c r="H63" s="133" t="str">
        <v>Constant</v>
      </c>
      <c r="I63" s="134" t="str" cm="1">
        <f t="array" aca="1" ref="I63" ca="1">HYPERLINK(Common_InputFunctions.Utility_SourceHyperlink($D$76), $D$76)</f>
        <v>Table_MR_j</v>
      </c>
    </row>
    <row r="64" spans="1:23" ht="20.100000000000001" customHeight="1" x14ac:dyDescent="0.25">
      <c r="D64" s="137" t="str">
        <v>MI_j</v>
      </c>
      <c r="E64" s="136" t="str">
        <v>additional intake required for milk production</v>
      </c>
      <c r="F64" s="138"/>
      <c r="G64" s="137" t="str">
        <v>kg DM/head/day</v>
      </c>
      <c r="H64" s="133" t="str">
        <v>Calculated from 3.3.1.1 (4)</v>
      </c>
      <c r="I64" s="134" t="str" cm="1">
        <f t="array" aca="1" ref="I64" ca="1">HYPERLINK(Common_InputFunctions.Utility_SourceHyperlink($D$46), $D$46)</f>
        <v>M1_Table_MI_j</v>
      </c>
    </row>
    <row r="65" spans="4:22" ht="20.100000000000001" customHeight="1" x14ac:dyDescent="0.25"/>
    <row r="66" spans="4:22" ht="20.100000000000001" customHeight="1" x14ac:dyDescent="0.25">
      <c r="D66" s="104" t="s">
        <v>226</v>
      </c>
      <c r="O66" s="104" t="s">
        <v>228</v>
      </c>
    </row>
    <row r="67" spans="4:22" ht="20.100000000000001" customHeight="1" x14ac:dyDescent="0.25">
      <c r="D67" s="103" t="s">
        <v>227</v>
      </c>
      <c r="O67" s="103" t="s">
        <v>229</v>
      </c>
    </row>
    <row r="68" spans="4:22" ht="20.100000000000001" customHeight="1" x14ac:dyDescent="0.25">
      <c r="D68" s="41" t="s">
        <v>178</v>
      </c>
      <c r="E68" s="41" t="s">
        <v>195</v>
      </c>
      <c r="F68" s="41" t="s">
        <v>196</v>
      </c>
      <c r="G68" s="41" t="s">
        <v>197</v>
      </c>
      <c r="H68" s="41" t="s">
        <v>198</v>
      </c>
      <c r="O68" s="41" t="s">
        <v>178</v>
      </c>
      <c r="P68" s="41" t="s">
        <v>195</v>
      </c>
      <c r="Q68" s="41" t="s">
        <v>196</v>
      </c>
      <c r="R68" s="41" t="s">
        <v>197</v>
      </c>
      <c r="S68" s="41" t="s">
        <v>198</v>
      </c>
    </row>
    <row r="69" spans="4:22" ht="20.100000000000001" customHeight="1" x14ac:dyDescent="0.25">
      <c r="D69" s="55">
        <f>'Input - Dairy'!$E$14</f>
        <v>550</v>
      </c>
      <c r="E69" s="55">
        <f>'Input - Dairy'!$F$14</f>
        <v>380</v>
      </c>
      <c r="F69" s="55">
        <f>'Input - Dairy'!$G$14</f>
        <v>155</v>
      </c>
      <c r="G69" s="55">
        <f>'Input - Dairy'!$H$14</f>
        <v>600</v>
      </c>
      <c r="H69" s="55">
        <f>'Input - Dairy'!$I$14</f>
        <v>225</v>
      </c>
      <c r="I69" s="2" t="s">
        <v>200</v>
      </c>
      <c r="J69" s="2"/>
      <c r="K69" s="2"/>
      <c r="O69" s="55">
        <f>'Input - Dairy'!$E$18</f>
        <v>550</v>
      </c>
      <c r="P69" s="55">
        <f>'Input - Dairy'!$F$18</f>
        <v>380</v>
      </c>
      <c r="Q69" s="55">
        <f>'Input - Dairy'!$G$18</f>
        <v>155</v>
      </c>
      <c r="R69" s="55">
        <f>'Input - Dairy'!$H$18</f>
        <v>600</v>
      </c>
      <c r="S69" s="55">
        <f>'Input - Dairy'!$I$18</f>
        <v>225</v>
      </c>
      <c r="T69" s="2" t="s">
        <v>200</v>
      </c>
      <c r="U69" s="2"/>
      <c r="V69" s="2"/>
    </row>
    <row r="70" spans="4:22" ht="20.100000000000001" customHeight="1" x14ac:dyDescent="0.25"/>
    <row r="71" spans="4:22" ht="20.100000000000001" customHeight="1" x14ac:dyDescent="0.25">
      <c r="D71" s="104" t="s">
        <v>230</v>
      </c>
      <c r="O71" s="104" t="s">
        <v>232</v>
      </c>
    </row>
    <row r="72" spans="4:22" ht="20.100000000000001" customHeight="1" x14ac:dyDescent="0.25">
      <c r="D72" s="103" t="s">
        <v>231</v>
      </c>
      <c r="O72" s="103" t="s">
        <v>233</v>
      </c>
    </row>
    <row r="73" spans="4:22" ht="20.100000000000001" customHeight="1" x14ac:dyDescent="0.25">
      <c r="D73" s="41" t="s">
        <v>178</v>
      </c>
      <c r="E73" s="41" t="s">
        <v>195</v>
      </c>
      <c r="F73" s="41" t="s">
        <v>196</v>
      </c>
      <c r="G73" s="41" t="s">
        <v>197</v>
      </c>
      <c r="H73" s="41" t="s">
        <v>198</v>
      </c>
      <c r="O73" s="41" t="s">
        <v>178</v>
      </c>
      <c r="P73" s="41" t="s">
        <v>195</v>
      </c>
      <c r="Q73" s="41" t="s">
        <v>196</v>
      </c>
      <c r="R73" s="41" t="s">
        <v>197</v>
      </c>
      <c r="S73" s="41" t="s">
        <v>198</v>
      </c>
    </row>
    <row r="74" spans="4:22" ht="20.100000000000001" customHeight="1" x14ac:dyDescent="0.25">
      <c r="D74" s="55">
        <f>'Input - Dairy'!$E$15</f>
        <v>1.6E-2</v>
      </c>
      <c r="E74" s="55">
        <f>'Input - Dairy'!$F$15</f>
        <v>0.6</v>
      </c>
      <c r="F74" s="55">
        <f>'Input - Dairy'!$G$15</f>
        <v>0.56999999999999995</v>
      </c>
      <c r="G74" s="55">
        <f>'Input - Dairy'!$H$15</f>
        <v>0.1</v>
      </c>
      <c r="H74" s="55">
        <f>'Input - Dairy'!$I$15</f>
        <v>0.8</v>
      </c>
      <c r="I74" s="2" t="s">
        <v>201</v>
      </c>
      <c r="J74" s="2"/>
      <c r="K74" s="2"/>
      <c r="O74" s="55">
        <f>'Input - Dairy'!$E$19</f>
        <v>1.6E-2</v>
      </c>
      <c r="P74" s="55">
        <f>'Input - Dairy'!$F$19</f>
        <v>0.6</v>
      </c>
      <c r="Q74" s="55">
        <f>'Input - Dairy'!$G$19</f>
        <v>0.56999999999999995</v>
      </c>
      <c r="R74" s="55">
        <f>'Input - Dairy'!$H$19</f>
        <v>0.1</v>
      </c>
      <c r="S74" s="55">
        <f>'Input - Dairy'!$I$19</f>
        <v>0.8</v>
      </c>
      <c r="T74" s="2" t="s">
        <v>201</v>
      </c>
      <c r="U74" s="2"/>
      <c r="V74" s="2"/>
    </row>
    <row r="75" spans="4:22" ht="20.100000000000001" customHeight="1" x14ac:dyDescent="0.25"/>
    <row r="76" spans="4:22" ht="20.100000000000001" customHeight="1" x14ac:dyDescent="0.25">
      <c r="D76" s="104" t="s">
        <v>234</v>
      </c>
    </row>
    <row r="77" spans="4:22" ht="20.100000000000001" customHeight="1" x14ac:dyDescent="0.25">
      <c r="D77" s="103" t="s">
        <v>235</v>
      </c>
    </row>
    <row r="78" spans="4:22" ht="20.100000000000001" customHeight="1" x14ac:dyDescent="0.25">
      <c r="D78" s="54" t="s">
        <v>178</v>
      </c>
      <c r="E78" s="54" t="s">
        <v>195</v>
      </c>
      <c r="F78" s="54" t="s">
        <v>196</v>
      </c>
      <c r="G78" s="54" t="s">
        <v>197</v>
      </c>
      <c r="H78" s="54" t="s">
        <v>198</v>
      </c>
    </row>
    <row r="79" spans="4:22" ht="20.100000000000001" customHeight="1" x14ac:dyDescent="0.25">
      <c r="D79" s="55">
        <f>'Constants - Dairy'!$E$108</f>
        <v>1.1000000000000001</v>
      </c>
      <c r="E79" s="55">
        <f>'Constants - Dairy'!$E$109</f>
        <v>1</v>
      </c>
      <c r="F79" s="55">
        <f>'Constants - Dairy'!$E$109</f>
        <v>1</v>
      </c>
      <c r="G79" s="55">
        <f>'Constants - Dairy'!$E$109</f>
        <v>1</v>
      </c>
      <c r="H79" s="55">
        <f>'Constants - Dairy'!$E$109</f>
        <v>1</v>
      </c>
      <c r="I79" s="2" t="s">
        <v>101</v>
      </c>
      <c r="J79" s="2"/>
      <c r="K79" s="2"/>
    </row>
    <row r="80" spans="4:22" ht="20.100000000000001" customHeight="1" x14ac:dyDescent="0.25"/>
    <row r="81" spans="3:23" ht="20.100000000000001" customHeight="1" x14ac:dyDescent="0.25">
      <c r="D81" s="104" t="s">
        <v>116</v>
      </c>
      <c r="O81" s="104" t="s">
        <v>118</v>
      </c>
    </row>
    <row r="82" spans="3:23" ht="20.100000000000001" customHeight="1" x14ac:dyDescent="0.25">
      <c r="D82" s="103" t="s">
        <v>249</v>
      </c>
      <c r="O82" s="103" t="s">
        <v>248</v>
      </c>
    </row>
    <row r="83" spans="3:23" ht="20.100000000000001" customHeight="1" x14ac:dyDescent="0.25">
      <c r="D83" s="54" t="s">
        <v>178</v>
      </c>
      <c r="E83" s="54" t="s">
        <v>195</v>
      </c>
      <c r="F83" s="54" t="s">
        <v>196</v>
      </c>
      <c r="G83" s="54" t="s">
        <v>197</v>
      </c>
      <c r="H83" s="54" t="s">
        <v>198</v>
      </c>
      <c r="O83" s="54" t="s">
        <v>178</v>
      </c>
      <c r="P83" s="54" t="s">
        <v>195</v>
      </c>
      <c r="Q83" s="54" t="s">
        <v>196</v>
      </c>
      <c r="R83" s="54" t="s">
        <v>197</v>
      </c>
      <c r="S83" s="54" t="s">
        <v>198</v>
      </c>
    </row>
    <row r="84" spans="3:23" ht="20.100000000000001" customHeight="1" x14ac:dyDescent="0.25">
      <c r="D84" s="55" cm="1">
        <f t="array" ref="D84">EntericMethane_Dairy_Equations.VEERG_3_3_1_1__3_DryMatterFeedIntake(D69,D74,D79,D49)</f>
        <v>9.4647127858085369</v>
      </c>
      <c r="E84" s="55" cm="1">
        <f t="array" ref="E84">EntericMethane_Dairy_Equations.VEERG_3_3_1_1__3_DryMatterFeedIntake(E69,E74,E79,E49)</f>
        <v>7.4188685375999972</v>
      </c>
      <c r="F84" s="55" cm="1">
        <f t="array" ref="F84">EntericMethane_Dairy_Equations.VEERG_3_3_1_1__3_DryMatterFeedIntake(F69,F74,F79,F49)</f>
        <v>4.0231734662249998</v>
      </c>
      <c r="G84" s="55" cm="1">
        <f t="array" ref="G84">EntericMethane_Dairy_Equations.VEERG_3_3_1_1__3_DryMatterFeedIntake(G69,G74,G79,G49)</f>
        <v>9.0270202499999979</v>
      </c>
      <c r="H84" s="55" cm="1">
        <f t="array" ref="H84">EntericMethane_Dairy_Equations.VEERG_3_3_1_1__3_DryMatterFeedIntake(H69,H74,H79,H49)</f>
        <v>5.4143472656250013</v>
      </c>
      <c r="I84" s="2" t="str">
        <f>$E$59</f>
        <v>kg DM/head/day</v>
      </c>
      <c r="J84" s="2"/>
      <c r="K84" s="2"/>
      <c r="O84" s="55" cm="1">
        <f t="array" ref="O84">EntericMethane_Dairy_Equations.VEERG_3_3_1_1__3_DryMatterFeedIntake(O69,O74,D79,O49)</f>
        <v>9.4647127858085369</v>
      </c>
      <c r="P84" s="55" cm="1">
        <f t="array" ref="P84">EntericMethane_Dairy_Equations.VEERG_3_3_1_1__3_DryMatterFeedIntake(P69,P74,E79,P49)</f>
        <v>7.4188685375999972</v>
      </c>
      <c r="Q84" s="55" cm="1">
        <f t="array" ref="Q84">EntericMethane_Dairy_Equations.VEERG_3_3_1_1__3_DryMatterFeedIntake(Q69,Q74,F79,Q49)</f>
        <v>4.0231734662249998</v>
      </c>
      <c r="R84" s="55" cm="1">
        <f t="array" ref="R84">EntericMethane_Dairy_Equations.VEERG_3_3_1_1__3_DryMatterFeedIntake(R69,R74,G79,R49)</f>
        <v>9.0270202499999979</v>
      </c>
      <c r="S84" s="55" cm="1">
        <f t="array" ref="S84">EntericMethane_Dairy_Equations.VEERG_3_3_1_1__3_DryMatterFeedIntake(S69,S74,H79,S49)</f>
        <v>5.4143472656250013</v>
      </c>
      <c r="T84" s="2" t="str">
        <f>$E$59</f>
        <v>kg DM/head/day</v>
      </c>
      <c r="U84" s="2"/>
      <c r="V84" s="2"/>
    </row>
    <row r="85" spans="3:23" ht="20.100000000000001" customHeight="1" x14ac:dyDescent="0.25"/>
    <row r="86" spans="3:23" ht="20.100000000000001" customHeight="1" x14ac:dyDescent="0.25"/>
    <row r="87" spans="3:23" ht="20.100000000000001" customHeight="1" x14ac:dyDescent="0.25">
      <c r="C87" s="48"/>
      <c r="D87" s="48"/>
      <c r="E87" s="48"/>
      <c r="F87" s="48"/>
      <c r="G87" s="48"/>
      <c r="H87" s="48"/>
      <c r="I87" s="48"/>
      <c r="J87" s="48"/>
      <c r="K87" s="48"/>
      <c r="L87" s="48"/>
      <c r="N87" s="48"/>
      <c r="O87" s="48"/>
      <c r="P87" s="48"/>
      <c r="Q87" s="48"/>
      <c r="R87" s="48"/>
      <c r="S87" s="48"/>
      <c r="T87" s="48"/>
      <c r="U87" s="48"/>
      <c r="V87" s="48"/>
      <c r="W87" s="48"/>
    </row>
    <row r="88" spans="3:23" ht="20.100000000000001" customHeight="1" x14ac:dyDescent="0.25">
      <c r="D88" s="6" t="str" cm="1">
        <f t="array" ref="D88">MMS_Dairy_Methane_Equations.VEERG_4_3_1_1__3_VolatileSolidsForWeanedDairyCattle_Title()</f>
        <v>Volatile solids for weaned dairy cattle</v>
      </c>
    </row>
    <row r="89" spans="3:23" ht="20.100000000000001" customHeight="1" x14ac:dyDescent="0.25">
      <c r="D89" s="5" t="str" cm="1">
        <f t="array" ref="D89">MMS_Dairy_Methane_Equations.VEERG_4_3_1_1__3_VolatileSolidsForWeanedDairyCattle_Source()</f>
        <v>VEERG 2026: 4.3.1.1, Equation (3)</v>
      </c>
    </row>
    <row r="90" spans="3:23" ht="20.100000000000001" customHeight="1" x14ac:dyDescent="0.25">
      <c r="D90" s="13" t="s">
        <v>28</v>
      </c>
      <c r="E90" s="13" t="str" cm="1">
        <f t="array" aca="1" ref="E90" ca="1">Common_InputFunctions.Utility_DisplayFunctionName(D103)</f>
        <v>=MMS_Dairy_Methane_Equations.VEERG_4_3_1_1__3_VolatileSolidsForWeanedDairyCattle</v>
      </c>
    </row>
    <row r="91" spans="3:23" ht="20.100000000000001" customHeight="1" x14ac:dyDescent="0.25"/>
    <row r="92" spans="3:23" ht="20.100000000000001" customHeight="1" x14ac:dyDescent="0.25"/>
    <row r="93" spans="3:23" ht="20.100000000000001" customHeight="1" x14ac:dyDescent="0.25">
      <c r="D93" s="56" t="s">
        <v>31</v>
      </c>
      <c r="E93" s="1" t="str" cm="1">
        <f t="array" ref="E93">MMS_Dairy_Methane_Equations.VEERG_4_3_1_1__3_VolatileSolidsForWeanedDairyCattle_Variable()</f>
        <v>VS_j</v>
      </c>
    </row>
    <row r="94" spans="3:23" ht="20.100000000000001" customHeight="1" x14ac:dyDescent="0.25">
      <c r="D94" s="56" t="s">
        <v>21</v>
      </c>
      <c r="E94" s="57" t="str" cm="1">
        <f t="array" ref="E94">MMS_Dairy_Methane_Equations.VEERG_4_3_1_1__3_VolatileSolidsForWeanedDairyCattle_Unit()</f>
        <v>kg/head/day</v>
      </c>
    </row>
    <row r="95" spans="3:23" ht="20.100000000000001" customHeight="1" x14ac:dyDescent="0.25"/>
    <row r="96" spans="3:23" ht="20.100000000000001" customHeight="1" x14ac:dyDescent="0.25">
      <c r="D96" s="137" t="str" cm="1">
        <f t="array" ref="D96:E98">_xlfn.CHOOSECOLS(MMS_Dairy_Methane_Equations.VEERG_4_3_1_1__3_VolatileSolidsForWeanedDairyCattle_Arguments(), 1,2)</f>
        <v>I_j</v>
      </c>
      <c r="E96" s="136" t="str">
        <v>dry matter feed intake (kgDM/head/day)</v>
      </c>
      <c r="F96" s="138"/>
      <c r="G96" s="137" t="str" cm="1">
        <f t="array" ref="G96:H98">_xlfn.CHOOSECOLS(MMS_Dairy_Methane_Equations.VEERG_4_3_1_1__3_VolatileSolidsForWeanedDairyCattle_Arguments(), 3,4)</f>
        <v>kgDM/head/day</v>
      </c>
      <c r="H96" s="133" t="str">
        <v>Calculated from 3.3.1.1 (3)</v>
      </c>
      <c r="I96" s="134" t="str" cm="1">
        <f t="array" aca="1" ref="I96" ca="1">HYPERLINK(Common_InputFunctions.Utility_SourceHyperlink($D$81), $D$81)</f>
        <v>M1_Table_I_j</v>
      </c>
    </row>
    <row r="97" spans="1:23" ht="20.100000000000001" customHeight="1" x14ac:dyDescent="0.25">
      <c r="D97" s="137" t="str">
        <v>DMD_j</v>
      </c>
      <c r="E97" s="136" t="str">
        <v>dry matter digestibility</v>
      </c>
      <c r="F97" s="138"/>
      <c r="G97" s="137" t="str">
        <v>fraction</v>
      </c>
      <c r="H97" s="135" t="str">
        <v>Input</v>
      </c>
      <c r="I97" s="134" t="str" cm="1">
        <f t="array" aca="1" ref="I97" ca="1">HYPERLINK(Common_InputFunctions.Utility_SourceHyperlink($D$15), $D$15)</f>
        <v>M1_Table_DMD_j</v>
      </c>
    </row>
    <row r="98" spans="1:23" ht="20.100000000000001" customHeight="1" x14ac:dyDescent="0.25">
      <c r="D98" s="137" t="str">
        <v>A</v>
      </c>
      <c r="E98" s="136" t="str">
        <v>ash content of feed intake</v>
      </c>
      <c r="F98" s="138"/>
      <c r="G98" s="137" t="str">
        <v>fraction</v>
      </c>
      <c r="H98" s="133" t="str">
        <v>Constant</v>
      </c>
      <c r="I98" s="137">
        <f>'Constants - Dairy'!$D$188</f>
        <v>0.08</v>
      </c>
    </row>
    <row r="99" spans="1:23" ht="20.100000000000001" customHeight="1" x14ac:dyDescent="0.25"/>
    <row r="100" spans="1:23" ht="20.100000000000001" customHeight="1" x14ac:dyDescent="0.25">
      <c r="D100" s="104" t="s">
        <v>129</v>
      </c>
      <c r="O100" s="104" t="s">
        <v>132</v>
      </c>
    </row>
    <row r="101" spans="1:23" ht="20.100000000000001" customHeight="1" x14ac:dyDescent="0.25">
      <c r="D101" s="103" t="s">
        <v>250</v>
      </c>
      <c r="O101" s="103" t="s">
        <v>251</v>
      </c>
    </row>
    <row r="102" spans="1:23" ht="20.100000000000001" customHeight="1" x14ac:dyDescent="0.25">
      <c r="D102" s="54" t="s">
        <v>178</v>
      </c>
      <c r="E102" s="54" t="s">
        <v>195</v>
      </c>
      <c r="F102" s="54" t="s">
        <v>196</v>
      </c>
      <c r="G102" s="54" t="s">
        <v>197</v>
      </c>
      <c r="H102" s="54" t="s">
        <v>198</v>
      </c>
      <c r="O102" s="54" t="s">
        <v>178</v>
      </c>
      <c r="P102" s="54" t="s">
        <v>195</v>
      </c>
      <c r="Q102" s="54" t="s">
        <v>196</v>
      </c>
      <c r="R102" s="54" t="s">
        <v>197</v>
      </c>
      <c r="S102" s="54" t="s">
        <v>198</v>
      </c>
    </row>
    <row r="103" spans="1:23" ht="20.100000000000001" customHeight="1" x14ac:dyDescent="0.25">
      <c r="D103" s="55" cm="1">
        <f t="array" ref="D103">MMS_Dairy_Methane_Equations.VEERG_4_3_1_1__3_VolatileSolidsForWeanedDairyCattle(D84,D18,$I$98)</f>
        <v>2.525185371253718</v>
      </c>
      <c r="E103" s="55" cm="1">
        <f t="array" ref="E103">MMS_Dairy_Methane_Equations.VEERG_4_3_1_1__3_VolatileSolidsForWeanedDairyCattle(E84,E18,$I$98)</f>
        <v>1.9793541258316791</v>
      </c>
      <c r="F103" s="55" cm="1">
        <f t="array" ref="F103">MMS_Dairy_Methane_Equations.VEERG_4_3_1_1__3_VolatileSolidsForWeanedDairyCattle(F84,F18,$I$98)</f>
        <v>1.07338268078883</v>
      </c>
      <c r="G103" s="55" cm="1">
        <f t="array" ref="G103">MMS_Dairy_Methane_Equations.VEERG_4_3_1_1__3_VolatileSolidsForWeanedDairyCattle(G84,G18,$I$98)</f>
        <v>2.4084090026999996</v>
      </c>
      <c r="H103" s="55" cm="1">
        <f t="array" ref="H103">MMS_Dairy_Methane_Equations.VEERG_4_3_1_1__3_VolatileSolidsForWeanedDairyCattle(H84,H18,$I$98)</f>
        <v>1.4445478504687506</v>
      </c>
      <c r="I103" s="2" t="str">
        <f>$E$94</f>
        <v>kg/head/day</v>
      </c>
      <c r="O103" s="55" cm="1">
        <f t="array" ref="O103">MMS_Dairy_Methane_Equations.VEERG_4_3_1_1__3_VolatileSolidsForWeanedDairyCattle(O84,O18,$I$98)</f>
        <v>2.525185371253718</v>
      </c>
      <c r="P103" s="55" cm="1">
        <f t="array" ref="P103">MMS_Dairy_Methane_Equations.VEERG_4_3_1_1__3_VolatileSolidsForWeanedDairyCattle(P84,P18,$I$98)</f>
        <v>1.9793541258316791</v>
      </c>
      <c r="Q103" s="55" cm="1">
        <f t="array" ref="Q103">MMS_Dairy_Methane_Equations.VEERG_4_3_1_1__3_VolatileSolidsForWeanedDairyCattle(Q84,Q18,$I$98)</f>
        <v>1.07338268078883</v>
      </c>
      <c r="R103" s="55" cm="1">
        <f t="array" ref="R103">MMS_Dairy_Methane_Equations.VEERG_4_3_1_1__3_VolatileSolidsForWeanedDairyCattle(R84,R18,$I$98)</f>
        <v>2.4084090026999996</v>
      </c>
      <c r="S103" s="55" cm="1">
        <f t="array" ref="S103">MMS_Dairy_Methane_Equations.VEERG_4_3_1_1__3_VolatileSolidsForWeanedDairyCattle(S84,S18,$I$98)</f>
        <v>1.4445478504687506</v>
      </c>
      <c r="T103" s="2" t="str">
        <f>$E$94</f>
        <v>kg/head/day</v>
      </c>
    </row>
    <row r="104" spans="1:23" ht="20.100000000000001" customHeight="1" x14ac:dyDescent="0.25"/>
    <row r="105" spans="1:23" ht="20.100000000000001" customHeight="1" x14ac:dyDescent="0.25">
      <c r="A105" s="141" t="str">
        <f>HYPERLINK("#A1", "▲ Back to top")</f>
        <v>▲ Back to top</v>
      </c>
    </row>
    <row r="106" spans="1:23" ht="20.100000000000001" customHeight="1" x14ac:dyDescent="0.25">
      <c r="C106" s="48"/>
      <c r="D106" s="48"/>
      <c r="E106" s="48"/>
      <c r="F106" s="48"/>
      <c r="G106" s="48"/>
      <c r="H106" s="48"/>
      <c r="I106" s="48"/>
      <c r="J106" s="48"/>
      <c r="K106" s="48"/>
      <c r="L106" s="48"/>
      <c r="N106" s="48"/>
      <c r="O106" s="48"/>
      <c r="P106" s="48"/>
      <c r="Q106" s="48"/>
      <c r="R106" s="48"/>
      <c r="S106" s="48"/>
      <c r="T106" s="48"/>
      <c r="U106" s="48"/>
      <c r="V106" s="48"/>
      <c r="W106" s="48"/>
    </row>
    <row r="107" spans="1:23" ht="20.100000000000001" customHeight="1" x14ac:dyDescent="0.25">
      <c r="D107" s="6" t="str" cm="1">
        <f t="array" ref="D107">MMS_Dairy_Methane_Equations.VEERG_4_3_1_1__4_FractionVolatileSolidsNotSolidStorage_Title()</f>
        <v>Fraction of volatile solids in each system other than solid storage</v>
      </c>
    </row>
    <row r="108" spans="1:23" ht="20.100000000000001" customHeight="1" x14ac:dyDescent="0.25">
      <c r="D108" s="5" t="str" cm="1">
        <f t="array" ref="D108">MMS_Dairy_Methane_Equations.VEERG_4_3_1_1__4_FractionVolatileSolidsNotSolidStorage_Source()</f>
        <v>VEERG 2026: 4.3.1.1, Equation (4)</v>
      </c>
      <c r="E108" s="13"/>
    </row>
    <row r="109" spans="1:23" ht="20.100000000000001" customHeight="1" x14ac:dyDescent="0.25">
      <c r="D109" s="13" t="s">
        <v>28</v>
      </c>
      <c r="E109" s="13" t="str" cm="1">
        <f t="array" aca="1" ref="E109" ca="1">Common_InputFunctions.Utility_DisplayFunctionName(F144)</f>
        <v>=MMS_Dairy_Methane_Equations.VEERG_4_3_1_1__4_FractionVolatileSolidsNotSolidStorage</v>
      </c>
    </row>
    <row r="110" spans="1:23" ht="20.100000000000001" customHeight="1" x14ac:dyDescent="0.25">
      <c r="D110" s="6"/>
    </row>
    <row r="111" spans="1:23" ht="20.100000000000001" customHeight="1" x14ac:dyDescent="0.25"/>
    <row r="112" spans="1:23" ht="20.100000000000001" customHeight="1" x14ac:dyDescent="0.25">
      <c r="D112" s="56" t="s">
        <v>31</v>
      </c>
      <c r="E112" s="1" t="str" cm="1">
        <f t="array" ref="E112">MMS_Dairy_Methane_Equations.VEERG_4_3_1_1__4_FractionVolatileSolidsNotSolidStorage_Variable()</f>
        <v>FVS_jm</v>
      </c>
    </row>
    <row r="113" spans="4:22" ht="20.100000000000001" customHeight="1" x14ac:dyDescent="0.25">
      <c r="D113" s="56" t="s">
        <v>21</v>
      </c>
      <c r="E113" s="57" t="str" cm="1">
        <f t="array" ref="E113">MMS_Dairy_Methane_Equations.VEERG_4_3_1_1__4_FractionVolatileSolidsNotSolidStorage_Unit()</f>
        <v>fraction</v>
      </c>
    </row>
    <row r="114" spans="4:22" ht="20.100000000000001" customHeight="1" x14ac:dyDescent="0.25"/>
    <row r="115" spans="4:22" ht="20.100000000000001" customHeight="1" x14ac:dyDescent="0.25">
      <c r="D115" s="137" t="str" cm="1">
        <f t="array" ref="D115:E116">_xlfn.CHOOSECOLS(MMS_Dairy_Methane_Equations.VEERG_4_3_1_1__4_FractionVolatileSolidsNotSolidStorage_Arguments(),1,2)</f>
        <v>MMS_jm</v>
      </c>
      <c r="E115" s="137" t="str">
        <v>fraction of manure to each primary MMS for each class prior to solid separation</v>
      </c>
      <c r="F115" s="137"/>
      <c r="G115" s="137" t="str" cm="1">
        <f t="array" ref="G115:H116">_xlfn.CHOOSECOLS(MMS_Dairy_Methane_Equations.VEERG_4_3_1_1__4_FractionVolatileSolidsNotSolidStorage_Arguments(),3,4)</f>
        <v>fraction</v>
      </c>
      <c r="H115" s="135" t="str">
        <v>Input</v>
      </c>
      <c r="I115" s="134" t="str" cm="1">
        <f t="array" aca="1" ref="I115" ca="1">HYPERLINK(Common_InputFunctions.Utility_SourceHyperlink($D$118),$D$118)</f>
        <v>M1_Table_MMS_j_m</v>
      </c>
    </row>
    <row r="116" spans="4:22" ht="20.100000000000001" customHeight="1" x14ac:dyDescent="0.25">
      <c r="D116" s="137" t="str">
        <v>SS_m</v>
      </c>
      <c r="E116" s="137" t="str">
        <v>fraction of volatile solids separated to solid storage for each MMS</v>
      </c>
      <c r="F116" s="137"/>
      <c r="G116" s="137" t="str">
        <v>fraction</v>
      </c>
      <c r="H116" s="135" t="str">
        <v>Input</v>
      </c>
      <c r="I116" s="134" t="str" cm="1">
        <f t="array" aca="1" ref="I116" ca="1">HYPERLINK(Common_InputFunctions.Utility_SourceHyperlink($D$129),$D$129)</f>
        <v>M1_Table_SS_m</v>
      </c>
    </row>
    <row r="117" spans="4:22" ht="20.100000000000001" customHeight="1" x14ac:dyDescent="0.25"/>
    <row r="118" spans="4:22" ht="20.100000000000001" customHeight="1" x14ac:dyDescent="0.25">
      <c r="D118" s="104" t="s">
        <v>256</v>
      </c>
      <c r="O118" s="104" t="s">
        <v>258</v>
      </c>
    </row>
    <row r="119" spans="4:22" ht="20.100000000000001" customHeight="1" x14ac:dyDescent="0.25">
      <c r="D119" s="103" t="s">
        <v>257</v>
      </c>
      <c r="O119" s="103" t="s">
        <v>259</v>
      </c>
    </row>
    <row r="120" spans="4:22" ht="20.100000000000001" customHeight="1" x14ac:dyDescent="0.25">
      <c r="D120" s="41" t="s">
        <v>152</v>
      </c>
      <c r="E120" s="41" t="s">
        <v>69</v>
      </c>
      <c r="F120" s="41" t="s">
        <v>178</v>
      </c>
      <c r="G120" s="41" t="s">
        <v>195</v>
      </c>
      <c r="H120" s="41" t="s">
        <v>196</v>
      </c>
      <c r="I120" s="41" t="s">
        <v>197</v>
      </c>
      <c r="J120" s="41" t="s">
        <v>198</v>
      </c>
      <c r="O120" s="41" t="s">
        <v>152</v>
      </c>
      <c r="P120" s="41" t="s">
        <v>69</v>
      </c>
      <c r="Q120" s="41" t="s">
        <v>178</v>
      </c>
      <c r="R120" s="41" t="s">
        <v>195</v>
      </c>
      <c r="S120" s="41" t="s">
        <v>196</v>
      </c>
      <c r="T120" s="41" t="s">
        <v>197</v>
      </c>
      <c r="U120" s="41" t="s">
        <v>198</v>
      </c>
    </row>
    <row r="121" spans="4:22" ht="20.100000000000001" customHeight="1" x14ac:dyDescent="0.25">
      <c r="D121" s="55" t="str">
        <f>'Input - Dairy'!$D$58</f>
        <v>Pasture</v>
      </c>
      <c r="E121" s="55" t="str">
        <f>'Constants - Livestock'!$E$27</f>
        <v>Pasture range and paddock</v>
      </c>
      <c r="F121" s="55">
        <f>'Input - Dairy'!E58</f>
        <v>0.53400000000000003</v>
      </c>
      <c r="G121" s="55">
        <f>'Input - Dairy'!F58</f>
        <v>0.53400000000000003</v>
      </c>
      <c r="H121" s="55">
        <f>'Input - Dairy'!G58</f>
        <v>0.53400000000000003</v>
      </c>
      <c r="I121" s="55">
        <f>'Input - Dairy'!H58</f>
        <v>0.53400000000000003</v>
      </c>
      <c r="J121" s="55">
        <f>'Input - Dairy'!I58</f>
        <v>0.53400000000000003</v>
      </c>
      <c r="K121" s="2" t="str">
        <f>$G$115</f>
        <v>fraction</v>
      </c>
      <c r="O121" s="55" t="str">
        <f>'Input - Dairy'!$D$58</f>
        <v>Pasture</v>
      </c>
      <c r="P121" s="55" t="str">
        <f>'Constants - Livestock'!$E$27</f>
        <v>Pasture range and paddock</v>
      </c>
      <c r="Q121" s="55">
        <f>'Input - Dairy'!E63</f>
        <v>0.53400000000000003</v>
      </c>
      <c r="R121" s="55">
        <f>'Input - Dairy'!F63</f>
        <v>0.53400000000000003</v>
      </c>
      <c r="S121" s="55">
        <f>'Input - Dairy'!G63</f>
        <v>0.53400000000000003</v>
      </c>
      <c r="T121" s="55">
        <f>'Input - Dairy'!H63</f>
        <v>0.53400000000000003</v>
      </c>
      <c r="U121" s="55">
        <f>'Input - Dairy'!I63</f>
        <v>0.53400000000000003</v>
      </c>
    </row>
    <row r="122" spans="4:22" ht="20.100000000000001" customHeight="1" x14ac:dyDescent="0.25">
      <c r="D122" s="55" t="str">
        <f>'Input - Dairy'!$D$59</f>
        <v>Milking shed</v>
      </c>
      <c r="E122" s="55" t="str">
        <f>'Input - Dairy'!$D$78</f>
        <v>Anaerobic lagoon</v>
      </c>
      <c r="F122" s="55">
        <f>'Input - Dairy'!E$59*'Input - Dairy'!E78</f>
        <v>2.75E-2</v>
      </c>
      <c r="G122" s="55">
        <f>'Input - Dairy'!F$59*'Input - Dairy'!F78</f>
        <v>2.75E-2</v>
      </c>
      <c r="H122" s="55">
        <f>'Input - Dairy'!G$59*'Input - Dairy'!G78</f>
        <v>2.75E-2</v>
      </c>
      <c r="I122" s="55">
        <f>'Input - Dairy'!H$59*'Input - Dairy'!H78</f>
        <v>2.75E-2</v>
      </c>
      <c r="J122" s="55">
        <f>'Input - Dairy'!I$59*'Input - Dairy'!I78</f>
        <v>2.75E-2</v>
      </c>
      <c r="K122" s="2"/>
      <c r="O122" s="55" t="str">
        <f>'Input - Dairy'!$D$59</f>
        <v>Milking shed</v>
      </c>
      <c r="P122" s="55" t="str">
        <f>'Input - Dairy'!$D$78</f>
        <v>Anaerobic lagoon</v>
      </c>
      <c r="Q122" s="55">
        <f>'Input - Dairy'!E$64*'Input - Dairy'!E78</f>
        <v>2.75E-2</v>
      </c>
      <c r="R122" s="55">
        <f>'Input - Dairy'!F$64*'Input - Dairy'!F78</f>
        <v>2.75E-2</v>
      </c>
      <c r="S122" s="55">
        <f>'Input - Dairy'!G$64*'Input - Dairy'!G78</f>
        <v>2.75E-2</v>
      </c>
      <c r="T122" s="55">
        <f>'Input - Dairy'!H$64*'Input - Dairy'!H78</f>
        <v>2.75E-2</v>
      </c>
      <c r="U122" s="55">
        <f>'Input - Dairy'!I$64*'Input - Dairy'!I78</f>
        <v>2.75E-2</v>
      </c>
      <c r="V122" s="2" t="str">
        <f>$G$115</f>
        <v>fraction</v>
      </c>
    </row>
    <row r="123" spans="4:22" ht="20.100000000000001" customHeight="1" x14ac:dyDescent="0.25">
      <c r="D123" s="55" t="str">
        <f>'Input - Dairy'!$D$59</f>
        <v>Milking shed</v>
      </c>
      <c r="E123" s="55" t="str">
        <f>'Input - Dairy'!$D$79</f>
        <v>Sump and dispersal system</v>
      </c>
      <c r="F123" s="55">
        <f>'Input - Dairy'!E$59*'Input - Dairy'!E79</f>
        <v>2.75E-2</v>
      </c>
      <c r="G123" s="55">
        <f>'Input - Dairy'!F$59*'Input - Dairy'!F79</f>
        <v>2.75E-2</v>
      </c>
      <c r="H123" s="55">
        <f>'Input - Dairy'!G$59*'Input - Dairy'!G79</f>
        <v>2.75E-2</v>
      </c>
      <c r="I123" s="55">
        <f>'Input - Dairy'!H$59*'Input - Dairy'!H79</f>
        <v>2.75E-2</v>
      </c>
      <c r="J123" s="55">
        <f>'Input - Dairy'!I$59*'Input - Dairy'!I79</f>
        <v>2.75E-2</v>
      </c>
      <c r="K123" s="2"/>
      <c r="O123" s="55" t="str">
        <f>'Input - Dairy'!$D$59</f>
        <v>Milking shed</v>
      </c>
      <c r="P123" s="55" t="str">
        <f>'Input - Dairy'!$D$79</f>
        <v>Sump and dispersal system</v>
      </c>
      <c r="Q123" s="55">
        <f>'Input - Dairy'!E$64*'Input - Dairy'!E79</f>
        <v>2.75E-2</v>
      </c>
      <c r="R123" s="55">
        <f>'Input - Dairy'!F$64*'Input - Dairy'!F79</f>
        <v>2.75E-2</v>
      </c>
      <c r="S123" s="55">
        <f>'Input - Dairy'!G$64*'Input - Dairy'!G79</f>
        <v>2.75E-2</v>
      </c>
      <c r="T123" s="55">
        <f>'Input - Dairy'!H$64*'Input - Dairy'!H79</f>
        <v>2.75E-2</v>
      </c>
      <c r="U123" s="55">
        <f>'Input - Dairy'!I$64*'Input - Dairy'!I79</f>
        <v>2.75E-2</v>
      </c>
      <c r="V123" s="2"/>
    </row>
    <row r="124" spans="4:22" ht="20.100000000000001" customHeight="1" x14ac:dyDescent="0.25">
      <c r="D124" s="55" t="str">
        <f>'Input - Dairy'!$D$59</f>
        <v>Milking shed</v>
      </c>
      <c r="E124" s="55" t="str">
        <f>'Input - Dairy'!$D$80</f>
        <v>Drains to paddock</v>
      </c>
      <c r="F124" s="55">
        <f>'Input - Dairy'!E$59*'Input - Dairy'!E80</f>
        <v>2.75E-2</v>
      </c>
      <c r="G124" s="55">
        <f>'Input - Dairy'!F$59*'Input - Dairy'!F80</f>
        <v>2.75E-2</v>
      </c>
      <c r="H124" s="55">
        <f>'Input - Dairy'!G$59*'Input - Dairy'!G80</f>
        <v>2.75E-2</v>
      </c>
      <c r="I124" s="55">
        <f>'Input - Dairy'!H$59*'Input - Dairy'!H80</f>
        <v>2.75E-2</v>
      </c>
      <c r="J124" s="55">
        <f>'Input - Dairy'!I$59*'Input - Dairy'!I80</f>
        <v>2.75E-2</v>
      </c>
      <c r="K124" s="2"/>
      <c r="O124" s="55" t="str">
        <f>'Input - Dairy'!$D$59</f>
        <v>Milking shed</v>
      </c>
      <c r="P124" s="55" t="str">
        <f>'Input - Dairy'!$D$80</f>
        <v>Drains to paddock</v>
      </c>
      <c r="Q124" s="55">
        <f>'Input - Dairy'!E$64*'Input - Dairy'!E80</f>
        <v>2.75E-2</v>
      </c>
      <c r="R124" s="55">
        <f>'Input - Dairy'!F$64*'Input - Dairy'!F80</f>
        <v>2.75E-2</v>
      </c>
      <c r="S124" s="55">
        <f>'Input - Dairy'!G$64*'Input - Dairy'!G80</f>
        <v>2.75E-2</v>
      </c>
      <c r="T124" s="55">
        <f>'Input - Dairy'!H$64*'Input - Dairy'!H80</f>
        <v>2.75E-2</v>
      </c>
      <c r="U124" s="55">
        <f>'Input - Dairy'!I$64*'Input - Dairy'!I80</f>
        <v>2.75E-2</v>
      </c>
      <c r="V124" s="2"/>
    </row>
    <row r="125" spans="4:22" ht="20.100000000000001" customHeight="1" x14ac:dyDescent="0.25">
      <c r="D125" s="55" t="str">
        <f>'Input - Dairy'!$D$60</f>
        <v>Feed pad</v>
      </c>
      <c r="E125" s="55" t="str">
        <f>'Input - Dairy'!$D$94</f>
        <v>Anaerobic lagoon</v>
      </c>
      <c r="F125" s="55">
        <f>'Input - Dairy'!E$60*'Input - Dairy'!E94</f>
        <v>8.8999999999999996E-2</v>
      </c>
      <c r="G125" s="55">
        <f>'Input - Dairy'!F$60*'Input - Dairy'!F94</f>
        <v>8.8999999999999996E-2</v>
      </c>
      <c r="H125" s="55">
        <f>'Input - Dairy'!G$60*'Input - Dairy'!G94</f>
        <v>8.8999999999999996E-2</v>
      </c>
      <c r="I125" s="55">
        <f>'Input - Dairy'!H$60*'Input - Dairy'!H94</f>
        <v>8.8999999999999996E-2</v>
      </c>
      <c r="J125" s="55">
        <f>'Input - Dairy'!I$60*'Input - Dairy'!I94</f>
        <v>8.8999999999999996E-2</v>
      </c>
      <c r="K125" s="2"/>
      <c r="O125" s="55" t="str">
        <f>'Input - Dairy'!$D$60</f>
        <v>Feed pad</v>
      </c>
      <c r="P125" s="55" t="str">
        <f>'Input - Dairy'!$D$94</f>
        <v>Anaerobic lagoon</v>
      </c>
      <c r="Q125" s="55">
        <f>'Input - Dairy'!E$65*'Input - Dairy'!E94</f>
        <v>8.8999999999999996E-2</v>
      </c>
      <c r="R125" s="55">
        <f>'Input - Dairy'!F$65*'Input - Dairy'!F94</f>
        <v>8.8999999999999996E-2</v>
      </c>
      <c r="S125" s="55">
        <f>'Input - Dairy'!G$65*'Input - Dairy'!G94</f>
        <v>8.8999999999999996E-2</v>
      </c>
      <c r="T125" s="55">
        <f>'Input - Dairy'!H$65*'Input - Dairy'!H94</f>
        <v>8.8999999999999996E-2</v>
      </c>
      <c r="U125" s="55">
        <f>'Input - Dairy'!I$65*'Input - Dairy'!I94</f>
        <v>8.8999999999999996E-2</v>
      </c>
      <c r="V125" s="2"/>
    </row>
    <row r="126" spans="4:22" ht="20.100000000000001" customHeight="1" x14ac:dyDescent="0.25">
      <c r="D126" s="55" t="str">
        <f>'Input - Dairy'!$D$60</f>
        <v>Feed pad</v>
      </c>
      <c r="E126" s="55" t="str">
        <f>'Input - Dairy'!$D$95</f>
        <v>Sump and dispersal system</v>
      </c>
      <c r="F126" s="55">
        <f>'Input - Dairy'!E$60*'Input - Dairy'!E95</f>
        <v>8.8999999999999996E-2</v>
      </c>
      <c r="G126" s="55">
        <f>'Input - Dairy'!F$60*'Input - Dairy'!F95</f>
        <v>8.8999999999999996E-2</v>
      </c>
      <c r="H126" s="55">
        <f>'Input - Dairy'!G$60*'Input - Dairy'!G95</f>
        <v>8.8999999999999996E-2</v>
      </c>
      <c r="I126" s="55">
        <f>'Input - Dairy'!H$60*'Input - Dairy'!H95</f>
        <v>8.8999999999999996E-2</v>
      </c>
      <c r="J126" s="55">
        <f>'Input - Dairy'!I$60*'Input - Dairy'!I95</f>
        <v>8.8999999999999996E-2</v>
      </c>
      <c r="K126" s="2"/>
      <c r="O126" s="55" t="str">
        <f>'Input - Dairy'!$D$60</f>
        <v>Feed pad</v>
      </c>
      <c r="P126" s="55" t="str">
        <f>'Input - Dairy'!$D$95</f>
        <v>Sump and dispersal system</v>
      </c>
      <c r="Q126" s="55">
        <f>'Input - Dairy'!E$65*'Input - Dairy'!E95</f>
        <v>8.8999999999999996E-2</v>
      </c>
      <c r="R126" s="55">
        <f>'Input - Dairy'!F$65*'Input - Dairy'!F95</f>
        <v>8.8999999999999996E-2</v>
      </c>
      <c r="S126" s="55">
        <f>'Input - Dairy'!G$65*'Input - Dairy'!G95</f>
        <v>8.8999999999999996E-2</v>
      </c>
      <c r="T126" s="55">
        <f>'Input - Dairy'!H$65*'Input - Dairy'!H95</f>
        <v>8.8999999999999996E-2</v>
      </c>
      <c r="U126" s="55">
        <f>'Input - Dairy'!I$65*'Input - Dairy'!I95</f>
        <v>8.8999999999999996E-2</v>
      </c>
      <c r="V126" s="2"/>
    </row>
    <row r="127" spans="4:22" ht="20.100000000000001" customHeight="1" x14ac:dyDescent="0.25">
      <c r="D127" s="55" t="str">
        <f>'Input - Dairy'!$D$60</f>
        <v>Feed pad</v>
      </c>
      <c r="E127" s="55" t="str">
        <f>'Input - Dairy'!$D$96</f>
        <v>Drains to paddock</v>
      </c>
      <c r="F127" s="55">
        <f>'Input - Dairy'!E$60*'Input - Dairy'!E96</f>
        <v>8.8999999999999996E-2</v>
      </c>
      <c r="G127" s="55">
        <f>'Input - Dairy'!F$60*'Input - Dairy'!F96</f>
        <v>8.8999999999999996E-2</v>
      </c>
      <c r="H127" s="55">
        <f>'Input - Dairy'!G$60*'Input - Dairy'!G96</f>
        <v>8.8999999999999996E-2</v>
      </c>
      <c r="I127" s="55">
        <f>'Input - Dairy'!H$60*'Input - Dairy'!H96</f>
        <v>8.8999999999999996E-2</v>
      </c>
      <c r="J127" s="55">
        <f>'Input - Dairy'!I$60*'Input - Dairy'!I96</f>
        <v>8.8999999999999996E-2</v>
      </c>
      <c r="K127" s="2"/>
      <c r="O127" s="55" t="str">
        <f>'Input - Dairy'!$D$60</f>
        <v>Feed pad</v>
      </c>
      <c r="P127" s="55" t="str">
        <f>'Input - Dairy'!$D$96</f>
        <v>Drains to paddock</v>
      </c>
      <c r="Q127" s="55">
        <f>'Input - Dairy'!E$65*'Input - Dairy'!E96</f>
        <v>8.8999999999999996E-2</v>
      </c>
      <c r="R127" s="55">
        <f>'Input - Dairy'!F$65*'Input - Dairy'!F96</f>
        <v>8.8999999999999996E-2</v>
      </c>
      <c r="S127" s="55">
        <f>'Input - Dairy'!G$65*'Input - Dairy'!G96</f>
        <v>8.8999999999999996E-2</v>
      </c>
      <c r="T127" s="55">
        <f>'Input - Dairy'!H$65*'Input - Dairy'!H96</f>
        <v>8.8999999999999996E-2</v>
      </c>
      <c r="U127" s="55">
        <f>'Input - Dairy'!I$65*'Input - Dairy'!I96</f>
        <v>8.8999999999999996E-2</v>
      </c>
      <c r="V127" s="2"/>
    </row>
    <row r="128" spans="4:22" ht="20.100000000000001" customHeight="1" x14ac:dyDescent="0.25"/>
    <row r="129" spans="4:22" ht="20.100000000000001" customHeight="1" x14ac:dyDescent="0.25">
      <c r="D129" s="104" t="s">
        <v>254</v>
      </c>
      <c r="O129" s="104" t="s">
        <v>260</v>
      </c>
    </row>
    <row r="130" spans="4:22" ht="20.100000000000001" customHeight="1" x14ac:dyDescent="0.25">
      <c r="D130" s="103" t="s">
        <v>263</v>
      </c>
      <c r="O130" s="103" t="s">
        <v>264</v>
      </c>
    </row>
    <row r="131" spans="4:22" ht="20.100000000000001" customHeight="1" x14ac:dyDescent="0.25">
      <c r="D131" s="41" t="s">
        <v>152</v>
      </c>
      <c r="E131" s="41" t="s">
        <v>69</v>
      </c>
      <c r="F131" s="41" t="s">
        <v>255</v>
      </c>
      <c r="O131" s="41" t="s">
        <v>152</v>
      </c>
      <c r="P131" s="41" t="s">
        <v>69</v>
      </c>
      <c r="Q131" s="41" t="s">
        <v>255</v>
      </c>
    </row>
    <row r="132" spans="4:22" ht="20.100000000000001" customHeight="1" x14ac:dyDescent="0.25">
      <c r="D132" s="55" t="str">
        <f>'Input - Dairy'!$D$58</f>
        <v>Pasture</v>
      </c>
      <c r="E132" s="55" t="str">
        <f>'Constants - Livestock'!$E$27</f>
        <v>Pasture range and paddock</v>
      </c>
      <c r="F132" s="55">
        <v>0</v>
      </c>
      <c r="G132" s="2" t="str">
        <f>$G$116</f>
        <v>fraction</v>
      </c>
      <c r="O132" s="55" t="str">
        <f>'Input - Dairy'!$D$58</f>
        <v>Pasture</v>
      </c>
      <c r="P132" s="55" t="str">
        <f>'Constants - Livestock'!$E$27</f>
        <v>Pasture range and paddock</v>
      </c>
      <c r="Q132" s="55">
        <v>0</v>
      </c>
      <c r="R132" s="2" t="str">
        <f>$G$116</f>
        <v>fraction</v>
      </c>
    </row>
    <row r="133" spans="4:22" ht="20.100000000000001" customHeight="1" x14ac:dyDescent="0.25">
      <c r="D133" s="55" t="str">
        <f>'Input - Dairy'!$D$59</f>
        <v>Milking shed</v>
      </c>
      <c r="E133" s="55" t="str">
        <f>'Input - Dairy'!$D$78</f>
        <v>Anaerobic lagoon</v>
      </c>
      <c r="F133" s="55">
        <f>'Input - Dairy'!$F$72</f>
        <v>0.2</v>
      </c>
      <c r="O133" s="55" t="str">
        <f>'Input - Dairy'!$D$59</f>
        <v>Milking shed</v>
      </c>
      <c r="P133" s="55" t="str">
        <f>'Input - Dairy'!$D$78</f>
        <v>Anaerobic lagoon</v>
      </c>
      <c r="Q133" s="55">
        <f>'Input - Dairy'!$G$72</f>
        <v>0.2</v>
      </c>
      <c r="R133" s="2"/>
    </row>
    <row r="134" spans="4:22" ht="20.100000000000001" customHeight="1" x14ac:dyDescent="0.25">
      <c r="D134" s="55" t="str">
        <f>'Input - Dairy'!$D$59</f>
        <v>Milking shed</v>
      </c>
      <c r="E134" s="55" t="str">
        <f>'Input - Dairy'!$D$79</f>
        <v>Sump and dispersal system</v>
      </c>
      <c r="F134" s="55">
        <f>'Input - Dairy'!$F$73</f>
        <v>0.2</v>
      </c>
      <c r="G134" s="2"/>
      <c r="O134" s="55" t="str">
        <f>'Input - Dairy'!$D$59</f>
        <v>Milking shed</v>
      </c>
      <c r="P134" s="55" t="str">
        <f>'Input - Dairy'!$D$79</f>
        <v>Sump and dispersal system</v>
      </c>
      <c r="Q134" s="55">
        <f>'Input - Dairy'!$G$73</f>
        <v>0.2</v>
      </c>
      <c r="R134" s="2"/>
    </row>
    <row r="135" spans="4:22" ht="20.100000000000001" customHeight="1" x14ac:dyDescent="0.25">
      <c r="D135" s="55" t="str">
        <f>'Input - Dairy'!$D$59</f>
        <v>Milking shed</v>
      </c>
      <c r="E135" s="55" t="str">
        <f>'Input - Dairy'!$D$80</f>
        <v>Drains to paddock</v>
      </c>
      <c r="F135" s="55">
        <f>'Input - Dairy'!$F$74</f>
        <v>0.2</v>
      </c>
      <c r="G135" s="2"/>
      <c r="O135" s="55" t="str">
        <f>'Input - Dairy'!$D$59</f>
        <v>Milking shed</v>
      </c>
      <c r="P135" s="55" t="str">
        <f>'Input - Dairy'!$D$80</f>
        <v>Drains to paddock</v>
      </c>
      <c r="Q135" s="55">
        <f>'Input - Dairy'!$G$74</f>
        <v>0.2</v>
      </c>
      <c r="R135" s="2"/>
    </row>
    <row r="136" spans="4:22" ht="20.100000000000001" customHeight="1" x14ac:dyDescent="0.25">
      <c r="D136" s="55" t="str">
        <f>'Input - Dairy'!$D$60</f>
        <v>Feed pad</v>
      </c>
      <c r="E136" s="55" t="str">
        <f>'Input - Dairy'!$D$94</f>
        <v>Anaerobic lagoon</v>
      </c>
      <c r="F136" s="55">
        <f>'Input - Dairy'!$F$88</f>
        <v>0</v>
      </c>
      <c r="G136" s="2"/>
      <c r="O136" s="55" t="str">
        <f>'Input - Dairy'!$D$60</f>
        <v>Feed pad</v>
      </c>
      <c r="P136" s="55" t="str">
        <f>'Input - Dairy'!$D$94</f>
        <v>Anaerobic lagoon</v>
      </c>
      <c r="Q136" s="55">
        <f>'Input - Dairy'!$G$88</f>
        <v>0</v>
      </c>
      <c r="R136" s="2"/>
    </row>
    <row r="137" spans="4:22" ht="20.100000000000001" customHeight="1" x14ac:dyDescent="0.25">
      <c r="D137" s="55" t="str">
        <f>'Input - Dairy'!$D$60</f>
        <v>Feed pad</v>
      </c>
      <c r="E137" s="55" t="str">
        <f>'Input - Dairy'!$D$95</f>
        <v>Sump and dispersal system</v>
      </c>
      <c r="F137" s="55">
        <f>'Input - Dairy'!$F$89</f>
        <v>0.2</v>
      </c>
      <c r="G137" s="2"/>
      <c r="O137" s="55" t="str">
        <f>'Input - Dairy'!$D$60</f>
        <v>Feed pad</v>
      </c>
      <c r="P137" s="55" t="str">
        <f>'Input - Dairy'!$D$95</f>
        <v>Sump and dispersal system</v>
      </c>
      <c r="Q137" s="55">
        <f>'Input - Dairy'!$G$89</f>
        <v>0.2</v>
      </c>
      <c r="R137" s="2"/>
    </row>
    <row r="138" spans="4:22" ht="20.100000000000001" customHeight="1" x14ac:dyDescent="0.25">
      <c r="D138" s="55" t="str">
        <f>'Input - Dairy'!$D$60</f>
        <v>Feed pad</v>
      </c>
      <c r="E138" s="55" t="str">
        <f>'Input - Dairy'!$D$96</f>
        <v>Drains to paddock</v>
      </c>
      <c r="F138" s="55">
        <f>'Input - Dairy'!$F$90</f>
        <v>0.2</v>
      </c>
      <c r="G138" s="2"/>
      <c r="O138" s="55" t="str">
        <f>'Input - Dairy'!$D$60</f>
        <v>Feed pad</v>
      </c>
      <c r="P138" s="55" t="str">
        <f>'Input - Dairy'!$D$96</f>
        <v>Drains to paddock</v>
      </c>
      <c r="Q138" s="55">
        <f>'Input - Dairy'!$G$90</f>
        <v>0.2</v>
      </c>
      <c r="R138" s="2"/>
    </row>
    <row r="139" spans="4:22" ht="20.100000000000001" customHeight="1" x14ac:dyDescent="0.25"/>
    <row r="140" spans="4:22" ht="20.100000000000001" customHeight="1" x14ac:dyDescent="0.25">
      <c r="D140" s="104" t="s">
        <v>253</v>
      </c>
      <c r="O140" s="104" t="s">
        <v>253</v>
      </c>
    </row>
    <row r="141" spans="4:22" ht="20.100000000000001" customHeight="1" x14ac:dyDescent="0.25">
      <c r="D141" s="103" t="s">
        <v>252</v>
      </c>
      <c r="O141" s="103" t="s">
        <v>252</v>
      </c>
    </row>
    <row r="142" spans="4:22" ht="20.100000000000001" customHeight="1" x14ac:dyDescent="0.25">
      <c r="D142" s="54" t="s">
        <v>152</v>
      </c>
      <c r="E142" s="54" t="s">
        <v>69</v>
      </c>
      <c r="F142" s="54" t="s">
        <v>178</v>
      </c>
      <c r="G142" s="54" t="s">
        <v>195</v>
      </c>
      <c r="H142" s="54" t="s">
        <v>196</v>
      </c>
      <c r="I142" s="54" t="s">
        <v>197</v>
      </c>
      <c r="J142" s="54" t="s">
        <v>198</v>
      </c>
      <c r="O142" s="54" t="s">
        <v>152</v>
      </c>
      <c r="P142" s="54" t="s">
        <v>69</v>
      </c>
      <c r="Q142" s="54" t="s">
        <v>178</v>
      </c>
      <c r="R142" s="54" t="s">
        <v>195</v>
      </c>
      <c r="S142" s="54" t="s">
        <v>196</v>
      </c>
      <c r="T142" s="54" t="s">
        <v>197</v>
      </c>
      <c r="U142" s="54" t="s">
        <v>198</v>
      </c>
    </row>
    <row r="143" spans="4:22" ht="20.100000000000001" customHeight="1" x14ac:dyDescent="0.25">
      <c r="D143" s="55" t="str">
        <f>'Input - Dairy'!$D$58</f>
        <v>Pasture</v>
      </c>
      <c r="E143" s="55" t="str">
        <f>'Constants - Livestock'!$E$27</f>
        <v>Pasture range and paddock</v>
      </c>
      <c r="F143" s="55" cm="1">
        <f t="array" ref="F143">MMS_Dairy_Methane_Equations.VEERG_4_3_1_1__4_FractionVolatileSolidsNotSolidStorage(F121,$F132)</f>
        <v>0.53400000000000003</v>
      </c>
      <c r="G143" s="55" cm="1">
        <f t="array" ref="G143">MMS_Dairy_Methane_Equations.VEERG_4_3_1_1__4_FractionVolatileSolidsNotSolidStorage(G121,$F132)</f>
        <v>0.53400000000000003</v>
      </c>
      <c r="H143" s="55" cm="1">
        <f t="array" ref="H143">MMS_Dairy_Methane_Equations.VEERG_4_3_1_1__4_FractionVolatileSolidsNotSolidStorage(H121,$F132)</f>
        <v>0.53400000000000003</v>
      </c>
      <c r="I143" s="55" cm="1">
        <f t="array" ref="I143">MMS_Dairy_Methane_Equations.VEERG_4_3_1_1__4_FractionVolatileSolidsNotSolidStorage(I121,$F132)</f>
        <v>0.53400000000000003</v>
      </c>
      <c r="J143" s="55" cm="1">
        <f t="array" ref="J143">MMS_Dairy_Methane_Equations.VEERG_4_3_1_1__4_FractionVolatileSolidsNotSolidStorage(J121,$F132)</f>
        <v>0.53400000000000003</v>
      </c>
      <c r="K143" s="2" t="str">
        <f>$E$113</f>
        <v>fraction</v>
      </c>
      <c r="O143" s="55" t="str">
        <f>'Input - Dairy'!$D$58</f>
        <v>Pasture</v>
      </c>
      <c r="P143" s="55" t="str">
        <f>'Constants - Livestock'!$E$27</f>
        <v>Pasture range and paddock</v>
      </c>
      <c r="Q143" s="55" cm="1">
        <f t="array" ref="Q143">MMS_Dairy_Methane_Equations.VEERG_4_3_1_1__4_FractionVolatileSolidsNotSolidStorage(Q121,$Q132)</f>
        <v>0.53400000000000003</v>
      </c>
      <c r="R143" s="55" cm="1">
        <f t="array" ref="R143">MMS_Dairy_Methane_Equations.VEERG_4_3_1_1__4_FractionVolatileSolidsNotSolidStorage(R121,$Q132)</f>
        <v>0.53400000000000003</v>
      </c>
      <c r="S143" s="55" cm="1">
        <f t="array" ref="S143">MMS_Dairy_Methane_Equations.VEERG_4_3_1_1__4_FractionVolatileSolidsNotSolidStorage(S121,$Q132)</f>
        <v>0.53400000000000003</v>
      </c>
      <c r="T143" s="55" cm="1">
        <f t="array" ref="T143">MMS_Dairy_Methane_Equations.VEERG_4_3_1_1__4_FractionVolatileSolidsNotSolidStorage(T121,$Q132)</f>
        <v>0.53400000000000003</v>
      </c>
      <c r="U143" s="55" cm="1">
        <f t="array" ref="U143">MMS_Dairy_Methane_Equations.VEERG_4_3_1_1__4_FractionVolatileSolidsNotSolidStorage(U121,$Q132)</f>
        <v>0.53400000000000003</v>
      </c>
      <c r="V143" s="2" t="str">
        <f t="shared" ref="V143" si="0">$E$113</f>
        <v>fraction</v>
      </c>
    </row>
    <row r="144" spans="4:22" ht="20.100000000000001" customHeight="1" x14ac:dyDescent="0.25">
      <c r="D144" s="55" t="str">
        <f>'Input - Dairy'!$D$59</f>
        <v>Milking shed</v>
      </c>
      <c r="E144" s="55" t="str">
        <f>'Input - Dairy'!$D$78</f>
        <v>Anaerobic lagoon</v>
      </c>
      <c r="F144" s="55" cm="1">
        <f t="array" ref="F144">MMS_Dairy_Methane_Equations.VEERG_4_3_1_1__4_FractionVolatileSolidsNotSolidStorage(F122,$F133)</f>
        <v>2.2000000000000002E-2</v>
      </c>
      <c r="G144" s="55" cm="1">
        <f t="array" ref="G144">MMS_Dairy_Methane_Equations.VEERG_4_3_1_1__4_FractionVolatileSolidsNotSolidStorage(G122,$F133)</f>
        <v>2.2000000000000002E-2</v>
      </c>
      <c r="H144" s="55" cm="1">
        <f t="array" ref="H144">MMS_Dairy_Methane_Equations.VEERG_4_3_1_1__4_FractionVolatileSolidsNotSolidStorage(H122,$F133)</f>
        <v>2.2000000000000002E-2</v>
      </c>
      <c r="I144" s="55" cm="1">
        <f t="array" ref="I144">MMS_Dairy_Methane_Equations.VEERG_4_3_1_1__4_FractionVolatileSolidsNotSolidStorage(I122,$F133)</f>
        <v>2.2000000000000002E-2</v>
      </c>
      <c r="J144" s="55" cm="1">
        <f t="array" ref="J144">MMS_Dairy_Methane_Equations.VEERG_4_3_1_1__4_FractionVolatileSolidsNotSolidStorage(J122,$F133)</f>
        <v>2.2000000000000002E-2</v>
      </c>
      <c r="O144" s="55" t="str">
        <f>'Input - Dairy'!$D$59</f>
        <v>Milking shed</v>
      </c>
      <c r="P144" s="55" t="str">
        <f>'Input - Dairy'!$D$78</f>
        <v>Anaerobic lagoon</v>
      </c>
      <c r="Q144" s="55" cm="1">
        <f t="array" ref="Q144">MMS_Dairy_Methane_Equations.VEERG_4_3_1_1__4_FractionVolatileSolidsNotSolidStorage(Q122,$Q133)</f>
        <v>2.2000000000000002E-2</v>
      </c>
      <c r="R144" s="55" cm="1">
        <f t="array" ref="R144">MMS_Dairy_Methane_Equations.VEERG_4_3_1_1__4_FractionVolatileSolidsNotSolidStorage(R122,$Q133)</f>
        <v>2.2000000000000002E-2</v>
      </c>
      <c r="S144" s="55" cm="1">
        <f t="array" ref="S144">MMS_Dairy_Methane_Equations.VEERG_4_3_1_1__4_FractionVolatileSolidsNotSolidStorage(S122,$Q133)</f>
        <v>2.2000000000000002E-2</v>
      </c>
      <c r="T144" s="55" cm="1">
        <f t="array" ref="T144">MMS_Dairy_Methane_Equations.VEERG_4_3_1_1__4_FractionVolatileSolidsNotSolidStorage(T122,$Q133)</f>
        <v>2.2000000000000002E-2</v>
      </c>
      <c r="U144" s="55" cm="1">
        <f t="array" ref="U144">MMS_Dairy_Methane_Equations.VEERG_4_3_1_1__4_FractionVolatileSolidsNotSolidStorage(U122,$Q133)</f>
        <v>2.2000000000000002E-2</v>
      </c>
    </row>
    <row r="145" spans="1:23" ht="20.100000000000001" customHeight="1" x14ac:dyDescent="0.25">
      <c r="D145" s="55" t="str">
        <f>'Input - Dairy'!$D$59</f>
        <v>Milking shed</v>
      </c>
      <c r="E145" s="55" t="str">
        <f>'Input - Dairy'!$D$79</f>
        <v>Sump and dispersal system</v>
      </c>
      <c r="F145" s="55" cm="1">
        <f t="array" ref="F145">MMS_Dairy_Methane_Equations.VEERG_4_3_1_1__4_FractionVolatileSolidsNotSolidStorage(F123,$F134)</f>
        <v>2.2000000000000002E-2</v>
      </c>
      <c r="G145" s="55" cm="1">
        <f t="array" ref="G145">MMS_Dairy_Methane_Equations.VEERG_4_3_1_1__4_FractionVolatileSolidsNotSolidStorage(G123,$F134)</f>
        <v>2.2000000000000002E-2</v>
      </c>
      <c r="H145" s="55" cm="1">
        <f t="array" ref="H145">MMS_Dairy_Methane_Equations.VEERG_4_3_1_1__4_FractionVolatileSolidsNotSolidStorage(H123,$F134)</f>
        <v>2.2000000000000002E-2</v>
      </c>
      <c r="I145" s="55" cm="1">
        <f t="array" ref="I145">MMS_Dairy_Methane_Equations.VEERG_4_3_1_1__4_FractionVolatileSolidsNotSolidStorage(I123,$F134)</f>
        <v>2.2000000000000002E-2</v>
      </c>
      <c r="J145" s="55" cm="1">
        <f t="array" ref="J145">MMS_Dairy_Methane_Equations.VEERG_4_3_1_1__4_FractionVolatileSolidsNotSolidStorage(J123,$F134)</f>
        <v>2.2000000000000002E-2</v>
      </c>
      <c r="K145" s="2"/>
      <c r="O145" s="55" t="str">
        <f>'Input - Dairy'!$D$59</f>
        <v>Milking shed</v>
      </c>
      <c r="P145" s="55" t="str">
        <f>'Input - Dairy'!$D$79</f>
        <v>Sump and dispersal system</v>
      </c>
      <c r="Q145" s="55" cm="1">
        <f t="array" ref="Q145">MMS_Dairy_Methane_Equations.VEERG_4_3_1_1__4_FractionVolatileSolidsNotSolidStorage(Q123,$Q134)</f>
        <v>2.2000000000000002E-2</v>
      </c>
      <c r="R145" s="55" cm="1">
        <f t="array" ref="R145">MMS_Dairy_Methane_Equations.VEERG_4_3_1_1__4_FractionVolatileSolidsNotSolidStorage(R123,$Q134)</f>
        <v>2.2000000000000002E-2</v>
      </c>
      <c r="S145" s="55" cm="1">
        <f t="array" ref="S145">MMS_Dairy_Methane_Equations.VEERG_4_3_1_1__4_FractionVolatileSolidsNotSolidStorage(S123,$Q134)</f>
        <v>2.2000000000000002E-2</v>
      </c>
      <c r="T145" s="55" cm="1">
        <f t="array" ref="T145">MMS_Dairy_Methane_Equations.VEERG_4_3_1_1__4_FractionVolatileSolidsNotSolidStorage(T123,$Q134)</f>
        <v>2.2000000000000002E-2</v>
      </c>
      <c r="U145" s="55" cm="1">
        <f t="array" ref="U145">MMS_Dairy_Methane_Equations.VEERG_4_3_1_1__4_FractionVolatileSolidsNotSolidStorage(U123,$Q134)</f>
        <v>2.2000000000000002E-2</v>
      </c>
      <c r="V145" s="2"/>
    </row>
    <row r="146" spans="1:23" ht="20.100000000000001" customHeight="1" x14ac:dyDescent="0.25">
      <c r="D146" s="55" t="str">
        <f>'Input - Dairy'!$D$59</f>
        <v>Milking shed</v>
      </c>
      <c r="E146" s="55" t="str">
        <f>'Input - Dairy'!$D$80</f>
        <v>Drains to paddock</v>
      </c>
      <c r="F146" s="55" cm="1">
        <f t="array" ref="F146">MMS_Dairy_Methane_Equations.VEERG_4_3_1_1__4_FractionVolatileSolidsNotSolidStorage(F124,$F135)</f>
        <v>2.2000000000000002E-2</v>
      </c>
      <c r="G146" s="55" cm="1">
        <f t="array" ref="G146">MMS_Dairy_Methane_Equations.VEERG_4_3_1_1__4_FractionVolatileSolidsNotSolidStorage(G124,$F135)</f>
        <v>2.2000000000000002E-2</v>
      </c>
      <c r="H146" s="55" cm="1">
        <f t="array" ref="H146">MMS_Dairy_Methane_Equations.VEERG_4_3_1_1__4_FractionVolatileSolidsNotSolidStorage(H124,$F135)</f>
        <v>2.2000000000000002E-2</v>
      </c>
      <c r="I146" s="55" cm="1">
        <f t="array" ref="I146">MMS_Dairy_Methane_Equations.VEERG_4_3_1_1__4_FractionVolatileSolidsNotSolidStorage(I124,$F135)</f>
        <v>2.2000000000000002E-2</v>
      </c>
      <c r="J146" s="55" cm="1">
        <f t="array" ref="J146">MMS_Dairy_Methane_Equations.VEERG_4_3_1_1__4_FractionVolatileSolidsNotSolidStorage(J124,$F135)</f>
        <v>2.2000000000000002E-2</v>
      </c>
      <c r="K146" s="2"/>
      <c r="O146" s="55" t="str">
        <f>'Input - Dairy'!$D$59</f>
        <v>Milking shed</v>
      </c>
      <c r="P146" s="55" t="str">
        <f>'Input - Dairy'!$D$80</f>
        <v>Drains to paddock</v>
      </c>
      <c r="Q146" s="55" cm="1">
        <f t="array" ref="Q146">MMS_Dairy_Methane_Equations.VEERG_4_3_1_1__4_FractionVolatileSolidsNotSolidStorage(Q124,$Q135)</f>
        <v>2.2000000000000002E-2</v>
      </c>
      <c r="R146" s="55" cm="1">
        <f t="array" ref="R146">MMS_Dairy_Methane_Equations.VEERG_4_3_1_1__4_FractionVolatileSolidsNotSolidStorage(R124,$Q135)</f>
        <v>2.2000000000000002E-2</v>
      </c>
      <c r="S146" s="55" cm="1">
        <f t="array" ref="S146">MMS_Dairy_Methane_Equations.VEERG_4_3_1_1__4_FractionVolatileSolidsNotSolidStorage(S124,$Q135)</f>
        <v>2.2000000000000002E-2</v>
      </c>
      <c r="T146" s="55" cm="1">
        <f t="array" ref="T146">MMS_Dairy_Methane_Equations.VEERG_4_3_1_1__4_FractionVolatileSolidsNotSolidStorage(T124,$Q135)</f>
        <v>2.2000000000000002E-2</v>
      </c>
      <c r="U146" s="55" cm="1">
        <f t="array" ref="U146">MMS_Dairy_Methane_Equations.VEERG_4_3_1_1__4_FractionVolatileSolidsNotSolidStorage(U124,$Q135)</f>
        <v>2.2000000000000002E-2</v>
      </c>
      <c r="V146" s="2"/>
    </row>
    <row r="147" spans="1:23" ht="20.100000000000001" customHeight="1" x14ac:dyDescent="0.25">
      <c r="D147" s="55" t="str">
        <f>'Input - Dairy'!$D$60</f>
        <v>Feed pad</v>
      </c>
      <c r="E147" s="55" t="str">
        <f>'Input - Dairy'!$D$94</f>
        <v>Anaerobic lagoon</v>
      </c>
      <c r="F147" s="55" cm="1">
        <f t="array" ref="F147">MMS_Dairy_Methane_Equations.VEERG_4_3_1_1__4_FractionVolatileSolidsNotSolidStorage(F125,$F136)</f>
        <v>8.8999999999999996E-2</v>
      </c>
      <c r="G147" s="55" cm="1">
        <f t="array" ref="G147">MMS_Dairy_Methane_Equations.VEERG_4_3_1_1__4_FractionVolatileSolidsNotSolidStorage(G125,$F136)</f>
        <v>8.8999999999999996E-2</v>
      </c>
      <c r="H147" s="55" cm="1">
        <f t="array" ref="H147">MMS_Dairy_Methane_Equations.VEERG_4_3_1_1__4_FractionVolatileSolidsNotSolidStorage(H125,$F136)</f>
        <v>8.8999999999999996E-2</v>
      </c>
      <c r="I147" s="55" cm="1">
        <f t="array" ref="I147">MMS_Dairy_Methane_Equations.VEERG_4_3_1_1__4_FractionVolatileSolidsNotSolidStorage(I125,$F136)</f>
        <v>8.8999999999999996E-2</v>
      </c>
      <c r="J147" s="55" cm="1">
        <f t="array" ref="J147">MMS_Dairy_Methane_Equations.VEERG_4_3_1_1__4_FractionVolatileSolidsNotSolidStorage(J125,$F136)</f>
        <v>8.8999999999999996E-2</v>
      </c>
      <c r="K147" s="2"/>
      <c r="O147" s="55" t="str">
        <f>'Input - Dairy'!$D$60</f>
        <v>Feed pad</v>
      </c>
      <c r="P147" s="55" t="str">
        <f>'Input - Dairy'!$D$94</f>
        <v>Anaerobic lagoon</v>
      </c>
      <c r="Q147" s="55" cm="1">
        <f t="array" ref="Q147">MMS_Dairy_Methane_Equations.VEERG_4_3_1_1__4_FractionVolatileSolidsNotSolidStorage(Q125,$Q136)</f>
        <v>8.8999999999999996E-2</v>
      </c>
      <c r="R147" s="55" cm="1">
        <f t="array" ref="R147">MMS_Dairy_Methane_Equations.VEERG_4_3_1_1__4_FractionVolatileSolidsNotSolidStorage(R125,$Q136)</f>
        <v>8.8999999999999996E-2</v>
      </c>
      <c r="S147" s="55" cm="1">
        <f t="array" ref="S147">MMS_Dairy_Methane_Equations.VEERG_4_3_1_1__4_FractionVolatileSolidsNotSolidStorage(S125,$Q136)</f>
        <v>8.8999999999999996E-2</v>
      </c>
      <c r="T147" s="55" cm="1">
        <f t="array" ref="T147">MMS_Dairy_Methane_Equations.VEERG_4_3_1_1__4_FractionVolatileSolidsNotSolidStorage(T125,$Q136)</f>
        <v>8.8999999999999996E-2</v>
      </c>
      <c r="U147" s="55" cm="1">
        <f t="array" ref="U147">MMS_Dairy_Methane_Equations.VEERG_4_3_1_1__4_FractionVolatileSolidsNotSolidStorage(U125,$Q136)</f>
        <v>8.8999999999999996E-2</v>
      </c>
      <c r="V147" s="2"/>
    </row>
    <row r="148" spans="1:23" ht="20.100000000000001" customHeight="1" x14ac:dyDescent="0.25">
      <c r="D148" s="55" t="str">
        <f>'Input - Dairy'!$D$60</f>
        <v>Feed pad</v>
      </c>
      <c r="E148" s="55" t="str">
        <f>'Input - Dairy'!$D$95</f>
        <v>Sump and dispersal system</v>
      </c>
      <c r="F148" s="55" cm="1">
        <f t="array" ref="F148">MMS_Dairy_Methane_Equations.VEERG_4_3_1_1__4_FractionVolatileSolidsNotSolidStorage(F126,$F137)</f>
        <v>7.1199999999999999E-2</v>
      </c>
      <c r="G148" s="55" cm="1">
        <f t="array" ref="G148">MMS_Dairy_Methane_Equations.VEERG_4_3_1_1__4_FractionVolatileSolidsNotSolidStorage(G126,$F137)</f>
        <v>7.1199999999999999E-2</v>
      </c>
      <c r="H148" s="55" cm="1">
        <f t="array" ref="H148">MMS_Dairy_Methane_Equations.VEERG_4_3_1_1__4_FractionVolatileSolidsNotSolidStorage(H126,$F137)</f>
        <v>7.1199999999999999E-2</v>
      </c>
      <c r="I148" s="55" cm="1">
        <f t="array" ref="I148">MMS_Dairy_Methane_Equations.VEERG_4_3_1_1__4_FractionVolatileSolidsNotSolidStorage(I126,$F137)</f>
        <v>7.1199999999999999E-2</v>
      </c>
      <c r="J148" s="55" cm="1">
        <f t="array" ref="J148">MMS_Dairy_Methane_Equations.VEERG_4_3_1_1__4_FractionVolatileSolidsNotSolidStorage(J126,$F137)</f>
        <v>7.1199999999999999E-2</v>
      </c>
      <c r="K148" s="2"/>
      <c r="O148" s="55" t="str">
        <f>'Input - Dairy'!$D$60</f>
        <v>Feed pad</v>
      </c>
      <c r="P148" s="55" t="str">
        <f>'Input - Dairy'!$D$95</f>
        <v>Sump and dispersal system</v>
      </c>
      <c r="Q148" s="55" cm="1">
        <f t="array" ref="Q148">MMS_Dairy_Methane_Equations.VEERG_4_3_1_1__4_FractionVolatileSolidsNotSolidStorage(Q126,$Q137)</f>
        <v>7.1199999999999999E-2</v>
      </c>
      <c r="R148" s="55" cm="1">
        <f t="array" ref="R148">MMS_Dairy_Methane_Equations.VEERG_4_3_1_1__4_FractionVolatileSolidsNotSolidStorage(R126,$Q137)</f>
        <v>7.1199999999999999E-2</v>
      </c>
      <c r="S148" s="55" cm="1">
        <f t="array" ref="S148">MMS_Dairy_Methane_Equations.VEERG_4_3_1_1__4_FractionVolatileSolidsNotSolidStorage(S126,$Q137)</f>
        <v>7.1199999999999999E-2</v>
      </c>
      <c r="T148" s="55" cm="1">
        <f t="array" ref="T148">MMS_Dairy_Methane_Equations.VEERG_4_3_1_1__4_FractionVolatileSolidsNotSolidStorage(T126,$Q137)</f>
        <v>7.1199999999999999E-2</v>
      </c>
      <c r="U148" s="55" cm="1">
        <f t="array" ref="U148">MMS_Dairy_Methane_Equations.VEERG_4_3_1_1__4_FractionVolatileSolidsNotSolidStorage(U126,$Q137)</f>
        <v>7.1199999999999999E-2</v>
      </c>
      <c r="V148" s="2"/>
    </row>
    <row r="149" spans="1:23" ht="20.100000000000001" customHeight="1" x14ac:dyDescent="0.25">
      <c r="D149" s="55" t="str">
        <f>'Input - Dairy'!$D$60</f>
        <v>Feed pad</v>
      </c>
      <c r="E149" s="55" t="str">
        <f>'Input - Dairy'!$D$96</f>
        <v>Drains to paddock</v>
      </c>
      <c r="F149" s="55" cm="1">
        <f t="array" ref="F149">MMS_Dairy_Methane_Equations.VEERG_4_3_1_1__4_FractionVolatileSolidsNotSolidStorage(F127,$F138)</f>
        <v>7.1199999999999999E-2</v>
      </c>
      <c r="G149" s="55" cm="1">
        <f t="array" ref="G149">MMS_Dairy_Methane_Equations.VEERG_4_3_1_1__4_FractionVolatileSolidsNotSolidStorage(G127,$F138)</f>
        <v>7.1199999999999999E-2</v>
      </c>
      <c r="H149" s="55" cm="1">
        <f t="array" ref="H149">MMS_Dairy_Methane_Equations.VEERG_4_3_1_1__4_FractionVolatileSolidsNotSolidStorage(H127,$F138)</f>
        <v>7.1199999999999999E-2</v>
      </c>
      <c r="I149" s="55" cm="1">
        <f t="array" ref="I149">MMS_Dairy_Methane_Equations.VEERG_4_3_1_1__4_FractionVolatileSolidsNotSolidStorage(I127,$F138)</f>
        <v>7.1199999999999999E-2</v>
      </c>
      <c r="J149" s="55" cm="1">
        <f t="array" ref="J149">MMS_Dairy_Methane_Equations.VEERG_4_3_1_1__4_FractionVolatileSolidsNotSolidStorage(J127,$F138)</f>
        <v>7.1199999999999999E-2</v>
      </c>
      <c r="K149" s="2"/>
      <c r="O149" s="55" t="str">
        <f>'Input - Dairy'!$D$60</f>
        <v>Feed pad</v>
      </c>
      <c r="P149" s="55" t="str">
        <f>'Input - Dairy'!$D$96</f>
        <v>Drains to paddock</v>
      </c>
      <c r="Q149" s="55" cm="1">
        <f t="array" ref="Q149">MMS_Dairy_Methane_Equations.VEERG_4_3_1_1__4_FractionVolatileSolidsNotSolidStorage(Q127,$Q138)</f>
        <v>7.1199999999999999E-2</v>
      </c>
      <c r="R149" s="55" cm="1">
        <f t="array" ref="R149">MMS_Dairy_Methane_Equations.VEERG_4_3_1_1__4_FractionVolatileSolidsNotSolidStorage(R127,$Q138)</f>
        <v>7.1199999999999999E-2</v>
      </c>
      <c r="S149" s="55" cm="1">
        <f t="array" ref="S149">MMS_Dairy_Methane_Equations.VEERG_4_3_1_1__4_FractionVolatileSolidsNotSolidStorage(S127,$Q138)</f>
        <v>7.1199999999999999E-2</v>
      </c>
      <c r="T149" s="55" cm="1">
        <f t="array" ref="T149">MMS_Dairy_Methane_Equations.VEERG_4_3_1_1__4_FractionVolatileSolidsNotSolidStorage(T127,$Q138)</f>
        <v>7.1199999999999999E-2</v>
      </c>
      <c r="U149" s="55" cm="1">
        <f t="array" ref="U149">MMS_Dairy_Methane_Equations.VEERG_4_3_1_1__4_FractionVolatileSolidsNotSolidStorage(U127,$Q138)</f>
        <v>7.1199999999999999E-2</v>
      </c>
      <c r="V149" s="2"/>
    </row>
    <row r="150" spans="1:23" ht="20.100000000000001" customHeight="1" x14ac:dyDescent="0.25"/>
    <row r="151" spans="1:23" ht="20.100000000000001" customHeight="1" x14ac:dyDescent="0.25">
      <c r="A151" s="141" t="str">
        <f>HYPERLINK("#A1", "▲ Back to top")</f>
        <v>▲ Back to top</v>
      </c>
    </row>
    <row r="152" spans="1:23" ht="20.100000000000001" customHeight="1" x14ac:dyDescent="0.25">
      <c r="C152" s="48"/>
      <c r="D152" s="48"/>
      <c r="E152" s="48"/>
      <c r="F152" s="48"/>
      <c r="G152" s="48"/>
      <c r="H152" s="48"/>
      <c r="I152" s="48"/>
      <c r="J152" s="48"/>
      <c r="K152" s="48"/>
      <c r="L152" s="48"/>
      <c r="N152" s="48"/>
      <c r="O152" s="48"/>
      <c r="P152" s="48"/>
      <c r="Q152" s="48"/>
      <c r="R152" s="48"/>
      <c r="S152" s="48"/>
      <c r="T152" s="48"/>
      <c r="U152" s="48"/>
      <c r="V152" s="48"/>
      <c r="W152" s="48"/>
    </row>
    <row r="153" spans="1:23" ht="20.100000000000001" customHeight="1" x14ac:dyDescent="0.25">
      <c r="D153" s="6" t="str" cm="1">
        <f t="array" ref="D153">MMS_Dairy_Methane_Equations.VEERG_4_3_1_1__5_FractionVolatileSolidsSolidStorage_Title()</f>
        <v>Fraction of volatile solids in solid storage</v>
      </c>
    </row>
    <row r="154" spans="1:23" ht="20.100000000000001" customHeight="1" x14ac:dyDescent="0.25">
      <c r="D154" s="5" t="str" cm="1">
        <f t="array" ref="D154">MMS_Dairy_Methane_Equations.VEERG_4_3_1_1__5_FractionVolatileSolidsSolidStorage_Source()</f>
        <v>VEERG 2026: 4.3.1.1, Equation (5)</v>
      </c>
    </row>
    <row r="155" spans="1:23" ht="20.100000000000001" customHeight="1" x14ac:dyDescent="0.25">
      <c r="D155" s="58" t="str" cm="1">
        <f t="array" ref="D155">MMS_Dairy_Methane_Equations.VEERG_4_3_1_1__5_FractionVolatileSolidsSolidStorage_Variation()</f>
        <v>Used separate variables for MMS and SS m 1, 7 and 9.</v>
      </c>
    </row>
    <row r="156" spans="1:23" ht="20.100000000000001" customHeight="1" x14ac:dyDescent="0.25">
      <c r="D156" s="13" t="s">
        <v>28</v>
      </c>
      <c r="E156" s="13" t="str" cm="1">
        <f t="array" aca="1" ref="E156" ca="1">Common_InputFunctions.Utility_DisplayFunctionName($F$175)</f>
        <v>=MMS_Dairy_Methane_Equations.VEERG_4_3_1_1__5_FractionVolatileSolidsSolidStorageVariation</v>
      </c>
    </row>
    <row r="157" spans="1:23" ht="20.100000000000001" customHeight="1" x14ac:dyDescent="0.25"/>
    <row r="158" spans="1:23" ht="20.100000000000001" customHeight="1" x14ac:dyDescent="0.25">
      <c r="D158" s="6"/>
    </row>
    <row r="159" spans="1:23" ht="20.100000000000001" customHeight="1" x14ac:dyDescent="0.25">
      <c r="D159" s="56" t="s">
        <v>31</v>
      </c>
      <c r="E159" s="1" t="str" cm="1">
        <f t="array" ref="E159">MMS_Dairy_Methane_Equations.VEERG_4_3_1_1__5_FractionVolatileSolidsSolidStorage_Variable()</f>
        <v>FVS_jm4</v>
      </c>
    </row>
    <row r="160" spans="1:23" ht="20.100000000000001" customHeight="1" x14ac:dyDescent="0.25">
      <c r="D160" s="56" t="s">
        <v>21</v>
      </c>
      <c r="E160" s="57" t="str" cm="1">
        <f t="array" ref="E160">MMS_Dairy_Methane_Equations.VEERG_4_3_1_1__5_FractionVolatileSolidsSolidStorage_Unit()</f>
        <v>fraction</v>
      </c>
    </row>
    <row r="161" spans="4:22" ht="20.100000000000001" customHeight="1" x14ac:dyDescent="0.25"/>
    <row r="162" spans="4:22" ht="20.100000000000001" customHeight="1" x14ac:dyDescent="0.25">
      <c r="D162" s="137" t="str" cm="1">
        <f t="array" ref="D162:E164">_xlfn.CHOOSECOLS(MMS_Dairy_Methane_Equations.VEERG_4_3_1_1__5_FractionVolatileSolidsSolidStorage_Arguments(),1,2)</f>
        <v>MMS_jm4</v>
      </c>
      <c r="E162" s="137" t="str">
        <v>fraction of volatile solids in solid storage before transfer</v>
      </c>
      <c r="F162" s="137"/>
      <c r="G162" s="137" t="str" cm="1">
        <f t="array" ref="G162:H164">_xlfn.CHOOSECOLS(MMS_Dairy_Methane_Equations.VEERG_4_3_1_1__5_FractionVolatileSolidsSolidStorage_Arguments(),3,4)</f>
        <v>fraction</v>
      </c>
      <c r="H162" s="135" t="str">
        <v>Input</v>
      </c>
      <c r="I162" s="134" t="str" cm="1">
        <f t="array" aca="1" ref="I162" ca="1">HYPERLINK(Common_InputFunctions.Utility_SourceHyperlink($D$166),$D$166)</f>
        <v>M1_Table_MMS_j_m-4</v>
      </c>
    </row>
    <row r="163" spans="4:22" ht="20.100000000000001" customHeight="1" x14ac:dyDescent="0.25">
      <c r="D163" s="137" t="str">
        <v>MMS_jm179</v>
      </c>
      <c r="E163" s="137" t="str">
        <v>fraction of volatile solids in MMS m=1,7,9 before transfer</v>
      </c>
      <c r="F163" s="137"/>
      <c r="G163" s="137" t="str">
        <v>fraction</v>
      </c>
      <c r="H163" s="135" t="str">
        <v>Input</v>
      </c>
      <c r="I163" s="134" t="str" cm="1">
        <f t="array" aca="1" ref="I163" ca="1">HYPERLINK(Common_InputFunctions.Utility_SourceHyperlink($D$118),$D$118)</f>
        <v>M1_Table_MMS_j_m</v>
      </c>
    </row>
    <row r="164" spans="4:22" ht="20.100000000000001" customHeight="1" x14ac:dyDescent="0.25">
      <c r="D164" s="137" t="str">
        <v>SS_m</v>
      </c>
      <c r="E164" s="137" t="str">
        <v>fraction of volatile solids separated to solid storage for each MMS</v>
      </c>
      <c r="F164" s="137"/>
      <c r="G164" s="137" t="str">
        <v>fraction</v>
      </c>
      <c r="H164" s="135" t="str">
        <v>Input</v>
      </c>
      <c r="I164" s="134" t="str" cm="1">
        <f t="array" aca="1" ref="I164" ca="1">HYPERLINK(Common_InputFunctions.Utility_SourceHyperlink($D$129),$D$129)</f>
        <v>M1_Table_SS_m</v>
      </c>
    </row>
    <row r="165" spans="4:22" ht="20.100000000000001" customHeight="1" x14ac:dyDescent="0.25"/>
    <row r="166" spans="4:22" ht="20.100000000000001" customHeight="1" x14ac:dyDescent="0.25">
      <c r="D166" s="104" t="s">
        <v>261</v>
      </c>
      <c r="O166" s="104" t="s">
        <v>267</v>
      </c>
    </row>
    <row r="167" spans="4:22" ht="20.100000000000001" customHeight="1" x14ac:dyDescent="0.25">
      <c r="D167" s="103" t="s">
        <v>262</v>
      </c>
      <c r="O167" s="103" t="s">
        <v>268</v>
      </c>
    </row>
    <row r="168" spans="4:22" ht="20.100000000000001" customHeight="1" x14ac:dyDescent="0.25">
      <c r="D168" s="41" t="s">
        <v>152</v>
      </c>
      <c r="E168" s="41" t="s">
        <v>69</v>
      </c>
      <c r="F168" s="41" t="s">
        <v>178</v>
      </c>
      <c r="G168" s="41" t="s">
        <v>195</v>
      </c>
      <c r="H168" s="41" t="s">
        <v>196</v>
      </c>
      <c r="I168" s="41" t="s">
        <v>197</v>
      </c>
      <c r="J168" s="41" t="s">
        <v>198</v>
      </c>
      <c r="O168" s="41" t="s">
        <v>152</v>
      </c>
      <c r="P168" s="41" t="s">
        <v>69</v>
      </c>
      <c r="Q168" s="41" t="s">
        <v>178</v>
      </c>
      <c r="R168" s="41" t="s">
        <v>195</v>
      </c>
      <c r="S168" s="41" t="s">
        <v>196</v>
      </c>
      <c r="T168" s="41" t="s">
        <v>197</v>
      </c>
      <c r="U168" s="41" t="s">
        <v>198</v>
      </c>
    </row>
    <row r="169" spans="4:22" ht="20.100000000000001" customHeight="1" x14ac:dyDescent="0.25">
      <c r="D169" s="55" t="str">
        <f>'Input - Dairy'!$D$59</f>
        <v>Milking shed</v>
      </c>
      <c r="E169" s="55" t="str">
        <f>'Input - Dairy'!$D$81</f>
        <v>Solid storage (before solid separation)</v>
      </c>
      <c r="F169" s="55">
        <f>'Input - Dairy'!E$59*'Input - Dairy'!E81</f>
        <v>2.75E-2</v>
      </c>
      <c r="G169" s="55">
        <f>'Input - Dairy'!F$59*'Input - Dairy'!F81</f>
        <v>2.75E-2</v>
      </c>
      <c r="H169" s="55">
        <f>'Input - Dairy'!G$59*'Input - Dairy'!G81</f>
        <v>2.75E-2</v>
      </c>
      <c r="I169" s="55">
        <f>'Input - Dairy'!H$59*'Input - Dairy'!H81</f>
        <v>2.75E-2</v>
      </c>
      <c r="J169" s="55">
        <f>'Input - Dairy'!I$59*'Input - Dairy'!I81</f>
        <v>2.75E-2</v>
      </c>
      <c r="K169" s="2" t="s">
        <v>101</v>
      </c>
      <c r="O169" s="55" t="str">
        <f>'Input - Dairy'!$D$59</f>
        <v>Milking shed</v>
      </c>
      <c r="P169" s="55" t="str">
        <f>'Input - Dairy'!$D$81</f>
        <v>Solid storage (before solid separation)</v>
      </c>
      <c r="Q169" s="55">
        <f>'Input - Dairy'!E64*'Input - Dairy'!E81</f>
        <v>2.75E-2</v>
      </c>
      <c r="R169" s="55">
        <f>'Input - Dairy'!F64*'Input - Dairy'!F81</f>
        <v>2.75E-2</v>
      </c>
      <c r="S169" s="55">
        <f>'Input - Dairy'!G64*'Input - Dairy'!G81</f>
        <v>2.75E-2</v>
      </c>
      <c r="T169" s="55">
        <f>'Input - Dairy'!H64*'Input - Dairy'!H81</f>
        <v>2.75E-2</v>
      </c>
      <c r="U169" s="55">
        <f>'Input - Dairy'!I64*'Input - Dairy'!I81</f>
        <v>2.75E-2</v>
      </c>
      <c r="V169" s="2" t="s">
        <v>101</v>
      </c>
    </row>
    <row r="170" spans="4:22" ht="20.100000000000001" customHeight="1" x14ac:dyDescent="0.25">
      <c r="D170" s="55" t="str">
        <f>'Input - Dairy'!$D$60</f>
        <v>Feed pad</v>
      </c>
      <c r="E170" s="55" t="str">
        <f>'Input - Dairy'!$D$97</f>
        <v>Solid storage (before solid separation)</v>
      </c>
      <c r="F170" s="55">
        <f>'Input - Dairy'!E60*'Input - Dairy'!E97</f>
        <v>8.8999999999999996E-2</v>
      </c>
      <c r="G170" s="55">
        <f>'Input - Dairy'!F60*'Input - Dairy'!F97</f>
        <v>8.8999999999999996E-2</v>
      </c>
      <c r="H170" s="55">
        <f>'Input - Dairy'!G60*'Input - Dairy'!G97</f>
        <v>8.8999999999999996E-2</v>
      </c>
      <c r="I170" s="55">
        <f>'Input - Dairy'!H60*'Input - Dairy'!H97</f>
        <v>8.8999999999999996E-2</v>
      </c>
      <c r="J170" s="55">
        <f>'Input - Dairy'!I60*'Input - Dairy'!I97</f>
        <v>8.8999999999999996E-2</v>
      </c>
      <c r="K170" s="2" t="s">
        <v>101</v>
      </c>
      <c r="O170" s="55" t="str">
        <f>'Input - Dairy'!$D$60</f>
        <v>Feed pad</v>
      </c>
      <c r="P170" s="55" t="str">
        <f>'Input - Dairy'!$D$97</f>
        <v>Solid storage (before solid separation)</v>
      </c>
      <c r="Q170" s="55">
        <f>'Input - Dairy'!E65*'Input - Dairy'!E97</f>
        <v>8.8999999999999996E-2</v>
      </c>
      <c r="R170" s="55">
        <f>'Input - Dairy'!F65*'Input - Dairy'!F97</f>
        <v>8.8999999999999996E-2</v>
      </c>
      <c r="S170" s="55">
        <f>'Input - Dairy'!G65*'Input - Dairy'!G97</f>
        <v>8.8999999999999996E-2</v>
      </c>
      <c r="T170" s="55">
        <f>'Input - Dairy'!H65*'Input - Dairy'!H97</f>
        <v>8.8999999999999996E-2</v>
      </c>
      <c r="U170" s="55">
        <f>'Input - Dairy'!I65*'Input - Dairy'!I97</f>
        <v>8.8999999999999996E-2</v>
      </c>
      <c r="V170" s="2" t="s">
        <v>101</v>
      </c>
    </row>
    <row r="171" spans="4:22" ht="20.100000000000001" customHeight="1" x14ac:dyDescent="0.25"/>
    <row r="172" spans="4:22" ht="20.100000000000001" customHeight="1" x14ac:dyDescent="0.25">
      <c r="D172" s="104" t="s">
        <v>265</v>
      </c>
      <c r="O172" s="104" t="s">
        <v>269</v>
      </c>
    </row>
    <row r="173" spans="4:22" ht="20.100000000000001" customHeight="1" x14ac:dyDescent="0.25">
      <c r="D173" s="103" t="s">
        <v>266</v>
      </c>
      <c r="O173" s="103" t="s">
        <v>270</v>
      </c>
    </row>
    <row r="174" spans="4:22" ht="20.100000000000001" customHeight="1" x14ac:dyDescent="0.25">
      <c r="D174" s="54" t="s">
        <v>152</v>
      </c>
      <c r="E174" s="54" t="s">
        <v>69</v>
      </c>
      <c r="F174" s="54" t="s">
        <v>178</v>
      </c>
      <c r="G174" s="54" t="s">
        <v>195</v>
      </c>
      <c r="H174" s="54" t="s">
        <v>196</v>
      </c>
      <c r="I174" s="54" t="s">
        <v>197</v>
      </c>
      <c r="J174" s="54" t="s">
        <v>198</v>
      </c>
      <c r="O174" s="54" t="s">
        <v>152</v>
      </c>
      <c r="P174" s="54" t="s">
        <v>69</v>
      </c>
      <c r="Q174" s="54" t="s">
        <v>178</v>
      </c>
      <c r="R174" s="54" t="s">
        <v>195</v>
      </c>
      <c r="S174" s="54" t="s">
        <v>196</v>
      </c>
      <c r="T174" s="54" t="s">
        <v>197</v>
      </c>
      <c r="U174" s="54" t="s">
        <v>198</v>
      </c>
    </row>
    <row r="175" spans="4:22" ht="20.100000000000001" customHeight="1" x14ac:dyDescent="0.25">
      <c r="D175" s="55" t="str">
        <f>'Input - Dairy'!$D$59</f>
        <v>Milking shed</v>
      </c>
      <c r="E175" s="55" t="s">
        <v>418</v>
      </c>
      <c r="F175" s="55" cm="1">
        <f t="array" ref="F175">MMS_Dairy_Methane_Equations.VEERG_4_3_1_1__5_FractionVolatileSolidsSolidStorageVariation(F169,F122,$F133,F123,$F134,F124,$F135)</f>
        <v>4.3999999999999997E-2</v>
      </c>
      <c r="G175" s="55" cm="1">
        <f t="array" ref="G175">MMS_Dairy_Methane_Equations.VEERG_4_3_1_1__5_FractionVolatileSolidsSolidStorageVariation(G169,G122,$F133,G123,$F134,G124,$F135)</f>
        <v>4.3999999999999997E-2</v>
      </c>
      <c r="H175" s="55" cm="1">
        <f t="array" ref="H175">MMS_Dairy_Methane_Equations.VEERG_4_3_1_1__5_FractionVolatileSolidsSolidStorageVariation(H169,H122,$F133,H123,$F134,H124,$F135)</f>
        <v>4.3999999999999997E-2</v>
      </c>
      <c r="I175" s="55" cm="1">
        <f t="array" ref="I175">MMS_Dairy_Methane_Equations.VEERG_4_3_1_1__5_FractionVolatileSolidsSolidStorageVariation(I169,I122,$F133,I123,$F134,I124,$F135)</f>
        <v>4.3999999999999997E-2</v>
      </c>
      <c r="J175" s="55" cm="1">
        <f t="array" ref="J175">MMS_Dairy_Methane_Equations.VEERG_4_3_1_1__5_FractionVolatileSolidsSolidStorageVariation(J169,J122,$F133,J123,$F134,J124,$F135)</f>
        <v>4.3999999999999997E-2</v>
      </c>
      <c r="K175" s="2" t="str">
        <f>$E$160</f>
        <v>fraction</v>
      </c>
      <c r="O175" s="55" t="str">
        <f>'Input - Dairy'!$D$59</f>
        <v>Milking shed</v>
      </c>
      <c r="P175" s="55" t="s">
        <v>418</v>
      </c>
      <c r="Q175" s="55" cm="1">
        <f t="array" ref="Q175">MMS_Dairy_Methane_Equations.VEERG_4_3_1_1__5_FractionVolatileSolidsSolidStorageVariation(Q169,Q122,$Q133,Q123,$Q134,Q124,$Q135)</f>
        <v>4.3999999999999997E-2</v>
      </c>
      <c r="R175" s="55" cm="1">
        <f t="array" ref="R175">MMS_Dairy_Methane_Equations.VEERG_4_3_1_1__5_FractionVolatileSolidsSolidStorageVariation(R169,R122,$Q133,R123,$Q134,R124,$Q135)</f>
        <v>4.3999999999999997E-2</v>
      </c>
      <c r="S175" s="55" cm="1">
        <f t="array" ref="S175">MMS_Dairy_Methane_Equations.VEERG_4_3_1_1__5_FractionVolatileSolidsSolidStorageVariation(S169,S122,$Q133,S123,$Q134,S124,$Q135)</f>
        <v>4.3999999999999997E-2</v>
      </c>
      <c r="T175" s="55" cm="1">
        <f t="array" ref="T175">MMS_Dairy_Methane_Equations.VEERG_4_3_1_1__5_FractionVolatileSolidsSolidStorageVariation(T169,T122,$Q133,T123,$Q134,T124,$Q135)</f>
        <v>4.3999999999999997E-2</v>
      </c>
      <c r="U175" s="55" cm="1">
        <f t="array" ref="U175">MMS_Dairy_Methane_Equations.VEERG_4_3_1_1__5_FractionVolatileSolidsSolidStorageVariation(U169,U122,$Q133,U123,$Q134,U124,$Q135)</f>
        <v>4.3999999999999997E-2</v>
      </c>
      <c r="V175" s="2" t="str">
        <f>$E$160</f>
        <v>fraction</v>
      </c>
    </row>
    <row r="176" spans="4:22" ht="20.100000000000001" customHeight="1" x14ac:dyDescent="0.25">
      <c r="D176" s="55" t="str">
        <f>'Input - Dairy'!$D$60</f>
        <v>Feed pad</v>
      </c>
      <c r="E176" s="55" t="s">
        <v>418</v>
      </c>
      <c r="F176" s="55" cm="1">
        <f t="array" ref="F176">MMS_Dairy_Methane_Equations.VEERG_4_3_1_1__5_FractionVolatileSolidsSolidStorageVariation(F170,F125,$F136,F126,$F137,F127,$F138)</f>
        <v>0.12459999999999999</v>
      </c>
      <c r="G176" s="55" cm="1">
        <f t="array" ref="G176">MMS_Dairy_Methane_Equations.VEERG_4_3_1_1__5_FractionVolatileSolidsSolidStorageVariation(G170,G125,$F136,G126,$F137,G127,$F138)</f>
        <v>0.12459999999999999</v>
      </c>
      <c r="H176" s="55" cm="1">
        <f t="array" ref="H176">MMS_Dairy_Methane_Equations.VEERG_4_3_1_1__5_FractionVolatileSolidsSolidStorageVariation(H170,H125,$F136,H126,$F137,H127,$F138)</f>
        <v>0.12459999999999999</v>
      </c>
      <c r="I176" s="55" cm="1">
        <f t="array" ref="I176">MMS_Dairy_Methane_Equations.VEERG_4_3_1_1__5_FractionVolatileSolidsSolidStorageVariation(I170,I125,$F136,I126,$F137,I127,$F138)</f>
        <v>0.12459999999999999</v>
      </c>
      <c r="J176" s="55" cm="1">
        <f t="array" ref="J176">MMS_Dairy_Methane_Equations.VEERG_4_3_1_1__5_FractionVolatileSolidsSolidStorageVariation(J170,J125,$F136,J126,$F137,J127,$F138)</f>
        <v>0.12459999999999999</v>
      </c>
      <c r="K176" s="2" t="str">
        <f>$E$160</f>
        <v>fraction</v>
      </c>
      <c r="O176" s="55" t="str">
        <f>'Input - Dairy'!$D$60</f>
        <v>Feed pad</v>
      </c>
      <c r="P176" s="55" t="s">
        <v>418</v>
      </c>
      <c r="Q176" s="55" cm="1">
        <f t="array" ref="Q176">MMS_Dairy_Methane_Equations.VEERG_4_3_1_1__5_FractionVolatileSolidsSolidStorageVariation(Q170,Q125,$Q136,Q126,$Q137,Q127,$Q138)</f>
        <v>0.12459999999999999</v>
      </c>
      <c r="R176" s="55" cm="1">
        <f t="array" ref="R176">MMS_Dairy_Methane_Equations.VEERG_4_3_1_1__5_FractionVolatileSolidsSolidStorageVariation(R170,R125,$Q136,R126,$Q137,R127,$Q138)</f>
        <v>0.12459999999999999</v>
      </c>
      <c r="S176" s="55" cm="1">
        <f t="array" ref="S176">MMS_Dairy_Methane_Equations.VEERG_4_3_1_1__5_FractionVolatileSolidsSolidStorageVariation(S170,S125,$Q136,S126,$Q137,S127,$Q138)</f>
        <v>0.12459999999999999</v>
      </c>
      <c r="T176" s="55" cm="1">
        <f t="array" ref="T176">MMS_Dairy_Methane_Equations.VEERG_4_3_1_1__5_FractionVolatileSolidsSolidStorageVariation(T170,T125,$Q136,T126,$Q137,T127,$Q138)</f>
        <v>0.12459999999999999</v>
      </c>
      <c r="U176" s="55" cm="1">
        <f t="array" ref="U176">MMS_Dairy_Methane_Equations.VEERG_4_3_1_1__5_FractionVolatileSolidsSolidStorageVariation(U170,U125,$Q136,U126,$Q137,U127,$Q138)</f>
        <v>0.12459999999999999</v>
      </c>
      <c r="V176" s="2" t="str">
        <f>$E$160</f>
        <v>fraction</v>
      </c>
    </row>
    <row r="177" spans="1:23" ht="20.100000000000001" customHeight="1" x14ac:dyDescent="0.25"/>
    <row r="178" spans="1:23" ht="20.100000000000001" customHeight="1" x14ac:dyDescent="0.25">
      <c r="A178" s="141" t="str">
        <f>HYPERLINK("#A1", "▲ Back to top")</f>
        <v>▲ Back to top</v>
      </c>
    </row>
    <row r="179" spans="1:23" ht="20.100000000000001" customHeight="1" x14ac:dyDescent="0.25">
      <c r="C179" s="48"/>
      <c r="D179" s="48"/>
      <c r="E179" s="48"/>
      <c r="F179" s="48"/>
      <c r="G179" s="48"/>
      <c r="H179" s="48"/>
      <c r="I179" s="48"/>
      <c r="J179" s="48"/>
      <c r="K179" s="48"/>
      <c r="L179" s="48"/>
      <c r="N179" s="48"/>
      <c r="O179" s="48"/>
      <c r="P179" s="48"/>
      <c r="Q179" s="48"/>
      <c r="R179" s="48"/>
      <c r="S179" s="48"/>
      <c r="T179" s="48"/>
      <c r="U179" s="48"/>
      <c r="V179" s="48"/>
      <c r="W179" s="48"/>
    </row>
    <row r="180" spans="1:23" ht="20.100000000000001" customHeight="1" x14ac:dyDescent="0.25">
      <c r="D180" s="6" t="str" cm="1">
        <f t="array" ref="D180">MMS_Dairy_Methane_Equations.VEERG_4_3_1_1__2_MethaneFromManureProduction_Title()</f>
        <v>Methane from manure production from weaned dairy cattle</v>
      </c>
    </row>
    <row r="181" spans="1:23" ht="20.100000000000001" customHeight="1" x14ac:dyDescent="0.25">
      <c r="D181" s="5" t="str" cm="1">
        <f t="array" ref="D181">MMS_Dairy_Methane_Equations.VEERG_4_3_1_1__2_MethaneFromManureProduction_Source()</f>
        <v>VEERG 2026: 4.3.1.1, Equation (2)</v>
      </c>
    </row>
    <row r="182" spans="1:23" ht="20.100000000000001" customHeight="1" x14ac:dyDescent="0.25">
      <c r="D182" s="13" t="s">
        <v>28</v>
      </c>
      <c r="E182" s="13" t="str" cm="1">
        <f t="array" aca="1" ref="E182" ca="1">Common_InputFunctions.Utility_DisplayFunctionName($F$208)</f>
        <v>=MMS_Dairy_Methane_Equations.VEERG_4_3_1_1__2_MethaneFromManureProduction</v>
      </c>
    </row>
    <row r="183" spans="1:23" ht="20.100000000000001" customHeight="1" x14ac:dyDescent="0.25"/>
    <row r="184" spans="1:23" ht="20.100000000000001" customHeight="1" x14ac:dyDescent="0.25">
      <c r="D184" s="6"/>
    </row>
    <row r="185" spans="1:23" ht="20.100000000000001" customHeight="1" x14ac:dyDescent="0.25">
      <c r="D185" s="56" t="s">
        <v>31</v>
      </c>
      <c r="E185" s="1" t="str" cm="1">
        <f t="array" ref="E185">MMS_Dairy_Methane_Equations.VEERG_4_3_1_1__2_MethaneFromManureProduction_Variable()</f>
        <v>M_jm</v>
      </c>
    </row>
    <row r="186" spans="1:23" ht="20.100000000000001" customHeight="1" x14ac:dyDescent="0.25">
      <c r="D186" s="56" t="s">
        <v>21</v>
      </c>
      <c r="E186" s="57" t="str" cm="1">
        <f t="array" ref="E186">MMS_Dairy_Methane_Equations.VEERG_4_3_1_1__2_MethaneFromManureProduction_Unit()</f>
        <v>kg CH4/head/day</v>
      </c>
    </row>
    <row r="187" spans="1:23" ht="20.100000000000001" customHeight="1" x14ac:dyDescent="0.25"/>
    <row r="188" spans="1:23" ht="20.100000000000001" customHeight="1" x14ac:dyDescent="0.25">
      <c r="D188" s="137" t="str" cm="1">
        <f t="array" ref="D188:E193">_xlfn.CHOOSECOLS(MMS_Dairy_Methane_Equations.VEERG_4_3_1_1__2_MethaneFromManureProduction_Arguments(),1,2)</f>
        <v>VS_j</v>
      </c>
      <c r="E188" s="136" t="str">
        <v>daily volatile solids production per head for dairy cattle (kg/head/day)</v>
      </c>
      <c r="F188" s="138"/>
      <c r="G188" s="137" t="str" cm="1">
        <f t="array" ref="G188:H193">_xlfn.CHOOSECOLS(MMS_Dairy_Methane_Equations.VEERG_4_3_1_1__2_MethaneFromManureProduction_Arguments(),3,4)</f>
        <v>kg/head/day</v>
      </c>
      <c r="H188" s="133" t="str">
        <v>Calculated from 4.3.1.1 (3)</v>
      </c>
      <c r="I188" s="134" t="str" cm="1">
        <f t="array" aca="1" ref="I188" ca="1">HYPERLINK(Common_InputFunctions.Utility_SourceHyperlink($D$100),$D$100)</f>
        <v>M1_Table_VS_j</v>
      </c>
      <c r="J188" s="137"/>
      <c r="O188" s="137" t="str" cm="1">
        <f t="array" ref="O188:P193">_xlfn.CHOOSECOLS(MMS_Dairy_Methane_Equations.VEERG_4_3_1_1__2_MethaneFromManureProduction_Arguments_Method2(),1,2)</f>
        <v>VS_j</v>
      </c>
      <c r="P188" s="136" t="str">
        <v>daily volatile solids production per head for dairy cattle (kg/head/day)</v>
      </c>
      <c r="Q188" s="138"/>
      <c r="R188" s="137" t="str" cm="1">
        <f t="array" ref="R188:S193">_xlfn.CHOOSECOLS(MMS_Dairy_Methane_Equations.VEERG_4_3_1_1__2_MethaneFromManureProduction_Arguments_Method2(),3,4)</f>
        <v>kg/head/day</v>
      </c>
      <c r="S188" s="133" t="str">
        <v>Calculated from 4.3.1.1 (3)</v>
      </c>
      <c r="T188" s="137"/>
    </row>
    <row r="189" spans="1:23" ht="20.100000000000001" customHeight="1" x14ac:dyDescent="0.25">
      <c r="D189" s="137" t="str">
        <v>FVS_jmT1</v>
      </c>
      <c r="E189" s="136" t="str">
        <v>fraction of waste from each class in each management system</v>
      </c>
      <c r="F189" s="138"/>
      <c r="G189" s="137" t="str">
        <v>fraction</v>
      </c>
      <c r="H189" s="133" t="str">
        <v>Calculated from 4.3.1.1 (4)(5)</v>
      </c>
      <c r="I189" s="134" t="str" cm="1">
        <f t="array" aca="1" ref="I189" ca="1">HYPERLINK(Common_InputFunctions.Utility_SourceHyperlink($D$140),$D$140)</f>
        <v>M1_Table_FVS_j_m</v>
      </c>
      <c r="J189" s="134" t="str" cm="1">
        <f t="array" aca="1" ref="J189" ca="1">HYPERLINK(Common_InputFunctions.Utility_SourceHyperlink($D$172),$D$172)</f>
        <v>M1_Table_FVS_j_m-4</v>
      </c>
      <c r="O189" s="137" t="str">
        <v>FVS_jmT1</v>
      </c>
      <c r="P189" s="136" t="str">
        <v>fraction of waste from each class in each management system</v>
      </c>
      <c r="Q189" s="138"/>
      <c r="R189" s="137" t="str">
        <v>fraction</v>
      </c>
      <c r="S189" s="133" t="str">
        <v>Calculated from 4.3.1.1 (4)(5)</v>
      </c>
      <c r="T189" s="137"/>
    </row>
    <row r="190" spans="1:23" ht="20.100000000000001" customHeight="1" x14ac:dyDescent="0.25">
      <c r="D190" s="137" t="str">
        <v>MCF_im</v>
      </c>
      <c r="E190" s="136" t="str">
        <v>methane conversion factor for temperature zone and MMS</v>
      </c>
      <c r="F190" s="138"/>
      <c r="G190" s="137" t="str">
        <v>fraction</v>
      </c>
      <c r="H190" s="133" t="str">
        <v>Constant</v>
      </c>
      <c r="I190" s="134" t="str" cm="1">
        <f t="array" aca="1" ref="I190" ca="1">HYPERLINK(Common_InputFunctions.Utility_SourceHyperlink($D$195),$D$195)</f>
        <v>M1_Table_MCF_i_m</v>
      </c>
      <c r="J190" s="137"/>
      <c r="O190" s="137" t="str">
        <v>MCF_im</v>
      </c>
      <c r="P190" s="136" t="str">
        <v>methane conversion factor for temperature zone and MMS</v>
      </c>
      <c r="Q190" s="138"/>
      <c r="R190" s="137" t="str">
        <v>fraction</v>
      </c>
      <c r="S190" s="133" t="str">
        <v>Constant</v>
      </c>
      <c r="T190" s="134" t="str" cm="1">
        <f t="array" aca="1" ref="T190" ca="1">HYPERLINK(Common_InputFunctions.Utility_SourceHyperlink($O$195),$O$195)</f>
        <v>M2_Table_MCF_i_m</v>
      </c>
    </row>
    <row r="191" spans="1:23" ht="20.100000000000001" customHeight="1" x14ac:dyDescent="0.25">
      <c r="D191" s="137" t="str">
        <v>B_o</v>
      </c>
      <c r="E191" s="136" t="str">
        <v>emissions potential (m3 CH4/kgVS)</v>
      </c>
      <c r="F191" s="138"/>
      <c r="G191" s="137" t="str">
        <v>m3 CH4/kgVS</v>
      </c>
      <c r="H191" s="133" t="str">
        <v>Constant</v>
      </c>
      <c r="I191" s="137">
        <f>'Constants - Dairy'!$D$195</f>
        <v>0.24</v>
      </c>
      <c r="J191" s="137"/>
      <c r="O191" s="137" t="str">
        <v>B_o</v>
      </c>
      <c r="P191" s="136" t="str">
        <v>emissions potential (m3 CH4/kgVS)</v>
      </c>
      <c r="Q191" s="138"/>
      <c r="R191" s="137" t="str">
        <v>m3 CH4/kgVS</v>
      </c>
      <c r="S191" s="133" t="str">
        <v>Constant</v>
      </c>
      <c r="T191" s="137"/>
    </row>
    <row r="192" spans="1:23" ht="20.100000000000001" customHeight="1" x14ac:dyDescent="0.25">
      <c r="D192" s="137" t="str">
        <v>rho</v>
      </c>
      <c r="E192" s="136" t="str">
        <v>density of methane (kg/m3)</v>
      </c>
      <c r="F192" s="138"/>
      <c r="G192" s="137" t="str">
        <v>kg/m3</v>
      </c>
      <c r="H192" s="133" t="str">
        <v>Constant</v>
      </c>
      <c r="I192" s="137">
        <f>'Constants - Common'!$D$175</f>
        <v>0.6784</v>
      </c>
      <c r="J192" s="137"/>
      <c r="O192" s="137" t="str">
        <v>rho</v>
      </c>
      <c r="P192" s="136" t="str">
        <v>density of methane (kg/m3)</v>
      </c>
      <c r="Q192" s="138"/>
      <c r="R192" s="137" t="str">
        <v>kg/m3</v>
      </c>
      <c r="S192" s="133" t="str">
        <v>Constant</v>
      </c>
      <c r="T192" s="137"/>
    </row>
    <row r="193" spans="4:22" ht="20.100000000000001" customHeight="1" x14ac:dyDescent="0.25">
      <c r="D193" s="137" t="str">
        <v>i</v>
      </c>
      <c r="E193" s="136" t="str">
        <v>state</v>
      </c>
      <c r="F193" s="138"/>
      <c r="G193" s="137" t="str">
        <v>state</v>
      </c>
      <c r="H193" s="135" t="str">
        <v>Input</v>
      </c>
      <c r="I193" s="137" t="str">
        <f>Common_InputFunctions.Utility_LookupValueInTable('Input - Site'!$E$21, Table_AustralianStates[Common Name],Table_AustralianStates[Abbreviation])</f>
        <v>NSW</v>
      </c>
      <c r="J193" s="137"/>
      <c r="O193" s="137" t="str">
        <v>MAT</v>
      </c>
      <c r="P193" s="136" t="str">
        <v>Mean annual temperature</v>
      </c>
      <c r="Q193" s="138"/>
      <c r="R193" s="137" t="str">
        <v>°C</v>
      </c>
      <c r="S193" s="135" t="str">
        <v>Input</v>
      </c>
      <c r="T193" s="137">
        <f>'Input - Site'!$E$25</f>
        <v>18</v>
      </c>
    </row>
    <row r="194" spans="4:22" ht="20.100000000000001" customHeight="1" x14ac:dyDescent="0.25"/>
    <row r="195" spans="4:22" ht="20.100000000000001" customHeight="1" x14ac:dyDescent="0.25">
      <c r="D195" s="128" t="s">
        <v>271</v>
      </c>
      <c r="O195" s="128" t="s">
        <v>429</v>
      </c>
    </row>
    <row r="196" spans="4:22" ht="20.100000000000001" customHeight="1" x14ac:dyDescent="0.25">
      <c r="D196" s="129" t="s">
        <v>272</v>
      </c>
      <c r="O196" s="129" t="s">
        <v>430</v>
      </c>
    </row>
    <row r="197" spans="4:22" ht="20.100000000000001" customHeight="1" x14ac:dyDescent="0.25">
      <c r="D197" s="54" t="s">
        <v>69</v>
      </c>
      <c r="E197" s="54" t="s">
        <v>100</v>
      </c>
      <c r="O197" s="54" t="s">
        <v>69</v>
      </c>
      <c r="P197" s="54" t="s">
        <v>100</v>
      </c>
    </row>
    <row r="198" spans="4:22" ht="20.100000000000001" customHeight="1" x14ac:dyDescent="0.25">
      <c r="D198" s="60" t="str">
        <f>'Constants - Livestock'!$E$27</f>
        <v>Pasture range and paddock</v>
      </c>
      <c r="E198" s="55" cm="1">
        <f t="array" ref="E198">CommonLivestock_InputFunctions.Livestock_LookupMCFState(D198,Table_SourceData_Dairy_MCFjm[NIR reference],$I$193,Table_SourceData_Dairy_MCFjm[#Headers],Table_SourceData_Dairy_MCFjm[])</f>
        <v>0.01</v>
      </c>
      <c r="O198" s="60" t="str">
        <f>'Constants - Livestock'!$E$27</f>
        <v>Pasture range and paddock</v>
      </c>
      <c r="P198" s="55" cm="1">
        <f t="array" ref="P198">CommonLivestock_InputFunctions.Livestock_LookupMCFState(O198,Table_SourceData_Dairy_MCFjm[NIR reference],$I$193,Table_SourceData_Dairy_MCFjm[#Headers],Table_SourceData_Dairy_MCFjm[])</f>
        <v>0.01</v>
      </c>
      <c r="Q198" s="23" t="s">
        <v>431</v>
      </c>
      <c r="R198" s="23"/>
    </row>
    <row r="199" spans="4:22" ht="20.100000000000001" customHeight="1" x14ac:dyDescent="0.25">
      <c r="D199" s="60" t="str">
        <f>'Constants - Dairy'!$D$8</f>
        <v>Anaerobic lagoon</v>
      </c>
      <c r="E199" s="55" cm="1">
        <f t="array" ref="E199">CommonLivestock_InputFunctions.Livestock_LookupMCFState(D199,Table_SourceData_Dairy_MCFjm[NIR reference],$I$193,Table_SourceData_Dairy_MCFjm[#Headers],Table_SourceData_Dairy_MCFjm[])</f>
        <v>0.76</v>
      </c>
      <c r="O199" s="60" t="str">
        <f>'Constants - Dairy'!$D$8</f>
        <v>Anaerobic lagoon</v>
      </c>
      <c r="P199" s="55" cm="1">
        <f t="array" ref="P199">Common_InputFunctions.Common_GetMCFTemperatureZone($T$193, O199,Table_SourceData_Common_MCFTemperatureZone[MAT raw],Table_SourceData_Common_MCFTemperatureZone[#Headers],Table_SourceData_Common_MCFTemperatureZone[])</f>
        <v>0.77</v>
      </c>
    </row>
    <row r="200" spans="4:22" ht="20.100000000000001" customHeight="1" x14ac:dyDescent="0.25">
      <c r="D200" s="60" t="str">
        <f>'Constants - Dairy'!$D$9</f>
        <v>Sump and dispersal system</v>
      </c>
      <c r="E200" s="55" cm="1">
        <f t="array" ref="E200">CommonLivestock_InputFunctions.Livestock_LookupMCFState(D200,Table_SourceData_Dairy_MCFjm[NIR reference],$I$193,Table_SourceData_Dairy_MCFjm[#Headers],Table_SourceData_Dairy_MCFjm[])</f>
        <v>5.0000000000000001E-3</v>
      </c>
      <c r="O200" s="60" t="str">
        <f>'Constants - Dairy'!$D$9</f>
        <v>Sump and dispersal system</v>
      </c>
      <c r="P200" s="55" cm="1">
        <f t="array" ref="P200">Common_InputFunctions.Common_GetMCFTemperatureZone($T$193, "Daily spread",Table_SourceData_Common_MCFTemperatureZone[MAT raw],Table_SourceData_Common_MCFTemperatureZone[#Headers],Table_SourceData_Common_MCFTemperatureZone[])</f>
        <v>5.0000000000000001E-3</v>
      </c>
      <c r="Q200" s="23" t="s">
        <v>428</v>
      </c>
      <c r="R200" s="23"/>
    </row>
    <row r="201" spans="4:22" ht="20.100000000000001" customHeight="1" x14ac:dyDescent="0.25">
      <c r="D201" s="60" t="str">
        <f>'Constants - Dairy'!$D$10</f>
        <v>Drains to paddock</v>
      </c>
      <c r="E201" s="55" cm="1">
        <f t="array" ref="E201">CommonLivestock_InputFunctions.Livestock_LookupMCFState(D201,Table_SourceData_Dairy_MCFjm[NIR reference],$I$193,Table_SourceData_Dairy_MCFjm[#Headers],Table_SourceData_Dairy_MCFjm[])</f>
        <v>0.18</v>
      </c>
      <c r="O201" s="60" t="str">
        <f>'Constants - Dairy'!$D$10</f>
        <v>Drains to paddock</v>
      </c>
      <c r="P201" s="55" cm="1">
        <f t="array" ref="P201">Common_InputFunctions.Common_GetMCFTemperatureZone($T$193, "Liquid systems",Table_SourceData_Common_MCFTemperatureZone[MAT raw],Table_SourceData_Common_MCFTemperatureZone[#Headers],Table_SourceData_Common_MCFTemperatureZone[])</f>
        <v>0.22</v>
      </c>
      <c r="Q201" s="23" t="s">
        <v>427</v>
      </c>
      <c r="R201" s="23"/>
    </row>
    <row r="202" spans="4:22" ht="20.100000000000001" customHeight="1" x14ac:dyDescent="0.25">
      <c r="D202" s="60" t="str">
        <f>'Constants - Dairy'!$D$11</f>
        <v>Solid storage</v>
      </c>
      <c r="E202" s="55" cm="1">
        <f t="array" ref="E202">CommonLivestock_InputFunctions.Livestock_LookupMCFState(D202,Table_SourceData_Dairy_MCFjm[NIR reference],$I$193,Table_SourceData_Dairy_MCFjm[#Headers],Table_SourceData_Dairy_MCFjm[])</f>
        <v>0.02</v>
      </c>
      <c r="O202" s="60" t="str">
        <f>'Constants - Dairy'!$D$11</f>
        <v>Solid storage</v>
      </c>
      <c r="P202" s="55" cm="1">
        <f t="array" ref="P202">Common_InputFunctions.Common_GetMCFTemperatureZone($T$193, O202,Table_SourceData_Common_MCFTemperatureZone[MAT raw],Table_SourceData_Common_MCFTemperatureZone[#Headers],Table_SourceData_Common_MCFTemperatureZone[])</f>
        <v>0.02</v>
      </c>
    </row>
    <row r="203" spans="4:22" ht="20.100000000000001" customHeight="1" x14ac:dyDescent="0.25"/>
    <row r="204" spans="4:22" ht="20.100000000000001" customHeight="1" x14ac:dyDescent="0.25">
      <c r="D204" s="128" t="s">
        <v>273</v>
      </c>
      <c r="O204" s="128" t="s">
        <v>287</v>
      </c>
    </row>
    <row r="205" spans="4:22" ht="20.100000000000001" customHeight="1" x14ac:dyDescent="0.25">
      <c r="D205" s="129" t="s">
        <v>289</v>
      </c>
      <c r="O205" s="129" t="s">
        <v>288</v>
      </c>
    </row>
    <row r="206" spans="4:22" ht="20.100000000000001" customHeight="1" x14ac:dyDescent="0.25">
      <c r="D206" s="54" t="s">
        <v>152</v>
      </c>
      <c r="E206" s="54" t="s">
        <v>69</v>
      </c>
      <c r="F206" s="54" t="s">
        <v>178</v>
      </c>
      <c r="G206" s="54" t="s">
        <v>195</v>
      </c>
      <c r="H206" s="54" t="s">
        <v>196</v>
      </c>
      <c r="I206" s="54" t="s">
        <v>197</v>
      </c>
      <c r="J206" s="54" t="s">
        <v>198</v>
      </c>
      <c r="O206" s="54" t="s">
        <v>152</v>
      </c>
      <c r="P206" s="54" t="s">
        <v>69</v>
      </c>
      <c r="Q206" s="54" t="s">
        <v>178</v>
      </c>
      <c r="R206" s="54" t="s">
        <v>195</v>
      </c>
      <c r="S206" s="54" t="s">
        <v>196</v>
      </c>
      <c r="T206" s="54" t="s">
        <v>197</v>
      </c>
      <c r="U206" s="54" t="s">
        <v>198</v>
      </c>
    </row>
    <row r="207" spans="4:22" ht="20.100000000000001" customHeight="1" x14ac:dyDescent="0.25">
      <c r="D207" s="55" t="str">
        <f>'Input - Dairy'!$D$58</f>
        <v>Pasture</v>
      </c>
      <c r="E207" s="55" t="str">
        <f>'Constants - Livestock'!$E$27</f>
        <v>Pasture range and paddock</v>
      </c>
      <c r="F207" s="55" cm="1">
        <f t="array" ref="F207">MMS_Dairy_Methane_Equations.VEERG_4_3_1_1__2_MethaneFromManureProduction(D$103,F143,_xlfn.XLOOKUP($E207,$D$198:$D$202,$E$198:$E$202),$I$191,$I$192)</f>
        <v>2.1954907047082822E-3</v>
      </c>
      <c r="G207" s="55" cm="1">
        <f t="array" ref="G207">MMS_Dairy_Methane_Equations.VEERG_4_3_1_1__2_MethaneFromManureProduction(E$103,G143,_xlfn.XLOOKUP($E207,$D$198:$D$202,$E$198:$E$202),$I$191,$I$192)</f>
        <v>1.7209245840165332E-3</v>
      </c>
      <c r="H207" s="55" cm="1">
        <f t="array" ref="H207">MMS_Dairy_Methane_Equations.VEERG_4_3_1_1__2_MethaneFromManureProduction(F$103,H143,_xlfn.XLOOKUP($E207,$D$198:$D$202,$E$198:$E$202),$I$191,$I$192)</f>
        <v>9.3323909012537774E-4</v>
      </c>
      <c r="I207" s="55" cm="1">
        <f t="array" ref="I207">MMS_Dairy_Methane_Equations.VEERG_4_3_1_1__2_MethaneFromManureProduction(G$103,I143,_xlfn.XLOOKUP($E207,$D$198:$D$202,$E$198:$E$202),$I$191,$I$192)</f>
        <v>2.0939609577804406E-3</v>
      </c>
      <c r="J207" s="55" cm="1">
        <f t="array" ref="J207">MMS_Dairy_Methane_Equations.VEERG_4_3_1_1__2_MethaneFromManureProduction(H$103,J143,_xlfn.XLOOKUP($E207,$D$198:$D$202,$E$198:$E$202),$I$191,$I$192)</f>
        <v>1.2559439850690533E-3</v>
      </c>
      <c r="K207" s="2" t="str">
        <f>$E$186</f>
        <v>kg CH4/head/day</v>
      </c>
      <c r="O207" s="55" t="str">
        <f>'Input - Dairy'!$D$58</f>
        <v>Pasture</v>
      </c>
      <c r="P207" s="55" t="str">
        <f>'Constants - Livestock'!$E$27</f>
        <v>Pasture range and paddock</v>
      </c>
      <c r="Q207" s="55" cm="1">
        <f t="array" ref="Q207">MMS_Dairy_Methane_Equations.VEERG_4_3_1_1__2_MethaneFromManureProduction(O$103,Q143,_xlfn.XLOOKUP($P207,$O$198:$O$202,$P$198:$P$202),$I$191,$I$192)</f>
        <v>2.1954907047082822E-3</v>
      </c>
      <c r="R207" s="55" cm="1">
        <f t="array" ref="R207">MMS_Dairy_Methane_Equations.VEERG_4_3_1_1__2_MethaneFromManureProduction(P$103,R143,_xlfn.XLOOKUP($P207,$O$198:$O$202,$P$198:$P$202),$I$191,$I$192)</f>
        <v>1.7209245840165332E-3</v>
      </c>
      <c r="S207" s="55" cm="1">
        <f t="array" ref="S207">MMS_Dairy_Methane_Equations.VEERG_4_3_1_1__2_MethaneFromManureProduction(Q$103,S143,_xlfn.XLOOKUP($P207,$O$198:$O$202,$P$198:$P$202),$I$191,$I$192)</f>
        <v>9.3323909012537774E-4</v>
      </c>
      <c r="T207" s="55" cm="1">
        <f t="array" ref="T207">MMS_Dairy_Methane_Equations.VEERG_4_3_1_1__2_MethaneFromManureProduction(R$103,T143,_xlfn.XLOOKUP($P207,$O$198:$O$202,$P$198:$P$202),$I$191,$I$192)</f>
        <v>2.0939609577804406E-3</v>
      </c>
      <c r="U207" s="55" cm="1">
        <f t="array" ref="U207">MMS_Dairy_Methane_Equations.VEERG_4_3_1_1__2_MethaneFromManureProduction(S$103,U143,_xlfn.XLOOKUP($P207,$O$198:$O$202,$P$198:$P$202),$I$191,$I$192)</f>
        <v>1.2559439850690533E-3</v>
      </c>
      <c r="V207" s="2" t="str">
        <f>$E$186</f>
        <v>kg CH4/head/day</v>
      </c>
    </row>
    <row r="208" spans="4:22" ht="20.100000000000001" customHeight="1" x14ac:dyDescent="0.25">
      <c r="D208" s="55" t="str">
        <f>'Input - Dairy'!$D$59</f>
        <v>Milking shed</v>
      </c>
      <c r="E208" s="55" t="str">
        <f>'Input - Dairy'!$D$78</f>
        <v>Anaerobic lagoon</v>
      </c>
      <c r="F208" s="55" cm="1">
        <f t="array" ref="F208">MMS_Dairy_Methane_Equations.VEERG_4_3_1_1__2_MethaneFromManureProduction(D$103,F144,_xlfn.XLOOKUP($E208,$D$198:$D$202,$E$198:$E$202),$I$191,$I$192)</f>
        <v>6.8742705211090795E-3</v>
      </c>
      <c r="G208" s="55" cm="1">
        <f t="array" ref="G208">MMS_Dairy_Methane_Equations.VEERG_4_3_1_1__2_MethaneFromManureProduction(E$103,G144,_xlfn.XLOOKUP($E208,$D$198:$D$202,$E$198:$E$202),$I$191,$I$192)</f>
        <v>5.3883631169955861E-3</v>
      </c>
      <c r="H208" s="55" cm="1">
        <f t="array" ref="H208">MMS_Dairy_Methane_Equations.VEERG_4_3_1_1__2_MethaneFromManureProduction(F$103,H144,_xlfn.XLOOKUP($E208,$D$198:$D$202,$E$198:$E$202),$I$191,$I$192)</f>
        <v>2.922051982564853E-3</v>
      </c>
      <c r="I208" s="55" cm="1">
        <f t="array" ref="I208">MMS_Dairy_Methane_Equations.VEERG_4_3_1_1__2_MethaneFromManureProduction(G$103,I144,_xlfn.XLOOKUP($E208,$D$198:$D$202,$E$198:$E$202),$I$191,$I$192)</f>
        <v>6.556372137469845E-3</v>
      </c>
      <c r="J208" s="55" cm="1">
        <f t="array" ref="J208">MMS_Dairy_Methane_Equations.VEERG_4_3_1_1__2_MethaneFromManureProduction(H$103,J144,_xlfn.XLOOKUP($E208,$D$198:$D$202,$E$198:$E$202),$I$191,$I$192)</f>
        <v>3.9324688071825046E-3</v>
      </c>
      <c r="O208" s="55" t="str">
        <f>'Input - Dairy'!$D$59</f>
        <v>Milking shed</v>
      </c>
      <c r="P208" s="55" t="str">
        <f>'Input - Dairy'!$D$78</f>
        <v>Anaerobic lagoon</v>
      </c>
      <c r="Q208" s="55" cm="1">
        <f t="array" ref="Q208">MMS_Dairy_Methane_Equations.VEERG_4_3_1_1__2_MethaneFromManureProduction(O$103,Q144,_xlfn.XLOOKUP($P208,$O$198:$O$202,$P$198:$P$202),$I$191,$I$192)</f>
        <v>6.9647214490184094E-3</v>
      </c>
      <c r="R208" s="55" cm="1">
        <f t="array" ref="R208">MMS_Dairy_Methane_Equations.VEERG_4_3_1_1__2_MethaneFromManureProduction(P$103,R144,_xlfn.XLOOKUP($P208,$O$198:$O$202,$P$198:$P$202),$I$191,$I$192)</f>
        <v>5.4592626316928971E-3</v>
      </c>
      <c r="S208" s="55" cm="1">
        <f t="array" ref="S208">MMS_Dairy_Methane_Equations.VEERG_4_3_1_1__2_MethaneFromManureProduction(Q$103,S144,_xlfn.XLOOKUP($P208,$O$198:$O$202,$P$198:$P$202),$I$191,$I$192)</f>
        <v>2.9605000349670215E-3</v>
      </c>
      <c r="T208" s="55" cm="1">
        <f t="array" ref="T208">MMS_Dairy_Methane_Equations.VEERG_4_3_1_1__2_MethaneFromManureProduction(R$103,T144,_xlfn.XLOOKUP($P208,$O$198:$O$202,$P$198:$P$202),$I$191,$I$192)</f>
        <v>6.6426401919102386E-3</v>
      </c>
      <c r="U208" s="55" cm="1">
        <f t="array" ref="U208">MMS_Dairy_Methane_Equations.VEERG_4_3_1_1__2_MethaneFromManureProduction(S$103,U144,_xlfn.XLOOKUP($P208,$O$198:$O$202,$P$198:$P$202),$I$191,$I$192)</f>
        <v>3.9842118178033264E-3</v>
      </c>
    </row>
    <row r="209" spans="1:23" ht="20.100000000000001" customHeight="1" x14ac:dyDescent="0.25">
      <c r="D209" s="55" t="str">
        <f>'Input - Dairy'!$D$59</f>
        <v>Milking shed</v>
      </c>
      <c r="E209" s="55" t="str">
        <f>'Input - Dairy'!$D$79</f>
        <v>Sump and dispersal system</v>
      </c>
      <c r="F209" s="55" cm="1">
        <f t="array" ref="F209">MMS_Dairy_Methane_Equations.VEERG_4_3_1_1__2_MethaneFromManureProduction(D$103,F145,_xlfn.XLOOKUP($E209,$D$198:$D$202,$E$198:$E$202),$I$191,$I$192)</f>
        <v>4.5225463954664985E-5</v>
      </c>
      <c r="G209" s="55" cm="1">
        <f t="array" ref="G209">MMS_Dairy_Methane_Equations.VEERG_4_3_1_1__2_MethaneFromManureProduction(E$103,G145,_xlfn.XLOOKUP($E209,$D$198:$D$202,$E$198:$E$202),$I$191,$I$192)</f>
        <v>3.5449757348655176E-5</v>
      </c>
      <c r="H209" s="55" cm="1">
        <f t="array" ref="H209">MMS_Dairy_Methane_Equations.VEERG_4_3_1_1__2_MethaneFromManureProduction(F$103,H145,_xlfn.XLOOKUP($E209,$D$198:$D$202,$E$198:$E$202),$I$191,$I$192)</f>
        <v>1.9224026201084556E-5</v>
      </c>
      <c r="I209" s="55" cm="1">
        <f t="array" ref="I209">MMS_Dairy_Methane_Equations.VEERG_4_3_1_1__2_MethaneFromManureProduction(G$103,I145,_xlfn.XLOOKUP($E209,$D$198:$D$202,$E$198:$E$202),$I$191,$I$192)</f>
        <v>4.313402722019635E-5</v>
      </c>
      <c r="J209" s="55" cm="1">
        <f t="array" ref="J209">MMS_Dairy_Methane_Equations.VEERG_4_3_1_1__2_MethaneFromManureProduction(H$103,J145,_xlfn.XLOOKUP($E209,$D$198:$D$202,$E$198:$E$202),$I$191,$I$192)</f>
        <v>2.587150531041121E-5</v>
      </c>
      <c r="K209" s="2"/>
      <c r="O209" s="55" t="str">
        <f>'Input - Dairy'!$D$59</f>
        <v>Milking shed</v>
      </c>
      <c r="P209" s="55" t="str">
        <f>'Input - Dairy'!$D$79</f>
        <v>Sump and dispersal system</v>
      </c>
      <c r="Q209" s="55" cm="1">
        <f t="array" ref="Q209">MMS_Dairy_Methane_Equations.VEERG_4_3_1_1__2_MethaneFromManureProduction(O$103,Q145,_xlfn.XLOOKUP($P209,$O$198:$O$202,$P$198:$P$202),$I$191,$I$192)</f>
        <v>4.5225463954664985E-5</v>
      </c>
      <c r="R209" s="55" cm="1">
        <f t="array" ref="R209">MMS_Dairy_Methane_Equations.VEERG_4_3_1_1__2_MethaneFromManureProduction(P$103,R145,_xlfn.XLOOKUP($P209,$O$198:$O$202,$P$198:$P$202),$I$191,$I$192)</f>
        <v>3.5449757348655176E-5</v>
      </c>
      <c r="S209" s="55" cm="1">
        <f t="array" ref="S209">MMS_Dairy_Methane_Equations.VEERG_4_3_1_1__2_MethaneFromManureProduction(Q$103,S145,_xlfn.XLOOKUP($P209,$O$198:$O$202,$P$198:$P$202),$I$191,$I$192)</f>
        <v>1.9224026201084556E-5</v>
      </c>
      <c r="T209" s="55" cm="1">
        <f t="array" ref="T209">MMS_Dairy_Methane_Equations.VEERG_4_3_1_1__2_MethaneFromManureProduction(R$103,T145,_xlfn.XLOOKUP($P209,$O$198:$O$202,$P$198:$P$202),$I$191,$I$192)</f>
        <v>4.313402722019635E-5</v>
      </c>
      <c r="U209" s="55" cm="1">
        <f t="array" ref="U209">MMS_Dairy_Methane_Equations.VEERG_4_3_1_1__2_MethaneFromManureProduction(S$103,U145,_xlfn.XLOOKUP($P209,$O$198:$O$202,$P$198:$P$202),$I$191,$I$192)</f>
        <v>2.587150531041121E-5</v>
      </c>
      <c r="V209" s="2"/>
    </row>
    <row r="210" spans="1:23" ht="20.100000000000001" customHeight="1" x14ac:dyDescent="0.25">
      <c r="D210" s="55" t="str">
        <f>'Input - Dairy'!$D$59</f>
        <v>Milking shed</v>
      </c>
      <c r="E210" s="55" t="str">
        <f>'Input - Dairy'!$D$80</f>
        <v>Drains to paddock</v>
      </c>
      <c r="F210" s="55" cm="1">
        <f t="array" ref="F210">MMS_Dairy_Methane_Equations.VEERG_4_3_1_1__2_MethaneFromManureProduction(D$103,F146,_xlfn.XLOOKUP($E210,$D$198:$D$202,$E$198:$E$202),$I$191,$I$192)</f>
        <v>1.6281167023679398E-3</v>
      </c>
      <c r="G210" s="55" cm="1">
        <f t="array" ref="G210">MMS_Dairy_Methane_Equations.VEERG_4_3_1_1__2_MethaneFromManureProduction(E$103,G146,_xlfn.XLOOKUP($E210,$D$198:$D$202,$E$198:$E$202),$I$191,$I$192)</f>
        <v>1.2761912645515865E-3</v>
      </c>
      <c r="H210" s="55" cm="1">
        <f t="array" ref="H210">MMS_Dairy_Methane_Equations.VEERG_4_3_1_1__2_MethaneFromManureProduction(F$103,H146,_xlfn.XLOOKUP($E210,$D$198:$D$202,$E$198:$E$202),$I$191,$I$192)</f>
        <v>6.9206494323904399E-4</v>
      </c>
      <c r="I210" s="55" cm="1">
        <f t="array" ref="I210">MMS_Dairy_Methane_Equations.VEERG_4_3_1_1__2_MethaneFromManureProduction(G$103,I146,_xlfn.XLOOKUP($E210,$D$198:$D$202,$E$198:$E$202),$I$191,$I$192)</f>
        <v>1.5528249799270685E-3</v>
      </c>
      <c r="J210" s="55" cm="1">
        <f t="array" ref="J210">MMS_Dairy_Methane_Equations.VEERG_4_3_1_1__2_MethaneFromManureProduction(H$103,J146,_xlfn.XLOOKUP($E210,$D$198:$D$202,$E$198:$E$202),$I$191,$I$192)</f>
        <v>9.3137419117480342E-4</v>
      </c>
      <c r="K210" s="2"/>
      <c r="O210" s="55" t="str">
        <f>'Input - Dairy'!$D$59</f>
        <v>Milking shed</v>
      </c>
      <c r="P210" s="55" t="str">
        <f>'Input - Dairy'!$D$80</f>
        <v>Drains to paddock</v>
      </c>
      <c r="Q210" s="55" cm="1">
        <f t="array" ref="Q210">MMS_Dairy_Methane_Equations.VEERG_4_3_1_1__2_MethaneFromManureProduction(O$103,Q146,_xlfn.XLOOKUP($P210,$O$198:$O$202,$P$198:$P$202),$I$191,$I$192)</f>
        <v>1.9899204140052598E-3</v>
      </c>
      <c r="R210" s="55" cm="1">
        <f t="array" ref="R210">MMS_Dairy_Methane_Equations.VEERG_4_3_1_1__2_MethaneFromManureProduction(P$103,R146,_xlfn.XLOOKUP($P210,$O$198:$O$202,$P$198:$P$202),$I$191,$I$192)</f>
        <v>1.5597893233408276E-3</v>
      </c>
      <c r="S210" s="55" cm="1">
        <f t="array" ref="S210">MMS_Dairy_Methane_Equations.VEERG_4_3_1_1__2_MethaneFromManureProduction(Q$103,S146,_xlfn.XLOOKUP($P210,$O$198:$O$202,$P$198:$P$202),$I$191,$I$192)</f>
        <v>8.4585715284772047E-4</v>
      </c>
      <c r="T210" s="55" cm="1">
        <f t="array" ref="T210">MMS_Dairy_Methane_Equations.VEERG_4_3_1_1__2_MethaneFromManureProduction(R$103,T146,_xlfn.XLOOKUP($P210,$O$198:$O$202,$P$198:$P$202),$I$191,$I$192)</f>
        <v>1.8978971976886393E-3</v>
      </c>
      <c r="U210" s="55" cm="1">
        <f t="array" ref="U210">MMS_Dairy_Methane_Equations.VEERG_4_3_1_1__2_MethaneFromManureProduction(S$103,U146,_xlfn.XLOOKUP($P210,$O$198:$O$202,$P$198:$P$202),$I$191,$I$192)</f>
        <v>1.1383462336580932E-3</v>
      </c>
      <c r="V210" s="2"/>
    </row>
    <row r="211" spans="1:23" ht="20.100000000000001" customHeight="1" x14ac:dyDescent="0.25">
      <c r="D211" s="55" t="str">
        <f>'Input - Dairy'!$D$59</f>
        <v>Milking shed</v>
      </c>
      <c r="E211" s="55" t="s">
        <v>418</v>
      </c>
      <c r="F211" s="55" cm="1">
        <f t="array" ref="F211">MMS_Dairy_Methane_Equations.VEERG_4_3_1_1__2_MethaneFromManureProduction(D$103,F175,_xlfn.XLOOKUP($E211,$D$198:$D$202,$E$198:$E$202),$I$191,$I$192)</f>
        <v>3.6180371163731982E-4</v>
      </c>
      <c r="G211" s="55" cm="1">
        <f t="array" ref="G211">MMS_Dairy_Methane_Equations.VEERG_4_3_1_1__2_MethaneFromManureProduction(E$103,G175,_xlfn.XLOOKUP($E211,$D$198:$D$202,$E$198:$E$202),$I$191,$I$192)</f>
        <v>2.8359805878924141E-4</v>
      </c>
      <c r="H211" s="55" cm="1">
        <f t="array" ref="H211">MMS_Dairy_Methane_Equations.VEERG_4_3_1_1__2_MethaneFromManureProduction(F$103,H175,_xlfn.XLOOKUP($E211,$D$198:$D$202,$E$198:$E$202),$I$191,$I$192)</f>
        <v>1.5379220960867642E-4</v>
      </c>
      <c r="I211" s="55" cm="1">
        <f t="array" ref="I211">MMS_Dairy_Methane_Equations.VEERG_4_3_1_1__2_MethaneFromManureProduction(G$103,I175,_xlfn.XLOOKUP($E211,$D$198:$D$202,$E$198:$E$202),$I$191,$I$192)</f>
        <v>3.4507221776157069E-4</v>
      </c>
      <c r="J211" s="55" cm="1">
        <f t="array" ref="J211">MMS_Dairy_Methane_Equations.VEERG_4_3_1_1__2_MethaneFromManureProduction(H$103,J175,_xlfn.XLOOKUP($E211,$D$198:$D$202,$E$198:$E$202),$I$191,$I$192)</f>
        <v>2.0697204248328968E-4</v>
      </c>
      <c r="K211" s="2"/>
      <c r="O211" s="55" t="str">
        <f>'Input - Dairy'!$D$59</f>
        <v>Milking shed</v>
      </c>
      <c r="P211" s="55" t="s">
        <v>418</v>
      </c>
      <c r="Q211" s="55" cm="1">
        <f t="array" ref="Q211">MMS_Dairy_Methane_Equations.VEERG_4_3_1_1__2_MethaneFromManureProduction(O$103,Q175,_xlfn.XLOOKUP($P211,$O$198:$O$202,$P$198:$P$202),$I$191,$I$192)</f>
        <v>3.6180371163731982E-4</v>
      </c>
      <c r="R211" s="55" cm="1">
        <f t="array" ref="R211">MMS_Dairy_Methane_Equations.VEERG_4_3_1_1__2_MethaneFromManureProduction(P$103,R175,_xlfn.XLOOKUP($P211,$O$198:$O$202,$P$198:$P$202),$I$191,$I$192)</f>
        <v>2.8359805878924141E-4</v>
      </c>
      <c r="S211" s="55" cm="1">
        <f t="array" ref="S211">MMS_Dairy_Methane_Equations.VEERG_4_3_1_1__2_MethaneFromManureProduction(Q$103,S175,_xlfn.XLOOKUP($P211,$O$198:$O$202,$P$198:$P$202),$I$191,$I$192)</f>
        <v>1.5379220960867642E-4</v>
      </c>
      <c r="T211" s="55" cm="1">
        <f t="array" ref="T211">MMS_Dairy_Methane_Equations.VEERG_4_3_1_1__2_MethaneFromManureProduction(R$103,T175,_xlfn.XLOOKUP($P211,$O$198:$O$202,$P$198:$P$202),$I$191,$I$192)</f>
        <v>3.4507221776157069E-4</v>
      </c>
      <c r="U211" s="55" cm="1">
        <f t="array" ref="U211">MMS_Dairy_Methane_Equations.VEERG_4_3_1_1__2_MethaneFromManureProduction(S$103,U175,_xlfn.XLOOKUP($P211,$O$198:$O$202,$P$198:$P$202),$I$191,$I$192)</f>
        <v>2.0697204248328968E-4</v>
      </c>
      <c r="V211" s="2"/>
    </row>
    <row r="212" spans="1:23" ht="20.100000000000001" customHeight="1" x14ac:dyDescent="0.25">
      <c r="D212" s="55" t="str">
        <f>'Input - Dairy'!$D$60</f>
        <v>Feed pad</v>
      </c>
      <c r="E212" s="55" t="str">
        <f>'Input - Dairy'!$D$94</f>
        <v>Anaerobic lagoon</v>
      </c>
      <c r="F212" s="55" cm="1">
        <f t="array" ref="F212">MMS_Dairy_Methane_Equations.VEERG_4_3_1_1__2_MethaneFromManureProduction(D$103,F147,_xlfn.XLOOKUP($E212,$D$198:$D$202,$E$198:$E$202),$I$191,$I$192)</f>
        <v>2.7809548926304904E-2</v>
      </c>
      <c r="G212" s="55" cm="1">
        <f t="array" ref="G212">MMS_Dairy_Methane_Equations.VEERG_4_3_1_1__2_MethaneFromManureProduction(E$103,G147,_xlfn.XLOOKUP($E212,$D$198:$D$202,$E$198:$E$202),$I$191,$I$192)</f>
        <v>2.1798378064209416E-2</v>
      </c>
      <c r="H212" s="55" cm="1">
        <f t="array" ref="H212">MMS_Dairy_Methane_Equations.VEERG_4_3_1_1__2_MethaneFromManureProduction(F$103,H147,_xlfn.XLOOKUP($E212,$D$198:$D$202,$E$198:$E$202),$I$191,$I$192)</f>
        <v>1.1821028474921448E-2</v>
      </c>
      <c r="I212" s="55" cm="1">
        <f t="array" ref="I212">MMS_Dairy_Methane_Equations.VEERG_4_3_1_1__2_MethaneFromManureProduction(G$103,I147,_xlfn.XLOOKUP($E212,$D$198:$D$202,$E$198:$E$202),$I$191,$I$192)</f>
        <v>2.6523505465218911E-2</v>
      </c>
      <c r="J212" s="55" cm="1">
        <f t="array" ref="J212">MMS_Dairy_Methane_Equations.VEERG_4_3_1_1__2_MethaneFromManureProduction(H$103,J147,_xlfn.XLOOKUP($E212,$D$198:$D$202,$E$198:$E$202),$I$191,$I$192)</f>
        <v>1.5908623810874673E-2</v>
      </c>
      <c r="K212" s="2"/>
      <c r="O212" s="55" t="str">
        <f>'Input - Dairy'!$D$60</f>
        <v>Feed pad</v>
      </c>
      <c r="P212" s="55" t="str">
        <f>'Input - Dairy'!$D$94</f>
        <v>Anaerobic lagoon</v>
      </c>
      <c r="Q212" s="55" cm="1">
        <f t="array" ref="Q212">MMS_Dairy_Methane_Equations.VEERG_4_3_1_1__2_MethaneFromManureProduction(O$103,Q147,_xlfn.XLOOKUP($P212,$O$198:$O$202,$P$198:$P$202),$I$191,$I$192)</f>
        <v>2.8175464043756288E-2</v>
      </c>
      <c r="R212" s="55" cm="1">
        <f t="array" ref="R212">MMS_Dairy_Methane_Equations.VEERG_4_3_1_1__2_MethaneFromManureProduction(P$103,R147,_xlfn.XLOOKUP($P212,$O$198:$O$202,$P$198:$P$202),$I$191,$I$192)</f>
        <v>2.2085198828212176E-2</v>
      </c>
      <c r="S212" s="55" cm="1">
        <f t="array" ref="S212">MMS_Dairy_Methane_Equations.VEERG_4_3_1_1__2_MethaneFromManureProduction(Q$103,S147,_xlfn.XLOOKUP($P212,$O$198:$O$202,$P$198:$P$202),$I$191,$I$192)</f>
        <v>1.197656832327568E-2</v>
      </c>
      <c r="T212" s="55" cm="1">
        <f t="array" ref="T212">MMS_Dairy_Methane_Equations.VEERG_4_3_1_1__2_MethaneFromManureProduction(R$103,T147,_xlfn.XLOOKUP($P212,$O$198:$O$202,$P$198:$P$202),$I$191,$I$192)</f>
        <v>2.687249895818232E-2</v>
      </c>
      <c r="U212" s="55" cm="1">
        <f t="array" ref="U212">MMS_Dairy_Methane_Equations.VEERG_4_3_1_1__2_MethaneFromManureProduction(S$103,U147,_xlfn.XLOOKUP($P212,$O$198:$O$202,$P$198:$P$202),$I$191,$I$192)</f>
        <v>1.6117947808386185E-2</v>
      </c>
      <c r="V212" s="2"/>
    </row>
    <row r="213" spans="1:23" ht="20.100000000000001" customHeight="1" x14ac:dyDescent="0.25">
      <c r="D213" s="55" t="str">
        <f>'Input - Dairy'!$D$60</f>
        <v>Feed pad</v>
      </c>
      <c r="E213" s="55" t="str">
        <f>'Input - Dairy'!$D$95</f>
        <v>Sump and dispersal system</v>
      </c>
      <c r="F213" s="55" cm="1">
        <f t="array" ref="F213">MMS_Dairy_Methane_Equations.VEERG_4_3_1_1__2_MethaneFromManureProduction(D$103,F148,_xlfn.XLOOKUP($E213,$D$198:$D$202,$E$198:$E$202),$I$191,$I$192)</f>
        <v>1.4636604698055217E-4</v>
      </c>
      <c r="G213" s="55" cm="1">
        <f t="array" ref="G213">MMS_Dairy_Methane_Equations.VEERG_4_3_1_1__2_MethaneFromManureProduction(E$103,G148,_xlfn.XLOOKUP($E213,$D$198:$D$202,$E$198:$E$202),$I$191,$I$192)</f>
        <v>1.1472830560110218E-4</v>
      </c>
      <c r="H213" s="55" cm="1">
        <f t="array" ref="H213">MMS_Dairy_Methane_Equations.VEERG_4_3_1_1__2_MethaneFromManureProduction(F$103,H148,_xlfn.XLOOKUP($E213,$D$198:$D$202,$E$198:$E$202),$I$191,$I$192)</f>
        <v>6.2215939341691832E-5</v>
      </c>
      <c r="I213" s="55" cm="1">
        <f t="array" ref="I213">MMS_Dairy_Methane_Equations.VEERG_4_3_1_1__2_MethaneFromManureProduction(G$103,I148,_xlfn.XLOOKUP($E213,$D$198:$D$202,$E$198:$E$202),$I$191,$I$192)</f>
        <v>1.3959739718536268E-4</v>
      </c>
      <c r="J213" s="55" cm="1">
        <f t="array" ref="J213">MMS_Dairy_Methane_Equations.VEERG_4_3_1_1__2_MethaneFromManureProduction(H$103,J148,_xlfn.XLOOKUP($E213,$D$198:$D$202,$E$198:$E$202),$I$191,$I$192)</f>
        <v>8.3729599004603552E-5</v>
      </c>
      <c r="K213" s="2"/>
      <c r="O213" s="55" t="str">
        <f>'Input - Dairy'!$D$60</f>
        <v>Feed pad</v>
      </c>
      <c r="P213" s="55" t="str">
        <f>'Input - Dairy'!$D$95</f>
        <v>Sump and dispersal system</v>
      </c>
      <c r="Q213" s="55" cm="1">
        <f t="array" ref="Q213">MMS_Dairy_Methane_Equations.VEERG_4_3_1_1__2_MethaneFromManureProduction(O$103,Q148,_xlfn.XLOOKUP($P213,$O$198:$O$202,$P$198:$P$202),$I$191,$I$192)</f>
        <v>1.4636604698055217E-4</v>
      </c>
      <c r="R213" s="55" cm="1">
        <f t="array" ref="R213">MMS_Dairy_Methane_Equations.VEERG_4_3_1_1__2_MethaneFromManureProduction(P$103,R148,_xlfn.XLOOKUP($P213,$O$198:$O$202,$P$198:$P$202),$I$191,$I$192)</f>
        <v>1.1472830560110218E-4</v>
      </c>
      <c r="S213" s="55" cm="1">
        <f t="array" ref="S213">MMS_Dairy_Methane_Equations.VEERG_4_3_1_1__2_MethaneFromManureProduction(Q$103,S148,_xlfn.XLOOKUP($P213,$O$198:$O$202,$P$198:$P$202),$I$191,$I$192)</f>
        <v>6.2215939341691832E-5</v>
      </c>
      <c r="T213" s="55" cm="1">
        <f t="array" ref="T213">MMS_Dairy_Methane_Equations.VEERG_4_3_1_1__2_MethaneFromManureProduction(R$103,T148,_xlfn.XLOOKUP($P213,$O$198:$O$202,$P$198:$P$202),$I$191,$I$192)</f>
        <v>1.3959739718536268E-4</v>
      </c>
      <c r="U213" s="55" cm="1">
        <f t="array" ref="U213">MMS_Dairy_Methane_Equations.VEERG_4_3_1_1__2_MethaneFromManureProduction(S$103,U148,_xlfn.XLOOKUP($P213,$O$198:$O$202,$P$198:$P$202),$I$191,$I$192)</f>
        <v>8.3729599004603552E-5</v>
      </c>
      <c r="V213" s="2"/>
    </row>
    <row r="214" spans="1:23" ht="20.100000000000001" customHeight="1" x14ac:dyDescent="0.25">
      <c r="D214" s="55" t="str">
        <f>'Input - Dairy'!$D$60</f>
        <v>Feed pad</v>
      </c>
      <c r="E214" s="55" t="str">
        <f>'Input - Dairy'!$D$96</f>
        <v>Drains to paddock</v>
      </c>
      <c r="F214" s="55" cm="1">
        <f t="array" ref="F214">MMS_Dairy_Methane_Equations.VEERG_4_3_1_1__2_MethaneFromManureProduction(D$103,F149,_xlfn.XLOOKUP($E214,$D$198:$D$202,$E$198:$E$202),$I$191,$I$192)</f>
        <v>5.2691776912998757E-3</v>
      </c>
      <c r="G214" s="55" cm="1">
        <f t="array" ref="G214">MMS_Dairy_Methane_Equations.VEERG_4_3_1_1__2_MethaneFromManureProduction(E$103,G149,_xlfn.XLOOKUP($E214,$D$198:$D$202,$E$198:$E$202),$I$191,$I$192)</f>
        <v>4.1302190016396789E-3</v>
      </c>
      <c r="H214" s="55" cm="1">
        <f t="array" ref="H214">MMS_Dairy_Methane_Equations.VEERG_4_3_1_1__2_MethaneFromManureProduction(F$103,H149,_xlfn.XLOOKUP($E214,$D$198:$D$202,$E$198:$E$202),$I$191,$I$192)</f>
        <v>2.2397738163009058E-3</v>
      </c>
      <c r="I214" s="55" cm="1">
        <f t="array" ref="I214">MMS_Dairy_Methane_Equations.VEERG_4_3_1_1__2_MethaneFromManureProduction(G$103,I149,_xlfn.XLOOKUP($E214,$D$198:$D$202,$E$198:$E$202),$I$191,$I$192)</f>
        <v>5.0255062986730567E-3</v>
      </c>
      <c r="J214" s="55" cm="1">
        <f t="array" ref="J214">MMS_Dairy_Methane_Equations.VEERG_4_3_1_1__2_MethaneFromManureProduction(H$103,J149,_xlfn.XLOOKUP($E214,$D$198:$D$202,$E$198:$E$202),$I$191,$I$192)</f>
        <v>3.0142655641657275E-3</v>
      </c>
      <c r="K214" s="2"/>
      <c r="O214" s="55" t="str">
        <f>'Input - Dairy'!$D$60</f>
        <v>Feed pad</v>
      </c>
      <c r="P214" s="55" t="str">
        <f>'Input - Dairy'!$D$96</f>
        <v>Drains to paddock</v>
      </c>
      <c r="Q214" s="55" cm="1">
        <f t="array" ref="Q214">MMS_Dairy_Methane_Equations.VEERG_4_3_1_1__2_MethaneFromManureProduction(O$103,Q149,_xlfn.XLOOKUP($P214,$O$198:$O$202,$P$198:$P$202),$I$191,$I$192)</f>
        <v>6.4401060671442937E-3</v>
      </c>
      <c r="R214" s="55" cm="1">
        <f t="array" ref="R214">MMS_Dairy_Methane_Equations.VEERG_4_3_1_1__2_MethaneFromManureProduction(P$103,R149,_xlfn.XLOOKUP($P214,$O$198:$O$202,$P$198:$P$202),$I$191,$I$192)</f>
        <v>5.0480454464484964E-3</v>
      </c>
      <c r="S214" s="55" cm="1">
        <f t="array" ref="S214">MMS_Dairy_Methane_Equations.VEERG_4_3_1_1__2_MethaneFromManureProduction(Q$103,S149,_xlfn.XLOOKUP($P214,$O$198:$O$202,$P$198:$P$202),$I$191,$I$192)</f>
        <v>2.7375013310344406E-3</v>
      </c>
      <c r="T214" s="55" cm="1">
        <f t="array" ref="T214">MMS_Dairy_Methane_Equations.VEERG_4_3_1_1__2_MethaneFromManureProduction(R$103,T149,_xlfn.XLOOKUP($P214,$O$198:$O$202,$P$198:$P$202),$I$191,$I$192)</f>
        <v>6.1422854761559592E-3</v>
      </c>
      <c r="U214" s="55" cm="1">
        <f t="array" ref="U214">MMS_Dairy_Methane_Equations.VEERG_4_3_1_1__2_MethaneFromManureProduction(S$103,U149,_xlfn.XLOOKUP($P214,$O$198:$O$202,$P$198:$P$202),$I$191,$I$192)</f>
        <v>3.684102356202556E-3</v>
      </c>
      <c r="V214" s="2"/>
    </row>
    <row r="215" spans="1:23" ht="20.100000000000001" customHeight="1" x14ac:dyDescent="0.25">
      <c r="D215" s="55" t="str">
        <f>'Input - Dairy'!$D$60</f>
        <v>Feed pad</v>
      </c>
      <c r="E215" s="55" t="s">
        <v>418</v>
      </c>
      <c r="F215" s="55" cm="1">
        <f t="array" ref="F215">MMS_Dairy_Methane_Equations.VEERG_4_3_1_1__2_MethaneFromManureProduction(D$103,F176,_xlfn.XLOOKUP($E215,$D$198:$D$202,$E$198:$E$202),$I$191,$I$192)</f>
        <v>1.0245623288638649E-3</v>
      </c>
      <c r="G215" s="55" cm="1">
        <f t="array" ref="G215">MMS_Dairy_Methane_Equations.VEERG_4_3_1_1__2_MethaneFromManureProduction(E$103,G176,_xlfn.XLOOKUP($E215,$D$198:$D$202,$E$198:$E$202),$I$191,$I$192)</f>
        <v>8.0309813920771526E-4</v>
      </c>
      <c r="H215" s="55" cm="1">
        <f t="array" ref="H215">MMS_Dairy_Methane_Equations.VEERG_4_3_1_1__2_MethaneFromManureProduction(F$103,H176,_xlfn.XLOOKUP($E215,$D$198:$D$202,$E$198:$E$202),$I$191,$I$192)</f>
        <v>4.3551157539184287E-4</v>
      </c>
      <c r="I215" s="55" cm="1">
        <f t="array" ref="I215">MMS_Dairy_Methane_Equations.VEERG_4_3_1_1__2_MethaneFromManureProduction(G$103,I176,_xlfn.XLOOKUP($E215,$D$198:$D$202,$E$198:$E$202),$I$191,$I$192)</f>
        <v>9.7718178029753897E-4</v>
      </c>
      <c r="J215" s="55" cm="1">
        <f t="array" ref="J215">MMS_Dairy_Methane_Equations.VEERG_4_3_1_1__2_MethaneFromManureProduction(H$103,J176,_xlfn.XLOOKUP($E215,$D$198:$D$202,$E$198:$E$202),$I$191,$I$192)</f>
        <v>5.8610719303222485E-4</v>
      </c>
      <c r="K215" s="2"/>
      <c r="O215" s="55" t="str">
        <f>'Input - Dairy'!$D$60</f>
        <v>Feed pad</v>
      </c>
      <c r="P215" s="55" t="s">
        <v>418</v>
      </c>
      <c r="Q215" s="55" cm="1">
        <f t="array" ref="Q215">MMS_Dairy_Methane_Equations.VEERG_4_3_1_1__2_MethaneFromManureProduction(O$103,Q176,_xlfn.XLOOKUP($P215,$O$198:$O$202,$P$198:$P$202),$I$191,$I$192)</f>
        <v>1.0245623288638649E-3</v>
      </c>
      <c r="R215" s="55" cm="1">
        <f t="array" ref="R215">MMS_Dairy_Methane_Equations.VEERG_4_3_1_1__2_MethaneFromManureProduction(P$103,R176,_xlfn.XLOOKUP($P215,$O$198:$O$202,$P$198:$P$202),$I$191,$I$192)</f>
        <v>8.0309813920771526E-4</v>
      </c>
      <c r="S215" s="55" cm="1">
        <f t="array" ref="S215">MMS_Dairy_Methane_Equations.VEERG_4_3_1_1__2_MethaneFromManureProduction(Q$103,S176,_xlfn.XLOOKUP($P215,$O$198:$O$202,$P$198:$P$202),$I$191,$I$192)</f>
        <v>4.3551157539184287E-4</v>
      </c>
      <c r="T215" s="55" cm="1">
        <f t="array" ref="T215">MMS_Dairy_Methane_Equations.VEERG_4_3_1_1__2_MethaneFromManureProduction(R$103,T176,_xlfn.XLOOKUP($P215,$O$198:$O$202,$P$198:$P$202),$I$191,$I$192)</f>
        <v>9.7718178029753897E-4</v>
      </c>
      <c r="U215" s="55" cm="1">
        <f t="array" ref="U215">MMS_Dairy_Methane_Equations.VEERG_4_3_1_1__2_MethaneFromManureProduction(S$103,U176,_xlfn.XLOOKUP($P215,$O$198:$O$202,$P$198:$P$202),$I$191,$I$192)</f>
        <v>5.8610719303222485E-4</v>
      </c>
      <c r="V215" s="2"/>
    </row>
    <row r="216" spans="1:23" ht="20.100000000000001" customHeight="1" x14ac:dyDescent="0.25"/>
    <row r="217" spans="1:23" ht="20.100000000000001" customHeight="1" x14ac:dyDescent="0.25">
      <c r="A217" s="141" t="str">
        <f>HYPERLINK("#A1", "▲ Back to top")</f>
        <v>▲ Back to top</v>
      </c>
    </row>
    <row r="218" spans="1:23" ht="20.100000000000001" customHeight="1" x14ac:dyDescent="0.25">
      <c r="C218" s="48"/>
      <c r="D218" s="48"/>
      <c r="E218" s="48"/>
      <c r="F218" s="48"/>
      <c r="G218" s="48"/>
      <c r="H218" s="48"/>
      <c r="I218" s="48"/>
      <c r="J218" s="48"/>
      <c r="K218" s="48"/>
      <c r="L218" s="48"/>
      <c r="N218" s="48"/>
      <c r="O218" s="48"/>
      <c r="P218" s="48"/>
      <c r="Q218" s="48"/>
      <c r="R218" s="48"/>
      <c r="S218" s="48"/>
      <c r="T218" s="48"/>
      <c r="U218" s="48"/>
      <c r="V218" s="48"/>
      <c r="W218" s="48"/>
    </row>
    <row r="219" spans="1:23" ht="20.100000000000001" customHeight="1" x14ac:dyDescent="0.25">
      <c r="D219" s="6" t="str" cm="1">
        <f t="array" ref="D219">MMS_Dairy_Methane_Equations.VEERG_4_3_1_1__1_TotalAnnualMethaneFromManureManagement_Title()</f>
        <v>Total annual methane production from manure management</v>
      </c>
    </row>
    <row r="220" spans="1:23" ht="20.100000000000001" customHeight="1" x14ac:dyDescent="0.25">
      <c r="D220" s="5" t="str" cm="1">
        <f t="array" ref="D220">MMS_Dairy_Methane_Equations.VEERG_4_3_1_1__1_TotalAnnualMethaneFromManureManagement_Source()</f>
        <v>VEERG 2026: 4.3.1.1, Equation (1)</v>
      </c>
    </row>
    <row r="221" spans="1:23" ht="20.100000000000001" customHeight="1" x14ac:dyDescent="0.25">
      <c r="D221" s="58" t="str" cm="1">
        <f t="array" ref="D221">MMS_Dairy_Methane_Equations.VEERG_4_3_1_1__1_TotalAnnualMethaneFromManureManagement_Variation()</f>
        <v>VARIATION: Used separate variable for duration of stay on farm for pre-weaned heifer and bull calves.</v>
      </c>
    </row>
    <row r="222" spans="1:23" ht="20.100000000000001" customHeight="1" x14ac:dyDescent="0.25">
      <c r="D222" s="13" t="s">
        <v>28</v>
      </c>
      <c r="E222" s="13" t="str" cm="1">
        <f t="array" aca="1" ref="E222" ca="1">Common_InputFunctions.Utility_DisplayFunctionName($F$261)</f>
        <v>=MMS_Dairy_Methane_Equations.VEERG_4_3_1_1__1_TotalAnnualMethaneFromManureManagementVariation</v>
      </c>
    </row>
    <row r="223" spans="1:23" ht="20.100000000000001" customHeight="1" x14ac:dyDescent="0.25">
      <c r="D223" s="6"/>
    </row>
    <row r="224" spans="1:23" ht="20.100000000000001" customHeight="1" x14ac:dyDescent="0.25">
      <c r="D224" s="6"/>
    </row>
    <row r="225" spans="4:10" ht="20.100000000000001" customHeight="1" x14ac:dyDescent="0.25">
      <c r="D225" s="56" t="s">
        <v>31</v>
      </c>
      <c r="E225" s="1" t="str" cm="1">
        <f t="array" ref="E225">MMS_Dairy_Methane_Equations.VEERG_4_3_1_1__1_TotalAnnualMethaneFromManureManagement_Variable()</f>
        <v>E_CH4</v>
      </c>
    </row>
    <row r="226" spans="4:10" ht="20.100000000000001" customHeight="1" x14ac:dyDescent="0.25">
      <c r="D226" s="56" t="s">
        <v>21</v>
      </c>
      <c r="E226" s="57" t="str" cm="1">
        <f t="array" ref="E226">MMS_Dairy_Methane_Equations.VEERG_4_3_1_1__1_TotalAnnualMethaneFromManureManagement_Unit()</f>
        <v>t CH4</v>
      </c>
    </row>
    <row r="227" spans="4:10" ht="20.100000000000001" customHeight="1" x14ac:dyDescent="0.25"/>
    <row r="228" spans="4:10" ht="20.100000000000001" customHeight="1" x14ac:dyDescent="0.25">
      <c r="D228" s="137" t="str" cm="1">
        <f t="array" ref="D228:E235">_xlfn.CHOOSECOLS(MMS_Dairy_Methane_Equations.VEERG_4_3_1_1__1_TotalAnnualMethaneFromManureManagement_Arguments(),1,2)</f>
        <v>N_j124</v>
      </c>
      <c r="E228" s="136" t="str">
        <v>number of dairy cattle in classes j=1,2,4</v>
      </c>
      <c r="F228" s="142"/>
      <c r="G228" s="138"/>
      <c r="H228" s="137" t="str" cm="1">
        <f t="array" ref="H228:I235">_xlfn.CHOOSECOLS(MMS_Dairy_Methane_Equations.VEERG_4_3_1_1__1_TotalAnnualMethaneFromManureManagement_Arguments(),3,4)</f>
        <v>head</v>
      </c>
      <c r="I228" s="135" t="str">
        <v>Input</v>
      </c>
      <c r="J228" s="134" t="str" cm="1">
        <f t="array" aca="1" ref="J228" ca="1">HYPERLINK(Common_InputFunctions.Utility_SourceHyperlink($D$237),$D$237)</f>
        <v>Table_N_j</v>
      </c>
    </row>
    <row r="229" spans="4:10" ht="20.100000000000001" customHeight="1" x14ac:dyDescent="0.25">
      <c r="D229" s="137" t="str">
        <v>M_j124m</v>
      </c>
      <c r="E229" s="136" t="str">
        <v>methane production from manure of weaned dairy cattle in classes j=1,2,4 in MMS m</v>
      </c>
      <c r="F229" s="142"/>
      <c r="G229" s="138"/>
      <c r="H229" s="137" t="str">
        <v>kg CH4/head/day</v>
      </c>
      <c r="I229" s="133" t="str">
        <v>Calculated from 4.3.1.1 (2)</v>
      </c>
      <c r="J229" s="134" t="str" cm="1">
        <f t="array" aca="1" ref="J229" ca="1">HYPERLINK(Common_InputFunctions.Utility_SourceHyperlink($D$204),$D$204)</f>
        <v>M1_M_j_m</v>
      </c>
    </row>
    <row r="230" spans="4:10" ht="20.100000000000001" customHeight="1" x14ac:dyDescent="0.25">
      <c r="D230" s="137" t="str">
        <v>D_j124</v>
      </c>
      <c r="E230" s="136" t="str">
        <v>duration of stay on farm for classes j=1,2,4</v>
      </c>
      <c r="F230" s="142"/>
      <c r="G230" s="138"/>
      <c r="H230" s="137" t="str">
        <v>days</v>
      </c>
      <c r="I230" s="135" t="str">
        <v>Input</v>
      </c>
      <c r="J230" s="134" t="str" cm="1">
        <f t="array" aca="1" ref="J230" ca="1">HYPERLINK(Common_InputFunctions.Utility_SourceHyperlink($D$242),$D$242)</f>
        <v>M1_Table_D_j</v>
      </c>
    </row>
    <row r="231" spans="4:10" ht="20.100000000000001" customHeight="1" x14ac:dyDescent="0.25">
      <c r="D231" s="137" t="str">
        <v>N_j35</v>
      </c>
      <c r="E231" s="136" t="str">
        <v>number of dairy cattle in classes j=3,5</v>
      </c>
      <c r="F231" s="142"/>
      <c r="G231" s="138"/>
      <c r="H231" s="137" t="str">
        <v>head</v>
      </c>
      <c r="I231" s="135" t="str">
        <v>Input</v>
      </c>
      <c r="J231" s="134" t="str" cm="1">
        <f t="array" aca="1" ref="J231" ca="1">HYPERLINK(Common_InputFunctions.Utility_SourceHyperlink($D$237),$D$237)</f>
        <v>Table_N_j</v>
      </c>
    </row>
    <row r="232" spans="4:10" ht="20.100000000000001" customHeight="1" x14ac:dyDescent="0.25">
      <c r="D232" s="137" t="str">
        <v>M_j35m</v>
      </c>
      <c r="E232" s="136" t="str">
        <v>methane production from manure of weaned dairy cattle in classes j=3,5 in MMS m</v>
      </c>
      <c r="F232" s="142"/>
      <c r="G232" s="138"/>
      <c r="H232" s="137" t="str">
        <v>kg CH4/head/day</v>
      </c>
      <c r="I232" s="133" t="str">
        <v>Calculated from 4.3.1.1 (2)</v>
      </c>
      <c r="J232" s="134" t="str" cm="1">
        <f t="array" aca="1" ref="J232" ca="1">HYPERLINK(Common_InputFunctions.Utility_SourceHyperlink($D$204),$D$204)</f>
        <v>M1_M_j_m</v>
      </c>
    </row>
    <row r="233" spans="4:10" ht="20.100000000000001" customHeight="1" x14ac:dyDescent="0.25">
      <c r="D233" s="137" t="str">
        <v>D_j35</v>
      </c>
      <c r="E233" s="136" t="str">
        <v>duration of stay on farm for classes j=3,5</v>
      </c>
      <c r="F233" s="142"/>
      <c r="G233" s="138"/>
      <c r="H233" s="137" t="str">
        <v>days</v>
      </c>
      <c r="I233" s="135" t="str">
        <v>Input</v>
      </c>
      <c r="J233" s="134" t="str" cm="1">
        <f t="array" aca="1" ref="J233" ca="1">HYPERLINK(Common_InputFunctions.Utility_SourceHyperlink($D$242),$D$242)</f>
        <v>M1_Table_D_j</v>
      </c>
    </row>
    <row r="234" spans="4:10" ht="20.100000000000001" customHeight="1" x14ac:dyDescent="0.25">
      <c r="D234" s="137" t="str">
        <v>MPW_manure_j35</v>
      </c>
      <c r="E234" s="136" t="str">
        <v>methane production from manure of pre-weaned heifer and bull calves</v>
      </c>
      <c r="F234" s="142"/>
      <c r="G234" s="138"/>
      <c r="H234" s="137" t="str">
        <v>kg CH4/head/day</v>
      </c>
      <c r="I234" s="133" t="str">
        <v>Constant</v>
      </c>
      <c r="J234" s="134" t="str" cm="1">
        <f t="array" aca="1" ref="J234" ca="1">HYPERLINK(Common_InputFunctions.Utility_SourceHyperlink($D$247),$D$247)</f>
        <v>Table_MPW_manure_j-3-5</v>
      </c>
    </row>
    <row r="235" spans="4:10" ht="20.100000000000001" customHeight="1" x14ac:dyDescent="0.25">
      <c r="D235" s="137" t="str">
        <v>DPW_j35</v>
      </c>
      <c r="E235" s="136" t="str">
        <v>duration of stay on farm for pre-weaned heifer and bull calves</v>
      </c>
      <c r="F235" s="142"/>
      <c r="G235" s="138"/>
      <c r="H235" s="137" t="str">
        <v>days</v>
      </c>
      <c r="I235" s="135" t="str">
        <v>Input</v>
      </c>
      <c r="J235" s="134" t="str" cm="1">
        <f t="array" aca="1" ref="J235" ca="1">HYPERLINK(Common_InputFunctions.Utility_SourceHyperlink($D$252),$D$252)</f>
        <v>M1_Table_DPW_j</v>
      </c>
    </row>
    <row r="236" spans="4:10" ht="20.100000000000001" customHeight="1" x14ac:dyDescent="0.25"/>
    <row r="237" spans="4:10" ht="20.100000000000001" customHeight="1" x14ac:dyDescent="0.25">
      <c r="D237" s="104" t="s">
        <v>109</v>
      </c>
    </row>
    <row r="238" spans="4:10" ht="20.100000000000001" customHeight="1" x14ac:dyDescent="0.25">
      <c r="D238" s="103" t="s">
        <v>274</v>
      </c>
    </row>
    <row r="239" spans="4:10" ht="20.100000000000001" customHeight="1" x14ac:dyDescent="0.25">
      <c r="D239" s="41" t="s">
        <v>178</v>
      </c>
      <c r="E239" s="41" t="s">
        <v>195</v>
      </c>
      <c r="F239" s="41" t="s">
        <v>196</v>
      </c>
      <c r="G239" s="41" t="s">
        <v>197</v>
      </c>
      <c r="H239" s="41" t="s">
        <v>198</v>
      </c>
    </row>
    <row r="240" spans="4:10" ht="20.100000000000001" customHeight="1" x14ac:dyDescent="0.25">
      <c r="D240" s="107">
        <f>'Input - Dairy'!$E$10</f>
        <v>100</v>
      </c>
      <c r="E240" s="107">
        <f>'Input - Dairy'!$F$10</f>
        <v>100</v>
      </c>
      <c r="F240" s="107">
        <f>'Input - Dairy'!$G$10</f>
        <v>100</v>
      </c>
      <c r="G240" s="107">
        <f>'Input - Dairy'!$H$10</f>
        <v>100</v>
      </c>
      <c r="H240" s="107">
        <f>'Input - Dairy'!$I$10</f>
        <v>100</v>
      </c>
      <c r="I240" s="2" t="s">
        <v>110</v>
      </c>
    </row>
    <row r="241" spans="4:20" ht="20.100000000000001" customHeight="1" x14ac:dyDescent="0.25"/>
    <row r="242" spans="4:20" ht="20.100000000000001" customHeight="1" x14ac:dyDescent="0.25">
      <c r="D242" s="104" t="s">
        <v>275</v>
      </c>
      <c r="O242" s="104" t="s">
        <v>285</v>
      </c>
    </row>
    <row r="243" spans="4:20" ht="20.100000000000001" customHeight="1" x14ac:dyDescent="0.25">
      <c r="D243" s="103" t="s">
        <v>283</v>
      </c>
      <c r="O243" s="103" t="s">
        <v>286</v>
      </c>
    </row>
    <row r="244" spans="4:20" ht="20.100000000000001" customHeight="1" x14ac:dyDescent="0.25">
      <c r="D244" s="41" t="s">
        <v>178</v>
      </c>
      <c r="E244" s="41" t="s">
        <v>195</v>
      </c>
      <c r="F244" s="41" t="s">
        <v>196</v>
      </c>
      <c r="G244" s="41" t="s">
        <v>197</v>
      </c>
      <c r="H244" s="41" t="s">
        <v>198</v>
      </c>
      <c r="O244" s="41" t="s">
        <v>178</v>
      </c>
      <c r="P244" s="41" t="s">
        <v>195</v>
      </c>
      <c r="Q244" s="41" t="s">
        <v>196</v>
      </c>
      <c r="R244" s="41" t="s">
        <v>197</v>
      </c>
      <c r="S244" s="41" t="s">
        <v>198</v>
      </c>
    </row>
    <row r="245" spans="4:20" ht="20.100000000000001" customHeight="1" x14ac:dyDescent="0.25">
      <c r="D245" s="55">
        <f>'Input - Dairy'!$E$24</f>
        <v>365</v>
      </c>
      <c r="E245" s="55">
        <f>'Input - Dairy'!$F$24</f>
        <v>365</v>
      </c>
      <c r="F245" s="55">
        <f>'Input - Dairy'!$G$24</f>
        <v>281</v>
      </c>
      <c r="G245" s="55">
        <f>'Input - Dairy'!$H$24</f>
        <v>365</v>
      </c>
      <c r="H245" s="55">
        <f>'Input - Dairy'!$I$24</f>
        <v>281</v>
      </c>
      <c r="I245" s="2" t="s">
        <v>56</v>
      </c>
      <c r="O245" s="55">
        <f>'Input - Dairy'!$E$28</f>
        <v>365</v>
      </c>
      <c r="P245" s="55">
        <f>'Input - Dairy'!$F$28</f>
        <v>365</v>
      </c>
      <c r="Q245" s="55">
        <f>'Input - Dairy'!$G$28</f>
        <v>281</v>
      </c>
      <c r="R245" s="55">
        <f>'Input - Dairy'!$H$28</f>
        <v>365</v>
      </c>
      <c r="S245" s="55">
        <f>'Input - Dairy'!$I$28</f>
        <v>281</v>
      </c>
      <c r="T245" s="2" t="s">
        <v>56</v>
      </c>
    </row>
    <row r="246" spans="4:20" ht="20.100000000000001" customHeight="1" x14ac:dyDescent="0.25"/>
    <row r="247" spans="4:20" ht="20.100000000000001" customHeight="1" x14ac:dyDescent="0.25">
      <c r="D247" s="104" t="s">
        <v>277</v>
      </c>
    </row>
    <row r="248" spans="4:20" ht="20.100000000000001" customHeight="1" x14ac:dyDescent="0.25">
      <c r="D248" s="103" t="s">
        <v>278</v>
      </c>
    </row>
    <row r="249" spans="4:20" ht="20.100000000000001" customHeight="1" x14ac:dyDescent="0.25">
      <c r="D249" s="54" t="s">
        <v>178</v>
      </c>
      <c r="E249" s="54" t="s">
        <v>195</v>
      </c>
      <c r="F249" s="54" t="s">
        <v>196</v>
      </c>
      <c r="G249" s="54" t="s">
        <v>197</v>
      </c>
      <c r="H249" s="54" t="s">
        <v>198</v>
      </c>
    </row>
    <row r="250" spans="4:20" ht="20.100000000000001" customHeight="1" x14ac:dyDescent="0.25">
      <c r="D250" s="55">
        <v>0</v>
      </c>
      <c r="E250" s="55">
        <v>0</v>
      </c>
      <c r="F250" s="55">
        <f>'Constants - Dairy'!$E$63</f>
        <v>1.7600000000000001E-2</v>
      </c>
      <c r="G250" s="55">
        <v>0</v>
      </c>
      <c r="H250" s="55">
        <f>'Constants - Dairy'!$E$64</f>
        <v>2.0400000000000001E-2</v>
      </c>
      <c r="I250" s="2" t="s">
        <v>280</v>
      </c>
    </row>
    <row r="251" spans="4:20" ht="20.100000000000001" customHeight="1" x14ac:dyDescent="0.25"/>
    <row r="252" spans="4:20" ht="20.100000000000001" customHeight="1" x14ac:dyDescent="0.25">
      <c r="D252" s="104" t="s">
        <v>276</v>
      </c>
      <c r="O252" s="104" t="s">
        <v>276</v>
      </c>
    </row>
    <row r="253" spans="4:20" ht="20.100000000000001" customHeight="1" x14ac:dyDescent="0.25">
      <c r="D253" s="103" t="s">
        <v>284</v>
      </c>
      <c r="O253" s="103" t="s">
        <v>284</v>
      </c>
    </row>
    <row r="254" spans="4:20" ht="20.100000000000001" customHeight="1" x14ac:dyDescent="0.25">
      <c r="D254" s="54" t="s">
        <v>178</v>
      </c>
      <c r="E254" s="54" t="s">
        <v>195</v>
      </c>
      <c r="F254" s="54" t="s">
        <v>196</v>
      </c>
      <c r="G254" s="54" t="s">
        <v>197</v>
      </c>
      <c r="H254" s="54" t="s">
        <v>198</v>
      </c>
      <c r="O254" s="41" t="s">
        <v>178</v>
      </c>
      <c r="P254" s="41" t="s">
        <v>195</v>
      </c>
      <c r="Q254" s="41" t="s">
        <v>196</v>
      </c>
      <c r="R254" s="41" t="s">
        <v>197</v>
      </c>
      <c r="S254" s="41" t="s">
        <v>198</v>
      </c>
    </row>
    <row r="255" spans="4:20" ht="20.100000000000001" customHeight="1" x14ac:dyDescent="0.25">
      <c r="D255" s="55">
        <f>'Input - Dairy'!$E$25</f>
        <v>0</v>
      </c>
      <c r="E255" s="55">
        <f>'Input - Dairy'!$F$25</f>
        <v>0</v>
      </c>
      <c r="F255" s="55">
        <f>'Input - Dairy'!$G$25</f>
        <v>84</v>
      </c>
      <c r="G255" s="55">
        <f>'Input - Dairy'!$H$25</f>
        <v>0</v>
      </c>
      <c r="H255" s="55">
        <f>'Input - Dairy'!$I$25</f>
        <v>84</v>
      </c>
      <c r="I255" s="2" t="s">
        <v>56</v>
      </c>
      <c r="O255" s="55">
        <f>'Input - Dairy'!$E$29</f>
        <v>0</v>
      </c>
      <c r="P255" s="55">
        <f>'Input - Dairy'!$F$29</f>
        <v>0</v>
      </c>
      <c r="Q255" s="55">
        <f>'Input - Dairy'!$G$29</f>
        <v>84</v>
      </c>
      <c r="R255" s="55">
        <f>'Input - Dairy'!$H$29</f>
        <v>0</v>
      </c>
      <c r="S255" s="55">
        <f>'Input - Dairy'!$I$29</f>
        <v>84</v>
      </c>
      <c r="T255" s="2" t="s">
        <v>56</v>
      </c>
    </row>
    <row r="256" spans="4:20" ht="20.100000000000001" customHeight="1" x14ac:dyDescent="0.25"/>
    <row r="257" spans="4:21" ht="20.100000000000001" customHeight="1" x14ac:dyDescent="0.25">
      <c r="D257" s="104" t="s">
        <v>279</v>
      </c>
      <c r="O257" s="104" t="s">
        <v>279</v>
      </c>
    </row>
    <row r="258" spans="4:21" ht="20.100000000000001" customHeight="1" x14ac:dyDescent="0.25">
      <c r="D258" s="103" t="s">
        <v>290</v>
      </c>
      <c r="O258" s="103" t="s">
        <v>290</v>
      </c>
    </row>
    <row r="259" spans="4:21" ht="20.100000000000001" customHeight="1" x14ac:dyDescent="0.25">
      <c r="D259" s="54" t="s">
        <v>152</v>
      </c>
      <c r="E259" s="54" t="s">
        <v>69</v>
      </c>
      <c r="F259" s="54" t="s">
        <v>178</v>
      </c>
      <c r="G259" s="54" t="s">
        <v>195</v>
      </c>
      <c r="H259" s="54" t="s">
        <v>196</v>
      </c>
      <c r="I259" s="54" t="s">
        <v>197</v>
      </c>
      <c r="J259" s="54" t="s">
        <v>198</v>
      </c>
      <c r="O259" s="54" t="s">
        <v>152</v>
      </c>
      <c r="P259" s="54" t="s">
        <v>69</v>
      </c>
      <c r="Q259" s="54" t="s">
        <v>178</v>
      </c>
      <c r="R259" s="54" t="s">
        <v>195</v>
      </c>
      <c r="S259" s="54" t="s">
        <v>196</v>
      </c>
      <c r="T259" s="54" t="s">
        <v>197</v>
      </c>
      <c r="U259" s="54" t="s">
        <v>198</v>
      </c>
    </row>
    <row r="260" spans="4:21" ht="20.100000000000001" customHeight="1" x14ac:dyDescent="0.25">
      <c r="D260" s="55" t="str">
        <f>'Input - Dairy'!$D$58</f>
        <v>Pasture</v>
      </c>
      <c r="E260" s="55" t="str">
        <f>'Constants - Livestock'!$E$27</f>
        <v>Pasture range and paddock</v>
      </c>
      <c r="F260" s="55" cm="1">
        <f t="array" ref="F260">MMS_Dairy_Methane_Equations.VEERG_4_3_1_1__1_TotalAnnualMethaneFromManureManagementVariation(D$240,F207,D$245,0,0,0,0,0)</f>
        <v>8.013541072185229E-2</v>
      </c>
      <c r="G260" s="55" cm="1">
        <f t="array" ref="G260">MMS_Dairy_Methane_Equations.VEERG_4_3_1_1__1_TotalAnnualMethaneFromManureManagementVariation(E$240,G207,E$245,0,0,0,0,0)</f>
        <v>6.2813747316603469E-2</v>
      </c>
      <c r="H260" s="55" cm="1">
        <f t="array" ref="H260">MMS_Dairy_Methane_Equations.VEERG_4_3_1_1__1_TotalAnnualMethaneFromManureManagementVariation(0,0,0,F$240,H207,F$245,F$250,F$255)</f>
        <v>0.17406401843252312</v>
      </c>
      <c r="I260" s="55" cm="1">
        <f t="array" ref="I260">MMS_Dairy_Methane_Equations.VEERG_4_3_1_1__1_TotalAnnualMethaneFromManureManagementVariation(G$240,I207,G$245,0,0,0,0,0)</f>
        <v>7.6429574958986099E-2</v>
      </c>
      <c r="J260" s="55" cm="1">
        <f t="array" ref="J260">MMS_Dairy_Methane_Equations.VEERG_4_3_1_1__1_TotalAnnualMethaneFromManureManagementVariation(0,0,0,H$240,J207,H$245,H$250,H$255)</f>
        <v>0.20665202598044041</v>
      </c>
      <c r="O260" s="55" t="str">
        <f>'Input - Dairy'!$D$58</f>
        <v>Pasture</v>
      </c>
      <c r="P260" s="55" t="str">
        <f>'Constants - Livestock'!$E$27</f>
        <v>Pasture range and paddock</v>
      </c>
      <c r="Q260" s="55" cm="1">
        <f t="array" ref="Q260">MMS_Dairy_Methane_Equations.VEERG_4_3_1_1__1_TotalAnnualMethaneFromManureManagementVariation(D$240,Q207,O$245,0,0,0,0,0)</f>
        <v>8.013541072185229E-2</v>
      </c>
      <c r="R260" s="55" cm="1">
        <f t="array" ref="R260">MMS_Dairy_Methane_Equations.VEERG_4_3_1_1__1_TotalAnnualMethaneFromManureManagementVariation(D$240,R207,P$245,0,0,0,0,0)</f>
        <v>6.2813747316603469E-2</v>
      </c>
      <c r="S260" s="55" cm="1">
        <f t="array" ref="S260">MMS_Dairy_Methane_Equations.VEERG_4_3_1_1__1_TotalAnnualMethaneFromManureManagementVariation(0,0,0,F$240,S207,Q$245,F$250,Q$255)</f>
        <v>0.17406401843252312</v>
      </c>
      <c r="T260" s="55" cm="1">
        <f t="array" ref="T260">MMS_Dairy_Methane_Equations.VEERG_4_3_1_1__1_TotalAnnualMethaneFromManureManagementVariation(F$240,T207,R$245,0,0,0,0,0)</f>
        <v>7.6429574958986099E-2</v>
      </c>
      <c r="U260" s="55" cm="1">
        <f t="array" ref="U260">MMS_Dairy_Methane_Equations.VEERG_4_3_1_1__1_TotalAnnualMethaneFromManureManagementVariation(0,0,0,H$240,U207,S$245,H$250,S$255)</f>
        <v>0.20665202598044041</v>
      </c>
    </row>
    <row r="261" spans="4:21" ht="20.100000000000001" customHeight="1" x14ac:dyDescent="0.25">
      <c r="D261" s="55" t="str">
        <f>'Input - Dairy'!$D$59</f>
        <v>Milking shed</v>
      </c>
      <c r="E261" s="55" t="str">
        <f>'Input - Dairy'!$D$78</f>
        <v>Anaerobic lagoon</v>
      </c>
      <c r="F261" s="55" cm="1">
        <f t="array" ref="F261">MMS_Dairy_Methane_Equations.VEERG_4_3_1_1__1_TotalAnnualMethaneFromManureManagementVariation(D$240,F208,D$245,0,0,0,0,0)</f>
        <v>0.2509108740204814</v>
      </c>
      <c r="G261" s="55" cm="1">
        <f t="array" ref="G261">MMS_Dairy_Methane_Equations.VEERG_4_3_1_1__1_TotalAnnualMethaneFromManureManagementVariation(E$240,G208,E$245,0,0,0,0,0)</f>
        <v>0.1966752537703389</v>
      </c>
      <c r="H261" s="55" cm="1">
        <f t="array" ref="H261">MMS_Dairy_Methane_Equations.VEERG_4_3_1_1__1_TotalAnnualMethaneFromManureManagementVariation(0,0,0,F$240,H208,F$245,F$250,F$255)</f>
        <v>0.22994966071007236</v>
      </c>
      <c r="I261" s="55" cm="1">
        <f t="array" ref="I261">MMS_Dairy_Methane_Equations.VEERG_4_3_1_1__1_TotalAnnualMethaneFromManureManagementVariation(G$240,I208,G$245,0,0,0,0,0)</f>
        <v>0.23930758301764934</v>
      </c>
      <c r="J261" s="55" cm="1">
        <f t="array" ref="J261">MMS_Dairy_Methane_Equations.VEERG_4_3_1_1__1_TotalAnnualMethaneFromManureManagementVariation(0,0,0,H$240,J208,H$245,H$250,H$255)</f>
        <v>0.28186237348182841</v>
      </c>
      <c r="O261" s="55" t="str">
        <f>'Input - Dairy'!$D$59</f>
        <v>Milking shed</v>
      </c>
      <c r="P261" s="55" t="str">
        <f>'Input - Dairy'!$D$78</f>
        <v>Anaerobic lagoon</v>
      </c>
      <c r="Q261" s="55" cm="1">
        <f t="array" ref="Q261">MMS_Dairy_Methane_Equations.VEERG_4_3_1_1__1_TotalAnnualMethaneFromManureManagementVariation(D$240,Q208,O$245,0,0,0,0,0)</f>
        <v>0.25421233288917194</v>
      </c>
      <c r="R261" s="55" cm="1">
        <f t="array" ref="R261">MMS_Dairy_Methane_Equations.VEERG_4_3_1_1__1_TotalAnnualMethaneFromManureManagementVariation(D$240,R208,P$245,0,0,0,0,0)</f>
        <v>0.19926308605679074</v>
      </c>
      <c r="S261" s="55" cm="1">
        <f t="array" ref="S261">MMS_Dairy_Methane_Equations.VEERG_4_3_1_1__1_TotalAnnualMethaneFromManureManagementVariation(0,0,0,F$240,S208,Q$245,F$250,Q$255)</f>
        <v>0.23103005098257332</v>
      </c>
      <c r="T261" s="55" cm="1">
        <f t="array" ref="T261">MMS_Dairy_Methane_Equations.VEERG_4_3_1_1__1_TotalAnnualMethaneFromManureManagementVariation(F$240,T208,R$245,0,0,0,0,0)</f>
        <v>0.24245636700472373</v>
      </c>
      <c r="U261" s="55" cm="1">
        <f t="array" ref="U261">MMS_Dairy_Methane_Equations.VEERG_4_3_1_1__1_TotalAnnualMethaneFromManureManagementVariation(0,0,0,H$240,U208,S$245,H$250,S$255)</f>
        <v>0.2833163520802735</v>
      </c>
    </row>
    <row r="262" spans="4:21" ht="20.100000000000001" customHeight="1" x14ac:dyDescent="0.25">
      <c r="D262" s="55" t="str">
        <f>'Input - Dairy'!$D$59</f>
        <v>Milking shed</v>
      </c>
      <c r="E262" s="55" t="str">
        <f>'Input - Dairy'!$D$79</f>
        <v>Sump and dispersal system</v>
      </c>
      <c r="F262" s="55" cm="1">
        <f t="array" ref="F262">MMS_Dairy_Methane_Equations.VEERG_4_3_1_1__1_TotalAnnualMethaneFromManureManagementVariation(D$240,F209,D$245,0,0,0,0,0)</f>
        <v>1.6507294343452721E-3</v>
      </c>
      <c r="G262" s="55" cm="1">
        <f t="array" ref="G262">MMS_Dairy_Methane_Equations.VEERG_4_3_1_1__1_TotalAnnualMethaneFromManureManagementVariation(E$240,G209,E$245,0,0,0,0,0)</f>
        <v>1.293916143225914E-3</v>
      </c>
      <c r="H262" s="55" cm="1">
        <f t="array" ref="H262">MMS_Dairy_Methane_Equations.VEERG_4_3_1_1__1_TotalAnnualMethaneFromManureManagementVariation(0,0,0,F$240,H209,F$245,F$250,F$255)</f>
        <v>0.14838019513625048</v>
      </c>
      <c r="I262" s="55" cm="1">
        <f t="array" ref="I262">MMS_Dairy_Methane_Equations.VEERG_4_3_1_1__1_TotalAnnualMethaneFromManureManagementVariation(G$240,I209,G$245,0,0,0,0,0)</f>
        <v>1.5743919935371669E-3</v>
      </c>
      <c r="J262" s="55" cm="1">
        <f t="array" ref="J262">MMS_Dairy_Methane_Equations.VEERG_4_3_1_1__1_TotalAnnualMethaneFromManureManagementVariation(0,0,0,H$240,J209,H$245,H$250,H$255)</f>
        <v>0.17208698929922259</v>
      </c>
      <c r="O262" s="55" t="str">
        <f>'Input - Dairy'!$D$59</f>
        <v>Milking shed</v>
      </c>
      <c r="P262" s="55" t="str">
        <f>'Input - Dairy'!$D$79</f>
        <v>Sump and dispersal system</v>
      </c>
      <c r="Q262" s="55" cm="1">
        <f t="array" ref="Q262">MMS_Dairy_Methane_Equations.VEERG_4_3_1_1__1_TotalAnnualMethaneFromManureManagementVariation(D$240,Q209,O$245,0,0,0,0,0)</f>
        <v>1.6507294343452721E-3</v>
      </c>
      <c r="R262" s="55" cm="1">
        <f t="array" ref="R262">MMS_Dairy_Methane_Equations.VEERG_4_3_1_1__1_TotalAnnualMethaneFromManureManagementVariation(D$240,R209,P$245,0,0,0,0,0)</f>
        <v>1.293916143225914E-3</v>
      </c>
      <c r="S262" s="55" cm="1">
        <f t="array" ref="S262">MMS_Dairy_Methane_Equations.VEERG_4_3_1_1__1_TotalAnnualMethaneFromManureManagementVariation(0,0,0,F$240,S209,Q$245,F$250,Q$255)</f>
        <v>0.14838019513625048</v>
      </c>
      <c r="T262" s="55" cm="1">
        <f t="array" ref="T262">MMS_Dairy_Methane_Equations.VEERG_4_3_1_1__1_TotalAnnualMethaneFromManureManagementVariation(F$240,T209,R$245,0,0,0,0,0)</f>
        <v>1.5743919935371669E-3</v>
      </c>
      <c r="U262" s="55" cm="1">
        <f t="array" ref="U262">MMS_Dairy_Methane_Equations.VEERG_4_3_1_1__1_TotalAnnualMethaneFromManureManagementVariation(0,0,0,H$240,U209,S$245,H$250,S$255)</f>
        <v>0.17208698929922259</v>
      </c>
    </row>
    <row r="263" spans="4:21" ht="20.100000000000001" customHeight="1" x14ac:dyDescent="0.25">
      <c r="D263" s="55" t="str">
        <f>'Input - Dairy'!$D$59</f>
        <v>Milking shed</v>
      </c>
      <c r="E263" s="55" t="str">
        <f>'Input - Dairy'!$D$80</f>
        <v>Drains to paddock</v>
      </c>
      <c r="F263" s="55" cm="1">
        <f t="array" ref="F263">MMS_Dairy_Methane_Equations.VEERG_4_3_1_1__1_TotalAnnualMethaneFromManureManagementVariation(D$240,F210,D$245,0,0,0,0,0)</f>
        <v>5.9426259636429807E-2</v>
      </c>
      <c r="G263" s="55" cm="1">
        <f t="array" ref="G263">MMS_Dairy_Methane_Equations.VEERG_4_3_1_1__1_TotalAnnualMethaneFromManureManagementVariation(E$240,G210,E$245,0,0,0,0,0)</f>
        <v>4.6580981156132899E-2</v>
      </c>
      <c r="H263" s="55" cm="1">
        <f t="array" ref="H263">MMS_Dairy_Methane_Equations.VEERG_4_3_1_1__1_TotalAnnualMethaneFromManureManagementVariation(0,0,0,F$240,H210,F$245,F$250,F$255)</f>
        <v>0.16728702490501715</v>
      </c>
      <c r="I263" s="55" cm="1">
        <f t="array" ref="I263">MMS_Dairy_Methane_Equations.VEERG_4_3_1_1__1_TotalAnnualMethaneFromManureManagementVariation(G$240,I210,G$245,0,0,0,0,0)</f>
        <v>5.6678111767338002E-2</v>
      </c>
      <c r="J263" s="55" cm="1">
        <f t="array" ref="J263">MMS_Dairy_Methane_Equations.VEERG_4_3_1_1__1_TotalAnnualMethaneFromManureManagementVariation(0,0,0,H$240,J210,H$245,H$250,H$255)</f>
        <v>0.197531614772012</v>
      </c>
      <c r="O263" s="55" t="str">
        <f>'Input - Dairy'!$D$59</f>
        <v>Milking shed</v>
      </c>
      <c r="P263" s="55" t="str">
        <f>'Input - Dairy'!$D$80</f>
        <v>Drains to paddock</v>
      </c>
      <c r="Q263" s="55" cm="1">
        <f t="array" ref="Q263">MMS_Dairy_Methane_Equations.VEERG_4_3_1_1__1_TotalAnnualMethaneFromManureManagementVariation(D$240,Q210,O$245,0,0,0,0,0)</f>
        <v>7.2632095111191994E-2</v>
      </c>
      <c r="R263" s="55" cm="1">
        <f t="array" ref="R263">MMS_Dairy_Methane_Equations.VEERG_4_3_1_1__1_TotalAnnualMethaneFromManureManagementVariation(D$240,R210,P$245,0,0,0,0,0)</f>
        <v>5.6932310301940216E-2</v>
      </c>
      <c r="S263" s="55" cm="1">
        <f t="array" ref="S263">MMS_Dairy_Methane_Equations.VEERG_4_3_1_1__1_TotalAnnualMethaneFromManureManagementVariation(0,0,0,F$240,S210,Q$245,F$250,Q$255)</f>
        <v>0.17160858599502096</v>
      </c>
      <c r="T263" s="55" cm="1">
        <f t="array" ref="T263">MMS_Dairy_Methane_Equations.VEERG_4_3_1_1__1_TotalAnnualMethaneFromManureManagementVariation(F$240,T210,R$245,0,0,0,0,0)</f>
        <v>6.9273247715635339E-2</v>
      </c>
      <c r="U263" s="55" cm="1">
        <f t="array" ref="U263">MMS_Dairy_Methane_Equations.VEERG_4_3_1_1__1_TotalAnnualMethaneFromManureManagementVariation(0,0,0,H$240,U210,S$245,H$250,S$255)</f>
        <v>0.20334752916579243</v>
      </c>
    </row>
    <row r="264" spans="4:21" ht="20.100000000000001" customHeight="1" x14ac:dyDescent="0.25">
      <c r="D264" s="55" t="str">
        <f>'Input - Dairy'!$D$59</f>
        <v>Milking shed</v>
      </c>
      <c r="E264" s="55" t="s">
        <v>418</v>
      </c>
      <c r="F264" s="55" cm="1">
        <f t="array" ref="F264">MMS_Dairy_Methane_Equations.VEERG_4_3_1_1__1_TotalAnnualMethaneFromManureManagementVariation(D$240,F211,D$245,0,0,0,0,0)</f>
        <v>1.3205835474762173E-2</v>
      </c>
      <c r="G264" s="55" cm="1">
        <f t="array" ref="G264">MMS_Dairy_Methane_Equations.VEERG_4_3_1_1__1_TotalAnnualMethaneFromManureManagementVariation(E$240,G211,E$245,0,0,0,0,0)</f>
        <v>1.0351329145807312E-2</v>
      </c>
      <c r="H264" s="55" cm="1">
        <f t="array" ref="H264">MMS_Dairy_Methane_Equations.VEERG_4_3_1_1__1_TotalAnnualMethaneFromManureManagementVariation(0,0,0,F$240,H211,F$245,F$250,F$255)</f>
        <v>0.15216156109000381</v>
      </c>
      <c r="I264" s="55" cm="1">
        <f t="array" ref="I264">MMS_Dairy_Methane_Equations.VEERG_4_3_1_1__1_TotalAnnualMethaneFromManureManagementVariation(G$240,I211,G$245,0,0,0,0,0)</f>
        <v>1.259513594829733E-2</v>
      </c>
      <c r="J264" s="55" cm="1">
        <f t="array" ref="J264">MMS_Dairy_Methane_Equations.VEERG_4_3_1_1__1_TotalAnnualMethaneFromManureManagementVariation(0,0,0,H$240,J211,H$245,H$250,H$255)</f>
        <v>0.17717591439378047</v>
      </c>
      <c r="O264" s="55" t="str">
        <f>'Input - Dairy'!$D$59</f>
        <v>Milking shed</v>
      </c>
      <c r="P264" s="55" t="s">
        <v>418</v>
      </c>
      <c r="Q264" s="55" cm="1">
        <f t="array" ref="Q264">MMS_Dairy_Methane_Equations.VEERG_4_3_1_1__1_TotalAnnualMethaneFromManureManagementVariation(D$240,Q211,O$245,0,0,0,0,0)</f>
        <v>1.3205835474762173E-2</v>
      </c>
      <c r="R264" s="55" cm="1">
        <f t="array" ref="R264">MMS_Dairy_Methane_Equations.VEERG_4_3_1_1__1_TotalAnnualMethaneFromManureManagementVariation(D$240,R211,P$245,0,0,0,0,0)</f>
        <v>1.0351329145807312E-2</v>
      </c>
      <c r="S264" s="55" cm="1">
        <f t="array" ref="S264">MMS_Dairy_Methane_Equations.VEERG_4_3_1_1__1_TotalAnnualMethaneFromManureManagementVariation(0,0,0,F$240,S211,Q$245,F$250,Q$255)</f>
        <v>0.15216156109000381</v>
      </c>
      <c r="T264" s="55" cm="1">
        <f t="array" ref="T264">MMS_Dairy_Methane_Equations.VEERG_4_3_1_1__1_TotalAnnualMethaneFromManureManagementVariation(F$240,T211,R$245,0,0,0,0,0)</f>
        <v>1.259513594829733E-2</v>
      </c>
      <c r="U264" s="55" cm="1">
        <f t="array" ref="U264">MMS_Dairy_Methane_Equations.VEERG_4_3_1_1__1_TotalAnnualMethaneFromManureManagementVariation(0,0,0,H$240,U211,S$245,H$250,S$255)</f>
        <v>0.17717591439378047</v>
      </c>
    </row>
    <row r="265" spans="4:21" ht="20.100000000000001" customHeight="1" x14ac:dyDescent="0.25">
      <c r="D265" s="55" t="str">
        <f>'Input - Dairy'!$D$60</f>
        <v>Feed pad</v>
      </c>
      <c r="E265" s="55" t="str">
        <f>'Input - Dairy'!$D$94</f>
        <v>Anaerobic lagoon</v>
      </c>
      <c r="F265" s="55" cm="1">
        <f t="array" ref="F265">MMS_Dairy_Methane_Equations.VEERG_4_3_1_1__1_TotalAnnualMethaneFromManureManagementVariation(D$240,F212,D$245,0,0,0,0,0)</f>
        <v>1.0150485358101291</v>
      </c>
      <c r="G265" s="55" cm="1">
        <f t="array" ref="G265">MMS_Dairy_Methane_Equations.VEERG_4_3_1_1__1_TotalAnnualMethaneFromManureManagementVariation(E$240,G212,E$245,0,0,0,0,0)</f>
        <v>0.79564079934364373</v>
      </c>
      <c r="H265" s="55" cm="1">
        <f t="array" ref="H265">MMS_Dairy_Methane_Equations.VEERG_4_3_1_1__1_TotalAnnualMethaneFromManureManagementVariation(0,0,0,F$240,H212,F$245,F$250,F$255)</f>
        <v>0.48001090014529268</v>
      </c>
      <c r="I265" s="55" cm="1">
        <f t="array" ref="I265">MMS_Dairy_Methane_Equations.VEERG_4_3_1_1__1_TotalAnnualMethaneFromManureManagementVariation(G$240,I212,G$245,0,0,0,0,0)</f>
        <v>0.96810794948049028</v>
      </c>
      <c r="J265" s="55" cm="1">
        <f t="array" ref="J265">MMS_Dairy_Methane_Equations.VEERG_4_3_1_1__1_TotalAnnualMethaneFromManureManagementVariation(0,0,0,H$240,J212,H$245,H$250,H$255)</f>
        <v>0.6183923290855784</v>
      </c>
      <c r="O265" s="55" t="str">
        <f>'Input - Dairy'!$D$60</f>
        <v>Feed pad</v>
      </c>
      <c r="P265" s="55" t="str">
        <f>'Input - Dairy'!$D$94</f>
        <v>Anaerobic lagoon</v>
      </c>
      <c r="Q265" s="55" cm="1">
        <f t="array" ref="Q265">MMS_Dairy_Methane_Equations.VEERG_4_3_1_1__1_TotalAnnualMethaneFromManureManagementVariation(D$240,Q212,O$245,0,0,0,0,0)</f>
        <v>1.0284044375971046</v>
      </c>
      <c r="R265" s="55" cm="1">
        <f t="array" ref="R265">MMS_Dairy_Methane_Equations.VEERG_4_3_1_1__1_TotalAnnualMethaneFromManureManagementVariation(D$240,R212,P$245,0,0,0,0,0)</f>
        <v>0.80610975722974443</v>
      </c>
      <c r="S265" s="55" cm="1">
        <f t="array" ref="S265">MMS_Dairy_Methane_Equations.VEERG_4_3_1_1__1_TotalAnnualMethaneFromManureManagementVariation(0,0,0,F$240,S212,Q$245,F$250,Q$255)</f>
        <v>0.48438156988404663</v>
      </c>
      <c r="T265" s="55" cm="1">
        <f t="array" ref="T265">MMS_Dairy_Methane_Equations.VEERG_4_3_1_1__1_TotalAnnualMethaneFromManureManagementVariation(F$240,T212,R$245,0,0,0,0,0)</f>
        <v>0.98084621197365474</v>
      </c>
      <c r="U265" s="55" cm="1">
        <f t="array" ref="U265">MMS_Dairy_Methane_Equations.VEERG_4_3_1_1__1_TotalAnnualMethaneFromManureManagementVariation(0,0,0,H$240,U212,S$245,H$250,S$255)</f>
        <v>0.62427433341565175</v>
      </c>
    </row>
    <row r="266" spans="4:21" ht="20.100000000000001" customHeight="1" x14ac:dyDescent="0.25">
      <c r="D266" s="55" t="str">
        <f>'Input - Dairy'!$D$60</f>
        <v>Feed pad</v>
      </c>
      <c r="E266" s="55" t="str">
        <f>'Input - Dairy'!$D$95</f>
        <v>Sump and dispersal system</v>
      </c>
      <c r="F266" s="55" cm="1">
        <f t="array" ref="F266">MMS_Dairy_Methane_Equations.VEERG_4_3_1_1__1_TotalAnnualMethaneFromManureManagementVariation(D$240,F213,D$245,0,0,0,0,0)</f>
        <v>5.3423607147901541E-3</v>
      </c>
      <c r="G266" s="55" cm="1">
        <f t="array" ref="G266">MMS_Dairy_Methane_Equations.VEERG_4_3_1_1__1_TotalAnnualMethaneFromManureManagementVariation(E$240,G213,E$245,0,0,0,0,0)</f>
        <v>4.1875831544402296E-3</v>
      </c>
      <c r="H266" s="55" cm="1">
        <f t="array" ref="H266">MMS_Dairy_Methane_Equations.VEERG_4_3_1_1__1_TotalAnnualMethaneFromManureManagementVariation(0,0,0,F$240,H213,F$245,F$250,F$255)</f>
        <v>0.14958826789550153</v>
      </c>
      <c r="I266" s="55" cm="1">
        <f t="array" ref="I266">MMS_Dairy_Methane_Equations.VEERG_4_3_1_1__1_TotalAnnualMethaneFromManureManagementVariation(G$240,I213,G$245,0,0,0,0,0)</f>
        <v>5.095304997265738E-3</v>
      </c>
      <c r="J266" s="55" cm="1">
        <f t="array" ref="J266">MMS_Dairy_Methane_Equations.VEERG_4_3_1_1__1_TotalAnnualMethaneFromManureManagementVariation(0,0,0,H$240,J213,H$245,H$250,H$255)</f>
        <v>0.17371280173202935</v>
      </c>
      <c r="O266" s="55" t="str">
        <f>'Input - Dairy'!$D$60</f>
        <v>Feed pad</v>
      </c>
      <c r="P266" s="55" t="str">
        <f>'Input - Dairy'!$D$95</f>
        <v>Sump and dispersal system</v>
      </c>
      <c r="Q266" s="55" cm="1">
        <f t="array" ref="Q266">MMS_Dairy_Methane_Equations.VEERG_4_3_1_1__1_TotalAnnualMethaneFromManureManagementVariation(D$240,Q213,O$245,0,0,0,0,0)</f>
        <v>5.3423607147901541E-3</v>
      </c>
      <c r="R266" s="55" cm="1">
        <f t="array" ref="R266">MMS_Dairy_Methane_Equations.VEERG_4_3_1_1__1_TotalAnnualMethaneFromManureManagementVariation(D$240,R213,P$245,0,0,0,0,0)</f>
        <v>4.1875831544402296E-3</v>
      </c>
      <c r="S266" s="55" cm="1">
        <f t="array" ref="S266">MMS_Dairy_Methane_Equations.VEERG_4_3_1_1__1_TotalAnnualMethaneFromManureManagementVariation(0,0,0,F$240,S213,Q$245,F$250,Q$255)</f>
        <v>0.14958826789550153</v>
      </c>
      <c r="T266" s="55" cm="1">
        <f t="array" ref="T266">MMS_Dairy_Methane_Equations.VEERG_4_3_1_1__1_TotalAnnualMethaneFromManureManagementVariation(F$240,T213,R$245,0,0,0,0,0)</f>
        <v>5.095304997265738E-3</v>
      </c>
      <c r="U266" s="55" cm="1">
        <f t="array" ref="U266">MMS_Dairy_Methane_Equations.VEERG_4_3_1_1__1_TotalAnnualMethaneFromManureManagementVariation(0,0,0,H$240,U213,S$245,H$250,S$255)</f>
        <v>0.17371280173202935</v>
      </c>
    </row>
    <row r="267" spans="4:21" ht="20.100000000000001" customHeight="1" x14ac:dyDescent="0.25">
      <c r="D267" s="55" t="str">
        <f>'Input - Dairy'!$D$60</f>
        <v>Feed pad</v>
      </c>
      <c r="E267" s="55" t="str">
        <f>'Input - Dairy'!$D$96</f>
        <v>Drains to paddock</v>
      </c>
      <c r="F267" s="55" cm="1">
        <f t="array" ref="F267">MMS_Dairy_Methane_Equations.VEERG_4_3_1_1__1_TotalAnnualMethaneFromManureManagementVariation(D$240,F214,D$245,0,0,0,0,0)</f>
        <v>0.19232498573244547</v>
      </c>
      <c r="G267" s="55" cm="1">
        <f t="array" ref="G267">MMS_Dairy_Methane_Equations.VEERG_4_3_1_1__1_TotalAnnualMethaneFromManureManagementVariation(E$240,G214,E$245,0,0,0,0,0)</f>
        <v>0.15075299355984828</v>
      </c>
      <c r="H267" s="55" cm="1">
        <f t="array" ref="H267">MMS_Dairy_Methane_Equations.VEERG_4_3_1_1__1_TotalAnnualMethaneFromManureManagementVariation(0,0,0,F$240,H214,F$245,F$250,F$255)</f>
        <v>0.21077764423805545</v>
      </c>
      <c r="I267" s="55" cm="1">
        <f t="array" ref="I267">MMS_Dairy_Methane_Equations.VEERG_4_3_1_1__1_TotalAnnualMethaneFromManureManagementVariation(G$240,I214,G$245,0,0,0,0,0)</f>
        <v>0.18343097990156659</v>
      </c>
      <c r="J267" s="55" cm="1">
        <f t="array" ref="J267">MMS_Dairy_Methane_Equations.VEERG_4_3_1_1__1_TotalAnnualMethaneFromManureManagementVariation(0,0,0,H$240,J214,H$245,H$250,H$255)</f>
        <v>0.25606086235305697</v>
      </c>
      <c r="O267" s="55" t="str">
        <f>'Input - Dairy'!$D$60</f>
        <v>Feed pad</v>
      </c>
      <c r="P267" s="55" t="str">
        <f>'Input - Dairy'!$D$96</f>
        <v>Drains to paddock</v>
      </c>
      <c r="Q267" s="55" cm="1">
        <f t="array" ref="Q267">MMS_Dairy_Methane_Equations.VEERG_4_3_1_1__1_TotalAnnualMethaneFromManureManagementVariation(D$240,Q214,O$245,0,0,0,0,0)</f>
        <v>0.23506387145076671</v>
      </c>
      <c r="R267" s="55" cm="1">
        <f t="array" ref="R267">MMS_Dairy_Methane_Equations.VEERG_4_3_1_1__1_TotalAnnualMethaneFromManureManagementVariation(D$240,R214,P$245,0,0,0,0,0)</f>
        <v>0.18425365879537009</v>
      </c>
      <c r="S267" s="55" cm="1">
        <f t="array" ref="S267">MMS_Dairy_Methane_Equations.VEERG_4_3_1_1__1_TotalAnnualMethaneFromManureManagementVariation(0,0,0,F$240,S214,Q$245,F$250,Q$255)</f>
        <v>0.22476378740206779</v>
      </c>
      <c r="T267" s="55" cm="1">
        <f t="array" ref="T267">MMS_Dairy_Methane_Equations.VEERG_4_3_1_1__1_TotalAnnualMethaneFromManureManagementVariation(F$240,T214,R$245,0,0,0,0,0)</f>
        <v>0.22419341987969252</v>
      </c>
      <c r="U267" s="55" cm="1">
        <f t="array" ref="U267">MMS_Dairy_Methane_Equations.VEERG_4_3_1_1__1_TotalAnnualMethaneFromManureManagementVariation(0,0,0,H$240,U214,S$245,H$250,S$255)</f>
        <v>0.27488327620929182</v>
      </c>
    </row>
    <row r="268" spans="4:21" ht="20.100000000000001" customHeight="1" x14ac:dyDescent="0.25">
      <c r="D268" s="55" t="str">
        <f>'Input - Dairy'!$D$60</f>
        <v>Feed pad</v>
      </c>
      <c r="E268" s="55" t="s">
        <v>418</v>
      </c>
      <c r="F268" s="55" cm="1">
        <f t="array" ref="F268">MMS_Dairy_Methane_Equations.VEERG_4_3_1_1__1_TotalAnnualMethaneFromManureManagementVariation(D$240,F215,D$245,0,0,0,0,0)</f>
        <v>3.7396525003531071E-2</v>
      </c>
      <c r="G268" s="55" cm="1">
        <f t="array" ref="G268">MMS_Dairy_Methane_Equations.VEERG_4_3_1_1__1_TotalAnnualMethaneFromManureManagementVariation(E$240,G215,E$245,0,0,0,0,0)</f>
        <v>2.9313082081081607E-2</v>
      </c>
      <c r="H268" s="55" cm="1">
        <f t="array" ref="H268">MMS_Dairy_Methane_Equations.VEERG_4_3_1_1__1_TotalAnnualMethaneFromManureManagementVariation(0,0,0,F$240,H215,F$245,F$250,F$255)</f>
        <v>0.16007787526851078</v>
      </c>
      <c r="I268" s="55" cm="1">
        <f t="array" ref="I268">MMS_Dairy_Methane_Equations.VEERG_4_3_1_1__1_TotalAnnualMethaneFromManureManagementVariation(G$240,I215,G$245,0,0,0,0,0)</f>
        <v>3.5667134980860167E-2</v>
      </c>
      <c r="J268" s="55" cm="1">
        <f t="array" ref="J268">MMS_Dairy_Methane_Equations.VEERG_4_3_1_1__1_TotalAnnualMethaneFromManureManagementVariation(0,0,0,H$240,J215,H$245,H$250,H$255)</f>
        <v>0.18782961212420554</v>
      </c>
      <c r="O268" s="55" t="str">
        <f>'Input - Dairy'!$D$60</f>
        <v>Feed pad</v>
      </c>
      <c r="P268" s="55" t="s">
        <v>418</v>
      </c>
      <c r="Q268" s="55" cm="1">
        <f t="array" ref="Q268">MMS_Dairy_Methane_Equations.VEERG_4_3_1_1__1_TotalAnnualMethaneFromManureManagementVariation(D$240,Q215,O$245,0,0,0,0,0)</f>
        <v>3.7396525003531071E-2</v>
      </c>
      <c r="R268" s="55" cm="1">
        <f t="array" ref="R268">MMS_Dairy_Methane_Equations.VEERG_4_3_1_1__1_TotalAnnualMethaneFromManureManagementVariation(D$240,R215,P$245,0,0,0,0,0)</f>
        <v>2.9313082081081607E-2</v>
      </c>
      <c r="S268" s="55" cm="1">
        <f t="array" ref="S268">MMS_Dairy_Methane_Equations.VEERG_4_3_1_1__1_TotalAnnualMethaneFromManureManagementVariation(0,0,0,F$240,S215,Q$245,F$250,Q$255)</f>
        <v>0.16007787526851078</v>
      </c>
      <c r="T268" s="55" cm="1">
        <f t="array" ref="T268">MMS_Dairy_Methane_Equations.VEERG_4_3_1_1__1_TotalAnnualMethaneFromManureManagementVariation(F$240,T215,R$245,0,0,0,0,0)</f>
        <v>3.5667134980860167E-2</v>
      </c>
      <c r="U268" s="55" cm="1">
        <f t="array" ref="U268">MMS_Dairy_Methane_Equations.VEERG_4_3_1_1__1_TotalAnnualMethaneFromManureManagementVariation(0,0,0,H$240,U215,S$245,H$250,S$255)</f>
        <v>0.18782961212420554</v>
      </c>
    </row>
    <row r="269" spans="4:21" ht="20.100000000000001" customHeight="1" x14ac:dyDescent="0.25"/>
    <row r="270" spans="4:21" ht="20.100000000000001" customHeight="1" x14ac:dyDescent="0.25">
      <c r="D270" s="108" t="s">
        <v>133</v>
      </c>
      <c r="E270" s="109">
        <f>SUM(F260:J268)</f>
        <v>8.6755390403092623</v>
      </c>
      <c r="F270" s="110" t="str">
        <f>$E$226</f>
        <v>t CH4</v>
      </c>
      <c r="O270" s="108" t="s">
        <v>433</v>
      </c>
      <c r="P270" s="109">
        <f>SUM(Q260:U268)</f>
        <v>8.9300276045623619</v>
      </c>
      <c r="Q270" s="110" t="str">
        <f>$E$226</f>
        <v>t CH4</v>
      </c>
    </row>
    <row r="271" spans="4:21" ht="20.100000000000001" customHeight="1" x14ac:dyDescent="0.25"/>
    <row r="272" spans="4:21" x14ac:dyDescent="0.25">
      <c r="D272" s="60" t="str" cm="1">
        <f t="array" ref="D272:E273">Common_Equations.Common_ConvertCH4ToCO2e_Arguments()</f>
        <v>ECH4</v>
      </c>
      <c r="E272" s="61" t="str">
        <v>Methane emissions (t CH4)</v>
      </c>
      <c r="F272" s="111"/>
      <c r="G272" s="55">
        <f>E270</f>
        <v>8.6755390403092623</v>
      </c>
      <c r="H272" s="2"/>
      <c r="O272" s="60" t="str" cm="1">
        <f t="array" ref="O272:P273">Common_Equations.Common_ConvertCH4ToCO2e_Arguments()</f>
        <v>ECH4</v>
      </c>
      <c r="P272" s="61" t="str">
        <v>Methane emissions (t CH4)</v>
      </c>
      <c r="Q272" s="111"/>
      <c r="R272" s="55">
        <f>P270</f>
        <v>8.9300276045623619</v>
      </c>
      <c r="S272" s="2" t="s">
        <v>282</v>
      </c>
    </row>
    <row r="273" spans="1:18" x14ac:dyDescent="0.25">
      <c r="D273" s="60" t="str">
        <v>GWPCH4</v>
      </c>
      <c r="E273" s="61" t="str">
        <v>Global warming potential for methane (t CO2-e / t CH4)</v>
      </c>
      <c r="F273" s="111"/>
      <c r="G273" s="55">
        <f>Common_InputFunctions.Utility_LookupValueInTableNumber("CH4",Table_GWPData[Gas],Table_GWPData[CO2-e factor])</f>
        <v>28</v>
      </c>
      <c r="O273" s="60" t="str">
        <v>GWPCH4</v>
      </c>
      <c r="P273" s="61" t="str">
        <v>Global warming potential for methane (t CO2-e / t CH4)</v>
      </c>
      <c r="Q273" s="111"/>
      <c r="R273" s="55">
        <f>Common_InputFunctions.Utility_LookupValueInTableNumber("CH4",Table_GWPData[Gas],Table_GWPData[CO2-e factor])</f>
        <v>28</v>
      </c>
    </row>
    <row r="275" spans="1:18" ht="18.75" x14ac:dyDescent="0.25">
      <c r="A275" s="141" t="str">
        <f>HYPERLINK("#A1", "▲ Back to top")</f>
        <v>▲ Back to top</v>
      </c>
      <c r="D275" s="48" t="s">
        <v>134</v>
      </c>
      <c r="E275" s="48" cm="1">
        <f t="array" ref="E275">Common_Equations.Common_ConvertCH4ToCO2e(G272,G273)</f>
        <v>242.91509312865935</v>
      </c>
      <c r="F275" s="112" t="str" cm="1">
        <f t="array" ref="F275">Common_Equations.Common_ConvertN2OToCO2e_Unit()</f>
        <v>t CO2e</v>
      </c>
      <c r="O275" s="48" t="s">
        <v>432</v>
      </c>
      <c r="P275" s="48" cm="1">
        <f t="array" ref="P275">Common_Equations.Common_ConvertCH4ToCO2e(R272,R273)</f>
        <v>250.04077292774613</v>
      </c>
      <c r="Q275" s="112" t="str" cm="1">
        <f t="array" ref="Q275">Common_Equations.Common_ConvertN2OToCO2e_Unit()</f>
        <v>t CO2e</v>
      </c>
    </row>
  </sheetData>
  <dataValidations count="1">
    <dataValidation operator="equal" allowBlank="1" showInputMessage="1" showErrorMessage="1" sqref="F134:F138 Q123:U127 D157:F157 P60:R60 E122:J122 F123:J127 E133:F133 Q134:Q138 P133:Q133 P122:U122 E144:J144 F145:J149 P144:U144 Q145:U149 Q143:U143 F170:J170 P175:U176 P169:U169 Q170:U170 P268 E211 E208 E264 E261 E215 P208 E268 P261 I116 E116:F116 F143:J143 Q132 Q121:U121 E169:J169 P211 P215 P264 E175:J17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G262" zoomScaleNormal="100" workbookViewId="0">
      <selection activeCell="F274" sqref="F27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292</v>
      </c>
    </row>
    <row r="2" spans="1:21" s="9" customFormat="1" ht="20.100000000000001" customHeight="1" x14ac:dyDescent="0.25"/>
    <row r="3" spans="1:21" ht="20.100000000000001" customHeight="1" x14ac:dyDescent="0.25">
      <c r="A3" s="17" t="str">
        <f>HYPERLINK("#'Home'!A1", "Home")</f>
        <v>Home</v>
      </c>
      <c r="C3" s="4"/>
      <c r="D3" s="4" t="s">
        <v>123</v>
      </c>
      <c r="E3" s="4"/>
      <c r="F3" s="4"/>
      <c r="G3" s="4"/>
      <c r="H3" s="4"/>
      <c r="I3" s="4"/>
      <c r="J3" s="4"/>
      <c r="K3" s="4"/>
      <c r="M3" s="4"/>
      <c r="N3" s="4" t="s">
        <v>124</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226</v>
      </c>
      <c r="N16" s="104" t="s">
        <v>228</v>
      </c>
    </row>
    <row r="17" spans="1:21" ht="20.100000000000001" customHeight="1" x14ac:dyDescent="0.25">
      <c r="A17" s="17" t="str">
        <f>HYPERLINK("#'4.3.1.9 Soil direct N2O'!A1", "4.3.1.9 Soil direct N2O")</f>
        <v>4.3.1.9 Soil direct N2O</v>
      </c>
      <c r="D17" s="103" t="s">
        <v>227</v>
      </c>
      <c r="N17" s="103" t="s">
        <v>229</v>
      </c>
    </row>
    <row r="18" spans="1:21" ht="20.100000000000001" customHeight="1" x14ac:dyDescent="0.25">
      <c r="A18" s="17" t="str">
        <f>HYPERLINK("#'4.3.1.10-11 Soil Atmos Dep'!A1", "4.3.1.10-11 Soil atm. deposition")</f>
        <v>4.3.1.10-11 Soil atm. deposition</v>
      </c>
      <c r="D18" s="41" t="s">
        <v>178</v>
      </c>
      <c r="E18" s="41" t="s">
        <v>195</v>
      </c>
      <c r="F18" s="41" t="s">
        <v>196</v>
      </c>
      <c r="G18" s="41" t="s">
        <v>197</v>
      </c>
      <c r="H18" s="41" t="s">
        <v>198</v>
      </c>
      <c r="N18" s="41" t="s">
        <v>178</v>
      </c>
      <c r="O18" s="41" t="s">
        <v>195</v>
      </c>
      <c r="P18" s="41" t="s">
        <v>196</v>
      </c>
      <c r="Q18" s="41" t="s">
        <v>197</v>
      </c>
      <c r="R18" s="41" t="s">
        <v>198</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200</v>
      </c>
      <c r="N19" s="55">
        <f>'Input - Dairy'!$E$18</f>
        <v>550</v>
      </c>
      <c r="O19" s="55">
        <f>'Input - Dairy'!$F$18</f>
        <v>380</v>
      </c>
      <c r="P19" s="55">
        <f>'Input - Dairy'!$G$18</f>
        <v>155</v>
      </c>
      <c r="Q19" s="55">
        <f>'Input - Dairy'!$H$18</f>
        <v>600</v>
      </c>
      <c r="R19" s="55">
        <f>'Input - Dairy'!$I$18</f>
        <v>225</v>
      </c>
      <c r="S19" s="2" t="s">
        <v>200</v>
      </c>
    </row>
    <row r="20" spans="1:21" ht="20.100000000000001" customHeight="1" x14ac:dyDescent="0.25">
      <c r="A20" s="17"/>
    </row>
    <row r="21" spans="1:21" ht="20.100000000000001" customHeight="1" x14ac:dyDescent="0.25">
      <c r="A21" s="18" t="s">
        <v>4</v>
      </c>
      <c r="D21" s="104" t="s">
        <v>293</v>
      </c>
    </row>
    <row r="22" spans="1:21" ht="20.100000000000001" customHeight="1" x14ac:dyDescent="0.25">
      <c r="A22" s="17" t="str">
        <f>HYPERLINK("#'Constants - Dairy'!A1", "Constants - Dairy")</f>
        <v>Constants - Dairy</v>
      </c>
      <c r="D22" s="103" t="s">
        <v>294</v>
      </c>
    </row>
    <row r="23" spans="1:21" ht="20.100000000000001" customHeight="1" x14ac:dyDescent="0.25">
      <c r="A23" s="17" t="str">
        <f>HYPERLINK("#'Constants - Livestock'!A1", "Constants - Livestock")</f>
        <v>Constants - Livestock</v>
      </c>
      <c r="D23" s="54" t="s">
        <v>178</v>
      </c>
      <c r="E23" s="54" t="s">
        <v>195</v>
      </c>
      <c r="F23" s="54" t="s">
        <v>196</v>
      </c>
      <c r="G23" s="54" t="s">
        <v>197</v>
      </c>
      <c r="H23" s="54" t="s">
        <v>198</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200</v>
      </c>
    </row>
    <row r="25" spans="1:21" ht="20.100000000000001" customHeight="1" x14ac:dyDescent="0.25">
      <c r="A25" s="17" t="str">
        <f>HYPERLINK("#'Acknowledgements'!A1", "Acknowledgements")</f>
        <v>Acknowledgements</v>
      </c>
    </row>
    <row r="26" spans="1:21" ht="20.100000000000001" customHeight="1" x14ac:dyDescent="0.25">
      <c r="D26" s="104" t="s">
        <v>295</v>
      </c>
      <c r="N26" s="104" t="s">
        <v>295</v>
      </c>
    </row>
    <row r="27" spans="1:21" ht="20.100000000000001" customHeight="1" x14ac:dyDescent="0.25">
      <c r="D27" s="103" t="s">
        <v>296</v>
      </c>
      <c r="N27" s="103" t="s">
        <v>296</v>
      </c>
    </row>
    <row r="28" spans="1:21" ht="20.100000000000001" customHeight="1" x14ac:dyDescent="0.25">
      <c r="D28" s="54" t="s">
        <v>178</v>
      </c>
      <c r="E28" s="54" t="s">
        <v>195</v>
      </c>
      <c r="F28" s="54" t="s">
        <v>196</v>
      </c>
      <c r="G28" s="54" t="s">
        <v>197</v>
      </c>
      <c r="H28" s="54" t="s">
        <v>198</v>
      </c>
      <c r="N28" s="54" t="s">
        <v>178</v>
      </c>
      <c r="O28" s="54" t="s">
        <v>195</v>
      </c>
      <c r="P28" s="54" t="s">
        <v>196</v>
      </c>
      <c r="Q28" s="54" t="s">
        <v>197</v>
      </c>
      <c r="R28" s="54" t="s">
        <v>198</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116</v>
      </c>
      <c r="N47" s="104" t="s">
        <v>118</v>
      </c>
    </row>
    <row r="48" spans="4:14" ht="20.100000000000001" customHeight="1" x14ac:dyDescent="0.25">
      <c r="D48" s="103" t="s">
        <v>249</v>
      </c>
      <c r="N48" s="103" t="s">
        <v>248</v>
      </c>
    </row>
    <row r="49" spans="4:19" ht="20.100000000000001" customHeight="1" x14ac:dyDescent="0.25">
      <c r="D49" s="54" t="s">
        <v>178</v>
      </c>
      <c r="E49" s="54" t="s">
        <v>195</v>
      </c>
      <c r="F49" s="54" t="s">
        <v>196</v>
      </c>
      <c r="G49" s="54" t="s">
        <v>197</v>
      </c>
      <c r="H49" s="54" t="s">
        <v>198</v>
      </c>
      <c r="N49" s="54" t="s">
        <v>178</v>
      </c>
      <c r="O49" s="54" t="s">
        <v>195</v>
      </c>
      <c r="P49" s="54" t="s">
        <v>196</v>
      </c>
      <c r="Q49" s="54" t="s">
        <v>197</v>
      </c>
      <c r="R49" s="54" t="s">
        <v>198</v>
      </c>
    </row>
    <row r="50" spans="4:19" ht="20.100000000000001" customHeight="1" x14ac:dyDescent="0.25">
      <c r="D50" s="55">
        <f>'4.3.1.1-2 Methane'!D84</f>
        <v>9.4647127858085369</v>
      </c>
      <c r="E50" s="55">
        <f>'4.3.1.1-2 Methane'!E84</f>
        <v>7.4188685375999972</v>
      </c>
      <c r="F50" s="55">
        <f>'4.3.1.1-2 Methane'!F84</f>
        <v>4.0231734662249998</v>
      </c>
      <c r="G50" s="55">
        <f>'4.3.1.1-2 Methane'!G84</f>
        <v>9.0270202499999979</v>
      </c>
      <c r="H50" s="55">
        <f>'4.3.1.1-2 Methane'!H84</f>
        <v>5.4143472656250013</v>
      </c>
      <c r="I50" s="2" t="str">
        <f>G42</f>
        <v>kgDM/head/day</v>
      </c>
      <c r="N50" s="55">
        <f>'4.3.1.1-2 Methane'!O84</f>
        <v>9.4647127858085369</v>
      </c>
      <c r="O50" s="55">
        <f>'4.3.1.1-2 Methane'!P84</f>
        <v>7.4188685375999972</v>
      </c>
      <c r="P50" s="55">
        <f>'4.3.1.1-2 Methane'!Q84</f>
        <v>4.0231734662249998</v>
      </c>
      <c r="Q50" s="55">
        <f>'4.3.1.1-2 Methane'!R84</f>
        <v>9.0270202499999979</v>
      </c>
      <c r="R50" s="55">
        <f>'4.3.1.1-2 Methane'!S84</f>
        <v>5.4143472656250013</v>
      </c>
      <c r="S50" s="2" t="str">
        <f>'4.3.1.1-2 Methane'!T84</f>
        <v>kg DM/head/day</v>
      </c>
    </row>
    <row r="51" spans="4:19" ht="20.100000000000001" customHeight="1" x14ac:dyDescent="0.25"/>
    <row r="52" spans="4:19" ht="20.100000000000001" customHeight="1" x14ac:dyDescent="0.25">
      <c r="D52" s="104" t="s">
        <v>234</v>
      </c>
    </row>
    <row r="53" spans="4:19" ht="20.100000000000001" customHeight="1" x14ac:dyDescent="0.25">
      <c r="D53" s="103" t="s">
        <v>235</v>
      </c>
    </row>
    <row r="54" spans="4:19" ht="20.100000000000001" customHeight="1" x14ac:dyDescent="0.25">
      <c r="D54" s="54" t="s">
        <v>178</v>
      </c>
      <c r="E54" s="54" t="s">
        <v>195</v>
      </c>
      <c r="F54" s="54" t="s">
        <v>196</v>
      </c>
      <c r="G54" s="54" t="s">
        <v>197</v>
      </c>
      <c r="H54" s="54" t="s">
        <v>198</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241</v>
      </c>
    </row>
    <row r="58" spans="4:19" ht="20.100000000000001" customHeight="1" x14ac:dyDescent="0.25">
      <c r="D58" s="103" t="s">
        <v>242</v>
      </c>
    </row>
    <row r="59" spans="4:19" ht="20.100000000000001" customHeight="1" x14ac:dyDescent="0.25">
      <c r="D59" s="54" t="s">
        <v>178</v>
      </c>
      <c r="E59" s="54" t="s">
        <v>195</v>
      </c>
      <c r="F59" s="54" t="s">
        <v>196</v>
      </c>
      <c r="G59" s="54" t="s">
        <v>197</v>
      </c>
      <c r="H59" s="54" t="s">
        <v>198</v>
      </c>
    </row>
    <row r="60" spans="4:19" ht="20.100000000000001" customHeight="1" x14ac:dyDescent="0.25">
      <c r="D60" s="55">
        <f>'4.3.1.1-2 Methane'!D49</f>
        <v>0.21026726504853488</v>
      </c>
      <c r="E60" s="55">
        <f>'4.3.1.1-2 Methane'!E49</f>
        <v>0</v>
      </c>
      <c r="F60" s="55">
        <f>'4.3.1.1-2 Methane'!F49</f>
        <v>0</v>
      </c>
      <c r="G60" s="55">
        <f>'4.3.1.1-2 Methane'!G49</f>
        <v>0</v>
      </c>
      <c r="H60" s="55">
        <f>'4.3.1.1-2 Methane'!H49</f>
        <v>0</v>
      </c>
      <c r="I60" s="2" t="str">
        <f>'4.3.1.1-2 Methane'!I49</f>
        <v>kg DM/head/day</v>
      </c>
    </row>
    <row r="61" spans="4:19" ht="20.100000000000001" customHeight="1" x14ac:dyDescent="0.25"/>
    <row r="62" spans="4:19" ht="20.100000000000001" customHeight="1" x14ac:dyDescent="0.25">
      <c r="D62" s="104" t="s">
        <v>297</v>
      </c>
      <c r="N62" s="104" t="s">
        <v>299</v>
      </c>
    </row>
    <row r="63" spans="4:19" ht="20.100000000000001" customHeight="1" x14ac:dyDescent="0.25">
      <c r="D63" s="103" t="s">
        <v>298</v>
      </c>
      <c r="N63" s="103" t="s">
        <v>300</v>
      </c>
    </row>
    <row r="64" spans="4:19" ht="20.100000000000001" customHeight="1" x14ac:dyDescent="0.25">
      <c r="D64" s="54" t="s">
        <v>178</v>
      </c>
      <c r="E64" s="54" t="s">
        <v>195</v>
      </c>
      <c r="F64" s="54" t="s">
        <v>196</v>
      </c>
      <c r="G64" s="54" t="s">
        <v>197</v>
      </c>
      <c r="H64" s="54" t="s">
        <v>198</v>
      </c>
      <c r="N64" s="54" t="s">
        <v>178</v>
      </c>
      <c r="O64" s="54" t="s">
        <v>195</v>
      </c>
      <c r="P64" s="54" t="s">
        <v>196</v>
      </c>
      <c r="Q64" s="54" t="s">
        <v>197</v>
      </c>
      <c r="R64" s="54" t="s">
        <v>198</v>
      </c>
    </row>
    <row r="65" spans="1:21" ht="20.100000000000001" customHeight="1" x14ac:dyDescent="0.25">
      <c r="D65" s="55" cm="1">
        <f t="array" ref="D65">MMS_Dairy_N2ODirect_Equations.VEERG_4_3_1_3__7_IntakeRelativeToMaintenance(D50,D19,D55,D60)</f>
        <v>1.0034066233551036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1.0034066233551036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13" t="s">
        <v>28</v>
      </c>
      <c r="E71" s="13" t="str" cm="1">
        <f t="array" aca="1" ref="E71" ca="1">Common_InputFunctions.Utility_DisplayFunctionName(D96)</f>
        <v>=MMS_Dairy_N2ODirect_Equations.VEERG_4_3_1_3__6_NitrogenRetainedByBody</v>
      </c>
    </row>
    <row r="72" spans="1:21" ht="20.100000000000001" customHeight="1" x14ac:dyDescent="0.25"/>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G81">MMS_Dairy_N2ODirect_Equations.VEERG_4_3_1_3__6_NitrogenRetainedByBody_Arguments()</f>
        <v>MP_j</v>
      </c>
      <c r="E78" s="137" t="str">
        <v>milk production</v>
      </c>
      <c r="F78" s="137" t="str">
        <v>L/head/day</v>
      </c>
      <c r="G78" s="135" t="str">
        <v>Input</v>
      </c>
      <c r="H78" s="134" t="str" cm="1">
        <f t="array" aca="1" ref="H78" ca="1">HYPERLINK(Common_InputFunctions.Utility_SourceHyperlink($D$83),$D$83)</f>
        <v>Table_MP_j</v>
      </c>
    </row>
    <row r="79" spans="1:21" ht="20.100000000000001" customHeight="1" x14ac:dyDescent="0.25">
      <c r="D79" s="137" t="str">
        <v>L_j</v>
      </c>
      <c r="E79" s="137" t="str">
        <v>intake relative to maintenance</v>
      </c>
      <c r="F79" s="137" t="str">
        <v/>
      </c>
      <c r="G79" s="133" t="str">
        <v>Calculated from 4.3.1.3 (7)</v>
      </c>
      <c r="H79" s="134" t="str" cm="1">
        <f t="array" aca="1" ref="H79" ca="1">HYPERLINK(Common_InputFunctions.Utility_SourceHyperlink($D$62),$D$62)</f>
        <v>M1_Table_L_j</v>
      </c>
    </row>
    <row r="80" spans="1:21" ht="20.100000000000001" customHeight="1" x14ac:dyDescent="0.25">
      <c r="D80" s="137" t="str">
        <v>Z_j</v>
      </c>
      <c r="E80" s="137" t="str">
        <v>relative size</v>
      </c>
      <c r="F80" s="137" t="str">
        <v/>
      </c>
      <c r="G80" s="133" t="str">
        <v>Calculated from 4.3.1.3 (8)</v>
      </c>
      <c r="H80" s="134" t="str" cm="1">
        <f t="array" aca="1" ref="H80" ca="1">HYPERLINK(Common_InputFunctions.Utility_SourceHyperlink($D$26),$D$26)</f>
        <v>M1_Table_Z_j</v>
      </c>
    </row>
    <row r="81" spans="4:19" ht="20.100000000000001" customHeight="1" x14ac:dyDescent="0.25">
      <c r="D81" s="137" t="str">
        <v>LWG_j</v>
      </c>
      <c r="E81" s="137" t="str">
        <v>liveweight gain</v>
      </c>
      <c r="F81" s="137" t="str">
        <v>kg/head/day</v>
      </c>
      <c r="G81" s="135" t="str">
        <v>Input</v>
      </c>
      <c r="H81" s="134" t="str" cm="1">
        <f t="array" aca="1" ref="H81" ca="1">HYPERLINK(Common_InputFunctions.Utility_SourceHyperlink($D$88),$D$88)</f>
        <v>M1_Table_LWG_j</v>
      </c>
    </row>
    <row r="82" spans="4:19" ht="20.100000000000001" customHeight="1" x14ac:dyDescent="0.25"/>
    <row r="83" spans="4:19" ht="20.100000000000001" customHeight="1" x14ac:dyDescent="0.25">
      <c r="D83" s="104" t="s">
        <v>246</v>
      </c>
    </row>
    <row r="84" spans="4:19" ht="20.100000000000001" customHeight="1" x14ac:dyDescent="0.25">
      <c r="D84" s="103" t="s">
        <v>202</v>
      </c>
    </row>
    <row r="85" spans="4:19" ht="20.100000000000001" customHeight="1" x14ac:dyDescent="0.25">
      <c r="D85" s="41" t="s">
        <v>178</v>
      </c>
      <c r="E85" s="41" t="s">
        <v>195</v>
      </c>
      <c r="F85" s="41" t="s">
        <v>196</v>
      </c>
      <c r="G85" s="41" t="s">
        <v>197</v>
      </c>
      <c r="H85" s="41" t="s">
        <v>198</v>
      </c>
    </row>
    <row r="86" spans="4:19" ht="20.100000000000001" customHeight="1" x14ac:dyDescent="0.25">
      <c r="D86" s="55">
        <f>'Input - Dairy'!$E$49</f>
        <v>44</v>
      </c>
      <c r="E86" s="55">
        <v>0</v>
      </c>
      <c r="F86" s="55">
        <v>0</v>
      </c>
      <c r="G86" s="55">
        <v>0</v>
      </c>
      <c r="H86" s="55">
        <v>0</v>
      </c>
      <c r="I86" s="2" t="str">
        <f>$F$78</f>
        <v>L/head/day</v>
      </c>
    </row>
    <row r="87" spans="4:19" ht="20.100000000000001" customHeight="1" x14ac:dyDescent="0.25"/>
    <row r="88" spans="4:19" ht="20.100000000000001" customHeight="1" x14ac:dyDescent="0.25">
      <c r="D88" s="104" t="s">
        <v>230</v>
      </c>
      <c r="N88" s="104" t="s">
        <v>232</v>
      </c>
    </row>
    <row r="89" spans="4:19" ht="20.100000000000001" customHeight="1" x14ac:dyDescent="0.25">
      <c r="D89" s="103" t="s">
        <v>231</v>
      </c>
      <c r="N89" s="103" t="s">
        <v>233</v>
      </c>
    </row>
    <row r="90" spans="4:19" ht="20.100000000000001" customHeight="1" x14ac:dyDescent="0.25">
      <c r="D90" s="41" t="s">
        <v>178</v>
      </c>
      <c r="E90" s="41" t="s">
        <v>195</v>
      </c>
      <c r="F90" s="41" t="s">
        <v>196</v>
      </c>
      <c r="G90" s="41" t="s">
        <v>197</v>
      </c>
      <c r="H90" s="41" t="s">
        <v>198</v>
      </c>
      <c r="N90" s="41" t="s">
        <v>178</v>
      </c>
      <c r="O90" s="41" t="s">
        <v>195</v>
      </c>
      <c r="P90" s="41" t="s">
        <v>196</v>
      </c>
      <c r="Q90" s="41" t="s">
        <v>197</v>
      </c>
      <c r="R90" s="41" t="s">
        <v>198</v>
      </c>
    </row>
    <row r="91" spans="4:19" ht="20.100000000000001" customHeight="1" x14ac:dyDescent="0.25">
      <c r="D91" s="55">
        <f>'Input - Dairy'!$E$15</f>
        <v>1.6E-2</v>
      </c>
      <c r="E91" s="55">
        <f>'Input - Dairy'!$F$15</f>
        <v>0.6</v>
      </c>
      <c r="F91" s="55">
        <f>'Input - Dairy'!$G$15</f>
        <v>0.56999999999999995</v>
      </c>
      <c r="G91" s="55">
        <f>'Input - Dairy'!$H$15</f>
        <v>0.1</v>
      </c>
      <c r="H91" s="55">
        <f>'Input - Dairy'!$I$15</f>
        <v>0.8</v>
      </c>
      <c r="I91" s="2" t="str">
        <f>$F$81</f>
        <v>kg/head/day</v>
      </c>
      <c r="N91" s="55">
        <f>'Input - Dairy'!$E$19</f>
        <v>1.6E-2</v>
      </c>
      <c r="O91" s="55">
        <f>'Input - Dairy'!$F$19</f>
        <v>0.6</v>
      </c>
      <c r="P91" s="55">
        <f>'Input - Dairy'!$G$19</f>
        <v>0.56999999999999995</v>
      </c>
      <c r="Q91" s="55">
        <f>'Input - Dairy'!$H$19</f>
        <v>0.1</v>
      </c>
      <c r="R91" s="55">
        <f>'Input - Dairy'!$I$19</f>
        <v>0.8</v>
      </c>
      <c r="S91" s="2" t="str">
        <f>$F$81</f>
        <v>kg/head/day</v>
      </c>
    </row>
    <row r="92" spans="4:19" ht="20.100000000000001" customHeight="1" x14ac:dyDescent="0.25"/>
    <row r="93" spans="4:19" ht="20.100000000000001" customHeight="1" x14ac:dyDescent="0.25">
      <c r="D93" s="104" t="s">
        <v>119</v>
      </c>
      <c r="N93" s="104" t="s">
        <v>120</v>
      </c>
    </row>
    <row r="94" spans="4:19" ht="20.100000000000001" customHeight="1" x14ac:dyDescent="0.25">
      <c r="D94" s="103" t="s">
        <v>301</v>
      </c>
      <c r="N94" s="103" t="s">
        <v>302</v>
      </c>
    </row>
    <row r="95" spans="4:19" ht="20.100000000000001" customHeight="1" x14ac:dyDescent="0.25">
      <c r="D95" s="54" t="s">
        <v>178</v>
      </c>
      <c r="E95" s="54" t="s">
        <v>195</v>
      </c>
      <c r="F95" s="54" t="s">
        <v>196</v>
      </c>
      <c r="G95" s="54" t="s">
        <v>197</v>
      </c>
      <c r="H95" s="54" t="s">
        <v>198</v>
      </c>
      <c r="N95" s="54" t="s">
        <v>178</v>
      </c>
      <c r="O95" s="54" t="s">
        <v>195</v>
      </c>
      <c r="P95" s="54" t="s">
        <v>196</v>
      </c>
      <c r="Q95" s="54" t="s">
        <v>197</v>
      </c>
      <c r="R95" s="54" t="s">
        <v>198</v>
      </c>
    </row>
    <row r="96" spans="4:19" ht="20.100000000000001" customHeight="1" x14ac:dyDescent="0.25">
      <c r="D96" s="55" cm="1">
        <f t="array" ref="D96">MMS_Dairy_N2ODirect_Equations.VEERG_4_3_1_3__6_NitrogenRetainedByBody(D86,D65,D29,D91)</f>
        <v>3.6552968231573939E-2</v>
      </c>
      <c r="E96" s="55" cm="1">
        <f t="array" ref="E96">MMS_Dairy_N2ODirect_Equations.VEERG_4_3_1_3__6_NitrogenRetainedByBody(E86,E65,E29,E91)</f>
        <v>8.7932411900846184E-3</v>
      </c>
      <c r="F96" s="55" cm="1">
        <f t="array" ref="F96">MMS_Dairy_N2ODirect_Equations.VEERG_4_3_1_3__6_NitrogenRetainedByBody(F86,F65,F29,F91)</f>
        <v>1.4575548166167214E-2</v>
      </c>
      <c r="G96" s="55" cm="1">
        <f t="array" ref="G96">MMS_Dairy_N2ODirect_Equations.VEERG_4_3_1_3__6_NitrogenRetainedByBody(G86,G65,G29,G91)</f>
        <v>1.2626203146474683E-3</v>
      </c>
      <c r="H96" s="55" cm="1">
        <f t="array" ref="H96">MMS_Dairy_N2ODirect_Equations.VEERG_4_3_1_3__6_NitrogenRetainedByBody(H86,H65,H29,H91)</f>
        <v>1.9757354894894087E-2</v>
      </c>
      <c r="I96" s="2" t="str">
        <f>$E$76</f>
        <v>kg N/head/day</v>
      </c>
      <c r="N96" s="55" cm="1">
        <f t="array" ref="N96">MMS_Dairy_N2ODirect_Equations.VEERG_4_3_1_3__6_NitrogenRetainedByBody(D86,N65,N29,N91)</f>
        <v>3.6552968231573939E-2</v>
      </c>
      <c r="O96" s="55" cm="1">
        <f t="array" ref="O96">MMS_Dairy_N2ODirect_Equations.VEERG_4_3_1_3__6_NitrogenRetainedByBody(E86,O65,O29,O91)</f>
        <v>8.7932411900846184E-3</v>
      </c>
      <c r="P96" s="55" cm="1">
        <f t="array" ref="P96">MMS_Dairy_N2ODirect_Equations.VEERG_4_3_1_3__6_NitrogenRetainedByBody(F86,P65,P29,P91)</f>
        <v>1.4575548166167214E-2</v>
      </c>
      <c r="Q96" s="55" cm="1">
        <f t="array" ref="Q96">MMS_Dairy_N2ODirect_Equations.VEERG_4_3_1_3__6_NitrogenRetainedByBody(G86,Q65,Q29,Q91)</f>
        <v>1.2626203146474683E-3</v>
      </c>
      <c r="R96" s="55" cm="1">
        <f t="array" ref="R96">MMS_Dairy_N2ODirect_Equations.VEERG_4_3_1_3__6_NitrogenRetainedByBody(H86,R65,R29,R91)</f>
        <v>1.9757354894894087E-2</v>
      </c>
      <c r="S96" s="2" t="str">
        <f>$E$76</f>
        <v>kg N/head/day</v>
      </c>
    </row>
    <row r="97" spans="1:21" ht="20.100000000000001" customHeight="1" x14ac:dyDescent="0.25"/>
    <row r="98" spans="1:21" ht="20.100000000000001" customHeight="1" x14ac:dyDescent="0.25">
      <c r="A98" s="141" t="str">
        <f>HYPERLINK("#A1", "▲ Back to top")</f>
        <v>▲ Back to top</v>
      </c>
    </row>
    <row r="99" spans="1:21" ht="20.100000000000001" customHeight="1" x14ac:dyDescent="0.25">
      <c r="C99" s="48"/>
      <c r="D99" s="48"/>
      <c r="E99" s="48"/>
      <c r="F99" s="48"/>
      <c r="G99" s="48"/>
      <c r="H99" s="48"/>
      <c r="I99" s="48"/>
      <c r="J99" s="48"/>
      <c r="K99" s="48"/>
      <c r="M99" s="48"/>
      <c r="N99" s="48"/>
      <c r="O99" s="48"/>
      <c r="P99" s="48"/>
      <c r="Q99" s="48"/>
      <c r="R99" s="48"/>
      <c r="S99" s="48"/>
      <c r="T99" s="48"/>
      <c r="U99" s="48"/>
    </row>
    <row r="100" spans="1:21" ht="20.100000000000001" customHeight="1" x14ac:dyDescent="0.25">
      <c r="D100" s="6" t="str" cm="1">
        <f t="array" ref="D100">MMS_Dairy_N2ODirect_Equations.VEERG_4_3_1_3__5_CrudeProteinIntakeOfDairyCattle_Title()</f>
        <v>Crude protein intake of dairy cattle</v>
      </c>
    </row>
    <row r="101" spans="1:21" ht="20.100000000000001" customHeight="1" x14ac:dyDescent="0.25">
      <c r="D101" s="5" t="str" cm="1">
        <f t="array" ref="D101">MMS_Dairy_N2ODirect_Equations.VEERG_4_3_1_3__5_CrudeProteinIntakeOfDairyCattle_Source()</f>
        <v>VEERG 2026: 4.3.1.3, Equation (5)</v>
      </c>
    </row>
    <row r="102" spans="1:21" ht="20.100000000000001" customHeight="1" x14ac:dyDescent="0.25">
      <c r="D102" s="13" t="s">
        <v>28</v>
      </c>
      <c r="E102" s="13" t="str" cm="1">
        <f t="array" aca="1" ref="E102" ca="1">Common_InputFunctions.Utility_DisplayFunctionName(D119)</f>
        <v>=MMS_Dairy_N2ODirect_Equations.VEERG_4_3_1_3__5_CrudeProteinIntakeOfDairyCattle</v>
      </c>
    </row>
    <row r="103" spans="1:21" ht="20.100000000000001" customHeight="1" x14ac:dyDescent="0.25"/>
    <row r="104" spans="1:21" ht="20.100000000000001" customHeight="1" x14ac:dyDescent="0.25">
      <c r="D104" s="6"/>
    </row>
    <row r="105" spans="1:21" ht="20.100000000000001" customHeight="1" x14ac:dyDescent="0.25">
      <c r="D105" s="56" t="s">
        <v>31</v>
      </c>
      <c r="E105" s="1" t="str" cm="1">
        <f t="array" ref="E105">MMS_Dairy_N2ODirect_Equations.VEERG_4_3_1_3__5_CrudeProteinIntakeOfDairyCattle_Variable()</f>
        <v>CPI_j</v>
      </c>
    </row>
    <row r="106" spans="1:21" ht="20.100000000000001" customHeight="1" x14ac:dyDescent="0.25">
      <c r="D106" s="56" t="s">
        <v>21</v>
      </c>
      <c r="E106" s="57" t="str" cm="1">
        <f t="array" ref="E106">MMS_Dairy_N2ODirect_Equations.VEERG_4_3_1_3__5_CrudeProteinIntakeOfDairyCattle_Unit()</f>
        <v>kg/head/day</v>
      </c>
    </row>
    <row r="107" spans="1:21" ht="20.100000000000001" customHeight="1" x14ac:dyDescent="0.25"/>
    <row r="108" spans="1:21" ht="20.100000000000001" customHeight="1" x14ac:dyDescent="0.25">
      <c r="D108" s="137" t="str" cm="1">
        <f t="array" ref="D108:G109">MMS_Dairy_N2ODirect_Equations.VEERG_4_3_1_3__5_CrudeProteinIntakeOfDairyCattle_Arguments()</f>
        <v>I_j</v>
      </c>
      <c r="E108" s="137" t="str">
        <v>dry matter intake</v>
      </c>
      <c r="F108" s="137" t="str">
        <v>kgDM/head/day</v>
      </c>
      <c r="G108" s="133" t="str">
        <v>Calculated from 3.3.1.1 (3)</v>
      </c>
      <c r="H108" s="134" t="str" cm="1">
        <f t="array" aca="1" ref="H108" ca="1">HYPERLINK(Common_InputFunctions.Utility_SourceHyperlink($D$47),$D$47)</f>
        <v>M1_Table_I_j</v>
      </c>
    </row>
    <row r="109" spans="1:21" ht="20.100000000000001" customHeight="1" x14ac:dyDescent="0.25">
      <c r="D109" s="137" t="str">
        <v>CP_j</v>
      </c>
      <c r="E109" s="137" t="str">
        <v>crude protein content of feed intake</v>
      </c>
      <c r="F109" s="137" t="str">
        <v>fraction</v>
      </c>
      <c r="G109" s="135" t="str">
        <v>Input</v>
      </c>
      <c r="H109" s="134" t="str" cm="1">
        <f t="array" aca="1" ref="H109" ca="1">HYPERLINK(Common_InputFunctions.Utility_SourceHyperlink($D$111),$D$111)</f>
        <v>M1_Table_CP_j</v>
      </c>
    </row>
    <row r="110" spans="1:21" ht="20.100000000000001" customHeight="1" x14ac:dyDescent="0.25"/>
    <row r="111" spans="1:21" ht="20.100000000000001" customHeight="1" x14ac:dyDescent="0.25">
      <c r="D111" s="104" t="s">
        <v>117</v>
      </c>
      <c r="N111" s="104" t="s">
        <v>117</v>
      </c>
    </row>
    <row r="112" spans="1:21" ht="20.100000000000001" customHeight="1" x14ac:dyDescent="0.25">
      <c r="D112" s="103" t="s">
        <v>303</v>
      </c>
      <c r="N112" s="103" t="s">
        <v>303</v>
      </c>
    </row>
    <row r="113" spans="1:21" ht="20.100000000000001" customHeight="1" x14ac:dyDescent="0.25">
      <c r="D113" s="41" t="s">
        <v>178</v>
      </c>
      <c r="E113" s="41" t="s">
        <v>195</v>
      </c>
      <c r="F113" s="41" t="s">
        <v>196</v>
      </c>
      <c r="G113" s="41" t="s">
        <v>197</v>
      </c>
      <c r="H113" s="41" t="s">
        <v>198</v>
      </c>
      <c r="N113" s="41" t="s">
        <v>178</v>
      </c>
      <c r="O113" s="41" t="s">
        <v>195</v>
      </c>
      <c r="P113" s="41" t="s">
        <v>196</v>
      </c>
      <c r="Q113" s="41" t="s">
        <v>197</v>
      </c>
      <c r="R113" s="41" t="s">
        <v>198</v>
      </c>
    </row>
    <row r="114" spans="1:21" ht="20.100000000000001" customHeight="1" x14ac:dyDescent="0.25">
      <c r="D114" s="55">
        <f>'Input - Dairy'!E38</f>
        <v>0.2</v>
      </c>
      <c r="E114" s="55">
        <f>'Input - Dairy'!F38</f>
        <v>0.2</v>
      </c>
      <c r="F114" s="55">
        <f>'Input - Dairy'!G38</f>
        <v>0.2</v>
      </c>
      <c r="G114" s="55">
        <f>'Input - Dairy'!H38</f>
        <v>0.2</v>
      </c>
      <c r="H114" s="55">
        <f>'Input - Dairy'!I38</f>
        <v>0.2</v>
      </c>
      <c r="I114" s="2" t="str">
        <f>$F$109</f>
        <v>fraction</v>
      </c>
      <c r="N114" s="55">
        <f>'Input - Dairy'!E43</f>
        <v>0.2</v>
      </c>
      <c r="O114" s="55">
        <f>'Input - Dairy'!F43</f>
        <v>0.2</v>
      </c>
      <c r="P114" s="55">
        <f>'Input - Dairy'!G43</f>
        <v>0.2</v>
      </c>
      <c r="Q114" s="55">
        <f>'Input - Dairy'!H43</f>
        <v>0.2</v>
      </c>
      <c r="R114" s="55">
        <f>'Input - Dairy'!I43</f>
        <v>0.2</v>
      </c>
      <c r="S114" s="2" t="str">
        <f>$F$109</f>
        <v>fraction</v>
      </c>
    </row>
    <row r="115" spans="1:21" ht="20.100000000000001" customHeight="1" x14ac:dyDescent="0.25"/>
    <row r="116" spans="1:21" ht="20.100000000000001" customHeight="1" x14ac:dyDescent="0.25">
      <c r="D116" s="104" t="s">
        <v>304</v>
      </c>
      <c r="N116" s="104" t="s">
        <v>304</v>
      </c>
    </row>
    <row r="117" spans="1:21" ht="20.100000000000001" customHeight="1" x14ac:dyDescent="0.25">
      <c r="D117" s="103" t="s">
        <v>305</v>
      </c>
      <c r="N117" s="103" t="s">
        <v>305</v>
      </c>
    </row>
    <row r="118" spans="1:21" ht="20.100000000000001" customHeight="1" x14ac:dyDescent="0.25">
      <c r="D118" s="54" t="s">
        <v>178</v>
      </c>
      <c r="E118" s="54" t="s">
        <v>195</v>
      </c>
      <c r="F118" s="54" t="s">
        <v>196</v>
      </c>
      <c r="G118" s="54" t="s">
        <v>197</v>
      </c>
      <c r="H118" s="54" t="s">
        <v>198</v>
      </c>
      <c r="N118" s="54" t="s">
        <v>178</v>
      </c>
      <c r="O118" s="54" t="s">
        <v>195</v>
      </c>
      <c r="P118" s="54" t="s">
        <v>196</v>
      </c>
      <c r="Q118" s="54" t="s">
        <v>197</v>
      </c>
      <c r="R118" s="54" t="s">
        <v>198</v>
      </c>
    </row>
    <row r="119" spans="1:21" ht="20.100000000000001" customHeight="1" x14ac:dyDescent="0.25">
      <c r="D119" s="55" cm="1">
        <f t="array" ref="D119">MMS_Dairy_N2ODirect_Equations.VEERG_4_3_1_3__5_CrudeProteinIntakeOfDairyCattle(D50,D114)</f>
        <v>1.8929425571617076</v>
      </c>
      <c r="E119" s="55" cm="1">
        <f t="array" ref="E119">MMS_Dairy_N2ODirect_Equations.VEERG_4_3_1_3__5_CrudeProteinIntakeOfDairyCattle(E50,E114)</f>
        <v>1.4837737075199995</v>
      </c>
      <c r="F119" s="55" cm="1">
        <f t="array" ref="F119">MMS_Dairy_N2ODirect_Equations.VEERG_4_3_1_3__5_CrudeProteinIntakeOfDairyCattle(F50,F114)</f>
        <v>0.80463469324500003</v>
      </c>
      <c r="G119" s="55" cm="1">
        <f t="array" ref="G119">MMS_Dairy_N2ODirect_Equations.VEERG_4_3_1_3__5_CrudeProteinIntakeOfDairyCattle(G50,G114)</f>
        <v>1.8054040499999997</v>
      </c>
      <c r="H119" s="55" cm="1">
        <f t="array" ref="H119">MMS_Dairy_N2ODirect_Equations.VEERG_4_3_1_3__5_CrudeProteinIntakeOfDairyCattle(H50,H114)</f>
        <v>1.0828694531250003</v>
      </c>
      <c r="I119" s="2" t="str">
        <f>$E$106</f>
        <v>kg/head/day</v>
      </c>
      <c r="N119" s="55" cm="1">
        <f t="array" ref="N119">MMS_Dairy_N2ODirect_Equations.VEERG_4_3_1_3__5_CrudeProteinIntakeOfDairyCattle(N50,N114)</f>
        <v>1.8929425571617076</v>
      </c>
      <c r="O119" s="55" cm="1">
        <f t="array" ref="O119">MMS_Dairy_N2ODirect_Equations.VEERG_4_3_1_3__5_CrudeProteinIntakeOfDairyCattle(O50,O114)</f>
        <v>1.4837737075199995</v>
      </c>
      <c r="P119" s="55" cm="1">
        <f t="array" ref="P119">MMS_Dairy_N2ODirect_Equations.VEERG_4_3_1_3__5_CrudeProteinIntakeOfDairyCattle(P50,P114)</f>
        <v>0.80463469324500003</v>
      </c>
      <c r="Q119" s="55" cm="1">
        <f t="array" ref="Q119">MMS_Dairy_N2ODirect_Equations.VEERG_4_3_1_3__5_CrudeProteinIntakeOfDairyCattle(Q50,Q114)</f>
        <v>1.8054040499999997</v>
      </c>
      <c r="R119" s="55" cm="1">
        <f t="array" ref="R119">MMS_Dairy_N2ODirect_Equations.VEERG_4_3_1_3__5_CrudeProteinIntakeOfDairyCattle(R50,R114)</f>
        <v>1.0828694531250003</v>
      </c>
      <c r="S119" s="2" t="str">
        <f>$E$106</f>
        <v>kg/head/day</v>
      </c>
    </row>
    <row r="120" spans="1:21" ht="20.100000000000001" customHeight="1" x14ac:dyDescent="0.25"/>
    <row r="121" spans="1:21" ht="20.100000000000001" customHeight="1" x14ac:dyDescent="0.25">
      <c r="A121" s="141" t="str">
        <f>HYPERLINK("#A1", "▲ Back to top")</f>
        <v>▲ Back to top</v>
      </c>
    </row>
    <row r="122" spans="1:21" ht="20.100000000000001" customHeight="1" x14ac:dyDescent="0.25">
      <c r="C122" s="48"/>
      <c r="D122" s="48"/>
      <c r="E122" s="48"/>
      <c r="F122" s="48"/>
      <c r="G122" s="48"/>
      <c r="H122" s="48"/>
      <c r="I122" s="48"/>
      <c r="J122" s="48"/>
      <c r="K122" s="48"/>
      <c r="M122" s="48"/>
      <c r="N122" s="48"/>
      <c r="O122" s="48"/>
      <c r="P122" s="48"/>
      <c r="Q122" s="48"/>
      <c r="R122" s="48"/>
      <c r="S122" s="48"/>
      <c r="T122" s="48"/>
      <c r="U122" s="48"/>
    </row>
    <row r="123" spans="1:21" ht="20.100000000000001" customHeight="1" x14ac:dyDescent="0.25">
      <c r="D123" s="6" t="str" cm="1">
        <f t="array" ref="D123">MMS_Dairy_N2ODirect_Equations.VEERG_4_3_1_3__4_NitrogenExcretedByDairyCattleGreaterThanOneYear_Title()</f>
        <v>Nitrogen excreted by dairy cattle greater than one year old</v>
      </c>
    </row>
    <row r="124" spans="1:21" ht="20.100000000000001" customHeight="1" x14ac:dyDescent="0.25">
      <c r="D124" s="5" t="str" cm="1">
        <f t="array" ref="D124">MMS_Dairy_N2ODirect_Equations.VEERG_4_3_1_3__4_NitrogenExcretedByDairyCattleGreaterThanOneYear_Source()</f>
        <v>VEERG 2026: 4.3.1.3, Equation (4)</v>
      </c>
    </row>
    <row r="125" spans="1:21" ht="20.100000000000001" customHeight="1" x14ac:dyDescent="0.25">
      <c r="D125" s="13" t="s">
        <v>28</v>
      </c>
      <c r="E125" s="13" t="str" cm="1">
        <f t="array" aca="1" ref="E125" ca="1">Common_InputFunctions.Utility_DisplayFunctionName(D139)</f>
        <v>=MMS_Dairy_N2ODirect_Equations.VEERG_4_3_1_3__4_NitrogenExcretedByDairyCattleGreaterThanOneYear</v>
      </c>
    </row>
    <row r="126" spans="1:21" ht="20.100000000000001" customHeight="1" x14ac:dyDescent="0.25"/>
    <row r="127" spans="1:21" ht="20.100000000000001" customHeight="1" x14ac:dyDescent="0.25">
      <c r="D127" s="6"/>
    </row>
    <row r="128" spans="1:21" ht="20.100000000000001" customHeight="1" x14ac:dyDescent="0.25"/>
    <row r="129" spans="1:21" ht="20.100000000000001" customHeight="1" x14ac:dyDescent="0.25">
      <c r="D129" s="56" t="s">
        <v>31</v>
      </c>
      <c r="E129" s="1" t="str" cm="1">
        <f t="array" ref="E129">MMS_Dairy_N2ODirect_Equations.VEERG_4_3_1_3__4_NitrogenExcretedByDairyCattleGreaterThanOneYear_Variable()</f>
        <v>NE_j</v>
      </c>
    </row>
    <row r="130" spans="1:21" ht="20.100000000000001" customHeight="1" x14ac:dyDescent="0.25">
      <c r="D130" s="56" t="s">
        <v>21</v>
      </c>
      <c r="E130" s="57" t="str" cm="1">
        <f t="array" ref="E130">MMS_Dairy_N2ODirect_Equations.VEERG_4_3_1_3__4_NitrogenExcretedByDairyCattleGreaterThanOneYear_Unit()</f>
        <v>kg N/head/day</v>
      </c>
    </row>
    <row r="131" spans="1:21" ht="20.100000000000001" customHeight="1" x14ac:dyDescent="0.25"/>
    <row r="132" spans="1:21" ht="20.100000000000001" customHeight="1" x14ac:dyDescent="0.25">
      <c r="D132" s="137" t="str" cm="1">
        <f t="array" ref="D132:E134">_xlfn.CHOOSECOLS(MMS_Dairy_N2ODirect_Equations.VEERG_4_3_1_3__4_NitrogenExcretedByDairyCattleGreaterThanOneYear_Arguments(),1,2)</f>
        <v>CPI_j</v>
      </c>
      <c r="E132" s="136" t="str">
        <v>crude protein intake (kg/head/day)</v>
      </c>
      <c r="F132" s="138"/>
      <c r="G132" s="137" t="str" cm="1">
        <f t="array" ref="G132:H134">_xlfn.CHOOSECOLS(MMS_Dairy_N2ODirect_Equations.VEERG_4_3_1_3__4_NitrogenExcretedByDairyCattleGreaterThanOneYear_Arguments(),3,4)</f>
        <v>kg/head/day</v>
      </c>
      <c r="H132" s="133" t="str">
        <v>Calculated from 4.3.1.3 (5)</v>
      </c>
      <c r="I132" s="134" t="str" cm="1">
        <f t="array" aca="1" ref="I132" ca="1">HYPERLINK(Common_InputFunctions.Utility_SourceHyperlink($D$116),$D$116)</f>
        <v>M1_Table_CPI_j</v>
      </c>
    </row>
    <row r="133" spans="1:21" ht="20.100000000000001" customHeight="1" x14ac:dyDescent="0.25">
      <c r="D133" s="137" t="str">
        <v>NR_j</v>
      </c>
      <c r="E133" s="136" t="str">
        <v>amount of nitrogen retained by the body</v>
      </c>
      <c r="F133" s="138"/>
      <c r="G133" s="137" t="str">
        <v>kg N/head/day</v>
      </c>
      <c r="H133" s="133" t="str">
        <v>Calculated from 4.3.1.3 (6)</v>
      </c>
      <c r="I133" s="134" t="str" cm="1">
        <f t="array" aca="1" ref="I133" ca="1">HYPERLINK(Common_InputFunctions.Utility_SourceHyperlink($D$93),$D$93)</f>
        <v>M1_Table_NR_j</v>
      </c>
    </row>
    <row r="134" spans="1:21" ht="20.100000000000001" customHeight="1" x14ac:dyDescent="0.25">
      <c r="D134" s="137" t="str">
        <v>W_j</v>
      </c>
      <c r="E134" s="136" t="str">
        <v>liveweight (kg)</v>
      </c>
      <c r="F134" s="138"/>
      <c r="G134" s="137" t="str">
        <v>kg</v>
      </c>
      <c r="H134" s="135" t="str">
        <v>Input</v>
      </c>
      <c r="I134" s="134" t="str" cm="1">
        <f t="array" aca="1" ref="I134" ca="1">HYPERLINK(Common_InputFunctions.Utility_SourceHyperlink($D$16),$D$16)</f>
        <v>M1_Table_W_j</v>
      </c>
    </row>
    <row r="135" spans="1:21" ht="20.100000000000001" customHeight="1" x14ac:dyDescent="0.25"/>
    <row r="136" spans="1:21" ht="20.100000000000001" customHeight="1" x14ac:dyDescent="0.25">
      <c r="D136" s="104" t="s">
        <v>121</v>
      </c>
      <c r="N136" s="104" t="s">
        <v>122</v>
      </c>
    </row>
    <row r="137" spans="1:21" ht="20.100000000000001" customHeight="1" x14ac:dyDescent="0.25">
      <c r="D137" s="103" t="s">
        <v>306</v>
      </c>
      <c r="N137" s="103" t="s">
        <v>307</v>
      </c>
    </row>
    <row r="138" spans="1:21" ht="20.100000000000001" customHeight="1" x14ac:dyDescent="0.25">
      <c r="D138" s="54" t="s">
        <v>178</v>
      </c>
      <c r="E138" s="54" t="s">
        <v>195</v>
      </c>
      <c r="F138" s="54" t="s">
        <v>196</v>
      </c>
      <c r="G138" s="54" t="s">
        <v>197</v>
      </c>
      <c r="H138" s="54" t="s">
        <v>198</v>
      </c>
      <c r="N138" s="54" t="s">
        <v>178</v>
      </c>
      <c r="O138" s="54" t="s">
        <v>195</v>
      </c>
      <c r="P138" s="54" t="s">
        <v>196</v>
      </c>
      <c r="Q138" s="54" t="s">
        <v>197</v>
      </c>
      <c r="R138" s="54" t="s">
        <v>198</v>
      </c>
    </row>
    <row r="139" spans="1:21" ht="20.100000000000001" customHeight="1" x14ac:dyDescent="0.25">
      <c r="D139" s="55" cm="1">
        <f t="array" ref="D139">MMS_Dairy_N2ODirect_Equations.VEERG_4_3_1_3__4_NitrogenExcretedByDairyCattleGreaterThanOneYear(D119,D96,D19)</f>
        <v>0.26431897029296131</v>
      </c>
      <c r="E139" s="55" cm="1">
        <f t="array" ref="E139">MMS_Dairy_N2ODirect_Equations.VEERG_4_3_1_3__4_NitrogenExcretedByDairyCattleGreaterThanOneYear(E119,E96,E19)</f>
        <v>0.22709576921272823</v>
      </c>
      <c r="F139" s="55" cm="1">
        <f t="array" ref="F139">MMS_Dairy_N2ODirect_Equations.VEERG_4_3_1_3__4_NitrogenExcretedByDairyCattleGreaterThanOneYear(F119,F96,F19)</f>
        <v>0.1133928568810149</v>
      </c>
      <c r="G139" s="55" cm="1">
        <f t="array" ref="G139">MMS_Dairy_N2ODirect_Equations.VEERG_4_3_1_3__4_NitrogenExcretedByDairyCattleGreaterThanOneYear(G119,G96,G19)</f>
        <v>0.28546836331241399</v>
      </c>
      <c r="H139" s="55" cm="1">
        <f t="array" ref="H139">MMS_Dairy_N2ODirect_Equations.VEERG_4_3_1_3__4_NitrogenExcretedByDairyCattleGreaterThanOneYear(H119,H96,H19)</f>
        <v>0.15247929000170721</v>
      </c>
      <c r="I139" s="2" t="str">
        <f>$E$130</f>
        <v>kg N/head/day</v>
      </c>
      <c r="N139" s="55" cm="1">
        <f t="array" ref="N139">MMS_Dairy_N2ODirect_Equations.VEERG_4_3_1_3__4_NitrogenExcretedByDairyCattleGreaterThanOneYear(N119,N96,N19)</f>
        <v>0.26431897029296131</v>
      </c>
      <c r="O139" s="55" cm="1">
        <f t="array" ref="O139">MMS_Dairy_N2ODirect_Equations.VEERG_4_3_1_3__4_NitrogenExcretedByDairyCattleGreaterThanOneYear(O119,O96,O19)</f>
        <v>0.22709576921272823</v>
      </c>
      <c r="P139" s="55" cm="1">
        <f t="array" ref="P139">MMS_Dairy_N2ODirect_Equations.VEERG_4_3_1_3__4_NitrogenExcretedByDairyCattleGreaterThanOneYear(P119,P96,P19)</f>
        <v>0.1133928568810149</v>
      </c>
      <c r="Q139" s="55" cm="1">
        <f t="array" ref="Q139">MMS_Dairy_N2ODirect_Equations.VEERG_4_3_1_3__4_NitrogenExcretedByDairyCattleGreaterThanOneYear(Q119,Q96,Q19)</f>
        <v>0.28546836331241399</v>
      </c>
      <c r="R139" s="55" cm="1">
        <f t="array" ref="R139">MMS_Dairy_N2ODirect_Equations.VEERG_4_3_1_3__4_NitrogenExcretedByDairyCattleGreaterThanOneYear(R119,R96,R19)</f>
        <v>0.15247929000170721</v>
      </c>
      <c r="S139" s="2" t="str">
        <f>$E$130</f>
        <v>kg N/head/day</v>
      </c>
    </row>
    <row r="140" spans="1:21" ht="20.100000000000001" customHeight="1" x14ac:dyDescent="0.25"/>
    <row r="141" spans="1:21" ht="20.100000000000001" customHeight="1" x14ac:dyDescent="0.25">
      <c r="A141" s="141" t="str">
        <f>HYPERLINK("#A1", "▲ Back to top")</f>
        <v>▲ Back to top</v>
      </c>
    </row>
    <row r="142" spans="1:21" ht="20.100000000000001" customHeight="1" x14ac:dyDescent="0.25">
      <c r="C142" s="48"/>
      <c r="D142" s="48"/>
      <c r="E142" s="48"/>
      <c r="F142" s="48"/>
      <c r="G142" s="48"/>
      <c r="H142" s="48"/>
      <c r="I142" s="48"/>
      <c r="J142" s="48"/>
      <c r="K142" s="48"/>
      <c r="M142" s="48"/>
      <c r="N142" s="48"/>
      <c r="O142" s="48"/>
      <c r="P142" s="48"/>
      <c r="Q142" s="48"/>
      <c r="R142" s="48"/>
      <c r="S142" s="48"/>
      <c r="T142" s="48"/>
      <c r="U142" s="48"/>
    </row>
    <row r="143" spans="1:21" ht="20.100000000000001" customHeight="1" x14ac:dyDescent="0.25">
      <c r="D143" s="6" t="str" cm="1">
        <f t="array" ref="D143">MMS_Dairy_N2ODirect_Equations.VEERG_4_3_1_3__3a_TotalAnnualNitrogenExcretedGreaterThanOneYear_Title()</f>
        <v>Total annual nitrogen excreted by dairy cattle greater than one year old</v>
      </c>
    </row>
    <row r="144" spans="1:21" ht="20.100000000000001" customHeight="1" x14ac:dyDescent="0.25">
      <c r="D144" s="5" t="str" cm="1">
        <f t="array" ref="D144">MMS_Dairy_N2ODirect_Equations.VEERG_4_3_1_3__3a_TotalAnnualNitrogenExcretedGreaterThanOneYear_Source()</f>
        <v>VEERG 2026: 4.3.1.3, Equation (3a)</v>
      </c>
    </row>
    <row r="145" spans="4:9" ht="20.100000000000001" customHeight="1" x14ac:dyDescent="0.25">
      <c r="D145" s="58" t="str" cm="1">
        <f t="array" ref="D145">MMS_Dairy_N2ODirect_Equations.VEERG_4_3_1_3__3a_TotalAnnualNitrogenExcretedGreaterThanOneYear_Variation()</f>
        <v>VARIATION: Used Duration variables instead of hard-coded 365 value.</v>
      </c>
    </row>
    <row r="146" spans="4:9" ht="20.100000000000001" customHeight="1" x14ac:dyDescent="0.25">
      <c r="D146" s="13" t="s">
        <v>28</v>
      </c>
      <c r="E146" s="13" t="str" cm="1">
        <f t="array" aca="1" ref="E146" ca="1">Common_InputFunctions.Utility_DisplayFunctionName(D169)</f>
        <v>=MMS_Dairy_N2ODirect_Equations.VEERG_4_3_1_3__3a_TotalAnnualNitrogenExcretedGreaterThanOneYearVariation</v>
      </c>
    </row>
    <row r="147" spans="4:9" ht="20.100000000000001" customHeight="1" x14ac:dyDescent="0.25"/>
    <row r="148" spans="4:9" ht="20.100000000000001" customHeight="1" x14ac:dyDescent="0.25">
      <c r="D148" s="6"/>
    </row>
    <row r="149" spans="4:9" ht="20.100000000000001" customHeight="1" x14ac:dyDescent="0.25">
      <c r="D149" s="56" t="s">
        <v>31</v>
      </c>
      <c r="E149" s="1" t="str" cm="1">
        <f t="array" ref="E149">MMS_Dairy_N2ODirect_Equations.VEERG_4_3_1_3__3a_TotalAnnualNitrogenExcretedGreaterThanOneYear_Variable()</f>
        <v>AE_j124</v>
      </c>
    </row>
    <row r="150" spans="4:9" ht="20.100000000000001" customHeight="1" x14ac:dyDescent="0.25">
      <c r="D150" s="56" t="s">
        <v>21</v>
      </c>
      <c r="E150" s="57" t="str" cm="1">
        <f t="array" ref="E150">MMS_Dairy_N2ODirect_Equations.VEERG_4_3_1_3__3a_TotalAnnualNitrogenExcretedGreaterThanOneYear_Unit()</f>
        <v>kg N</v>
      </c>
    </row>
    <row r="151" spans="4:9" ht="20.100000000000001" customHeight="1" x14ac:dyDescent="0.25"/>
    <row r="152" spans="4:9" ht="20.100000000000001" customHeight="1" x14ac:dyDescent="0.25">
      <c r="D152" s="137" t="str" cm="1">
        <f t="array" ref="D152:E154">_xlfn.CHOOSECOLS(MMS_Dairy_N2ODirect_Equations.VEERG_4_3_1_3__3a_TotalAnnualNitrogenExcretedGreaterThanOneYear_Arguments(),1,2)</f>
        <v>N_j124</v>
      </c>
      <c r="E152" s="137" t="str">
        <v>number of dairy cattle in classes j=1,2,4</v>
      </c>
      <c r="F152" s="137"/>
      <c r="G152" s="137" t="str" cm="1">
        <f t="array" ref="G152:H154">_xlfn.CHOOSECOLS(MMS_Dairy_N2ODirect_Equations.VEERG_4_3_1_3__3a_TotalAnnualNitrogenExcretedGreaterThanOneYear_Arguments(),3,4)</f>
        <v>head</v>
      </c>
      <c r="H152" s="135" t="str">
        <v>Input</v>
      </c>
      <c r="I152" s="134" t="str" cm="1">
        <f t="array" aca="1" ref="I152" ca="1">HYPERLINK(Common_InputFunctions.Utility_SourceHyperlink($D$156),$D$156)</f>
        <v>Table_N_j</v>
      </c>
    </row>
    <row r="153" spans="4:9" ht="20.100000000000001" customHeight="1" x14ac:dyDescent="0.25">
      <c r="D153" s="137" t="str">
        <v>NE_j124</v>
      </c>
      <c r="E153" s="137" t="str">
        <v>nitrogen excreted by dairy cattle greater than one year old (kg N/head/day)</v>
      </c>
      <c r="F153" s="137"/>
      <c r="G153" s="137" t="str">
        <v>kg N/head/day</v>
      </c>
      <c r="H153" s="133" t="str">
        <v>Calculated from 4.3.1.3 (4)</v>
      </c>
      <c r="I153" s="134" t="str" cm="1">
        <f t="array" aca="1" ref="I153" ca="1">HYPERLINK(Common_InputFunctions.Utility_SourceHyperlink($D$136),$D$136)</f>
        <v>M1_Table_NE_j</v>
      </c>
    </row>
    <row r="154" spans="4:9" ht="20.100000000000001" customHeight="1" x14ac:dyDescent="0.25">
      <c r="D154" s="137" t="str">
        <v>D_j124</v>
      </c>
      <c r="E154" s="137" t="str">
        <v>duration of stay on farm for classes j=1,2,4 (days)</v>
      </c>
      <c r="F154" s="137"/>
      <c r="G154" s="137" t="str">
        <v>days</v>
      </c>
      <c r="H154" s="135" t="str">
        <v>Input</v>
      </c>
      <c r="I154" s="134" t="str" cm="1">
        <f t="array" aca="1" ref="I154" ca="1">HYPERLINK(Common_InputFunctions.Utility_SourceHyperlink($D$161),$D$161)</f>
        <v>M1_Table_D_j-1-2-4</v>
      </c>
    </row>
    <row r="155" spans="4:9" ht="20.100000000000001" customHeight="1" x14ac:dyDescent="0.25"/>
    <row r="156" spans="4:9" ht="20.100000000000001" customHeight="1" x14ac:dyDescent="0.25">
      <c r="D156" s="104" t="s">
        <v>109</v>
      </c>
    </row>
    <row r="157" spans="4:9" ht="20.100000000000001" customHeight="1" x14ac:dyDescent="0.25">
      <c r="D157" s="103" t="s">
        <v>274</v>
      </c>
    </row>
    <row r="158" spans="4:9" ht="20.100000000000001" customHeight="1" x14ac:dyDescent="0.25">
      <c r="D158" s="41" t="s">
        <v>178</v>
      </c>
      <c r="E158" s="41" t="s">
        <v>195</v>
      </c>
      <c r="F158" s="41" t="s">
        <v>196</v>
      </c>
      <c r="G158" s="41" t="s">
        <v>197</v>
      </c>
      <c r="H158" s="41" t="s">
        <v>198</v>
      </c>
    </row>
    <row r="159" spans="4:9" ht="20.100000000000001" customHeight="1" x14ac:dyDescent="0.25">
      <c r="D159" s="107">
        <f>'Input - Dairy'!$E$10</f>
        <v>100</v>
      </c>
      <c r="E159" s="107">
        <f>'Input - Dairy'!$F$10</f>
        <v>100</v>
      </c>
      <c r="F159" s="107">
        <f>'Input - Dairy'!$G$10</f>
        <v>100</v>
      </c>
      <c r="G159" s="107">
        <f>'Input - Dairy'!$H$10</f>
        <v>100</v>
      </c>
      <c r="H159" s="107">
        <f>'Input - Dairy'!$I$10</f>
        <v>100</v>
      </c>
      <c r="I159" s="2" t="str">
        <f>G152</f>
        <v>head</v>
      </c>
    </row>
    <row r="160" spans="4:9" ht="20.100000000000001" customHeight="1" x14ac:dyDescent="0.25"/>
    <row r="161" spans="1:21" ht="20.100000000000001" customHeight="1" x14ac:dyDescent="0.25">
      <c r="D161" s="104" t="s">
        <v>281</v>
      </c>
      <c r="N161" s="104" t="s">
        <v>281</v>
      </c>
    </row>
    <row r="162" spans="1:21" ht="20.100000000000001" customHeight="1" x14ac:dyDescent="0.25">
      <c r="D162" s="103" t="s">
        <v>310</v>
      </c>
      <c r="N162" s="103" t="s">
        <v>311</v>
      </c>
    </row>
    <row r="163" spans="1:21" ht="20.100000000000001" customHeight="1" x14ac:dyDescent="0.25">
      <c r="D163" s="41" t="s">
        <v>178</v>
      </c>
      <c r="E163" s="41" t="s">
        <v>195</v>
      </c>
      <c r="F163" s="41" t="s">
        <v>196</v>
      </c>
      <c r="G163" s="41" t="s">
        <v>197</v>
      </c>
      <c r="H163" s="41" t="s">
        <v>198</v>
      </c>
      <c r="N163" s="41" t="s">
        <v>178</v>
      </c>
      <c r="O163" s="41" t="s">
        <v>195</v>
      </c>
      <c r="P163" s="41" t="s">
        <v>196</v>
      </c>
      <c r="Q163" s="41" t="s">
        <v>197</v>
      </c>
      <c r="R163" s="41" t="s">
        <v>198</v>
      </c>
    </row>
    <row r="164" spans="1:21" ht="20.100000000000001" customHeight="1" x14ac:dyDescent="0.25">
      <c r="D164" s="55">
        <f>'Input - Dairy'!$E$24</f>
        <v>365</v>
      </c>
      <c r="E164" s="55">
        <f>'Input - Dairy'!$F$24</f>
        <v>365</v>
      </c>
      <c r="F164" s="55">
        <v>0</v>
      </c>
      <c r="G164" s="55">
        <f>'Input - Dairy'!$H$24</f>
        <v>365</v>
      </c>
      <c r="H164" s="55">
        <v>0</v>
      </c>
      <c r="I164" s="2" t="str">
        <f>G154</f>
        <v>days</v>
      </c>
      <c r="N164" s="55">
        <f>'Input - Dairy'!E28</f>
        <v>365</v>
      </c>
      <c r="O164" s="55">
        <f>'Input - Dairy'!F28</f>
        <v>365</v>
      </c>
      <c r="P164" s="55">
        <v>0</v>
      </c>
      <c r="Q164" s="55">
        <f>'Input - Dairy'!H28</f>
        <v>365</v>
      </c>
      <c r="R164" s="55">
        <v>0</v>
      </c>
      <c r="S164" s="2" t="s">
        <v>56</v>
      </c>
    </row>
    <row r="165" spans="1:21" ht="20.100000000000001" customHeight="1" x14ac:dyDescent="0.25"/>
    <row r="166" spans="1:21" ht="20.100000000000001" customHeight="1" x14ac:dyDescent="0.25">
      <c r="D166" s="104" t="s">
        <v>308</v>
      </c>
      <c r="N166" s="104" t="s">
        <v>308</v>
      </c>
    </row>
    <row r="167" spans="1:21" ht="20.100000000000001" customHeight="1" x14ac:dyDescent="0.25">
      <c r="D167" s="103" t="s">
        <v>317</v>
      </c>
      <c r="N167" s="103" t="s">
        <v>309</v>
      </c>
    </row>
    <row r="168" spans="1:21" ht="20.100000000000001" customHeight="1" x14ac:dyDescent="0.25">
      <c r="D168" s="54" t="s">
        <v>178</v>
      </c>
      <c r="E168" s="54" t="s">
        <v>195</v>
      </c>
      <c r="F168" s="54" t="s">
        <v>196</v>
      </c>
      <c r="G168" s="54" t="s">
        <v>197</v>
      </c>
      <c r="H168" s="54" t="s">
        <v>198</v>
      </c>
      <c r="N168" s="54" t="s">
        <v>178</v>
      </c>
      <c r="O168" s="54" t="s">
        <v>195</v>
      </c>
      <c r="P168" s="54" t="s">
        <v>196</v>
      </c>
      <c r="Q168" s="54" t="s">
        <v>197</v>
      </c>
      <c r="R168" s="54" t="s">
        <v>198</v>
      </c>
    </row>
    <row r="169" spans="1:21" ht="20.100000000000001" customHeight="1" x14ac:dyDescent="0.25">
      <c r="D169" s="55" cm="1">
        <f t="array" ref="D169">MMS_Dairy_N2ODirect_Equations.VEERG_4_3_1_3__3a_TotalAnnualNitrogenExcretedGreaterThanOneYearVariation(D159,D139,D164)</f>
        <v>9647.642415693088</v>
      </c>
      <c r="E169" s="55" cm="1">
        <f t="array" ref="E169">MMS_Dairy_N2ODirect_Equations.VEERG_4_3_1_3__3a_TotalAnnualNitrogenExcretedGreaterThanOneYearVariation(E159,E139,E164)</f>
        <v>8288.9955762645804</v>
      </c>
      <c r="F169" s="55" cm="1">
        <f t="array" ref="F169">MMS_Dairy_N2ODirect_Equations.VEERG_4_3_1_3__3a_TotalAnnualNitrogenExcretedGreaterThanOneYearVariation(F159,F139,F164)</f>
        <v>0</v>
      </c>
      <c r="G169" s="55" cm="1">
        <f t="array" ref="G169">MMS_Dairy_N2ODirect_Equations.VEERG_4_3_1_3__3a_TotalAnnualNitrogenExcretedGreaterThanOneYearVariation(G159,G139,G164)</f>
        <v>10419.59526090311</v>
      </c>
      <c r="H169" s="55" cm="1">
        <f t="array" ref="H169">MMS_Dairy_N2ODirect_Equations.VEERG_4_3_1_3__3a_TotalAnnualNitrogenExcretedGreaterThanOneYearVariation(H159,H139,H164)</f>
        <v>0</v>
      </c>
      <c r="I169" s="2" t="str">
        <f>$E$150</f>
        <v>kg N</v>
      </c>
      <c r="N169" s="55" cm="1">
        <f t="array" ref="N169">MMS_Dairy_N2ODirect_Equations.VEERG_4_3_1_3__3a_TotalAnnualNitrogenExcretedGreaterThanOneYearVariation(D159,N139,N164)</f>
        <v>9647.642415693088</v>
      </c>
      <c r="O169" s="55" cm="1">
        <f t="array" ref="O169">MMS_Dairy_N2ODirect_Equations.VEERG_4_3_1_3__3a_TotalAnnualNitrogenExcretedGreaterThanOneYearVariation(E159,O139,O164)</f>
        <v>8288.9955762645804</v>
      </c>
      <c r="P169" s="55" cm="1">
        <f t="array" ref="P169">MMS_Dairy_N2ODirect_Equations.VEERG_4_3_1_3__3a_TotalAnnualNitrogenExcretedGreaterThanOneYearVariation(F159,P139,P164)</f>
        <v>0</v>
      </c>
      <c r="Q169" s="55" cm="1">
        <f t="array" ref="Q169">MMS_Dairy_N2ODirect_Equations.VEERG_4_3_1_3__3a_TotalAnnualNitrogenExcretedGreaterThanOneYearVariation(G159,Q139,Q164)</f>
        <v>10419.59526090311</v>
      </c>
      <c r="R169" s="55" cm="1">
        <f t="array" ref="R169">MMS_Dairy_N2ODirect_Equations.VEERG_4_3_1_3__3a_TotalAnnualNitrogenExcretedGreaterThanOneYearVariation(H159,R139,R164)</f>
        <v>0</v>
      </c>
      <c r="S169" s="2" t="str">
        <f>$E$150</f>
        <v>kg N</v>
      </c>
    </row>
    <row r="170" spans="1:21" ht="20.100000000000001" customHeight="1" x14ac:dyDescent="0.25"/>
    <row r="171" spans="1:21" ht="20.100000000000001" customHeight="1" x14ac:dyDescent="0.25">
      <c r="A171" s="141" t="str">
        <f>HYPERLINK("#A1", "▲ Back to top")</f>
        <v>▲ Back to top</v>
      </c>
    </row>
    <row r="172" spans="1:21" ht="20.100000000000001" customHeight="1" x14ac:dyDescent="0.25">
      <c r="C172" s="48"/>
      <c r="D172" s="48"/>
      <c r="E172" s="48"/>
      <c r="F172" s="48"/>
      <c r="G172" s="48"/>
      <c r="H172" s="48"/>
      <c r="I172" s="48"/>
      <c r="J172" s="48"/>
      <c r="K172" s="48"/>
      <c r="M172" s="48"/>
      <c r="N172" s="48"/>
      <c r="O172" s="48"/>
      <c r="P172" s="48"/>
      <c r="Q172" s="48"/>
      <c r="R172" s="48"/>
      <c r="S172" s="48"/>
      <c r="T172" s="48"/>
      <c r="U172" s="48"/>
    </row>
    <row r="173" spans="1:21" ht="20.100000000000001" customHeight="1" x14ac:dyDescent="0.25">
      <c r="D173" s="6" t="str" cm="1">
        <f t="array" ref="D173">MMS_Dairy_N2ODirect_Equations.VEERG_4_3_1_3__3b_TotalAnnualNitrogenExcretedLessThanOneYear_Title()</f>
        <v>Total annual nitrogen excreted by dairy cattle less than one year old</v>
      </c>
    </row>
    <row r="174" spans="1:21" ht="20.100000000000001" customHeight="1" x14ac:dyDescent="0.25">
      <c r="D174" s="5" t="str" cm="1">
        <f t="array" ref="D174">MMS_Dairy_N2ODirect_Equations.VEERG_4_3_1_3__3b_TotalAnnualNitrogenExcretedLessThanOneYear_Source()</f>
        <v>VEERG 2026: 4.3.1.3, Equation (3b)</v>
      </c>
    </row>
    <row r="175" spans="1:21" ht="20.100000000000001" customHeight="1" x14ac:dyDescent="0.25">
      <c r="D175" s="58" t="str" cm="1">
        <f t="array" ref="D175">MMS_Dairy_N2ODirect_Equations.VEERG_4_3_1_3__3b_TotalAnnualNitrogenExcretedLessThanOneYear_Variation()</f>
        <v>VARIATION: Used Duration variables instead of hard-coded 281 and 84 values.</v>
      </c>
    </row>
    <row r="176" spans="1:21" ht="20.100000000000001" customHeight="1" x14ac:dyDescent="0.25">
      <c r="D176" s="13" t="s">
        <v>28</v>
      </c>
      <c r="E176" s="13" t="str" cm="1">
        <f t="array" aca="1" ref="E176" ca="1">Common_InputFunctions.Utility_DisplayFunctionName(D206)</f>
        <v>=MMS_Dairy_N2ODirect_Equations.VEERG_4_3_1_3__3b_TotalAnnualNitrogenExcretedLessThanOneYearVariation</v>
      </c>
    </row>
    <row r="177" spans="4:9" ht="20.100000000000001" customHeight="1" x14ac:dyDescent="0.25">
      <c r="D177" s="6"/>
    </row>
    <row r="178" spans="4:9" ht="20.100000000000001" customHeight="1" x14ac:dyDescent="0.25">
      <c r="D178" s="6"/>
    </row>
    <row r="179" spans="4:9" ht="20.100000000000001" customHeight="1" x14ac:dyDescent="0.25">
      <c r="D179" s="56" t="s">
        <v>31</v>
      </c>
      <c r="E179" s="1" t="str" cm="1">
        <f t="array" ref="E179">MMS_Dairy_N2ODirect_Equations.VEERG_4_3_1_3__3b_TotalAnnualNitrogenExcretedLessThanOneYear_Variable()</f>
        <v>AE_j35</v>
      </c>
    </row>
    <row r="180" spans="4:9" ht="20.100000000000001" customHeight="1" x14ac:dyDescent="0.25">
      <c r="D180" s="56" t="s">
        <v>21</v>
      </c>
      <c r="E180" s="57" t="str" cm="1">
        <f t="array" ref="E180">MMS_Dairy_N2ODirect_Equations.VEERG_4_3_1_3__3b_TotalAnnualNitrogenExcretedLessThanOneYear_Unit()</f>
        <v>kg N</v>
      </c>
    </row>
    <row r="181" spans="4:9" ht="20.100000000000001" customHeight="1" x14ac:dyDescent="0.25"/>
    <row r="182" spans="4:9" ht="20.100000000000001" customHeight="1" x14ac:dyDescent="0.25">
      <c r="D182" s="137" t="str" cm="1">
        <f t="array" ref="D182:E186">_xlfn.CHOOSECOLS(MMS_Dairy_N2ODirect_Equations.VEERG_4_3_1_3__3b_TotalAnnualNitrogenExcretedLessThanOneYear_Arguments(),1,2)</f>
        <v>N_j35</v>
      </c>
      <c r="E182" s="136" t="str">
        <v>number of dairy cattle in classes j=3,5</v>
      </c>
      <c r="F182" s="138"/>
      <c r="G182" s="137" t="str" cm="1">
        <f t="array" ref="G182:H186">_xlfn.CHOOSECOLS(MMS_Dairy_N2ODirect_Equations.VEERG_4_3_1_3__3b_TotalAnnualNitrogenExcretedLessThanOneYear_Arguments(),3,4)</f>
        <v>head</v>
      </c>
      <c r="H182" s="135" t="str">
        <v>Input</v>
      </c>
      <c r="I182" s="134" t="str" cm="1">
        <f t="array" aca="1" ref="I182" ca="1">HYPERLINK(Common_InputFunctions.Utility_SourceHyperlink($D$156),$D$156)</f>
        <v>Table_N_j</v>
      </c>
    </row>
    <row r="183" spans="4:9" ht="20.100000000000001" customHeight="1" x14ac:dyDescent="0.25">
      <c r="D183" s="137" t="str">
        <v>NE_j35</v>
      </c>
      <c r="E183" s="136" t="str">
        <v>nitrogen excreted by weaned dairy cattle less than one year old (kg N/head/day)</v>
      </c>
      <c r="F183" s="138"/>
      <c r="G183" s="137" t="str">
        <v>kg N/head/day</v>
      </c>
      <c r="H183" s="133" t="str">
        <v>Calculated from 4.3.1.3 (4)</v>
      </c>
      <c r="I183" s="134" t="str" cm="1">
        <f t="array" aca="1" ref="I183" ca="1">HYPERLINK(Common_InputFunctions.Utility_SourceHyperlink($D$136),$D$136)</f>
        <v>M1_Table_NE_j</v>
      </c>
    </row>
    <row r="184" spans="4:9" ht="20.100000000000001" customHeight="1" x14ac:dyDescent="0.25">
      <c r="D184" s="137" t="str">
        <v>NPW_j35</v>
      </c>
      <c r="E184" s="136" t="str">
        <v>nitrogen excreted by pre-weaned calves (kg N/head/day)</v>
      </c>
      <c r="F184" s="138"/>
      <c r="G184" s="137" t="str">
        <v>kg N/head/day</v>
      </c>
      <c r="H184" s="133" t="str">
        <v>Constant</v>
      </c>
      <c r="I184" s="134" t="str" cm="1">
        <f t="array" aca="1" ref="I184" ca="1">HYPERLINK(Common_InputFunctions.Utility_SourceHyperlink($D$188),$D$188)</f>
        <v>Table_NPW_j-3-5</v>
      </c>
    </row>
    <row r="185" spans="4:9" ht="20.100000000000001" customHeight="1" x14ac:dyDescent="0.25">
      <c r="D185" s="137" t="str">
        <v>D_j35</v>
      </c>
      <c r="E185" s="136" t="str">
        <v>duration of stay on farm for weaned dairy cattle less than one year old (days)</v>
      </c>
      <c r="F185" s="138"/>
      <c r="G185" s="137" t="str">
        <v>days</v>
      </c>
      <c r="H185" s="135" t="str">
        <v>Input</v>
      </c>
      <c r="I185" s="134" t="str" cm="1">
        <f t="array" aca="1" ref="I185" ca="1">HYPERLINK(Common_InputFunctions.Utility_SourceHyperlink($D$193),$D$193)</f>
        <v>M1_Table_D_j-3-5</v>
      </c>
    </row>
    <row r="186" spans="4:9" ht="20.100000000000001" customHeight="1" x14ac:dyDescent="0.25">
      <c r="D186" s="137" t="str">
        <v>DPW_j35</v>
      </c>
      <c r="E186" s="136" t="str">
        <v>duration of stay on farm for pre-weaned calves (days)</v>
      </c>
      <c r="F186" s="138"/>
      <c r="G186" s="137" t="str">
        <v>days</v>
      </c>
      <c r="H186" s="135" t="str">
        <v>Input</v>
      </c>
      <c r="I186" s="134" t="str" cm="1">
        <f t="array" aca="1" ref="I186" ca="1">HYPERLINK(Common_InputFunctions.Utility_SourceHyperlink($D$198),$D$198)</f>
        <v>M1_Table_DPW_j</v>
      </c>
    </row>
    <row r="187" spans="4:9" ht="20.100000000000001" customHeight="1" x14ac:dyDescent="0.25"/>
    <row r="188" spans="4:9" ht="20.100000000000001" customHeight="1" x14ac:dyDescent="0.25">
      <c r="D188" s="104" t="s">
        <v>314</v>
      </c>
    </row>
    <row r="189" spans="4:9" ht="20.100000000000001" customHeight="1" x14ac:dyDescent="0.25">
      <c r="D189" s="103" t="s">
        <v>315</v>
      </c>
    </row>
    <row r="190" spans="4:9" ht="20.100000000000001" customHeight="1" x14ac:dyDescent="0.25">
      <c r="D190" s="54" t="s">
        <v>178</v>
      </c>
      <c r="E190" s="54" t="s">
        <v>195</v>
      </c>
      <c r="F190" s="54" t="s">
        <v>196</v>
      </c>
      <c r="G190" s="54" t="s">
        <v>197</v>
      </c>
      <c r="H190" s="54" t="s">
        <v>198</v>
      </c>
    </row>
    <row r="191" spans="4:9" ht="20.100000000000001" customHeight="1" x14ac:dyDescent="0.25">
      <c r="D191" s="55">
        <v>0</v>
      </c>
      <c r="E191" s="55">
        <v>0</v>
      </c>
      <c r="F191" s="55">
        <f>'Constants - Dairy'!$G$63</f>
        <v>1.37E-2</v>
      </c>
      <c r="G191" s="55">
        <v>0</v>
      </c>
      <c r="H191" s="55">
        <f>'Constants - Dairy'!$G$64</f>
        <v>9.1999999999999998E-3</v>
      </c>
      <c r="I191" s="2" t="str">
        <f>G184</f>
        <v>kg N/head/day</v>
      </c>
    </row>
    <row r="192" spans="4:9" ht="20.100000000000001" customHeight="1" x14ac:dyDescent="0.25"/>
    <row r="193" spans="1:19" ht="20.100000000000001" customHeight="1" x14ac:dyDescent="0.25">
      <c r="D193" s="104" t="s">
        <v>312</v>
      </c>
      <c r="N193" s="104" t="s">
        <v>312</v>
      </c>
    </row>
    <row r="194" spans="1:19" ht="20.100000000000001" customHeight="1" x14ac:dyDescent="0.25">
      <c r="D194" s="103" t="s">
        <v>313</v>
      </c>
      <c r="N194" s="103" t="s">
        <v>313</v>
      </c>
    </row>
    <row r="195" spans="1:19" ht="20.100000000000001" customHeight="1" x14ac:dyDescent="0.25">
      <c r="D195" s="41" t="s">
        <v>178</v>
      </c>
      <c r="E195" s="41" t="s">
        <v>195</v>
      </c>
      <c r="F195" s="41" t="s">
        <v>196</v>
      </c>
      <c r="G195" s="41" t="s">
        <v>197</v>
      </c>
      <c r="H195" s="41" t="s">
        <v>198</v>
      </c>
      <c r="N195" s="41" t="s">
        <v>178</v>
      </c>
      <c r="O195" s="41" t="s">
        <v>195</v>
      </c>
      <c r="P195" s="41" t="s">
        <v>196</v>
      </c>
      <c r="Q195" s="41" t="s">
        <v>197</v>
      </c>
      <c r="R195" s="41" t="s">
        <v>198</v>
      </c>
    </row>
    <row r="196" spans="1:19" ht="20.100000000000001" customHeight="1" x14ac:dyDescent="0.25">
      <c r="D196" s="55">
        <v>0</v>
      </c>
      <c r="E196" s="55">
        <v>0</v>
      </c>
      <c r="F196" s="55">
        <f>'Input - Dairy'!$G$24</f>
        <v>281</v>
      </c>
      <c r="G196" s="55">
        <v>0</v>
      </c>
      <c r="H196" s="55">
        <f>'Input - Dairy'!$I$24</f>
        <v>281</v>
      </c>
      <c r="I196" s="2" t="str">
        <f>$G$185</f>
        <v>days</v>
      </c>
      <c r="N196" s="55">
        <v>0</v>
      </c>
      <c r="O196" s="55">
        <v>0</v>
      </c>
      <c r="P196" s="55">
        <f>'Input - Dairy'!G28</f>
        <v>281</v>
      </c>
      <c r="Q196" s="55">
        <v>0</v>
      </c>
      <c r="R196" s="55">
        <f>'Input - Dairy'!I28</f>
        <v>281</v>
      </c>
      <c r="S196" s="2" t="str">
        <f>$G$185</f>
        <v>days</v>
      </c>
    </row>
    <row r="197" spans="1:19" ht="20.100000000000001" customHeight="1" x14ac:dyDescent="0.25"/>
    <row r="198" spans="1:19" ht="20.100000000000001" customHeight="1" x14ac:dyDescent="0.25">
      <c r="D198" s="104" t="s">
        <v>276</v>
      </c>
      <c r="N198" s="104" t="s">
        <v>276</v>
      </c>
    </row>
    <row r="199" spans="1:19" ht="20.100000000000001" customHeight="1" x14ac:dyDescent="0.25">
      <c r="D199" s="103" t="s">
        <v>284</v>
      </c>
      <c r="N199" s="103" t="s">
        <v>284</v>
      </c>
    </row>
    <row r="200" spans="1:19" ht="20.100000000000001" customHeight="1" x14ac:dyDescent="0.25">
      <c r="D200" s="41" t="s">
        <v>178</v>
      </c>
      <c r="E200" s="41" t="s">
        <v>195</v>
      </c>
      <c r="F200" s="41" t="s">
        <v>196</v>
      </c>
      <c r="G200" s="41" t="s">
        <v>197</v>
      </c>
      <c r="H200" s="41" t="s">
        <v>198</v>
      </c>
      <c r="N200" s="41" t="s">
        <v>178</v>
      </c>
      <c r="O200" s="41" t="s">
        <v>195</v>
      </c>
      <c r="P200" s="41" t="s">
        <v>196</v>
      </c>
      <c r="Q200" s="41" t="s">
        <v>197</v>
      </c>
      <c r="R200" s="41" t="s">
        <v>198</v>
      </c>
    </row>
    <row r="201" spans="1:19" ht="20.100000000000001" customHeight="1" x14ac:dyDescent="0.25">
      <c r="D201" s="55">
        <f>'Input - Dairy'!$E$25</f>
        <v>0</v>
      </c>
      <c r="E201" s="55">
        <f>'Input - Dairy'!$F$25</f>
        <v>0</v>
      </c>
      <c r="F201" s="55">
        <f>'Input - Dairy'!$G$25</f>
        <v>84</v>
      </c>
      <c r="G201" s="55">
        <f>'Input - Dairy'!$H$25</f>
        <v>0</v>
      </c>
      <c r="H201" s="55">
        <f>'Input - Dairy'!$I$25</f>
        <v>84</v>
      </c>
      <c r="I201" s="2" t="str">
        <f>$G$186</f>
        <v>days</v>
      </c>
      <c r="N201" s="55">
        <f>'Input - Dairy'!$E$25</f>
        <v>0</v>
      </c>
      <c r="O201" s="55">
        <f>'Input - Dairy'!$F$25</f>
        <v>0</v>
      </c>
      <c r="P201" s="55">
        <f>'Input - Dairy'!G29</f>
        <v>84</v>
      </c>
      <c r="Q201" s="55">
        <f>'Input - Dairy'!$H$25</f>
        <v>0</v>
      </c>
      <c r="R201" s="55">
        <f>'Input - Dairy'!I29</f>
        <v>84</v>
      </c>
      <c r="S201" s="2" t="str">
        <f>$G$186</f>
        <v>days</v>
      </c>
    </row>
    <row r="202" spans="1:19" ht="20.100000000000001" customHeight="1" x14ac:dyDescent="0.25"/>
    <row r="203" spans="1:19" ht="20.100000000000001" customHeight="1" x14ac:dyDescent="0.25">
      <c r="D203" s="104" t="s">
        <v>125</v>
      </c>
      <c r="N203" s="104" t="s">
        <v>125</v>
      </c>
    </row>
    <row r="204" spans="1:19" ht="20.100000000000001" customHeight="1" x14ac:dyDescent="0.25">
      <c r="D204" s="103" t="s">
        <v>316</v>
      </c>
      <c r="N204" s="103" t="s">
        <v>316</v>
      </c>
    </row>
    <row r="205" spans="1:19" ht="20.100000000000001" customHeight="1" x14ac:dyDescent="0.25">
      <c r="D205" s="54" t="s">
        <v>178</v>
      </c>
      <c r="E205" s="54" t="s">
        <v>195</v>
      </c>
      <c r="F205" s="54" t="s">
        <v>196</v>
      </c>
      <c r="G205" s="54" t="s">
        <v>197</v>
      </c>
      <c r="H205" s="54" t="s">
        <v>198</v>
      </c>
      <c r="N205" s="54" t="s">
        <v>178</v>
      </c>
      <c r="O205" s="54" t="s">
        <v>195</v>
      </c>
      <c r="P205" s="54" t="s">
        <v>196</v>
      </c>
      <c r="Q205" s="54" t="s">
        <v>197</v>
      </c>
      <c r="R205" s="54" t="s">
        <v>198</v>
      </c>
    </row>
    <row r="206" spans="1:19" ht="20.100000000000001" customHeight="1" x14ac:dyDescent="0.25">
      <c r="D206" s="55" cm="1">
        <f t="array" ref="D206">MMS_Dairy_N2ODirect_Equations.VEERG_4_3_1_3__3b_TotalAnnualNitrogenExcretedLessThanOneYearVariation(D159,D139,D191,D196,D201)</f>
        <v>0</v>
      </c>
      <c r="E206" s="55" cm="1">
        <f t="array" ref="E206">MMS_Dairy_N2ODirect_Equations.VEERG_4_3_1_3__3b_TotalAnnualNitrogenExcretedLessThanOneYearVariation(E159,E139,E191,E196,E201)</f>
        <v>0</v>
      </c>
      <c r="F206" s="55" cm="1">
        <f t="array" ref="F206">MMS_Dairy_N2ODirect_Equations.VEERG_4_3_1_3__3b_TotalAnnualNitrogenExcretedLessThanOneYearVariation(F159,F139,F191,F196,F201)</f>
        <v>3301.419278356519</v>
      </c>
      <c r="G206" s="55" cm="1">
        <f t="array" ref="G206">MMS_Dairy_N2ODirect_Equations.VEERG_4_3_1_3__3b_TotalAnnualNitrogenExcretedLessThanOneYearVariation(G159,G139,G191,G196,G201)</f>
        <v>0</v>
      </c>
      <c r="H206" s="55" cm="1">
        <f t="array" ref="H206">MMS_Dairy_N2ODirect_Equations.VEERG_4_3_1_3__3b_TotalAnnualNitrogenExcretedLessThanOneYearVariation(H159,H139,H191,H196,H201)</f>
        <v>4361.9480490479727</v>
      </c>
      <c r="I206" s="2" t="str">
        <f>$E$180</f>
        <v>kg N</v>
      </c>
      <c r="N206" s="55" cm="1">
        <f t="array" ref="N206">MMS_Dairy_N2ODirect_Equations.VEERG_4_3_1_3__3b_TotalAnnualNitrogenExcretedLessThanOneYearVariation(D159,N139,D191,N196,N201)</f>
        <v>0</v>
      </c>
      <c r="O206" s="55" cm="1">
        <f t="array" ref="O206">MMS_Dairy_N2ODirect_Equations.VEERG_4_3_1_3__3b_TotalAnnualNitrogenExcretedLessThanOneYearVariation(E159,O139,E191,O196,O201)</f>
        <v>0</v>
      </c>
      <c r="P206" s="55" cm="1">
        <f t="array" ref="P206">MMS_Dairy_N2ODirect_Equations.VEERG_4_3_1_3__3b_TotalAnnualNitrogenExcretedLessThanOneYearVariation(F159,P139,F191,P196,P201)</f>
        <v>3301.419278356519</v>
      </c>
      <c r="Q206" s="55" cm="1">
        <f t="array" ref="Q206">MMS_Dairy_N2ODirect_Equations.VEERG_4_3_1_3__3b_TotalAnnualNitrogenExcretedLessThanOneYearVariation(G159,Q139,G191,Q196,Q201)</f>
        <v>0</v>
      </c>
      <c r="R206" s="55" cm="1">
        <f t="array" ref="R206">MMS_Dairy_N2ODirect_Equations.VEERG_4_3_1_3__3b_TotalAnnualNitrogenExcretedLessThanOneYearVariation(H159,R139,H191,R196,R201)</f>
        <v>4361.9480490479727</v>
      </c>
      <c r="S206" s="2" t="str">
        <f>$E$180</f>
        <v>kg N</v>
      </c>
    </row>
    <row r="207" spans="1:19" ht="20.100000000000001" customHeight="1" x14ac:dyDescent="0.25"/>
    <row r="208" spans="1:19" ht="20.100000000000001" customHeight="1" x14ac:dyDescent="0.25">
      <c r="A208" s="141" t="str">
        <f>HYPERLINK("#A1", "▲ Back to top")</f>
        <v>▲ Back to top</v>
      </c>
    </row>
    <row r="209" spans="3:21" ht="20.100000000000001" customHeight="1" x14ac:dyDescent="0.25">
      <c r="C209" s="48"/>
      <c r="D209" s="48"/>
      <c r="E209" s="48"/>
      <c r="F209" s="48"/>
      <c r="G209" s="48"/>
      <c r="H209" s="48"/>
      <c r="I209" s="48"/>
      <c r="J209" s="48"/>
      <c r="K209" s="48"/>
      <c r="M209" s="48"/>
      <c r="N209" s="48"/>
      <c r="O209" s="48"/>
      <c r="P209" s="48"/>
      <c r="Q209" s="48"/>
      <c r="R209" s="48"/>
      <c r="S209" s="48"/>
      <c r="T209" s="48"/>
      <c r="U209" s="48"/>
    </row>
    <row r="210" spans="3:21" ht="20.100000000000001" customHeight="1" x14ac:dyDescent="0.25">
      <c r="D210" s="6" t="str" cm="1">
        <f t="array" ref="D210">MMS_Dairy_N2ODirect_Equations.VEERG_4_3_1_3__2_TotalNitrogenInEachMMS_Title()</f>
        <v>Total nitrogen in each MMS</v>
      </c>
    </row>
    <row r="211" spans="3:21" ht="20.100000000000001" customHeight="1" x14ac:dyDescent="0.25">
      <c r="D211" s="5" t="str" cm="1">
        <f t="array" ref="D211">MMS_Dairy_N2ODirect_Equations.VEERG_4_3_1_3__2_TotalNitrogenInEachMMS_Source()</f>
        <v>VEERG 2026: 4.3.1.3, Equation (2)</v>
      </c>
    </row>
    <row r="212" spans="3:21" ht="20.100000000000001" customHeight="1" x14ac:dyDescent="0.25">
      <c r="D212" s="13" t="s">
        <v>28</v>
      </c>
      <c r="E212" s="13" t="str" cm="1">
        <f t="array" aca="1" ref="E212" ca="1">Common_InputFunctions.Utility_DisplayFunctionName(F236)</f>
        <v>=MMS_Dairy_N2ODirect_Equations.VEERG_4_3_1_3__2_TotalNitrogenInEachMMS</v>
      </c>
    </row>
    <row r="213" spans="3:21" ht="20.100000000000001" customHeight="1" x14ac:dyDescent="0.25"/>
    <row r="214" spans="3:21" ht="20.100000000000001" customHeight="1" x14ac:dyDescent="0.25">
      <c r="D214" s="6"/>
    </row>
    <row r="215" spans="3:21" ht="20.100000000000001" customHeight="1" x14ac:dyDescent="0.25">
      <c r="D215" s="56" t="s">
        <v>31</v>
      </c>
      <c r="E215" s="1" t="str" cm="1">
        <f t="array" ref="E215">MMS_Dairy_N2ODirect_Equations.VEERG_4_3_1_3__2_TotalNitrogenInEachMMS_Variable()</f>
        <v>MN_jm</v>
      </c>
    </row>
    <row r="216" spans="3:21" ht="20.100000000000001" customHeight="1" x14ac:dyDescent="0.25">
      <c r="D216" s="56" t="s">
        <v>21</v>
      </c>
      <c r="E216" s="57" t="str" cm="1">
        <f t="array" ref="E216">MMS_Dairy_N2ODirect_Equations.VEERG_4_3_1_3__2_TotalNitrogenInEachMMS_Unit()</f>
        <v>kg N</v>
      </c>
    </row>
    <row r="217" spans="3:21" ht="20.100000000000001" customHeight="1" x14ac:dyDescent="0.25"/>
    <row r="218" spans="3:21" ht="20.100000000000001" customHeight="1" x14ac:dyDescent="0.25">
      <c r="D218" s="137" t="str" cm="1">
        <f t="array" ref="D218:E219">_xlfn.CHOOSECOLS(MMS_Dairy_N2ODirect_Equations.VEERG_4_3_1_3__2_TotalNitrogenInEachMMS_Arguments(),1,2)</f>
        <v>AE_j</v>
      </c>
      <c r="E218" s="137" t="str">
        <v>total nitrogen excreted by each dairy class</v>
      </c>
      <c r="F218" s="137"/>
      <c r="G218" s="137" t="str" cm="1">
        <f t="array" ref="G218:H219">_xlfn.CHOOSECOLS(MMS_Dairy_N2ODirect_Equations.VEERG_4_3_1_3__2_TotalNitrogenInEachMMS_Arguments(),3,4)</f>
        <v>kg N</v>
      </c>
      <c r="H218" s="133" t="str">
        <v>Calculated from 4.3.1.3 (3a) and (3b)</v>
      </c>
      <c r="I218" s="134" t="str" cm="1">
        <f t="array" aca="1" ref="I218" ca="1">HYPERLINK(Common_InputFunctions.Utility_SourceHyperlink($D$166),$D$166)</f>
        <v>M1_Table_AE_j-1-2-4</v>
      </c>
      <c r="J218" s="134" t="str" cm="1">
        <f t="array" aca="1" ref="J218" ca="1">HYPERLINK(Common_InputFunctions.Utility_SourceHyperlink($D$203),$D$203)</f>
        <v>M1_Table_AE_j</v>
      </c>
    </row>
    <row r="219" spans="3:21" ht="20.100000000000001" customHeight="1" x14ac:dyDescent="0.25">
      <c r="D219" s="137" t="str">
        <v>MMS_jm</v>
      </c>
      <c r="E219" s="137" t="str">
        <v>manure management system fraction for class j and system m</v>
      </c>
      <c r="F219" s="137"/>
      <c r="G219" s="137" t="str">
        <v>fraction</v>
      </c>
      <c r="H219" s="135" t="str">
        <v>Input</v>
      </c>
      <c r="I219" s="134" t="str" cm="1">
        <f t="array" aca="1" ref="I219" ca="1">HYPERLINK(Common_InputFunctions.Utility_SourceHyperlink($D$221),$D$221)</f>
        <v>M1_Table_MMS_j_m</v>
      </c>
      <c r="J219" s="134"/>
    </row>
    <row r="220" spans="3:21" ht="20.100000000000001" customHeight="1" x14ac:dyDescent="0.25"/>
    <row r="221" spans="3:21" ht="20.100000000000001" customHeight="1" x14ac:dyDescent="0.25">
      <c r="D221" s="104" t="s">
        <v>256</v>
      </c>
      <c r="N221" s="104" t="s">
        <v>258</v>
      </c>
    </row>
    <row r="222" spans="3:21" ht="20.100000000000001" customHeight="1" x14ac:dyDescent="0.25">
      <c r="D222" s="103" t="s">
        <v>318</v>
      </c>
      <c r="N222" s="103" t="s">
        <v>319</v>
      </c>
    </row>
    <row r="223" spans="3:21" ht="20.100000000000001" customHeight="1" x14ac:dyDescent="0.25">
      <c r="D223" s="41" t="s">
        <v>152</v>
      </c>
      <c r="E223" s="41" t="s">
        <v>69</v>
      </c>
      <c r="F223" s="41" t="s">
        <v>178</v>
      </c>
      <c r="G223" s="41" t="s">
        <v>195</v>
      </c>
      <c r="H223" s="41" t="s">
        <v>196</v>
      </c>
      <c r="I223" s="41" t="s">
        <v>197</v>
      </c>
      <c r="J223" s="41" t="s">
        <v>198</v>
      </c>
      <c r="N223" s="41" t="s">
        <v>152</v>
      </c>
      <c r="O223" s="41" t="s">
        <v>69</v>
      </c>
      <c r="P223" s="41" t="s">
        <v>178</v>
      </c>
      <c r="Q223" s="41" t="s">
        <v>195</v>
      </c>
      <c r="R223" s="41" t="s">
        <v>196</v>
      </c>
      <c r="S223" s="41" t="s">
        <v>197</v>
      </c>
      <c r="T223" s="41" t="s">
        <v>198</v>
      </c>
    </row>
    <row r="224" spans="3:21" ht="20.100000000000001" customHeight="1" x14ac:dyDescent="0.25">
      <c r="D224" s="55" t="str">
        <f>'Input - Dairy'!$D$59</f>
        <v>Milking shed</v>
      </c>
      <c r="E224" s="55" t="str">
        <f>'Input - Dairy'!$D$78</f>
        <v>Anaerobic lagoon</v>
      </c>
      <c r="F224" s="55" cm="1">
        <f t="array" ref="F224">InputFunctions_Dairy.CalculateFractionInMMSAfterSolidSeparation('Input - Dairy'!E59,'Input - Dairy'!E78,'Input - Dairy'!$F$72)</f>
        <v>2.2000000000000002E-2</v>
      </c>
      <c r="G224" s="55" cm="1">
        <f t="array" ref="G224">InputFunctions_Dairy.CalculateFractionInMMSAfterSolidSeparation('Input - Dairy'!F59,'Input - Dairy'!F78,'Input - Dairy'!$F$72)</f>
        <v>2.2000000000000002E-2</v>
      </c>
      <c r="H224" s="55" cm="1">
        <f t="array" ref="H224">InputFunctions_Dairy.CalculateFractionInMMSAfterSolidSeparation('Input - Dairy'!G59,'Input - Dairy'!G78,'Input - Dairy'!$F$72)</f>
        <v>2.2000000000000002E-2</v>
      </c>
      <c r="I224" s="55" cm="1">
        <f t="array" ref="I224">InputFunctions_Dairy.CalculateFractionInMMSAfterSolidSeparation('Input - Dairy'!H59,'Input - Dairy'!H78,'Input - Dairy'!$F$72)</f>
        <v>2.2000000000000002E-2</v>
      </c>
      <c r="J224" s="55" cm="1">
        <f t="array" ref="J224">InputFunctions_Dairy.CalculateFractionInMMSAfterSolidSeparation('Input - Dairy'!I59,'Input - Dairy'!I78,'Input - Dairy'!$F$72)</f>
        <v>2.2000000000000002E-2</v>
      </c>
      <c r="N224" s="55" t="str">
        <f>'Input - Dairy'!$D$59</f>
        <v>Milking shed</v>
      </c>
      <c r="O224" s="55" t="str">
        <f>'Input - Dairy'!$D$78</f>
        <v>Anaerobic lagoon</v>
      </c>
      <c r="P224" s="55" cm="1">
        <f t="array" ref="P224">InputFunctions_Dairy.CalculateFractionInMMSAfterSolidSeparation('Input - Dairy'!E64,'Input - Dairy'!E78,'Input - Dairy'!$G$72)</f>
        <v>2.2000000000000002E-2</v>
      </c>
      <c r="Q224" s="55" cm="1">
        <f t="array" ref="Q224">InputFunctions_Dairy.CalculateFractionInMMSAfterSolidSeparation('Input - Dairy'!F64,'Input - Dairy'!F78,'Input - Dairy'!$G$72)</f>
        <v>2.2000000000000002E-2</v>
      </c>
      <c r="R224" s="55" cm="1">
        <f t="array" ref="R224">InputFunctions_Dairy.CalculateFractionInMMSAfterSolidSeparation('Input - Dairy'!G64,'Input - Dairy'!G78,'Input - Dairy'!$G$72)</f>
        <v>2.2000000000000002E-2</v>
      </c>
      <c r="S224" s="55" cm="1">
        <f t="array" ref="S224">InputFunctions_Dairy.CalculateFractionInMMSAfterSolidSeparation('Input - Dairy'!H64,'Input - Dairy'!H78,'Input - Dairy'!$G$72)</f>
        <v>2.2000000000000002E-2</v>
      </c>
      <c r="T224" s="55" cm="1">
        <f t="array" ref="T224">InputFunctions_Dairy.CalculateFractionInMMSAfterSolidSeparation('Input - Dairy'!I64,'Input - Dairy'!I78,'Input - Dairy'!$G$72)</f>
        <v>2.2000000000000002E-2</v>
      </c>
    </row>
    <row r="225" spans="4:20" ht="20.100000000000001" customHeight="1" x14ac:dyDescent="0.25">
      <c r="D225" s="55" t="str">
        <f>'Input - Dairy'!$D$59</f>
        <v>Milking shed</v>
      </c>
      <c r="E225" s="55" t="str">
        <f>'Input - Dairy'!$D$79</f>
        <v>Sump and dispersal system</v>
      </c>
      <c r="F225" s="55" cm="1">
        <f t="array" ref="F225">InputFunctions_Dairy.CalculateFractionInMMSAfterSolidSeparation('Input - Dairy'!E59,'Input - Dairy'!E79,'Input - Dairy'!$F$73)</f>
        <v>2.2000000000000002E-2</v>
      </c>
      <c r="G225" s="55" cm="1">
        <f t="array" ref="G225">InputFunctions_Dairy.CalculateFractionInMMSAfterSolidSeparation('Input - Dairy'!F59,'Input - Dairy'!F79,'Input - Dairy'!$F$73)</f>
        <v>2.2000000000000002E-2</v>
      </c>
      <c r="H225" s="55" cm="1">
        <f t="array" ref="H225">InputFunctions_Dairy.CalculateFractionInMMSAfterSolidSeparation('Input - Dairy'!G59,'Input - Dairy'!G79,'Input - Dairy'!$F$73)</f>
        <v>2.2000000000000002E-2</v>
      </c>
      <c r="I225" s="55" cm="1">
        <f t="array" ref="I225">InputFunctions_Dairy.CalculateFractionInMMSAfterSolidSeparation('Input - Dairy'!H59,'Input - Dairy'!H79,'Input - Dairy'!$F$73)</f>
        <v>2.2000000000000002E-2</v>
      </c>
      <c r="J225" s="55" cm="1">
        <f t="array" ref="J225">InputFunctions_Dairy.CalculateFractionInMMSAfterSolidSeparation('Input - Dairy'!I59,'Input - Dairy'!I79,'Input - Dairy'!$F$73)</f>
        <v>2.2000000000000002E-2</v>
      </c>
      <c r="N225" s="55" t="str">
        <f>'Input - Dairy'!$D$59</f>
        <v>Milking shed</v>
      </c>
      <c r="O225" s="55" t="str">
        <f>'Input - Dairy'!$D$79</f>
        <v>Sump and dispersal system</v>
      </c>
      <c r="P225" s="55" cm="1">
        <f t="array" ref="P225">InputFunctions_Dairy.CalculateFractionInMMSAfterSolidSeparation('Input - Dairy'!E64,'Input - Dairy'!E79,'Input - Dairy'!$G$73)</f>
        <v>2.2000000000000002E-2</v>
      </c>
      <c r="Q225" s="55" cm="1">
        <f t="array" ref="Q225">InputFunctions_Dairy.CalculateFractionInMMSAfterSolidSeparation('Input - Dairy'!F64,'Input - Dairy'!F79,'Input - Dairy'!$G$73)</f>
        <v>2.2000000000000002E-2</v>
      </c>
      <c r="R225" s="55" cm="1">
        <f t="array" ref="R225">InputFunctions_Dairy.CalculateFractionInMMSAfterSolidSeparation('Input - Dairy'!G64,'Input - Dairy'!G79,'Input - Dairy'!$G$73)</f>
        <v>2.2000000000000002E-2</v>
      </c>
      <c r="S225" s="55" cm="1">
        <f t="array" ref="S225">InputFunctions_Dairy.CalculateFractionInMMSAfterSolidSeparation('Input - Dairy'!H64,'Input - Dairy'!H79,'Input - Dairy'!$G$73)</f>
        <v>2.2000000000000002E-2</v>
      </c>
      <c r="T225" s="55" cm="1">
        <f t="array" ref="T225">InputFunctions_Dairy.CalculateFractionInMMSAfterSolidSeparation('Input - Dairy'!I64,'Input - Dairy'!I79,'Input - Dairy'!$G$73)</f>
        <v>2.2000000000000002E-2</v>
      </c>
    </row>
    <row r="226" spans="4:20" ht="20.100000000000001" customHeight="1" x14ac:dyDescent="0.25">
      <c r="D226" s="55" t="str">
        <f>'Input - Dairy'!$D$59</f>
        <v>Milking shed</v>
      </c>
      <c r="E226" s="55" t="str">
        <f>'Input - Dairy'!$D$80</f>
        <v>Drains to paddock</v>
      </c>
      <c r="F226" s="55" cm="1">
        <f t="array" ref="F226">InputFunctions_Dairy.CalculateFractionInMMSAfterSolidSeparation('Input - Dairy'!E59,'Input - Dairy'!E80,'Input - Dairy'!$F$74)</f>
        <v>2.2000000000000002E-2</v>
      </c>
      <c r="G226" s="55" cm="1">
        <f t="array" ref="G226">InputFunctions_Dairy.CalculateFractionInMMSAfterSolidSeparation('Input - Dairy'!F59,'Input - Dairy'!F80,'Input - Dairy'!$F$74)</f>
        <v>2.2000000000000002E-2</v>
      </c>
      <c r="H226" s="55" cm="1">
        <f t="array" ref="H226">InputFunctions_Dairy.CalculateFractionInMMSAfterSolidSeparation('Input - Dairy'!G59,'Input - Dairy'!G80,'Input - Dairy'!$F$74)</f>
        <v>2.2000000000000002E-2</v>
      </c>
      <c r="I226" s="55" cm="1">
        <f t="array" ref="I226">InputFunctions_Dairy.CalculateFractionInMMSAfterSolidSeparation('Input - Dairy'!H59,'Input - Dairy'!H80,'Input - Dairy'!$F$74)</f>
        <v>2.2000000000000002E-2</v>
      </c>
      <c r="J226" s="55" cm="1">
        <f t="array" ref="J226">InputFunctions_Dairy.CalculateFractionInMMSAfterSolidSeparation('Input - Dairy'!I59,'Input - Dairy'!I80,'Input - Dairy'!$F$74)</f>
        <v>2.2000000000000002E-2</v>
      </c>
      <c r="N226" s="55" t="str">
        <f>'Input - Dairy'!$D$59</f>
        <v>Milking shed</v>
      </c>
      <c r="O226" s="55" t="str">
        <f>'Input - Dairy'!$D$80</f>
        <v>Drains to paddock</v>
      </c>
      <c r="P226" s="55" cm="1">
        <f t="array" ref="P226">InputFunctions_Dairy.CalculateFractionInMMSAfterSolidSeparation('Input - Dairy'!E64,'Input - Dairy'!E80,'Input - Dairy'!$G$74)</f>
        <v>2.2000000000000002E-2</v>
      </c>
      <c r="Q226" s="55" cm="1">
        <f t="array" ref="Q226">InputFunctions_Dairy.CalculateFractionInMMSAfterSolidSeparation('Input - Dairy'!F64,'Input - Dairy'!F80,'Input - Dairy'!$G$74)</f>
        <v>2.2000000000000002E-2</v>
      </c>
      <c r="R226" s="55" cm="1">
        <f t="array" ref="R226">InputFunctions_Dairy.CalculateFractionInMMSAfterSolidSeparation('Input - Dairy'!G64,'Input - Dairy'!G80,'Input - Dairy'!$G$74)</f>
        <v>2.2000000000000002E-2</v>
      </c>
      <c r="S226" s="55" cm="1">
        <f t="array" ref="S226">InputFunctions_Dairy.CalculateFractionInMMSAfterSolidSeparation('Input - Dairy'!H64,'Input - Dairy'!H80,'Input - Dairy'!$G$74)</f>
        <v>2.2000000000000002E-2</v>
      </c>
      <c r="T226" s="55" cm="1">
        <f t="array" ref="T226">InputFunctions_Dairy.CalculateFractionInMMSAfterSolidSeparation('Input - Dairy'!I64,'Input - Dairy'!I80,'Input - Dairy'!$G$74)</f>
        <v>2.2000000000000002E-2</v>
      </c>
    </row>
    <row r="227" spans="4:20" ht="20.100000000000001" customHeight="1" x14ac:dyDescent="0.25">
      <c r="D227" s="55" t="str">
        <f>'Input - Dairy'!$D$59</f>
        <v>Milking shed</v>
      </c>
      <c r="E227" s="55" t="s">
        <v>418</v>
      </c>
      <c r="F227" s="55" cm="1">
        <f t="array" ref="F227">InputFunctions_Dairy.CalculateFractionInSolidStorage('Input - Dairy'!E59,'Input - Dairy'!E81,'Input - Dairy'!E78,'Input - Dairy'!$F$72,'Input - Dairy'!E79,'Input - Dairy'!$F$73,'Input - Dairy'!E80,'Input - Dairy'!$F$74)</f>
        <v>4.3999999999999997E-2</v>
      </c>
      <c r="G227" s="55" cm="1">
        <f t="array" ref="G227">InputFunctions_Dairy.CalculateFractionInSolidStorage('Input - Dairy'!F59,'Input - Dairy'!F81,'Input - Dairy'!F78,'Input - Dairy'!$F$72,'Input - Dairy'!F79,'Input - Dairy'!$F$73,'Input - Dairy'!F80,'Input - Dairy'!$F$74)</f>
        <v>4.3999999999999997E-2</v>
      </c>
      <c r="H227" s="55" cm="1">
        <f t="array" ref="H227">InputFunctions_Dairy.CalculateFractionInSolidStorage('Input - Dairy'!G59,'Input - Dairy'!G81,'Input - Dairy'!G78,'Input - Dairy'!$F$72,'Input - Dairy'!G79,'Input - Dairy'!$F$73,'Input - Dairy'!G80,'Input - Dairy'!$F$74)</f>
        <v>4.3999999999999997E-2</v>
      </c>
      <c r="I227" s="55" cm="1">
        <f t="array" ref="I227">InputFunctions_Dairy.CalculateFractionInSolidStorage('Input - Dairy'!H59,'Input - Dairy'!H81,'Input - Dairy'!H78,'Input - Dairy'!$F$72,'Input - Dairy'!H79,'Input - Dairy'!$F$73,'Input - Dairy'!H80,'Input - Dairy'!$F$74)</f>
        <v>4.3999999999999997E-2</v>
      </c>
      <c r="J227" s="55" cm="1">
        <f t="array" ref="J227">InputFunctions_Dairy.CalculateFractionInSolidStorage('Input - Dairy'!I59,'Input - Dairy'!I81,'Input - Dairy'!I78,'Input - Dairy'!$F$72,'Input - Dairy'!I79,'Input - Dairy'!$F$73,'Input - Dairy'!I80,'Input - Dairy'!$F$74)</f>
        <v>4.3999999999999997E-2</v>
      </c>
      <c r="N227" s="55" t="str">
        <f>'Input - Dairy'!$D$59</f>
        <v>Milking shed</v>
      </c>
      <c r="O227" s="55" t="s">
        <v>418</v>
      </c>
      <c r="P227" s="55" cm="1">
        <f t="array" ref="P227">InputFunctions_Dairy.CalculateFractionInSolidStorage('Input - Dairy'!E64,'Input - Dairy'!E81,'Input - Dairy'!E78,'Input - Dairy'!$G$72,'Input - Dairy'!E79,'Input - Dairy'!$G$73,'Input - Dairy'!E80,'Input - Dairy'!$G$74)</f>
        <v>4.3999999999999997E-2</v>
      </c>
      <c r="Q227" s="55" cm="1">
        <f t="array" ref="Q227">InputFunctions_Dairy.CalculateFractionInSolidStorage('Input - Dairy'!F64,'Input - Dairy'!F81,'Input - Dairy'!F78,'Input - Dairy'!$G$72,'Input - Dairy'!F79,'Input - Dairy'!$G$73,'Input - Dairy'!F80,'Input - Dairy'!$G$74)</f>
        <v>4.3999999999999997E-2</v>
      </c>
      <c r="R227" s="55" cm="1">
        <f t="array" ref="R227">InputFunctions_Dairy.CalculateFractionInSolidStorage('Input - Dairy'!G64,'Input - Dairy'!G81,'Input - Dairy'!G78,'Input - Dairy'!$G$72,'Input - Dairy'!G79,'Input - Dairy'!$G$73,'Input - Dairy'!G80,'Input - Dairy'!$G$74)</f>
        <v>4.3999999999999997E-2</v>
      </c>
      <c r="S227" s="55" cm="1">
        <f t="array" ref="S227">InputFunctions_Dairy.CalculateFractionInSolidStorage('Input - Dairy'!H64,'Input - Dairy'!H81,'Input - Dairy'!H78,'Input - Dairy'!$G$72,'Input - Dairy'!H79,'Input - Dairy'!$G$73,'Input - Dairy'!H80,'Input - Dairy'!$G$74)</f>
        <v>4.3999999999999997E-2</v>
      </c>
      <c r="T227" s="55" cm="1">
        <f t="array" ref="T227">InputFunctions_Dairy.CalculateFractionInSolidStorage('Input - Dairy'!I64,'Input - Dairy'!I81,'Input - Dairy'!I78,'Input - Dairy'!$G$72,'Input - Dairy'!I79,'Input - Dairy'!$G$73,'Input - Dairy'!I80,'Input - Dairy'!$G$74)</f>
        <v>4.3999999999999997E-2</v>
      </c>
    </row>
    <row r="228" spans="4:20" ht="20.100000000000001" customHeight="1" x14ac:dyDescent="0.25">
      <c r="D228" s="55" t="str">
        <f>'Input - Dairy'!$D$60</f>
        <v>Feed pad</v>
      </c>
      <c r="E228" s="55" t="str">
        <f>'Input - Dairy'!$D$94</f>
        <v>Anaerobic lagoon</v>
      </c>
      <c r="F228" s="55" cm="1">
        <f t="array" ref="F228">InputFunctions_Dairy.CalculateFractionInMMSAfterSolidSeparation('Input - Dairy'!E60,'Input - Dairy'!E94,'Input - Dairy'!$F$88)</f>
        <v>8.8999999999999996E-2</v>
      </c>
      <c r="G228" s="55" cm="1">
        <f t="array" ref="G228">InputFunctions_Dairy.CalculateFractionInMMSAfterSolidSeparation('Input - Dairy'!F60,'Input - Dairy'!F94,'Input - Dairy'!$F$88)</f>
        <v>8.8999999999999996E-2</v>
      </c>
      <c r="H228" s="55" cm="1">
        <f t="array" ref="H228">InputFunctions_Dairy.CalculateFractionInMMSAfterSolidSeparation('Input - Dairy'!G60,'Input - Dairy'!G94,'Input - Dairy'!$F$88)</f>
        <v>8.8999999999999996E-2</v>
      </c>
      <c r="I228" s="55" cm="1">
        <f t="array" ref="I228">InputFunctions_Dairy.CalculateFractionInMMSAfterSolidSeparation('Input - Dairy'!H60,'Input - Dairy'!H94,'Input - Dairy'!$F$88)</f>
        <v>8.8999999999999996E-2</v>
      </c>
      <c r="J228" s="55" cm="1">
        <f t="array" ref="J228">InputFunctions_Dairy.CalculateFractionInMMSAfterSolidSeparation('Input - Dairy'!I60,'Input - Dairy'!I94,'Input - Dairy'!$F$88)</f>
        <v>8.8999999999999996E-2</v>
      </c>
      <c r="N228" s="55" t="str">
        <f>'Input - Dairy'!$D$60</f>
        <v>Feed pad</v>
      </c>
      <c r="O228" s="55" t="str">
        <f>'Input - Dairy'!$D$94</f>
        <v>Anaerobic lagoon</v>
      </c>
      <c r="P228" s="55" cm="1">
        <f t="array" ref="P228">InputFunctions_Dairy.CalculateFractionInMMSAfterSolidSeparation('Input - Dairy'!E65,'Input - Dairy'!E94,'Input - Dairy'!$G$88)</f>
        <v>8.8999999999999996E-2</v>
      </c>
      <c r="Q228" s="55" cm="1">
        <f t="array" ref="Q228">InputFunctions_Dairy.CalculateFractionInMMSAfterSolidSeparation('Input - Dairy'!F65,'Input - Dairy'!F94,'Input - Dairy'!$G$88)</f>
        <v>8.8999999999999996E-2</v>
      </c>
      <c r="R228" s="55" cm="1">
        <f t="array" ref="R228">InputFunctions_Dairy.CalculateFractionInMMSAfterSolidSeparation('Input - Dairy'!G65,'Input - Dairy'!G94,'Input - Dairy'!$G$88)</f>
        <v>8.8999999999999996E-2</v>
      </c>
      <c r="S228" s="55" cm="1">
        <f t="array" ref="S228">InputFunctions_Dairy.CalculateFractionInMMSAfterSolidSeparation('Input - Dairy'!H65,'Input - Dairy'!H94,'Input - Dairy'!$G$88)</f>
        <v>8.8999999999999996E-2</v>
      </c>
      <c r="T228" s="55" cm="1">
        <f t="array" ref="T228">InputFunctions_Dairy.CalculateFractionInMMSAfterSolidSeparation('Input - Dairy'!I65,'Input - Dairy'!I94,'Input - Dairy'!$G$88)</f>
        <v>8.8999999999999996E-2</v>
      </c>
    </row>
    <row r="229" spans="4:20" ht="20.100000000000001" customHeight="1" x14ac:dyDescent="0.25">
      <c r="D229" s="55" t="str">
        <f>'Input - Dairy'!$D$60</f>
        <v>Feed pad</v>
      </c>
      <c r="E229" s="55" t="str">
        <f>'Input - Dairy'!$D$95</f>
        <v>Sump and dispersal system</v>
      </c>
      <c r="F229" s="55" cm="1">
        <f t="array" ref="F229">InputFunctions_Dairy.CalculateFractionInMMSAfterSolidSeparation('Input - Dairy'!E60,'Input - Dairy'!E95,'Input - Dairy'!$F$89)</f>
        <v>7.1199999999999999E-2</v>
      </c>
      <c r="G229" s="55" cm="1">
        <f t="array" ref="G229">InputFunctions_Dairy.CalculateFractionInMMSAfterSolidSeparation('Input - Dairy'!F60,'Input - Dairy'!F95,'Input - Dairy'!$F$89)</f>
        <v>7.1199999999999999E-2</v>
      </c>
      <c r="H229" s="55" cm="1">
        <f t="array" ref="H229">InputFunctions_Dairy.CalculateFractionInMMSAfterSolidSeparation('Input - Dairy'!G60,'Input - Dairy'!G95,'Input - Dairy'!$F$89)</f>
        <v>7.1199999999999999E-2</v>
      </c>
      <c r="I229" s="55" cm="1">
        <f t="array" ref="I229">InputFunctions_Dairy.CalculateFractionInMMSAfterSolidSeparation('Input - Dairy'!H60,'Input - Dairy'!H95,'Input - Dairy'!$F$89)</f>
        <v>7.1199999999999999E-2</v>
      </c>
      <c r="J229" s="55" cm="1">
        <f t="array" ref="J229">InputFunctions_Dairy.CalculateFractionInMMSAfterSolidSeparation('Input - Dairy'!I60,'Input - Dairy'!I95,'Input - Dairy'!$F$89)</f>
        <v>7.1199999999999999E-2</v>
      </c>
      <c r="N229" s="55" t="str">
        <f>'Input - Dairy'!$D$60</f>
        <v>Feed pad</v>
      </c>
      <c r="O229" s="55" t="str">
        <f>'Input - Dairy'!$D$95</f>
        <v>Sump and dispersal system</v>
      </c>
      <c r="P229" s="55" cm="1">
        <f t="array" ref="P229">InputFunctions_Dairy.CalculateFractionInMMSAfterSolidSeparation('Input - Dairy'!E65,'Input - Dairy'!E95,'Input - Dairy'!$G$89)</f>
        <v>7.1199999999999999E-2</v>
      </c>
      <c r="Q229" s="55" cm="1">
        <f t="array" ref="Q229">InputFunctions_Dairy.CalculateFractionInMMSAfterSolidSeparation('Input - Dairy'!F65,'Input - Dairy'!F95,'Input - Dairy'!$G$89)</f>
        <v>7.1199999999999999E-2</v>
      </c>
      <c r="R229" s="55" cm="1">
        <f t="array" ref="R229">InputFunctions_Dairy.CalculateFractionInMMSAfterSolidSeparation('Input - Dairy'!G65,'Input - Dairy'!G95,'Input - Dairy'!$G$89)</f>
        <v>7.1199999999999999E-2</v>
      </c>
      <c r="S229" s="55" cm="1">
        <f t="array" ref="S229">InputFunctions_Dairy.CalculateFractionInMMSAfterSolidSeparation('Input - Dairy'!H65,'Input - Dairy'!H95,'Input - Dairy'!$G$89)</f>
        <v>7.1199999999999999E-2</v>
      </c>
      <c r="T229" s="55" cm="1">
        <f t="array" ref="T229">InputFunctions_Dairy.CalculateFractionInMMSAfterSolidSeparation('Input - Dairy'!I65,'Input - Dairy'!I95,'Input - Dairy'!$G$89)</f>
        <v>7.1199999999999999E-2</v>
      </c>
    </row>
    <row r="230" spans="4:20" ht="20.100000000000001" customHeight="1" x14ac:dyDescent="0.25">
      <c r="D230" s="55" t="str">
        <f>'Input - Dairy'!$D$60</f>
        <v>Feed pad</v>
      </c>
      <c r="E230" s="55" t="str">
        <f>'Input - Dairy'!$D$96</f>
        <v>Drains to paddock</v>
      </c>
      <c r="F230" s="55" cm="1">
        <f t="array" ref="F230">InputFunctions_Dairy.CalculateFractionInMMSAfterSolidSeparation('Input - Dairy'!E60,'Input - Dairy'!E96,'Input - Dairy'!$F$90)</f>
        <v>7.1199999999999999E-2</v>
      </c>
      <c r="G230" s="55" cm="1">
        <f t="array" ref="G230">InputFunctions_Dairy.CalculateFractionInMMSAfterSolidSeparation('Input - Dairy'!F60,'Input - Dairy'!F96,'Input - Dairy'!$F$90)</f>
        <v>7.1199999999999999E-2</v>
      </c>
      <c r="H230" s="55" cm="1">
        <f t="array" ref="H230">InputFunctions_Dairy.CalculateFractionInMMSAfterSolidSeparation('Input - Dairy'!G60,'Input - Dairy'!G96,'Input - Dairy'!$F$90)</f>
        <v>7.1199999999999999E-2</v>
      </c>
      <c r="I230" s="55" cm="1">
        <f t="array" ref="I230">InputFunctions_Dairy.CalculateFractionInMMSAfterSolidSeparation('Input - Dairy'!H60,'Input - Dairy'!H96,'Input - Dairy'!$F$90)</f>
        <v>7.1199999999999999E-2</v>
      </c>
      <c r="J230" s="55" cm="1">
        <f t="array" ref="J230">InputFunctions_Dairy.CalculateFractionInMMSAfterSolidSeparation('Input - Dairy'!I60,'Input - Dairy'!I96,'Input - Dairy'!$F$90)</f>
        <v>7.1199999999999999E-2</v>
      </c>
      <c r="N230" s="55" t="str">
        <f>'Input - Dairy'!$D$60</f>
        <v>Feed pad</v>
      </c>
      <c r="O230" s="55" t="str">
        <f>'Input - Dairy'!$D$96</f>
        <v>Drains to paddock</v>
      </c>
      <c r="P230" s="55" cm="1">
        <f t="array" ref="P230">InputFunctions_Dairy.CalculateFractionInMMSAfterSolidSeparation('Input - Dairy'!E65,'Input - Dairy'!E96,'Input - Dairy'!$G$90)</f>
        <v>7.1199999999999999E-2</v>
      </c>
      <c r="Q230" s="55" cm="1">
        <f t="array" ref="Q230">InputFunctions_Dairy.CalculateFractionInMMSAfterSolidSeparation('Input - Dairy'!F65,'Input - Dairy'!F96,'Input - Dairy'!$G$90)</f>
        <v>7.1199999999999999E-2</v>
      </c>
      <c r="R230" s="55" cm="1">
        <f t="array" ref="R230">InputFunctions_Dairy.CalculateFractionInMMSAfterSolidSeparation('Input - Dairy'!G65,'Input - Dairy'!G96,'Input - Dairy'!$G$90)</f>
        <v>7.1199999999999999E-2</v>
      </c>
      <c r="S230" s="55" cm="1">
        <f t="array" ref="S230">InputFunctions_Dairy.CalculateFractionInMMSAfterSolidSeparation('Input - Dairy'!H65,'Input - Dairy'!H96,'Input - Dairy'!$G$90)</f>
        <v>7.1199999999999999E-2</v>
      </c>
      <c r="T230" s="55" cm="1">
        <f t="array" ref="T230">InputFunctions_Dairy.CalculateFractionInMMSAfterSolidSeparation('Input - Dairy'!I65,'Input - Dairy'!I96,'Input - Dairy'!$G$90)</f>
        <v>7.1199999999999999E-2</v>
      </c>
    </row>
    <row r="231" spans="4:20" ht="20.100000000000001" customHeight="1" x14ac:dyDescent="0.25">
      <c r="D231" s="55" t="str">
        <f>'Input - Dairy'!$D$60</f>
        <v>Feed pad</v>
      </c>
      <c r="E231" s="55" t="s">
        <v>418</v>
      </c>
      <c r="F231" s="55" cm="1">
        <f t="array" ref="F231">InputFunctions_Dairy.CalculateFractionInSolidStorage('Input - Dairy'!E60,'Input - Dairy'!E97,'Input - Dairy'!E94,'Input - Dairy'!$F$88,'Input - Dairy'!E95,'Input - Dairy'!$F$89,'Input - Dairy'!E96,'Input - Dairy'!$F$90)</f>
        <v>0.12459999999999999</v>
      </c>
      <c r="G231" s="55" cm="1">
        <f t="array" ref="G231">InputFunctions_Dairy.CalculateFractionInSolidStorage('Input - Dairy'!F60,'Input - Dairy'!F97,'Input - Dairy'!F94,'Input - Dairy'!$F$88,'Input - Dairy'!F95,'Input - Dairy'!$F$89,'Input - Dairy'!F96,'Input - Dairy'!$F$90)</f>
        <v>0.12459999999999999</v>
      </c>
      <c r="H231" s="55" cm="1">
        <f t="array" ref="H231">InputFunctions_Dairy.CalculateFractionInSolidStorage('Input - Dairy'!G60,'Input - Dairy'!G97,'Input - Dairy'!G94,'Input - Dairy'!$F$88,'Input - Dairy'!G95,'Input - Dairy'!$F$89,'Input - Dairy'!G96,'Input - Dairy'!$F$90)</f>
        <v>0.12459999999999999</v>
      </c>
      <c r="I231" s="55" cm="1">
        <f t="array" ref="I231">InputFunctions_Dairy.CalculateFractionInSolidStorage('Input - Dairy'!H60,'Input - Dairy'!H97,'Input - Dairy'!H94,'Input - Dairy'!$F$88,'Input - Dairy'!H95,'Input - Dairy'!$F$89,'Input - Dairy'!H96,'Input - Dairy'!$F$90)</f>
        <v>0.12459999999999999</v>
      </c>
      <c r="J231" s="55" cm="1">
        <f t="array" ref="J231">InputFunctions_Dairy.CalculateFractionInSolidStorage('Input - Dairy'!I60,'Input - Dairy'!I97,'Input - Dairy'!I94,'Input - Dairy'!$F$88,'Input - Dairy'!I95,'Input - Dairy'!$F$89,'Input - Dairy'!I96,'Input - Dairy'!$F$90)</f>
        <v>0.12459999999999999</v>
      </c>
      <c r="N231" s="55" t="str">
        <f>'Input - Dairy'!$D$60</f>
        <v>Feed pad</v>
      </c>
      <c r="O231" s="55" t="str">
        <f>'Input - Dairy'!$D$97</f>
        <v>Solid storage (before solid separation)</v>
      </c>
      <c r="P231" s="55" cm="1">
        <f t="array" ref="P231">InputFunctions_Dairy.CalculateFractionInSolidStorage('Input - Dairy'!E65,'Input - Dairy'!E97,'Input - Dairy'!E94,'Input - Dairy'!$G$88, 'Input - Dairy'!E95,'Input - Dairy'!$G$89,'Input - Dairy'!E96,'Input - Dairy'!$G$90)</f>
        <v>0.12459999999999999</v>
      </c>
      <c r="Q231" s="55" cm="1">
        <f t="array" ref="Q231">InputFunctions_Dairy.CalculateFractionInSolidStorage('Input - Dairy'!F65,'Input - Dairy'!F97,'Input - Dairy'!F94,'Input - Dairy'!$G$88, 'Input - Dairy'!F95,'Input - Dairy'!$G$89,'Input - Dairy'!F96,'Input - Dairy'!$G$90)</f>
        <v>0.12459999999999999</v>
      </c>
      <c r="R231" s="55" cm="1">
        <f t="array" ref="R231">InputFunctions_Dairy.CalculateFractionInSolidStorage('Input - Dairy'!G65,'Input - Dairy'!G97,'Input - Dairy'!G94,'Input - Dairy'!$G$88, 'Input - Dairy'!G95,'Input - Dairy'!$G$89,'Input - Dairy'!G96,'Input - Dairy'!$G$90)</f>
        <v>0.12459999999999999</v>
      </c>
      <c r="S231" s="55" cm="1">
        <f t="array" ref="S231">InputFunctions_Dairy.CalculateFractionInSolidStorage('Input - Dairy'!H65,'Input - Dairy'!H97,'Input - Dairy'!H94,'Input - Dairy'!$G$88, 'Input - Dairy'!H95,'Input - Dairy'!$G$89,'Input - Dairy'!H96,'Input - Dairy'!$G$90)</f>
        <v>0.12459999999999999</v>
      </c>
      <c r="T231" s="55" cm="1">
        <f t="array" ref="T231">InputFunctions_Dairy.CalculateFractionInSolidStorage('Input - Dairy'!I65,'Input - Dairy'!I97,'Input - Dairy'!I94,'Input - Dairy'!$G$88, 'Input - Dairy'!I95,'Input - Dairy'!$G$89,'Input - Dairy'!I96,'Input - Dairy'!$G$90)</f>
        <v>0.12459999999999999</v>
      </c>
    </row>
    <row r="232" spans="4:20" ht="20.100000000000001" customHeight="1" x14ac:dyDescent="0.25">
      <c r="Q232" s="131"/>
    </row>
    <row r="233" spans="4:20" ht="20.100000000000001" customHeight="1" x14ac:dyDescent="0.25">
      <c r="D233" s="104" t="s">
        <v>320</v>
      </c>
      <c r="N233" s="104" t="s">
        <v>323</v>
      </c>
    </row>
    <row r="234" spans="4:20" ht="20.100000000000001" customHeight="1" x14ac:dyDescent="0.25">
      <c r="D234" s="103" t="s">
        <v>321</v>
      </c>
      <c r="N234" s="103" t="s">
        <v>322</v>
      </c>
    </row>
    <row r="235" spans="4:20" ht="20.100000000000001" customHeight="1" x14ac:dyDescent="0.25">
      <c r="D235" s="54" t="s">
        <v>152</v>
      </c>
      <c r="E235" s="54" t="s">
        <v>69</v>
      </c>
      <c r="F235" s="54" t="s">
        <v>178</v>
      </c>
      <c r="G235" s="54" t="s">
        <v>195</v>
      </c>
      <c r="H235" s="54" t="s">
        <v>196</v>
      </c>
      <c r="I235" s="54" t="s">
        <v>197</v>
      </c>
      <c r="J235" s="54" t="s">
        <v>198</v>
      </c>
      <c r="N235" s="54" t="s">
        <v>152</v>
      </c>
      <c r="O235" s="54" t="s">
        <v>69</v>
      </c>
      <c r="P235" s="54" t="s">
        <v>178</v>
      </c>
      <c r="Q235" s="54" t="s">
        <v>195</v>
      </c>
      <c r="R235" s="54" t="s">
        <v>196</v>
      </c>
      <c r="S235" s="54" t="s">
        <v>197</v>
      </c>
      <c r="T235" s="54" t="s">
        <v>198</v>
      </c>
    </row>
    <row r="236" spans="4:20" ht="20.100000000000001" customHeight="1" x14ac:dyDescent="0.25">
      <c r="D236" s="55" t="str">
        <f>'Input - Dairy'!$D$59</f>
        <v>Milking shed</v>
      </c>
      <c r="E236" s="55" t="str">
        <f>'Input - Dairy'!$D$78</f>
        <v>Anaerobic lagoon</v>
      </c>
      <c r="F236" s="55" cm="1">
        <f t="array" ref="F236">MMS_Dairy_N2ODirect_Equations.VEERG_4_3_1_3__2_TotalNitrogenInEachMMS(D$169,F224)</f>
        <v>212.24813314524795</v>
      </c>
      <c r="G236" s="55" cm="1">
        <f t="array" ref="G236">MMS_Dairy_N2ODirect_Equations.VEERG_4_3_1_3__2_TotalNitrogenInEachMMS(E$169,G224)</f>
        <v>182.35790267782079</v>
      </c>
      <c r="H236" s="55" cm="1">
        <f t="array" ref="H236">MMS_Dairy_N2ODirect_Equations.VEERG_4_3_1_3__2_TotalNitrogenInEachMMS(F$206,H224)</f>
        <v>72.631224123843424</v>
      </c>
      <c r="I236" s="55" cm="1">
        <f t="array" ref="I236">MMS_Dairy_N2ODirect_Equations.VEERG_4_3_1_3__2_TotalNitrogenInEachMMS(G$169,I224)</f>
        <v>229.23109573986844</v>
      </c>
      <c r="J236" s="55" cm="1">
        <f t="array" ref="J236">MMS_Dairy_N2ODirect_Equations.VEERG_4_3_1_3__2_TotalNitrogenInEachMMS(H$206,J224)</f>
        <v>95.962857079055411</v>
      </c>
      <c r="N236" s="55" t="str">
        <f>'Input - Dairy'!$D$59</f>
        <v>Milking shed</v>
      </c>
      <c r="O236" s="55" t="str">
        <f>'Input - Dairy'!$D$78</f>
        <v>Anaerobic lagoon</v>
      </c>
      <c r="P236" s="55" cm="1">
        <f t="array" ref="P236">MMS_Dairy_N2ODirect_Equations.VEERG_4_3_1_3__2_TotalNitrogenInEachMMS(N$169,P224)</f>
        <v>212.24813314524795</v>
      </c>
      <c r="Q236" s="55" cm="1">
        <f t="array" ref="Q236">MMS_Dairy_N2ODirect_Equations.VEERG_4_3_1_3__2_TotalNitrogenInEachMMS(O$169,Q224)</f>
        <v>182.35790267782079</v>
      </c>
      <c r="R236" s="55" cm="1">
        <f t="array" ref="R236">MMS_Dairy_N2ODirect_Equations.VEERG_4_3_1_3__2_TotalNitrogenInEachMMS(P$206,R224)</f>
        <v>72.631224123843424</v>
      </c>
      <c r="S236" s="55" cm="1">
        <f t="array" ref="S236">MMS_Dairy_N2ODirect_Equations.VEERG_4_3_1_3__2_TotalNitrogenInEachMMS(Q$169,S224)</f>
        <v>229.23109573986844</v>
      </c>
      <c r="T236" s="55" cm="1">
        <f t="array" ref="T236">MMS_Dairy_N2ODirect_Equations.VEERG_4_3_1_3__2_TotalNitrogenInEachMMS(R$206,T224)</f>
        <v>95.962857079055411</v>
      </c>
    </row>
    <row r="237" spans="4:20" ht="20.100000000000001" customHeight="1" x14ac:dyDescent="0.25">
      <c r="D237" s="55" t="str">
        <f>'Input - Dairy'!$D$59</f>
        <v>Milking shed</v>
      </c>
      <c r="E237" s="55" t="str">
        <f>'Input - Dairy'!$D$79</f>
        <v>Sump and dispersal system</v>
      </c>
      <c r="F237" s="55" cm="1">
        <f t="array" ref="F237">MMS_Dairy_N2ODirect_Equations.VEERG_4_3_1_3__2_TotalNitrogenInEachMMS(D$169,F225)</f>
        <v>212.24813314524795</v>
      </c>
      <c r="G237" s="55" cm="1">
        <f t="array" ref="G237">MMS_Dairy_N2ODirect_Equations.VEERG_4_3_1_3__2_TotalNitrogenInEachMMS(E$169,G225)</f>
        <v>182.35790267782079</v>
      </c>
      <c r="H237" s="55" cm="1">
        <f t="array" ref="H237">MMS_Dairy_N2ODirect_Equations.VEERG_4_3_1_3__2_TotalNitrogenInEachMMS(F$206,H225)</f>
        <v>72.631224123843424</v>
      </c>
      <c r="I237" s="55" cm="1">
        <f t="array" ref="I237">MMS_Dairy_N2ODirect_Equations.VEERG_4_3_1_3__2_TotalNitrogenInEachMMS(G$169,I225)</f>
        <v>229.23109573986844</v>
      </c>
      <c r="J237" s="55" cm="1">
        <f t="array" ref="J237">MMS_Dairy_N2ODirect_Equations.VEERG_4_3_1_3__2_TotalNitrogenInEachMMS(H$206,J225)</f>
        <v>95.962857079055411</v>
      </c>
      <c r="N237" s="55" t="str">
        <f>'Input - Dairy'!$D$59</f>
        <v>Milking shed</v>
      </c>
      <c r="O237" s="55" t="str">
        <f>'Input - Dairy'!$D$79</f>
        <v>Sump and dispersal system</v>
      </c>
      <c r="P237" s="55" cm="1">
        <f t="array" ref="P237">MMS_Dairy_N2ODirect_Equations.VEERG_4_3_1_3__2_TotalNitrogenInEachMMS(N$169,P225)</f>
        <v>212.24813314524795</v>
      </c>
      <c r="Q237" s="55" cm="1">
        <f t="array" ref="Q237">MMS_Dairy_N2ODirect_Equations.VEERG_4_3_1_3__2_TotalNitrogenInEachMMS(O$169,Q225)</f>
        <v>182.35790267782079</v>
      </c>
      <c r="R237" s="55" cm="1">
        <f t="array" ref="R237">MMS_Dairy_N2ODirect_Equations.VEERG_4_3_1_3__2_TotalNitrogenInEachMMS(P$206,R225)</f>
        <v>72.631224123843424</v>
      </c>
      <c r="S237" s="55" cm="1">
        <f t="array" ref="S237">MMS_Dairy_N2ODirect_Equations.VEERG_4_3_1_3__2_TotalNitrogenInEachMMS(Q$169,S225)</f>
        <v>229.23109573986844</v>
      </c>
      <c r="T237" s="55" cm="1">
        <f t="array" ref="T237">MMS_Dairy_N2ODirect_Equations.VEERG_4_3_1_3__2_TotalNitrogenInEachMMS(R$206,T225)</f>
        <v>95.962857079055411</v>
      </c>
    </row>
    <row r="238" spans="4:20" ht="20.100000000000001" customHeight="1" x14ac:dyDescent="0.25">
      <c r="D238" s="55" t="str">
        <f>'Input - Dairy'!$D$59</f>
        <v>Milking shed</v>
      </c>
      <c r="E238" s="55" t="str">
        <f>'Input - Dairy'!$D$80</f>
        <v>Drains to paddock</v>
      </c>
      <c r="F238" s="55" cm="1">
        <f t="array" ref="F238">MMS_Dairy_N2ODirect_Equations.VEERG_4_3_1_3__2_TotalNitrogenInEachMMS(D$169,F226)</f>
        <v>212.24813314524795</v>
      </c>
      <c r="G238" s="55" cm="1">
        <f t="array" ref="G238">MMS_Dairy_N2ODirect_Equations.VEERG_4_3_1_3__2_TotalNitrogenInEachMMS(E$169,G226)</f>
        <v>182.35790267782079</v>
      </c>
      <c r="H238" s="55" cm="1">
        <f t="array" ref="H238">MMS_Dairy_N2ODirect_Equations.VEERG_4_3_1_3__2_TotalNitrogenInEachMMS(F$206,H226)</f>
        <v>72.631224123843424</v>
      </c>
      <c r="I238" s="55" cm="1">
        <f t="array" ref="I238">MMS_Dairy_N2ODirect_Equations.VEERG_4_3_1_3__2_TotalNitrogenInEachMMS(G$169,I226)</f>
        <v>229.23109573986844</v>
      </c>
      <c r="J238" s="55" cm="1">
        <f t="array" ref="J238">MMS_Dairy_N2ODirect_Equations.VEERG_4_3_1_3__2_TotalNitrogenInEachMMS(H$206,J226)</f>
        <v>95.962857079055411</v>
      </c>
      <c r="N238" s="55" t="str">
        <f>'Input - Dairy'!$D$59</f>
        <v>Milking shed</v>
      </c>
      <c r="O238" s="55" t="str">
        <f>'Input - Dairy'!$D$80</f>
        <v>Drains to paddock</v>
      </c>
      <c r="P238" s="55" cm="1">
        <f t="array" ref="P238">MMS_Dairy_N2ODirect_Equations.VEERG_4_3_1_3__2_TotalNitrogenInEachMMS(N$169,P226)</f>
        <v>212.24813314524795</v>
      </c>
      <c r="Q238" s="55" cm="1">
        <f t="array" ref="Q238">MMS_Dairy_N2ODirect_Equations.VEERG_4_3_1_3__2_TotalNitrogenInEachMMS(O$169,Q226)</f>
        <v>182.35790267782079</v>
      </c>
      <c r="R238" s="55" cm="1">
        <f t="array" ref="R238">MMS_Dairy_N2ODirect_Equations.VEERG_4_3_1_3__2_TotalNitrogenInEachMMS(P$206,R226)</f>
        <v>72.631224123843424</v>
      </c>
      <c r="S238" s="55" cm="1">
        <f t="array" ref="S238">MMS_Dairy_N2ODirect_Equations.VEERG_4_3_1_3__2_TotalNitrogenInEachMMS(Q$169,S226)</f>
        <v>229.23109573986844</v>
      </c>
      <c r="T238" s="55" cm="1">
        <f t="array" ref="T238">MMS_Dairy_N2ODirect_Equations.VEERG_4_3_1_3__2_TotalNitrogenInEachMMS(R$206,T226)</f>
        <v>95.962857079055411</v>
      </c>
    </row>
    <row r="239" spans="4:20" ht="20.100000000000001" customHeight="1" x14ac:dyDescent="0.25">
      <c r="D239" s="55" t="str">
        <f>'Input - Dairy'!$D$59</f>
        <v>Milking shed</v>
      </c>
      <c r="E239" s="55" t="s">
        <v>418</v>
      </c>
      <c r="F239" s="55" cm="1">
        <f t="array" ref="F239">MMS_Dairy_N2ODirect_Equations.VEERG_4_3_1_3__2_TotalNitrogenInEachMMS(D$169,F227)</f>
        <v>424.49626629049584</v>
      </c>
      <c r="G239" s="55" cm="1">
        <f t="array" ref="G239">MMS_Dairy_N2ODirect_Equations.VEERG_4_3_1_3__2_TotalNitrogenInEachMMS(E$169,G227)</f>
        <v>364.71580535564152</v>
      </c>
      <c r="H239" s="55" cm="1">
        <f t="array" ref="H239">MMS_Dairy_N2ODirect_Equations.VEERG_4_3_1_3__2_TotalNitrogenInEachMMS(F$206,H227)</f>
        <v>145.26244824768682</v>
      </c>
      <c r="I239" s="55" cm="1">
        <f t="array" ref="I239">MMS_Dairy_N2ODirect_Equations.VEERG_4_3_1_3__2_TotalNitrogenInEachMMS(G$169,I227)</f>
        <v>458.46219147973682</v>
      </c>
      <c r="J239" s="55" cm="1">
        <f t="array" ref="J239">MMS_Dairy_N2ODirect_Equations.VEERG_4_3_1_3__2_TotalNitrogenInEachMMS(H$206,J227)</f>
        <v>191.92571415811079</v>
      </c>
      <c r="N239" s="55" t="str">
        <f>'Input - Dairy'!$D$59</f>
        <v>Milking shed</v>
      </c>
      <c r="O239" s="55" t="s">
        <v>418</v>
      </c>
      <c r="P239" s="55" cm="1">
        <f t="array" ref="P239">MMS_Dairy_N2ODirect_Equations.VEERG_4_3_1_3__2_TotalNitrogenInEachMMS(N$169,P227)</f>
        <v>424.49626629049584</v>
      </c>
      <c r="Q239" s="55" cm="1">
        <f t="array" ref="Q239">MMS_Dairy_N2ODirect_Equations.VEERG_4_3_1_3__2_TotalNitrogenInEachMMS(O$169,Q227)</f>
        <v>364.71580535564152</v>
      </c>
      <c r="R239" s="55" cm="1">
        <f t="array" ref="R239">MMS_Dairy_N2ODirect_Equations.VEERG_4_3_1_3__2_TotalNitrogenInEachMMS(P$206,R227)</f>
        <v>145.26244824768682</v>
      </c>
      <c r="S239" s="55" cm="1">
        <f t="array" ref="S239">MMS_Dairy_N2ODirect_Equations.VEERG_4_3_1_3__2_TotalNitrogenInEachMMS(Q$169,S227)</f>
        <v>458.46219147973682</v>
      </c>
      <c r="T239" s="55" cm="1">
        <f t="array" ref="T239">MMS_Dairy_N2ODirect_Equations.VEERG_4_3_1_3__2_TotalNitrogenInEachMMS(R$206,T227)</f>
        <v>191.92571415811079</v>
      </c>
    </row>
    <row r="240" spans="4:20" ht="20.100000000000001" customHeight="1" x14ac:dyDescent="0.25">
      <c r="D240" s="55" t="str">
        <f>'Input - Dairy'!$D$60</f>
        <v>Feed pad</v>
      </c>
      <c r="E240" s="55" t="str">
        <f>'Input - Dairy'!$D$94</f>
        <v>Anaerobic lagoon</v>
      </c>
      <c r="F240" s="55" cm="1">
        <f t="array" ref="F240">MMS_Dairy_N2ODirect_Equations.VEERG_4_3_1_3__2_TotalNitrogenInEachMMS(D$169,F228)</f>
        <v>858.64017499668478</v>
      </c>
      <c r="G240" s="55" cm="1">
        <f t="array" ref="G240">MMS_Dairy_N2ODirect_Equations.VEERG_4_3_1_3__2_TotalNitrogenInEachMMS(E$169,G228)</f>
        <v>737.72060628754764</v>
      </c>
      <c r="H240" s="55" cm="1">
        <f t="array" ref="H240">MMS_Dairy_N2ODirect_Equations.VEERG_4_3_1_3__2_TotalNitrogenInEachMMS(F$206,H228)</f>
        <v>293.82631577373019</v>
      </c>
      <c r="I240" s="55" cm="1">
        <f t="array" ref="I240">MMS_Dairy_N2ODirect_Equations.VEERG_4_3_1_3__2_TotalNitrogenInEachMMS(G$169,I228)</f>
        <v>927.34397822037681</v>
      </c>
      <c r="J240" s="55" cm="1">
        <f t="array" ref="J240">MMS_Dairy_N2ODirect_Equations.VEERG_4_3_1_3__2_TotalNitrogenInEachMMS(H$206,J228)</f>
        <v>388.21337636526954</v>
      </c>
      <c r="N240" s="55" t="str">
        <f>'Input - Dairy'!$D$60</f>
        <v>Feed pad</v>
      </c>
      <c r="O240" s="55" t="str">
        <f>'Input - Dairy'!$D$94</f>
        <v>Anaerobic lagoon</v>
      </c>
      <c r="P240" s="55" cm="1">
        <f t="array" ref="P240">MMS_Dairy_N2ODirect_Equations.VEERG_4_3_1_3__2_TotalNitrogenInEachMMS(N$169,P228)</f>
        <v>858.64017499668478</v>
      </c>
      <c r="Q240" s="55" cm="1">
        <f t="array" ref="Q240">MMS_Dairy_N2ODirect_Equations.VEERG_4_3_1_3__2_TotalNitrogenInEachMMS(O$169,Q228)</f>
        <v>737.72060628754764</v>
      </c>
      <c r="R240" s="55" cm="1">
        <f t="array" ref="R240">MMS_Dairy_N2ODirect_Equations.VEERG_4_3_1_3__2_TotalNitrogenInEachMMS(P$206,R228)</f>
        <v>293.82631577373019</v>
      </c>
      <c r="S240" s="55" cm="1">
        <f t="array" ref="S240">MMS_Dairy_N2ODirect_Equations.VEERG_4_3_1_3__2_TotalNitrogenInEachMMS(Q$169,S228)</f>
        <v>927.34397822037681</v>
      </c>
      <c r="T240" s="55" cm="1">
        <f t="array" ref="T240">MMS_Dairy_N2ODirect_Equations.VEERG_4_3_1_3__2_TotalNitrogenInEachMMS(R$206,T228)</f>
        <v>388.21337636526954</v>
      </c>
    </row>
    <row r="241" spans="1:21" ht="20.100000000000001" customHeight="1" x14ac:dyDescent="0.25">
      <c r="D241" s="55" t="str">
        <f>'Input - Dairy'!$D$60</f>
        <v>Feed pad</v>
      </c>
      <c r="E241" s="55" t="str">
        <f>'Input - Dairy'!$D$95</f>
        <v>Sump and dispersal system</v>
      </c>
      <c r="F241" s="55" cm="1">
        <f t="array" ref="F241">MMS_Dairy_N2ODirect_Equations.VEERG_4_3_1_3__2_TotalNitrogenInEachMMS(D$169,F229)</f>
        <v>686.91213999734782</v>
      </c>
      <c r="G241" s="55" cm="1">
        <f t="array" ref="G241">MMS_Dairy_N2ODirect_Equations.VEERG_4_3_1_3__2_TotalNitrogenInEachMMS(E$169,G229)</f>
        <v>590.17648503003818</v>
      </c>
      <c r="H241" s="55" cm="1">
        <f t="array" ref="H241">MMS_Dairy_N2ODirect_Equations.VEERG_4_3_1_3__2_TotalNitrogenInEachMMS(F$206,H229)</f>
        <v>235.06105261898415</v>
      </c>
      <c r="I241" s="55" cm="1">
        <f t="array" ref="I241">MMS_Dairy_N2ODirect_Equations.VEERG_4_3_1_3__2_TotalNitrogenInEachMMS(G$169,I229)</f>
        <v>741.87518257630143</v>
      </c>
      <c r="J241" s="55" cm="1">
        <f t="array" ref="J241">MMS_Dairy_N2ODirect_Equations.VEERG_4_3_1_3__2_TotalNitrogenInEachMMS(H$206,J229)</f>
        <v>310.57070109221564</v>
      </c>
      <c r="N241" s="55" t="str">
        <f>'Input - Dairy'!$D$60</f>
        <v>Feed pad</v>
      </c>
      <c r="O241" s="55" t="str">
        <f>'Input - Dairy'!$D$95</f>
        <v>Sump and dispersal system</v>
      </c>
      <c r="P241" s="55" cm="1">
        <f t="array" ref="P241">MMS_Dairy_N2ODirect_Equations.VEERG_4_3_1_3__2_TotalNitrogenInEachMMS(N$169,P229)</f>
        <v>686.91213999734782</v>
      </c>
      <c r="Q241" s="55" cm="1">
        <f t="array" ref="Q241">MMS_Dairy_N2ODirect_Equations.VEERG_4_3_1_3__2_TotalNitrogenInEachMMS(O$169,Q229)</f>
        <v>590.17648503003818</v>
      </c>
      <c r="R241" s="55" cm="1">
        <f t="array" ref="R241">MMS_Dairy_N2ODirect_Equations.VEERG_4_3_1_3__2_TotalNitrogenInEachMMS(P$206,R229)</f>
        <v>235.06105261898415</v>
      </c>
      <c r="S241" s="55" cm="1">
        <f t="array" ref="S241">MMS_Dairy_N2ODirect_Equations.VEERG_4_3_1_3__2_TotalNitrogenInEachMMS(Q$169,S229)</f>
        <v>741.87518257630143</v>
      </c>
      <c r="T241" s="55" cm="1">
        <f t="array" ref="T241">MMS_Dairy_N2ODirect_Equations.VEERG_4_3_1_3__2_TotalNitrogenInEachMMS(R$206,T229)</f>
        <v>310.57070109221564</v>
      </c>
    </row>
    <row r="242" spans="1:21" ht="20.100000000000001" customHeight="1" x14ac:dyDescent="0.25">
      <c r="D242" s="55" t="str">
        <f>'Input - Dairy'!$D$60</f>
        <v>Feed pad</v>
      </c>
      <c r="E242" s="55" t="str">
        <f>'Input - Dairy'!$D$96</f>
        <v>Drains to paddock</v>
      </c>
      <c r="F242" s="55" cm="1">
        <f t="array" ref="F242">MMS_Dairy_N2ODirect_Equations.VEERG_4_3_1_3__2_TotalNitrogenInEachMMS(D$169,F230)</f>
        <v>686.91213999734782</v>
      </c>
      <c r="G242" s="55" cm="1">
        <f t="array" ref="G242">MMS_Dairy_N2ODirect_Equations.VEERG_4_3_1_3__2_TotalNitrogenInEachMMS(E$169,G230)</f>
        <v>590.17648503003818</v>
      </c>
      <c r="H242" s="55" cm="1">
        <f t="array" ref="H242">MMS_Dairy_N2ODirect_Equations.VEERG_4_3_1_3__2_TotalNitrogenInEachMMS(F$206,H230)</f>
        <v>235.06105261898415</v>
      </c>
      <c r="I242" s="55" cm="1">
        <f t="array" ref="I242">MMS_Dairy_N2ODirect_Equations.VEERG_4_3_1_3__2_TotalNitrogenInEachMMS(G$169,I230)</f>
        <v>741.87518257630143</v>
      </c>
      <c r="J242" s="55" cm="1">
        <f t="array" ref="J242">MMS_Dairy_N2ODirect_Equations.VEERG_4_3_1_3__2_TotalNitrogenInEachMMS(H$206,J230)</f>
        <v>310.57070109221564</v>
      </c>
      <c r="N242" s="55" t="str">
        <f>'Input - Dairy'!$D$60</f>
        <v>Feed pad</v>
      </c>
      <c r="O242" s="55" t="str">
        <f>'Input - Dairy'!$D$96</f>
        <v>Drains to paddock</v>
      </c>
      <c r="P242" s="55" cm="1">
        <f t="array" ref="P242">MMS_Dairy_N2ODirect_Equations.VEERG_4_3_1_3__2_TotalNitrogenInEachMMS(N$169,P230)</f>
        <v>686.91213999734782</v>
      </c>
      <c r="Q242" s="55" cm="1">
        <f t="array" ref="Q242">MMS_Dairy_N2ODirect_Equations.VEERG_4_3_1_3__2_TotalNitrogenInEachMMS(O$169,Q230)</f>
        <v>590.17648503003818</v>
      </c>
      <c r="R242" s="55" cm="1">
        <f t="array" ref="R242">MMS_Dairy_N2ODirect_Equations.VEERG_4_3_1_3__2_TotalNitrogenInEachMMS(P$206,R230)</f>
        <v>235.06105261898415</v>
      </c>
      <c r="S242" s="55" cm="1">
        <f t="array" ref="S242">MMS_Dairy_N2ODirect_Equations.VEERG_4_3_1_3__2_TotalNitrogenInEachMMS(Q$169,S230)</f>
        <v>741.87518257630143</v>
      </c>
      <c r="T242" s="55" cm="1">
        <f t="array" ref="T242">MMS_Dairy_N2ODirect_Equations.VEERG_4_3_1_3__2_TotalNitrogenInEachMMS(R$206,T230)</f>
        <v>310.57070109221564</v>
      </c>
    </row>
    <row r="243" spans="1:21" ht="20.100000000000001" customHeight="1" x14ac:dyDescent="0.25">
      <c r="D243" s="55" t="str">
        <f>'Input - Dairy'!$D$60</f>
        <v>Feed pad</v>
      </c>
      <c r="E243" s="55" t="s">
        <v>418</v>
      </c>
      <c r="F243" s="55" cm="1">
        <f t="array" ref="F243">MMS_Dairy_N2ODirect_Equations.VEERG_4_3_1_3__2_TotalNitrogenInEachMMS(D$169,F231)</f>
        <v>1202.0962449953586</v>
      </c>
      <c r="G243" s="55" cm="1">
        <f t="array" ref="G243">MMS_Dairy_N2ODirect_Equations.VEERG_4_3_1_3__2_TotalNitrogenInEachMMS(E$169,G231)</f>
        <v>1032.8088488025667</v>
      </c>
      <c r="H243" s="55" cm="1">
        <f t="array" ref="H243">MMS_Dairy_N2ODirect_Equations.VEERG_4_3_1_3__2_TotalNitrogenInEachMMS(F$206,H231)</f>
        <v>411.35684208322226</v>
      </c>
      <c r="I243" s="55" cm="1">
        <f t="array" ref="I243">MMS_Dairy_N2ODirect_Equations.VEERG_4_3_1_3__2_TotalNitrogenInEachMMS(G$169,I231)</f>
        <v>1298.2815695085274</v>
      </c>
      <c r="J243" s="55" cm="1">
        <f t="array" ref="J243">MMS_Dairy_N2ODirect_Equations.VEERG_4_3_1_3__2_TotalNitrogenInEachMMS(H$206,J231)</f>
        <v>543.49872691137739</v>
      </c>
      <c r="N243" s="55" t="str">
        <f>'Input - Dairy'!$D$60</f>
        <v>Feed pad</v>
      </c>
      <c r="O243" s="55" t="s">
        <v>418</v>
      </c>
      <c r="P243" s="55" cm="1">
        <f t="array" ref="P243">MMS_Dairy_N2ODirect_Equations.VEERG_4_3_1_3__2_TotalNitrogenInEachMMS(N$169,P231)</f>
        <v>1202.0962449953586</v>
      </c>
      <c r="Q243" s="55" cm="1">
        <f t="array" ref="Q243">MMS_Dairy_N2ODirect_Equations.VEERG_4_3_1_3__2_TotalNitrogenInEachMMS(O$169,Q231)</f>
        <v>1032.8088488025667</v>
      </c>
      <c r="R243" s="55" cm="1">
        <f t="array" ref="R243">MMS_Dairy_N2ODirect_Equations.VEERG_4_3_1_3__2_TotalNitrogenInEachMMS(P$206,R231)</f>
        <v>411.35684208322226</v>
      </c>
      <c r="S243" s="55" cm="1">
        <f t="array" ref="S243">MMS_Dairy_N2ODirect_Equations.VEERG_4_3_1_3__2_TotalNitrogenInEachMMS(Q$169,S231)</f>
        <v>1298.2815695085274</v>
      </c>
      <c r="T243" s="55" cm="1">
        <f t="array" ref="T243">MMS_Dairy_N2ODirect_Equations.VEERG_4_3_1_3__2_TotalNitrogenInEachMMS(R$206,T231)</f>
        <v>543.49872691137739</v>
      </c>
    </row>
    <row r="244" spans="1:21" ht="20.100000000000001" customHeight="1" x14ac:dyDescent="0.25"/>
    <row r="245" spans="1:21" ht="20.100000000000001" customHeight="1" x14ac:dyDescent="0.25">
      <c r="A245" s="141" t="str">
        <f>HYPERLINK("#A1", "▲ Back to top")</f>
        <v>▲ Back to top</v>
      </c>
    </row>
    <row r="246" spans="1:21" ht="20.100000000000001" customHeight="1" x14ac:dyDescent="0.25">
      <c r="C246" s="48"/>
      <c r="D246" s="48"/>
      <c r="E246" s="48"/>
      <c r="F246" s="48"/>
      <c r="G246" s="48"/>
      <c r="H246" s="48"/>
      <c r="I246" s="48"/>
      <c r="J246" s="48"/>
      <c r="K246" s="48"/>
      <c r="M246" s="48"/>
      <c r="N246" s="48"/>
      <c r="O246" s="48"/>
      <c r="P246" s="48"/>
      <c r="Q246" s="48"/>
      <c r="R246" s="48"/>
      <c r="S246" s="48"/>
      <c r="T246" s="48"/>
      <c r="U246" s="48"/>
    </row>
    <row r="247" spans="1:21" ht="20.100000000000001" customHeight="1" x14ac:dyDescent="0.25">
      <c r="D247" s="6" t="str" cm="1">
        <f t="array" ref="D247">MMS_Dairy_N2ODirect_Equations.VEERG_4_3_1_3__1_TotalAnnualDirectNitrousOxideEmissionsFromMMS_Title()</f>
        <v>Total annual direct nitrous oxide emissions from manure management systems</v>
      </c>
    </row>
    <row r="248" spans="1:21" ht="20.100000000000001" customHeight="1" x14ac:dyDescent="0.25">
      <c r="D248" s="5" t="str" cm="1">
        <f t="array" ref="D248">MMS_Dairy_N2ODirect_Equations.VEERG_4_3_1_3__1_TotalAnnualDirectNitrousOxideEmissionsFromMMS_Source()</f>
        <v>VEERG 2026: 4.3.1.3, Equation (1)</v>
      </c>
    </row>
    <row r="249" spans="1:21" ht="20.100000000000001" customHeight="1" x14ac:dyDescent="0.25">
      <c r="D249" s="13" t="s">
        <v>28</v>
      </c>
      <c r="E249" s="13" t="str" cm="1">
        <f t="array" aca="1" ref="E249" ca="1">Common_InputFunctions.Utility_DisplayFunctionName(F273)</f>
        <v>=MMS_Dairy_N2ODirect_Equations.VEERG_4_3_1_3__1_TotalAnnualDirectNitrousOxideEmissionsFromMMS</v>
      </c>
    </row>
    <row r="250" spans="1:21" ht="20.100000000000001" customHeight="1" x14ac:dyDescent="0.25"/>
    <row r="251" spans="1:21" ht="20.100000000000001" customHeight="1" x14ac:dyDescent="0.25">
      <c r="D251" s="6"/>
    </row>
    <row r="252" spans="1:21" ht="20.100000000000001" customHeight="1" x14ac:dyDescent="0.25">
      <c r="D252" s="56" t="s">
        <v>31</v>
      </c>
      <c r="E252" s="1" t="str" cm="1">
        <f t="array" ref="E252">MMS_Dairy_N2ODirect_Equations.VEERG_4_3_1_3__1_TotalAnnualDirectNitrousOxideEmissionsFromMMS_Variable()</f>
        <v>E_N2Odir</v>
      </c>
    </row>
    <row r="253" spans="1:21" ht="20.100000000000001" customHeight="1" x14ac:dyDescent="0.25">
      <c r="D253" s="56" t="s">
        <v>21</v>
      </c>
      <c r="E253" s="57" t="str" cm="1">
        <f t="array" ref="E253">MMS_Dairy_N2ODirect_Equations.VEERG_4_3_1_3__1_TotalAnnualDirectNitrousOxideEmissionsFromMMS_Unit()</f>
        <v>t N2O</v>
      </c>
    </row>
    <row r="254" spans="1:21" ht="20.100000000000001" customHeight="1" x14ac:dyDescent="0.25"/>
    <row r="255" spans="1:21" ht="20.100000000000001" customHeight="1" x14ac:dyDescent="0.25">
      <c r="D255" s="137" t="str" cm="1">
        <f t="array" ref="D255:E257">_xlfn.CHOOSECOLS(MMS_Dairy_N2ODirect_Equations.VEERG_4_3_1_3__1_TotalAnnualDirectNitrousOxideEmissionsFromMMS_Arguments(),1,2)</f>
        <v>MN_jm</v>
      </c>
      <c r="E255" s="137" t="str">
        <v>total nitrogen in each MMS for dairy cattle classes</v>
      </c>
      <c r="F255" s="137"/>
      <c r="G255" s="137" t="str" cm="1">
        <f t="array" ref="G255:H257">_xlfn.CHOOSECOLS(MMS_Dairy_N2ODirect_Equations.VEERG_4_3_1_3__1_TotalAnnualDirectNitrousOxideEmissionsFromMMS_Arguments(),3,4)</f>
        <v>kg N</v>
      </c>
      <c r="H255" s="133" t="str">
        <v>Calculated from 4.3.1.3 (2)</v>
      </c>
      <c r="I255" s="134" t="str" cm="1">
        <f t="array" aca="1" ref="I255" ca="1">HYPERLINK(Common_InputFunctions.Utility_SourceHyperlink($D$233),$D$233)</f>
        <v>M1_Table_MN_j_m</v>
      </c>
    </row>
    <row r="256" spans="1:21" ht="20.100000000000001" customHeight="1" x14ac:dyDescent="0.25">
      <c r="D256" s="137" t="str">
        <v>EF_m</v>
      </c>
      <c r="E256" s="137" t="str">
        <v>nitrous oxide emission factor for each MMS (kg N2O-N/kg N deposited)</v>
      </c>
      <c r="F256" s="137"/>
      <c r="G256" s="137" t="str">
        <v>kg N2O-N/kg N</v>
      </c>
      <c r="H256" s="133" t="str">
        <v>Constant</v>
      </c>
      <c r="I256" s="134" t="str" cm="1">
        <f t="array" aca="1" ref="I256" ca="1">HYPERLINK(Common_InputFunctions.Utility_SourceHyperlink($D$259),$D$259)</f>
        <v>Table_EF_m</v>
      </c>
    </row>
    <row r="257" spans="4:20" ht="20.100000000000001" customHeight="1" x14ac:dyDescent="0.25">
      <c r="D257" s="137" t="str">
        <v>C_N2O</v>
      </c>
      <c r="E257" s="137" t="str">
        <v>factor to convert elemental mass of N2O to molecular mass</v>
      </c>
      <c r="F257" s="137"/>
      <c r="G257" s="137" t="str">
        <v>fraction</v>
      </c>
      <c r="H257" s="133" t="str">
        <v>Constant</v>
      </c>
      <c r="I257" s="137">
        <f>Common_InputFunctions.Utility_LookupValueInTableNumber("N2O",Table_GasToMolecularConversionFactor[Gas],Table_GasToMolecularConversionFactor[Conversion factor combined])</f>
        <v>1.5714285714285714</v>
      </c>
    </row>
    <row r="258" spans="4:20" ht="20.100000000000001" customHeight="1" x14ac:dyDescent="0.25"/>
    <row r="259" spans="4:20" ht="20.100000000000001" customHeight="1" x14ac:dyDescent="0.25">
      <c r="D259" s="104" t="s">
        <v>324</v>
      </c>
    </row>
    <row r="260" spans="4:20" ht="20.100000000000001" customHeight="1" x14ac:dyDescent="0.25">
      <c r="D260" s="103" t="s">
        <v>325</v>
      </c>
    </row>
    <row r="261" spans="4:20" ht="20.100000000000001" customHeight="1" x14ac:dyDescent="0.25">
      <c r="D261" s="54" t="s">
        <v>69</v>
      </c>
      <c r="E261" s="54" t="s">
        <v>326</v>
      </c>
    </row>
    <row r="262" spans="4:20" ht="20.100000000000001" customHeight="1" x14ac:dyDescent="0.25">
      <c r="D262" s="55" t="str" cm="1">
        <f t="array" ref="D262:D266">Table_SourceData_Dairy_EFmFracGASM[NIR reference]</f>
        <v>Pasture range and paddock</v>
      </c>
      <c r="E262" s="55" cm="1">
        <f t="array" ref="E262:E266">Table_SourceData_Dairy_EFmFracGASM[EFm]</f>
        <v>0</v>
      </c>
    </row>
    <row r="263" spans="4:20" ht="20.100000000000001" customHeight="1" x14ac:dyDescent="0.25">
      <c r="D263" s="55" t="str">
        <v>Anaerobic lagoon</v>
      </c>
      <c r="E263" s="55">
        <v>0</v>
      </c>
    </row>
    <row r="264" spans="4:20" ht="20.100000000000001" customHeight="1" x14ac:dyDescent="0.25">
      <c r="D264" s="55" t="str">
        <v>Sump and dispersal system</v>
      </c>
      <c r="E264" s="55">
        <v>0</v>
      </c>
    </row>
    <row r="265" spans="4:20" ht="20.100000000000001" customHeight="1" x14ac:dyDescent="0.25">
      <c r="D265" s="55" t="str">
        <v>Drains to paddock</v>
      </c>
      <c r="E265" s="55">
        <v>0</v>
      </c>
    </row>
    <row r="266" spans="4:20" ht="20.100000000000001" customHeight="1" x14ac:dyDescent="0.25">
      <c r="D266" s="55" t="str">
        <v>Solid storage</v>
      </c>
      <c r="E266" s="55">
        <v>5.0000000000000001E-3</v>
      </c>
    </row>
    <row r="267" spans="4:20" ht="20.100000000000001" customHeight="1" x14ac:dyDescent="0.25"/>
    <row r="268" spans="4:20" ht="20.100000000000001" customHeight="1" x14ac:dyDescent="0.25">
      <c r="D268" s="104" t="s">
        <v>127</v>
      </c>
      <c r="N268" s="104" t="s">
        <v>127</v>
      </c>
    </row>
    <row r="269" spans="4:20" ht="20.100000000000001" customHeight="1" x14ac:dyDescent="0.25">
      <c r="D269" s="103" t="s">
        <v>327</v>
      </c>
      <c r="N269" s="103" t="s">
        <v>327</v>
      </c>
    </row>
    <row r="270" spans="4:20" ht="20.100000000000001" customHeight="1" x14ac:dyDescent="0.25">
      <c r="D270" s="54" t="s">
        <v>152</v>
      </c>
      <c r="E270" s="54" t="s">
        <v>69</v>
      </c>
      <c r="F270" s="54" t="s">
        <v>178</v>
      </c>
      <c r="G270" s="54" t="s">
        <v>195</v>
      </c>
      <c r="H270" s="54" t="s">
        <v>196</v>
      </c>
      <c r="I270" s="54" t="s">
        <v>197</v>
      </c>
      <c r="J270" s="54" t="s">
        <v>198</v>
      </c>
      <c r="N270" s="54" t="s">
        <v>152</v>
      </c>
      <c r="O270" s="54" t="s">
        <v>69</v>
      </c>
      <c r="P270" s="54" t="s">
        <v>178</v>
      </c>
      <c r="Q270" s="54" t="s">
        <v>195</v>
      </c>
      <c r="R270" s="54" t="s">
        <v>196</v>
      </c>
      <c r="S270" s="54" t="s">
        <v>197</v>
      </c>
      <c r="T270" s="54" t="s">
        <v>198</v>
      </c>
    </row>
    <row r="271" spans="4:20" ht="20.100000000000001" customHeight="1" x14ac:dyDescent="0.25">
      <c r="D271" s="55" t="str">
        <f>'Input - Dairy'!$D$59</f>
        <v>Milking shed</v>
      </c>
      <c r="E271" s="55" t="str">
        <f>'Input - Dairy'!$D$78</f>
        <v>Anaerobic lagoon</v>
      </c>
      <c r="F271" s="55" cm="1">
        <f t="array" ref="F271">MMS_Dairy_N2ODirect_Equations.VEERG_4_3_1_3__1_TotalAnnualDirectNitrousOxideEmissionsFromMMS(F236,$E263,$I$257)</f>
        <v>0</v>
      </c>
      <c r="G271" s="55" cm="1">
        <f t="array" ref="G271">MMS_Dairy_N2ODirect_Equations.VEERG_4_3_1_3__1_TotalAnnualDirectNitrousOxideEmissionsFromMMS(G236,$E263,$I$257)</f>
        <v>0</v>
      </c>
      <c r="H271" s="55" cm="1">
        <f t="array" ref="H271">MMS_Dairy_N2ODirect_Equations.VEERG_4_3_1_3__1_TotalAnnualDirectNitrousOxideEmissionsFromMMS(H236,$E263,$I$257)</f>
        <v>0</v>
      </c>
      <c r="I271" s="55" cm="1">
        <f t="array" ref="I271">MMS_Dairy_N2ODirect_Equations.VEERG_4_3_1_3__1_TotalAnnualDirectNitrousOxideEmissionsFromMMS(I236,$E263,$I$257)</f>
        <v>0</v>
      </c>
      <c r="J271" s="55" cm="1">
        <f t="array" ref="J271">MMS_Dairy_N2ODirect_Equations.VEERG_4_3_1_3__1_TotalAnnualDirectNitrousOxideEmissionsFromMMS(J236,$E263,$I$257)</f>
        <v>0</v>
      </c>
      <c r="N271" s="55" t="str">
        <f>'Input - Dairy'!$D$59</f>
        <v>Milking shed</v>
      </c>
      <c r="O271" s="55" t="str">
        <f>'Input - Dairy'!$D$78</f>
        <v>Anaerobic lagoon</v>
      </c>
      <c r="P271" s="55" cm="1">
        <f t="array" ref="P271">MMS_Dairy_N2ODirect_Equations.VEERG_4_3_1_3__1_TotalAnnualDirectNitrousOxideEmissionsFromMMS(P236,$E263,$I$257)</f>
        <v>0</v>
      </c>
      <c r="Q271" s="55" cm="1">
        <f t="array" ref="Q271">MMS_Dairy_N2ODirect_Equations.VEERG_4_3_1_3__1_TotalAnnualDirectNitrousOxideEmissionsFromMMS(Q236,$E263,$I$257)</f>
        <v>0</v>
      </c>
      <c r="R271" s="55" cm="1">
        <f t="array" ref="R271">MMS_Dairy_N2ODirect_Equations.VEERG_4_3_1_3__1_TotalAnnualDirectNitrousOxideEmissionsFromMMS(R236,$E263,$I$257)</f>
        <v>0</v>
      </c>
      <c r="S271" s="55" cm="1">
        <f t="array" ref="S271">MMS_Dairy_N2ODirect_Equations.VEERG_4_3_1_3__1_TotalAnnualDirectNitrousOxideEmissionsFromMMS(S236,$E263,$I$257)</f>
        <v>0</v>
      </c>
      <c r="T271" s="55" cm="1">
        <f t="array" ref="T271">MMS_Dairy_N2ODirect_Equations.VEERG_4_3_1_3__1_TotalAnnualDirectNitrousOxideEmissionsFromMMS(T236,$E263,$I$257)</f>
        <v>0</v>
      </c>
    </row>
    <row r="272" spans="4:20" ht="20.100000000000001" customHeight="1" x14ac:dyDescent="0.25">
      <c r="D272" s="55" t="str">
        <f>'Input - Dairy'!$D$59</f>
        <v>Milking shed</v>
      </c>
      <c r="E272" s="55" t="str">
        <f>'Input - Dairy'!$D$79</f>
        <v>Sump and dispersal system</v>
      </c>
      <c r="F272" s="55" cm="1">
        <f t="array" ref="F272">MMS_Dairy_N2ODirect_Equations.VEERG_4_3_1_3__1_TotalAnnualDirectNitrousOxideEmissionsFromMMS(F237,$E264,$I$257)</f>
        <v>0</v>
      </c>
      <c r="G272" s="55" cm="1">
        <f t="array" ref="G272">MMS_Dairy_N2ODirect_Equations.VEERG_4_3_1_3__1_TotalAnnualDirectNitrousOxideEmissionsFromMMS(G237,$E264,$I$257)</f>
        <v>0</v>
      </c>
      <c r="H272" s="55" cm="1">
        <f t="array" ref="H272">MMS_Dairy_N2ODirect_Equations.VEERG_4_3_1_3__1_TotalAnnualDirectNitrousOxideEmissionsFromMMS(H237,$E264,$I$257)</f>
        <v>0</v>
      </c>
      <c r="I272" s="55" cm="1">
        <f t="array" ref="I272">MMS_Dairy_N2ODirect_Equations.VEERG_4_3_1_3__1_TotalAnnualDirectNitrousOxideEmissionsFromMMS(I237,$E264,$I$257)</f>
        <v>0</v>
      </c>
      <c r="J272" s="55" cm="1">
        <f t="array" ref="J272">MMS_Dairy_N2ODirect_Equations.VEERG_4_3_1_3__1_TotalAnnualDirectNitrousOxideEmissionsFromMMS(J237,$E264,$I$257)</f>
        <v>0</v>
      </c>
      <c r="N272" s="55" t="str">
        <f>'Input - Dairy'!$D$59</f>
        <v>Milking shed</v>
      </c>
      <c r="O272" s="55" t="str">
        <f>'Input - Dairy'!$D$79</f>
        <v>Sump and dispersal system</v>
      </c>
      <c r="P272" s="55" cm="1">
        <f t="array" ref="P272">MMS_Dairy_N2ODirect_Equations.VEERG_4_3_1_3__1_TotalAnnualDirectNitrousOxideEmissionsFromMMS(P237,$E264,$I$257)</f>
        <v>0</v>
      </c>
      <c r="Q272" s="55" cm="1">
        <f t="array" ref="Q272">MMS_Dairy_N2ODirect_Equations.VEERG_4_3_1_3__1_TotalAnnualDirectNitrousOxideEmissionsFromMMS(Q237,$E264,$I$257)</f>
        <v>0</v>
      </c>
      <c r="R272" s="55" cm="1">
        <f t="array" ref="R272">MMS_Dairy_N2ODirect_Equations.VEERG_4_3_1_3__1_TotalAnnualDirectNitrousOxideEmissionsFromMMS(R237,$E264,$I$257)</f>
        <v>0</v>
      </c>
      <c r="S272" s="55" cm="1">
        <f t="array" ref="S272">MMS_Dairy_N2ODirect_Equations.VEERG_4_3_1_3__1_TotalAnnualDirectNitrousOxideEmissionsFromMMS(S237,$E264,$I$257)</f>
        <v>0</v>
      </c>
      <c r="T272" s="55" cm="1">
        <f t="array" ref="T272">MMS_Dairy_N2ODirect_Equations.VEERG_4_3_1_3__1_TotalAnnualDirectNitrousOxideEmissionsFromMMS(T237,$E264,$I$257)</f>
        <v>0</v>
      </c>
    </row>
    <row r="273" spans="1:20" ht="20.100000000000001" customHeight="1" x14ac:dyDescent="0.25">
      <c r="D273" s="55" t="str">
        <f>'Input - Dairy'!$D$59</f>
        <v>Milking shed</v>
      </c>
      <c r="E273" s="55" t="str">
        <f>'Input - Dairy'!$D$80</f>
        <v>Drains to paddock</v>
      </c>
      <c r="F273" s="55" cm="1">
        <f t="array" ref="F273">MMS_Dairy_N2ODirect_Equations.VEERG_4_3_1_3__1_TotalAnnualDirectNitrousOxideEmissionsFromMMS(F238,$E265,$I$257)</f>
        <v>0</v>
      </c>
      <c r="G273" s="55" cm="1">
        <f t="array" ref="G273">MMS_Dairy_N2ODirect_Equations.VEERG_4_3_1_3__1_TotalAnnualDirectNitrousOxideEmissionsFromMMS(G238,$E265,$I$257)</f>
        <v>0</v>
      </c>
      <c r="H273" s="55" cm="1">
        <f t="array" ref="H273">MMS_Dairy_N2ODirect_Equations.VEERG_4_3_1_3__1_TotalAnnualDirectNitrousOxideEmissionsFromMMS(H238,$E265,$I$257)</f>
        <v>0</v>
      </c>
      <c r="I273" s="55" cm="1">
        <f t="array" ref="I273">MMS_Dairy_N2ODirect_Equations.VEERG_4_3_1_3__1_TotalAnnualDirectNitrousOxideEmissionsFromMMS(I238,$E265,$I$257)</f>
        <v>0</v>
      </c>
      <c r="J273" s="55" cm="1">
        <f t="array" ref="J273">MMS_Dairy_N2ODirect_Equations.VEERG_4_3_1_3__1_TotalAnnualDirectNitrousOxideEmissionsFromMMS(J238,$E265,$I$257)</f>
        <v>0</v>
      </c>
      <c r="N273" s="55" t="str">
        <f>'Input - Dairy'!$D$59</f>
        <v>Milking shed</v>
      </c>
      <c r="O273" s="55" t="str">
        <f>'Input - Dairy'!$D$80</f>
        <v>Drains to paddock</v>
      </c>
      <c r="P273" s="55" cm="1">
        <f t="array" ref="P273">MMS_Dairy_N2ODirect_Equations.VEERG_4_3_1_3__1_TotalAnnualDirectNitrousOxideEmissionsFromMMS(P238,$E265,$I$257)</f>
        <v>0</v>
      </c>
      <c r="Q273" s="55" cm="1">
        <f t="array" ref="Q273">MMS_Dairy_N2ODirect_Equations.VEERG_4_3_1_3__1_TotalAnnualDirectNitrousOxideEmissionsFromMMS(Q238,$E265,$I$257)</f>
        <v>0</v>
      </c>
      <c r="R273" s="55" cm="1">
        <f t="array" ref="R273">MMS_Dairy_N2ODirect_Equations.VEERG_4_3_1_3__1_TotalAnnualDirectNitrousOxideEmissionsFromMMS(R238,$E265,$I$257)</f>
        <v>0</v>
      </c>
      <c r="S273" s="55" cm="1">
        <f t="array" ref="S273">MMS_Dairy_N2ODirect_Equations.VEERG_4_3_1_3__1_TotalAnnualDirectNitrousOxideEmissionsFromMMS(S238,$E265,$I$257)</f>
        <v>0</v>
      </c>
      <c r="T273" s="55" cm="1">
        <f t="array" ref="T273">MMS_Dairy_N2ODirect_Equations.VEERG_4_3_1_3__1_TotalAnnualDirectNitrousOxideEmissionsFromMMS(T238,$E265,$I$257)</f>
        <v>0</v>
      </c>
    </row>
    <row r="274" spans="1:20" ht="20.100000000000001" customHeight="1" x14ac:dyDescent="0.25">
      <c r="D274" s="55" t="str">
        <f>'Input - Dairy'!$D$59</f>
        <v>Milking shed</v>
      </c>
      <c r="E274" s="55" t="s">
        <v>418</v>
      </c>
      <c r="F274" s="55" cm="1">
        <f t="array" ref="F274">MMS_Dairy_N2ODirect_Equations.VEERG_4_3_1_3__1_TotalAnnualDirectNitrousOxideEmissionsFromMMS(F239,$E266,$I$257)</f>
        <v>3.3353278065681815E-3</v>
      </c>
      <c r="G274" s="55" cm="1">
        <f t="array" ref="G274">MMS_Dairy_N2ODirect_Equations.VEERG_4_3_1_3__1_TotalAnnualDirectNitrousOxideEmissionsFromMMS(G239,$E266,$I$257)</f>
        <v>2.8656241849371834E-3</v>
      </c>
      <c r="H274" s="55" cm="1">
        <f t="array" ref="H274">MMS_Dairy_N2ODirect_Equations.VEERG_4_3_1_3__1_TotalAnnualDirectNitrousOxideEmissionsFromMMS(H239,$E266,$I$257)</f>
        <v>1.1413478076603965E-3</v>
      </c>
      <c r="I274" s="55" cm="1">
        <f t="array" ref="I274">MMS_Dairy_N2ODirect_Equations.VEERG_4_3_1_3__1_TotalAnnualDirectNitrousOxideEmissionsFromMMS(I239,$E266,$I$257)</f>
        <v>3.6022029330550747E-3</v>
      </c>
      <c r="J274" s="55" cm="1">
        <f t="array" ref="J274">MMS_Dairy_N2ODirect_Equations.VEERG_4_3_1_3__1_TotalAnnualDirectNitrousOxideEmissionsFromMMS(J239,$E266,$I$257)</f>
        <v>1.5079877540994421E-3</v>
      </c>
      <c r="N274" s="55" t="str">
        <f>'Input - Dairy'!$D$59</f>
        <v>Milking shed</v>
      </c>
      <c r="O274" s="55" t="s">
        <v>418</v>
      </c>
      <c r="P274" s="55" cm="1">
        <f t="array" ref="P274">MMS_Dairy_N2ODirect_Equations.VEERG_4_3_1_3__1_TotalAnnualDirectNitrousOxideEmissionsFromMMS(P239,$E266,$I$257)</f>
        <v>3.3353278065681815E-3</v>
      </c>
      <c r="Q274" s="55" cm="1">
        <f t="array" ref="Q274">MMS_Dairy_N2ODirect_Equations.VEERG_4_3_1_3__1_TotalAnnualDirectNitrousOxideEmissionsFromMMS(Q239,$E266,$I$257)</f>
        <v>2.8656241849371834E-3</v>
      </c>
      <c r="R274" s="55" cm="1">
        <f t="array" ref="R274">MMS_Dairy_N2ODirect_Equations.VEERG_4_3_1_3__1_TotalAnnualDirectNitrousOxideEmissionsFromMMS(R239,$E266,$I$257)</f>
        <v>1.1413478076603965E-3</v>
      </c>
      <c r="S274" s="55" cm="1">
        <f t="array" ref="S274">MMS_Dairy_N2ODirect_Equations.VEERG_4_3_1_3__1_TotalAnnualDirectNitrousOxideEmissionsFromMMS(S239,$E266,$I$257)</f>
        <v>3.6022029330550747E-3</v>
      </c>
      <c r="T274" s="55" cm="1">
        <f t="array" ref="T274">MMS_Dairy_N2ODirect_Equations.VEERG_4_3_1_3__1_TotalAnnualDirectNitrousOxideEmissionsFromMMS(T239,$E266,$I$257)</f>
        <v>1.5079877540994421E-3</v>
      </c>
    </row>
    <row r="275" spans="1:20" ht="20.100000000000001" customHeight="1" x14ac:dyDescent="0.25">
      <c r="D275" s="55" t="str">
        <f>'Input - Dairy'!$D$60</f>
        <v>Feed pad</v>
      </c>
      <c r="E275" s="55" t="str">
        <f>'Input - Dairy'!$D$94</f>
        <v>Anaerobic lagoon</v>
      </c>
      <c r="F275" s="55" cm="1">
        <f t="array" ref="F275">MMS_Dairy_N2ODirect_Equations.VEERG_4_3_1_3__1_TotalAnnualDirectNitrousOxideEmissionsFromMMS(F240,$E263,$I$257)</f>
        <v>0</v>
      </c>
      <c r="G275" s="55" cm="1">
        <f t="array" ref="G275">MMS_Dairy_N2ODirect_Equations.VEERG_4_3_1_3__1_TotalAnnualDirectNitrousOxideEmissionsFromMMS(G240,$E263,$I$257)</f>
        <v>0</v>
      </c>
      <c r="H275" s="55" cm="1">
        <f t="array" ref="H275">MMS_Dairy_N2ODirect_Equations.VEERG_4_3_1_3__1_TotalAnnualDirectNitrousOxideEmissionsFromMMS(H240,$E263,$I$257)</f>
        <v>0</v>
      </c>
      <c r="I275" s="55" cm="1">
        <f t="array" ref="I275">MMS_Dairy_N2ODirect_Equations.VEERG_4_3_1_3__1_TotalAnnualDirectNitrousOxideEmissionsFromMMS(I240,$E263,$I$257)</f>
        <v>0</v>
      </c>
      <c r="J275" s="55" cm="1">
        <f t="array" ref="J275">MMS_Dairy_N2ODirect_Equations.VEERG_4_3_1_3__1_TotalAnnualDirectNitrousOxideEmissionsFromMMS(J240,$E263,$I$257)</f>
        <v>0</v>
      </c>
      <c r="N275" s="55" t="str">
        <f>'Input - Dairy'!$D$60</f>
        <v>Feed pad</v>
      </c>
      <c r="O275" s="55" t="str">
        <f>'Input - Dairy'!$D$94</f>
        <v>Anaerobic lagoon</v>
      </c>
      <c r="P275" s="55" cm="1">
        <f t="array" ref="P275">MMS_Dairy_N2ODirect_Equations.VEERG_4_3_1_3__1_TotalAnnualDirectNitrousOxideEmissionsFromMMS(P240,$E263,$I$257)</f>
        <v>0</v>
      </c>
      <c r="Q275" s="55" cm="1">
        <f t="array" ref="Q275">MMS_Dairy_N2ODirect_Equations.VEERG_4_3_1_3__1_TotalAnnualDirectNitrousOxideEmissionsFromMMS(Q240,$E263,$I$257)</f>
        <v>0</v>
      </c>
      <c r="R275" s="55" cm="1">
        <f t="array" ref="R275">MMS_Dairy_N2ODirect_Equations.VEERG_4_3_1_3__1_TotalAnnualDirectNitrousOxideEmissionsFromMMS(R240,$E263,$I$257)</f>
        <v>0</v>
      </c>
      <c r="S275" s="55" cm="1">
        <f t="array" ref="S275">MMS_Dairy_N2ODirect_Equations.VEERG_4_3_1_3__1_TotalAnnualDirectNitrousOxideEmissionsFromMMS(S240,$E263,$I$257)</f>
        <v>0</v>
      </c>
      <c r="T275" s="55" cm="1">
        <f t="array" ref="T275">MMS_Dairy_N2ODirect_Equations.VEERG_4_3_1_3__1_TotalAnnualDirectNitrousOxideEmissionsFromMMS(T240,$E263,$I$257)</f>
        <v>0</v>
      </c>
    </row>
    <row r="276" spans="1:20" ht="20.100000000000001" customHeight="1" x14ac:dyDescent="0.25">
      <c r="D276" s="55" t="str">
        <f>'Input - Dairy'!$D$60</f>
        <v>Feed pad</v>
      </c>
      <c r="E276" s="55" t="str">
        <f>'Input - Dairy'!$D$95</f>
        <v>Sump and dispersal system</v>
      </c>
      <c r="F276" s="55" cm="1">
        <f t="array" ref="F276">MMS_Dairy_N2ODirect_Equations.VEERG_4_3_1_3__1_TotalAnnualDirectNitrousOxideEmissionsFromMMS(F241,$E264,$I$257)</f>
        <v>0</v>
      </c>
      <c r="G276" s="55" cm="1">
        <f t="array" ref="G276">MMS_Dairy_N2ODirect_Equations.VEERG_4_3_1_3__1_TotalAnnualDirectNitrousOxideEmissionsFromMMS(G241,$E264,$I$257)</f>
        <v>0</v>
      </c>
      <c r="H276" s="55" cm="1">
        <f t="array" ref="H276">MMS_Dairy_N2ODirect_Equations.VEERG_4_3_1_3__1_TotalAnnualDirectNitrousOxideEmissionsFromMMS(H241,$E264,$I$257)</f>
        <v>0</v>
      </c>
      <c r="I276" s="55" cm="1">
        <f t="array" ref="I276">MMS_Dairy_N2ODirect_Equations.VEERG_4_3_1_3__1_TotalAnnualDirectNitrousOxideEmissionsFromMMS(I241,$E264,$I$257)</f>
        <v>0</v>
      </c>
      <c r="J276" s="55" cm="1">
        <f t="array" ref="J276">MMS_Dairy_N2ODirect_Equations.VEERG_4_3_1_3__1_TotalAnnualDirectNitrousOxideEmissionsFromMMS(J241,$E264,$I$257)</f>
        <v>0</v>
      </c>
      <c r="N276" s="55" t="str">
        <f>'Input - Dairy'!$D$60</f>
        <v>Feed pad</v>
      </c>
      <c r="O276" s="55" t="str">
        <f>'Input - Dairy'!$D$95</f>
        <v>Sump and dispersal system</v>
      </c>
      <c r="P276" s="55" cm="1">
        <f t="array" ref="P276">MMS_Dairy_N2ODirect_Equations.VEERG_4_3_1_3__1_TotalAnnualDirectNitrousOxideEmissionsFromMMS(P241,$E264,$I$257)</f>
        <v>0</v>
      </c>
      <c r="Q276" s="55" cm="1">
        <f t="array" ref="Q276">MMS_Dairy_N2ODirect_Equations.VEERG_4_3_1_3__1_TotalAnnualDirectNitrousOxideEmissionsFromMMS(Q241,$E264,$I$257)</f>
        <v>0</v>
      </c>
      <c r="R276" s="55" cm="1">
        <f t="array" ref="R276">MMS_Dairy_N2ODirect_Equations.VEERG_4_3_1_3__1_TotalAnnualDirectNitrousOxideEmissionsFromMMS(R241,$E264,$I$257)</f>
        <v>0</v>
      </c>
      <c r="S276" s="55" cm="1">
        <f t="array" ref="S276">MMS_Dairy_N2ODirect_Equations.VEERG_4_3_1_3__1_TotalAnnualDirectNitrousOxideEmissionsFromMMS(S241,$E264,$I$257)</f>
        <v>0</v>
      </c>
      <c r="T276" s="55" cm="1">
        <f t="array" ref="T276">MMS_Dairy_N2ODirect_Equations.VEERG_4_3_1_3__1_TotalAnnualDirectNitrousOxideEmissionsFromMMS(T241,$E264,$I$257)</f>
        <v>0</v>
      </c>
    </row>
    <row r="277" spans="1:20" ht="20.100000000000001" customHeight="1" x14ac:dyDescent="0.25">
      <c r="D277" s="55" t="str">
        <f>'Input - Dairy'!$D$60</f>
        <v>Feed pad</v>
      </c>
      <c r="E277" s="55" t="str">
        <f>'Input - Dairy'!$D$96</f>
        <v>Drains to paddock</v>
      </c>
      <c r="F277" s="55" cm="1">
        <f t="array" ref="F277">MMS_Dairy_N2ODirect_Equations.VEERG_4_3_1_3__1_TotalAnnualDirectNitrousOxideEmissionsFromMMS(F242,$E265,$I$257)</f>
        <v>0</v>
      </c>
      <c r="G277" s="55" cm="1">
        <f t="array" ref="G277">MMS_Dairy_N2ODirect_Equations.VEERG_4_3_1_3__1_TotalAnnualDirectNitrousOxideEmissionsFromMMS(G242,$E265,$I$257)</f>
        <v>0</v>
      </c>
      <c r="H277" s="55" cm="1">
        <f t="array" ref="H277">MMS_Dairy_N2ODirect_Equations.VEERG_4_3_1_3__1_TotalAnnualDirectNitrousOxideEmissionsFromMMS(H242,$E265,$I$257)</f>
        <v>0</v>
      </c>
      <c r="I277" s="55" cm="1">
        <f t="array" ref="I277">MMS_Dairy_N2ODirect_Equations.VEERG_4_3_1_3__1_TotalAnnualDirectNitrousOxideEmissionsFromMMS(I242,$E265,$I$257)</f>
        <v>0</v>
      </c>
      <c r="J277" s="55" cm="1">
        <f t="array" ref="J277">MMS_Dairy_N2ODirect_Equations.VEERG_4_3_1_3__1_TotalAnnualDirectNitrousOxideEmissionsFromMMS(J242,$E265,$I$257)</f>
        <v>0</v>
      </c>
      <c r="N277" s="55" t="str">
        <f>'Input - Dairy'!$D$60</f>
        <v>Feed pad</v>
      </c>
      <c r="O277" s="55" t="str">
        <f>'Input - Dairy'!$D$96</f>
        <v>Drains to paddock</v>
      </c>
      <c r="P277" s="55" cm="1">
        <f t="array" ref="P277">MMS_Dairy_N2ODirect_Equations.VEERG_4_3_1_3__1_TotalAnnualDirectNitrousOxideEmissionsFromMMS(P242,$E265,$I$257)</f>
        <v>0</v>
      </c>
      <c r="Q277" s="55" cm="1">
        <f t="array" ref="Q277">MMS_Dairy_N2ODirect_Equations.VEERG_4_3_1_3__1_TotalAnnualDirectNitrousOxideEmissionsFromMMS(Q242,$E265,$I$257)</f>
        <v>0</v>
      </c>
      <c r="R277" s="55" cm="1">
        <f t="array" ref="R277">MMS_Dairy_N2ODirect_Equations.VEERG_4_3_1_3__1_TotalAnnualDirectNitrousOxideEmissionsFromMMS(R242,$E265,$I$257)</f>
        <v>0</v>
      </c>
      <c r="S277" s="55" cm="1">
        <f t="array" ref="S277">MMS_Dairy_N2ODirect_Equations.VEERG_4_3_1_3__1_TotalAnnualDirectNitrousOxideEmissionsFromMMS(S242,$E265,$I$257)</f>
        <v>0</v>
      </c>
      <c r="T277" s="55" cm="1">
        <f t="array" ref="T277">MMS_Dairy_N2ODirect_Equations.VEERG_4_3_1_3__1_TotalAnnualDirectNitrousOxideEmissionsFromMMS(T242,$E265,$I$257)</f>
        <v>0</v>
      </c>
    </row>
    <row r="278" spans="1:20" ht="20.100000000000001" customHeight="1" x14ac:dyDescent="0.25">
      <c r="D278" s="55" t="str">
        <f>'Input - Dairy'!$D$60</f>
        <v>Feed pad</v>
      </c>
      <c r="E278" s="55" t="s">
        <v>418</v>
      </c>
      <c r="F278" s="55" cm="1">
        <f t="array" ref="F278">MMS_Dairy_N2ODirect_Equations.VEERG_4_3_1_3__1_TotalAnnualDirectNitrousOxideEmissionsFromMMS(F243,$E266,$I$257)</f>
        <v>9.4450419249635324E-3</v>
      </c>
      <c r="G278" s="55" cm="1">
        <f t="array" ref="G278">MMS_Dairy_N2ODirect_Equations.VEERG_4_3_1_3__1_TotalAnnualDirectNitrousOxideEmissionsFromMMS(G243,$E266,$I$257)</f>
        <v>8.1149266691630251E-3</v>
      </c>
      <c r="H278" s="55" cm="1">
        <f t="array" ref="H278">MMS_Dairy_N2ODirect_Equations.VEERG_4_3_1_3__1_TotalAnnualDirectNitrousOxideEmissionsFromMMS(H243,$E266,$I$257)</f>
        <v>3.2320894735110321E-3</v>
      </c>
      <c r="I278" s="55" cm="1">
        <f t="array" ref="I278">MMS_Dairy_N2ODirect_Equations.VEERG_4_3_1_3__1_TotalAnnualDirectNitrousOxideEmissionsFromMMS(I243,$E266,$I$257)</f>
        <v>1.0200783760424144E-2</v>
      </c>
      <c r="J278" s="55" cm="1">
        <f t="array" ref="J278">MMS_Dairy_N2ODirect_Equations.VEERG_4_3_1_3__1_TotalAnnualDirectNitrousOxideEmissionsFromMMS(J243,$E266,$I$257)</f>
        <v>4.2703471400179658E-3</v>
      </c>
      <c r="N278" s="55" t="str">
        <f>'Input - Dairy'!$D$60</f>
        <v>Feed pad</v>
      </c>
      <c r="O278" s="55" t="s">
        <v>418</v>
      </c>
      <c r="P278" s="55" cm="1">
        <f t="array" ref="P278">MMS_Dairy_N2ODirect_Equations.VEERG_4_3_1_3__1_TotalAnnualDirectNitrousOxideEmissionsFromMMS(P243,$E266,$I$257)</f>
        <v>9.4450419249635324E-3</v>
      </c>
      <c r="Q278" s="55" cm="1">
        <f t="array" ref="Q278">MMS_Dairy_N2ODirect_Equations.VEERG_4_3_1_3__1_TotalAnnualDirectNitrousOxideEmissionsFromMMS(Q243,$E266,$I$257)</f>
        <v>8.1149266691630251E-3</v>
      </c>
      <c r="R278" s="55" cm="1">
        <f t="array" ref="R278">MMS_Dairy_N2ODirect_Equations.VEERG_4_3_1_3__1_TotalAnnualDirectNitrousOxideEmissionsFromMMS(R243,$E266,$I$257)</f>
        <v>3.2320894735110321E-3</v>
      </c>
      <c r="S278" s="55" cm="1">
        <f t="array" ref="S278">MMS_Dairy_N2ODirect_Equations.VEERG_4_3_1_3__1_TotalAnnualDirectNitrousOxideEmissionsFromMMS(S243,$E266,$I$257)</f>
        <v>1.0200783760424144E-2</v>
      </c>
      <c r="T278" s="55" cm="1">
        <f t="array" ref="T278">MMS_Dairy_N2ODirect_Equations.VEERG_4_3_1_3__1_TotalAnnualDirectNitrousOxideEmissionsFromMMS(T243,$E266,$I$257)</f>
        <v>4.2703471400179658E-3</v>
      </c>
    </row>
    <row r="279" spans="1:20" ht="20.100000000000001" customHeight="1" x14ac:dyDescent="0.25"/>
    <row r="280" spans="1:20" ht="20.100000000000001" customHeight="1" x14ac:dyDescent="0.25">
      <c r="D280" s="108" t="s">
        <v>126</v>
      </c>
      <c r="E280" s="109">
        <f>SUM(E275:G278)</f>
        <v>1.7559968594126556E-2</v>
      </c>
      <c r="F280" s="110" t="str">
        <f>$E$253</f>
        <v>t N2O</v>
      </c>
      <c r="N280" s="108" t="s">
        <v>126</v>
      </c>
      <c r="O280" s="109">
        <f>SUM(O275:Q278)</f>
        <v>1.7559968594126556E-2</v>
      </c>
      <c r="P280" s="110" t="str">
        <f>$E$253</f>
        <v>t N2O</v>
      </c>
    </row>
    <row r="281" spans="1:20" ht="20.100000000000001" customHeight="1" x14ac:dyDescent="0.25"/>
    <row r="282" spans="1:20" ht="20.100000000000001" customHeight="1" x14ac:dyDescent="0.25">
      <c r="D282" s="60" t="str" cm="1">
        <f t="array" ref="D282:E283">Common_Equations.Common_ConvertN2OToCO2e_Arguments()</f>
        <v>EN2O</v>
      </c>
      <c r="E282" s="61" t="str">
        <v>Nitrous oxide emissions (t N2O)</v>
      </c>
      <c r="F282" s="111"/>
      <c r="G282" s="55">
        <f>$E$280</f>
        <v>1.7559968594126556E-2</v>
      </c>
      <c r="N282" s="60" t="str" cm="1">
        <f t="array" ref="N282:O283">Common_Equations.Common_ConvertN2OToCO2e_Arguments()</f>
        <v>EN2O</v>
      </c>
      <c r="O282" s="61" t="str">
        <v>Nitrous oxide emissions (t N2O)</v>
      </c>
      <c r="P282" s="111"/>
      <c r="Q282" s="55">
        <f>$E$280</f>
        <v>1.7559968594126556E-2</v>
      </c>
    </row>
    <row r="283" spans="1:20" ht="20.100000000000001" customHeight="1" x14ac:dyDescent="0.25">
      <c r="D283" s="60" t="str">
        <v>GWPN2O</v>
      </c>
      <c r="E283" s="61" t="str">
        <v>Global warming potential for nitrous oxide (t CO2-e / t N2O)</v>
      </c>
      <c r="F283" s="111"/>
      <c r="G283" s="55">
        <f>Common_InputFunctions.Utility_LookupValueInTableNumber("N2O",Table_GWPData[Gas],Table_GWPData[CO2-e factor])</f>
        <v>265</v>
      </c>
      <c r="N283" s="60" t="str">
        <v>GWPN2O</v>
      </c>
      <c r="O283" s="61" t="str">
        <v>Global warming potential for nitrous oxide (t CO2-e / t N2O)</v>
      </c>
      <c r="P283" s="111"/>
      <c r="Q283" s="55">
        <f>Common_InputFunctions.Utility_LookupValueInTableNumber("N2O",Table_GWPData[Gas],Table_GWPData[CO2-e factor])</f>
        <v>265</v>
      </c>
    </row>
    <row r="284" spans="1:20" ht="20.100000000000001" customHeight="1" x14ac:dyDescent="0.25"/>
    <row r="285" spans="1:20" ht="20.100000000000001" customHeight="1" x14ac:dyDescent="0.25">
      <c r="A285" s="141" t="str">
        <f>HYPERLINK("#A1", "▲ Back to top")</f>
        <v>▲ Back to top</v>
      </c>
      <c r="D285" s="48" t="s">
        <v>111</v>
      </c>
      <c r="E285" s="48" cm="1">
        <f t="array" ref="E285">Common_Equations.Common_ConvertN2OToCO2e(G282,G283)</f>
        <v>4.6533916774435369</v>
      </c>
      <c r="F285" s="112" t="str" cm="1">
        <f t="array" ref="F285">Common_Equations.Common_ConvertN2OToCO2e_Unit()</f>
        <v>t CO2e</v>
      </c>
      <c r="N285" s="48" t="s">
        <v>111</v>
      </c>
      <c r="O285" s="48" cm="1">
        <f t="array" ref="O285">Common_Equations.Common_ConvertN2OToCO2e(Q282,Q283)</f>
        <v>4.6533916774435369</v>
      </c>
      <c r="P285" s="112" t="str" cm="1">
        <f t="array" ref="P285">Common_Equations.Common_ConvertN2OToCO2e_Unit()</f>
        <v>t CO2e</v>
      </c>
    </row>
    <row r="286" spans="1:20" ht="20.100000000000001" customHeight="1" x14ac:dyDescent="0.25"/>
    <row r="287" spans="1:20" ht="20.100000000000001" customHeight="1" x14ac:dyDescent="0.25"/>
    <row r="288" spans="1:20" ht="20.100000000000001" customHeight="1" x14ac:dyDescent="0.25"/>
    <row r="289" ht="20.100000000000001" customHeight="1" x14ac:dyDescent="0.25"/>
    <row r="290" ht="20.100000000000001" customHeight="1" x14ac:dyDescent="0.25"/>
    <row r="291" ht="20.100000000000001" customHeight="1" x14ac:dyDescent="0.25"/>
  </sheetData>
  <dataValidations count="1">
    <dataValidation operator="equal" allowBlank="1" showInputMessage="1" showErrorMessage="1" sqref="O106:T106 F78 N83:P83 D79:E79 E101:J101 E73:F73 F106:J106 O271 E224 E243 O224 E231 E236 O227 O236 E265 E262 O243 E271 E278 E227 E239 O239 E274 O274 O278" xr:uid="{CE18DC45-74F3-46B3-972B-5F44E5579A05}"/>
  </dataValidations>
  <pageMargins left="0.7" right="0.7" top="0.75" bottom="0.75" header="0.3" footer="0.3"/>
  <pageSetup paperSize="9" orientation="portrait" r:id="rId1"/>
  <ignoredErrors>
    <ignoredError sqref="H236:H243" 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329</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320</v>
      </c>
      <c r="O16" s="104" t="s">
        <v>323</v>
      </c>
    </row>
    <row r="17" spans="1:22" ht="20.100000000000001" customHeight="1" x14ac:dyDescent="0.25">
      <c r="A17" s="17" t="str">
        <f>HYPERLINK("#'4.3.1.9 Soil direct N2O'!A1", "4.3.1.9 Soil direct N2O")</f>
        <v>4.3.1.9 Soil direct N2O</v>
      </c>
      <c r="D17" s="103" t="s">
        <v>321</v>
      </c>
      <c r="O17" s="103" t="s">
        <v>322</v>
      </c>
    </row>
    <row r="18" spans="1:22" ht="20.100000000000001" customHeight="1" x14ac:dyDescent="0.25">
      <c r="A18" s="17" t="str">
        <f>HYPERLINK("#'4.3.1.10-11 Soil Atmos Dep'!A1", "4.3.1.10-11 Soil atm. deposition")</f>
        <v>4.3.1.10-11 Soil atm. deposition</v>
      </c>
      <c r="D18" s="54" t="s">
        <v>152</v>
      </c>
      <c r="E18" s="54" t="s">
        <v>69</v>
      </c>
      <c r="F18" s="54" t="s">
        <v>178</v>
      </c>
      <c r="G18" s="54" t="s">
        <v>195</v>
      </c>
      <c r="H18" s="54" t="s">
        <v>196</v>
      </c>
      <c r="I18" s="54" t="s">
        <v>197</v>
      </c>
      <c r="J18" s="54" t="s">
        <v>198</v>
      </c>
      <c r="O18" s="54" t="s">
        <v>152</v>
      </c>
      <c r="P18" s="54" t="s">
        <v>69</v>
      </c>
      <c r="Q18" s="54" t="s">
        <v>178</v>
      </c>
      <c r="R18" s="54" t="s">
        <v>195</v>
      </c>
      <c r="S18" s="54" t="s">
        <v>196</v>
      </c>
      <c r="T18" s="54" t="s">
        <v>197</v>
      </c>
      <c r="U18" s="54" t="s">
        <v>198</v>
      </c>
    </row>
    <row r="19" spans="1:22" ht="20.100000000000001" customHeight="1" x14ac:dyDescent="0.25">
      <c r="A19" s="17" t="str">
        <f>HYPERLINK("#'4.3.1.12-13 Soil leach runoff'!A1", "4.3.1.12-13 Soil leach &amp; runoff")</f>
        <v>4.3.1.12-13 Soil leach &amp; runoff</v>
      </c>
      <c r="D19" s="55" t="str">
        <f>'Input - Dairy'!$D$59</f>
        <v>Milking shed</v>
      </c>
      <c r="E19" s="55" t="str">
        <f>'Input - Dairy'!$D$78</f>
        <v>Anaerobic lagoon</v>
      </c>
      <c r="F19" s="55">
        <f>'4.3.1.3-4 Direct N20'!$F$236</f>
        <v>212.24813314524795</v>
      </c>
      <c r="G19" s="55">
        <f>'4.3.1.3-4 Direct N20'!$G$236</f>
        <v>182.35790267782079</v>
      </c>
      <c r="H19" s="55">
        <f>'4.3.1.3-4 Direct N20'!$H$236</f>
        <v>72.631224123843424</v>
      </c>
      <c r="I19" s="55">
        <f>'4.3.1.3-4 Direct N20'!$I$236</f>
        <v>229.23109573986844</v>
      </c>
      <c r="J19" s="55">
        <f>'4.3.1.3-4 Direct N20'!$J$236</f>
        <v>95.962857079055411</v>
      </c>
      <c r="K19" s="2" t="str">
        <f>$G$13</f>
        <v>kg N</v>
      </c>
      <c r="O19" s="55" t="str">
        <f>'Input - Dairy'!$D$59</f>
        <v>Milking shed</v>
      </c>
      <c r="P19" s="55" t="str">
        <f>'Input - Dairy'!$D$78</f>
        <v>Anaerobic lagoon</v>
      </c>
      <c r="Q19" s="55">
        <f>'4.3.1.3-4 Direct N20'!$P$236</f>
        <v>212.24813314524795</v>
      </c>
      <c r="R19" s="55">
        <f>'4.3.1.3-4 Direct N20'!$Q$236</f>
        <v>182.35790267782079</v>
      </c>
      <c r="S19" s="55">
        <f>'4.3.1.3-4 Direct N20'!$R$236</f>
        <v>72.631224123843424</v>
      </c>
      <c r="T19" s="55">
        <f>'4.3.1.3-4 Direct N20'!$S$236</f>
        <v>229.23109573986844</v>
      </c>
      <c r="U19" s="55">
        <f>'4.3.1.3-4 Direct N20'!$T$236</f>
        <v>95.962857079055411</v>
      </c>
      <c r="V19" s="2" t="str">
        <f>$G$13</f>
        <v>kg N</v>
      </c>
    </row>
    <row r="20" spans="1:22" ht="20.100000000000001" customHeight="1" x14ac:dyDescent="0.25">
      <c r="A20" s="17"/>
      <c r="D20" s="55" t="str">
        <f>'Input - Dairy'!$D$59</f>
        <v>Milking shed</v>
      </c>
      <c r="E20" s="55" t="str">
        <f>'Input - Dairy'!$D$79</f>
        <v>Sump and dispersal system</v>
      </c>
      <c r="F20" s="55">
        <f>'4.3.1.3-4 Direct N20'!$F$237</f>
        <v>212.24813314524795</v>
      </c>
      <c r="G20" s="55">
        <f>'4.3.1.3-4 Direct N20'!$G$237</f>
        <v>182.35790267782079</v>
      </c>
      <c r="H20" s="55">
        <f>'4.3.1.3-4 Direct N20'!$H$237</f>
        <v>72.631224123843424</v>
      </c>
      <c r="I20" s="55">
        <f>'4.3.1.3-4 Direct N20'!$I$237</f>
        <v>229.23109573986844</v>
      </c>
      <c r="J20" s="55">
        <f>'4.3.1.3-4 Direct N20'!$J$237</f>
        <v>95.962857079055411</v>
      </c>
      <c r="K20" s="2"/>
      <c r="O20" s="55" t="str">
        <f>'Input - Dairy'!$D$59</f>
        <v>Milking shed</v>
      </c>
      <c r="P20" s="55" t="str">
        <f>'Input - Dairy'!$D$79</f>
        <v>Sump and dispersal system</v>
      </c>
      <c r="Q20" s="55">
        <f>'4.3.1.3-4 Direct N20'!$P$237</f>
        <v>212.24813314524795</v>
      </c>
      <c r="R20" s="55">
        <f>'4.3.1.3-4 Direct N20'!$Q$237</f>
        <v>182.35790267782079</v>
      </c>
      <c r="S20" s="55">
        <f>'4.3.1.3-4 Direct N20'!$R$237</f>
        <v>72.631224123843424</v>
      </c>
      <c r="T20" s="55">
        <f>'4.3.1.3-4 Direct N20'!$S$237</f>
        <v>229.23109573986844</v>
      </c>
      <c r="U20" s="55">
        <f>'4.3.1.3-4 Direct N20'!$T$237</f>
        <v>95.962857079055411</v>
      </c>
      <c r="V20" s="2"/>
    </row>
    <row r="21" spans="1:22" ht="20.100000000000001" customHeight="1" x14ac:dyDescent="0.25">
      <c r="A21" s="18" t="s">
        <v>4</v>
      </c>
      <c r="D21" s="55" t="str">
        <f>'Input - Dairy'!$D$59</f>
        <v>Milking shed</v>
      </c>
      <c r="E21" s="55" t="str">
        <f>'Input - Dairy'!$D$80</f>
        <v>Drains to paddock</v>
      </c>
      <c r="F21" s="55">
        <f>'4.3.1.3-4 Direct N20'!$F$238</f>
        <v>212.24813314524795</v>
      </c>
      <c r="G21" s="55">
        <f>'4.3.1.3-4 Direct N20'!$G$238</f>
        <v>182.35790267782079</v>
      </c>
      <c r="H21" s="55">
        <f>'4.3.1.3-4 Direct N20'!$H$238</f>
        <v>72.631224123843424</v>
      </c>
      <c r="I21" s="55">
        <f>'4.3.1.3-4 Direct N20'!$I$238</f>
        <v>229.23109573986844</v>
      </c>
      <c r="J21" s="55">
        <f>'4.3.1.3-4 Direct N20'!$J$238</f>
        <v>95.962857079055411</v>
      </c>
      <c r="K21" s="2"/>
      <c r="O21" s="55" t="str">
        <f>'Input - Dairy'!$D$59</f>
        <v>Milking shed</v>
      </c>
      <c r="P21" s="55" t="str">
        <f>'Input - Dairy'!$D$80</f>
        <v>Drains to paddock</v>
      </c>
      <c r="Q21" s="55">
        <f>'4.3.1.3-4 Direct N20'!$P$238</f>
        <v>212.24813314524795</v>
      </c>
      <c r="R21" s="55">
        <f>'4.3.1.3-4 Direct N20'!$Q$238</f>
        <v>182.35790267782079</v>
      </c>
      <c r="S21" s="55">
        <f>'4.3.1.3-4 Direct N20'!$R$238</f>
        <v>72.631224123843424</v>
      </c>
      <c r="T21" s="55">
        <f>'4.3.1.3-4 Direct N20'!$S$238</f>
        <v>229.23109573986844</v>
      </c>
      <c r="U21" s="55">
        <f>'4.3.1.3-4 Direct N20'!$T$238</f>
        <v>95.962857079055411</v>
      </c>
      <c r="V21" s="2"/>
    </row>
    <row r="22" spans="1:22" ht="20.100000000000001" customHeight="1" x14ac:dyDescent="0.25">
      <c r="A22" s="17" t="str">
        <f>HYPERLINK("#'Constants - Dairy'!A1", "Constants - Dairy")</f>
        <v>Constants - Dairy</v>
      </c>
      <c r="D22" s="55" t="str">
        <f>'Input - Dairy'!$D$59</f>
        <v>Milking shed</v>
      </c>
      <c r="E22" s="55" t="s">
        <v>418</v>
      </c>
      <c r="F22" s="55">
        <f>'4.3.1.3-4 Direct N20'!$F$239</f>
        <v>424.49626629049584</v>
      </c>
      <c r="G22" s="55">
        <f>'4.3.1.3-4 Direct N20'!$G$239</f>
        <v>364.71580535564152</v>
      </c>
      <c r="H22" s="55">
        <f>'4.3.1.3-4 Direct N20'!$H$239</f>
        <v>145.26244824768682</v>
      </c>
      <c r="I22" s="55">
        <f>'4.3.1.3-4 Direct N20'!$I$239</f>
        <v>458.46219147973682</v>
      </c>
      <c r="J22" s="55">
        <f>'4.3.1.3-4 Direct N20'!$J$239</f>
        <v>191.92571415811079</v>
      </c>
      <c r="K22" s="2"/>
      <c r="O22" s="55" t="str">
        <f>'Input - Dairy'!$D$59</f>
        <v>Milking shed</v>
      </c>
      <c r="P22" s="55" t="s">
        <v>418</v>
      </c>
      <c r="Q22" s="55">
        <f>'4.3.1.3-4 Direct N20'!$P$239</f>
        <v>424.49626629049584</v>
      </c>
      <c r="R22" s="55">
        <f>'4.3.1.3-4 Direct N20'!$Q$239</f>
        <v>364.71580535564152</v>
      </c>
      <c r="S22" s="55">
        <f>'4.3.1.3-4 Direct N20'!$R$239</f>
        <v>145.26244824768682</v>
      </c>
      <c r="T22" s="55">
        <f>'4.3.1.3-4 Direct N20'!$S$239</f>
        <v>458.46219147973682</v>
      </c>
      <c r="U22" s="55">
        <f>'4.3.1.3-4 Direct N20'!$T$239</f>
        <v>191.92571415811079</v>
      </c>
      <c r="V22" s="2"/>
    </row>
    <row r="23" spans="1:22" ht="20.100000000000001" customHeight="1" x14ac:dyDescent="0.25">
      <c r="A23" s="17" t="str">
        <f>HYPERLINK("#'Constants - Livestock'!A1", "Constants - Livestock")</f>
        <v>Constants - Livestock</v>
      </c>
      <c r="D23" s="55" t="str">
        <f>'Input - Dairy'!$D$60</f>
        <v>Feed pad</v>
      </c>
      <c r="E23" s="55" t="str">
        <f>'Input - Dairy'!$D$94</f>
        <v>Anaerobic lagoon</v>
      </c>
      <c r="F23" s="55">
        <f>'4.3.1.3-4 Direct N20'!$F$240</f>
        <v>858.64017499668478</v>
      </c>
      <c r="G23" s="55">
        <f>'4.3.1.3-4 Direct N20'!$G$240</f>
        <v>737.72060628754764</v>
      </c>
      <c r="H23" s="55">
        <f>'4.3.1.3-4 Direct N20'!$H$240</f>
        <v>293.82631577373019</v>
      </c>
      <c r="I23" s="55">
        <f>'4.3.1.3-4 Direct N20'!$I$240</f>
        <v>927.34397822037681</v>
      </c>
      <c r="J23" s="55">
        <f>'4.3.1.3-4 Direct N20'!$J$240</f>
        <v>388.21337636526954</v>
      </c>
      <c r="K23" s="2"/>
      <c r="O23" s="55" t="str">
        <f>'Input - Dairy'!$D$60</f>
        <v>Feed pad</v>
      </c>
      <c r="P23" s="55" t="str">
        <f>'Input - Dairy'!$D$94</f>
        <v>Anaerobic lagoon</v>
      </c>
      <c r="Q23" s="55">
        <f>'4.3.1.3-4 Direct N20'!$P$240</f>
        <v>858.64017499668478</v>
      </c>
      <c r="R23" s="55">
        <f>'4.3.1.3-4 Direct N20'!$Q$240</f>
        <v>737.72060628754764</v>
      </c>
      <c r="S23" s="55">
        <f>'4.3.1.3-4 Direct N20'!$R$240</f>
        <v>293.82631577373019</v>
      </c>
      <c r="T23" s="55">
        <f>'4.3.1.3-4 Direct N20'!$S$240</f>
        <v>927.34397822037681</v>
      </c>
      <c r="U23" s="55">
        <f>'4.3.1.3-4 Direct N20'!$T$240</f>
        <v>388.21337636526954</v>
      </c>
      <c r="V23" s="2"/>
    </row>
    <row r="24" spans="1:22" ht="20.100000000000001" customHeight="1" x14ac:dyDescent="0.25">
      <c r="A24" s="17" t="str">
        <f>HYPERLINK("#'Constants - Common'!A1", "Constants - Common")</f>
        <v>Constants - Common</v>
      </c>
      <c r="D24" s="55" t="str">
        <f>'Input - Dairy'!$D$60</f>
        <v>Feed pad</v>
      </c>
      <c r="E24" s="55" t="str">
        <f>'Input - Dairy'!$D$95</f>
        <v>Sump and dispersal system</v>
      </c>
      <c r="F24" s="55">
        <f>'4.3.1.3-4 Direct N20'!$F$241</f>
        <v>686.91213999734782</v>
      </c>
      <c r="G24" s="55">
        <f>'4.3.1.3-4 Direct N20'!$G$241</f>
        <v>590.17648503003818</v>
      </c>
      <c r="H24" s="55">
        <f>'4.3.1.3-4 Direct N20'!$H$241</f>
        <v>235.06105261898415</v>
      </c>
      <c r="I24" s="55">
        <f>'4.3.1.3-4 Direct N20'!$I$241</f>
        <v>741.87518257630143</v>
      </c>
      <c r="J24" s="55">
        <f>'4.3.1.3-4 Direct N20'!$J$241</f>
        <v>310.57070109221564</v>
      </c>
      <c r="K24" s="2"/>
      <c r="O24" s="55" t="str">
        <f>'Input - Dairy'!$D$60</f>
        <v>Feed pad</v>
      </c>
      <c r="P24" s="55" t="str">
        <f>'Input - Dairy'!$D$95</f>
        <v>Sump and dispersal system</v>
      </c>
      <c r="Q24" s="55">
        <f>'4.3.1.3-4 Direct N20'!$P$241</f>
        <v>686.91213999734782</v>
      </c>
      <c r="R24" s="55">
        <f>'4.3.1.3-4 Direct N20'!$Q$241</f>
        <v>590.17648503003818</v>
      </c>
      <c r="S24" s="55">
        <f>'4.3.1.3-4 Direct N20'!$R$241</f>
        <v>235.06105261898415</v>
      </c>
      <c r="T24" s="55">
        <f>'4.3.1.3-4 Direct N20'!$S$241</f>
        <v>741.87518257630143</v>
      </c>
      <c r="U24" s="55">
        <f>'4.3.1.3-4 Direct N20'!$T$241</f>
        <v>310.57070109221564</v>
      </c>
      <c r="V24" s="2"/>
    </row>
    <row r="25" spans="1:22" ht="20.100000000000001" customHeight="1" x14ac:dyDescent="0.25">
      <c r="A25" s="17" t="str">
        <f>HYPERLINK("#'Acknowledgements'!A1", "Acknowledgements")</f>
        <v>Acknowledgements</v>
      </c>
      <c r="D25" s="55" t="str">
        <f>'Input - Dairy'!$D$60</f>
        <v>Feed pad</v>
      </c>
      <c r="E25" s="55" t="str">
        <f>'Input - Dairy'!$D$96</f>
        <v>Drains to paddock</v>
      </c>
      <c r="F25" s="55">
        <f>'4.3.1.3-4 Direct N20'!$F$242</f>
        <v>686.91213999734782</v>
      </c>
      <c r="G25" s="55">
        <f>'4.3.1.3-4 Direct N20'!$G$242</f>
        <v>590.17648503003818</v>
      </c>
      <c r="H25" s="55">
        <f>'4.3.1.3-4 Direct N20'!$H$242</f>
        <v>235.06105261898415</v>
      </c>
      <c r="I25" s="55">
        <f>'4.3.1.3-4 Direct N20'!$I$242</f>
        <v>741.87518257630143</v>
      </c>
      <c r="J25" s="55">
        <f>'4.3.1.3-4 Direct N20'!$J$242</f>
        <v>310.57070109221564</v>
      </c>
      <c r="K25" s="2"/>
      <c r="O25" s="55" t="str">
        <f>'Input - Dairy'!$D$60</f>
        <v>Feed pad</v>
      </c>
      <c r="P25" s="55" t="str">
        <f>'Input - Dairy'!$D$96</f>
        <v>Drains to paddock</v>
      </c>
      <c r="Q25" s="55">
        <f>'4.3.1.3-4 Direct N20'!$P$242</f>
        <v>686.91213999734782</v>
      </c>
      <c r="R25" s="55">
        <f>'4.3.1.3-4 Direct N20'!$Q$242</f>
        <v>590.17648503003818</v>
      </c>
      <c r="S25" s="55">
        <f>'4.3.1.3-4 Direct N20'!$R$242</f>
        <v>235.06105261898415</v>
      </c>
      <c r="T25" s="55">
        <f>'4.3.1.3-4 Direct N20'!$S$242</f>
        <v>741.87518257630143</v>
      </c>
      <c r="U25" s="55">
        <f>'4.3.1.3-4 Direct N20'!$T$242</f>
        <v>310.57070109221564</v>
      </c>
      <c r="V25" s="2"/>
    </row>
    <row r="26" spans="1:22" ht="20.100000000000001" customHeight="1" x14ac:dyDescent="0.25">
      <c r="D26" s="55" t="str">
        <f>'Input - Dairy'!$D$60</f>
        <v>Feed pad</v>
      </c>
      <c r="E26" s="55" t="s">
        <v>418</v>
      </c>
      <c r="F26" s="55">
        <f>'4.3.1.3-4 Direct N20'!$F$243</f>
        <v>1202.0962449953586</v>
      </c>
      <c r="G26" s="55">
        <f>'4.3.1.3-4 Direct N20'!$G$243</f>
        <v>1032.8088488025667</v>
      </c>
      <c r="H26" s="55">
        <f>'4.3.1.3-4 Direct N20'!$H$243</f>
        <v>411.35684208322226</v>
      </c>
      <c r="I26" s="55">
        <f>'4.3.1.3-4 Direct N20'!$I$243</f>
        <v>1298.2815695085274</v>
      </c>
      <c r="J26" s="55">
        <f>'4.3.1.3-4 Direct N20'!$J$243</f>
        <v>543.49872691137739</v>
      </c>
      <c r="K26" s="2"/>
      <c r="O26" s="55" t="str">
        <f>'Input - Dairy'!$D$60</f>
        <v>Feed pad</v>
      </c>
      <c r="P26" s="55" t="s">
        <v>418</v>
      </c>
      <c r="Q26" s="55">
        <f>'4.3.1.3-4 Direct N20'!$P$243</f>
        <v>1202.0962449953586</v>
      </c>
      <c r="R26" s="55">
        <f>'4.3.1.3-4 Direct N20'!$Q$243</f>
        <v>1032.8088488025667</v>
      </c>
      <c r="S26" s="55">
        <f>'4.3.1.3-4 Direct N20'!$R$243</f>
        <v>411.35684208322226</v>
      </c>
      <c r="T26" s="55">
        <f>'4.3.1.3-4 Direct N20'!$S$243</f>
        <v>1298.2815695085274</v>
      </c>
      <c r="U26" s="55">
        <f>'4.3.1.3-4 Direct N20'!$T$243</f>
        <v>543.49872691137739</v>
      </c>
      <c r="V26" s="2"/>
    </row>
    <row r="27" spans="1:22" ht="20.100000000000001" customHeight="1" x14ac:dyDescent="0.25"/>
    <row r="28" spans="1:22" ht="20.100000000000001" customHeight="1" x14ac:dyDescent="0.25">
      <c r="D28" s="104" t="s">
        <v>330</v>
      </c>
    </row>
    <row r="29" spans="1:22" ht="20.100000000000001" customHeight="1" x14ac:dyDescent="0.25">
      <c r="D29" s="103" t="s">
        <v>332</v>
      </c>
    </row>
    <row r="30" spans="1:22" ht="20.100000000000001" customHeight="1" x14ac:dyDescent="0.25">
      <c r="D30" s="54" t="s">
        <v>69</v>
      </c>
      <c r="E30" s="54" t="s">
        <v>331</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333</v>
      </c>
      <c r="O37" s="104" t="s">
        <v>335</v>
      </c>
    </row>
    <row r="38" spans="4:22" ht="20.100000000000001" customHeight="1" x14ac:dyDescent="0.25">
      <c r="D38" s="103" t="s">
        <v>334</v>
      </c>
      <c r="O38" s="103" t="s">
        <v>336</v>
      </c>
    </row>
    <row r="39" spans="4:22" ht="20.100000000000001" customHeight="1" x14ac:dyDescent="0.25">
      <c r="D39" s="54" t="s">
        <v>152</v>
      </c>
      <c r="E39" s="54" t="s">
        <v>69</v>
      </c>
      <c r="F39" s="54" t="s">
        <v>178</v>
      </c>
      <c r="G39" s="54" t="s">
        <v>195</v>
      </c>
      <c r="H39" s="54" t="s">
        <v>196</v>
      </c>
      <c r="I39" s="54" t="s">
        <v>197</v>
      </c>
      <c r="J39" s="54" t="s">
        <v>198</v>
      </c>
      <c r="O39" s="54" t="s">
        <v>152</v>
      </c>
      <c r="P39" s="54" t="s">
        <v>69</v>
      </c>
      <c r="Q39" s="54" t="s">
        <v>178</v>
      </c>
      <c r="R39" s="54" t="s">
        <v>195</v>
      </c>
      <c r="S39" s="54" t="s">
        <v>196</v>
      </c>
      <c r="T39" s="54" t="s">
        <v>197</v>
      </c>
      <c r="U39" s="54" t="s">
        <v>198</v>
      </c>
    </row>
    <row r="40" spans="4:22" ht="20.100000000000001" customHeight="1" x14ac:dyDescent="0.25">
      <c r="D40" s="55" t="str">
        <f>'Input - Dairy'!$D$59</f>
        <v>Milking shed</v>
      </c>
      <c r="E40" s="55" t="str">
        <f>'Input - Dairy'!$D$78</f>
        <v>Anaerobic lagoon</v>
      </c>
      <c r="F40" s="55" cm="1">
        <f t="array" ref="F40">MMS_Dairy_AtmosphericDeposition_Equations.VEERG_4_3_1_5__2_TotalNitrogenVolatilisedFromMMS(F19,$E32)</f>
        <v>74.286846600836782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Dairy'!$D$59</f>
        <v>Milking shed</v>
      </c>
      <c r="P40" s="55" t="str">
        <f>'Input - Dairy'!$D$78</f>
        <v>Anaerobic lagoon</v>
      </c>
      <c r="Q40" s="55" cm="1">
        <f t="array" ref="Q40">MMS_Dairy_AtmosphericDeposition_Equations.VEERG_4_3_1_5__2_TotalNitrogenVolatilisedFromMMS(Q19,$E32)</f>
        <v>74.286846600836782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Dairy'!$D$59</f>
        <v>Milking shed</v>
      </c>
      <c r="E41" s="55" t="str">
        <f>'Input - Dairy'!$D$79</f>
        <v>Sump and dispersal system</v>
      </c>
      <c r="F41" s="55" cm="1">
        <f t="array" ref="F41">MMS_Dairy_AtmosphericDeposition_Equations.VEERG_4_3_1_5__2_TotalNitrogenVolatilisedFromMMS(F20,$E33)</f>
        <v>14.857369320167358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Dairy'!$D$59</f>
        <v>Milking shed</v>
      </c>
      <c r="P41" s="55" t="str">
        <f>'Input - Dairy'!$D$79</f>
        <v>Sump and dispersal system</v>
      </c>
      <c r="Q41" s="55" cm="1">
        <f t="array" ref="Q41">MMS_Dairy_AtmosphericDeposition_Equations.VEERG_4_3_1_5__2_TotalNitrogenVolatilisedFromMMS(Q20,$E33)</f>
        <v>14.857369320167358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Dairy'!$D$59</f>
        <v>Milking shed</v>
      </c>
      <c r="E42" s="55" t="str">
        <f>'Input - Dairy'!$D$80</f>
        <v>Drains to paddock</v>
      </c>
      <c r="F42" s="55" cm="1">
        <f t="array" ref="F42">MMS_Dairy_AtmosphericDeposition_Equations.VEERG_4_3_1_5__2_TotalNitrogenVolatilisedFromMMS(F21,$E34)</f>
        <v>42.44962662904959</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Dairy'!$D$59</f>
        <v>Milking shed</v>
      </c>
      <c r="P42" s="55" t="str">
        <f>'Input - Dairy'!$D$80</f>
        <v>Drains to paddock</v>
      </c>
      <c r="Q42" s="55" cm="1">
        <f t="array" ref="Q42">MMS_Dairy_AtmosphericDeposition_Equations.VEERG_4_3_1_5__2_TotalNitrogenVolatilisedFromMMS(Q21,$E34)</f>
        <v>42.44962662904959</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Dairy'!$D$59</f>
        <v>Milking shed</v>
      </c>
      <c r="E43" s="55" t="s">
        <v>418</v>
      </c>
      <c r="F43" s="55" cm="1">
        <f t="array" ref="F43">MMS_Dairy_AtmosphericDeposition_Equations.VEERG_4_3_1_5__2_TotalNitrogenVolatilisedFromMMS(F22,$E35)</f>
        <v>127.34887988714874</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Dairy'!$D$59</f>
        <v>Milking shed</v>
      </c>
      <c r="P43" s="55" t="s">
        <v>418</v>
      </c>
      <c r="Q43" s="55" cm="1">
        <f t="array" ref="Q43">MMS_Dairy_AtmosphericDeposition_Equations.VEERG_4_3_1_5__2_TotalNitrogenVolatilisedFromMMS(Q22,$E35)</f>
        <v>127.34887988714874</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Dairy'!$D$60</f>
        <v>Feed pad</v>
      </c>
      <c r="E44" s="55" t="str">
        <f>'Input - Dairy'!$D$94</f>
        <v>Anaerobic lagoon</v>
      </c>
      <c r="F44" s="55" cm="1">
        <f t="array" ref="F44">MMS_Dairy_AtmosphericDeposition_Equations.VEERG_4_3_1_5__2_TotalNitrogenVolatilisedFromMMS(F23, $E32)</f>
        <v>300.52406124883964</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Dairy'!$D$60</f>
        <v>Feed pad</v>
      </c>
      <c r="P44" s="55" t="str">
        <f>'Input - Dairy'!$D$94</f>
        <v>Anaerobic lagoon</v>
      </c>
      <c r="Q44" s="55" cm="1">
        <f t="array" ref="Q44">MMS_Dairy_AtmosphericDeposition_Equations.VEERG_4_3_1_5__2_TotalNitrogenVolatilisedFromMMS(Q23, $E32)</f>
        <v>300.52406124883964</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Dairy'!$D$60</f>
        <v>Feed pad</v>
      </c>
      <c r="E45" s="55" t="str">
        <f>'Input - Dairy'!$D$95</f>
        <v>Sump and dispersal system</v>
      </c>
      <c r="F45" s="55" cm="1">
        <f t="array" ref="F45">MMS_Dairy_AtmosphericDeposition_Equations.VEERG_4_3_1_5__2_TotalNitrogenVolatilisedFromMMS(F24, $E33)</f>
        <v>48.083849799814352</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Dairy'!$D$60</f>
        <v>Feed pad</v>
      </c>
      <c r="P45" s="55" t="str">
        <f>'Input - Dairy'!$D$95</f>
        <v>Sump and dispersal system</v>
      </c>
      <c r="Q45" s="55" cm="1">
        <f t="array" ref="Q45">MMS_Dairy_AtmosphericDeposition_Equations.VEERG_4_3_1_5__2_TotalNitrogenVolatilisedFromMMS(Q24, $E33)</f>
        <v>48.083849799814352</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Dairy'!$D$60</f>
        <v>Feed pad</v>
      </c>
      <c r="E46" s="55" t="str">
        <f>'Input - Dairy'!$D$96</f>
        <v>Drains to paddock</v>
      </c>
      <c r="F46" s="55" cm="1">
        <f t="array" ref="F46">MMS_Dairy_AtmosphericDeposition_Equations.VEERG_4_3_1_5__2_TotalNitrogenVolatilisedFromMMS(F25, $E34)</f>
        <v>137.38242799946957</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Dairy'!$D$60</f>
        <v>Feed pad</v>
      </c>
      <c r="P46" s="55" t="str">
        <f>'Input - Dairy'!$D$96</f>
        <v>Drains to paddock</v>
      </c>
      <c r="Q46" s="55" cm="1">
        <f t="array" ref="Q46">MMS_Dairy_AtmosphericDeposition_Equations.VEERG_4_3_1_5__2_TotalNitrogenVolatilisedFromMMS(Q25, $E34)</f>
        <v>137.38242799946957</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Dairy'!$D$60</f>
        <v>Feed pad</v>
      </c>
      <c r="E47" s="55" t="s">
        <v>418</v>
      </c>
      <c r="F47" s="55" cm="1">
        <f t="array" ref="F47">MMS_Dairy_AtmosphericDeposition_Equations.VEERG_4_3_1_5__2_TotalNitrogenVolatilisedFromMMS(F26, $E35)</f>
        <v>360.62887349860756</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Dairy'!$D$60</f>
        <v>Feed pad</v>
      </c>
      <c r="P47" s="55" t="s">
        <v>418</v>
      </c>
      <c r="Q47" s="55" cm="1">
        <f t="array" ref="Q47">MMS_Dairy_AtmosphericDeposition_Equations.VEERG_4_3_1_5__2_TotalNitrogenVolatilisedFromMMS(Q26, $E35)</f>
        <v>360.62887349860756</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392</v>
      </c>
      <c r="E49" s="48">
        <f>SUM(F40:J47)</f>
        <v>4127.6301088949185</v>
      </c>
      <c r="F49" s="112" t="str">
        <f>$E$11</f>
        <v>kg N</v>
      </c>
      <c r="O49" s="118" t="s">
        <v>392</v>
      </c>
      <c r="P49" s="48">
        <f>SUM(Q40:U47)</f>
        <v>4127.6301088949185</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434</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4127.6301088949185</v>
      </c>
      <c r="O61" s="60" t="str">
        <f>D61</f>
        <v>MN_ATMOS</v>
      </c>
      <c r="P61" s="61" t="str">
        <f>E61</f>
        <v>mass of N volatilised from MMS</v>
      </c>
      <c r="Q61" s="62"/>
      <c r="R61" s="60">
        <f>$P$49</f>
        <v>4127.6301088949185</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Dairy'!$E$102</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Dairy'!$E$103</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337</v>
      </c>
      <c r="E68" s="109" cm="1">
        <f t="array" ref="E68">MMS_Dairy_AtmosphericDeposition_Equations.VEERG_4_3_1_5__1_AnnualAtmosphericDepositionEmissionsFromMMS($I$61,$I$62,$I$63)</f>
        <v>3.8269027723897175E-2</v>
      </c>
      <c r="F68" s="110" t="str">
        <f>$E$59</f>
        <v>t N2O</v>
      </c>
      <c r="O68" s="108" t="s">
        <v>337</v>
      </c>
      <c r="P68" s="109" cm="1">
        <f t="array" ref="P68">MMS_Dairy_AtmosphericDeposition_Equations.VEERG_4_3_1_5__1_AnnualAtmosphericDepositionEmissionsFromMMS($R$61,$I$62,$I$63)</f>
        <v>3.8269027723897175E-2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3.8269027723897175E-2</v>
      </c>
      <c r="O70" s="60" t="str" cm="1">
        <f t="array" ref="O70:P71">Common_Equations.Common_ConvertN2OToCO2e_Arguments()</f>
        <v>EN2O</v>
      </c>
      <c r="P70" s="61" t="str">
        <v>Nitrous oxide emissions (t N2O)</v>
      </c>
      <c r="Q70" s="111"/>
      <c r="R70" s="55">
        <f>P68</f>
        <v>3.8269027723897175E-2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111</v>
      </c>
      <c r="E73" s="48" cm="1">
        <f t="array" ref="E73">Common_Equations.Common_ConvertN2OToCO2e(G70,G71)</f>
        <v>10.141292346832751</v>
      </c>
      <c r="F73" s="112" t="str" cm="1">
        <f t="array" ref="F73">Common_Equations.Common_ConvertN2OToCO2e_Unit()</f>
        <v>t CO2e</v>
      </c>
      <c r="O73" s="48" t="s">
        <v>111</v>
      </c>
      <c r="P73" s="48" cm="1">
        <f t="array" ref="P73">Common_Equations.Common_ConvertN2OToCO2e(R70,R71)</f>
        <v>10.141292346832751</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1" workbookViewId="0">
      <selection activeCell="E50" sqref="E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364</v>
      </c>
    </row>
    <row r="2" spans="1:23" s="9" customFormat="1" ht="20.100000000000001" customHeight="1" x14ac:dyDescent="0.25"/>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Dairy'!$E$102</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Dairy'!$E$103</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339</v>
      </c>
      <c r="O20" s="104" t="s">
        <v>341</v>
      </c>
    </row>
    <row r="21" spans="1:22" ht="20.100000000000001" customHeight="1" x14ac:dyDescent="0.25">
      <c r="A21" s="18" t="s">
        <v>4</v>
      </c>
      <c r="D21" s="103" t="s">
        <v>340</v>
      </c>
      <c r="O21" s="103" t="s">
        <v>342</v>
      </c>
    </row>
    <row r="22" spans="1:22" ht="20.100000000000001" customHeight="1" x14ac:dyDescent="0.25">
      <c r="A22" s="17" t="str">
        <f>HYPERLINK("#'Constants - Dairy'!A1", "Constants - Dairy")</f>
        <v>Constants - Dairy</v>
      </c>
      <c r="D22" s="54" t="s">
        <v>152</v>
      </c>
      <c r="E22" s="54" t="s">
        <v>69</v>
      </c>
      <c r="F22" s="54" t="s">
        <v>178</v>
      </c>
      <c r="G22" s="54" t="s">
        <v>195</v>
      </c>
      <c r="H22" s="54" t="s">
        <v>196</v>
      </c>
      <c r="I22" s="54" t="s">
        <v>197</v>
      </c>
      <c r="J22" s="54" t="s">
        <v>198</v>
      </c>
      <c r="O22" s="54" t="s">
        <v>152</v>
      </c>
      <c r="P22" s="54" t="s">
        <v>69</v>
      </c>
      <c r="Q22" s="54" t="s">
        <v>178</v>
      </c>
      <c r="R22" s="54" t="s">
        <v>195</v>
      </c>
      <c r="S22" s="54" t="s">
        <v>196</v>
      </c>
      <c r="T22" s="54" t="s">
        <v>197</v>
      </c>
      <c r="U22" s="54" t="s">
        <v>198</v>
      </c>
    </row>
    <row r="23" spans="1:22" ht="20.100000000000001" customHeight="1" x14ac:dyDescent="0.25">
      <c r="A23" s="17" t="str">
        <f>HYPERLINK("#'Constants - Livestock'!A1", "Constants - Livestock")</f>
        <v>Constants - Livestock</v>
      </c>
      <c r="D23" s="55" t="str">
        <f>'Input - Dairy'!$D$59</f>
        <v>Milking shed</v>
      </c>
      <c r="E23" s="55" t="s">
        <v>418</v>
      </c>
      <c r="F23" s="55">
        <f>'4.3.1.3-4 Direct N20'!F239</f>
        <v>424.49626629049584</v>
      </c>
      <c r="G23" s="55">
        <f>'4.3.1.3-4 Direct N20'!G239</f>
        <v>364.71580535564152</v>
      </c>
      <c r="H23" s="55">
        <f>'4.3.1.3-4 Direct N20'!H239</f>
        <v>145.26244824768682</v>
      </c>
      <c r="I23" s="55">
        <f>'4.3.1.3-4 Direct N20'!I239</f>
        <v>458.46219147973682</v>
      </c>
      <c r="J23" s="55">
        <f>'4.3.1.3-4 Direct N20'!J239</f>
        <v>191.92571415811079</v>
      </c>
      <c r="K23" s="2" t="str">
        <f>$H$13</f>
        <v>kg N</v>
      </c>
      <c r="O23" s="55" t="str">
        <f>'Input - Dairy'!$D$59</f>
        <v>Milking shed</v>
      </c>
      <c r="P23" s="55" t="s">
        <v>418</v>
      </c>
      <c r="Q23" s="55">
        <f>'4.3.1.3-4 Direct N20'!P239</f>
        <v>424.49626629049584</v>
      </c>
      <c r="R23" s="55">
        <f>'4.3.1.3-4 Direct N20'!Q239</f>
        <v>364.71580535564152</v>
      </c>
      <c r="S23" s="55">
        <f>'4.3.1.3-4 Direct N20'!R239</f>
        <v>145.26244824768682</v>
      </c>
      <c r="T23" s="55">
        <f>'4.3.1.3-4 Direct N20'!S239</f>
        <v>458.46219147973682</v>
      </c>
      <c r="U23" s="55">
        <f>'4.3.1.3-4 Direct N20'!T239</f>
        <v>191.92571415811079</v>
      </c>
      <c r="V23" s="2" t="str">
        <f>$H$13</f>
        <v>kg N</v>
      </c>
    </row>
    <row r="24" spans="1:22" ht="20.100000000000001" customHeight="1" x14ac:dyDescent="0.25">
      <c r="A24" s="17" t="str">
        <f>HYPERLINK("#'Constants - Common'!A1", "Constants - Common")</f>
        <v>Constants - Common</v>
      </c>
      <c r="D24" s="55" t="str">
        <f>'Input - Dairy'!$D$60</f>
        <v>Feed pad</v>
      </c>
      <c r="E24" s="55" t="s">
        <v>418</v>
      </c>
      <c r="F24" s="55">
        <f>'4.3.1.3-4 Direct N20'!F243</f>
        <v>1202.0962449953586</v>
      </c>
      <c r="G24" s="55">
        <f>'4.3.1.3-4 Direct N20'!G243</f>
        <v>1032.8088488025667</v>
      </c>
      <c r="H24" s="55">
        <f>'4.3.1.3-4 Direct N20'!H243</f>
        <v>411.35684208322226</v>
      </c>
      <c r="I24" s="55">
        <f>'4.3.1.3-4 Direct N20'!I243</f>
        <v>1298.2815695085274</v>
      </c>
      <c r="J24" s="55">
        <f>'4.3.1.3-4 Direct N20'!J243</f>
        <v>543.49872691137739</v>
      </c>
      <c r="K24" s="2"/>
      <c r="O24" s="55" t="str">
        <f>'Input - Dairy'!$D$60</f>
        <v>Feed pad</v>
      </c>
      <c r="P24" s="55" t="s">
        <v>418</v>
      </c>
      <c r="Q24" s="55">
        <f>'4.3.1.3-4 Direct N20'!P243</f>
        <v>1202.0962449953586</v>
      </c>
      <c r="R24" s="55">
        <f>'4.3.1.3-4 Direct N20'!Q243</f>
        <v>1032.8088488025667</v>
      </c>
      <c r="S24" s="55">
        <f>'4.3.1.3-4 Direct N20'!R243</f>
        <v>411.35684208322226</v>
      </c>
      <c r="T24" s="55">
        <f>'4.3.1.3-4 Direct N20'!S243</f>
        <v>1298.2815695085274</v>
      </c>
      <c r="U24" s="55">
        <f>'4.3.1.3-4 Direct N20'!T243</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344</v>
      </c>
      <c r="O26" s="104" t="s">
        <v>345</v>
      </c>
    </row>
    <row r="27" spans="1:22" ht="20.100000000000001" customHeight="1" x14ac:dyDescent="0.25">
      <c r="D27" s="103" t="s">
        <v>343</v>
      </c>
      <c r="O27" s="103" t="s">
        <v>346</v>
      </c>
    </row>
    <row r="28" spans="1:22" ht="20.100000000000001" customHeight="1" x14ac:dyDescent="0.25">
      <c r="D28" s="54" t="s">
        <v>152</v>
      </c>
      <c r="E28" s="54" t="s">
        <v>69</v>
      </c>
      <c r="F28" s="54" t="s">
        <v>178</v>
      </c>
      <c r="G28" s="54" t="s">
        <v>195</v>
      </c>
      <c r="H28" s="54" t="s">
        <v>196</v>
      </c>
      <c r="I28" s="54" t="s">
        <v>197</v>
      </c>
      <c r="J28" s="54" t="s">
        <v>198</v>
      </c>
      <c r="O28" s="54" t="s">
        <v>152</v>
      </c>
      <c r="P28" s="54" t="s">
        <v>69</v>
      </c>
      <c r="Q28" s="54" t="s">
        <v>178</v>
      </c>
      <c r="R28" s="54" t="s">
        <v>195</v>
      </c>
      <c r="S28" s="54" t="s">
        <v>196</v>
      </c>
      <c r="T28" s="54" t="s">
        <v>197</v>
      </c>
      <c r="U28" s="54" t="s">
        <v>198</v>
      </c>
    </row>
    <row r="29" spans="1:22" ht="20.100000000000001" customHeight="1" x14ac:dyDescent="0.25">
      <c r="D29" s="55" t="str">
        <f>'Input - Dairy'!$D$59</f>
        <v>Milking shed</v>
      </c>
      <c r="E29" s="55" t="s">
        <v>418</v>
      </c>
      <c r="F29" s="55" cm="1">
        <f t="array" ref="F29">MMS_Dairy_LeachingAndRunoff_Equations.VEERG_4_3_1_6__2_MassOfNitrogenLostToLeachingAndRunoffFromSolidStorage(F23,$J$14,$J$15)</f>
        <v>8.4899253258099172</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Dairy'!$D$59</f>
        <v>Milking shed</v>
      </c>
      <c r="P29" s="55" t="s">
        <v>418</v>
      </c>
      <c r="Q29" s="55" cm="1">
        <f t="array" ref="Q29">MMS_Dairy_LeachingAndRunoff_Equations.VEERG_4_3_1_6__2_MassOfNitrogenLostToLeachingAndRunoffFromSolidStorage(Q23,$J$14,$J$15)</f>
        <v>8.4899253258099172</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Dairy'!$D$60</f>
        <v>Feed pad</v>
      </c>
      <c r="E30" s="55" t="s">
        <v>418</v>
      </c>
      <c r="F30" s="55" cm="1">
        <f t="array" ref="F30">MMS_Dairy_LeachingAndRunoff_Equations.VEERG_4_3_1_6__2_MassOfNitrogenLostToLeachingAndRunoffFromSolidStorage(F24,$J$14,$J$15)</f>
        <v>24.041924899907173</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Dairy'!$D$60</f>
        <v>Feed pad</v>
      </c>
      <c r="P30" s="55" t="s">
        <v>418</v>
      </c>
      <c r="Q30" s="55" cm="1">
        <f t="array" ref="Q30">MMS_Dairy_LeachingAndRunoff_Equations.VEERG_4_3_1_6__2_MassOfNitrogenLostToLeachingAndRunoffFromSolidStorage(Q24,$J$14,$J$15)</f>
        <v>24.041924899907173</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347</v>
      </c>
      <c r="O46" s="104" t="s">
        <v>349</v>
      </c>
    </row>
    <row r="47" spans="3:23" ht="20.100000000000001" customHeight="1" x14ac:dyDescent="0.25">
      <c r="D47" s="103" t="s">
        <v>348</v>
      </c>
      <c r="O47" s="103" t="s">
        <v>350</v>
      </c>
    </row>
    <row r="48" spans="3:23" ht="20.100000000000001" customHeight="1" x14ac:dyDescent="0.25">
      <c r="D48" s="54" t="s">
        <v>152</v>
      </c>
      <c r="E48" s="54" t="s">
        <v>69</v>
      </c>
      <c r="F48" s="54" t="s">
        <v>178</v>
      </c>
      <c r="G48" s="54" t="s">
        <v>195</v>
      </c>
      <c r="H48" s="54" t="s">
        <v>196</v>
      </c>
      <c r="I48" s="54" t="s">
        <v>197</v>
      </c>
      <c r="J48" s="54" t="s">
        <v>198</v>
      </c>
      <c r="O48" s="54" t="s">
        <v>152</v>
      </c>
      <c r="P48" s="54" t="s">
        <v>69</v>
      </c>
      <c r="Q48" s="54" t="s">
        <v>178</v>
      </c>
      <c r="R48" s="54" t="s">
        <v>195</v>
      </c>
      <c r="S48" s="54" t="s">
        <v>196</v>
      </c>
      <c r="T48" s="54" t="s">
        <v>197</v>
      </c>
      <c r="U48" s="54" t="s">
        <v>198</v>
      </c>
    </row>
    <row r="49" spans="1:22" ht="20.100000000000001" customHeight="1" x14ac:dyDescent="0.25">
      <c r="D49" s="55" t="str">
        <f>'Input - Dairy'!$D$59</f>
        <v>Milking shed</v>
      </c>
      <c r="E49" s="55" t="s">
        <v>418</v>
      </c>
      <c r="F49" s="55" cm="1">
        <f t="array" ref="F49">MMS_Dairy_LeachingAndRunoff_Equations.VEERG_4_3_1_6__1_AnnualEmissionsFromLeachingAndRunoffFromMMS(F29,$I$43,$I$44)</f>
        <v>1.4675442348899997E-4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Dairy'!$D$59</f>
        <v>Milking shed</v>
      </c>
      <c r="P49" s="55" t="s">
        <v>418</v>
      </c>
      <c r="Q49" s="55" cm="1">
        <f t="array" ref="Q49">MMS_Dairy_LeachingAndRunoff_Equations.VEERG_4_3_1_6__1_AnnualEmissionsFromLeachingAndRunoffFromMMS(Q29,$I$43,$I$44)</f>
        <v>1.4675442348899997E-4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Dairy'!$D$60</f>
        <v>Feed pad</v>
      </c>
      <c r="E50" s="55" t="s">
        <v>418</v>
      </c>
      <c r="F50" s="55" cm="1">
        <f t="array" ref="F50">MMS_Dairy_LeachingAndRunoff_Equations.VEERG_4_3_1_6__1_AnnualEmissionsFromLeachingAndRunoffFromMMS(F30,$I$43,$I$44)</f>
        <v>4.1558184469839537E-4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Dairy'!$D$60</f>
        <v>Feed pad</v>
      </c>
      <c r="P50" s="55" t="s">
        <v>418</v>
      </c>
      <c r="Q50" s="55" cm="1">
        <f t="array" ref="Q50">MMS_Dairy_LeachingAndRunoff_Equations.VEERG_4_3_1_6__1_AnnualEmissionsFromLeachingAndRunoffFromMMS(Q30,$I$43,$I$44)</f>
        <v>4.1558184469839537E-4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337</v>
      </c>
      <c r="E52" s="109">
        <f>SUM(F49:J50)</f>
        <v>2.0994898959935987E-3</v>
      </c>
      <c r="F52" s="110" t="str">
        <f>$E$40</f>
        <v>t N2O</v>
      </c>
      <c r="O52" s="108" t="s">
        <v>337</v>
      </c>
      <c r="P52" s="109">
        <f>SUM(Q49:U50)</f>
        <v>2.0994898959935987E-3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2.0994898959935987E-3</v>
      </c>
      <c r="O54" s="60" t="str" cm="1">
        <f t="array" ref="O54:P55">Common_Equations.Common_ConvertN2OToCO2e_Arguments()</f>
        <v>EN2O</v>
      </c>
      <c r="P54" s="61" t="str">
        <v>Nitrous oxide emissions (t N2O)</v>
      </c>
      <c r="Q54" s="111"/>
      <c r="R54" s="55">
        <f>P$52</f>
        <v>2.0994898959935987E-3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111</v>
      </c>
      <c r="E57" s="48" cm="1">
        <f t="array" ref="E57">Common_Equations.Common_ConvertN2OToCO2e(G54,G55)</f>
        <v>0.55636482243830365</v>
      </c>
      <c r="F57" s="112" t="str" cm="1">
        <f t="array" ref="F57">Common_Equations.Common_ConvertN2OToCO2e_Unit()</f>
        <v>t CO2e</v>
      </c>
      <c r="O57" s="48" t="s">
        <v>111</v>
      </c>
      <c r="P57" s="48" cm="1">
        <f t="array" ref="P57">Common_Equations.Common_ConvertN2OToCO2e(R54,R55)</f>
        <v>0.55636482243830365</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9"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c r="M1" s="132"/>
    </row>
    <row r="2" spans="1:23" s="9" customFormat="1" ht="20.100000000000001" customHeight="1" x14ac:dyDescent="0.25">
      <c r="M2" s="132"/>
    </row>
    <row r="3" spans="1:23" ht="20.100000000000001" customHeight="1" x14ac:dyDescent="0.25">
      <c r="A3" s="17" t="str">
        <f>HYPERLINK("#'Home'!A1", "Home")</f>
        <v>Home</v>
      </c>
      <c r="C3" s="4"/>
      <c r="D3" s="4" t="s">
        <v>123</v>
      </c>
      <c r="E3" s="4"/>
      <c r="F3" s="4"/>
      <c r="G3" s="4"/>
      <c r="H3" s="4"/>
      <c r="I3" s="4"/>
      <c r="J3" s="4"/>
      <c r="K3" s="4"/>
      <c r="L3" s="4"/>
      <c r="N3" s="4"/>
      <c r="O3" s="4" t="s">
        <v>124</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324</v>
      </c>
    </row>
    <row r="20" spans="1:9" ht="20.100000000000001" customHeight="1" x14ac:dyDescent="0.25">
      <c r="A20" s="17"/>
      <c r="D20" s="103" t="s">
        <v>325</v>
      </c>
    </row>
    <row r="21" spans="1:9" ht="20.100000000000001" customHeight="1" x14ac:dyDescent="0.25">
      <c r="A21" s="18" t="s">
        <v>4</v>
      </c>
      <c r="D21" s="54" t="s">
        <v>69</v>
      </c>
      <c r="E21" s="54" t="s">
        <v>326</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330</v>
      </c>
    </row>
    <row r="29" spans="1:9" ht="20.100000000000001" customHeight="1" x14ac:dyDescent="0.25">
      <c r="D29" s="103" t="s">
        <v>332</v>
      </c>
    </row>
    <row r="30" spans="1:9" ht="20.100000000000001" customHeight="1" x14ac:dyDescent="0.25">
      <c r="D30" s="54" t="s">
        <v>69</v>
      </c>
      <c r="E30" s="54" t="s">
        <v>331</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320</v>
      </c>
      <c r="M37"/>
      <c r="O37" s="104" t="s">
        <v>323</v>
      </c>
    </row>
    <row r="38" spans="1:22" ht="20.100000000000001" customHeight="1" x14ac:dyDescent="0.25">
      <c r="D38" s="103" t="s">
        <v>321</v>
      </c>
      <c r="M38"/>
      <c r="O38" s="103" t="s">
        <v>322</v>
      </c>
    </row>
    <row r="39" spans="1:22" ht="20.100000000000001" customHeight="1" x14ac:dyDescent="0.25">
      <c r="A39" s="141" t="str">
        <f>HYPERLINK("#A1", "▲ Back to top")</f>
        <v>▲ Back to top</v>
      </c>
      <c r="D39" s="54" t="s">
        <v>152</v>
      </c>
      <c r="E39" s="54" t="s">
        <v>69</v>
      </c>
      <c r="F39" s="54" t="s">
        <v>178</v>
      </c>
      <c r="G39" s="54" t="s">
        <v>195</v>
      </c>
      <c r="H39" s="54" t="s">
        <v>196</v>
      </c>
      <c r="I39" s="54" t="s">
        <v>197</v>
      </c>
      <c r="J39" s="54" t="s">
        <v>198</v>
      </c>
      <c r="M39"/>
      <c r="O39" s="54" t="s">
        <v>152</v>
      </c>
      <c r="P39" s="54" t="s">
        <v>69</v>
      </c>
      <c r="Q39" s="54" t="s">
        <v>178</v>
      </c>
      <c r="R39" s="54" t="s">
        <v>195</v>
      </c>
      <c r="S39" s="54" t="s">
        <v>196</v>
      </c>
      <c r="T39" s="54" t="s">
        <v>197</v>
      </c>
      <c r="U39" s="54" t="s">
        <v>198</v>
      </c>
    </row>
    <row r="40" spans="1:22" ht="20.100000000000001" customHeight="1" x14ac:dyDescent="0.25">
      <c r="D40" s="55" t="str">
        <f>'Input - Dairy'!$D$59</f>
        <v>Milking shed</v>
      </c>
      <c r="E40" s="55" t="str">
        <f>'Input - Dairy'!$D$78</f>
        <v>Anaerobic lagoon</v>
      </c>
      <c r="F40" s="55">
        <f>'4.3.1.3-4 Direct N20'!F236</f>
        <v>212.24813314524795</v>
      </c>
      <c r="G40" s="55">
        <f>'4.3.1.3-4 Direct N20'!G236</f>
        <v>182.35790267782079</v>
      </c>
      <c r="H40" s="55">
        <f>'4.3.1.3-4 Direct N20'!H236</f>
        <v>72.631224123843424</v>
      </c>
      <c r="I40" s="55">
        <f>'4.3.1.3-4 Direct N20'!I236</f>
        <v>229.23109573986844</v>
      </c>
      <c r="J40" s="55">
        <f>'4.3.1.3-4 Direct N20'!J236</f>
        <v>95.962857079055411</v>
      </c>
      <c r="K40" s="2" t="str">
        <f>$G$13</f>
        <v>kg N</v>
      </c>
      <c r="M40"/>
      <c r="O40" s="55" t="str">
        <f>'Input - Dairy'!$D$59</f>
        <v>Milking shed</v>
      </c>
      <c r="P40" s="55" t="str">
        <f>'Input - Dairy'!$D$78</f>
        <v>Anaerobic lagoon</v>
      </c>
      <c r="Q40" s="55">
        <f>'4.3.1.3-4 Direct N20'!P236</f>
        <v>212.24813314524795</v>
      </c>
      <c r="R40" s="55">
        <f>'4.3.1.3-4 Direct N20'!Q236</f>
        <v>182.35790267782079</v>
      </c>
      <c r="S40" s="55">
        <f>'4.3.1.3-4 Direct N20'!R236</f>
        <v>72.631224123843424</v>
      </c>
      <c r="T40" s="55">
        <f>'4.3.1.3-4 Direct N20'!S236</f>
        <v>229.23109573986844</v>
      </c>
      <c r="U40" s="55">
        <f>'4.3.1.3-4 Direct N20'!T236</f>
        <v>95.962857079055411</v>
      </c>
      <c r="V40" s="2" t="str">
        <f>$G$13</f>
        <v>kg N</v>
      </c>
    </row>
    <row r="41" spans="1:22" ht="20.100000000000001" customHeight="1" x14ac:dyDescent="0.25">
      <c r="D41" s="55" t="str">
        <f>'Input - Dairy'!$D$59</f>
        <v>Milking shed</v>
      </c>
      <c r="E41" s="55" t="str">
        <f>'Input - Dairy'!$D$79</f>
        <v>Sump and dispersal system</v>
      </c>
      <c r="F41" s="55">
        <f>'4.3.1.3-4 Direct N20'!F237</f>
        <v>212.24813314524795</v>
      </c>
      <c r="G41" s="55">
        <f>'4.3.1.3-4 Direct N20'!G237</f>
        <v>182.35790267782079</v>
      </c>
      <c r="H41" s="55">
        <f>'4.3.1.3-4 Direct N20'!H237</f>
        <v>72.631224123843424</v>
      </c>
      <c r="I41" s="55">
        <f>'4.3.1.3-4 Direct N20'!I237</f>
        <v>229.23109573986844</v>
      </c>
      <c r="J41" s="55">
        <f>'4.3.1.3-4 Direct N20'!J237</f>
        <v>95.962857079055411</v>
      </c>
      <c r="K41" s="2"/>
      <c r="M41"/>
      <c r="O41" s="55" t="str">
        <f>'Input - Dairy'!$D$59</f>
        <v>Milking shed</v>
      </c>
      <c r="P41" s="55" t="str">
        <f>'Input - Dairy'!$D$79</f>
        <v>Sump and dispersal system</v>
      </c>
      <c r="Q41" s="55">
        <f>'4.3.1.3-4 Direct N20'!P237</f>
        <v>212.24813314524795</v>
      </c>
      <c r="R41" s="55">
        <f>'4.3.1.3-4 Direct N20'!Q237</f>
        <v>182.35790267782079</v>
      </c>
      <c r="S41" s="55">
        <f>'4.3.1.3-4 Direct N20'!R237</f>
        <v>72.631224123843424</v>
      </c>
      <c r="T41" s="55">
        <f>'4.3.1.3-4 Direct N20'!S237</f>
        <v>229.23109573986844</v>
      </c>
      <c r="U41" s="55">
        <f>'4.3.1.3-4 Direct N20'!T237</f>
        <v>95.962857079055411</v>
      </c>
      <c r="V41" s="2"/>
    </row>
    <row r="42" spans="1:22" ht="20.100000000000001" customHeight="1" x14ac:dyDescent="0.25">
      <c r="D42" s="55" t="str">
        <f>'Input - Dairy'!$D$59</f>
        <v>Milking shed</v>
      </c>
      <c r="E42" s="55" t="str">
        <f>'Input - Dairy'!$D$80</f>
        <v>Drains to paddock</v>
      </c>
      <c r="F42" s="55">
        <f>'4.3.1.3-4 Direct N20'!F238</f>
        <v>212.24813314524795</v>
      </c>
      <c r="G42" s="55">
        <f>'4.3.1.3-4 Direct N20'!G238</f>
        <v>182.35790267782079</v>
      </c>
      <c r="H42" s="55">
        <f>'4.3.1.3-4 Direct N20'!H238</f>
        <v>72.631224123843424</v>
      </c>
      <c r="I42" s="55">
        <f>'4.3.1.3-4 Direct N20'!I238</f>
        <v>229.23109573986844</v>
      </c>
      <c r="J42" s="55">
        <f>'4.3.1.3-4 Direct N20'!J238</f>
        <v>95.962857079055411</v>
      </c>
      <c r="K42" s="2"/>
      <c r="M42"/>
      <c r="O42" s="55" t="str">
        <f>'Input - Dairy'!$D$59</f>
        <v>Milking shed</v>
      </c>
      <c r="P42" s="55" t="str">
        <f>'Input - Dairy'!$D$80</f>
        <v>Drains to paddock</v>
      </c>
      <c r="Q42" s="55">
        <f>'4.3.1.3-4 Direct N20'!P238</f>
        <v>212.24813314524795</v>
      </c>
      <c r="R42" s="55">
        <f>'4.3.1.3-4 Direct N20'!Q238</f>
        <v>182.35790267782079</v>
      </c>
      <c r="S42" s="55">
        <f>'4.3.1.3-4 Direct N20'!R238</f>
        <v>72.631224123843424</v>
      </c>
      <c r="T42" s="55">
        <f>'4.3.1.3-4 Direct N20'!S238</f>
        <v>229.23109573986844</v>
      </c>
      <c r="U42" s="55">
        <f>'4.3.1.3-4 Direct N20'!T238</f>
        <v>95.962857079055411</v>
      </c>
      <c r="V42" s="2"/>
    </row>
    <row r="43" spans="1:22" ht="20.100000000000001" customHeight="1" x14ac:dyDescent="0.25">
      <c r="D43" s="55" t="str">
        <f>'Input - Dairy'!$D$59</f>
        <v>Milking shed</v>
      </c>
      <c r="E43" s="55" t="s">
        <v>418</v>
      </c>
      <c r="F43" s="55">
        <f>'4.3.1.3-4 Direct N20'!F239</f>
        <v>424.49626629049584</v>
      </c>
      <c r="G43" s="55">
        <f>'4.3.1.3-4 Direct N20'!G239</f>
        <v>364.71580535564152</v>
      </c>
      <c r="H43" s="55">
        <f>'4.3.1.3-4 Direct N20'!H239</f>
        <v>145.26244824768682</v>
      </c>
      <c r="I43" s="55">
        <f>'4.3.1.3-4 Direct N20'!I239</f>
        <v>458.46219147973682</v>
      </c>
      <c r="J43" s="55">
        <f>'4.3.1.3-4 Direct N20'!J239</f>
        <v>191.92571415811079</v>
      </c>
      <c r="K43" s="2"/>
      <c r="M43"/>
      <c r="O43" s="55" t="str">
        <f>'Input - Dairy'!$D$59</f>
        <v>Milking shed</v>
      </c>
      <c r="P43" s="55" t="s">
        <v>418</v>
      </c>
      <c r="Q43" s="55">
        <f>'4.3.1.3-4 Direct N20'!P239</f>
        <v>424.49626629049584</v>
      </c>
      <c r="R43" s="55">
        <f>'4.3.1.3-4 Direct N20'!Q239</f>
        <v>364.71580535564152</v>
      </c>
      <c r="S43" s="55">
        <f>'4.3.1.3-4 Direct N20'!R239</f>
        <v>145.26244824768682</v>
      </c>
      <c r="T43" s="55">
        <f>'4.3.1.3-4 Direct N20'!S239</f>
        <v>458.46219147973682</v>
      </c>
      <c r="U43" s="55">
        <f>'4.3.1.3-4 Direct N20'!T239</f>
        <v>191.92571415811079</v>
      </c>
      <c r="V43" s="2"/>
    </row>
    <row r="44" spans="1:22" ht="20.100000000000001" customHeight="1" x14ac:dyDescent="0.25">
      <c r="D44" s="55" t="str">
        <f>'Input - Dairy'!$D$60</f>
        <v>Feed pad</v>
      </c>
      <c r="E44" s="55" t="str">
        <f>'Input - Dairy'!$D$94</f>
        <v>Anaerobic lagoon</v>
      </c>
      <c r="F44" s="55">
        <f>'4.3.1.3-4 Direct N20'!F240</f>
        <v>858.64017499668478</v>
      </c>
      <c r="G44" s="55">
        <f>'4.3.1.3-4 Direct N20'!G240</f>
        <v>737.72060628754764</v>
      </c>
      <c r="H44" s="55">
        <f>'4.3.1.3-4 Direct N20'!H240</f>
        <v>293.82631577373019</v>
      </c>
      <c r="I44" s="55">
        <f>'4.3.1.3-4 Direct N20'!I240</f>
        <v>927.34397822037681</v>
      </c>
      <c r="J44" s="55">
        <f>'4.3.1.3-4 Direct N20'!J240</f>
        <v>388.21337636526954</v>
      </c>
      <c r="K44" s="2"/>
      <c r="M44"/>
      <c r="O44" s="55" t="str">
        <f>'Input - Dairy'!$D$60</f>
        <v>Feed pad</v>
      </c>
      <c r="P44" s="55" t="str">
        <f>'Input - Dairy'!$D$94</f>
        <v>Anaerobic lagoon</v>
      </c>
      <c r="Q44" s="55">
        <f>'4.3.1.3-4 Direct N20'!P240</f>
        <v>858.64017499668478</v>
      </c>
      <c r="R44" s="55">
        <f>'4.3.1.3-4 Direct N20'!Q240</f>
        <v>737.72060628754764</v>
      </c>
      <c r="S44" s="55">
        <f>'4.3.1.3-4 Direct N20'!R240</f>
        <v>293.82631577373019</v>
      </c>
      <c r="T44" s="55">
        <f>'4.3.1.3-4 Direct N20'!S240</f>
        <v>927.34397822037681</v>
      </c>
      <c r="U44" s="55">
        <f>'4.3.1.3-4 Direct N20'!T240</f>
        <v>388.21337636526954</v>
      </c>
      <c r="V44" s="2"/>
    </row>
    <row r="45" spans="1:22" ht="20.100000000000001" customHeight="1" x14ac:dyDescent="0.25">
      <c r="D45" s="55" t="str">
        <f>'Input - Dairy'!$D$60</f>
        <v>Feed pad</v>
      </c>
      <c r="E45" s="55" t="str">
        <f>'Input - Dairy'!$D$95</f>
        <v>Sump and dispersal system</v>
      </c>
      <c r="F45" s="55">
        <f>'4.3.1.3-4 Direct N20'!F241</f>
        <v>686.91213999734782</v>
      </c>
      <c r="G45" s="55">
        <f>'4.3.1.3-4 Direct N20'!G241</f>
        <v>590.17648503003818</v>
      </c>
      <c r="H45" s="55">
        <f>'4.3.1.3-4 Direct N20'!H241</f>
        <v>235.06105261898415</v>
      </c>
      <c r="I45" s="55">
        <f>'4.3.1.3-4 Direct N20'!I241</f>
        <v>741.87518257630143</v>
      </c>
      <c r="J45" s="55">
        <f>'4.3.1.3-4 Direct N20'!J241</f>
        <v>310.57070109221564</v>
      </c>
      <c r="K45" s="2"/>
      <c r="M45"/>
      <c r="O45" s="55" t="str">
        <f>'Input - Dairy'!$D$60</f>
        <v>Feed pad</v>
      </c>
      <c r="P45" s="55" t="str">
        <f>'Input - Dairy'!$D$95</f>
        <v>Sump and dispersal system</v>
      </c>
      <c r="Q45" s="55">
        <f>'4.3.1.3-4 Direct N20'!P241</f>
        <v>686.91213999734782</v>
      </c>
      <c r="R45" s="55">
        <f>'4.3.1.3-4 Direct N20'!Q241</f>
        <v>590.17648503003818</v>
      </c>
      <c r="S45" s="55">
        <f>'4.3.1.3-4 Direct N20'!R241</f>
        <v>235.06105261898415</v>
      </c>
      <c r="T45" s="55">
        <f>'4.3.1.3-4 Direct N20'!S241</f>
        <v>741.87518257630143</v>
      </c>
      <c r="U45" s="55">
        <f>'4.3.1.3-4 Direct N20'!T241</f>
        <v>310.57070109221564</v>
      </c>
      <c r="V45" s="2"/>
    </row>
    <row r="46" spans="1:22" ht="20.100000000000001" customHeight="1" x14ac:dyDescent="0.25">
      <c r="D46" s="55" t="str">
        <f>'Input - Dairy'!$D$60</f>
        <v>Feed pad</v>
      </c>
      <c r="E46" s="55" t="str">
        <f>'Input - Dairy'!$D$96</f>
        <v>Drains to paddock</v>
      </c>
      <c r="F46" s="55">
        <f>'4.3.1.3-4 Direct N20'!F242</f>
        <v>686.91213999734782</v>
      </c>
      <c r="G46" s="55">
        <f>'4.3.1.3-4 Direct N20'!G242</f>
        <v>590.17648503003818</v>
      </c>
      <c r="H46" s="55">
        <f>'4.3.1.3-4 Direct N20'!H242</f>
        <v>235.06105261898415</v>
      </c>
      <c r="I46" s="55">
        <f>'4.3.1.3-4 Direct N20'!I242</f>
        <v>741.87518257630143</v>
      </c>
      <c r="J46" s="55">
        <f>'4.3.1.3-4 Direct N20'!J242</f>
        <v>310.57070109221564</v>
      </c>
      <c r="K46" s="2"/>
      <c r="M46"/>
      <c r="O46" s="55" t="str">
        <f>'Input - Dairy'!$D$60</f>
        <v>Feed pad</v>
      </c>
      <c r="P46" s="55" t="str">
        <f>'Input - Dairy'!$D$96</f>
        <v>Drains to paddock</v>
      </c>
      <c r="Q46" s="55">
        <f>'4.3.1.3-4 Direct N20'!P242</f>
        <v>686.91213999734782</v>
      </c>
      <c r="R46" s="55">
        <f>'4.3.1.3-4 Direct N20'!Q242</f>
        <v>590.17648503003818</v>
      </c>
      <c r="S46" s="55">
        <f>'4.3.1.3-4 Direct N20'!R242</f>
        <v>235.06105261898415</v>
      </c>
      <c r="T46" s="55">
        <f>'4.3.1.3-4 Direct N20'!S242</f>
        <v>741.87518257630143</v>
      </c>
      <c r="U46" s="55">
        <f>'4.3.1.3-4 Direct N20'!T242</f>
        <v>310.57070109221564</v>
      </c>
      <c r="V46" s="2"/>
    </row>
    <row r="47" spans="1:22" ht="20.100000000000001" customHeight="1" x14ac:dyDescent="0.25">
      <c r="D47" s="55" t="str">
        <f>'Input - Dairy'!$D$60</f>
        <v>Feed pad</v>
      </c>
      <c r="E47" s="55" t="s">
        <v>418</v>
      </c>
      <c r="F47" s="55">
        <f>'4.3.1.3-4 Direct N20'!F243</f>
        <v>1202.0962449953586</v>
      </c>
      <c r="G47" s="55">
        <f>'4.3.1.3-4 Direct N20'!G243</f>
        <v>1032.8088488025667</v>
      </c>
      <c r="H47" s="55">
        <f>'4.3.1.3-4 Direct N20'!H243</f>
        <v>411.35684208322226</v>
      </c>
      <c r="I47" s="55">
        <f>'4.3.1.3-4 Direct N20'!I243</f>
        <v>1298.2815695085274</v>
      </c>
      <c r="J47" s="55">
        <f>'4.3.1.3-4 Direct N20'!J243</f>
        <v>543.49872691137739</v>
      </c>
      <c r="K47" s="2"/>
      <c r="M47"/>
      <c r="O47" s="55" t="str">
        <f>'Input - Dairy'!$D$60</f>
        <v>Feed pad</v>
      </c>
      <c r="P47" s="55" t="s">
        <v>418</v>
      </c>
      <c r="Q47" s="55">
        <f>'4.3.1.3-4 Direct N20'!P243</f>
        <v>1202.0962449953586</v>
      </c>
      <c r="R47" s="55">
        <f>'4.3.1.3-4 Direct N20'!Q243</f>
        <v>1032.8088488025667</v>
      </c>
      <c r="S47" s="55">
        <f>'4.3.1.3-4 Direct N20'!R243</f>
        <v>411.35684208322226</v>
      </c>
      <c r="T47" s="55">
        <f>'4.3.1.3-4 Direct N20'!S243</f>
        <v>1298.2815695085274</v>
      </c>
      <c r="U47" s="55">
        <f>'4.3.1.3-4 Direct N20'!T243</f>
        <v>543.49872691137739</v>
      </c>
      <c r="V47" s="2"/>
    </row>
    <row r="48" spans="1:22" ht="20.100000000000001" customHeight="1" x14ac:dyDescent="0.25"/>
    <row r="49" spans="4:22" ht="20.100000000000001" customHeight="1" x14ac:dyDescent="0.25">
      <c r="D49" s="104" t="s">
        <v>410</v>
      </c>
      <c r="O49" s="104" t="s">
        <v>408</v>
      </c>
    </row>
    <row r="50" spans="4:22" ht="20.100000000000001" customHeight="1" x14ac:dyDescent="0.25">
      <c r="D50" s="103" t="s">
        <v>411</v>
      </c>
      <c r="O50" s="103" t="s">
        <v>409</v>
      </c>
    </row>
    <row r="51" spans="4:22" ht="20.100000000000001" customHeight="1" x14ac:dyDescent="0.25">
      <c r="D51" s="54" t="s">
        <v>152</v>
      </c>
      <c r="E51" s="54" t="s">
        <v>69</v>
      </c>
      <c r="F51" s="54" t="s">
        <v>178</v>
      </c>
      <c r="G51" s="54" t="s">
        <v>195</v>
      </c>
      <c r="H51" s="54" t="s">
        <v>196</v>
      </c>
      <c r="I51" s="54" t="s">
        <v>197</v>
      </c>
      <c r="J51" s="54" t="s">
        <v>198</v>
      </c>
      <c r="O51" s="54" t="s">
        <v>152</v>
      </c>
      <c r="P51" s="54" t="s">
        <v>69</v>
      </c>
      <c r="Q51" s="54" t="s">
        <v>178</v>
      </c>
      <c r="R51" s="54" t="s">
        <v>195</v>
      </c>
      <c r="S51" s="54" t="s">
        <v>196</v>
      </c>
      <c r="T51" s="54" t="s">
        <v>197</v>
      </c>
      <c r="U51" s="54" t="s">
        <v>198</v>
      </c>
    </row>
    <row r="52" spans="4:22" ht="20.100000000000001" customHeight="1" x14ac:dyDescent="0.25">
      <c r="D52" s="55" t="str">
        <f>'Input - Dairy'!$D$59</f>
        <v>Milking shed</v>
      </c>
      <c r="E52" s="55" t="str">
        <f>'Input - Dairy'!$D$78</f>
        <v>Anaerobic lagoon</v>
      </c>
      <c r="F52" s="55">
        <v>0</v>
      </c>
      <c r="G52" s="55">
        <v>0</v>
      </c>
      <c r="H52" s="55">
        <v>0</v>
      </c>
      <c r="I52" s="55">
        <v>0</v>
      </c>
      <c r="J52" s="55">
        <v>0</v>
      </c>
      <c r="K52" s="2" t="str">
        <f>$G$16</f>
        <v>kg N</v>
      </c>
      <c r="O52" s="55" t="str">
        <f>'Input - Dairy'!$D$59</f>
        <v>Milking shed</v>
      </c>
      <c r="P52" s="55" t="str">
        <f>'Input - Dairy'!$D$78</f>
        <v>Anaerobic lagoon</v>
      </c>
      <c r="Q52" s="55">
        <v>0</v>
      </c>
      <c r="R52" s="55">
        <v>0</v>
      </c>
      <c r="S52" s="55">
        <v>0</v>
      </c>
      <c r="T52" s="55">
        <v>0</v>
      </c>
      <c r="U52" s="55">
        <v>0</v>
      </c>
      <c r="V52" s="2" t="str">
        <f>$G$16</f>
        <v>kg N</v>
      </c>
    </row>
    <row r="53" spans="4:22" ht="20.100000000000001" customHeight="1" x14ac:dyDescent="0.25">
      <c r="D53" s="55" t="str">
        <f>'Input - Dairy'!$D$59</f>
        <v>Milking shed</v>
      </c>
      <c r="E53" s="55" t="str">
        <f>'Input - Dairy'!$D$79</f>
        <v>Sump and dispersal system</v>
      </c>
      <c r="F53" s="55">
        <v>0</v>
      </c>
      <c r="G53" s="55">
        <v>0</v>
      </c>
      <c r="H53" s="55">
        <v>0</v>
      </c>
      <c r="I53" s="55">
        <v>0</v>
      </c>
      <c r="J53" s="55">
        <v>0</v>
      </c>
      <c r="K53" s="2"/>
      <c r="O53" s="55" t="str">
        <f>'Input - Dairy'!$D$59</f>
        <v>Milking shed</v>
      </c>
      <c r="P53" s="55" t="str">
        <f>'Input - Dairy'!$D$79</f>
        <v>Sump and dispersal system</v>
      </c>
      <c r="Q53" s="55">
        <v>0</v>
      </c>
      <c r="R53" s="55">
        <v>0</v>
      </c>
      <c r="S53" s="55">
        <v>0</v>
      </c>
      <c r="T53" s="55">
        <v>0</v>
      </c>
      <c r="U53" s="55">
        <v>0</v>
      </c>
      <c r="V53" s="2"/>
    </row>
    <row r="54" spans="4:22" ht="20.100000000000001" customHeight="1" x14ac:dyDescent="0.25">
      <c r="D54" s="55" t="str">
        <f>'Input - Dairy'!$D$59</f>
        <v>Milking shed</v>
      </c>
      <c r="E54" s="55" t="str">
        <f>'Input - Dairy'!$D$80</f>
        <v>Drains to paddock</v>
      </c>
      <c r="F54" s="55">
        <v>0</v>
      </c>
      <c r="G54" s="55">
        <v>0</v>
      </c>
      <c r="H54" s="55">
        <v>0</v>
      </c>
      <c r="I54" s="55">
        <v>0</v>
      </c>
      <c r="J54" s="55">
        <v>0</v>
      </c>
      <c r="K54" s="2"/>
      <c r="O54" s="55" t="str">
        <f>'Input - Dairy'!$D$59</f>
        <v>Milking shed</v>
      </c>
      <c r="P54" s="55" t="str">
        <f>'Input - Dairy'!$D$80</f>
        <v>Drains to paddock</v>
      </c>
      <c r="Q54" s="55">
        <v>0</v>
      </c>
      <c r="R54" s="55">
        <v>0</v>
      </c>
      <c r="S54" s="55">
        <v>0</v>
      </c>
      <c r="T54" s="55">
        <v>0</v>
      </c>
      <c r="U54" s="55">
        <v>0</v>
      </c>
      <c r="V54" s="2"/>
    </row>
    <row r="55" spans="4:22" ht="20.100000000000001" customHeight="1" x14ac:dyDescent="0.25">
      <c r="D55" s="55" t="str">
        <f>'Input - Dairy'!$D$59</f>
        <v>Milking shed</v>
      </c>
      <c r="E55" s="55" t="s">
        <v>418</v>
      </c>
      <c r="F55" s="55">
        <f>'4.3.1.6-7 Leaching and runoff'!F29</f>
        <v>8.4899253258099172</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Dairy'!$D$59</f>
        <v>Milking shed</v>
      </c>
      <c r="P55" s="55" t="s">
        <v>418</v>
      </c>
      <c r="Q55" s="55">
        <f>'4.3.1.6-7 Leaching and runoff'!Q29</f>
        <v>8.4899253258099172</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Dairy'!$D$60</f>
        <v>Feed pad</v>
      </c>
      <c r="E56" s="55" t="str">
        <f>'Input - Dairy'!$D$94</f>
        <v>Anaerobic lagoon</v>
      </c>
      <c r="F56" s="55">
        <v>0</v>
      </c>
      <c r="G56" s="55">
        <v>0</v>
      </c>
      <c r="H56" s="55">
        <v>0</v>
      </c>
      <c r="I56" s="55">
        <v>0</v>
      </c>
      <c r="J56" s="55">
        <v>0</v>
      </c>
      <c r="K56" s="2"/>
      <c r="O56" s="55" t="str">
        <f>'Input - Dairy'!$D$60</f>
        <v>Feed pad</v>
      </c>
      <c r="P56" s="55" t="str">
        <f>'Input - Dairy'!$D$94</f>
        <v>Anaerobic lagoon</v>
      </c>
      <c r="Q56" s="55">
        <v>0</v>
      </c>
      <c r="R56" s="55">
        <v>0</v>
      </c>
      <c r="S56" s="55">
        <v>0</v>
      </c>
      <c r="T56" s="55">
        <v>0</v>
      </c>
      <c r="U56" s="55">
        <v>0</v>
      </c>
      <c r="V56" s="2"/>
    </row>
    <row r="57" spans="4:22" ht="20.100000000000001" customHeight="1" x14ac:dyDescent="0.25">
      <c r="D57" s="55" t="str">
        <f>'Input - Dairy'!$D$60</f>
        <v>Feed pad</v>
      </c>
      <c r="E57" s="55" t="str">
        <f>'Input - Dairy'!$D$95</f>
        <v>Sump and dispersal system</v>
      </c>
      <c r="F57" s="55">
        <v>0</v>
      </c>
      <c r="G57" s="55">
        <v>0</v>
      </c>
      <c r="H57" s="55">
        <v>0</v>
      </c>
      <c r="I57" s="55">
        <v>0</v>
      </c>
      <c r="J57" s="55">
        <v>0</v>
      </c>
      <c r="K57" s="2"/>
      <c r="O57" s="55" t="str">
        <f>'Input - Dairy'!$D$60</f>
        <v>Feed pad</v>
      </c>
      <c r="P57" s="55" t="str">
        <f>'Input - Dairy'!$D$95</f>
        <v>Sump and dispersal system</v>
      </c>
      <c r="Q57" s="55">
        <v>0</v>
      </c>
      <c r="R57" s="55">
        <v>0</v>
      </c>
      <c r="S57" s="55">
        <v>0</v>
      </c>
      <c r="T57" s="55">
        <v>0</v>
      </c>
      <c r="U57" s="55">
        <v>0</v>
      </c>
      <c r="V57" s="2"/>
    </row>
    <row r="58" spans="4:22" ht="20.100000000000001" customHeight="1" x14ac:dyDescent="0.25">
      <c r="D58" s="55" t="str">
        <f>'Input - Dairy'!$D$60</f>
        <v>Feed pad</v>
      </c>
      <c r="E58" s="55" t="str">
        <f>'Input - Dairy'!$D$96</f>
        <v>Drains to paddock</v>
      </c>
      <c r="F58" s="55">
        <v>0</v>
      </c>
      <c r="G58" s="55">
        <v>0</v>
      </c>
      <c r="H58" s="55">
        <v>0</v>
      </c>
      <c r="I58" s="55">
        <v>0</v>
      </c>
      <c r="J58" s="55">
        <v>0</v>
      </c>
      <c r="K58" s="2"/>
      <c r="O58" s="55" t="str">
        <f>'Input - Dairy'!$D$60</f>
        <v>Feed pad</v>
      </c>
      <c r="P58" s="55" t="str">
        <f>'Input - Dairy'!$D$96</f>
        <v>Drains to paddock</v>
      </c>
      <c r="Q58" s="55">
        <v>0</v>
      </c>
      <c r="R58" s="55">
        <v>0</v>
      </c>
      <c r="S58" s="55">
        <v>0</v>
      </c>
      <c r="T58" s="55">
        <v>0</v>
      </c>
      <c r="U58" s="55">
        <v>0</v>
      </c>
      <c r="V58" s="2"/>
    </row>
    <row r="59" spans="4:22" ht="20.100000000000001" customHeight="1" x14ac:dyDescent="0.25">
      <c r="D59" s="55" t="str">
        <f>'Input - Dairy'!$D$60</f>
        <v>Feed pad</v>
      </c>
      <c r="E59" s="55" t="s">
        <v>418</v>
      </c>
      <c r="F59" s="55">
        <f>'4.3.1.6-7 Leaching and runoff'!F30</f>
        <v>24.041924899907173</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Dairy'!$D$60</f>
        <v>Feed pad</v>
      </c>
      <c r="P59" s="55" t="s">
        <v>418</v>
      </c>
      <c r="Q59" s="55">
        <f>'4.3.1.6-7 Leaching and runoff'!Q30</f>
        <v>24.041924899907173</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352</v>
      </c>
    </row>
    <row r="62" spans="4:22" ht="20.100000000000001" customHeight="1" x14ac:dyDescent="0.25">
      <c r="D62" s="103" t="s">
        <v>353</v>
      </c>
    </row>
    <row r="63" spans="4:22" ht="20.100000000000001" customHeight="1" x14ac:dyDescent="0.25">
      <c r="D63" s="41" t="s">
        <v>152</v>
      </c>
      <c r="E63" s="41" t="s">
        <v>69</v>
      </c>
      <c r="F63" s="41" t="s">
        <v>450</v>
      </c>
    </row>
    <row r="64" spans="4:22" ht="20.100000000000001" customHeight="1" x14ac:dyDescent="0.25">
      <c r="D64" s="55" t="str">
        <f>'Input - Dairy'!$D$59</f>
        <v>Milking shed</v>
      </c>
      <c r="E64" s="55" t="str">
        <f>'Input - Dairy'!$D$78</f>
        <v>Anaerobic lagoon</v>
      </c>
      <c r="F64" s="55">
        <f>'Input - Dairy'!L78+'Input - Dairy'!M78</f>
        <v>0.75</v>
      </c>
      <c r="G64" s="2" t="str">
        <f>$G$17</f>
        <v>fraction</v>
      </c>
    </row>
    <row r="65" spans="4:22" ht="20.100000000000001" customHeight="1" x14ac:dyDescent="0.25">
      <c r="D65" s="55" t="str">
        <f>'Input - Dairy'!$D$59</f>
        <v>Milking shed</v>
      </c>
      <c r="E65" s="55" t="str">
        <f>'Input - Dairy'!$D$79</f>
        <v>Sump and dispersal system</v>
      </c>
      <c r="F65" s="55">
        <f>'Input - Dairy'!L79+'Input - Dairy'!M79</f>
        <v>0.75</v>
      </c>
      <c r="G65" s="2"/>
    </row>
    <row r="66" spans="4:22" ht="20.100000000000001" customHeight="1" x14ac:dyDescent="0.25">
      <c r="D66" s="55" t="str">
        <f>'Input - Dairy'!$D$59</f>
        <v>Milking shed</v>
      </c>
      <c r="E66" s="55" t="str">
        <f>'Input - Dairy'!$D$80</f>
        <v>Drains to paddock</v>
      </c>
      <c r="F66" s="55">
        <f>'Input - Dairy'!L80+'Input - Dairy'!M80</f>
        <v>0.75</v>
      </c>
      <c r="G66" s="2"/>
    </row>
    <row r="67" spans="4:22" ht="20.100000000000001" customHeight="1" x14ac:dyDescent="0.25">
      <c r="D67" s="55" t="str">
        <f>'Input - Dairy'!$D$59</f>
        <v>Milking shed</v>
      </c>
      <c r="E67" s="55" t="str">
        <f>'Input - Dairy'!$D$81</f>
        <v>Solid storage (before solid separation)</v>
      </c>
      <c r="F67" s="55">
        <f>'Input - Dairy'!L81+'Input - Dairy'!M81</f>
        <v>0.75</v>
      </c>
      <c r="G67" s="2"/>
    </row>
    <row r="68" spans="4:22" ht="20.100000000000001" customHeight="1" x14ac:dyDescent="0.25">
      <c r="D68" s="55" t="str">
        <f>'Input - Dairy'!$D$60</f>
        <v>Feed pad</v>
      </c>
      <c r="E68" s="55" t="str">
        <f>'Input - Dairy'!$D$94</f>
        <v>Anaerobic lagoon</v>
      </c>
      <c r="F68" s="55">
        <f>'Input - Dairy'!L94+'Input - Dairy'!M94</f>
        <v>0.75</v>
      </c>
      <c r="G68" s="2"/>
    </row>
    <row r="69" spans="4:22" ht="20.100000000000001" customHeight="1" x14ac:dyDescent="0.25">
      <c r="D69" s="55" t="str">
        <f>'Input - Dairy'!$D$60</f>
        <v>Feed pad</v>
      </c>
      <c r="E69" s="55" t="str">
        <f>'Input - Dairy'!$D$95</f>
        <v>Sump and dispersal system</v>
      </c>
      <c r="F69" s="55">
        <f>'Input - Dairy'!L95+'Input - Dairy'!M95</f>
        <v>0.75</v>
      </c>
      <c r="G69" s="2"/>
    </row>
    <row r="70" spans="4:22" ht="20.100000000000001" customHeight="1" x14ac:dyDescent="0.25">
      <c r="D70" s="55" t="str">
        <f>'Input - Dairy'!$D$60</f>
        <v>Feed pad</v>
      </c>
      <c r="E70" s="55" t="str">
        <f>'Input - Dairy'!$D$96</f>
        <v>Drains to paddock</v>
      </c>
      <c r="F70" s="55">
        <f>'Input - Dairy'!L96+'Input - Dairy'!M96</f>
        <v>0.75</v>
      </c>
      <c r="G70" s="2"/>
    </row>
    <row r="71" spans="4:22" ht="20.100000000000001" customHeight="1" x14ac:dyDescent="0.25">
      <c r="D71" s="55" t="str">
        <f>'Input - Dairy'!$D$60</f>
        <v>Feed pad</v>
      </c>
      <c r="E71" s="55" t="str">
        <f>'Input - Dairy'!$D$97</f>
        <v>Solid storage (before solid separation)</v>
      </c>
      <c r="F71" s="55">
        <f>'Input - Dairy'!L97+'Input - Dairy'!M97</f>
        <v>0.75</v>
      </c>
      <c r="G71" s="2"/>
    </row>
    <row r="72" spans="4:22" ht="20.100000000000001" customHeight="1" x14ac:dyDescent="0.25"/>
    <row r="73" spans="4:22" ht="20.100000000000001" customHeight="1" x14ac:dyDescent="0.25">
      <c r="D73" s="104" t="s">
        <v>354</v>
      </c>
      <c r="O73" s="104" t="s">
        <v>358</v>
      </c>
    </row>
    <row r="74" spans="4:22" ht="20.100000000000001" customHeight="1" x14ac:dyDescent="0.25">
      <c r="D74" s="103" t="s">
        <v>357</v>
      </c>
      <c r="O74" s="103" t="s">
        <v>359</v>
      </c>
    </row>
    <row r="75" spans="4:22" ht="20.100000000000001" customHeight="1" x14ac:dyDescent="0.25">
      <c r="D75" s="54" t="s">
        <v>152</v>
      </c>
      <c r="E75" s="54" t="s">
        <v>69</v>
      </c>
      <c r="F75" s="54" t="s">
        <v>178</v>
      </c>
      <c r="G75" s="54" t="s">
        <v>195</v>
      </c>
      <c r="H75" s="54" t="s">
        <v>196</v>
      </c>
      <c r="I75" s="54" t="s">
        <v>197</v>
      </c>
      <c r="J75" s="54" t="s">
        <v>198</v>
      </c>
      <c r="O75" s="54" t="s">
        <v>152</v>
      </c>
      <c r="P75" s="54" t="s">
        <v>69</v>
      </c>
      <c r="Q75" s="54" t="s">
        <v>178</v>
      </c>
      <c r="R75" s="54" t="s">
        <v>195</v>
      </c>
      <c r="S75" s="54" t="s">
        <v>196</v>
      </c>
      <c r="T75" s="54" t="s">
        <v>197</v>
      </c>
      <c r="U75" s="54" t="s">
        <v>198</v>
      </c>
    </row>
    <row r="76" spans="4:22" ht="20.100000000000001" customHeight="1" x14ac:dyDescent="0.25">
      <c r="D76" s="55" t="str">
        <f>'Input - Dairy'!$D$59</f>
        <v>Milking shed</v>
      </c>
      <c r="E76" s="55" t="str">
        <f>'Input - Dairy'!$D$78</f>
        <v>Anaerobic lagoon</v>
      </c>
      <c r="F76" s="55" cm="1">
        <f t="array" ref="F76">MMS_Dairy_ManureAppliedToSoils_Equations.VEERG_4_3_1_8__1_MassOfNitrogenAppliedToSoilsScope1(F40,_xlfn.XLOOKUP($E76,$D$22:$D$26,$E$22:$E$26),_xlfn.XLOOKUP($E76, $D$31:$D$35,$E$31:$E$35),F52,$F64)</f>
        <v>103.47096490830837</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K83" si="0">$E$11</f>
        <v>kg N</v>
      </c>
      <c r="O76" s="55" t="str">
        <f>'Input - Dairy'!$D$59</f>
        <v>Milking shed</v>
      </c>
      <c r="P76" s="55" t="str">
        <f>'Input - Dairy'!$D$78</f>
        <v>Anaerobic lagoon</v>
      </c>
      <c r="Q76" s="55" cm="1">
        <f t="array" ref="Q76">MMS_Dairy_ManureAppliedToSoils_Equations.VEERG_4_3_1_8__1_MassOfNitrogenAppliedToSoilsScope1(Q40,_xlfn.XLOOKUP($P76,$D$22:$D$26,$E$22:$E$26),_xlfn.XLOOKUP($P76, $D$31:$D$35,$E$31:$E$35),Q52,$F64)</f>
        <v>103.47096490830837</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Dairy'!$D$59</f>
        <v>Milking shed</v>
      </c>
      <c r="E77" s="55" t="str">
        <f>'Input - Dairy'!$D$79</f>
        <v>Sump and dispersal system</v>
      </c>
      <c r="F77" s="55" cm="1">
        <f t="array" ref="F77">MMS_Dairy_ManureAppliedToSoils_Equations.VEERG_4_3_1_8__1_MassOfNitrogenAppliedToSoilsScope1(F41,_xlfn.XLOOKUP($E77,$D$22:$D$26,$E$22:$E$26),_xlfn.XLOOKUP($E77, $D$31:$D$35,$E$31:$E$35),F53,$F65)</f>
        <v>148.04307286881044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Dairy'!$D$59</f>
        <v>Milking shed</v>
      </c>
      <c r="P77" s="55" t="str">
        <f>'Input - Dairy'!$D$79</f>
        <v>Sump and dispersal system</v>
      </c>
      <c r="Q77" s="55" cm="1">
        <f t="array" ref="Q77">MMS_Dairy_ManureAppliedToSoils_Equations.VEERG_4_3_1_8__1_MassOfNitrogenAppliedToSoilsScope1(Q41,_xlfn.XLOOKUP($P77,$D$22:$D$26,$E$22:$E$26),_xlfn.XLOOKUP($P77, $D$31:$D$35,$E$31:$E$35),Q53,$F65)</f>
        <v>148.04307286881044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Dairy'!$D$59</f>
        <v>Milking shed</v>
      </c>
      <c r="E78" s="55" t="str">
        <f>'Input - Dairy'!$D$80</f>
        <v>Drains to paddock</v>
      </c>
      <c r="F78" s="55" cm="1">
        <f t="array" ref="F78">MMS_Dairy_ManureAppliedToSoils_Equations.VEERG_4_3_1_8__1_MassOfNitrogenAppliedToSoilsScope1(F42,_xlfn.XLOOKUP($E78,$D$22:$D$26,$E$22:$E$26),_xlfn.XLOOKUP($E78, $D$31:$D$35,$E$31:$E$35),F54,$F66)</f>
        <v>127.34887988714877</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Dairy'!$D$59</f>
        <v>Milking shed</v>
      </c>
      <c r="P78" s="55" t="str">
        <f>'Input - Dairy'!$D$80</f>
        <v>Drains to paddock</v>
      </c>
      <c r="Q78" s="55" cm="1">
        <f t="array" ref="Q78">MMS_Dairy_ManureAppliedToSoils_Equations.VEERG_4_3_1_8__1_MassOfNitrogenAppliedToSoilsScope1(Q42,_xlfn.XLOOKUP($P78,$D$22:$D$26,$E$22:$E$26),_xlfn.XLOOKUP($P78, $D$31:$D$35,$E$31:$E$35),Q54,$F66)</f>
        <v>127.34887988714877</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Dairy'!$D$59</f>
        <v>Milking shed</v>
      </c>
      <c r="E79" s="55" t="s">
        <v>418</v>
      </c>
      <c r="F79" s="55" cm="1">
        <f t="array" ref="F79">MMS_Dairy_ManureAppliedToSoils_Equations.VEERG_4_3_1_8__1_MassOfNitrogenAppliedToSoilsScope1(F43,_xlfn.XLOOKUP($E79,$D$22:$D$26,$E$22:$E$26),_xlfn.XLOOKUP($E79, $D$31:$D$35,$E$31:$E$35),F55,$F67)</f>
        <v>214.90123480956356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Dairy'!$D$59</f>
        <v>Milking shed</v>
      </c>
      <c r="P79" s="55" t="s">
        <v>418</v>
      </c>
      <c r="Q79" s="55" cm="1">
        <f t="array" ref="Q79">MMS_Dairy_ManureAppliedToSoils_Equations.VEERG_4_3_1_8__1_MassOfNitrogenAppliedToSoilsScope1(Q43,_xlfn.XLOOKUP($P79,$D$22:$D$26,$E$22:$E$26),_xlfn.XLOOKUP($P79, $D$31:$D$35,$E$31:$E$35),Q55,$F67)</f>
        <v>214.90123480956356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Dairy'!$D$60</f>
        <v>Feed pad</v>
      </c>
      <c r="E80" s="55" t="str">
        <f>'Input - Dairy'!$D$94</f>
        <v>Anaerobic lagoon</v>
      </c>
      <c r="F80" s="55" cm="1">
        <f t="array" ref="F80">MMS_Dairy_ManureAppliedToSoils_Equations.VEERG_4_3_1_8__1_MassOfNitrogenAppliedToSoilsScope1(F44,_xlfn.XLOOKUP($E80,$D$22:$D$26,$E$22:$E$26),_xlfn.XLOOKUP($E80, $D$31:$D$35,$E$31:$E$35),F56,$F68)</f>
        <v>418.58708531088382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Dairy'!$D$60</f>
        <v>Feed pad</v>
      </c>
      <c r="P80" s="55" t="str">
        <f>'Input - Dairy'!$D$94</f>
        <v>Anaerobic lagoon</v>
      </c>
      <c r="Q80" s="55" cm="1">
        <f t="array" ref="Q80">MMS_Dairy_ManureAppliedToSoils_Equations.VEERG_4_3_1_8__1_MassOfNitrogenAppliedToSoilsScope1(Q44,_xlfn.XLOOKUP($P80,$D$22:$D$26,$E$22:$E$26),_xlfn.XLOOKUP($P80, $D$31:$D$35,$E$31:$E$35),Q56,$F68)</f>
        <v>418.58708531088382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Dairy'!$D$60</f>
        <v>Feed pad</v>
      </c>
      <c r="E81" s="55" t="str">
        <f>'Input - Dairy'!$D$95</f>
        <v>Sump and dispersal system</v>
      </c>
      <c r="F81" s="55" cm="1">
        <f t="array" ref="F81">MMS_Dairy_ManureAppliedToSoils_Equations.VEERG_4_3_1_8__1_MassOfNitrogenAppliedToSoilsScope1(F45,_xlfn.XLOOKUP($E81,$D$22:$D$26,$E$22:$E$26),_xlfn.XLOOKUP($E81, $D$31:$D$35,$E$31:$E$35),F57,$F69)</f>
        <v>479.12121764815004</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Dairy'!$D$60</f>
        <v>Feed pad</v>
      </c>
      <c r="P81" s="55" t="str">
        <f>'Input - Dairy'!$D$95</f>
        <v>Sump and dispersal system</v>
      </c>
      <c r="Q81" s="55" cm="1">
        <f t="array" ref="Q81">MMS_Dairy_ManureAppliedToSoils_Equations.VEERG_4_3_1_8__1_MassOfNitrogenAppliedToSoilsScope1(Q45,_xlfn.XLOOKUP($P81,$D$22:$D$26,$E$22:$E$26),_xlfn.XLOOKUP($P81, $D$31:$D$35,$E$31:$E$35),Q57,$F69)</f>
        <v>479.12121764815004</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Dairy'!$D$60</f>
        <v>Feed pad</v>
      </c>
      <c r="E82" s="55" t="str">
        <f>'Input - Dairy'!$D$96</f>
        <v>Drains to paddock</v>
      </c>
      <c r="F82" s="55" cm="1">
        <f t="array" ref="F82">MMS_Dairy_ManureAppliedToSoils_Equations.VEERG_4_3_1_8__1_MassOfNitrogenAppliedToSoilsScope1(F46,_xlfn.XLOOKUP($E82,$D$22:$D$26,$E$22:$E$26),_xlfn.XLOOKUP($E82, $D$31:$D$35,$E$31:$E$35),F58,$F70)</f>
        <v>412.14728399840874</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Dairy'!$D$60</f>
        <v>Feed pad</v>
      </c>
      <c r="P82" s="55" t="str">
        <f>'Input - Dairy'!$D$96</f>
        <v>Drains to paddock</v>
      </c>
      <c r="Q82" s="55" cm="1">
        <f t="array" ref="Q82">MMS_Dairy_ManureAppliedToSoils_Equations.VEERG_4_3_1_8__1_MassOfNitrogenAppliedToSoilsScope1(Q46,_xlfn.XLOOKUP($P82,$D$22:$D$26,$E$22:$E$26),_xlfn.XLOOKUP($P82, $D$31:$D$35,$E$31:$E$35),Q58,$F70)</f>
        <v>412.14728399840874</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Dairy'!$D$60</f>
        <v>Feed pad</v>
      </c>
      <c r="E83" s="55" t="s">
        <v>418</v>
      </c>
      <c r="F83" s="55" cm="1">
        <f t="array" ref="F83">MMS_Dairy_ManureAppliedToSoils_Equations.VEERG_4_3_1_8__1_MassOfNitrogenAppliedToSoilsScope1(F47,_xlfn.XLOOKUP($E83,$D$22:$D$26,$E$22:$E$26),_xlfn.XLOOKUP($E83, $D$31:$D$35,$E$31:$E$35),F59,$F71)</f>
        <v>608.56122402890037</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Dairy'!$D$60</f>
        <v>Feed pad</v>
      </c>
      <c r="P83" s="55" t="s">
        <v>418</v>
      </c>
      <c r="Q83" s="55" cm="1">
        <f t="array" ref="Q83">MMS_Dairy_ManureAppliedToSoils_Equations.VEERG_4_3_1_8__1_MassOfNitrogenAppliedToSoilsScope1(Q47,_xlfn.XLOOKUP($P83,$D$22:$D$26,$E$22:$E$26),_xlfn.XLOOKUP($P83, $D$31:$D$35,$E$31:$E$35),Q59,$F71)</f>
        <v>608.56122402890037</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136</v>
      </c>
      <c r="E85" s="109">
        <f>SUM(F76:J83)</f>
        <v>9379.260858797159</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355</v>
      </c>
      <c r="O103" s="104" t="s">
        <v>361</v>
      </c>
    </row>
    <row r="104" spans="4:22" ht="20.100000000000001" customHeight="1" x14ac:dyDescent="0.25">
      <c r="D104" s="103" t="s">
        <v>356</v>
      </c>
      <c r="O104" s="103" t="s">
        <v>362</v>
      </c>
    </row>
    <row r="105" spans="4:22" ht="20.100000000000001" customHeight="1" x14ac:dyDescent="0.25">
      <c r="D105" s="54" t="s">
        <v>152</v>
      </c>
      <c r="E105" s="54" t="s">
        <v>69</v>
      </c>
      <c r="F105" s="54" t="s">
        <v>178</v>
      </c>
      <c r="G105" s="54" t="s">
        <v>195</v>
      </c>
      <c r="H105" s="54" t="s">
        <v>196</v>
      </c>
      <c r="I105" s="54" t="s">
        <v>197</v>
      </c>
      <c r="J105" s="54" t="s">
        <v>198</v>
      </c>
      <c r="O105" s="54" t="s">
        <v>152</v>
      </c>
      <c r="P105" s="54" t="s">
        <v>69</v>
      </c>
      <c r="Q105" s="54" t="s">
        <v>178</v>
      </c>
      <c r="R105" s="54" t="s">
        <v>195</v>
      </c>
      <c r="S105" s="54" t="s">
        <v>196</v>
      </c>
      <c r="T105" s="54" t="s">
        <v>197</v>
      </c>
      <c r="U105" s="54" t="s">
        <v>198</v>
      </c>
    </row>
    <row r="106" spans="4:22" ht="20.100000000000001" customHeight="1" x14ac:dyDescent="0.25">
      <c r="D106" s="55" t="str">
        <f>'Input - Dairy'!$D$59</f>
        <v>Milking shed</v>
      </c>
      <c r="E106" s="55" t="str">
        <f>'Input - Dairy'!$D$78</f>
        <v>Anaerobic lagoon</v>
      </c>
      <c r="F106" s="55" cm="1">
        <f t="array" ref="F106">MMS_Dairy_ManureAppliedToSoils_Equations.VEERG_4_3_1_8__2_MassOfNitrogenAppliedToSoilsScope3(F40, _xlfn.XLOOKUP($E106, $D$22:$D$26,$E$22:$E$26), _xlfn.XLOOKUP($E106,$D$31:$D$35,$E$31:$E$35),F52, $F64)</f>
        <v>34.490321636102792</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K113" si="2">$E$95</f>
        <v>kg N</v>
      </c>
      <c r="O106" s="55" t="str">
        <f>'Input - Dairy'!$D$59</f>
        <v>Milking shed</v>
      </c>
      <c r="P106" s="55" t="str">
        <f>'Input - Dairy'!$D$78</f>
        <v>Anaerobic lagoon</v>
      </c>
      <c r="Q106" s="55" cm="1">
        <f t="array" ref="Q106">MMS_Dairy_ManureAppliedToSoils_Equations.VEERG_4_3_1_8__2_MassOfNitrogenAppliedToSoilsScope3(Q40, _xlfn.XLOOKUP($P106, $D$22:$D$26,$E$22:$E$26), _xlfn.XLOOKUP($P106,$D$31:$D$35,$E$31:$E$35),Q52, $F64)</f>
        <v>34.490321636102792</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Dairy'!$D$59</f>
        <v>Milking shed</v>
      </c>
      <c r="E107" s="55" t="str">
        <f>'Input - Dairy'!$D$79</f>
        <v>Sump and dispersal system</v>
      </c>
      <c r="F107" s="55" cm="1">
        <f t="array" ref="F107">MMS_Dairy_ManureAppliedToSoils_Equations.VEERG_4_3_1_8__2_MassOfNitrogenAppliedToSoilsScope3(F41, _xlfn.XLOOKUP($E107, $D$22:$D$26,$E$22:$E$26), _xlfn.XLOOKUP($E107,$D$31:$D$35,$E$31:$E$35),F53, $F65)</f>
        <v>49.347690956270142</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Dairy'!$D$59</f>
        <v>Milking shed</v>
      </c>
      <c r="P107" s="55" t="str">
        <f>'Input - Dairy'!$D$79</f>
        <v>Sump and dispersal system</v>
      </c>
      <c r="Q107" s="55" cm="1">
        <f t="array" ref="Q107">MMS_Dairy_ManureAppliedToSoils_Equations.VEERG_4_3_1_8__2_MassOfNitrogenAppliedToSoilsScope3(Q41, _xlfn.XLOOKUP($P107, $D$22:$D$26,$E$22:$E$26), _xlfn.XLOOKUP($P107,$D$31:$D$35,$E$31:$E$35),Q53, $F65)</f>
        <v>49.347690956270142</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Dairy'!$D$59</f>
        <v>Milking shed</v>
      </c>
      <c r="E108" s="55" t="str">
        <f>'Input - Dairy'!$D$80</f>
        <v>Drains to paddock</v>
      </c>
      <c r="F108" s="55" cm="1">
        <f t="array" ref="F108">MMS_Dairy_ManureAppliedToSoils_Equations.VEERG_4_3_1_8__2_MassOfNitrogenAppliedToSoilsScope3(F42, _xlfn.XLOOKUP($E108, $D$22:$D$26,$E$22:$E$26), _xlfn.XLOOKUP($E108,$D$31:$D$35,$E$31:$E$35),F54, $F66)</f>
        <v>42.44962662904959</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Dairy'!$D$59</f>
        <v>Milking shed</v>
      </c>
      <c r="P108" s="55" t="str">
        <f>'Input - Dairy'!$D$80</f>
        <v>Drains to paddock</v>
      </c>
      <c r="Q108" s="55" cm="1">
        <f t="array" ref="Q108">MMS_Dairy_ManureAppliedToSoils_Equations.VEERG_4_3_1_8__2_MassOfNitrogenAppliedToSoilsScope3(Q42, _xlfn.XLOOKUP($P108, $D$22:$D$26,$E$22:$E$26), _xlfn.XLOOKUP($P108,$D$31:$D$35,$E$31:$E$35),Q54, $F66)</f>
        <v>42.44962662904959</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Dairy'!$D$59</f>
        <v>Milking shed</v>
      </c>
      <c r="E109" s="55" t="s">
        <v>418</v>
      </c>
      <c r="F109" s="55" cm="1">
        <f t="array" ref="F109">MMS_Dairy_ManureAppliedToSoils_Equations.VEERG_4_3_1_8__2_MassOfNitrogenAppliedToSoilsScope3(F43, _xlfn.XLOOKUP($E109, $D$22:$D$26,$E$22:$E$26), _xlfn.XLOOKUP($E109,$D$31:$D$35,$E$31:$E$35),F55, $F67)</f>
        <v>71.633744936521182</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Dairy'!$D$59</f>
        <v>Milking shed</v>
      </c>
      <c r="P109" s="55" t="s">
        <v>418</v>
      </c>
      <c r="Q109" s="55" cm="1">
        <f t="array" ref="Q109">MMS_Dairy_ManureAppliedToSoils_Equations.VEERG_4_3_1_8__2_MassOfNitrogenAppliedToSoilsScope3(Q43, _xlfn.XLOOKUP($P109, $D$22:$D$26,$E$22:$E$26), _xlfn.XLOOKUP($P109,$D$31:$D$35,$E$31:$E$35),Q55, $F67)</f>
        <v>71.633744936521182</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Dairy'!$D$60</f>
        <v>Feed pad</v>
      </c>
      <c r="E110" s="55" t="str">
        <f>'Input - Dairy'!$D$94</f>
        <v>Anaerobic lagoon</v>
      </c>
      <c r="F110" s="55" cm="1">
        <f t="array" ref="F110">MMS_Dairy_ManureAppliedToSoils_Equations.VEERG_4_3_1_8__2_MassOfNitrogenAppliedToSoilsScope3(F44, _xlfn.XLOOKUP($E110, $D$22:$D$26,$E$22:$E$26), _xlfn.XLOOKUP($E110,$D$31:$D$35,$E$31:$E$35),F56, $F68)</f>
        <v>139.52902843696128</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Dairy'!$D$60</f>
        <v>Feed pad</v>
      </c>
      <c r="P110" s="55" t="str">
        <f>'Input - Dairy'!$D$94</f>
        <v>Anaerobic lagoon</v>
      </c>
      <c r="Q110" s="55" cm="1">
        <f t="array" ref="Q110">MMS_Dairy_ManureAppliedToSoils_Equations.VEERG_4_3_1_8__2_MassOfNitrogenAppliedToSoilsScope3(Q44, _xlfn.XLOOKUP($P110, $D$22:$D$26,$E$22:$E$26), _xlfn.XLOOKUP($P110,$D$31:$D$35,$E$31:$E$35),Q56, $F68)</f>
        <v>139.52902843696128</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Dairy'!$D$60</f>
        <v>Feed pad</v>
      </c>
      <c r="E111" s="55" t="str">
        <f>'Input - Dairy'!$D$95</f>
        <v>Sump and dispersal system</v>
      </c>
      <c r="F111" s="55" cm="1">
        <f t="array" ref="F111">MMS_Dairy_ManureAppliedToSoils_Equations.VEERG_4_3_1_8__2_MassOfNitrogenAppliedToSoilsScope3(F45, _xlfn.XLOOKUP($E111, $D$22:$D$26,$E$22:$E$26), _xlfn.XLOOKUP($E111,$D$31:$D$35,$E$31:$E$35),F57, $F69)</f>
        <v>159.70707254938335</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Dairy'!$D$60</f>
        <v>Feed pad</v>
      </c>
      <c r="P111" s="55" t="str">
        <f>'Input - Dairy'!$D$95</f>
        <v>Sump and dispersal system</v>
      </c>
      <c r="Q111" s="55" cm="1">
        <f t="array" ref="Q111">MMS_Dairy_ManureAppliedToSoils_Equations.VEERG_4_3_1_8__2_MassOfNitrogenAppliedToSoilsScope3(Q45, _xlfn.XLOOKUP($P111, $D$22:$D$26,$E$22:$E$26), _xlfn.XLOOKUP($P111,$D$31:$D$35,$E$31:$E$35),Q57, $F69)</f>
        <v>159.70707254938335</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Dairy'!$D$60</f>
        <v>Feed pad</v>
      </c>
      <c r="E112" s="55" t="str">
        <f>'Input - Dairy'!$D$96</f>
        <v>Drains to paddock</v>
      </c>
      <c r="F112" s="55" cm="1">
        <f t="array" ref="F112">MMS_Dairy_ManureAppliedToSoils_Equations.VEERG_4_3_1_8__2_MassOfNitrogenAppliedToSoilsScope3(F46, _xlfn.XLOOKUP($E112, $D$22:$D$26,$E$22:$E$26), _xlfn.XLOOKUP($E112,$D$31:$D$35,$E$31:$E$35),F58, $F70)</f>
        <v>137.38242799946957</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Dairy'!$D$60</f>
        <v>Feed pad</v>
      </c>
      <c r="P112" s="55" t="str">
        <f>'Input - Dairy'!$D$96</f>
        <v>Drains to paddock</v>
      </c>
      <c r="Q112" s="55" cm="1">
        <f t="array" ref="Q112">MMS_Dairy_ManureAppliedToSoils_Equations.VEERG_4_3_1_8__2_MassOfNitrogenAppliedToSoilsScope3(Q46, _xlfn.XLOOKUP($P112, $D$22:$D$26,$E$22:$E$26), _xlfn.XLOOKUP($P112,$D$31:$D$35,$E$31:$E$35),Q58, $F70)</f>
        <v>137.38242799946957</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Dairy'!$D$60</f>
        <v>Feed pad</v>
      </c>
      <c r="E113" s="55" t="s">
        <v>418</v>
      </c>
      <c r="F113" s="55" cm="1">
        <f t="array" ref="F113">MMS_Dairy_ManureAppliedToSoils_Equations.VEERG_4_3_1_8__2_MassOfNitrogenAppliedToSoilsScope3(F47, _xlfn.XLOOKUP($E113, $D$22:$D$26,$E$22:$E$26), _xlfn.XLOOKUP($E113,$D$31:$D$35,$E$31:$E$35),F59, $F71)</f>
        <v>202.85374134296677</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Dairy'!$D$60</f>
        <v>Feed pad</v>
      </c>
      <c r="P113" s="55" t="s">
        <v>418</v>
      </c>
      <c r="Q113" s="55" cm="1">
        <f t="array" ref="Q113">MMS_Dairy_ManureAppliedToSoils_Equations.VEERG_4_3_1_8__2_MassOfNitrogenAppliedToSoilsScope3(Q47, _xlfn.XLOOKUP($P113, $D$22:$D$26,$E$22:$E$26), _xlfn.XLOOKUP($P113,$D$31:$D$35,$E$31:$E$35),Q59, $F71)</f>
        <v>202.85374134296677</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360</v>
      </c>
      <c r="E115" s="109">
        <f>SUM(F106:J113)</f>
        <v>3126.4202862657203</v>
      </c>
      <c r="F115" s="110" t="str">
        <f>$E$11</f>
        <v>kg N</v>
      </c>
      <c r="O115" s="108" t="s">
        <v>360</v>
      </c>
      <c r="P115" s="109">
        <f>SUM(Q106:U113)</f>
        <v>3126.4202862657203</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406</v>
      </c>
      <c r="E120" s="94"/>
      <c r="F120" s="94"/>
      <c r="G120" s="94"/>
      <c r="H120" s="92"/>
    </row>
    <row r="121" spans="1:23" ht="20.100000000000001" customHeight="1" x14ac:dyDescent="0.25"/>
    <row r="122" spans="1:23" ht="20.100000000000001" customHeight="1" x14ac:dyDescent="0.25">
      <c r="D122" s="6" t="s">
        <v>405</v>
      </c>
    </row>
    <row r="123" spans="1:23" ht="20.100000000000001" customHeight="1" x14ac:dyDescent="0.25"/>
    <row r="124" spans="1:23" ht="20.100000000000001" customHeight="1" x14ac:dyDescent="0.25">
      <c r="D124" s="104" t="s">
        <v>138</v>
      </c>
    </row>
    <row r="125" spans="1:23" ht="20.100000000000001" customHeight="1" x14ac:dyDescent="0.25">
      <c r="D125" s="103" t="s">
        <v>139</v>
      </c>
    </row>
    <row r="126" spans="1:23" ht="20.100000000000001" customHeight="1" x14ac:dyDescent="0.25">
      <c r="D126" s="54" t="s">
        <v>152</v>
      </c>
      <c r="E126" s="54" t="s">
        <v>69</v>
      </c>
      <c r="F126" s="54" t="s">
        <v>451</v>
      </c>
    </row>
    <row r="127" spans="1:23" ht="20.100000000000001" customHeight="1" x14ac:dyDescent="0.25">
      <c r="D127" s="55" t="str">
        <f>'Input - Dairy'!$D$59</f>
        <v>Milking shed</v>
      </c>
      <c r="E127" s="55" t="str">
        <f>'Input - Dairy'!$D$78</f>
        <v>Anaerobic lagoon</v>
      </c>
      <c r="F127" s="55">
        <f>'Input - Dairy'!L78</f>
        <v>0.25</v>
      </c>
      <c r="G127" s="2" t="str">
        <f>G101</f>
        <v>fraction</v>
      </c>
    </row>
    <row r="128" spans="1:23" ht="20.100000000000001" customHeight="1" x14ac:dyDescent="0.25">
      <c r="D128" s="55" t="str">
        <f>'Input - Dairy'!$D$59</f>
        <v>Milking shed</v>
      </c>
      <c r="E128" s="55" t="str">
        <f>'Input - Dairy'!$D$79</f>
        <v>Sump and dispersal system</v>
      </c>
      <c r="F128" s="55">
        <f>'Input - Dairy'!L79</f>
        <v>0.25</v>
      </c>
      <c r="G128" s="2"/>
    </row>
    <row r="129" spans="4:22" ht="20.100000000000001" customHeight="1" x14ac:dyDescent="0.25">
      <c r="D129" s="55" t="str">
        <f>'Input - Dairy'!$D$59</f>
        <v>Milking shed</v>
      </c>
      <c r="E129" s="55" t="str">
        <f>'Input - Dairy'!$D$80</f>
        <v>Drains to paddock</v>
      </c>
      <c r="F129" s="55">
        <f>'Input - Dairy'!L80</f>
        <v>0.25</v>
      </c>
      <c r="G129" s="2"/>
    </row>
    <row r="130" spans="4:22" ht="20.100000000000001" customHeight="1" x14ac:dyDescent="0.25">
      <c r="D130" s="55" t="str">
        <f>'Input - Dairy'!$D$59</f>
        <v>Milking shed</v>
      </c>
      <c r="E130" s="55" t="s">
        <v>418</v>
      </c>
      <c r="F130" s="55">
        <f>'Input - Dairy'!L81</f>
        <v>0.25</v>
      </c>
      <c r="G130" s="2"/>
    </row>
    <row r="131" spans="4:22" ht="20.100000000000001" customHeight="1" x14ac:dyDescent="0.25">
      <c r="D131" s="55" t="str">
        <f>'Input - Dairy'!$D$60</f>
        <v>Feed pad</v>
      </c>
      <c r="E131" s="55" t="str">
        <f>'Input - Dairy'!$D$94</f>
        <v>Anaerobic lagoon</v>
      </c>
      <c r="F131" s="55">
        <f>'Input - Dairy'!L94</f>
        <v>0.25</v>
      </c>
      <c r="G131" s="2"/>
    </row>
    <row r="132" spans="4:22" ht="20.100000000000001" customHeight="1" x14ac:dyDescent="0.25">
      <c r="D132" s="55" t="str">
        <f>'Input - Dairy'!$D$60</f>
        <v>Feed pad</v>
      </c>
      <c r="E132" s="55" t="str">
        <f>'Input - Dairy'!$D$95</f>
        <v>Sump and dispersal system</v>
      </c>
      <c r="F132" s="55">
        <f>'Input - Dairy'!L95</f>
        <v>0.25</v>
      </c>
      <c r="G132" s="2"/>
    </row>
    <row r="133" spans="4:22" ht="20.100000000000001" customHeight="1" x14ac:dyDescent="0.25">
      <c r="D133" s="55" t="str">
        <f>'Input - Dairy'!$D$60</f>
        <v>Feed pad</v>
      </c>
      <c r="E133" s="55" t="str">
        <f>'Input - Dairy'!$D$96</f>
        <v>Drains to paddock</v>
      </c>
      <c r="F133" s="55">
        <f>'Input - Dairy'!L96</f>
        <v>0.25</v>
      </c>
      <c r="G133" s="2"/>
    </row>
    <row r="134" spans="4:22" ht="20.100000000000001" customHeight="1" x14ac:dyDescent="0.25">
      <c r="D134" s="55" t="str">
        <f>'Input - Dairy'!$D$60</f>
        <v>Feed pad</v>
      </c>
      <c r="E134" s="55" t="s">
        <v>418</v>
      </c>
      <c r="F134" s="55">
        <f>'Input - Dairy'!L97</f>
        <v>0.25</v>
      </c>
      <c r="G134" s="2"/>
    </row>
    <row r="135" spans="4:22" ht="20.100000000000001" customHeight="1" x14ac:dyDescent="0.25"/>
    <row r="136" spans="4:22" ht="20.100000000000001" customHeight="1" x14ac:dyDescent="0.25">
      <c r="D136" s="104" t="s">
        <v>140</v>
      </c>
      <c r="O136" s="104" t="s">
        <v>141</v>
      </c>
    </row>
    <row r="137" spans="4:22" ht="20.100000000000001" customHeight="1" x14ac:dyDescent="0.25">
      <c r="D137" s="103" t="s">
        <v>143</v>
      </c>
      <c r="O137" s="103" t="s">
        <v>142</v>
      </c>
    </row>
    <row r="138" spans="4:22" ht="20.100000000000001" customHeight="1" x14ac:dyDescent="0.25">
      <c r="D138" s="54" t="s">
        <v>152</v>
      </c>
      <c r="E138" s="54" t="s">
        <v>69</v>
      </c>
      <c r="F138" s="54" t="s">
        <v>178</v>
      </c>
      <c r="G138" s="54" t="s">
        <v>195</v>
      </c>
      <c r="H138" s="54" t="s">
        <v>196</v>
      </c>
      <c r="I138" s="54" t="s">
        <v>197</v>
      </c>
      <c r="J138" s="54" t="s">
        <v>198</v>
      </c>
      <c r="O138" s="54" t="s">
        <v>152</v>
      </c>
      <c r="P138" s="54" t="s">
        <v>69</v>
      </c>
      <c r="Q138" s="54" t="s">
        <v>178</v>
      </c>
      <c r="R138" s="54" t="s">
        <v>195</v>
      </c>
      <c r="S138" s="54" t="s">
        <v>196</v>
      </c>
      <c r="T138" s="54" t="s">
        <v>197</v>
      </c>
      <c r="U138" s="54" t="s">
        <v>198</v>
      </c>
    </row>
    <row r="139" spans="4:22" ht="20.100000000000001" customHeight="1" x14ac:dyDescent="0.25">
      <c r="D139" s="55" t="str">
        <f>'Input - Dairy'!$D$59</f>
        <v>Milking shed</v>
      </c>
      <c r="E139" s="55" t="str">
        <f>'Input - Dairy'!$D$78</f>
        <v>Anaerobic lagoon</v>
      </c>
      <c r="F139" s="55" cm="1">
        <f t="array" ref="F139">MMS_Dairy_ManureAppliedToSoils_Equations.VEERG_4_3_1_8__1_MassOfNitrogenAppliedToSoilsScope1(F40,_xlfn.XLOOKUP($E139,$D$22:$D$26,$E$22:$E$26),_xlfn.XLOOKUP($E139,$D$31:$D$35,$E$31:$E$35),F52,$F127)</f>
        <v>34.490321636102792</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Dairy'!$D$59</f>
        <v>Milking shed</v>
      </c>
      <c r="P139" s="55" t="str">
        <f>'Input - Dairy'!$D$78</f>
        <v>Anaerobic lagoon</v>
      </c>
      <c r="Q139" s="55" cm="1">
        <f t="array" ref="Q139">MMS_Dairy_ManureAppliedToSoils_Equations.VEERG_4_3_1_8__1_MassOfNitrogenAppliedToSoilsScope1(Q40,_xlfn.XLOOKUP($P139,$D$22:$D$26,$E$22:$E$26),_xlfn.XLOOKUP($P139,$D$31:$D$35,$E$31:$E$35),Q52,$F127)</f>
        <v>34.490321636102792</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V146" si="5">$E$95</f>
        <v>kg N</v>
      </c>
    </row>
    <row r="140" spans="4:22" ht="20.100000000000001" customHeight="1" x14ac:dyDescent="0.25">
      <c r="D140" s="55" t="str">
        <f>'Input - Dairy'!$D$59</f>
        <v>Milking shed</v>
      </c>
      <c r="E140" s="55" t="str">
        <f>'Input - Dairy'!$D$79</f>
        <v>Sump and dispersal system</v>
      </c>
      <c r="F140" s="55" cm="1">
        <f t="array" ref="F140">MMS_Dairy_ManureAppliedToSoils_Equations.VEERG_4_3_1_8__1_MassOfNitrogenAppliedToSoilsScope1(F41,_xlfn.XLOOKUP($E140,$D$22:$D$26,$E$22:$E$26),_xlfn.XLOOKUP($E140,$D$31:$D$35,$E$31:$E$35),F53,$F128)</f>
        <v>49.347690956270142</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Dairy'!$D$59</f>
        <v>Milking shed</v>
      </c>
      <c r="P140" s="55" t="str">
        <f>'Input - Dairy'!$D$79</f>
        <v>Sump and dispersal system</v>
      </c>
      <c r="Q140" s="55" cm="1">
        <f t="array" ref="Q140">MMS_Dairy_ManureAppliedToSoils_Equations.VEERG_4_3_1_8__1_MassOfNitrogenAppliedToSoilsScope1(Q41,_xlfn.XLOOKUP($P140,$D$22:$D$26,$E$22:$E$26),_xlfn.XLOOKUP($P140,$D$31:$D$35,$E$31:$E$35),Q53,$F128)</f>
        <v>49.347690956270142</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Dairy'!$D$59</f>
        <v>Milking shed</v>
      </c>
      <c r="E141" s="55" t="str">
        <f>'Input - Dairy'!$D$80</f>
        <v>Drains to paddock</v>
      </c>
      <c r="F141" s="55" cm="1">
        <f t="array" ref="F141">MMS_Dairy_ManureAppliedToSoils_Equations.VEERG_4_3_1_8__1_MassOfNitrogenAppliedToSoilsScope1(F42,_xlfn.XLOOKUP($E141,$D$22:$D$26,$E$22:$E$26),_xlfn.XLOOKUP($E141,$D$31:$D$35,$E$31:$E$35),F54,$F129)</f>
        <v>42.44962662904959</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Dairy'!$D$59</f>
        <v>Milking shed</v>
      </c>
      <c r="P141" s="55" t="str">
        <f>'Input - Dairy'!$D$80</f>
        <v>Drains to paddock</v>
      </c>
      <c r="Q141" s="55" cm="1">
        <f t="array" ref="Q141">MMS_Dairy_ManureAppliedToSoils_Equations.VEERG_4_3_1_8__1_MassOfNitrogenAppliedToSoilsScope1(Q42,_xlfn.XLOOKUP($P141,$D$22:$D$26,$E$22:$E$26),_xlfn.XLOOKUP($P141,$D$31:$D$35,$E$31:$E$35),Q54,$F129)</f>
        <v>42.44962662904959</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Dairy'!$D$59</f>
        <v>Milking shed</v>
      </c>
      <c r="E142" s="55" t="s">
        <v>418</v>
      </c>
      <c r="F142" s="55" cm="1">
        <f t="array" ref="F142">MMS_Dairy_ManureAppliedToSoils_Equations.VEERG_4_3_1_8__1_MassOfNitrogenAppliedToSoilsScope1(F43,_xlfn.XLOOKUP($E142,$D$22:$D$26,$E$22:$E$26),_xlfn.XLOOKUP($E142,$D$31:$D$35,$E$31:$E$35),F55,$F130)</f>
        <v>71.633744936521182</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Dairy'!$D$59</f>
        <v>Milking shed</v>
      </c>
      <c r="P142" s="55" t="s">
        <v>418</v>
      </c>
      <c r="Q142" s="55" cm="1">
        <f t="array" ref="Q142">MMS_Dairy_ManureAppliedToSoils_Equations.VEERG_4_3_1_8__1_MassOfNitrogenAppliedToSoilsScope1(Q43,_xlfn.XLOOKUP($P142,$D$22:$D$26,$E$22:$E$26),_xlfn.XLOOKUP($P142,$D$31:$D$35,$E$31:$E$35),Q55,$F130)</f>
        <v>71.633744936521182</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Dairy'!$D$60</f>
        <v>Feed pad</v>
      </c>
      <c r="E143" s="55" t="str">
        <f>'Input - Dairy'!$D$94</f>
        <v>Anaerobic lagoon</v>
      </c>
      <c r="F143" s="55" cm="1">
        <f t="array" ref="F143">MMS_Dairy_ManureAppliedToSoils_Equations.VEERG_4_3_1_8__1_MassOfNitrogenAppliedToSoilsScope1(F44,_xlfn.XLOOKUP($E143,$D$22:$D$26,$E$22:$E$26),_xlfn.XLOOKUP($E143,$D$31:$D$35,$E$31:$E$35),F56,$F131)</f>
        <v>139.52902843696128</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Dairy'!$D$60</f>
        <v>Feed pad</v>
      </c>
      <c r="P143" s="55" t="str">
        <f>'Input - Dairy'!$D$94</f>
        <v>Anaerobic lagoon</v>
      </c>
      <c r="Q143" s="55" cm="1">
        <f t="array" ref="Q143">MMS_Dairy_ManureAppliedToSoils_Equations.VEERG_4_3_1_8__1_MassOfNitrogenAppliedToSoilsScope1(Q44,_xlfn.XLOOKUP($P143,$D$22:$D$26,$E$22:$E$26),_xlfn.XLOOKUP($P143,$D$31:$D$35,$E$31:$E$35),Q56,$F131)</f>
        <v>139.52902843696128</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Dairy'!$D$60</f>
        <v>Feed pad</v>
      </c>
      <c r="E144" s="55" t="str">
        <f>'Input - Dairy'!$D$95</f>
        <v>Sump and dispersal system</v>
      </c>
      <c r="F144" s="55" cm="1">
        <f t="array" ref="F144">MMS_Dairy_ManureAppliedToSoils_Equations.VEERG_4_3_1_8__1_MassOfNitrogenAppliedToSoilsScope1(F45,_xlfn.XLOOKUP($E144,$D$22:$D$26,$E$22:$E$26),_xlfn.XLOOKUP($E144,$D$31:$D$35,$E$31:$E$35),F57,$F132)</f>
        <v>159.70707254938335</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Dairy'!$D$60</f>
        <v>Feed pad</v>
      </c>
      <c r="P144" s="55" t="str">
        <f>'Input - Dairy'!$D$95</f>
        <v>Sump and dispersal system</v>
      </c>
      <c r="Q144" s="55" cm="1">
        <f t="array" ref="Q144">MMS_Dairy_ManureAppliedToSoils_Equations.VEERG_4_3_1_8__1_MassOfNitrogenAppliedToSoilsScope1(Q45,_xlfn.XLOOKUP($P144,$D$22:$D$26,$E$22:$E$26),_xlfn.XLOOKUP($P144,$D$31:$D$35,$E$31:$E$35),Q57,$F132)</f>
        <v>159.70707254938335</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Dairy'!$D$60</f>
        <v>Feed pad</v>
      </c>
      <c r="E145" s="55" t="str">
        <f>'Input - Dairy'!$D$96</f>
        <v>Drains to paddock</v>
      </c>
      <c r="F145" s="55" cm="1">
        <f t="array" ref="F145">MMS_Dairy_ManureAppliedToSoils_Equations.VEERG_4_3_1_8__1_MassOfNitrogenAppliedToSoilsScope1(F46,_xlfn.XLOOKUP($E145,$D$22:$D$26,$E$22:$E$26),_xlfn.XLOOKUP($E145,$D$31:$D$35,$E$31:$E$35),F58,$F133)</f>
        <v>137.38242799946957</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Dairy'!$D$60</f>
        <v>Feed pad</v>
      </c>
      <c r="P145" s="55" t="str">
        <f>'Input - Dairy'!$D$96</f>
        <v>Drains to paddock</v>
      </c>
      <c r="Q145" s="55" cm="1">
        <f t="array" ref="Q145">MMS_Dairy_ManureAppliedToSoils_Equations.VEERG_4_3_1_8__1_MassOfNitrogenAppliedToSoilsScope1(Q46,_xlfn.XLOOKUP($P145,$D$22:$D$26,$E$22:$E$26),_xlfn.XLOOKUP($P145,$D$31:$D$35,$E$31:$E$35),Q58,$F133)</f>
        <v>137.38242799946957</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Dairy'!$D$60</f>
        <v>Feed pad</v>
      </c>
      <c r="E146" s="55" t="s">
        <v>418</v>
      </c>
      <c r="F146" s="55" cm="1">
        <f t="array" ref="F146">MMS_Dairy_ManureAppliedToSoils_Equations.VEERG_4_3_1_8__1_MassOfNitrogenAppliedToSoilsScope1(F47,_xlfn.XLOOKUP($E146,$D$22:$D$26,$E$22:$E$26),_xlfn.XLOOKUP($E146,$D$31:$D$35,$E$31:$E$35),F59,$F134)</f>
        <v>202.85374134296677</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Dairy'!$D$60</f>
        <v>Feed pad</v>
      </c>
      <c r="P146" s="55" t="s">
        <v>418</v>
      </c>
      <c r="Q146" s="55" cm="1">
        <f t="array" ref="Q146">MMS_Dairy_ManureAppliedToSoils_Equations.VEERG_4_3_1_8__1_MassOfNitrogenAppliedToSoilsScope1(Q47,_xlfn.XLOOKUP($P146,$D$22:$D$26,$E$22:$E$26),_xlfn.XLOOKUP($P146,$D$31:$D$35,$E$31:$E$35),Q59,$F134)</f>
        <v>202.85374134296677</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144</v>
      </c>
      <c r="E148" s="109">
        <f>SUM(F139:J146)</f>
        <v>3126.4202862657203</v>
      </c>
      <c r="F148" s="110" t="str">
        <f>$E$95</f>
        <v>kg N</v>
      </c>
      <c r="O148" s="108" t="s">
        <v>144</v>
      </c>
      <c r="P148" s="109">
        <f>SUM(Q139:U146)</f>
        <v>3126.4202862657203</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G27"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365</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125</v>
      </c>
    </row>
    <row r="17" spans="1:22" ht="20.100000000000001" customHeight="1" x14ac:dyDescent="0.25">
      <c r="A17" s="22" t="str">
        <f>HYPERLINK("#'4.3.1.9 Soil direct N2O'!A1", "4.3.1.9 Soil direct N2O")</f>
        <v>4.3.1.9 Soil direct N2O</v>
      </c>
      <c r="D17" s="103" t="s">
        <v>368</v>
      </c>
      <c r="O17" s="103" t="s">
        <v>368</v>
      </c>
    </row>
    <row r="18" spans="1:22" ht="20.100000000000001" customHeight="1" x14ac:dyDescent="0.25">
      <c r="A18" s="17" t="str">
        <f>HYPERLINK("#'4.3.1.10-11 Soil Atmos Dep'!A1", "4.3.1.10-11 Soil atm. deposition")</f>
        <v>4.3.1.10-11 Soil atm. deposition</v>
      </c>
      <c r="D18" s="54" t="s">
        <v>178</v>
      </c>
      <c r="E18" s="54" t="s">
        <v>195</v>
      </c>
      <c r="F18" s="54" t="s">
        <v>196</v>
      </c>
      <c r="G18" s="54" t="s">
        <v>197</v>
      </c>
      <c r="H18" s="54" t="s">
        <v>198</v>
      </c>
      <c r="O18" s="54" t="s">
        <v>178</v>
      </c>
      <c r="P18" s="54" t="s">
        <v>195</v>
      </c>
      <c r="Q18" s="54" t="s">
        <v>196</v>
      </c>
      <c r="R18" s="54" t="s">
        <v>197</v>
      </c>
      <c r="S18" s="54" t="s">
        <v>198</v>
      </c>
    </row>
    <row r="19" spans="1:22" ht="20.100000000000001" customHeight="1" x14ac:dyDescent="0.25">
      <c r="A19" s="17" t="str">
        <f>HYPERLINK("#'4.3.1.12-13 Soil leach runoff'!A1", "4.3.1.12-13 Soil leach &amp; runoff")</f>
        <v>4.3.1.12-13 Soil leach &amp; runoff</v>
      </c>
      <c r="D19" s="55">
        <f>'4.3.1.3-4 Direct N20'!D169</f>
        <v>9647.642415693088</v>
      </c>
      <c r="E19" s="55">
        <f>'4.3.1.3-4 Direct N20'!E169</f>
        <v>8288.9955762645804</v>
      </c>
      <c r="F19" s="55">
        <f>'4.3.1.3-4 Direct N20'!F206</f>
        <v>3301.419278356519</v>
      </c>
      <c r="G19" s="55">
        <f>'4.3.1.3-4 Direct N20'!G169</f>
        <v>10419.59526090311</v>
      </c>
      <c r="H19" s="55">
        <f>'4.3.1.3-4 Direct N20'!H206</f>
        <v>4361.9480490479727</v>
      </c>
      <c r="I19" s="2" t="str">
        <f>$G$13</f>
        <v>kg N</v>
      </c>
      <c r="O19" s="55">
        <f>'4.3.1.3-4 Direct N20'!N169</f>
        <v>9647.642415693088</v>
      </c>
      <c r="P19" s="55">
        <f>'4.3.1.3-4 Direct N20'!O169</f>
        <v>8288.9955762645804</v>
      </c>
      <c r="Q19" s="55">
        <f>'4.3.1.3-4 Direct N20'!P206</f>
        <v>3301.419278356519</v>
      </c>
      <c r="R19" s="55">
        <f>'4.3.1.3-4 Direct N20'!Q169</f>
        <v>10419.59526090311</v>
      </c>
      <c r="S19" s="55">
        <f>'4.3.1.3-4 Direct N20'!R206</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366</v>
      </c>
      <c r="O22" s="104" t="s">
        <v>435</v>
      </c>
    </row>
    <row r="23" spans="1:22" ht="20.100000000000001" customHeight="1" x14ac:dyDescent="0.25">
      <c r="A23" s="17" t="str">
        <f>HYPERLINK("#'Constants - Livestock'!A1", "Constants - Livestock")</f>
        <v>Constants - Livestock</v>
      </c>
      <c r="D23" s="103" t="s">
        <v>367</v>
      </c>
      <c r="O23" s="103" t="s">
        <v>436</v>
      </c>
    </row>
    <row r="24" spans="1:22" ht="20.100000000000001" customHeight="1" x14ac:dyDescent="0.25">
      <c r="A24" s="17" t="str">
        <f>HYPERLINK("#'Constants - Common'!A1", "Constants - Common")</f>
        <v>Constants - Common</v>
      </c>
      <c r="D24" s="41" t="s">
        <v>152</v>
      </c>
      <c r="E24" s="41" t="s">
        <v>69</v>
      </c>
      <c r="F24" s="41" t="s">
        <v>178</v>
      </c>
      <c r="G24" s="41" t="s">
        <v>195</v>
      </c>
      <c r="H24" s="41" t="s">
        <v>196</v>
      </c>
      <c r="I24" s="41" t="s">
        <v>197</v>
      </c>
      <c r="J24" s="41" t="s">
        <v>198</v>
      </c>
      <c r="O24" s="41" t="s">
        <v>152</v>
      </c>
      <c r="P24" s="41" t="s">
        <v>69</v>
      </c>
      <c r="Q24" s="41" t="s">
        <v>178</v>
      </c>
      <c r="R24" s="41" t="s">
        <v>195</v>
      </c>
      <c r="S24" s="41" t="s">
        <v>196</v>
      </c>
      <c r="T24" s="41" t="s">
        <v>197</v>
      </c>
      <c r="U24" s="41" t="s">
        <v>198</v>
      </c>
    </row>
    <row r="25" spans="1:22" ht="20.100000000000001" customHeight="1" x14ac:dyDescent="0.25">
      <c r="A25" s="17" t="str">
        <f>HYPERLINK("#'Acknowledgements'!A1", "Acknowledgements")</f>
        <v>Acknowledgements</v>
      </c>
      <c r="D25" s="55" t="str">
        <f>'Input - Dairy'!$D$58</f>
        <v>Pasture</v>
      </c>
      <c r="E25" s="55" t="str">
        <f>'Constants - Livestock'!$E$27</f>
        <v>Pasture range and paddock</v>
      </c>
      <c r="F25" s="55">
        <f>'Input - Dairy'!E58</f>
        <v>0.53400000000000003</v>
      </c>
      <c r="G25" s="55">
        <f>'Input - Dairy'!F58</f>
        <v>0.53400000000000003</v>
      </c>
      <c r="H25" s="55">
        <f>'Input - Dairy'!G58</f>
        <v>0.53400000000000003</v>
      </c>
      <c r="I25" s="55">
        <f>'Input - Dairy'!H58</f>
        <v>0.53400000000000003</v>
      </c>
      <c r="J25" s="55">
        <f>'Input - Dairy'!I58</f>
        <v>0.53400000000000003</v>
      </c>
      <c r="K25" s="2" t="str">
        <f>$G$14</f>
        <v>fraction</v>
      </c>
      <c r="O25" s="55" t="str">
        <f>'Input - Dairy'!$D$58</f>
        <v>Pasture</v>
      </c>
      <c r="P25" s="55" t="str">
        <f>'Constants - Livestock'!$E$27</f>
        <v>Pasture range and paddock</v>
      </c>
      <c r="Q25" s="55">
        <f>'Input - Dairy'!E63</f>
        <v>0.53400000000000003</v>
      </c>
      <c r="R25" s="55">
        <f>'Input - Dairy'!F63</f>
        <v>0.53400000000000003</v>
      </c>
      <c r="S25" s="55">
        <f>'Input - Dairy'!G63</f>
        <v>0.53400000000000003</v>
      </c>
      <c r="T25" s="55">
        <f>'Input - Dairy'!H63</f>
        <v>0.53400000000000003</v>
      </c>
      <c r="U25" s="55">
        <f>'Input - Dairy'!I63</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369</v>
      </c>
      <c r="O28" s="104" t="s">
        <v>371</v>
      </c>
    </row>
    <row r="29" spans="1:22" ht="20.100000000000001" customHeight="1" x14ac:dyDescent="0.25">
      <c r="D29" s="103" t="s">
        <v>370</v>
      </c>
      <c r="O29" s="103" t="s">
        <v>372</v>
      </c>
    </row>
    <row r="30" spans="1:22" ht="20.100000000000001" customHeight="1" x14ac:dyDescent="0.25">
      <c r="D30" s="54" t="s">
        <v>152</v>
      </c>
      <c r="E30" s="54" t="s">
        <v>69</v>
      </c>
      <c r="F30" s="54" t="s">
        <v>178</v>
      </c>
      <c r="G30" s="54" t="s">
        <v>195</v>
      </c>
      <c r="H30" s="54" t="s">
        <v>196</v>
      </c>
      <c r="I30" s="54" t="s">
        <v>197</v>
      </c>
      <c r="J30" s="54" t="s">
        <v>198</v>
      </c>
      <c r="O30" s="54" t="s">
        <v>152</v>
      </c>
      <c r="P30" s="54" t="s">
        <v>69</v>
      </c>
      <c r="Q30" s="54" t="s">
        <v>178</v>
      </c>
      <c r="R30" s="54" t="s">
        <v>195</v>
      </c>
      <c r="S30" s="54" t="s">
        <v>196</v>
      </c>
      <c r="T30" s="54" t="s">
        <v>197</v>
      </c>
      <c r="U30" s="54" t="s">
        <v>198</v>
      </c>
    </row>
    <row r="31" spans="1:22" ht="20.100000000000001" customHeight="1" x14ac:dyDescent="0.25">
      <c r="D31" s="55" t="str">
        <f>'Input - Dairy'!$D$58</f>
        <v>Pasture</v>
      </c>
      <c r="E31" s="55" t="str">
        <f>'Constants - Livestock'!$E$27</f>
        <v>Pasture range and paddock</v>
      </c>
      <c r="F31" s="55" cm="1">
        <f t="array" ref="F31">MMS_Dairy_N2ODirect_Equations.VEERG_4_3_1_3__2_TotalNitrogenInEachMMS(D19,F25)</f>
        <v>5151.8410499801093</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Dairy'!$D$58</f>
        <v>Pasture</v>
      </c>
      <c r="P31" s="55" t="str">
        <f>'Constants - Livestock'!$E$27</f>
        <v>Pasture range and paddock</v>
      </c>
      <c r="Q31" s="55" cm="1">
        <f t="array" ref="Q31">MMS_Dairy_N2ODirect_Equations.VEERG_4_3_1_3__2_TotalNitrogenInEachMMS(D19,Q25)</f>
        <v>5151.8410499801093</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127</v>
      </c>
      <c r="O48" s="104" t="s">
        <v>375</v>
      </c>
    </row>
    <row r="49" spans="1:22" ht="20.100000000000001" customHeight="1" x14ac:dyDescent="0.25">
      <c r="D49" s="103" t="s">
        <v>374</v>
      </c>
      <c r="O49" s="103" t="s">
        <v>376</v>
      </c>
    </row>
    <row r="50" spans="1:22" ht="20.100000000000001" customHeight="1" x14ac:dyDescent="0.25">
      <c r="D50" s="54" t="s">
        <v>152</v>
      </c>
      <c r="E50" s="54" t="s">
        <v>69</v>
      </c>
      <c r="F50" s="54" t="s">
        <v>178</v>
      </c>
      <c r="G50" s="54" t="s">
        <v>195</v>
      </c>
      <c r="H50" s="54" t="s">
        <v>196</v>
      </c>
      <c r="I50" s="54" t="s">
        <v>197</v>
      </c>
      <c r="J50" s="54" t="s">
        <v>198</v>
      </c>
      <c r="O50" s="54" t="s">
        <v>152</v>
      </c>
      <c r="P50" s="54" t="s">
        <v>69</v>
      </c>
      <c r="Q50" s="54" t="s">
        <v>178</v>
      </c>
      <c r="R50" s="54" t="s">
        <v>195</v>
      </c>
      <c r="S50" s="54" t="s">
        <v>196</v>
      </c>
      <c r="T50" s="54" t="s">
        <v>197</v>
      </c>
      <c r="U50" s="54" t="s">
        <v>198</v>
      </c>
    </row>
    <row r="51" spans="1:22" ht="20.100000000000001" customHeight="1" x14ac:dyDescent="0.25">
      <c r="D51" s="55" t="str">
        <f>'Input - Dairy'!$D$58</f>
        <v>Pasture</v>
      </c>
      <c r="E51" s="55" t="str">
        <f>'Constants - Livestock'!$E$27</f>
        <v>Pasture range and paddock</v>
      </c>
      <c r="F51" s="55" cm="1">
        <f t="array" ref="F51">MMS_Dairy_Soil_N2ODirect_Equations.VEERG_4_3_1_9__1_DirectNitrousOxideEmissionsOnPasture(F31,$J$44,$J$45)</f>
        <v>1.6191500442794628E-2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Dairy'!$D$58</f>
        <v>Pasture</v>
      </c>
      <c r="P51" s="55" t="str">
        <f>'Constants - Livestock'!$E$27</f>
        <v>Pasture range and paddock</v>
      </c>
      <c r="Q51" s="55" cm="1">
        <f t="array" ref="Q51">MMS_Dairy_Soil_N2ODirect_Equations.VEERG_4_3_1_9__1_DirectNitrousOxideEmissionsOnPasture(Q31,$J$44,$J$45)</f>
        <v>1.6191500442794628E-2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126</v>
      </c>
      <c r="E53" s="109">
        <f>SUM(F51:J51)</f>
        <v>6.045118108813663E-2</v>
      </c>
      <c r="F53" s="110" t="str">
        <f>$E$41</f>
        <v>t N2O</v>
      </c>
      <c r="O53" s="108" t="s">
        <v>126</v>
      </c>
      <c r="P53" s="109">
        <f>SUM(Q51:U51)</f>
        <v>6.045118108813663E-2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6.045118108813663E-2</v>
      </c>
      <c r="O55" s="60" t="str" cm="1">
        <f t="array" ref="O55:P56">Common_Equations.Common_ConvertN2OToCO2e_Arguments()</f>
        <v>EN2O</v>
      </c>
      <c r="P55" s="61" t="str">
        <v>Nitrous oxide emissions (t N2O)</v>
      </c>
      <c r="Q55" s="111"/>
      <c r="R55" s="55">
        <f>P53</f>
        <v>6.045118108813663E-2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111</v>
      </c>
      <c r="E58" s="48" cm="1">
        <f t="array" ref="E58">Common_Equations.Common_ConvertN2OToCO2e(G55,G56)</f>
        <v>16.019562988356206</v>
      </c>
      <c r="F58" s="112" t="str" cm="1">
        <f t="array" ref="F58">Common_Equations.Common_ConvertN2OToCO2e_Unit()</f>
        <v>t CO2e</v>
      </c>
      <c r="O58" s="48" t="s">
        <v>111</v>
      </c>
      <c r="P58" s="48" cm="1">
        <f t="array" ref="P58">Common_Equations.Common_ConvertN2OToCO2e(R55,R56)</f>
        <v>16.019562988356206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1"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384</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Dairy'!$D$215</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369</v>
      </c>
      <c r="M16" s="59"/>
      <c r="O16" s="104" t="s">
        <v>371</v>
      </c>
    </row>
    <row r="17" spans="1:23" ht="20.100000000000001" customHeight="1" x14ac:dyDescent="0.25">
      <c r="A17" s="17" t="str">
        <f>HYPERLINK("#'4.3.1.9 Soil direct N2O'!A1", "4.3.1.9 Soil direct N2O")</f>
        <v>4.3.1.9 Soil direct N2O</v>
      </c>
      <c r="D17" s="103" t="s">
        <v>370</v>
      </c>
      <c r="M17" s="59"/>
      <c r="O17" s="103" t="s">
        <v>372</v>
      </c>
    </row>
    <row r="18" spans="1:23" ht="20.100000000000001" customHeight="1" x14ac:dyDescent="0.25">
      <c r="A18" s="22" t="str">
        <f>HYPERLINK("#'4.3.1.10-11 Soil Atmos Dep'!A1", "4.3.1.10-11 Soil atm. deposition")</f>
        <v>4.3.1.10-11 Soil atm. deposition</v>
      </c>
      <c r="D18" s="54" t="s">
        <v>152</v>
      </c>
      <c r="E18" s="54" t="s">
        <v>69</v>
      </c>
      <c r="F18" s="54" t="s">
        <v>178</v>
      </c>
      <c r="G18" s="54" t="s">
        <v>195</v>
      </c>
      <c r="H18" s="54" t="s">
        <v>196</v>
      </c>
      <c r="I18" s="54" t="s">
        <v>197</v>
      </c>
      <c r="J18" s="54" t="s">
        <v>198</v>
      </c>
      <c r="M18" s="59"/>
      <c r="O18" s="54" t="s">
        <v>152</v>
      </c>
      <c r="P18" s="54" t="s">
        <v>69</v>
      </c>
      <c r="Q18" s="54" t="s">
        <v>178</v>
      </c>
      <c r="R18" s="54" t="s">
        <v>195</v>
      </c>
      <c r="S18" s="54" t="s">
        <v>196</v>
      </c>
      <c r="T18" s="54" t="s">
        <v>197</v>
      </c>
      <c r="U18" s="54" t="s">
        <v>198</v>
      </c>
    </row>
    <row r="19" spans="1:23" ht="20.100000000000001" customHeight="1" x14ac:dyDescent="0.25">
      <c r="A19" s="17" t="str">
        <f>HYPERLINK("#'4.3.1.12-13 Soil leach runoff'!A1", "4.3.1.12-13 Soil leach &amp; runoff")</f>
        <v>4.3.1.12-13 Soil leach &amp; runoff</v>
      </c>
      <c r="D19" s="55" t="str">
        <f>'Input - Dairy'!$D$58</f>
        <v>Pasture</v>
      </c>
      <c r="E19" s="55" t="str">
        <f>'Constants - Livestock'!$E$27</f>
        <v>Pasture range and paddock</v>
      </c>
      <c r="F19" s="55">
        <f>'4.3.1.9 Soil direct N2O'!$F$31</f>
        <v>5151.8410499801093</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Dairy'!$D$58</f>
        <v>Pasture</v>
      </c>
      <c r="P19" s="55" t="str">
        <f>'Constants - Livestock'!$E$27</f>
        <v>Pasture range and paddock</v>
      </c>
      <c r="Q19" s="55">
        <f>'4.3.1.9 Soil direct N2O'!$Q$31</f>
        <v>5151.8410499801093</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377</v>
      </c>
      <c r="O21" s="104" t="s">
        <v>379</v>
      </c>
    </row>
    <row r="22" spans="1:23" ht="20.100000000000001" customHeight="1" x14ac:dyDescent="0.25">
      <c r="A22" s="17" t="str">
        <f>HYPERLINK("#'Constants - Dairy'!A1", "Constants - Dairy")</f>
        <v>Constants - Dairy</v>
      </c>
      <c r="D22" s="103" t="s">
        <v>378</v>
      </c>
      <c r="O22" s="103" t="s">
        <v>380</v>
      </c>
    </row>
    <row r="23" spans="1:23" ht="20.100000000000001" customHeight="1" x14ac:dyDescent="0.25">
      <c r="A23" s="17" t="str">
        <f>HYPERLINK("#'Constants - Livestock'!A1", "Constants - Livestock")</f>
        <v>Constants - Livestock</v>
      </c>
      <c r="D23" s="54" t="s">
        <v>152</v>
      </c>
      <c r="E23" s="54" t="s">
        <v>69</v>
      </c>
      <c r="F23" s="54" t="s">
        <v>178</v>
      </c>
      <c r="G23" s="54" t="s">
        <v>195</v>
      </c>
      <c r="H23" s="54" t="s">
        <v>196</v>
      </c>
      <c r="I23" s="54" t="s">
        <v>197</v>
      </c>
      <c r="J23" s="54" t="s">
        <v>198</v>
      </c>
      <c r="O23" s="54" t="s">
        <v>152</v>
      </c>
      <c r="P23" s="54" t="s">
        <v>69</v>
      </c>
      <c r="Q23" s="54" t="s">
        <v>178</v>
      </c>
      <c r="R23" s="54" t="s">
        <v>195</v>
      </c>
      <c r="S23" s="54" t="s">
        <v>196</v>
      </c>
      <c r="T23" s="54" t="s">
        <v>197</v>
      </c>
      <c r="U23" s="54" t="s">
        <v>198</v>
      </c>
    </row>
    <row r="24" spans="1:23" ht="20.100000000000001" customHeight="1" x14ac:dyDescent="0.25">
      <c r="A24" s="17" t="str">
        <f>HYPERLINK("#'Constants - Common'!A1", "Constants - Common")</f>
        <v>Constants - Common</v>
      </c>
      <c r="D24" s="55" t="str">
        <f>'Input - Dairy'!$D$58</f>
        <v>Pasture</v>
      </c>
      <c r="E24" s="55" t="str">
        <f>'Constants - Livestock'!$E$27</f>
        <v>Pasture range and paddock</v>
      </c>
      <c r="F24" s="55" cm="1">
        <f t="array" ref="F24">MMS_Dairy_Soil_AtmosphericDeposition_Equations.VEERG_4_3_1_10__2_MassOfNitrogenVolatilisedOnPasture(F19,$I$14)</f>
        <v>1081.8866204958229</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Dairy'!$D$58</f>
        <v>Pasture</v>
      </c>
      <c r="P24" s="55" t="str">
        <f>'Constants - Livestock'!$E$27</f>
        <v>Pasture range and paddock</v>
      </c>
      <c r="Q24" s="55" cm="1">
        <f t="array" ref="Q24">MMS_Dairy_Soil_AtmosphericDeposition_Equations.VEERG_4_3_1_10__2_MassOfNitrogenVolatilisedOnPasture(Q19,$I$14)</f>
        <v>1081.8866204958229</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391</v>
      </c>
      <c r="E26" s="48">
        <f>SUM(F24:J24)</f>
        <v>4039.2380090709476</v>
      </c>
      <c r="F26" s="112" t="str">
        <f>$E$11</f>
        <v>kg N</v>
      </c>
      <c r="O26" s="118" t="s">
        <v>391</v>
      </c>
      <c r="P26" s="48">
        <f>SUM(Q24:U24)</f>
        <v>4039.2380090709476</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4039.2380090709476</v>
      </c>
      <c r="O38" s="60" t="str">
        <f>D38</f>
        <v>M_vol_m14</v>
      </c>
      <c r="P38" s="60" t="str">
        <f>E38</f>
        <v>mass of nitrogen volatilised from urine and faeces deposited on pasture</v>
      </c>
      <c r="Q38" s="61"/>
      <c r="R38" s="62"/>
      <c r="S38" s="60">
        <f>$P$26</f>
        <v>4039.2380090709476</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Dairy'!$E$102</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Dairy'!$E$103</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159</v>
      </c>
      <c r="E45" s="109" cm="1">
        <f t="array" ref="E45">MMS_Dairy_Soil_AtmosphericDeposition_Equations.VEERG_4_3_1_10__1_AtmosphericDepositionEmissionsFromUrineAndDungOnPasture($I$38,$I$39,$I$40)</f>
        <v>3.7449506684100645E-2</v>
      </c>
      <c r="F45" s="110" t="str">
        <f>$E$36</f>
        <v>t N2O</v>
      </c>
      <c r="O45" s="108" t="s">
        <v>159</v>
      </c>
      <c r="P45" s="109" cm="1">
        <f t="array" ref="P45">MMS_Dairy_Soil_AtmosphericDeposition_Equations.VEERG_4_3_1_10__1_AtmosphericDepositionEmissionsFromUrineAndDungOnPasture($S$38,$I$39,$I$40)</f>
        <v>3.7449506684100645E-2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3.7449506684100645E-2</v>
      </c>
      <c r="O47" s="60" t="str" cm="1">
        <f t="array" ref="O47:P48">Common_Equations.Common_ConvertN2OToCO2e_Arguments()</f>
        <v>EN2O</v>
      </c>
      <c r="P47" s="61" t="str">
        <v>Nitrous oxide emissions (t N2O)</v>
      </c>
      <c r="Q47" s="111"/>
      <c r="R47" s="55">
        <f>P45</f>
        <v>3.7449506684100645E-2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111</v>
      </c>
      <c r="E50" s="48" cm="1">
        <f t="array" ref="E50">Common_Equations.Common_ConvertN2OToCO2e(G47,G48)</f>
        <v>9.9241192712866706</v>
      </c>
      <c r="F50" s="112" t="str" cm="1">
        <f t="array" ref="F50">Common_Equations.Common_ConvertN2OToCO2e_Unit()</f>
        <v>t CO2e</v>
      </c>
      <c r="O50" s="48" t="s">
        <v>111</v>
      </c>
      <c r="P50" s="48" cm="1">
        <f t="array" ref="P50">Common_Equations.Common_ConvertN2OToCO2e(R47,R48)</f>
        <v>9.9241192712866706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9"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383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Dairy'!$E$102</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Dairy'!$E$103</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369</v>
      </c>
      <c r="M20" s="59"/>
      <c r="O20" s="104" t="s">
        <v>371</v>
      </c>
    </row>
    <row r="21" spans="1:22" ht="20.100000000000001" customHeight="1" x14ac:dyDescent="0.25">
      <c r="A21" s="18" t="s">
        <v>4</v>
      </c>
      <c r="D21" s="103" t="s">
        <v>370</v>
      </c>
      <c r="M21" s="59"/>
      <c r="O21" s="103" t="s">
        <v>372</v>
      </c>
    </row>
    <row r="22" spans="1:22" ht="20.100000000000001" customHeight="1" x14ac:dyDescent="0.25">
      <c r="A22" s="17" t="str">
        <f>HYPERLINK("#'Constants - Dairy'!A1", "Constants - Dairy")</f>
        <v>Constants - Dairy</v>
      </c>
      <c r="D22" s="54" t="s">
        <v>152</v>
      </c>
      <c r="E22" s="54" t="s">
        <v>69</v>
      </c>
      <c r="F22" s="54" t="s">
        <v>178</v>
      </c>
      <c r="G22" s="54" t="s">
        <v>195</v>
      </c>
      <c r="H22" s="54" t="s">
        <v>196</v>
      </c>
      <c r="I22" s="54" t="s">
        <v>197</v>
      </c>
      <c r="J22" s="54" t="s">
        <v>198</v>
      </c>
      <c r="M22" s="59"/>
      <c r="O22" s="54" t="s">
        <v>152</v>
      </c>
      <c r="P22" s="54" t="s">
        <v>69</v>
      </c>
      <c r="Q22" s="54" t="s">
        <v>178</v>
      </c>
      <c r="R22" s="54" t="s">
        <v>195</v>
      </c>
      <c r="S22" s="54" t="s">
        <v>196</v>
      </c>
      <c r="T22" s="54" t="s">
        <v>197</v>
      </c>
      <c r="U22" s="54" t="s">
        <v>198</v>
      </c>
    </row>
    <row r="23" spans="1:22" ht="20.100000000000001" customHeight="1" x14ac:dyDescent="0.25">
      <c r="A23" s="17" t="str">
        <f>HYPERLINK("#'Constants - Livestock'!A1", "Constants - Livestock")</f>
        <v>Constants - Livestock</v>
      </c>
      <c r="D23" s="55" t="str">
        <f>'Input - Dairy'!$D$58</f>
        <v>Pasture</v>
      </c>
      <c r="E23" s="55" t="str">
        <f>'Constants - Livestock'!$E$27</f>
        <v>Pasture range and paddock</v>
      </c>
      <c r="F23" s="55">
        <f>'4.3.1.9 Soil direct N2O'!$F$31</f>
        <v>5151.8410499801093</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Dairy'!$D$58</f>
        <v>Pasture</v>
      </c>
      <c r="P23" s="55" t="str">
        <f>'Constants - Livestock'!$E$27</f>
        <v>Pasture range and paddock</v>
      </c>
      <c r="Q23" s="55">
        <f>'4.3.1.9 Soil direct N2O'!$Q$31</f>
        <v>5151.8410499801093</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385</v>
      </c>
      <c r="O25" s="104" t="s">
        <v>387</v>
      </c>
    </row>
    <row r="26" spans="1:22" ht="20.100000000000001" customHeight="1" x14ac:dyDescent="0.25">
      <c r="D26" s="103" t="s">
        <v>386</v>
      </c>
      <c r="O26" s="103" t="s">
        <v>388</v>
      </c>
    </row>
    <row r="27" spans="1:22" ht="20.100000000000001" customHeight="1" x14ac:dyDescent="0.25">
      <c r="D27" s="54" t="s">
        <v>152</v>
      </c>
      <c r="E27" s="54" t="s">
        <v>69</v>
      </c>
      <c r="F27" s="54" t="s">
        <v>178</v>
      </c>
      <c r="G27" s="54" t="s">
        <v>195</v>
      </c>
      <c r="H27" s="54" t="s">
        <v>196</v>
      </c>
      <c r="I27" s="54" t="s">
        <v>197</v>
      </c>
      <c r="J27" s="54" t="s">
        <v>198</v>
      </c>
      <c r="O27" s="54" t="s">
        <v>152</v>
      </c>
      <c r="P27" s="54" t="s">
        <v>69</v>
      </c>
      <c r="Q27" s="54" t="s">
        <v>178</v>
      </c>
      <c r="R27" s="54" t="s">
        <v>195</v>
      </c>
      <c r="S27" s="54" t="s">
        <v>196</v>
      </c>
      <c r="T27" s="54" t="s">
        <v>197</v>
      </c>
      <c r="U27" s="54" t="s">
        <v>198</v>
      </c>
    </row>
    <row r="28" spans="1:22" ht="20.100000000000001" customHeight="1" x14ac:dyDescent="0.25">
      <c r="D28" s="55" t="str">
        <f>'Input - Dairy'!$D$58</f>
        <v>Pasture</v>
      </c>
      <c r="E28" s="55" t="str">
        <f>'Constants - Livestock'!$E$27</f>
        <v>Pasture range and paddock</v>
      </c>
      <c r="F28" s="55" cm="1">
        <f t="array" ref="F28">MMS_Dairy_Soil_LeachingAndRunoff.VEERG_4_3_1_12__2_MassOfNitrogenLostToLeachingAndRunoffOnPasture(F23,$I$14,$I$15)</f>
        <v>103.03682099960218</v>
      </c>
      <c r="G28" s="55" cm="1">
        <f t="array" ref="G28">MMS_Dairy_Soil_LeachingAndRunoff.VEERG_4_3_1_12__2_MassOfNitrogenLostToLeachingAndRunoffOnPasture(G23,$I$14,$I$15)</f>
        <v>88.526472754505718</v>
      </c>
      <c r="H28" s="55" cm="1">
        <f t="array" ref="H28">MMS_Dairy_Soil_LeachingAndRunoff.VEERG_4_3_1_12__2_MassOfNitrogenLostToLeachingAndRunoffOnPasture(H23,$I$14,$I$15)</f>
        <v>35.259157892847625</v>
      </c>
      <c r="I28" s="55" cm="1">
        <f t="array" ref="I28">MMS_Dairy_Soil_LeachingAndRunoff.VEERG_4_3_1_12__2_MassOfNitrogenLostToLeachingAndRunoffOnPasture(I23,$I$14,$I$15)</f>
        <v>111.28127738644523</v>
      </c>
      <c r="J28" s="55" cm="1">
        <f t="array" ref="J28">MMS_Dairy_Soil_LeachingAndRunoff.VEERG_4_3_1_12__2_MassOfNitrogenLostToLeachingAndRunoffOnPasture(J23,$I$14,$I$15)</f>
        <v>46.585605163832355</v>
      </c>
      <c r="K28" s="2" t="str">
        <f>$E$11</f>
        <v>kg N</v>
      </c>
      <c r="O28" s="55" t="str">
        <f>'Input - Dairy'!$D$58</f>
        <v>Pasture</v>
      </c>
      <c r="P28" s="55" t="str">
        <f>'Constants - Livestock'!$E$27</f>
        <v>Pasture range and paddock</v>
      </c>
      <c r="Q28" s="55" cm="1">
        <f t="array" ref="Q28">MMS_Dairy_Soil_LeachingAndRunoff.VEERG_4_3_1_12__2_MassOfNitrogenLostToLeachingAndRunoffOnPasture(Q23,$I$14,$I$15)</f>
        <v>103.03682099960218</v>
      </c>
      <c r="R28" s="55" cm="1">
        <f t="array" ref="R28">MMS_Dairy_Soil_LeachingAndRunoff.VEERG_4_3_1_12__2_MassOfNitrogenLostToLeachingAndRunoffOnPasture(R23,$I$14,$I$15)</f>
        <v>88.526472754505718</v>
      </c>
      <c r="S28" s="55" cm="1">
        <f t="array" ref="S28">MMS_Dairy_Soil_LeachingAndRunoff.VEERG_4_3_1_12__2_MassOfNitrogenLostToLeachingAndRunoffOnPasture(S23,$I$14,$I$15)</f>
        <v>35.259157892847625</v>
      </c>
      <c r="T28" s="55" cm="1">
        <f t="array" ref="T28">MMS_Dairy_Soil_LeachingAndRunoff.VEERG_4_3_1_12__2_MassOfNitrogenLostToLeachingAndRunoffOnPasture(T23,$I$14,$I$15)</f>
        <v>111.28127738644523</v>
      </c>
      <c r="U28" s="55" cm="1">
        <f t="array" ref="U28">MMS_Dairy_Soil_LeachingAndRunoff.VEERG_4_3_1_12__2_MassOfNitrogenLostToLeachingAndRunoffOnPasture(U23,$I$14,$I$15)</f>
        <v>46.585605163832355</v>
      </c>
      <c r="V28" s="2" t="str">
        <f>$E$11</f>
        <v>kg N</v>
      </c>
    </row>
    <row r="29" spans="1:22" ht="20.100000000000001" customHeight="1" x14ac:dyDescent="0.25"/>
    <row r="30" spans="1:22" ht="20.100000000000001" customHeight="1" x14ac:dyDescent="0.25">
      <c r="D30" s="118" t="s">
        <v>390</v>
      </c>
      <c r="E30" s="48">
        <f>SUM(F28:J28)</f>
        <v>384.68933419723317</v>
      </c>
      <c r="F30" s="112" t="str">
        <f>$E$11</f>
        <v>kg N</v>
      </c>
      <c r="O30" s="118" t="s">
        <v>390</v>
      </c>
      <c r="P30" s="48">
        <f>SUM(Q28:U28)</f>
        <v>384.68933419723317</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384.68933419723317</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384.68933419723317</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389</v>
      </c>
      <c r="E47" s="109" cm="1">
        <f t="array" ref="E47">MMS_Dairy_Soil_LeachingAndRunoff.VEERG_4_3_1_12__1_LeachingAndRunoffEmissionsFromUrineAndDungOnPasture($J$43,$J$44,$J$45)</f>
        <v>6.64962991969503E-3</v>
      </c>
      <c r="F47" s="110" t="str">
        <f>$E$41</f>
        <v>t N2O</v>
      </c>
      <c r="O47" s="108" t="s">
        <v>389</v>
      </c>
      <c r="P47" s="109" cm="1">
        <f t="array" ref="P47">MMS_Dairy_Soil_LeachingAndRunoff.VEERG_4_3_1_12__1_LeachingAndRunoffEmissionsFromUrineAndDungOnPasture($U$43,$J$44,$J$45)</f>
        <v>6.64962991969503E-3</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6.64962991969503E-3</v>
      </c>
      <c r="O49" s="60" t="str" cm="1">
        <f t="array" ref="O49:P50">Common_Equations.Common_ConvertN2OToCO2e_Arguments()</f>
        <v>EN2O</v>
      </c>
      <c r="P49" s="61" t="str">
        <v>Nitrous oxide emissions (t N2O)</v>
      </c>
      <c r="Q49" s="111"/>
      <c r="R49" s="55">
        <f>P47</f>
        <v>6.64962991969503E-3</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111</v>
      </c>
      <c r="E52" s="48" cm="1">
        <f t="array" ref="E52">Common_Equations.Common_ConvertN2OToCO2e(G49,G50)</f>
        <v>1.7621519287191829</v>
      </c>
      <c r="F52" s="112" t="str" cm="1">
        <f t="array" ref="F52">Common_Equations.Common_ConvertN2OToCO2e_Unit()</f>
        <v>t CO2e</v>
      </c>
      <c r="O52" s="48" t="s">
        <v>111</v>
      </c>
      <c r="P52" s="48" cm="1">
        <f t="array" ref="P52">Common_Equations.Common_ConvertN2OToCO2e(R49,R50)</f>
        <v>1.7621519287191829</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19" sqref="A1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115</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175</v>
      </c>
      <c r="G5" s="6" t="s">
        <v>176</v>
      </c>
      <c r="J5" s="6" t="s">
        <v>153</v>
      </c>
      <c r="M5" s="1"/>
    </row>
    <row r="6" spans="1:21" ht="20.100000000000001" customHeight="1" x14ac:dyDescent="0.25">
      <c r="A6" s="16"/>
      <c r="M6" s="1"/>
    </row>
    <row r="7" spans="1:21" ht="20.100000000000001" customHeight="1" x14ac:dyDescent="0.25">
      <c r="A7" s="20" t="s">
        <v>3</v>
      </c>
      <c r="D7" s="102" t="s">
        <v>69</v>
      </c>
      <c r="E7" s="39" t="s">
        <v>83</v>
      </c>
      <c r="G7" s="39" t="s">
        <v>152</v>
      </c>
      <c r="J7" s="39" t="s">
        <v>150</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154</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155</v>
      </c>
      <c r="M9" s="1"/>
    </row>
    <row r="10" spans="1:21" ht="20.100000000000001" customHeight="1" x14ac:dyDescent="0.25">
      <c r="A10" s="17"/>
      <c r="D10" s="39" t="str">
        <f>'Constants - Livestock'!$E$14</f>
        <v>Drains to paddock</v>
      </c>
      <c r="E10" s="39" t="str">
        <f>'Constants - Livestock'!$F$14</f>
        <v>Drains to paddock (m=3b)</v>
      </c>
      <c r="J10" s="1" t="s">
        <v>156</v>
      </c>
      <c r="M10" s="1"/>
    </row>
    <row r="11" spans="1:21" ht="20.100000000000001" customHeight="1" x14ac:dyDescent="0.25">
      <c r="A11" s="19" t="s">
        <v>78</v>
      </c>
      <c r="D11" s="39" t="str">
        <f>'Constants - Livestock'!$E$15</f>
        <v>Solid storage</v>
      </c>
      <c r="E11" s="39" t="str">
        <f>'Constants - Livestock'!$F$15</f>
        <v>Solid storage (m=4)</v>
      </c>
      <c r="J11" s="1" t="s">
        <v>157</v>
      </c>
      <c r="M11" s="1"/>
    </row>
    <row r="12" spans="1:21" ht="20.100000000000001" customHeight="1" x14ac:dyDescent="0.25">
      <c r="A12" s="17" t="str">
        <f>HYPERLINK("#'4.3.1.1-2 Methane'!A1", "4.3.1.1-2 Methane")</f>
        <v>4.3.1.1-2 Methane</v>
      </c>
      <c r="J12" s="1" t="s">
        <v>158</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177</v>
      </c>
      <c r="E21" s="39" t="s">
        <v>178</v>
      </c>
      <c r="F21" s="39" t="s">
        <v>179</v>
      </c>
      <c r="G21" s="39" t="s">
        <v>180</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177</v>
      </c>
      <c r="E38" s="39" t="s">
        <v>182</v>
      </c>
      <c r="F38" s="39" t="s">
        <v>181</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178</v>
      </c>
      <c r="E46" s="39" t="s">
        <v>179</v>
      </c>
      <c r="F46" s="39" t="s">
        <v>180</v>
      </c>
      <c r="G46" s="39" t="s">
        <v>182</v>
      </c>
      <c r="H46" s="39" t="s">
        <v>181</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178</v>
      </c>
      <c r="E54" s="125" t="s">
        <v>179</v>
      </c>
      <c r="F54" s="125" t="s">
        <v>180</v>
      </c>
      <c r="G54" s="125" t="s">
        <v>182</v>
      </c>
      <c r="H54" s="125" t="s">
        <v>181</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183</v>
      </c>
      <c r="E62" s="39" t="s">
        <v>184</v>
      </c>
      <c r="F62" s="39" t="s">
        <v>185</v>
      </c>
      <c r="G62" s="39" t="s">
        <v>186</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194</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187</v>
      </c>
      <c r="F86" s="39" t="s">
        <v>188</v>
      </c>
      <c r="G86" s="39" t="s">
        <v>194</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183</v>
      </c>
      <c r="E98" s="39" t="s">
        <v>189</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183</v>
      </c>
      <c r="E107" s="39" t="s">
        <v>190</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191</v>
      </c>
      <c r="E116" s="39" t="s">
        <v>151</v>
      </c>
      <c r="F116" s="39" t="s">
        <v>192</v>
      </c>
      <c r="G116" s="39" t="s">
        <v>193</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187</v>
      </c>
      <c r="F128" s="39" t="s">
        <v>194</v>
      </c>
      <c r="G128" s="114" t="s">
        <v>210</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183</v>
      </c>
      <c r="E141" s="39" t="s">
        <v>205</v>
      </c>
      <c r="F141" s="39" t="s">
        <v>206</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41" t="str">
        <f>HYPERLINK("#A1", "▲ Back to top")</f>
        <v>▲ Back to top</v>
      </c>
      <c r="D215" s="56" cm="1">
        <f t="array" ref="D215">SourceData_Dairy.SourceData_Dairy_FracGASMSoil_Data()</f>
        <v>0.21</v>
      </c>
      <c r="M215" s="24"/>
    </row>
    <row r="216" spans="1:13" x14ac:dyDescent="0.25">
      <c r="M216" s="24"/>
    </row>
    <row r="217" spans="1:13" x14ac:dyDescent="0.25">
      <c r="M217" s="24"/>
    </row>
    <row r="218" spans="1:13" x14ac:dyDescent="0.25">
      <c r="M218" s="24"/>
    </row>
    <row r="219" spans="1:13" x14ac:dyDescent="0.25">
      <c r="M219" s="24"/>
    </row>
    <row r="220" spans="1:13" x14ac:dyDescent="0.25">
      <c r="M220" s="24"/>
    </row>
    <row r="221" spans="1:13" x14ac:dyDescent="0.25">
      <c r="M221" s="24"/>
    </row>
    <row r="222" spans="1:13" x14ac:dyDescent="0.25">
      <c r="M222" s="24"/>
    </row>
    <row r="223" spans="1:13" x14ac:dyDescent="0.25">
      <c r="M223" s="24"/>
    </row>
    <row r="224" spans="1: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338</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147</v>
      </c>
      <c r="E186" s="39" t="s">
        <v>148</v>
      </c>
      <c r="F186" s="39" t="s">
        <v>149</v>
      </c>
      <c r="G186" s="39" t="s">
        <v>150</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373</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402</v>
      </c>
      <c r="E212" s="39" t="s">
        <v>403</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412</v>
      </c>
      <c r="F231" s="38" t="s">
        <v>413</v>
      </c>
      <c r="G231" s="39" t="s">
        <v>414</v>
      </c>
      <c r="H231" s="39" t="s">
        <v>415</v>
      </c>
      <c r="I231" s="39" t="s">
        <v>416</v>
      </c>
      <c r="J231" s="39" t="s">
        <v>417</v>
      </c>
      <c r="K231" s="39" t="s">
        <v>418</v>
      </c>
      <c r="L231" s="39" t="s">
        <v>419</v>
      </c>
      <c r="M231" s="39" t="s">
        <v>420</v>
      </c>
      <c r="N231" s="39" t="s">
        <v>421</v>
      </c>
      <c r="O231" s="39" t="s">
        <v>422</v>
      </c>
      <c r="P231" s="39" t="s">
        <v>423</v>
      </c>
      <c r="Q231" s="39" t="s">
        <v>424</v>
      </c>
      <c r="R231" s="39" t="s">
        <v>425</v>
      </c>
      <c r="S231" s="39" t="s">
        <v>426</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404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cACIALAAgAFwAIgBtAGkAbABrACAAcAByAG8AZAB1AGMAdABpAG8AbgBcACIALAAgAFwAIgBMAC8AaABlAGEAZAAvAGQAYQB5AFwAIgAsACAAXAAiAEkAbgBwAHUAdA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3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GMAbABhAHMAcwBlAHMAIABqAD0AMwAsADU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1ACwAIAA0ACwAXABuACAAIAAgACAAIAAgAEwAQQBNAEIARABBACgAcgAsAGMALABcAG4AIAAgACAAIAAgACAAIAAgAEkATgBEAEUAWAAoAHsAXABuACAAIAAgACAAIAAgACAAIAAgACAAXAAiAE0AUABfAGoAXAAiACwAIABcACIAbQBpAGwAawAgAHAAcgBvAGQAdQBjAHQAaQBvAG4AXAAiACwAIABcACIATAAvAGgAZQBhAGQALwBkAGEAeQBcACIALAAgAFwAIgBJAG4AcAB1AHQ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NAFMAXwBqAC8AKAAwAC4AMAAxAFwAXAB0AGkAbQBlAHMAIAAoAEYAQwBfAGoAKwBQAEMAXwBqACkAKQBcACIAKQA7AFwAbgBcAG4AVgBFAEUAUgBHAF8AMwBfADMAXwAxAF8AMQBfAF8ANQBfAE0AaQBsAGsAUAByAG8AZAB1AGMAdABpAG8AbgBGAHIAbwBtAE0AaQBsAGsAUwBvAGwAaQBkAHMAXwBBAHIAZwB1AG0AZQBuAHQAcwBcAG4AIAAgAD0ATABBAE0AQgBEAEEAKABcAG4AIAAgACAAIABNAEEASwBFAEEAUgBSAEEAWQAoADMALAAgADQALABcAG4AIAAgACAAIAAgACAATABBAE0AQgBEAEEAKAByACwAYwAsAFwAbgAgACAAIAAgACAAIAAgACAASQBOAEQARQBYACgAe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FgAWABYAFgAXAAiADsAXABuACAAIAAgACAAIAAgACAAIAAgACAAXAAiAFAAQwBfAGoAXAAiACwAIABcACIAcAByAG8AdABlAGkAbgAgAGMAbwBuAHQAZQBuAHQAIABpAG4AIABmAGEAdAAgAGEAbgBkACAAcAByAG8AdABlAGkAbgAgAGMAbwByAHIAZQBjAHQAZQBkACAAbQBpAGwAawBcACIALAAgAFwAIgBwAGUAcgAgAGMAZQBuAHQAXAAiACwAIABcACIAWABYAFgAWA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QQByAGcAdQBtAGUAbgB0AHM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2026-05-11T04:34:49Z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