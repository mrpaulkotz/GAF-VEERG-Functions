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47D48F62-83CA-4158-B5AE-29DFAEAEAFA4}" xr6:coauthVersionLast="47" xr6:coauthVersionMax="47" xr10:uidLastSave="{00000000-0000-0000-0000-000000000000}"/>
  <bookViews>
    <workbookView xWindow="120" yWindow="270" windowWidth="38175" windowHeight="20640" activeTab="1" xr2:uid="{992023F3-CAB7-4E5B-A348-08D563A0EF40}"/>
  </bookViews>
  <sheets>
    <sheet name="Home" sheetId="71" r:id="rId1"/>
    <sheet name="Overview" sheetId="106" r:id="rId2"/>
    <sheet name="Results" sheetId="13" r:id="rId3"/>
    <sheet name="Input - Site" sheetId="15" r:id="rId4"/>
    <sheet name="Input - Dairy" sheetId="70" r:id="rId5"/>
    <sheet name="4.3.1.1-2 Methane" sheetId="69" r:id="rId6"/>
    <sheet name="4.3.1.3-4 Direct N20" sheetId="76" r:id="rId7"/>
    <sheet name="4.3.1.5 Atmos deposition" sheetId="82" r:id="rId8"/>
    <sheet name="4.3.1.6-7 Leaching and runoff" sheetId="95" r:id="rId9"/>
    <sheet name="4.3.1.8 Manure applied to soils" sheetId="81" r:id="rId10"/>
    <sheet name="4.3.1.9 Soil direct N2O" sheetId="96" r:id="rId11"/>
    <sheet name="4.3.1.10-11 Soil Atmos Dep" sheetId="97" r:id="rId12"/>
    <sheet name="4.3.1.12-13 Soil leach runoff" sheetId="98" r:id="rId13"/>
    <sheet name="Constants - Dairy" sheetId="79" r:id="rId14"/>
    <sheet name="Constants - Common" sheetId="104" r:id="rId15"/>
    <sheet name="Constants - Livestock" sheetId="43" r:id="rId16"/>
    <sheet name="Acknowledgements" sheetId="72" r:id="rId17"/>
    <sheet name="Tab template" sheetId="74" r:id="rId1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Range_LivestockStartingValues">#REF!</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6" i="70" l="1"/>
  <c r="F55" i="70"/>
  <c r="E56" i="70"/>
  <c r="E55" i="70"/>
  <c r="D227" i="79" a="1"/>
  <c r="D227" i="79"/>
  <c r="D226" i="79" a="1"/>
  <c r="D226" i="79" s="1"/>
  <c r="D225" i="79" a="1"/>
  <c r="D225" i="79" s="1"/>
  <c r="D224" i="79" a="1"/>
  <c r="D224" i="79" s="1"/>
  <c r="D223" i="79" a="1"/>
  <c r="D223" i="79" s="1"/>
  <c r="D221" i="79" a="1"/>
  <c r="D221" i="79" s="1"/>
  <c r="D220" i="79" a="1"/>
  <c r="D220" i="79" s="1"/>
  <c r="D219" i="79" a="1"/>
  <c r="D219" i="79" s="1"/>
  <c r="D218" i="79" a="1"/>
  <c r="D218" i="79" s="1"/>
  <c r="D217" i="79" a="1"/>
  <c r="D217" i="79" s="1"/>
  <c r="I44" i="69" l="1"/>
  <c r="D71" i="76" a="1"/>
  <c r="D71" i="76" s="1"/>
  <c r="S98" i="76"/>
  <c r="I98" i="76"/>
  <c r="S88" i="76"/>
  <c r="I93" i="76"/>
  <c r="I88" i="76"/>
  <c r="I80" i="76" a="1"/>
  <c r="I80" i="76" s="1"/>
  <c r="I78" i="76"/>
  <c r="G78" i="76" a="1"/>
  <c r="G78" i="76" s="1"/>
  <c r="D78" i="76" a="1"/>
  <c r="D78" i="76" s="1"/>
  <c r="T38" i="69"/>
  <c r="T39" i="69"/>
  <c r="R36" i="69" a="1"/>
  <c r="R36" i="69" s="1"/>
  <c r="O36" i="69" a="1"/>
  <c r="O36" i="69" s="1"/>
  <c r="I63" i="69" a="1"/>
  <c r="I63" i="69" s="1"/>
  <c r="I39" i="69"/>
  <c r="I38" i="69"/>
  <c r="I36" i="69"/>
  <c r="D44" i="69" s="1"/>
  <c r="I37" i="69" a="1"/>
  <c r="I37" i="69" s="1"/>
  <c r="G36" i="69" a="1"/>
  <c r="G36" i="69" s="1"/>
  <c r="D36" i="69" a="1"/>
  <c r="D36" i="69" s="1"/>
  <c r="E34" i="69" a="1"/>
  <c r="E34" i="69" s="1"/>
  <c r="E33" i="69" a="1"/>
  <c r="E33" i="69" s="1"/>
  <c r="D29" i="69" a="1"/>
  <c r="D29" i="69" s="1"/>
  <c r="D28" i="69" a="1"/>
  <c r="D28" i="69" s="1"/>
  <c r="D27" i="69" a="1"/>
  <c r="D27" i="69" s="1"/>
  <c r="I61" i="69"/>
  <c r="D73" i="69" s="1"/>
  <c r="F52" i="70"/>
  <c r="A25" i="43"/>
  <c r="A24" i="43"/>
  <c r="A23" i="43"/>
  <c r="A22" i="43"/>
  <c r="A19" i="43"/>
  <c r="A18" i="43"/>
  <c r="A17" i="43"/>
  <c r="A16" i="43"/>
  <c r="A15" i="43"/>
  <c r="A14" i="43"/>
  <c r="A13" i="43"/>
  <c r="A12" i="43"/>
  <c r="A9" i="43"/>
  <c r="A8" i="43"/>
  <c r="A5" i="43"/>
  <c r="A4" i="43"/>
  <c r="A3" i="43"/>
  <c r="A25" i="79"/>
  <c r="A24" i="79"/>
  <c r="A23" i="79"/>
  <c r="A22" i="79"/>
  <c r="A19" i="79"/>
  <c r="A18" i="79"/>
  <c r="A17" i="79"/>
  <c r="A16" i="79"/>
  <c r="A15" i="79"/>
  <c r="A14" i="79"/>
  <c r="A13" i="79"/>
  <c r="A12" i="79"/>
  <c r="A9" i="79"/>
  <c r="A8" i="79"/>
  <c r="A5" i="79"/>
  <c r="A4" i="79"/>
  <c r="A3" i="79"/>
  <c r="A25" i="98"/>
  <c r="A24" i="98"/>
  <c r="A23" i="98"/>
  <c r="A22" i="98"/>
  <c r="A19" i="98"/>
  <c r="A18" i="98"/>
  <c r="A17" i="98"/>
  <c r="A16" i="98"/>
  <c r="A15" i="98"/>
  <c r="A14" i="98"/>
  <c r="A13" i="98"/>
  <c r="A12" i="98"/>
  <c r="A9" i="98"/>
  <c r="A8" i="98"/>
  <c r="A5" i="98"/>
  <c r="A4" i="98"/>
  <c r="A3" i="98"/>
  <c r="A25" i="97"/>
  <c r="A24" i="97"/>
  <c r="A23" i="97"/>
  <c r="A22" i="97"/>
  <c r="A19" i="97"/>
  <c r="A18" i="97"/>
  <c r="A17" i="97"/>
  <c r="A16" i="97"/>
  <c r="A15" i="97"/>
  <c r="A14" i="97"/>
  <c r="A13" i="97"/>
  <c r="A12" i="97"/>
  <c r="A9" i="97"/>
  <c r="A8" i="97"/>
  <c r="A5" i="97"/>
  <c r="A4" i="97"/>
  <c r="A3" i="97"/>
  <c r="A25" i="96"/>
  <c r="A24" i="96"/>
  <c r="A23" i="96"/>
  <c r="A22" i="96"/>
  <c r="A19" i="96"/>
  <c r="A18" i="96"/>
  <c r="A17" i="96"/>
  <c r="A16" i="96"/>
  <c r="A15" i="96"/>
  <c r="A14" i="96"/>
  <c r="A13" i="96"/>
  <c r="A12" i="96"/>
  <c r="A9" i="96"/>
  <c r="A8" i="96"/>
  <c r="A5" i="96"/>
  <c r="A4" i="96"/>
  <c r="A3" i="96"/>
  <c r="A25" i="81"/>
  <c r="A24" i="81"/>
  <c r="A23" i="81"/>
  <c r="A22" i="81"/>
  <c r="A19" i="81"/>
  <c r="A18" i="81"/>
  <c r="A17" i="81"/>
  <c r="A16" i="81"/>
  <c r="A15" i="81"/>
  <c r="A14" i="81"/>
  <c r="A13" i="81"/>
  <c r="A12" i="81"/>
  <c r="A9" i="81"/>
  <c r="A8" i="81"/>
  <c r="A5" i="81"/>
  <c r="A4" i="81"/>
  <c r="A3" i="81"/>
  <c r="A25" i="95"/>
  <c r="A24" i="95"/>
  <c r="A23" i="95"/>
  <c r="A22" i="95"/>
  <c r="A19" i="95"/>
  <c r="A18" i="95"/>
  <c r="A17" i="95"/>
  <c r="A16" i="95"/>
  <c r="A15" i="95"/>
  <c r="A14" i="95"/>
  <c r="A13" i="95"/>
  <c r="A12" i="95"/>
  <c r="A9" i="95"/>
  <c r="A8" i="95"/>
  <c r="A5" i="95"/>
  <c r="A4" i="95"/>
  <c r="A3" i="95"/>
  <c r="A25" i="82"/>
  <c r="A24" i="82"/>
  <c r="A23" i="82"/>
  <c r="A22" i="82"/>
  <c r="A19" i="82"/>
  <c r="A18" i="82"/>
  <c r="A17" i="82"/>
  <c r="A16" i="82"/>
  <c r="A15" i="82"/>
  <c r="A14" i="82"/>
  <c r="A13" i="82"/>
  <c r="A12" i="82"/>
  <c r="A9" i="82"/>
  <c r="A8" i="82"/>
  <c r="A5" i="82"/>
  <c r="A4" i="82"/>
  <c r="A3" i="82"/>
  <c r="A25" i="76"/>
  <c r="A24" i="76"/>
  <c r="A23" i="76"/>
  <c r="A22" i="76"/>
  <c r="A19" i="76"/>
  <c r="A18" i="76"/>
  <c r="A17" i="76"/>
  <c r="A16" i="76"/>
  <c r="A15" i="76"/>
  <c r="A14" i="76"/>
  <c r="A13" i="76"/>
  <c r="A12" i="76"/>
  <c r="A9" i="76"/>
  <c r="A8" i="76"/>
  <c r="A5" i="76"/>
  <c r="A4" i="76"/>
  <c r="A3" i="76"/>
  <c r="A25" i="69"/>
  <c r="A24" i="69"/>
  <c r="A23" i="69"/>
  <c r="A22" i="69"/>
  <c r="A19" i="69"/>
  <c r="A18" i="69"/>
  <c r="A17" i="69"/>
  <c r="A16" i="69"/>
  <c r="A15" i="69"/>
  <c r="A14" i="69"/>
  <c r="A13" i="69"/>
  <c r="A12" i="69"/>
  <c r="A9" i="69"/>
  <c r="A8" i="69"/>
  <c r="A5" i="69"/>
  <c r="A4" i="69"/>
  <c r="A3" i="69"/>
  <c r="A25" i="70"/>
  <c r="A24" i="70"/>
  <c r="A23" i="70"/>
  <c r="A22" i="70"/>
  <c r="A19" i="70"/>
  <c r="A18" i="70"/>
  <c r="A17" i="70"/>
  <c r="A16" i="70"/>
  <c r="A15" i="70"/>
  <c r="A14" i="70"/>
  <c r="A13" i="70"/>
  <c r="A12" i="70"/>
  <c r="A9" i="70"/>
  <c r="A8" i="70"/>
  <c r="A5" i="70"/>
  <c r="A4" i="70"/>
  <c r="A3" i="70"/>
  <c r="A25" i="15"/>
  <c r="A24" i="15"/>
  <c r="A23" i="15"/>
  <c r="A22" i="15"/>
  <c r="A19" i="15"/>
  <c r="A18" i="15"/>
  <c r="A17" i="15"/>
  <c r="A16" i="15"/>
  <c r="A15" i="15"/>
  <c r="A14" i="15"/>
  <c r="A13" i="15"/>
  <c r="A12" i="15"/>
  <c r="A9" i="15"/>
  <c r="A8" i="15"/>
  <c r="A5" i="15"/>
  <c r="A4" i="15"/>
  <c r="A3" i="15"/>
  <c r="A215" i="79"/>
  <c r="A174" i="79"/>
  <c r="A137" i="79"/>
  <c r="A104" i="79"/>
  <c r="A79" i="79"/>
  <c r="A55" i="79"/>
  <c r="A52" i="98"/>
  <c r="A50" i="97"/>
  <c r="A58" i="96"/>
  <c r="A39" i="81"/>
  <c r="A87" i="81"/>
  <c r="A117" i="81"/>
  <c r="A148" i="81"/>
  <c r="A57" i="95"/>
  <c r="A51" i="82"/>
  <c r="A73" i="82"/>
  <c r="A285" i="76"/>
  <c r="A245" i="76"/>
  <c r="A208" i="76"/>
  <c r="A171" i="76"/>
  <c r="A141" i="76"/>
  <c r="A121" i="76"/>
  <c r="A98" i="76"/>
  <c r="A67" i="76"/>
  <c r="I90" i="70"/>
  <c r="H90" i="70"/>
  <c r="G90" i="70"/>
  <c r="F90" i="70"/>
  <c r="I89" i="70"/>
  <c r="H89" i="70"/>
  <c r="G89" i="70"/>
  <c r="F89" i="70"/>
  <c r="E90" i="70"/>
  <c r="E89" i="70"/>
  <c r="D88" i="70"/>
  <c r="D104" i="70"/>
  <c r="V106" i="81"/>
  <c r="V40" i="81"/>
  <c r="K40" i="81"/>
  <c r="V52" i="81"/>
  <c r="K52" i="81"/>
  <c r="V76" i="81"/>
  <c r="G127" i="81"/>
  <c r="F134" i="81"/>
  <c r="F133" i="81"/>
  <c r="F132" i="81"/>
  <c r="F131" i="81"/>
  <c r="F130" i="81"/>
  <c r="F129" i="81"/>
  <c r="F128" i="81"/>
  <c r="F127" i="81"/>
  <c r="G64" i="81"/>
  <c r="M104" i="70"/>
  <c r="F71" i="81" s="1"/>
  <c r="M103" i="70"/>
  <c r="F70" i="81" s="1"/>
  <c r="M102" i="70"/>
  <c r="F69" i="81" s="1"/>
  <c r="M101" i="70"/>
  <c r="F68" i="81" s="1"/>
  <c r="M88" i="70"/>
  <c r="F67" i="81" s="1"/>
  <c r="D97" i="70"/>
  <c r="D96" i="70"/>
  <c r="D95" i="70"/>
  <c r="M87" i="70"/>
  <c r="F66" i="81" s="1"/>
  <c r="M86" i="70"/>
  <c r="F65" i="81" s="1"/>
  <c r="D81" i="70"/>
  <c r="D80" i="70"/>
  <c r="D79" i="70"/>
  <c r="M85" i="70"/>
  <c r="F64" i="81" s="1"/>
  <c r="E30" i="69" a="1"/>
  <c r="D49" i="69" l="1" a="1"/>
  <c r="D49" i="69" s="1"/>
  <c r="D88" i="76" s="1"/>
  <c r="O49" i="69" a="1"/>
  <c r="O49" i="69" s="1"/>
  <c r="N88" i="76" s="1"/>
  <c r="O78" i="69" a="1"/>
  <c r="O78" i="69" s="1"/>
  <c r="D93" i="76"/>
  <c r="E30" i="69"/>
  <c r="A25" i="106"/>
  <c r="A24" i="106"/>
  <c r="A23" i="106"/>
  <c r="A22" i="106"/>
  <c r="A19" i="106"/>
  <c r="A18" i="106"/>
  <c r="A17" i="106"/>
  <c r="A16" i="106"/>
  <c r="A15" i="106"/>
  <c r="A14" i="106"/>
  <c r="A13" i="106"/>
  <c r="A12" i="106"/>
  <c r="A9" i="106"/>
  <c r="A8" i="106"/>
  <c r="A5" i="106"/>
  <c r="A4" i="106"/>
  <c r="A3" i="106"/>
  <c r="A4" i="13"/>
  <c r="D78" i="69" l="1" a="1"/>
  <c r="D78" i="69" s="1"/>
  <c r="I14" i="96" a="1"/>
  <c r="I14" i="96" s="1"/>
  <c r="I13" i="96" a="1"/>
  <c r="I13" i="96" s="1"/>
  <c r="I13" i="97" a="1"/>
  <c r="I13" i="97" s="1"/>
  <c r="S43" i="98" a="1"/>
  <c r="S43" i="98" s="1"/>
  <c r="O43" i="98" a="1"/>
  <c r="O43" i="98" s="1"/>
  <c r="I13" i="98" a="1"/>
  <c r="I13" i="98" s="1"/>
  <c r="H43" i="98" a="1"/>
  <c r="H43" i="98" s="1"/>
  <c r="D43" i="98" a="1"/>
  <c r="D43" i="98" s="1"/>
  <c r="G13" i="98" a="1"/>
  <c r="G13" i="98" s="1"/>
  <c r="D13" i="98" a="1"/>
  <c r="D13" i="98" s="1"/>
  <c r="G13" i="97" a="1"/>
  <c r="G13" i="97" s="1"/>
  <c r="D13" i="97" a="1"/>
  <c r="D13" i="97" s="1"/>
  <c r="G38" i="97" a="1"/>
  <c r="G38" i="97" s="1"/>
  <c r="D38" i="97" a="1"/>
  <c r="D38" i="97" s="1"/>
  <c r="J43" i="96" a="1"/>
  <c r="J43" i="96" s="1"/>
  <c r="H43" i="96" a="1"/>
  <c r="H43" i="96" s="1"/>
  <c r="D43" i="96" a="1"/>
  <c r="D43" i="96" s="1"/>
  <c r="I161" i="76" a="1"/>
  <c r="I161" i="76" s="1"/>
  <c r="I160" i="76" a="1"/>
  <c r="I160" i="76" s="1"/>
  <c r="I159" i="76" a="1"/>
  <c r="I159" i="76" s="1"/>
  <c r="G159" i="76" a="1"/>
  <c r="G159" i="76" s="1"/>
  <c r="I166" i="76" s="1"/>
  <c r="D159" i="76" a="1"/>
  <c r="D159" i="76" s="1"/>
  <c r="G13" i="96" a="1"/>
  <c r="G13" i="96" s="1"/>
  <c r="T19" i="96" s="1"/>
  <c r="D13" i="96" a="1"/>
  <c r="D13" i="96" s="1"/>
  <c r="I101" i="81" a="1"/>
  <c r="I101" i="81" s="1"/>
  <c r="I100" i="81" a="1"/>
  <c r="I100" i="81" s="1"/>
  <c r="I99" i="81" a="1"/>
  <c r="I99" i="81" s="1"/>
  <c r="I98" i="81" a="1"/>
  <c r="I98" i="81" s="1"/>
  <c r="I97" i="81" a="1"/>
  <c r="I97" i="81" s="1"/>
  <c r="I17" i="81" a="1"/>
  <c r="I17" i="81" s="1"/>
  <c r="I16" i="81" a="1"/>
  <c r="I16" i="81" s="1"/>
  <c r="I15" i="81" a="1"/>
  <c r="I15" i="81" s="1"/>
  <c r="I14" i="81" a="1"/>
  <c r="I14" i="81" s="1"/>
  <c r="I13" i="81" a="1"/>
  <c r="I13" i="81" s="1"/>
  <c r="G13" i="81" a="1"/>
  <c r="G13" i="81" s="1"/>
  <c r="D13" i="81" a="1"/>
  <c r="D13" i="81" s="1"/>
  <c r="G97" i="81" a="1"/>
  <c r="G97" i="81" s="1"/>
  <c r="D97" i="81" a="1"/>
  <c r="D97" i="81" s="1"/>
  <c r="V29" i="95"/>
  <c r="V23" i="95"/>
  <c r="K23" i="95"/>
  <c r="I42" i="95" a="1"/>
  <c r="I42" i="95" s="1"/>
  <c r="J13" i="95" a="1"/>
  <c r="J13" i="95" s="1"/>
  <c r="G42" i="95" a="1"/>
  <c r="G42" i="95" s="1"/>
  <c r="D42" i="95" a="1"/>
  <c r="D42" i="95" s="1"/>
  <c r="H13" i="95" a="1"/>
  <c r="H13" i="95" s="1"/>
  <c r="D13" i="95" a="1"/>
  <c r="D13" i="95" s="1"/>
  <c r="G61" i="82" a="1"/>
  <c r="G61" i="82" s="1"/>
  <c r="D61" i="82" a="1"/>
  <c r="D61" i="82" s="1"/>
  <c r="V40" i="82"/>
  <c r="K40" i="82"/>
  <c r="F31" i="82"/>
  <c r="V19" i="82"/>
  <c r="K19" i="82"/>
  <c r="I14" i="82" a="1"/>
  <c r="I14" i="82" s="1"/>
  <c r="I13" i="82" a="1"/>
  <c r="I13" i="82" s="1"/>
  <c r="G13" i="82" a="1"/>
  <c r="G13" i="82" s="1"/>
  <c r="D13" i="82" a="1"/>
  <c r="D13" i="82" s="1"/>
  <c r="I262" i="76" a="1"/>
  <c r="I262" i="76" s="1"/>
  <c r="I263" i="76" a="1"/>
  <c r="I263" i="76" s="1"/>
  <c r="G262" i="76" a="1"/>
  <c r="G262" i="76" s="1"/>
  <c r="D262" i="76" a="1"/>
  <c r="D262" i="76" s="1"/>
  <c r="I226" i="76" a="1"/>
  <c r="I226" i="76" s="1"/>
  <c r="I225" i="76" a="1"/>
  <c r="I225" i="76" s="1"/>
  <c r="J225" i="76" a="1"/>
  <c r="J225" i="76" s="1"/>
  <c r="G225" i="76" a="1"/>
  <c r="G225" i="76" s="1"/>
  <c r="D225" i="76" a="1"/>
  <c r="D225" i="76" s="1"/>
  <c r="I193" i="76" a="1"/>
  <c r="I193" i="76" s="1"/>
  <c r="I192" i="76" a="1"/>
  <c r="I192" i="76" s="1"/>
  <c r="I191" i="76" a="1"/>
  <c r="I191" i="76" s="1"/>
  <c r="I190" i="76" a="1"/>
  <c r="I190" i="76" s="1"/>
  <c r="I189" i="76" a="1"/>
  <c r="I189" i="76" s="1"/>
  <c r="G189" i="76" a="1"/>
  <c r="G189" i="76" s="1"/>
  <c r="D189" i="76" a="1"/>
  <c r="D189" i="76" s="1"/>
  <c r="I139" i="76" a="1"/>
  <c r="I139" i="76" s="1"/>
  <c r="I140" i="76" a="1"/>
  <c r="I140" i="76" s="1"/>
  <c r="I141" i="76" a="1"/>
  <c r="I141" i="76" s="1"/>
  <c r="G139" i="76" a="1"/>
  <c r="G139" i="76" s="1"/>
  <c r="D139" i="76" a="1"/>
  <c r="D139" i="76" s="1"/>
  <c r="H115" i="76" a="1"/>
  <c r="H115" i="76" s="1"/>
  <c r="H116" i="76" a="1"/>
  <c r="H116" i="76" s="1"/>
  <c r="D115" i="76" a="1"/>
  <c r="D115" i="76" s="1"/>
  <c r="I83" i="76" a="1"/>
  <c r="I83" i="76" s="1"/>
  <c r="I82" i="76" a="1"/>
  <c r="I82" i="76" s="1"/>
  <c r="I81" i="76" a="1"/>
  <c r="I81" i="76" s="1"/>
  <c r="I79" i="76" a="1"/>
  <c r="I79" i="76" s="1"/>
  <c r="I45" i="76" a="1"/>
  <c r="I45" i="76" s="1"/>
  <c r="I44" i="76" a="1"/>
  <c r="I44" i="76" s="1"/>
  <c r="I43" i="76" a="1"/>
  <c r="I43" i="76" s="1"/>
  <c r="I42" i="76" a="1"/>
  <c r="I42" i="76" s="1"/>
  <c r="G42" i="76" a="1"/>
  <c r="G42" i="76" s="1"/>
  <c r="I50" i="76" s="1"/>
  <c r="D42" i="76" a="1"/>
  <c r="D42" i="76" s="1"/>
  <c r="H14" i="76" a="1"/>
  <c r="H14" i="76" s="1"/>
  <c r="H13" i="76" a="1"/>
  <c r="H13" i="76" s="1"/>
  <c r="F13" i="76" a="1"/>
  <c r="F13" i="76" s="1"/>
  <c r="D13" i="76" a="1"/>
  <c r="D13" i="76" s="1"/>
  <c r="A51" i="69"/>
  <c r="A105" i="69"/>
  <c r="A151" i="69"/>
  <c r="A178" i="69"/>
  <c r="A217" i="69"/>
  <c r="A275" i="69"/>
  <c r="R302" i="69"/>
  <c r="P289" i="69"/>
  <c r="O289" i="69"/>
  <c r="E289" i="69"/>
  <c r="D289" i="69"/>
  <c r="P236" i="69"/>
  <c r="O236" i="69"/>
  <c r="E236" i="69"/>
  <c r="D236" i="69"/>
  <c r="O227" i="69"/>
  <c r="D227" i="69"/>
  <c r="P150" i="69"/>
  <c r="O150" i="69"/>
  <c r="P161" i="69"/>
  <c r="O161" i="69"/>
  <c r="P172" i="69"/>
  <c r="O172" i="69"/>
  <c r="E172" i="69"/>
  <c r="D172" i="69"/>
  <c r="E161" i="69"/>
  <c r="E150" i="69"/>
  <c r="D161" i="69"/>
  <c r="D150" i="69"/>
  <c r="I19" i="96" l="1"/>
  <c r="K25" i="96"/>
  <c r="V25" i="96"/>
  <c r="I171" i="76"/>
  <c r="I121" i="76"/>
  <c r="S121" i="76"/>
  <c r="I198" i="76"/>
  <c r="I203" i="76"/>
  <c r="I208" i="76"/>
  <c r="S203" i="76"/>
  <c r="S208" i="76"/>
  <c r="I55" i="76"/>
  <c r="T219" i="69" l="1" a="1"/>
  <c r="T219" i="69" s="1"/>
  <c r="R217" i="69" a="1"/>
  <c r="R217" i="69" s="1"/>
  <c r="O217" i="69" a="1"/>
  <c r="O217" i="69" s="1"/>
  <c r="T222" i="69" l="1"/>
  <c r="P229" i="69" s="1" a="1"/>
  <c r="P229" i="69" s="1"/>
  <c r="O231" i="69"/>
  <c r="P231" i="69" s="1" a="1"/>
  <c r="P231" i="69" s="1"/>
  <c r="O230" i="69"/>
  <c r="O229" i="69"/>
  <c r="O228" i="69"/>
  <c r="P228" i="69" s="1" a="1"/>
  <c r="P228" i="69" s="1"/>
  <c r="D231" i="69"/>
  <c r="D230" i="69"/>
  <c r="D229" i="69"/>
  <c r="D228" i="69"/>
  <c r="J264" i="69" a="1"/>
  <c r="J264" i="69" s="1"/>
  <c r="J263" i="69" a="1"/>
  <c r="J263" i="69" s="1"/>
  <c r="J262" i="69" a="1"/>
  <c r="J262" i="69" s="1"/>
  <c r="J261" i="69" a="1"/>
  <c r="J261" i="69" s="1"/>
  <c r="J260" i="69" a="1"/>
  <c r="J260" i="69" s="1"/>
  <c r="J259" i="69" a="1"/>
  <c r="J259" i="69" s="1"/>
  <c r="J258" i="69" a="1"/>
  <c r="J258" i="69" s="1"/>
  <c r="J257" i="69" a="1"/>
  <c r="J257" i="69" s="1"/>
  <c r="H257" i="69" a="1"/>
  <c r="H257" i="69" s="1"/>
  <c r="D257" i="69" a="1"/>
  <c r="D257" i="69" s="1"/>
  <c r="I219" i="69" a="1"/>
  <c r="I219" i="69" s="1"/>
  <c r="I218" i="69" a="1"/>
  <c r="I218" i="69" s="1"/>
  <c r="J218" i="69" a="1"/>
  <c r="J218" i="69" s="1"/>
  <c r="I217" i="69" a="1"/>
  <c r="I217" i="69" s="1"/>
  <c r="G217" i="69" a="1"/>
  <c r="G217" i="69" s="1"/>
  <c r="D217" i="69" a="1"/>
  <c r="D217" i="69" s="1"/>
  <c r="I193" i="69" a="1"/>
  <c r="I193" i="69" s="1"/>
  <c r="I192" i="69" a="1"/>
  <c r="I192" i="69" s="1"/>
  <c r="I191" i="69" a="1"/>
  <c r="I191" i="69" s="1"/>
  <c r="G191" i="69" a="1"/>
  <c r="G191" i="69" s="1"/>
  <c r="D191" i="69" a="1"/>
  <c r="D191" i="69" s="1"/>
  <c r="I145" i="69" a="1"/>
  <c r="I145" i="69" s="1"/>
  <c r="I144" i="69" a="1"/>
  <c r="I144" i="69" s="1"/>
  <c r="G144" i="69" a="1"/>
  <c r="D144" i="69" a="1"/>
  <c r="D144" i="69" s="1"/>
  <c r="I126" i="69" a="1"/>
  <c r="I126" i="69" s="1"/>
  <c r="I125" i="69" a="1"/>
  <c r="I125" i="69" s="1"/>
  <c r="G125" i="69" a="1"/>
  <c r="G125" i="69" s="1"/>
  <c r="D125" i="69" a="1"/>
  <c r="D125" i="69" s="1"/>
  <c r="I90" i="69" a="1"/>
  <c r="I90" i="69" s="1"/>
  <c r="I91" i="69" a="1"/>
  <c r="I91" i="69" s="1"/>
  <c r="I92" i="69" a="1"/>
  <c r="I92" i="69" s="1"/>
  <c r="I93" i="69" a="1"/>
  <c r="I93" i="69" s="1"/>
  <c r="G90" i="69" a="1"/>
  <c r="G90" i="69" s="1"/>
  <c r="D90" i="69" a="1"/>
  <c r="D90" i="69" s="1"/>
  <c r="I62" i="69" a="1"/>
  <c r="I62" i="69" s="1"/>
  <c r="I67" i="69" a="1"/>
  <c r="I67" i="69" s="1"/>
  <c r="G61" i="69" a="1"/>
  <c r="G61" i="69" s="1"/>
  <c r="D61" i="69" a="1"/>
  <c r="D61" i="69" s="1"/>
  <c r="P230" i="69" l="1" a="1"/>
  <c r="P230" i="69" s="1"/>
  <c r="G144" i="69"/>
  <c r="G161" i="69"/>
  <c r="R161" i="69"/>
  <c r="K150" i="69" l="1"/>
  <c r="V151" i="69"/>
  <c r="G13" i="69" l="1" a="1"/>
  <c r="G13" i="69" s="1"/>
  <c r="D13" i="69" a="1"/>
  <c r="D13" i="69" s="1"/>
  <c r="G9" i="79"/>
  <c r="G8" i="79"/>
  <c r="I221" i="69"/>
  <c r="J44" i="96"/>
  <c r="E30" i="15"/>
  <c r="E33" i="15"/>
  <c r="E32" i="15"/>
  <c r="E31" i="15"/>
  <c r="J45" i="98"/>
  <c r="I40" i="97"/>
  <c r="J45" i="96"/>
  <c r="I44" i="95"/>
  <c r="I63" i="82"/>
  <c r="I264" i="76"/>
  <c r="R50" i="98"/>
  <c r="G50" i="98"/>
  <c r="R48" i="97"/>
  <c r="G48" i="97"/>
  <c r="R56" i="96"/>
  <c r="G56" i="96"/>
  <c r="R55" i="95"/>
  <c r="G55" i="95"/>
  <c r="R71" i="82"/>
  <c r="G71" i="82"/>
  <c r="Q290" i="76"/>
  <c r="G290" i="76"/>
  <c r="G302" i="69"/>
  <c r="I222" i="69"/>
  <c r="S250" i="104" a="1"/>
  <c r="S250" i="104" s="1"/>
  <c r="R250" i="104" a="1"/>
  <c r="R250" i="104" s="1"/>
  <c r="Q250" i="104" a="1"/>
  <c r="Q250" i="104" s="1"/>
  <c r="P250" i="104" a="1"/>
  <c r="P250" i="104" s="1"/>
  <c r="O250" i="104" a="1"/>
  <c r="O250" i="104" s="1"/>
  <c r="N250" i="104" a="1"/>
  <c r="N250" i="104" s="1"/>
  <c r="M250" i="104" a="1"/>
  <c r="M250" i="104" s="1"/>
  <c r="L250" i="104" a="1"/>
  <c r="L250" i="104" s="1"/>
  <c r="K250" i="104" a="1"/>
  <c r="K250" i="104" s="1"/>
  <c r="J250" i="104" a="1"/>
  <c r="J250" i="104" s="1"/>
  <c r="I250" i="104" a="1"/>
  <c r="I250" i="104" s="1"/>
  <c r="H250" i="104" a="1"/>
  <c r="H250" i="104" s="1"/>
  <c r="G250" i="104" a="1"/>
  <c r="G250" i="104" s="1"/>
  <c r="F250" i="104" a="1"/>
  <c r="F250" i="104" s="1"/>
  <c r="E250" i="104" a="1"/>
  <c r="E250" i="104" s="1"/>
  <c r="D250" i="104" a="1"/>
  <c r="D250" i="104" s="1"/>
  <c r="S249" i="104" a="1"/>
  <c r="S249" i="104" s="1"/>
  <c r="R249" i="104" a="1"/>
  <c r="R249" i="104" s="1"/>
  <c r="Q249" i="104" a="1"/>
  <c r="Q249" i="104" s="1"/>
  <c r="P249" i="104" a="1"/>
  <c r="P249" i="104" s="1"/>
  <c r="O249" i="104" a="1"/>
  <c r="O249" i="104" s="1"/>
  <c r="N249" i="104" a="1"/>
  <c r="N249" i="104" s="1"/>
  <c r="M249" i="104" a="1"/>
  <c r="M249" i="104" s="1"/>
  <c r="L249" i="104" a="1"/>
  <c r="L249" i="104" s="1"/>
  <c r="K249" i="104" a="1"/>
  <c r="K249" i="104" s="1"/>
  <c r="J249" i="104" a="1"/>
  <c r="J249" i="104" s="1"/>
  <c r="I249" i="104" a="1"/>
  <c r="I249" i="104" s="1"/>
  <c r="H249" i="104" a="1"/>
  <c r="H249" i="104" s="1"/>
  <c r="G249" i="104" a="1"/>
  <c r="G249" i="104" s="1"/>
  <c r="F249" i="104" a="1"/>
  <c r="F249" i="104" s="1"/>
  <c r="E249" i="104" a="1"/>
  <c r="E249" i="104" s="1"/>
  <c r="D249" i="104" a="1"/>
  <c r="D249" i="104" s="1"/>
  <c r="S248" i="104" a="1"/>
  <c r="S248" i="104" s="1"/>
  <c r="R248" i="104" a="1"/>
  <c r="R248" i="104" s="1"/>
  <c r="Q248" i="104" a="1"/>
  <c r="Q248" i="104" s="1"/>
  <c r="P248" i="104" a="1"/>
  <c r="P248" i="104" s="1"/>
  <c r="O248" i="104" a="1"/>
  <c r="O248" i="104" s="1"/>
  <c r="N248" i="104" a="1"/>
  <c r="N248" i="104" s="1"/>
  <c r="M248" i="104" a="1"/>
  <c r="M248" i="104" s="1"/>
  <c r="L248" i="104" a="1"/>
  <c r="L248" i="104" s="1"/>
  <c r="K248" i="104" a="1"/>
  <c r="K248" i="104" s="1"/>
  <c r="J248" i="104" a="1"/>
  <c r="J248" i="104" s="1"/>
  <c r="I248" i="104" a="1"/>
  <c r="I248" i="104" s="1"/>
  <c r="H248" i="104" a="1"/>
  <c r="H248" i="104" s="1"/>
  <c r="G248" i="104" a="1"/>
  <c r="G248" i="104" s="1"/>
  <c r="F248" i="104" a="1"/>
  <c r="F248" i="104" s="1"/>
  <c r="E248" i="104" a="1"/>
  <c r="E248" i="104" s="1"/>
  <c r="D248" i="104" a="1"/>
  <c r="D248" i="104" s="1"/>
  <c r="S247" i="104" a="1"/>
  <c r="S247" i="104" s="1"/>
  <c r="R247" i="104" a="1"/>
  <c r="R247" i="104" s="1"/>
  <c r="Q247" i="104" a="1"/>
  <c r="Q247" i="104" s="1"/>
  <c r="P247" i="104" a="1"/>
  <c r="P247" i="104" s="1"/>
  <c r="O247" i="104" a="1"/>
  <c r="O247" i="104" s="1"/>
  <c r="N247" i="104" a="1"/>
  <c r="N247" i="104" s="1"/>
  <c r="M247" i="104" a="1"/>
  <c r="M247" i="104" s="1"/>
  <c r="L247" i="104" a="1"/>
  <c r="L247" i="104" s="1"/>
  <c r="K247" i="104" a="1"/>
  <c r="K247" i="104" s="1"/>
  <c r="J247" i="104" a="1"/>
  <c r="J247" i="104" s="1"/>
  <c r="I247" i="104" a="1"/>
  <c r="I247" i="104" s="1"/>
  <c r="H247" i="104" a="1"/>
  <c r="H247" i="104" s="1"/>
  <c r="G247" i="104" a="1"/>
  <c r="G247" i="104" s="1"/>
  <c r="F247" i="104" a="1"/>
  <c r="F247" i="104" s="1"/>
  <c r="E247" i="104" a="1"/>
  <c r="E247" i="104" s="1"/>
  <c r="D247" i="104" a="1"/>
  <c r="D247" i="104" s="1"/>
  <c r="S246" i="104" a="1"/>
  <c r="S246" i="104" s="1"/>
  <c r="R246" i="104" a="1"/>
  <c r="R246" i="104" s="1"/>
  <c r="Q246" i="104" a="1"/>
  <c r="Q246" i="104" s="1"/>
  <c r="P246" i="104" a="1"/>
  <c r="P246" i="104" s="1"/>
  <c r="O246" i="104" a="1"/>
  <c r="O246" i="104" s="1"/>
  <c r="N246" i="104" a="1"/>
  <c r="N246" i="104" s="1"/>
  <c r="M246" i="104" a="1"/>
  <c r="M246" i="104" s="1"/>
  <c r="L246" i="104" a="1"/>
  <c r="L246" i="104" s="1"/>
  <c r="K246" i="104" a="1"/>
  <c r="K246" i="104" s="1"/>
  <c r="J246" i="104" a="1"/>
  <c r="J246" i="104" s="1"/>
  <c r="I246" i="104" a="1"/>
  <c r="I246" i="104" s="1"/>
  <c r="H246" i="104" a="1"/>
  <c r="H246" i="104" s="1"/>
  <c r="G246" i="104" a="1"/>
  <c r="G246" i="104" s="1"/>
  <c r="F246" i="104" a="1"/>
  <c r="F246" i="104" s="1"/>
  <c r="E246" i="104" a="1"/>
  <c r="E246" i="104" s="1"/>
  <c r="D246" i="104" a="1"/>
  <c r="D246" i="104" s="1"/>
  <c r="S245" i="104" a="1"/>
  <c r="S245" i="104" s="1"/>
  <c r="R245" i="104" a="1"/>
  <c r="R245" i="104" s="1"/>
  <c r="Q245" i="104" a="1"/>
  <c r="Q245" i="104" s="1"/>
  <c r="P245" i="104" a="1"/>
  <c r="P245" i="104" s="1"/>
  <c r="O245" i="104" a="1"/>
  <c r="O245" i="104" s="1"/>
  <c r="N245" i="104" a="1"/>
  <c r="N245" i="104" s="1"/>
  <c r="M245" i="104" a="1"/>
  <c r="M245" i="104" s="1"/>
  <c r="L245" i="104" a="1"/>
  <c r="L245" i="104" s="1"/>
  <c r="K245" i="104" a="1"/>
  <c r="K245" i="104" s="1"/>
  <c r="J245" i="104" a="1"/>
  <c r="J245" i="104" s="1"/>
  <c r="I245" i="104" a="1"/>
  <c r="I245" i="104" s="1"/>
  <c r="H245" i="104" a="1"/>
  <c r="H245" i="104" s="1"/>
  <c r="G245" i="104" a="1"/>
  <c r="G245" i="104" s="1"/>
  <c r="F245" i="104" a="1"/>
  <c r="F245" i="104" s="1"/>
  <c r="E245" i="104" a="1"/>
  <c r="E245" i="104" s="1"/>
  <c r="D245" i="104" a="1"/>
  <c r="D245" i="104" s="1"/>
  <c r="S244" i="104" a="1"/>
  <c r="S244" i="104" s="1"/>
  <c r="R244" i="104" a="1"/>
  <c r="R244" i="104" s="1"/>
  <c r="Q244" i="104" a="1"/>
  <c r="Q244" i="104" s="1"/>
  <c r="P244" i="104" a="1"/>
  <c r="P244" i="104" s="1"/>
  <c r="O244" i="104" a="1"/>
  <c r="O244" i="104" s="1"/>
  <c r="N244" i="104" a="1"/>
  <c r="N244" i="104" s="1"/>
  <c r="M244" i="104" a="1"/>
  <c r="M244" i="104" s="1"/>
  <c r="L244" i="104" a="1"/>
  <c r="L244" i="104" s="1"/>
  <c r="K244" i="104" a="1"/>
  <c r="K244" i="104" s="1"/>
  <c r="J244" i="104" a="1"/>
  <c r="J244" i="104" s="1"/>
  <c r="I244" i="104" a="1"/>
  <c r="I244" i="104" s="1"/>
  <c r="H244" i="104" a="1"/>
  <c r="H244" i="104" s="1"/>
  <c r="G244" i="104" a="1"/>
  <c r="G244" i="104" s="1"/>
  <c r="F244" i="104" a="1"/>
  <c r="F244" i="104" s="1"/>
  <c r="E244" i="104" a="1"/>
  <c r="E244" i="104" s="1"/>
  <c r="D244" i="104" a="1"/>
  <c r="D244" i="104" s="1"/>
  <c r="S243" i="104" a="1"/>
  <c r="S243" i="104" s="1"/>
  <c r="R243" i="104" a="1"/>
  <c r="R243" i="104" s="1"/>
  <c r="Q243" i="104" a="1"/>
  <c r="Q243" i="104" s="1"/>
  <c r="P243" i="104" a="1"/>
  <c r="P243" i="104" s="1"/>
  <c r="O243" i="104" a="1"/>
  <c r="O243" i="104" s="1"/>
  <c r="N243" i="104" a="1"/>
  <c r="N243" i="104" s="1"/>
  <c r="M243" i="104" a="1"/>
  <c r="M243" i="104" s="1"/>
  <c r="L243" i="104" a="1"/>
  <c r="L243" i="104" s="1"/>
  <c r="K243" i="104" a="1"/>
  <c r="K243" i="104" s="1"/>
  <c r="J243" i="104" a="1"/>
  <c r="J243" i="104" s="1"/>
  <c r="I243" i="104" a="1"/>
  <c r="I243" i="104" s="1"/>
  <c r="H243" i="104" a="1"/>
  <c r="H243" i="104" s="1"/>
  <c r="G243" i="104" a="1"/>
  <c r="G243" i="104" s="1"/>
  <c r="F243" i="104"/>
  <c r="F243" i="104" a="1"/>
  <c r="E243" i="104" a="1"/>
  <c r="E243" i="104" s="1"/>
  <c r="D243" i="104" a="1"/>
  <c r="D243" i="104" s="1"/>
  <c r="S242" i="104" a="1"/>
  <c r="S242" i="104" s="1"/>
  <c r="R242" i="104" a="1"/>
  <c r="R242" i="104" s="1"/>
  <c r="Q242" i="104" a="1"/>
  <c r="Q242" i="104" s="1"/>
  <c r="P242" i="104" a="1"/>
  <c r="P242" i="104" s="1"/>
  <c r="O242" i="104" a="1"/>
  <c r="O242" i="104" s="1"/>
  <c r="N242" i="104" a="1"/>
  <c r="N242" i="104" s="1"/>
  <c r="M242" i="104" a="1"/>
  <c r="M242" i="104" s="1"/>
  <c r="L242" i="104" a="1"/>
  <c r="L242" i="104" s="1"/>
  <c r="K242" i="104" a="1"/>
  <c r="K242" i="104" s="1"/>
  <c r="J242" i="104" a="1"/>
  <c r="J242" i="104" s="1"/>
  <c r="I242" i="104" a="1"/>
  <c r="I242" i="104" s="1"/>
  <c r="H242" i="104" a="1"/>
  <c r="H242" i="104" s="1"/>
  <c r="G242" i="104" a="1"/>
  <c r="G242" i="104" s="1"/>
  <c r="F242" i="104" a="1"/>
  <c r="F242" i="104" s="1"/>
  <c r="E242" i="104" a="1"/>
  <c r="E242" i="104" s="1"/>
  <c r="D242" i="104" a="1"/>
  <c r="D242" i="104" s="1"/>
  <c r="S241" i="104" a="1"/>
  <c r="S241" i="104" s="1"/>
  <c r="R241" i="104"/>
  <c r="R241" i="104" a="1"/>
  <c r="Q241" i="104" a="1"/>
  <c r="Q241" i="104" s="1"/>
  <c r="P241" i="104" a="1"/>
  <c r="P241" i="104" s="1"/>
  <c r="O241" i="104" a="1"/>
  <c r="O241" i="104" s="1"/>
  <c r="N241" i="104" a="1"/>
  <c r="N241" i="104" s="1"/>
  <c r="M241" i="104" a="1"/>
  <c r="M241" i="104" s="1"/>
  <c r="L241" i="104" a="1"/>
  <c r="L241" i="104" s="1"/>
  <c r="K241" i="104" a="1"/>
  <c r="K241" i="104" s="1"/>
  <c r="J241" i="104" a="1"/>
  <c r="J241" i="104" s="1"/>
  <c r="I241" i="104" a="1"/>
  <c r="I241" i="104" s="1"/>
  <c r="H241" i="104" a="1"/>
  <c r="H241" i="104" s="1"/>
  <c r="G241" i="104" a="1"/>
  <c r="G241" i="104" s="1"/>
  <c r="F241" i="104" a="1"/>
  <c r="F241" i="104" s="1"/>
  <c r="E241" i="104" a="1"/>
  <c r="E241" i="104" s="1"/>
  <c r="D241" i="104" a="1"/>
  <c r="D241" i="104" s="1"/>
  <c r="S240" i="104" a="1"/>
  <c r="S240" i="104" s="1"/>
  <c r="R240" i="104" a="1"/>
  <c r="R240" i="104" s="1"/>
  <c r="Q240" i="104" a="1"/>
  <c r="Q240" i="104" s="1"/>
  <c r="P240" i="104" a="1"/>
  <c r="P240" i="104" s="1"/>
  <c r="O240" i="104" a="1"/>
  <c r="O240" i="104" s="1"/>
  <c r="N240" i="104" a="1"/>
  <c r="N240" i="104" s="1"/>
  <c r="M240" i="104" a="1"/>
  <c r="M240" i="104" s="1"/>
  <c r="L240" i="104" a="1"/>
  <c r="L240" i="104" s="1"/>
  <c r="K240" i="104" a="1"/>
  <c r="K240" i="104" s="1"/>
  <c r="J240" i="104" a="1"/>
  <c r="J240" i="104" s="1"/>
  <c r="I240" i="104" a="1"/>
  <c r="I240" i="104" s="1"/>
  <c r="H240" i="104" a="1"/>
  <c r="H240" i="104" s="1"/>
  <c r="G240" i="104" a="1"/>
  <c r="G240" i="104" s="1"/>
  <c r="F240" i="104" a="1"/>
  <c r="F240" i="104" s="1"/>
  <c r="E240" i="104" a="1"/>
  <c r="E240" i="104" s="1"/>
  <c r="D240" i="104" a="1"/>
  <c r="D240" i="104" s="1"/>
  <c r="S239" i="104" a="1"/>
  <c r="S239" i="104" s="1"/>
  <c r="R239" i="104" a="1"/>
  <c r="R239" i="104" s="1"/>
  <c r="Q239" i="104" a="1"/>
  <c r="Q239" i="104" s="1"/>
  <c r="P239" i="104" a="1"/>
  <c r="P239" i="104" s="1"/>
  <c r="O239" i="104" a="1"/>
  <c r="O239" i="104" s="1"/>
  <c r="N239" i="104" a="1"/>
  <c r="N239" i="104" s="1"/>
  <c r="M239" i="104" a="1"/>
  <c r="M239" i="104" s="1"/>
  <c r="L239" i="104" a="1"/>
  <c r="L239" i="104" s="1"/>
  <c r="K239" i="104" a="1"/>
  <c r="K239" i="104" s="1"/>
  <c r="J239" i="104" a="1"/>
  <c r="J239" i="104" s="1"/>
  <c r="I239" i="104" a="1"/>
  <c r="I239" i="104" s="1"/>
  <c r="H239" i="104" a="1"/>
  <c r="H239" i="104" s="1"/>
  <c r="G239" i="104" a="1"/>
  <c r="G239" i="104" s="1"/>
  <c r="F239" i="104" a="1"/>
  <c r="F239" i="104" s="1"/>
  <c r="E239" i="104" a="1"/>
  <c r="E239" i="104" s="1"/>
  <c r="D239" i="104" a="1"/>
  <c r="D239" i="104" s="1"/>
  <c r="S238" i="104" a="1"/>
  <c r="S238" i="104" s="1"/>
  <c r="R238" i="104" a="1"/>
  <c r="R238" i="104" s="1"/>
  <c r="Q238" i="104" a="1"/>
  <c r="Q238" i="104" s="1"/>
  <c r="P238" i="104" a="1"/>
  <c r="P238" i="104" s="1"/>
  <c r="O238" i="104" a="1"/>
  <c r="O238" i="104" s="1"/>
  <c r="N238" i="104" a="1"/>
  <c r="N238" i="104" s="1"/>
  <c r="M238" i="104" a="1"/>
  <c r="M238" i="104" s="1"/>
  <c r="L238" i="104" a="1"/>
  <c r="L238" i="104" s="1"/>
  <c r="K238" i="104" a="1"/>
  <c r="K238" i="104" s="1"/>
  <c r="J238" i="104" a="1"/>
  <c r="J238" i="104" s="1"/>
  <c r="I238" i="104" a="1"/>
  <c r="I238" i="104" s="1"/>
  <c r="H238" i="104" a="1"/>
  <c r="H238" i="104" s="1"/>
  <c r="G238" i="104" a="1"/>
  <c r="G238" i="104" s="1"/>
  <c r="F238" i="104" a="1"/>
  <c r="F238" i="104" s="1"/>
  <c r="E238" i="104" a="1"/>
  <c r="E238" i="104" s="1"/>
  <c r="D238" i="104" a="1"/>
  <c r="D238" i="104" s="1"/>
  <c r="S237" i="104" a="1"/>
  <c r="S237" i="104" s="1"/>
  <c r="R237" i="104" a="1"/>
  <c r="R237" i="104" s="1"/>
  <c r="Q237" i="104" a="1"/>
  <c r="Q237" i="104" s="1"/>
  <c r="P237" i="104" a="1"/>
  <c r="P237" i="104" s="1"/>
  <c r="O237" i="104" a="1"/>
  <c r="O237" i="104" s="1"/>
  <c r="N237" i="104" a="1"/>
  <c r="N237" i="104" s="1"/>
  <c r="M237" i="104" a="1"/>
  <c r="M237" i="104" s="1"/>
  <c r="L237" i="104" a="1"/>
  <c r="L237" i="104" s="1"/>
  <c r="K237" i="104" a="1"/>
  <c r="K237" i="104" s="1"/>
  <c r="J237" i="104" a="1"/>
  <c r="J237" i="104" s="1"/>
  <c r="I237" i="104" a="1"/>
  <c r="I237" i="104" s="1"/>
  <c r="H237" i="104" a="1"/>
  <c r="H237" i="104" s="1"/>
  <c r="G237" i="104" a="1"/>
  <c r="G237" i="104" s="1"/>
  <c r="F237" i="104" a="1"/>
  <c r="F237" i="104" s="1"/>
  <c r="E237" i="104" a="1"/>
  <c r="E237" i="104" s="1"/>
  <c r="D237" i="104" a="1"/>
  <c r="D237" i="104" s="1"/>
  <c r="S236" i="104" a="1"/>
  <c r="S236" i="104" s="1"/>
  <c r="R236" i="104" a="1"/>
  <c r="R236" i="104" s="1"/>
  <c r="Q236" i="104" a="1"/>
  <c r="Q236" i="104" s="1"/>
  <c r="P236" i="104" a="1"/>
  <c r="P236" i="104" s="1"/>
  <c r="O236" i="104" a="1"/>
  <c r="O236" i="104" s="1"/>
  <c r="N236" i="104" a="1"/>
  <c r="N236" i="104" s="1"/>
  <c r="M236" i="104" a="1"/>
  <c r="M236" i="104" s="1"/>
  <c r="L236" i="104" a="1"/>
  <c r="L236" i="104" s="1"/>
  <c r="K236" i="104" a="1"/>
  <c r="K236" i="104" s="1"/>
  <c r="J236" i="104" a="1"/>
  <c r="J236" i="104" s="1"/>
  <c r="I236" i="104" a="1"/>
  <c r="I236" i="104" s="1"/>
  <c r="H236" i="104" a="1"/>
  <c r="H236" i="104" s="1"/>
  <c r="G236" i="104" a="1"/>
  <c r="G236" i="104" s="1"/>
  <c r="F236" i="104" a="1"/>
  <c r="F236" i="104" s="1"/>
  <c r="E236" i="104" a="1"/>
  <c r="E236" i="104" s="1"/>
  <c r="D236" i="104" a="1"/>
  <c r="D236" i="104" s="1"/>
  <c r="S235" i="104" a="1"/>
  <c r="S235" i="104" s="1"/>
  <c r="R235" i="104" a="1"/>
  <c r="R235" i="104" s="1"/>
  <c r="Q235" i="104" a="1"/>
  <c r="Q235" i="104" s="1"/>
  <c r="P235" i="104" a="1"/>
  <c r="P235" i="104" s="1"/>
  <c r="O235" i="104" a="1"/>
  <c r="O235" i="104" s="1"/>
  <c r="N235" i="104" a="1"/>
  <c r="N235" i="104" s="1"/>
  <c r="M235" i="104" a="1"/>
  <c r="M235" i="104" s="1"/>
  <c r="L235" i="104" a="1"/>
  <c r="L235" i="104" s="1"/>
  <c r="K235" i="104" a="1"/>
  <c r="K235" i="104" s="1"/>
  <c r="J235" i="104" a="1"/>
  <c r="J235" i="104" s="1"/>
  <c r="I235" i="104" a="1"/>
  <c r="I235" i="104" s="1"/>
  <c r="H235" i="104" a="1"/>
  <c r="H235" i="104" s="1"/>
  <c r="G235" i="104" a="1"/>
  <c r="G235" i="104" s="1"/>
  <c r="F235" i="104" a="1"/>
  <c r="F235" i="104" s="1"/>
  <c r="E235" i="104" a="1"/>
  <c r="E235" i="104" s="1"/>
  <c r="D235" i="104" a="1"/>
  <c r="D235" i="104" s="1"/>
  <c r="S234" i="104" a="1"/>
  <c r="S234" i="104" s="1"/>
  <c r="R234" i="104" a="1"/>
  <c r="R234" i="104" s="1"/>
  <c r="Q234" i="104" a="1"/>
  <c r="Q234" i="104" s="1"/>
  <c r="P234" i="104" a="1"/>
  <c r="P234" i="104" s="1"/>
  <c r="O234" i="104" a="1"/>
  <c r="O234" i="104" s="1"/>
  <c r="N234" i="104" a="1"/>
  <c r="N234" i="104" s="1"/>
  <c r="M234" i="104" a="1"/>
  <c r="M234" i="104" s="1"/>
  <c r="L234" i="104" a="1"/>
  <c r="L234" i="104" s="1"/>
  <c r="K234" i="104" a="1"/>
  <c r="K234" i="104" s="1"/>
  <c r="J234" i="104" a="1"/>
  <c r="J234" i="104" s="1"/>
  <c r="I234" i="104" a="1"/>
  <c r="I234" i="104" s="1"/>
  <c r="H234" i="104" a="1"/>
  <c r="H234" i="104" s="1"/>
  <c r="G234" i="104" a="1"/>
  <c r="G234" i="104" s="1"/>
  <c r="F234" i="104" a="1"/>
  <c r="F234" i="104" s="1"/>
  <c r="E234" i="104" a="1"/>
  <c r="E234" i="104" s="1"/>
  <c r="D234" i="104" a="1"/>
  <c r="D234" i="104" s="1"/>
  <c r="S233" i="104" a="1"/>
  <c r="S233" i="104" s="1"/>
  <c r="R233" i="104" a="1"/>
  <c r="R233" i="104" s="1"/>
  <c r="Q233" i="104" a="1"/>
  <c r="Q233" i="104" s="1"/>
  <c r="P233" i="104" a="1"/>
  <c r="P233" i="104" s="1"/>
  <c r="O233" i="104" a="1"/>
  <c r="O233" i="104" s="1"/>
  <c r="N233" i="104" a="1"/>
  <c r="N233" i="104" s="1"/>
  <c r="M233" i="104" a="1"/>
  <c r="M233" i="104" s="1"/>
  <c r="L233" i="104" a="1"/>
  <c r="L233" i="104" s="1"/>
  <c r="K233" i="104" a="1"/>
  <c r="K233" i="104" s="1"/>
  <c r="J233" i="104" a="1"/>
  <c r="J233" i="104" s="1"/>
  <c r="I233" i="104" a="1"/>
  <c r="I233" i="104" s="1"/>
  <c r="H233" i="104" a="1"/>
  <c r="H233" i="104" s="1"/>
  <c r="G233" i="104" a="1"/>
  <c r="G233" i="104" s="1"/>
  <c r="F233" i="104" a="1"/>
  <c r="F233" i="104" s="1"/>
  <c r="E233" i="104" a="1"/>
  <c r="E233" i="104" s="1"/>
  <c r="D233" i="104" a="1"/>
  <c r="D233" i="104" s="1"/>
  <c r="S232" i="104" a="1"/>
  <c r="S232" i="104" s="1"/>
  <c r="R232" i="104" a="1"/>
  <c r="R232" i="104" s="1"/>
  <c r="Q232" i="104" a="1"/>
  <c r="Q232" i="104" s="1"/>
  <c r="P232" i="104" a="1"/>
  <c r="P232" i="104" s="1"/>
  <c r="O232" i="104" a="1"/>
  <c r="O232" i="104" s="1"/>
  <c r="N232" i="104" a="1"/>
  <c r="N232" i="104" s="1"/>
  <c r="M232" i="104" a="1"/>
  <c r="M232" i="104" s="1"/>
  <c r="L232" i="104" a="1"/>
  <c r="L232" i="104" s="1"/>
  <c r="K232" i="104" a="1"/>
  <c r="K232" i="104" s="1"/>
  <c r="J232" i="104" a="1"/>
  <c r="J232" i="104" s="1"/>
  <c r="I232" i="104" a="1"/>
  <c r="I232" i="104" s="1"/>
  <c r="H232" i="104" a="1"/>
  <c r="H232" i="104" s="1"/>
  <c r="G232" i="104" a="1"/>
  <c r="G232" i="104" s="1"/>
  <c r="F232" i="104" a="1"/>
  <c r="F232" i="104" s="1"/>
  <c r="E232" i="104" a="1"/>
  <c r="E232" i="104" s="1"/>
  <c r="D232" i="104" a="1"/>
  <c r="D232" i="104" s="1"/>
  <c r="D229" i="104" a="1"/>
  <c r="D229" i="104" s="1"/>
  <c r="D228" i="104" a="1"/>
  <c r="D228" i="104" s="1"/>
  <c r="D227" i="104" a="1"/>
  <c r="D227" i="104" s="1"/>
  <c r="E224" i="104" a="1"/>
  <c r="E224" i="104" s="1"/>
  <c r="D224" i="104" a="1"/>
  <c r="D224" i="104" s="1"/>
  <c r="E223" i="104" a="1"/>
  <c r="E223" i="104" s="1"/>
  <c r="D223" i="104" a="1"/>
  <c r="D223" i="104" s="1"/>
  <c r="E222" i="104" a="1"/>
  <c r="E222" i="104" s="1"/>
  <c r="D222" i="104" a="1"/>
  <c r="D222" i="104" s="1"/>
  <c r="E221" i="104" a="1"/>
  <c r="E221" i="104" s="1"/>
  <c r="D221" i="104" a="1"/>
  <c r="D221" i="104" s="1"/>
  <c r="E220" i="104" a="1"/>
  <c r="E220" i="104" s="1"/>
  <c r="D220" i="104" a="1"/>
  <c r="D220" i="104" s="1"/>
  <c r="E219" i="104" a="1"/>
  <c r="E219" i="104" s="1"/>
  <c r="D219" i="104" a="1"/>
  <c r="D219" i="104" s="1"/>
  <c r="E218" i="104" a="1"/>
  <c r="E218" i="104" s="1"/>
  <c r="D218" i="104" a="1"/>
  <c r="D218" i="104" s="1"/>
  <c r="E217" i="104" a="1"/>
  <c r="E217" i="104" s="1"/>
  <c r="D217" i="104" a="1"/>
  <c r="D217" i="104" s="1"/>
  <c r="E216" i="104" a="1"/>
  <c r="E216" i="104" s="1"/>
  <c r="D216" i="104" a="1"/>
  <c r="D216" i="104" s="1"/>
  <c r="E215" i="104" a="1"/>
  <c r="E215" i="104" s="1"/>
  <c r="D215" i="104" a="1"/>
  <c r="D215" i="104" s="1"/>
  <c r="E214" i="104" a="1"/>
  <c r="E214" i="104" s="1"/>
  <c r="D214" i="104" a="1"/>
  <c r="D214" i="104" s="1"/>
  <c r="E213" i="104" a="1"/>
  <c r="E213" i="104" s="1"/>
  <c r="D213" i="104" a="1"/>
  <c r="D213" i="104" s="1"/>
  <c r="D211" i="104" a="1"/>
  <c r="D211" i="104" s="1"/>
  <c r="E208" i="104" a="1"/>
  <c r="E208" i="104" s="1"/>
  <c r="D208" i="104" a="1"/>
  <c r="D208" i="104" s="1"/>
  <c r="E207" i="104" a="1"/>
  <c r="E207" i="104" s="1"/>
  <c r="D207" i="104" a="1"/>
  <c r="D207" i="104" s="1"/>
  <c r="D205" i="104" a="1"/>
  <c r="D205" i="104" s="1"/>
  <c r="D204" i="104" a="1"/>
  <c r="D204" i="104" s="1"/>
  <c r="D203" i="104" a="1"/>
  <c r="D203" i="104" s="1"/>
  <c r="D202" i="104"/>
  <c r="D202" i="104" a="1"/>
  <c r="H199" i="104" a="1"/>
  <c r="H199" i="104" s="1"/>
  <c r="G199" i="104" a="1"/>
  <c r="G199" i="104" s="1"/>
  <c r="F199" i="104" a="1"/>
  <c r="F199" i="104" s="1"/>
  <c r="E199" i="104" a="1"/>
  <c r="E199" i="104" s="1"/>
  <c r="D199" i="104" a="1"/>
  <c r="D199" i="104" s="1"/>
  <c r="H198" i="104" a="1"/>
  <c r="H198" i="104" s="1"/>
  <c r="G198" i="104" a="1"/>
  <c r="G198" i="104" s="1"/>
  <c r="F198" i="104" a="1"/>
  <c r="F198" i="104" s="1"/>
  <c r="E198" i="104" a="1"/>
  <c r="E198" i="104" s="1"/>
  <c r="D198" i="104" a="1"/>
  <c r="D198" i="104" s="1"/>
  <c r="H197" i="104" a="1"/>
  <c r="H197" i="104" s="1"/>
  <c r="G197" i="104" a="1"/>
  <c r="G197" i="104" s="1"/>
  <c r="F197" i="104" a="1"/>
  <c r="F197" i="104" s="1"/>
  <c r="E197" i="104" a="1"/>
  <c r="E197" i="104" s="1"/>
  <c r="D197" i="104" a="1"/>
  <c r="D197" i="104" s="1"/>
  <c r="H196" i="104" a="1"/>
  <c r="H196" i="104" s="1"/>
  <c r="G196" i="104" a="1"/>
  <c r="G196" i="104" s="1"/>
  <c r="F196" i="104" a="1"/>
  <c r="F196" i="104" s="1"/>
  <c r="E196" i="104" a="1"/>
  <c r="E196" i="104" s="1"/>
  <c r="D196" i="104" a="1"/>
  <c r="D196" i="104" s="1"/>
  <c r="H195" i="104" a="1"/>
  <c r="H195" i="104" s="1"/>
  <c r="G195" i="104" a="1"/>
  <c r="G195" i="104" s="1"/>
  <c r="F195" i="104" a="1"/>
  <c r="F195" i="104" s="1"/>
  <c r="E195" i="104" a="1"/>
  <c r="E195" i="104" s="1"/>
  <c r="D195" i="104" a="1"/>
  <c r="D195" i="104" s="1"/>
  <c r="H194" i="104" a="1"/>
  <c r="H194" i="104" s="1"/>
  <c r="G194" i="104" a="1"/>
  <c r="G194" i="104" s="1"/>
  <c r="F194" i="104" a="1"/>
  <c r="F194" i="104" s="1"/>
  <c r="E194" i="104" a="1"/>
  <c r="E194" i="104" s="1"/>
  <c r="D194" i="104" a="1"/>
  <c r="D194" i="104" s="1"/>
  <c r="H193" i="104" a="1"/>
  <c r="H193" i="104" s="1"/>
  <c r="G193" i="104" a="1"/>
  <c r="G193" i="104" s="1"/>
  <c r="F193" i="104" a="1"/>
  <c r="F193" i="104" s="1"/>
  <c r="E193" i="104" a="1"/>
  <c r="E193" i="104" s="1"/>
  <c r="D193" i="104" a="1"/>
  <c r="D193" i="104" s="1"/>
  <c r="H192" i="104" a="1"/>
  <c r="H192" i="104" s="1"/>
  <c r="G192" i="104" a="1"/>
  <c r="G192" i="104" s="1"/>
  <c r="F192" i="104" a="1"/>
  <c r="F192" i="104" s="1"/>
  <c r="E192" i="104" a="1"/>
  <c r="E192" i="104" s="1"/>
  <c r="D192" i="104" a="1"/>
  <c r="D192" i="104" s="1"/>
  <c r="H191" i="104" a="1"/>
  <c r="H191" i="104" s="1"/>
  <c r="G191" i="104" a="1"/>
  <c r="G191" i="104" s="1"/>
  <c r="F191" i="104" a="1"/>
  <c r="F191" i="104" s="1"/>
  <c r="E191" i="104" a="1"/>
  <c r="E191" i="104" s="1"/>
  <c r="D191" i="104" a="1"/>
  <c r="D191" i="104" s="1"/>
  <c r="H190" i="104" a="1"/>
  <c r="H190" i="104" s="1"/>
  <c r="G190" i="104" a="1"/>
  <c r="G190" i="104" s="1"/>
  <c r="F190" i="104" a="1"/>
  <c r="F190" i="104" s="1"/>
  <c r="E190" i="104" a="1"/>
  <c r="E190" i="104" s="1"/>
  <c r="D190" i="104" a="1"/>
  <c r="D190" i="104" s="1"/>
  <c r="H189" i="104" a="1"/>
  <c r="H189" i="104" s="1"/>
  <c r="G189" i="104" a="1"/>
  <c r="G189" i="104" s="1"/>
  <c r="F189" i="104" a="1"/>
  <c r="F189" i="104" s="1"/>
  <c r="E189" i="104" a="1"/>
  <c r="E189" i="104" s="1"/>
  <c r="D189" i="104" a="1"/>
  <c r="D189" i="104" s="1"/>
  <c r="H188" i="104" a="1"/>
  <c r="H188" i="104" s="1"/>
  <c r="G188" i="104" a="1"/>
  <c r="G188" i="104" s="1"/>
  <c r="F188" i="104" a="1"/>
  <c r="F188" i="104" s="1"/>
  <c r="E188" i="104" a="1"/>
  <c r="E188" i="104" s="1"/>
  <c r="D188" i="104" a="1"/>
  <c r="D188" i="104" s="1"/>
  <c r="H187" i="104" a="1"/>
  <c r="H187" i="104" s="1"/>
  <c r="G187" i="104" a="1"/>
  <c r="G187" i="104" s="1"/>
  <c r="F187" i="104" a="1"/>
  <c r="F187" i="104" s="1"/>
  <c r="E187" i="104" a="1"/>
  <c r="E187" i="104" s="1"/>
  <c r="D187" i="104" a="1"/>
  <c r="D187" i="104" s="1"/>
  <c r="D181" i="104" a="1"/>
  <c r="D181" i="104" s="1"/>
  <c r="D180" i="104" a="1"/>
  <c r="D180" i="104" s="1"/>
  <c r="D179" i="104" a="1"/>
  <c r="D179" i="104" s="1"/>
  <c r="D178" i="104" a="1"/>
  <c r="D178" i="104" s="1"/>
  <c r="E175" i="104" a="1"/>
  <c r="E175" i="104" s="1"/>
  <c r="D175" i="104" a="1"/>
  <c r="D175" i="104" s="1"/>
  <c r="D174" i="104" a="1"/>
  <c r="D174" i="104" s="1"/>
  <c r="D173" i="104" a="1"/>
  <c r="D173" i="104" s="1"/>
  <c r="D170" i="104" a="1"/>
  <c r="D170" i="104" s="1"/>
  <c r="D169" i="104" a="1"/>
  <c r="D169" i="104" s="1"/>
  <c r="D168" i="104" a="1"/>
  <c r="D168" i="104" s="1"/>
  <c r="D167" i="104" a="1"/>
  <c r="D167" i="104" s="1"/>
  <c r="D164" i="104" a="1"/>
  <c r="D164" i="104" s="1"/>
  <c r="D163" i="104" a="1"/>
  <c r="D163" i="104" s="1"/>
  <c r="D162" i="104"/>
  <c r="D162" i="104" a="1"/>
  <c r="D161" i="104" a="1"/>
  <c r="D161" i="104" s="1"/>
  <c r="E158" i="104" a="1"/>
  <c r="E158" i="104" s="1"/>
  <c r="D158" i="104" a="1"/>
  <c r="D158" i="104" s="1"/>
  <c r="E157" i="104" a="1"/>
  <c r="E157" i="104" s="1"/>
  <c r="D157" i="104" a="1"/>
  <c r="D157" i="104" s="1"/>
  <c r="E156" i="104" a="1"/>
  <c r="E156" i="104" s="1"/>
  <c r="D156" i="104" a="1"/>
  <c r="D156" i="104" s="1"/>
  <c r="E155" i="104" a="1"/>
  <c r="E155" i="104" s="1"/>
  <c r="D155" i="104" a="1"/>
  <c r="D155" i="104" s="1"/>
  <c r="E154" i="104" a="1"/>
  <c r="E154" i="104" s="1"/>
  <c r="D154" i="104" a="1"/>
  <c r="D154" i="104" s="1"/>
  <c r="D151" i="104" a="1"/>
  <c r="D151" i="104" s="1"/>
  <c r="D150" i="104" a="1"/>
  <c r="D150" i="104" s="1"/>
  <c r="E147" i="104" a="1"/>
  <c r="E147" i="104" s="1"/>
  <c r="D147" i="104" a="1"/>
  <c r="D147" i="104" s="1"/>
  <c r="E146" i="104" a="1"/>
  <c r="E146" i="104" s="1"/>
  <c r="D146" i="104" a="1"/>
  <c r="D146" i="104" s="1"/>
  <c r="E145" i="104" a="1"/>
  <c r="E145" i="104" s="1"/>
  <c r="D145" i="104" a="1"/>
  <c r="D145" i="104" s="1"/>
  <c r="E144" i="104" a="1"/>
  <c r="E144" i="104" s="1"/>
  <c r="D144" i="104" a="1"/>
  <c r="D144" i="104" s="1"/>
  <c r="E143" i="104" a="1"/>
  <c r="E143" i="104" s="1"/>
  <c r="D143" i="104" a="1"/>
  <c r="D143" i="104" s="1"/>
  <c r="D141" i="104" a="1"/>
  <c r="D141" i="104" s="1"/>
  <c r="D140" i="104"/>
  <c r="D140" i="104" a="1"/>
  <c r="D139" i="104" a="1"/>
  <c r="D139" i="104" s="1"/>
  <c r="E136" i="104" a="1"/>
  <c r="E136" i="104" s="1"/>
  <c r="D136" i="104" a="1"/>
  <c r="D136" i="104" s="1"/>
  <c r="E135" i="104" a="1"/>
  <c r="E135" i="104" s="1"/>
  <c r="D135" i="104" a="1"/>
  <c r="D135" i="104" s="1"/>
  <c r="D133" i="104" a="1"/>
  <c r="D133" i="104" s="1"/>
  <c r="D132" i="104" a="1"/>
  <c r="D132" i="104" s="1"/>
  <c r="E129" i="104" a="1"/>
  <c r="E129" i="104" s="1"/>
  <c r="D129" i="104" a="1"/>
  <c r="D129" i="104" s="1"/>
  <c r="E128" i="104" a="1"/>
  <c r="E128" i="104" s="1"/>
  <c r="D128" i="104" a="1"/>
  <c r="D128" i="104" s="1"/>
  <c r="D125" i="104" a="1"/>
  <c r="D125" i="104" s="1"/>
  <c r="D124" i="104" a="1"/>
  <c r="D124" i="104" s="1"/>
  <c r="G121" i="104" a="1"/>
  <c r="G121" i="104" s="1"/>
  <c r="F121" i="104" a="1"/>
  <c r="F121" i="104" s="1"/>
  <c r="E121" i="104" a="1"/>
  <c r="E121" i="104" s="1"/>
  <c r="D121" i="104" a="1"/>
  <c r="D121" i="104" s="1"/>
  <c r="G120" i="104" a="1"/>
  <c r="G120" i="104" s="1"/>
  <c r="F120" i="104" a="1"/>
  <c r="F120" i="104" s="1"/>
  <c r="E120" i="104" a="1"/>
  <c r="E120" i="104" s="1"/>
  <c r="D120" i="104" a="1"/>
  <c r="D120" i="104" s="1"/>
  <c r="D117" i="104" a="1"/>
  <c r="D117" i="104" s="1"/>
  <c r="D116" i="104" a="1"/>
  <c r="D116" i="104" s="1"/>
  <c r="D115" i="104"/>
  <c r="D115" i="104" a="1"/>
  <c r="G112" i="104" a="1"/>
  <c r="G112" i="104" s="1"/>
  <c r="F112" i="104" a="1"/>
  <c r="F112" i="104" s="1"/>
  <c r="E112" i="104" a="1"/>
  <c r="E112" i="104" s="1"/>
  <c r="D112" i="104" a="1"/>
  <c r="D112" i="104" s="1"/>
  <c r="G111" i="104" a="1"/>
  <c r="G111" i="104" s="1"/>
  <c r="F111" i="104" a="1"/>
  <c r="F111" i="104" s="1"/>
  <c r="E111" i="104" a="1"/>
  <c r="E111" i="104" s="1"/>
  <c r="D111" i="104" a="1"/>
  <c r="D111" i="104" s="1"/>
  <c r="G110" i="104" a="1"/>
  <c r="G110" i="104" s="1"/>
  <c r="F110" i="104" a="1"/>
  <c r="F110" i="104" s="1"/>
  <c r="E110" i="104" a="1"/>
  <c r="E110" i="104" s="1"/>
  <c r="D110" i="104" a="1"/>
  <c r="D110" i="104" s="1"/>
  <c r="D107" i="104" a="1"/>
  <c r="D107" i="104" s="1"/>
  <c r="D106" i="104" a="1"/>
  <c r="D106" i="104" s="1"/>
  <c r="D105" i="104" a="1"/>
  <c r="D105" i="104" s="1"/>
  <c r="D98" i="104" a="1"/>
  <c r="D98" i="104" s="1"/>
  <c r="S97" i="104" a="1"/>
  <c r="S97" i="104" s="1"/>
  <c r="R97" i="104" a="1"/>
  <c r="R97" i="104" s="1"/>
  <c r="Q97" i="104" a="1"/>
  <c r="Q97" i="104" s="1"/>
  <c r="P97" i="104" a="1"/>
  <c r="P97" i="104" s="1"/>
  <c r="O97" i="104" a="1"/>
  <c r="O97" i="104" s="1"/>
  <c r="N97" i="104" a="1"/>
  <c r="N97" i="104" s="1"/>
  <c r="M97" i="104" a="1"/>
  <c r="M97" i="104" s="1"/>
  <c r="L97" i="104" a="1"/>
  <c r="L97" i="104" s="1"/>
  <c r="K97" i="104" a="1"/>
  <c r="K97" i="104" s="1"/>
  <c r="J97" i="104" a="1"/>
  <c r="J97" i="104" s="1"/>
  <c r="I97" i="104" a="1"/>
  <c r="I97" i="104" s="1"/>
  <c r="H97" i="104" a="1"/>
  <c r="H97" i="104" s="1"/>
  <c r="G97" i="104" a="1"/>
  <c r="G97" i="104" s="1"/>
  <c r="F97" i="104" a="1"/>
  <c r="F97" i="104" s="1"/>
  <c r="E97" i="104" a="1"/>
  <c r="E97" i="104" s="1"/>
  <c r="D97" i="104" a="1"/>
  <c r="D97" i="104" s="1"/>
  <c r="S96" i="104" a="1"/>
  <c r="S96" i="104" s="1"/>
  <c r="R96" i="104" a="1"/>
  <c r="R96" i="104" s="1"/>
  <c r="Q96" i="104" a="1"/>
  <c r="Q96" i="104" s="1"/>
  <c r="P96" i="104" a="1"/>
  <c r="P96" i="104" s="1"/>
  <c r="O96" i="104" a="1"/>
  <c r="O96" i="104" s="1"/>
  <c r="N96" i="104" a="1"/>
  <c r="N96" i="104" s="1"/>
  <c r="M96" i="104" a="1"/>
  <c r="M96" i="104" s="1"/>
  <c r="L96" i="104" a="1"/>
  <c r="L96" i="104" s="1"/>
  <c r="K96" i="104" a="1"/>
  <c r="K96" i="104" s="1"/>
  <c r="J96" i="104" a="1"/>
  <c r="J96" i="104" s="1"/>
  <c r="I96" i="104" a="1"/>
  <c r="I96" i="104" s="1"/>
  <c r="H96" i="104" a="1"/>
  <c r="H96" i="104" s="1"/>
  <c r="G96" i="104" a="1"/>
  <c r="G96" i="104" s="1"/>
  <c r="F96" i="104" a="1"/>
  <c r="F96" i="104" s="1"/>
  <c r="E96" i="104" a="1"/>
  <c r="E96" i="104" s="1"/>
  <c r="D96" i="104" a="1"/>
  <c r="D96" i="104" s="1"/>
  <c r="S95" i="104" a="1"/>
  <c r="S95" i="104" s="1"/>
  <c r="R95" i="104" a="1"/>
  <c r="R95" i="104" s="1"/>
  <c r="Q95" i="104" a="1"/>
  <c r="Q95" i="104" s="1"/>
  <c r="P95" i="104" a="1"/>
  <c r="P95" i="104" s="1"/>
  <c r="O95" i="104" a="1"/>
  <c r="O95" i="104" s="1"/>
  <c r="N95" i="104" a="1"/>
  <c r="N95" i="104" s="1"/>
  <c r="M95" i="104" a="1"/>
  <c r="M95" i="104" s="1"/>
  <c r="L95" i="104" a="1"/>
  <c r="L95" i="104" s="1"/>
  <c r="K95" i="104" a="1"/>
  <c r="K95" i="104" s="1"/>
  <c r="J95" i="104" a="1"/>
  <c r="J95" i="104" s="1"/>
  <c r="I95" i="104" a="1"/>
  <c r="I95" i="104" s="1"/>
  <c r="H95" i="104" a="1"/>
  <c r="H95" i="104" s="1"/>
  <c r="G95" i="104" a="1"/>
  <c r="G95" i="104" s="1"/>
  <c r="F95" i="104" a="1"/>
  <c r="F95" i="104" s="1"/>
  <c r="E95" i="104" a="1"/>
  <c r="E95" i="104" s="1"/>
  <c r="D95" i="104" a="1"/>
  <c r="D95" i="104" s="1"/>
  <c r="S94" i="104" a="1"/>
  <c r="S94" i="104" s="1"/>
  <c r="R94" i="104" a="1"/>
  <c r="R94" i="104" s="1"/>
  <c r="Q94" i="104" a="1"/>
  <c r="Q94" i="104" s="1"/>
  <c r="P94" i="104" a="1"/>
  <c r="P94" i="104" s="1"/>
  <c r="O94" i="104" a="1"/>
  <c r="O94" i="104" s="1"/>
  <c r="N94" i="104" a="1"/>
  <c r="N94" i="104" s="1"/>
  <c r="M94" i="104" a="1"/>
  <c r="M94" i="104" s="1"/>
  <c r="L94" i="104" a="1"/>
  <c r="L94" i="104" s="1"/>
  <c r="K94" i="104" a="1"/>
  <c r="K94" i="104" s="1"/>
  <c r="J94" i="104" a="1"/>
  <c r="J94" i="104" s="1"/>
  <c r="I94" i="104" a="1"/>
  <c r="I94" i="104" s="1"/>
  <c r="H94" i="104" a="1"/>
  <c r="H94" i="104" s="1"/>
  <c r="G94" i="104" a="1"/>
  <c r="G94" i="104" s="1"/>
  <c r="F94" i="104" a="1"/>
  <c r="F94" i="104" s="1"/>
  <c r="E94" i="104" a="1"/>
  <c r="E94" i="104" s="1"/>
  <c r="D94" i="104" a="1"/>
  <c r="D94" i="104" s="1"/>
  <c r="S93" i="104" a="1"/>
  <c r="S93" i="104" s="1"/>
  <c r="R93" i="104" a="1"/>
  <c r="R93" i="104" s="1"/>
  <c r="Q93" i="104" a="1"/>
  <c r="Q93" i="104" s="1"/>
  <c r="P93" i="104" a="1"/>
  <c r="P93" i="104" s="1"/>
  <c r="O93" i="104" a="1"/>
  <c r="O93" i="104" s="1"/>
  <c r="N93" i="104" a="1"/>
  <c r="N93" i="104" s="1"/>
  <c r="M93" i="104" a="1"/>
  <c r="M93" i="104" s="1"/>
  <c r="L93" i="104" a="1"/>
  <c r="L93" i="104" s="1"/>
  <c r="K93" i="104" a="1"/>
  <c r="K93" i="104" s="1"/>
  <c r="J93" i="104" a="1"/>
  <c r="J93" i="104" s="1"/>
  <c r="I93" i="104" a="1"/>
  <c r="I93" i="104" s="1"/>
  <c r="H93" i="104" a="1"/>
  <c r="H93" i="104" s="1"/>
  <c r="G93" i="104" a="1"/>
  <c r="G93" i="104" s="1"/>
  <c r="F93" i="104" a="1"/>
  <c r="F93" i="104" s="1"/>
  <c r="E93" i="104" a="1"/>
  <c r="E93" i="104" s="1"/>
  <c r="D93" i="104" a="1"/>
  <c r="D93" i="104" s="1"/>
  <c r="S92" i="104" a="1"/>
  <c r="S92" i="104" s="1"/>
  <c r="R92" i="104" a="1"/>
  <c r="R92" i="104" s="1"/>
  <c r="Q92" i="104" a="1"/>
  <c r="Q92" i="104" s="1"/>
  <c r="P92" i="104" a="1"/>
  <c r="P92" i="104" s="1"/>
  <c r="O92" i="104" a="1"/>
  <c r="O92" i="104" s="1"/>
  <c r="N92" i="104" a="1"/>
  <c r="N92" i="104" s="1"/>
  <c r="M92" i="104" a="1"/>
  <c r="M92" i="104" s="1"/>
  <c r="L92" i="104" a="1"/>
  <c r="L92" i="104" s="1"/>
  <c r="K92" i="104" a="1"/>
  <c r="K92" i="104" s="1"/>
  <c r="J92" i="104" a="1"/>
  <c r="J92" i="104" s="1"/>
  <c r="I92" i="104" a="1"/>
  <c r="I92" i="104" s="1"/>
  <c r="H92" i="104" a="1"/>
  <c r="H92" i="104" s="1"/>
  <c r="G92" i="104" a="1"/>
  <c r="G92" i="104" s="1"/>
  <c r="F92" i="104" a="1"/>
  <c r="F92" i="104" s="1"/>
  <c r="E92" i="104" a="1"/>
  <c r="E92" i="104" s="1"/>
  <c r="D92" i="104" a="1"/>
  <c r="D92" i="104" s="1"/>
  <c r="S91" i="104" a="1"/>
  <c r="S91" i="104" s="1"/>
  <c r="R91" i="104" a="1"/>
  <c r="R91" i="104" s="1"/>
  <c r="Q91" i="104" a="1"/>
  <c r="Q91" i="104" s="1"/>
  <c r="P91" i="104" a="1"/>
  <c r="P91" i="104" s="1"/>
  <c r="O91" i="104" a="1"/>
  <c r="O91" i="104" s="1"/>
  <c r="N91" i="104" a="1"/>
  <c r="N91" i="104" s="1"/>
  <c r="M91" i="104" a="1"/>
  <c r="M91" i="104" s="1"/>
  <c r="L91" i="104" a="1"/>
  <c r="L91" i="104" s="1"/>
  <c r="K91" i="104" a="1"/>
  <c r="K91" i="104" s="1"/>
  <c r="J91" i="104" a="1"/>
  <c r="J91" i="104" s="1"/>
  <c r="I91" i="104" a="1"/>
  <c r="I91" i="104" s="1"/>
  <c r="H91" i="104" a="1"/>
  <c r="H91" i="104" s="1"/>
  <c r="G91" i="104" a="1"/>
  <c r="G91" i="104" s="1"/>
  <c r="F91" i="104" a="1"/>
  <c r="F91" i="104" s="1"/>
  <c r="E91" i="104" a="1"/>
  <c r="E91" i="104" s="1"/>
  <c r="D91" i="104" a="1"/>
  <c r="D91" i="104" s="1"/>
  <c r="S90" i="104" a="1"/>
  <c r="S90" i="104" s="1"/>
  <c r="R90" i="104" a="1"/>
  <c r="R90" i="104" s="1"/>
  <c r="Q90" i="104" a="1"/>
  <c r="Q90" i="104" s="1"/>
  <c r="P90" i="104" a="1"/>
  <c r="P90" i="104" s="1"/>
  <c r="O90" i="104" a="1"/>
  <c r="O90" i="104" s="1"/>
  <c r="N90" i="104" a="1"/>
  <c r="N90" i="104" s="1"/>
  <c r="M90" i="104" a="1"/>
  <c r="M90" i="104" s="1"/>
  <c r="L90" i="104" a="1"/>
  <c r="L90" i="104" s="1"/>
  <c r="K90" i="104" a="1"/>
  <c r="K90" i="104" s="1"/>
  <c r="J90" i="104" a="1"/>
  <c r="J90" i="104" s="1"/>
  <c r="I90" i="104" a="1"/>
  <c r="I90" i="104" s="1"/>
  <c r="H90" i="104" a="1"/>
  <c r="H90" i="104" s="1"/>
  <c r="G90" i="104" a="1"/>
  <c r="G90" i="104" s="1"/>
  <c r="F90" i="104" a="1"/>
  <c r="F90" i="104" s="1"/>
  <c r="E90" i="104" a="1"/>
  <c r="E90" i="104" s="1"/>
  <c r="D90" i="104" a="1"/>
  <c r="D90" i="104" s="1"/>
  <c r="D83" i="104" a="1"/>
  <c r="D83" i="104" s="1"/>
  <c r="D82" i="104" a="1"/>
  <c r="D82" i="104" s="1"/>
  <c r="D81" i="104" a="1"/>
  <c r="D81" i="104" s="1"/>
  <c r="E77" i="104" a="1"/>
  <c r="E77" i="104" s="1"/>
  <c r="D77" i="104" a="1"/>
  <c r="D77" i="104" s="1"/>
  <c r="E76" i="104" a="1"/>
  <c r="E76" i="104" s="1"/>
  <c r="D76" i="104" a="1"/>
  <c r="D76" i="104" s="1"/>
  <c r="E75" i="104" a="1"/>
  <c r="E75" i="104" s="1"/>
  <c r="D75" i="104" a="1"/>
  <c r="D75" i="104" s="1"/>
  <c r="E74" i="104" a="1"/>
  <c r="E74" i="104" s="1"/>
  <c r="D74" i="104" a="1"/>
  <c r="D74" i="104" s="1"/>
  <c r="E73" i="104" a="1"/>
  <c r="E73" i="104" s="1"/>
  <c r="D73" i="104" a="1"/>
  <c r="D73" i="104" s="1"/>
  <c r="E72" i="104" a="1"/>
  <c r="E72" i="104" s="1"/>
  <c r="D72" i="104" a="1"/>
  <c r="D72" i="104" s="1"/>
  <c r="E71" i="104" a="1"/>
  <c r="E71" i="104" s="1"/>
  <c r="D71" i="104" a="1"/>
  <c r="D71" i="104" s="1"/>
  <c r="E70" i="104" a="1"/>
  <c r="E70" i="104" s="1"/>
  <c r="D70" i="104" a="1"/>
  <c r="D70" i="104" s="1"/>
  <c r="E69" i="104" a="1"/>
  <c r="E69" i="104" s="1"/>
  <c r="D69" i="104" a="1"/>
  <c r="D69" i="104" s="1"/>
  <c r="E68" i="104" a="1"/>
  <c r="E68" i="104" s="1"/>
  <c r="D68" i="104" a="1"/>
  <c r="D68" i="104" s="1"/>
  <c r="E67" i="104" a="1"/>
  <c r="E67" i="104" s="1"/>
  <c r="D67" i="104" a="1"/>
  <c r="D67" i="104" s="1"/>
  <c r="E66" i="104" a="1"/>
  <c r="E66" i="104" s="1"/>
  <c r="D66" i="104" a="1"/>
  <c r="D66" i="104" s="1"/>
  <c r="E65" i="104" a="1"/>
  <c r="E65" i="104" s="1"/>
  <c r="D65" i="104" a="1"/>
  <c r="D65" i="104" s="1"/>
  <c r="E64" i="104" a="1"/>
  <c r="E64" i="104" s="1"/>
  <c r="D64" i="104" a="1"/>
  <c r="D64" i="104" s="1"/>
  <c r="D59" i="104" a="1"/>
  <c r="D59" i="104" s="1"/>
  <c r="D58" i="104" a="1"/>
  <c r="D58" i="104" s="1"/>
  <c r="D57" i="104" a="1"/>
  <c r="D57" i="104" s="1"/>
  <c r="G54" i="104" a="1"/>
  <c r="G54" i="104" s="1"/>
  <c r="F54" i="104" a="1"/>
  <c r="F54" i="104" s="1"/>
  <c r="E54" i="104" a="1"/>
  <c r="E54" i="104" s="1"/>
  <c r="D54" i="104" a="1"/>
  <c r="D54" i="104" s="1"/>
  <c r="G53" i="104" a="1"/>
  <c r="G53" i="104" s="1"/>
  <c r="F53" i="104" a="1"/>
  <c r="F53" i="104" s="1"/>
  <c r="E53" i="104" a="1"/>
  <c r="E53" i="104" s="1"/>
  <c r="D53" i="104" a="1"/>
  <c r="D53" i="104" s="1"/>
  <c r="G52" i="104" a="1"/>
  <c r="G52" i="104" s="1"/>
  <c r="F52" i="104" a="1"/>
  <c r="F52" i="104" s="1"/>
  <c r="E52" i="104" a="1"/>
  <c r="E52" i="104" s="1"/>
  <c r="D52" i="104" a="1"/>
  <c r="D52" i="104" s="1"/>
  <c r="G51" i="104" a="1"/>
  <c r="G51" i="104" s="1"/>
  <c r="F51" i="104" a="1"/>
  <c r="F51" i="104" s="1"/>
  <c r="E51" i="104" a="1"/>
  <c r="E51" i="104" s="1"/>
  <c r="D51" i="104" a="1"/>
  <c r="D51" i="104" s="1"/>
  <c r="G50" i="104" a="1"/>
  <c r="G50" i="104" s="1"/>
  <c r="F50" i="104" a="1"/>
  <c r="F50" i="104" s="1"/>
  <c r="E50" i="104" a="1"/>
  <c r="E50" i="104" s="1"/>
  <c r="D50" i="104" a="1"/>
  <c r="D50" i="104" s="1"/>
  <c r="G49" i="104" a="1"/>
  <c r="G49" i="104" s="1"/>
  <c r="F49" i="104" a="1"/>
  <c r="F49" i="104" s="1"/>
  <c r="E49" i="104" a="1"/>
  <c r="E49" i="104" s="1"/>
  <c r="D49" i="104" a="1"/>
  <c r="D49" i="104" s="1"/>
  <c r="G48" i="104" a="1"/>
  <c r="G48" i="104" s="1"/>
  <c r="F48" i="104" a="1"/>
  <c r="F48" i="104" s="1"/>
  <c r="E48" i="104" a="1"/>
  <c r="E48" i="104" s="1"/>
  <c r="D48" i="104" a="1"/>
  <c r="D48" i="104" s="1"/>
  <c r="D46" i="104" a="1"/>
  <c r="D46" i="104" s="1"/>
  <c r="D45" i="104" a="1"/>
  <c r="D45" i="104" s="1"/>
  <c r="E43" i="104" a="1"/>
  <c r="E43" i="104" s="1"/>
  <c r="D43" i="104" a="1"/>
  <c r="D43" i="104" s="1"/>
  <c r="E42" i="104" a="1"/>
  <c r="E42" i="104" s="1"/>
  <c r="D42" i="104" a="1"/>
  <c r="D42" i="104" s="1"/>
  <c r="E41" i="104" a="1"/>
  <c r="E41" i="104" s="1"/>
  <c r="D41" i="104" a="1"/>
  <c r="D41" i="104" s="1"/>
  <c r="E40" i="104" a="1"/>
  <c r="E40" i="104" s="1"/>
  <c r="D40" i="104" a="1"/>
  <c r="D40" i="104" s="1"/>
  <c r="E39" i="104" a="1"/>
  <c r="E39" i="104" s="1"/>
  <c r="D39" i="104" a="1"/>
  <c r="D39" i="104" s="1"/>
  <c r="E38" i="104" a="1"/>
  <c r="E38" i="104" s="1"/>
  <c r="D38" i="104" a="1"/>
  <c r="D38" i="104" s="1"/>
  <c r="E37" i="104" a="1"/>
  <c r="E37" i="104" s="1"/>
  <c r="D37" i="104" a="1"/>
  <c r="D37" i="104" s="1"/>
  <c r="D35" i="104" a="1"/>
  <c r="D35" i="104" s="1"/>
  <c r="D34" i="104" a="1"/>
  <c r="D34" i="104" s="1"/>
  <c r="D30" i="104" a="1"/>
  <c r="D30" i="104" s="1"/>
  <c r="D29" i="104" a="1"/>
  <c r="D29" i="104" s="1"/>
  <c r="D28" i="104" a="1"/>
  <c r="D28" i="104" s="1"/>
  <c r="D27" i="104" a="1"/>
  <c r="D27" i="104" s="1"/>
  <c r="D26" i="104" a="1"/>
  <c r="D26" i="104" s="1"/>
  <c r="D25" i="104" a="1"/>
  <c r="D25" i="104" s="1"/>
  <c r="D24" i="104" a="1"/>
  <c r="D24" i="104" s="1"/>
  <c r="D23" i="104" a="1"/>
  <c r="D23" i="104" s="1"/>
  <c r="D22" i="104" a="1"/>
  <c r="D22" i="104" s="1"/>
  <c r="D21" i="104" a="1"/>
  <c r="D21" i="104" s="1"/>
  <c r="D19" i="104"/>
  <c r="D19" i="104" a="1"/>
  <c r="D18" i="104" a="1"/>
  <c r="D18" i="104" s="1"/>
  <c r="F14" i="104" a="1"/>
  <c r="F14" i="104" s="1"/>
  <c r="E14" i="104" a="1"/>
  <c r="E14" i="104" s="1"/>
  <c r="D14" i="104" a="1"/>
  <c r="D14" i="104" s="1"/>
  <c r="F13" i="104" a="1"/>
  <c r="F13" i="104" s="1"/>
  <c r="E13" i="104" a="1"/>
  <c r="E13" i="104" s="1"/>
  <c r="D13" i="104" a="1"/>
  <c r="D13" i="104" s="1"/>
  <c r="F12" i="104" a="1"/>
  <c r="F12" i="104" s="1"/>
  <c r="E12" i="104" a="1"/>
  <c r="E12" i="104" s="1"/>
  <c r="D12" i="104" a="1"/>
  <c r="D12" i="104" s="1"/>
  <c r="F11" i="104" a="1"/>
  <c r="F11" i="104" s="1"/>
  <c r="E11" i="104" a="1"/>
  <c r="E11" i="104" s="1"/>
  <c r="D11" i="104" a="1"/>
  <c r="D11" i="104" s="1"/>
  <c r="F10" i="104" a="1"/>
  <c r="F10" i="104" s="1"/>
  <c r="E10" i="104" a="1"/>
  <c r="E10" i="104" s="1"/>
  <c r="D10" i="104" a="1"/>
  <c r="D10" i="104" s="1"/>
  <c r="F9" i="104" a="1"/>
  <c r="F9" i="104" s="1"/>
  <c r="E9" i="104" a="1"/>
  <c r="E9" i="104" s="1"/>
  <c r="D9" i="104" a="1"/>
  <c r="D9" i="104" s="1"/>
  <c r="F8" i="104" a="1"/>
  <c r="F8" i="104" s="1"/>
  <c r="E8" i="104" a="1"/>
  <c r="E8" i="104" s="1"/>
  <c r="D8" i="104" a="1"/>
  <c r="D8" i="104" s="1"/>
  <c r="F7" i="104" a="1"/>
  <c r="F7" i="104" s="1"/>
  <c r="E7" i="104" a="1"/>
  <c r="E7" i="104" s="1"/>
  <c r="D7" i="104" a="1"/>
  <c r="D7" i="104" s="1"/>
  <c r="D5" i="104" a="1"/>
  <c r="D5" i="104" s="1"/>
  <c r="O47" i="81"/>
  <c r="D47" i="81"/>
  <c r="O46" i="81"/>
  <c r="D46" i="81"/>
  <c r="O45" i="81"/>
  <c r="D45" i="81"/>
  <c r="O44" i="81"/>
  <c r="D44" i="81"/>
  <c r="O43" i="81"/>
  <c r="D43" i="81"/>
  <c r="O42" i="81"/>
  <c r="D42" i="81"/>
  <c r="O41" i="81"/>
  <c r="D41" i="81"/>
  <c r="O40" i="81"/>
  <c r="D40" i="81"/>
  <c r="O59" i="81"/>
  <c r="O58" i="81"/>
  <c r="O57" i="81"/>
  <c r="O56" i="81"/>
  <c r="O55" i="81"/>
  <c r="O54" i="81"/>
  <c r="O53" i="81"/>
  <c r="O52" i="81"/>
  <c r="D59" i="81"/>
  <c r="D58" i="81"/>
  <c r="D57" i="81"/>
  <c r="D56" i="81"/>
  <c r="D55" i="81"/>
  <c r="D54" i="81"/>
  <c r="D53" i="81"/>
  <c r="D52" i="81"/>
  <c r="H54" i="104" l="1"/>
  <c r="H52" i="104"/>
  <c r="H49" i="104"/>
  <c r="H50" i="104"/>
  <c r="H53" i="104"/>
  <c r="H48" i="104"/>
  <c r="H51" i="104"/>
  <c r="O146" i="81"/>
  <c r="D146" i="81"/>
  <c r="O145" i="81"/>
  <c r="D145" i="81"/>
  <c r="O144" i="81"/>
  <c r="D144" i="81"/>
  <c r="O143" i="81"/>
  <c r="D143" i="81"/>
  <c r="O142" i="81"/>
  <c r="D142" i="81"/>
  <c r="O141" i="81"/>
  <c r="D141" i="81"/>
  <c r="O140" i="81"/>
  <c r="D140" i="81"/>
  <c r="O139" i="81"/>
  <c r="D139" i="81"/>
  <c r="D134" i="81"/>
  <c r="D133" i="81"/>
  <c r="D132" i="81"/>
  <c r="D131" i="81"/>
  <c r="D130" i="81"/>
  <c r="D129" i="81"/>
  <c r="D128" i="81"/>
  <c r="D127" i="81"/>
  <c r="A19" i="13" l="1"/>
  <c r="A18" i="13"/>
  <c r="A22" i="13"/>
  <c r="A17" i="13"/>
  <c r="A15" i="13"/>
  <c r="A16" i="13"/>
  <c r="A14" i="13"/>
  <c r="A13" i="13"/>
  <c r="A9" i="13"/>
  <c r="A12" i="13"/>
  <c r="D248" i="69" a="1"/>
  <c r="D248" i="69" s="1"/>
  <c r="Q52" i="98" a="1"/>
  <c r="Q52" i="98" s="1"/>
  <c r="O49" i="98" a="1"/>
  <c r="O49" i="98" s="1"/>
  <c r="F52" i="98" a="1"/>
  <c r="F52" i="98" s="1"/>
  <c r="J13" i="13" s="1"/>
  <c r="D49" i="98" a="1"/>
  <c r="D49" i="98" s="1"/>
  <c r="D35" i="98" a="1"/>
  <c r="D35" i="98" s="1"/>
  <c r="E41" i="98" a="1"/>
  <c r="E41" i="98" s="1"/>
  <c r="F47" i="98" s="1"/>
  <c r="G13" i="13" s="1"/>
  <c r="E40" i="98" a="1"/>
  <c r="E40" i="98" s="1"/>
  <c r="D36" i="98" a="1"/>
  <c r="D36" i="98" s="1"/>
  <c r="O28" i="98"/>
  <c r="D28" i="98"/>
  <c r="I18" i="98"/>
  <c r="I17" i="98"/>
  <c r="I16" i="98"/>
  <c r="O23" i="98"/>
  <c r="D23" i="98"/>
  <c r="E11" i="98" a="1"/>
  <c r="E11" i="98" s="1"/>
  <c r="V23" i="98" s="1"/>
  <c r="E10" i="98" a="1"/>
  <c r="E10" i="98" s="1"/>
  <c r="D6" i="98" a="1"/>
  <c r="D6" i="98" s="1"/>
  <c r="D5" i="98" a="1"/>
  <c r="D5" i="98" s="1"/>
  <c r="Q50" i="97" a="1"/>
  <c r="Q50" i="97" s="1"/>
  <c r="O47" i="97" a="1"/>
  <c r="O47" i="97" s="1"/>
  <c r="F50" i="97" a="1"/>
  <c r="F50" i="97" s="1"/>
  <c r="J12" i="13" s="1"/>
  <c r="D47" i="97" a="1"/>
  <c r="D47" i="97" s="1"/>
  <c r="I42" i="97"/>
  <c r="I41" i="97"/>
  <c r="O38" i="97"/>
  <c r="E36" i="97" a="1"/>
  <c r="E36" i="97" s="1"/>
  <c r="F45" i="97" s="1"/>
  <c r="G12" i="13" s="1"/>
  <c r="E35" i="97" a="1"/>
  <c r="E35" i="97" s="1"/>
  <c r="D31" i="97" a="1"/>
  <c r="D31" i="97" s="1"/>
  <c r="D30" i="97" a="1"/>
  <c r="D30" i="97" s="1"/>
  <c r="O24" i="97"/>
  <c r="D24" i="97"/>
  <c r="D215" i="79" a="1"/>
  <c r="D215" i="79" s="1"/>
  <c r="I14" i="97" s="1"/>
  <c r="D214" i="79" a="1"/>
  <c r="D214" i="79" s="1"/>
  <c r="D213" i="79" a="1"/>
  <c r="D213" i="79" s="1"/>
  <c r="D212" i="79" a="1"/>
  <c r="D212" i="79" s="1"/>
  <c r="D211" i="79" a="1"/>
  <c r="D211" i="79" s="1"/>
  <c r="O19" i="97"/>
  <c r="D19" i="97"/>
  <c r="E11" i="97" a="1"/>
  <c r="E11" i="97" s="1"/>
  <c r="V19" i="97" s="1"/>
  <c r="E10" i="97" a="1"/>
  <c r="E10" i="97" s="1"/>
  <c r="D6" i="97" a="1"/>
  <c r="D6" i="97" s="1"/>
  <c r="D5" i="97" a="1"/>
  <c r="D5" i="97" s="1"/>
  <c r="Q58" i="96" a="1"/>
  <c r="Q58" i="96" s="1"/>
  <c r="O55" i="96" a="1"/>
  <c r="O55" i="96" s="1"/>
  <c r="F58" i="96" a="1"/>
  <c r="F58" i="96" s="1"/>
  <c r="J11" i="13" s="1"/>
  <c r="D55" i="96" a="1"/>
  <c r="D55" i="96" s="1"/>
  <c r="O51" i="96"/>
  <c r="D51" i="96"/>
  <c r="D35" i="96" a="1"/>
  <c r="D35" i="96" s="1"/>
  <c r="D36" i="96" a="1"/>
  <c r="D36" i="96" s="1"/>
  <c r="O31" i="96"/>
  <c r="D31" i="96"/>
  <c r="O25" i="96"/>
  <c r="D25" i="96"/>
  <c r="E11" i="96" a="1"/>
  <c r="E11" i="96" s="1"/>
  <c r="K31" i="96" s="1"/>
  <c r="E10" i="96" a="1"/>
  <c r="E10" i="96" s="1"/>
  <c r="D6" i="96" a="1"/>
  <c r="D6" i="96" s="1"/>
  <c r="D5" i="96" a="1"/>
  <c r="D5" i="96" s="1"/>
  <c r="E41" i="96" a="1"/>
  <c r="E41" i="96" s="1"/>
  <c r="Q53" i="96" s="1"/>
  <c r="E40" i="96" a="1"/>
  <c r="E40" i="96" s="1"/>
  <c r="O113" i="81"/>
  <c r="O112" i="81"/>
  <c r="O111" i="81"/>
  <c r="O110" i="81"/>
  <c r="O109" i="81"/>
  <c r="O108" i="81"/>
  <c r="O107" i="81"/>
  <c r="O106" i="81"/>
  <c r="D113" i="81"/>
  <c r="D112" i="81"/>
  <c r="D111" i="81"/>
  <c r="D110" i="81"/>
  <c r="D109" i="81"/>
  <c r="D108" i="81"/>
  <c r="D107" i="81"/>
  <c r="D106" i="81"/>
  <c r="E95" i="81" a="1"/>
  <c r="E95" i="81" s="1"/>
  <c r="E94" i="81" a="1"/>
  <c r="E94" i="81" s="1"/>
  <c r="D90" i="81" a="1"/>
  <c r="D90" i="81" s="1"/>
  <c r="D89" i="81" a="1"/>
  <c r="D89" i="81" s="1"/>
  <c r="O83" i="81"/>
  <c r="O82" i="81"/>
  <c r="O81" i="81"/>
  <c r="O80" i="81"/>
  <c r="O79" i="81"/>
  <c r="O78" i="81"/>
  <c r="O77" i="81"/>
  <c r="O76" i="81"/>
  <c r="D83" i="81"/>
  <c r="D82" i="81"/>
  <c r="D81" i="81"/>
  <c r="D80" i="81"/>
  <c r="D79" i="81"/>
  <c r="D78" i="81"/>
  <c r="D77" i="81"/>
  <c r="D76" i="81"/>
  <c r="D71" i="81"/>
  <c r="D70" i="81"/>
  <c r="D69" i="81"/>
  <c r="D68" i="81"/>
  <c r="D67" i="81"/>
  <c r="D66" i="81"/>
  <c r="D65" i="81"/>
  <c r="D64" i="81"/>
  <c r="E11" i="81" a="1"/>
  <c r="E11" i="81" s="1"/>
  <c r="E10" i="81" a="1"/>
  <c r="E10" i="81" s="1"/>
  <c r="D6" i="81" a="1"/>
  <c r="D6" i="81" s="1"/>
  <c r="D119" i="81" s="1"/>
  <c r="D5" i="81" a="1"/>
  <c r="D5" i="81" s="1"/>
  <c r="D209" i="79" a="1"/>
  <c r="D209" i="79" s="1"/>
  <c r="J15" i="95" s="1"/>
  <c r="D208" i="79" a="1"/>
  <c r="D208" i="79" s="1"/>
  <c r="D207" i="79" a="1"/>
  <c r="D207" i="79" s="1"/>
  <c r="D206" i="79" a="1"/>
  <c r="D206" i="79" s="1"/>
  <c r="D205" i="79" a="1"/>
  <c r="D205" i="79" s="1"/>
  <c r="D202" i="79" a="1"/>
  <c r="D202" i="79" s="1"/>
  <c r="I43" i="95" s="1"/>
  <c r="D201" i="79" a="1"/>
  <c r="D201" i="79" s="1"/>
  <c r="D200" i="79" a="1"/>
  <c r="D200" i="79" s="1"/>
  <c r="D199" i="79" a="1"/>
  <c r="D199" i="79" s="1"/>
  <c r="D198" i="79" a="1"/>
  <c r="D198" i="79" s="1"/>
  <c r="Q57" i="95" a="1"/>
  <c r="Q57" i="95" s="1"/>
  <c r="O54" i="95" a="1"/>
  <c r="O54" i="95" s="1"/>
  <c r="F57" i="95" a="1"/>
  <c r="F57" i="95" s="1"/>
  <c r="J10" i="13" s="1"/>
  <c r="D54" i="95" a="1"/>
  <c r="D54" i="95" s="1"/>
  <c r="O50" i="95"/>
  <c r="O49" i="95"/>
  <c r="D50" i="95"/>
  <c r="D49" i="95"/>
  <c r="E40" i="95" a="1"/>
  <c r="E40" i="95" s="1"/>
  <c r="K49" i="95" s="1"/>
  <c r="E39" i="95" a="1"/>
  <c r="E39" i="95" s="1"/>
  <c r="D35" i="95" a="1"/>
  <c r="D35" i="95" s="1"/>
  <c r="D34" i="95" a="1"/>
  <c r="D34" i="95" s="1"/>
  <c r="O30" i="95"/>
  <c r="O29" i="95"/>
  <c r="O24" i="95"/>
  <c r="O23" i="95"/>
  <c r="D30" i="95"/>
  <c r="D29" i="95"/>
  <c r="D24" i="95"/>
  <c r="D23" i="95"/>
  <c r="E55" i="82" a="1"/>
  <c r="E36" i="95" a="1"/>
  <c r="E7" i="97" a="1"/>
  <c r="E91" i="81" a="1"/>
  <c r="E7" i="98" a="1"/>
  <c r="E37" i="96" a="1"/>
  <c r="E7" i="81" a="1"/>
  <c r="E7" i="95" a="1"/>
  <c r="E37" i="98" a="1"/>
  <c r="E32" i="97" a="1"/>
  <c r="E7" i="96" a="1"/>
  <c r="I14" i="98" l="1"/>
  <c r="I39" i="97"/>
  <c r="F148" i="81"/>
  <c r="K142" i="81"/>
  <c r="V139" i="81"/>
  <c r="K144" i="81"/>
  <c r="K140" i="81"/>
  <c r="K146" i="81"/>
  <c r="K139" i="81"/>
  <c r="K141" i="81"/>
  <c r="K143" i="81"/>
  <c r="K145" i="81"/>
  <c r="Q148" i="81"/>
  <c r="Q47" i="98"/>
  <c r="P38" i="97"/>
  <c r="I15" i="98"/>
  <c r="K28" i="98"/>
  <c r="V28" i="98"/>
  <c r="J44" i="98"/>
  <c r="F30" i="98"/>
  <c r="F26" i="97"/>
  <c r="Q45" i="97"/>
  <c r="Q30" i="98"/>
  <c r="Q26" i="97"/>
  <c r="E55" i="82"/>
  <c r="E37" i="98"/>
  <c r="E32" i="97"/>
  <c r="E7" i="98"/>
  <c r="K23" i="98"/>
  <c r="V24" i="97"/>
  <c r="K51" i="96"/>
  <c r="V51" i="96"/>
  <c r="K24" i="97"/>
  <c r="E7" i="97"/>
  <c r="K19" i="97"/>
  <c r="V31" i="96"/>
  <c r="F53" i="96"/>
  <c r="G11" i="13" s="1"/>
  <c r="E37" i="96"/>
  <c r="E7" i="96"/>
  <c r="V49" i="95"/>
  <c r="Q52" i="95"/>
  <c r="F52" i="95"/>
  <c r="G10" i="13" s="1"/>
  <c r="Q115" i="81"/>
  <c r="F85" i="81"/>
  <c r="F115" i="81"/>
  <c r="K76" i="81"/>
  <c r="K106" i="81"/>
  <c r="E91" i="81"/>
  <c r="E7" i="81"/>
  <c r="E36" i="95"/>
  <c r="E7" i="95"/>
  <c r="J18" i="95" l="1"/>
  <c r="J17" i="95"/>
  <c r="I64" i="82"/>
  <c r="I65" i="82"/>
  <c r="J16" i="95"/>
  <c r="J14" i="95" s="1"/>
  <c r="D6" i="95" a="1"/>
  <c r="D6" i="95" s="1"/>
  <c r="E11" i="95" a="1"/>
  <c r="E11" i="95" s="1"/>
  <c r="E10" i="95" a="1"/>
  <c r="E10" i="95" s="1"/>
  <c r="D5" i="95" a="1"/>
  <c r="D5" i="95" s="1"/>
  <c r="Q73" i="82" a="1"/>
  <c r="Q73" i="82" s="1"/>
  <c r="O70" i="82" a="1"/>
  <c r="O70" i="82" s="1"/>
  <c r="F73" i="82" a="1"/>
  <c r="F73" i="82" s="1"/>
  <c r="J9" i="13" s="1"/>
  <c r="D70" i="82" a="1"/>
  <c r="D70" i="82" s="1"/>
  <c r="E59" i="82" a="1"/>
  <c r="E59" i="82" s="1"/>
  <c r="F68" i="82" s="1"/>
  <c r="G9" i="13" s="1"/>
  <c r="E58" i="82" a="1"/>
  <c r="E58" i="82" s="1"/>
  <c r="D54" i="82" a="1"/>
  <c r="D54" i="82" s="1"/>
  <c r="D53" i="82" a="1"/>
  <c r="D53" i="82" s="1"/>
  <c r="O47" i="82"/>
  <c r="O46" i="82"/>
  <c r="O45" i="82"/>
  <c r="O44" i="82"/>
  <c r="O43" i="82"/>
  <c r="O42" i="82"/>
  <c r="O41" i="82"/>
  <c r="O40" i="82"/>
  <c r="D47" i="82"/>
  <c r="D46" i="82"/>
  <c r="D45" i="82"/>
  <c r="D44" i="82"/>
  <c r="D43" i="82"/>
  <c r="D42" i="82"/>
  <c r="D41" i="82"/>
  <c r="D40" i="82"/>
  <c r="O26" i="82"/>
  <c r="O25" i="82"/>
  <c r="O24" i="82"/>
  <c r="O23" i="82"/>
  <c r="O22" i="82"/>
  <c r="O21" i="82"/>
  <c r="O20" i="82"/>
  <c r="O19" i="82"/>
  <c r="D26" i="82"/>
  <c r="D25" i="82"/>
  <c r="D24" i="82"/>
  <c r="D23" i="82"/>
  <c r="D22" i="82"/>
  <c r="D21" i="82"/>
  <c r="D20" i="82"/>
  <c r="D19" i="82"/>
  <c r="D6" i="82" a="1"/>
  <c r="D6" i="82" s="1"/>
  <c r="E11" i="82" a="1"/>
  <c r="E11" i="82" s="1"/>
  <c r="E10" i="82" a="1"/>
  <c r="E10" i="82" s="1"/>
  <c r="D5" i="82" a="1"/>
  <c r="D5" i="82" s="1"/>
  <c r="P292" i="76" a="1"/>
  <c r="P292" i="76" s="1"/>
  <c r="N289" i="76" a="1"/>
  <c r="N289" i="76" s="1"/>
  <c r="N285" i="76"/>
  <c r="N284" i="76"/>
  <c r="N283" i="76"/>
  <c r="N282" i="76"/>
  <c r="N281" i="76"/>
  <c r="N280" i="76"/>
  <c r="N279" i="76"/>
  <c r="N278" i="76"/>
  <c r="F292" i="76" a="1"/>
  <c r="F292" i="76" s="1"/>
  <c r="D289" i="76" a="1"/>
  <c r="D289" i="76" s="1"/>
  <c r="D285" i="76"/>
  <c r="D284" i="76"/>
  <c r="D283" i="76"/>
  <c r="D282" i="76"/>
  <c r="D281" i="76"/>
  <c r="D280" i="76"/>
  <c r="D279" i="76"/>
  <c r="D278" i="76"/>
  <c r="E260" i="76" a="1"/>
  <c r="E260" i="76" s="1"/>
  <c r="P287" i="76" s="1"/>
  <c r="E259" i="76" a="1"/>
  <c r="E259" i="76" s="1"/>
  <c r="D255" i="76" a="1"/>
  <c r="D255" i="76" s="1"/>
  <c r="D254" i="76" a="1"/>
  <c r="D254" i="76" s="1"/>
  <c r="N250" i="76"/>
  <c r="N249" i="76"/>
  <c r="N248" i="76"/>
  <c r="N247" i="76"/>
  <c r="N246" i="76"/>
  <c r="N245" i="76"/>
  <c r="N244" i="76"/>
  <c r="N243" i="76"/>
  <c r="D250" i="76"/>
  <c r="D249" i="76"/>
  <c r="D248" i="76"/>
  <c r="D247" i="76"/>
  <c r="D246" i="76"/>
  <c r="D245" i="76"/>
  <c r="D244" i="76"/>
  <c r="D243" i="76"/>
  <c r="N238" i="76"/>
  <c r="N237" i="76"/>
  <c r="N236" i="76"/>
  <c r="N235" i="76"/>
  <c r="N234" i="76"/>
  <c r="N233" i="76"/>
  <c r="N232" i="76"/>
  <c r="N231" i="76"/>
  <c r="D238" i="76"/>
  <c r="D237" i="76"/>
  <c r="D236" i="76"/>
  <c r="D235" i="76"/>
  <c r="D234" i="76"/>
  <c r="D233" i="76"/>
  <c r="D232" i="76"/>
  <c r="D231" i="76"/>
  <c r="E223" i="76" a="1"/>
  <c r="E223" i="76" s="1"/>
  <c r="E222" i="76" a="1"/>
  <c r="E222" i="76" s="1"/>
  <c r="D218" i="76" a="1"/>
  <c r="D218" i="76" s="1"/>
  <c r="D217" i="76" a="1"/>
  <c r="D217" i="76" s="1"/>
  <c r="D182" i="76" a="1"/>
  <c r="D182" i="76" s="1"/>
  <c r="E187" i="76" a="1"/>
  <c r="E187" i="76" s="1"/>
  <c r="E186" i="76" a="1"/>
  <c r="E186" i="76" s="1"/>
  <c r="D181" i="76" a="1"/>
  <c r="D181" i="76" s="1"/>
  <c r="D180" i="76" a="1"/>
  <c r="D180" i="76" s="1"/>
  <c r="H166" i="76"/>
  <c r="G166" i="76"/>
  <c r="F166" i="76"/>
  <c r="E166" i="76"/>
  <c r="D166" i="76"/>
  <c r="H269" i="69"/>
  <c r="G269" i="69"/>
  <c r="F269" i="69"/>
  <c r="E269" i="69"/>
  <c r="D269" i="69"/>
  <c r="D152" i="76" a="1"/>
  <c r="D152" i="76" s="1"/>
  <c r="E157" i="76" a="1"/>
  <c r="E157" i="76" s="1"/>
  <c r="S176" i="76" s="1"/>
  <c r="E156" i="76" a="1"/>
  <c r="E156" i="76" s="1"/>
  <c r="D151" i="76" a="1"/>
  <c r="D151" i="76" s="1"/>
  <c r="D150" i="76" a="1"/>
  <c r="D150" i="76" s="1"/>
  <c r="E137" i="76" a="1"/>
  <c r="E137" i="76" s="1"/>
  <c r="I146" i="76" s="1"/>
  <c r="E136" i="76" a="1"/>
  <c r="E136" i="76" s="1"/>
  <c r="D131" i="76" a="1"/>
  <c r="D131" i="76" s="1"/>
  <c r="D130" i="76" a="1"/>
  <c r="D130" i="76" s="1"/>
  <c r="R121" i="76"/>
  <c r="Q121" i="76"/>
  <c r="P121" i="76"/>
  <c r="O121" i="76"/>
  <c r="N121" i="76"/>
  <c r="E113" i="76" a="1"/>
  <c r="E113" i="76" s="1"/>
  <c r="S126" i="76" s="1"/>
  <c r="E112" i="76" a="1"/>
  <c r="E112" i="76" s="1"/>
  <c r="D108" i="76" a="1"/>
  <c r="D108" i="76" s="1"/>
  <c r="D107" i="76" a="1"/>
  <c r="D107" i="76" s="1"/>
  <c r="E76" i="76" a="1"/>
  <c r="E76" i="76" s="1"/>
  <c r="I103" i="76" s="1"/>
  <c r="E75" i="76" a="1"/>
  <c r="E75" i="76" s="1"/>
  <c r="D70" i="76" a="1"/>
  <c r="D70" i="76" s="1"/>
  <c r="D69" i="76" a="1"/>
  <c r="D69" i="76" s="1"/>
  <c r="E40" i="76" a="1"/>
  <c r="E40" i="76" s="1"/>
  <c r="S65" i="76" s="1"/>
  <c r="E39" i="76" a="1"/>
  <c r="E39" i="76" s="1"/>
  <c r="D34" i="76" a="1"/>
  <c r="D34" i="76" s="1"/>
  <c r="D33" i="76" a="1"/>
  <c r="D33" i="76" s="1"/>
  <c r="E11" i="76" a="1"/>
  <c r="E11" i="76" s="1"/>
  <c r="I29" i="76" s="1"/>
  <c r="E10" i="76" a="1"/>
  <c r="E10" i="76" s="1"/>
  <c r="D6" i="76" a="1"/>
  <c r="D6" i="76" s="1"/>
  <c r="D5" i="76" a="1"/>
  <c r="D5" i="76" s="1"/>
  <c r="Q304" i="69" a="1"/>
  <c r="Q304" i="69" s="1"/>
  <c r="O301" i="69" a="1"/>
  <c r="O301" i="69" s="1"/>
  <c r="O297" i="69"/>
  <c r="O296" i="69"/>
  <c r="O295" i="69"/>
  <c r="O294" i="69"/>
  <c r="O293" i="69"/>
  <c r="O292" i="69"/>
  <c r="O291" i="69"/>
  <c r="O290" i="69"/>
  <c r="O244" i="69"/>
  <c r="O243" i="69"/>
  <c r="O242" i="69"/>
  <c r="O241" i="69"/>
  <c r="O240" i="69"/>
  <c r="O239" i="69"/>
  <c r="O238" i="69"/>
  <c r="O237" i="69"/>
  <c r="F304" i="69" a="1"/>
  <c r="F304" i="69" s="1"/>
  <c r="J7" i="13" s="1"/>
  <c r="D301" i="69" a="1"/>
  <c r="D301" i="69" s="1"/>
  <c r="D297" i="69"/>
  <c r="D296" i="69"/>
  <c r="D295" i="69"/>
  <c r="D294" i="69"/>
  <c r="D293" i="69"/>
  <c r="D292" i="69"/>
  <c r="D291" i="69"/>
  <c r="D290" i="69"/>
  <c r="E255" i="69" a="1"/>
  <c r="E255" i="69" s="1"/>
  <c r="Q299" i="69" s="1"/>
  <c r="E254" i="69" a="1"/>
  <c r="E254" i="69" s="1"/>
  <c r="D250" i="69" a="1"/>
  <c r="D250" i="69" s="1"/>
  <c r="D249" i="69" a="1"/>
  <c r="D249" i="69" s="1"/>
  <c r="D244" i="69"/>
  <c r="D243" i="69"/>
  <c r="D242" i="69"/>
  <c r="D241" i="69"/>
  <c r="D240" i="69"/>
  <c r="D239" i="69"/>
  <c r="D238" i="69"/>
  <c r="D237" i="69"/>
  <c r="D195" i="79" a="1"/>
  <c r="D195" i="79" s="1"/>
  <c r="D194" i="79" a="1"/>
  <c r="D194" i="79" s="1"/>
  <c r="D193" i="79" a="1"/>
  <c r="D193" i="79" s="1"/>
  <c r="D192" i="79" a="1"/>
  <c r="D192" i="79" s="1"/>
  <c r="D191" i="79" a="1"/>
  <c r="D191" i="79" s="1"/>
  <c r="E214" i="69" a="1"/>
  <c r="E214" i="69" s="1"/>
  <c r="D210" i="69" a="1"/>
  <c r="D210" i="69" s="1"/>
  <c r="E215" i="69" a="1"/>
  <c r="E215" i="69" s="1"/>
  <c r="D209" i="69" a="1"/>
  <c r="D209" i="69" s="1"/>
  <c r="O205" i="69"/>
  <c r="O204" i="69"/>
  <c r="O199" i="69"/>
  <c r="O198" i="69"/>
  <c r="D184" i="69" a="1"/>
  <c r="D184" i="69" s="1"/>
  <c r="D205" i="69"/>
  <c r="D204" i="69"/>
  <c r="D199" i="69"/>
  <c r="D198" i="69"/>
  <c r="E189" i="69" a="1"/>
  <c r="E189" i="69" s="1"/>
  <c r="V205" i="69" s="1"/>
  <c r="E188" i="69" a="1"/>
  <c r="E188" i="69" s="1"/>
  <c r="D183" i="69" a="1"/>
  <c r="D183" i="69" s="1"/>
  <c r="D182" i="69" a="1"/>
  <c r="D182" i="69" s="1"/>
  <c r="O178" i="69"/>
  <c r="O177" i="69"/>
  <c r="O176" i="69"/>
  <c r="O175" i="69"/>
  <c r="O174" i="69"/>
  <c r="O173" i="69"/>
  <c r="D137" i="69" a="1"/>
  <c r="D137" i="69" s="1"/>
  <c r="D178" i="69"/>
  <c r="D177" i="69"/>
  <c r="D176" i="69"/>
  <c r="D175" i="69"/>
  <c r="D174" i="69"/>
  <c r="D173" i="69"/>
  <c r="Q164" i="69"/>
  <c r="Q163" i="69"/>
  <c r="Q162" i="69"/>
  <c r="O167" i="69"/>
  <c r="O166" i="69"/>
  <c r="O165" i="69"/>
  <c r="O164" i="69"/>
  <c r="O163" i="69"/>
  <c r="O162" i="69"/>
  <c r="O156" i="69"/>
  <c r="O155" i="69"/>
  <c r="O154" i="69"/>
  <c r="O153" i="69"/>
  <c r="O152" i="69"/>
  <c r="O151" i="69"/>
  <c r="F164" i="69"/>
  <c r="F163" i="69"/>
  <c r="F162" i="69"/>
  <c r="D167" i="69"/>
  <c r="D166" i="69"/>
  <c r="D165" i="69"/>
  <c r="D164" i="69"/>
  <c r="D163" i="69"/>
  <c r="D162" i="69"/>
  <c r="D156" i="69"/>
  <c r="D155" i="69"/>
  <c r="D154" i="69"/>
  <c r="D153" i="69"/>
  <c r="D152" i="69"/>
  <c r="D151" i="69"/>
  <c r="E141" i="69" a="1"/>
  <c r="E141" i="69" s="1"/>
  <c r="E142" i="69" a="1"/>
  <c r="E142" i="69" s="1"/>
  <c r="D136" i="69" a="1"/>
  <c r="D136" i="69" s="1"/>
  <c r="D188" i="79" a="1"/>
  <c r="D188" i="79" s="1"/>
  <c r="I127" i="69" s="1"/>
  <c r="D187" i="79" a="1"/>
  <c r="D187" i="79" s="1"/>
  <c r="D186" i="79" a="1"/>
  <c r="D186" i="79" s="1"/>
  <c r="D185" i="79" a="1"/>
  <c r="D185" i="79" s="1"/>
  <c r="D184" i="79" a="1"/>
  <c r="D184" i="79" s="1"/>
  <c r="D53" i="69" a="1"/>
  <c r="D53" i="69" s="1"/>
  <c r="S18" i="69"/>
  <c r="S23" i="69" s="1" a="1"/>
  <c r="S23" i="69" s="1"/>
  <c r="R18" i="69"/>
  <c r="R23" i="69" s="1" a="1"/>
  <c r="R23" i="69" s="1"/>
  <c r="Q18" i="69"/>
  <c r="Q23" i="69" s="1" a="1"/>
  <c r="Q23" i="69" s="1"/>
  <c r="P18" i="69"/>
  <c r="P23" i="69" s="1" a="1"/>
  <c r="P23" i="69" s="1"/>
  <c r="O18" i="69"/>
  <c r="O23" i="69" s="1" a="1"/>
  <c r="O23" i="69" s="1"/>
  <c r="I13" i="69"/>
  <c r="D6" i="69" a="1"/>
  <c r="D6" i="69" s="1"/>
  <c r="E10" i="69" a="1"/>
  <c r="E10" i="69" s="1"/>
  <c r="E11" i="69" a="1"/>
  <c r="E11" i="69" s="1"/>
  <c r="D5" i="69" a="1"/>
  <c r="D5" i="69" s="1"/>
  <c r="D54" i="69" a="1"/>
  <c r="D54" i="69" s="1"/>
  <c r="D181" i="79" a="1"/>
  <c r="D181" i="79" s="1"/>
  <c r="I66" i="69" s="1"/>
  <c r="D180" i="79" a="1"/>
  <c r="D180" i="79" s="1"/>
  <c r="D179" i="79" a="1"/>
  <c r="D179" i="79" s="1"/>
  <c r="D178" i="79" a="1"/>
  <c r="D178" i="79" s="1"/>
  <c r="D177" i="79" a="1"/>
  <c r="D177" i="79" s="1"/>
  <c r="D174" i="79" a="1"/>
  <c r="D174" i="79" s="1"/>
  <c r="I65" i="69" s="1"/>
  <c r="D173" i="79" a="1"/>
  <c r="D173" i="79" s="1"/>
  <c r="D172" i="79" a="1"/>
  <c r="D172" i="79" s="1"/>
  <c r="D171" i="79" a="1"/>
  <c r="D171" i="79" s="1"/>
  <c r="D170" i="79" a="1"/>
  <c r="D170" i="79" s="1"/>
  <c r="D167" i="79" a="1"/>
  <c r="D167" i="79" s="1"/>
  <c r="I64" i="69" s="1"/>
  <c r="D166" i="79" a="1"/>
  <c r="D166" i="79" s="1"/>
  <c r="D165" i="79" a="1"/>
  <c r="D165" i="79" s="1"/>
  <c r="D164" i="79" a="1"/>
  <c r="D164" i="79" s="1"/>
  <c r="D163" i="79" a="1"/>
  <c r="D163" i="79" s="1"/>
  <c r="E58" i="69" a="1"/>
  <c r="E58" i="69" s="1"/>
  <c r="E59" i="69" a="1"/>
  <c r="E59" i="69" s="1"/>
  <c r="T78" i="69" s="1"/>
  <c r="D83" i="69" a="1"/>
  <c r="D83" i="69" s="1"/>
  <c r="E87" i="69" a="1"/>
  <c r="E87" i="69" s="1"/>
  <c r="E88" i="69" a="1"/>
  <c r="E88" i="69" s="1"/>
  <c r="I113" i="69" s="1"/>
  <c r="D82" i="69" a="1"/>
  <c r="D82" i="69" s="1"/>
  <c r="D160" i="79" a="1"/>
  <c r="D160" i="79" s="1"/>
  <c r="E37" i="70" s="1"/>
  <c r="D18" i="69" s="1"/>
  <c r="D23" i="69" s="1" a="1"/>
  <c r="D23" i="69" s="1"/>
  <c r="D159" i="79" a="1"/>
  <c r="D159" i="79" s="1"/>
  <c r="D158" i="79" a="1"/>
  <c r="D158" i="79" s="1"/>
  <c r="D157" i="79" a="1"/>
  <c r="D157" i="79" s="1"/>
  <c r="D156" i="79" a="1"/>
  <c r="D156" i="79" s="1"/>
  <c r="D150" i="79" a="1"/>
  <c r="D150" i="79" s="1"/>
  <c r="D151" i="79" a="1"/>
  <c r="D151" i="79" s="1"/>
  <c r="D152" i="79" a="1"/>
  <c r="D152" i="79" s="1"/>
  <c r="D153" i="79" a="1"/>
  <c r="D153" i="79" s="1"/>
  <c r="F38" i="70" s="1"/>
  <c r="E121" i="76" s="1"/>
  <c r="D149" i="79" a="1"/>
  <c r="D149" i="79" s="1"/>
  <c r="D118" i="69" a="1"/>
  <c r="D118" i="69" s="1"/>
  <c r="E122" i="69" a="1"/>
  <c r="E122" i="69" s="1"/>
  <c r="E123" i="69" a="1"/>
  <c r="E123" i="69" s="1"/>
  <c r="I132" i="69" s="1"/>
  <c r="D117" i="69" a="1"/>
  <c r="D117" i="69" s="1"/>
  <c r="G97" i="70"/>
  <c r="Q167" i="69" s="1"/>
  <c r="F97" i="70"/>
  <c r="F167" i="69" s="1"/>
  <c r="G96" i="70"/>
  <c r="Q166" i="69" s="1"/>
  <c r="F96" i="70"/>
  <c r="F166" i="69" s="1"/>
  <c r="G95" i="70"/>
  <c r="F95" i="70"/>
  <c r="D77" i="70"/>
  <c r="D93" i="70"/>
  <c r="E109" i="76" a="1"/>
  <c r="E219" i="76" a="1"/>
  <c r="E7" i="76" a="1"/>
  <c r="E138" i="69" a="1"/>
  <c r="E119" i="69" a="1"/>
  <c r="E183" i="76" a="1"/>
  <c r="E7" i="69" a="1"/>
  <c r="E55" i="69" a="1"/>
  <c r="E84" i="69" a="1"/>
  <c r="E72" i="76" a="1"/>
  <c r="E256" i="76" a="1"/>
  <c r="E7" i="82" a="1"/>
  <c r="E185" i="69" a="1"/>
  <c r="E153" i="76" a="1"/>
  <c r="E211" i="69" a="1"/>
  <c r="E132" i="76" a="1"/>
  <c r="E35" i="76" a="1"/>
  <c r="E251" i="69" a="1"/>
  <c r="F165" i="69" l="1"/>
  <c r="F105" i="70"/>
  <c r="E105" i="70"/>
  <c r="I105" i="70"/>
  <c r="H105" i="70"/>
  <c r="G105" i="70"/>
  <c r="Q165" i="69"/>
  <c r="I106" i="70"/>
  <c r="H106" i="70"/>
  <c r="G106" i="70"/>
  <c r="F106" i="70"/>
  <c r="E106" i="70"/>
  <c r="I62" i="82"/>
  <c r="S146" i="76"/>
  <c r="F49" i="82"/>
  <c r="Q49" i="82"/>
  <c r="O61" i="82"/>
  <c r="P61" i="82"/>
  <c r="I220" i="69"/>
  <c r="S29" i="76"/>
  <c r="S213" i="76"/>
  <c r="I213" i="76"/>
  <c r="I176" i="76"/>
  <c r="K29" i="95"/>
  <c r="S103" i="76"/>
  <c r="I126" i="76"/>
  <c r="F287" i="76"/>
  <c r="G8" i="13" s="1"/>
  <c r="T113" i="69"/>
  <c r="S50" i="76" s="1"/>
  <c r="T132" i="69"/>
  <c r="I65" i="76"/>
  <c r="F37" i="70"/>
  <c r="E18" i="69" s="1"/>
  <c r="E23" i="69" s="1" a="1"/>
  <c r="E23" i="69" s="1"/>
  <c r="E78" i="69" s="1" a="1"/>
  <c r="E78" i="69" s="1"/>
  <c r="E60" i="76" s="1"/>
  <c r="V204" i="69"/>
  <c r="K205" i="69"/>
  <c r="K204" i="69"/>
  <c r="G37" i="70"/>
  <c r="F18" i="69" s="1"/>
  <c r="F23" i="69" s="1" a="1"/>
  <c r="F23" i="69" s="1"/>
  <c r="F78" i="69" s="1" a="1"/>
  <c r="F78" i="69" s="1"/>
  <c r="F60" i="76" s="1"/>
  <c r="H37" i="70"/>
  <c r="G18" i="69" s="1"/>
  <c r="G23" i="69" s="1" a="1"/>
  <c r="G23" i="69" s="1"/>
  <c r="G78" i="69" s="1" a="1"/>
  <c r="G78" i="69" s="1"/>
  <c r="G60" i="76" s="1"/>
  <c r="G38" i="70"/>
  <c r="F121" i="76" s="1"/>
  <c r="I38" i="70"/>
  <c r="H121" i="76" s="1"/>
  <c r="H38" i="70"/>
  <c r="G121" i="76" s="1"/>
  <c r="E38" i="70"/>
  <c r="D121" i="76" s="1"/>
  <c r="I37" i="70"/>
  <c r="H18" i="69" s="1"/>
  <c r="H23" i="69" s="1" a="1"/>
  <c r="H23" i="69" s="1"/>
  <c r="H78" i="69" s="1" a="1"/>
  <c r="H78" i="69" s="1"/>
  <c r="H60" i="76" s="1"/>
  <c r="F299" i="69"/>
  <c r="G7" i="13" s="1"/>
  <c r="I23" i="69"/>
  <c r="T23" i="69"/>
  <c r="Q68" i="82"/>
  <c r="V172" i="69"/>
  <c r="V236" i="69"/>
  <c r="K236" i="69"/>
  <c r="J8" i="13"/>
  <c r="K172" i="69"/>
  <c r="E7" i="82"/>
  <c r="E256" i="76"/>
  <c r="E219" i="76"/>
  <c r="E183" i="76"/>
  <c r="E153" i="76"/>
  <c r="E132" i="76"/>
  <c r="E109" i="76"/>
  <c r="E72" i="76"/>
  <c r="E35" i="76"/>
  <c r="E7" i="76"/>
  <c r="E251" i="69"/>
  <c r="E211" i="69"/>
  <c r="E185" i="69"/>
  <c r="E138" i="69"/>
  <c r="E84" i="69"/>
  <c r="E119" i="69"/>
  <c r="R78" i="69" a="1"/>
  <c r="R78" i="69" s="1"/>
  <c r="P78" i="69" a="1"/>
  <c r="P78" i="69" s="1"/>
  <c r="S78" i="69" a="1"/>
  <c r="S78" i="69" s="1"/>
  <c r="I78" i="69"/>
  <c r="I60" i="76" s="1"/>
  <c r="D60" i="76"/>
  <c r="Q78" i="69" a="1"/>
  <c r="Q78" i="69" s="1"/>
  <c r="E55" i="69"/>
  <c r="E7" i="69"/>
  <c r="D146" i="79" l="1"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D29" i="70"/>
  <c r="D28" i="70"/>
  <c r="D24" i="70"/>
  <c r="D25" i="70"/>
  <c r="D10" i="70"/>
  <c r="E28" i="70" l="1" a="1"/>
  <c r="E28" i="70" s="1"/>
  <c r="F36" i="70" a="1"/>
  <c r="F36" i="70" s="1"/>
  <c r="I41" i="70" a="1"/>
  <c r="I41" i="70" s="1"/>
  <c r="E36" i="70" a="1"/>
  <c r="E36" i="70" s="1"/>
  <c r="H41" i="70" a="1"/>
  <c r="H41" i="70" s="1"/>
  <c r="G41" i="70" a="1"/>
  <c r="G41" i="70" s="1"/>
  <c r="F41" i="70" a="1"/>
  <c r="F41" i="70" s="1"/>
  <c r="E41" i="70" a="1"/>
  <c r="E41" i="70" s="1"/>
  <c r="I36" i="70" a="1"/>
  <c r="I36" i="70" s="1"/>
  <c r="H36" i="70" a="1"/>
  <c r="H36" i="70" s="1"/>
  <c r="G36" i="70" a="1"/>
  <c r="G36" i="70" s="1"/>
  <c r="G25" i="70" a="1"/>
  <c r="G25" i="70" s="1"/>
  <c r="G28" i="70" a="1"/>
  <c r="G28" i="70" s="1"/>
  <c r="H25" i="70" a="1"/>
  <c r="H25" i="70" s="1"/>
  <c r="H28" i="70" a="1"/>
  <c r="H28" i="70" s="1"/>
  <c r="I25" i="70" a="1"/>
  <c r="I25" i="70" s="1"/>
  <c r="F25" i="70" a="1"/>
  <c r="F25" i="70" s="1"/>
  <c r="F28" i="70" a="1"/>
  <c r="F28" i="70" s="1"/>
  <c r="E24" i="70" a="1"/>
  <c r="E24" i="70" s="1"/>
  <c r="I28" i="70" a="1"/>
  <c r="I28" i="70" s="1"/>
  <c r="F24" i="70" a="1"/>
  <c r="F24" i="70" s="1"/>
  <c r="G24" i="70" a="1"/>
  <c r="G24" i="70" s="1"/>
  <c r="H24" i="70" a="1"/>
  <c r="H24" i="70" s="1"/>
  <c r="I24" i="70" a="1"/>
  <c r="I24" i="70" s="1"/>
  <c r="E25" i="70" a="1"/>
  <c r="E25" i="70" s="1"/>
  <c r="G208" i="76" l="1"/>
  <c r="Q208" i="76"/>
  <c r="G284" i="69"/>
  <c r="P203" i="76"/>
  <c r="Q274" i="69"/>
  <c r="G29" i="70"/>
  <c r="H274" i="69"/>
  <c r="H203" i="76"/>
  <c r="F208" i="76"/>
  <c r="F284" i="69"/>
  <c r="F274" i="69"/>
  <c r="F203" i="76"/>
  <c r="E171" i="76"/>
  <c r="E274" i="69"/>
  <c r="R203" i="76"/>
  <c r="S274" i="69"/>
  <c r="I29" i="70"/>
  <c r="D274" i="69"/>
  <c r="D171" i="76"/>
  <c r="D208" i="76"/>
  <c r="N208" i="76"/>
  <c r="D284" i="69"/>
  <c r="P274" i="69"/>
  <c r="F29" i="70"/>
  <c r="P284" i="69" s="1"/>
  <c r="O171" i="76"/>
  <c r="H208" i="76"/>
  <c r="H284" i="69"/>
  <c r="G274" i="69"/>
  <c r="G171" i="76"/>
  <c r="E208" i="76"/>
  <c r="E284" i="69"/>
  <c r="O208" i="76"/>
  <c r="Q171" i="76"/>
  <c r="R274" i="69"/>
  <c r="H29" i="70"/>
  <c r="R284" i="69" s="1"/>
  <c r="N171" i="76"/>
  <c r="O274" i="69"/>
  <c r="E29" i="70"/>
  <c r="O284" i="69" s="1"/>
  <c r="P208" i="76" l="1"/>
  <c r="Q284" i="69"/>
  <c r="S284" i="69"/>
  <c r="R208" i="76"/>
  <c r="D71" i="79" l="1"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55" i="76" s="1"/>
  <c r="D108" i="79" a="1"/>
  <c r="D108" i="79" s="1"/>
  <c r="D103" i="79" a="1"/>
  <c r="D103" i="79" s="1"/>
  <c r="D95" i="79" a="1"/>
  <c r="D95" i="79" s="1"/>
  <c r="D96" i="79" a="1"/>
  <c r="D96" i="79" s="1"/>
  <c r="D97" i="79" a="1"/>
  <c r="D97" i="79" s="1"/>
  <c r="D100" i="79" a="1"/>
  <c r="D100" i="79" s="1"/>
  <c r="E100" i="79" a="1"/>
  <c r="E100" i="79" s="1"/>
  <c r="E99" i="79" a="1"/>
  <c r="E99" i="7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H198" i="76" s="1"/>
  <c r="F64" i="79" a="1"/>
  <c r="F64" i="79" s="1"/>
  <c r="E64" i="79" a="1"/>
  <c r="E64" i="79" s="1"/>
  <c r="H279" i="69" s="1"/>
  <c r="D64" i="79" a="1"/>
  <c r="D64" i="79" s="1"/>
  <c r="G63" i="79" a="1"/>
  <c r="G63" i="79" s="1"/>
  <c r="F198" i="76" s="1"/>
  <c r="F63" i="79" a="1"/>
  <c r="F63" i="79" s="1"/>
  <c r="E63" i="79" a="1"/>
  <c r="E63" i="79" s="1"/>
  <c r="F279" i="69" s="1"/>
  <c r="D63" i="79" a="1"/>
  <c r="D63" i="79" s="1"/>
  <c r="D59" i="79" a="1"/>
  <c r="D59" i="79" s="1"/>
  <c r="D60" i="79" a="1"/>
  <c r="D60" i="79" s="1"/>
  <c r="D61" i="79" a="1"/>
  <c r="D61" i="79" s="1"/>
  <c r="D58" i="79" a="1"/>
  <c r="D58" i="79" s="1"/>
  <c r="H55" i="79" a="1"/>
  <c r="H55" i="79" s="1"/>
  <c r="H24" i="76" s="1" a="1"/>
  <c r="H24" i="76" s="1"/>
  <c r="G55" i="79" a="1"/>
  <c r="G55" i="79" s="1"/>
  <c r="G24" i="76" s="1" a="1"/>
  <c r="G24" i="76" s="1"/>
  <c r="F55" i="79" a="1"/>
  <c r="F55" i="79" s="1"/>
  <c r="F24" i="76" s="1" a="1"/>
  <c r="F24" i="76" s="1"/>
  <c r="E55" i="79" a="1"/>
  <c r="E55" i="79" s="1"/>
  <c r="E24" i="76" s="1" a="1"/>
  <c r="E24" i="76" s="1"/>
  <c r="D55" i="79" a="1"/>
  <c r="D55" i="79" s="1"/>
  <c r="D24" i="76" s="1" a="1"/>
  <c r="D24" i="76"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E227" i="69" l="1" a="1"/>
  <c r="E227" i="69" s="1"/>
  <c r="P227" i="69" a="1"/>
  <c r="P227" i="69" s="1"/>
  <c r="F35" i="81"/>
  <c r="F34" i="81"/>
  <c r="F32" i="81"/>
  <c r="F31" i="81"/>
  <c r="F33" i="81"/>
  <c r="E22" i="81" a="1"/>
  <c r="E31" i="81" a="1"/>
  <c r="E31" i="81" s="1"/>
  <c r="D31" i="81" a="1"/>
  <c r="D31" i="81" s="1"/>
  <c r="D22" i="81" a="1"/>
  <c r="D22" i="81" s="1"/>
  <c r="E269" i="76" a="1"/>
  <c r="E269" i="76" s="1"/>
  <c r="E31" i="82" a="1"/>
  <c r="E31" i="82" s="1"/>
  <c r="D269" i="76" a="1"/>
  <c r="D269" i="76" s="1"/>
  <c r="D31" i="82" a="1"/>
  <c r="D31" i="82" s="1"/>
  <c r="H55" i="76"/>
  <c r="G55" i="76"/>
  <c r="E55" i="76"/>
  <c r="F55" i="76"/>
  <c r="F108" i="69"/>
  <c r="E108" i="69"/>
  <c r="G108" i="69"/>
  <c r="H108" i="69"/>
  <c r="D108" i="69"/>
  <c r="E14" i="70" a="1"/>
  <c r="E14" i="70" s="1"/>
  <c r="E18" i="70" a="1"/>
  <c r="E18" i="70" s="1"/>
  <c r="G14" i="70" a="1"/>
  <c r="G14" i="70" s="1"/>
  <c r="G18" i="70" a="1"/>
  <c r="G18" i="70" s="1"/>
  <c r="F14" i="70" a="1"/>
  <c r="F14" i="70" s="1"/>
  <c r="F18" i="70" a="1"/>
  <c r="F18" i="70" s="1"/>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G72" i="70" a="1"/>
  <c r="G72" i="70" s="1"/>
  <c r="H67" i="70" a="1"/>
  <c r="H67" i="70" s="1"/>
  <c r="E72" i="70" a="1"/>
  <c r="E72" i="70" s="1"/>
  <c r="I71" i="70" a="1"/>
  <c r="I71" i="70" s="1"/>
  <c r="I65" i="70" a="1"/>
  <c r="I65" i="70" s="1"/>
  <c r="J150" i="69" s="1"/>
  <c r="J172" i="69" s="1" a="1"/>
  <c r="J172" i="69" s="1"/>
  <c r="G70" i="70" a="1"/>
  <c r="G70" i="70" s="1"/>
  <c r="H72" i="70" a="1"/>
  <c r="H72" i="70" s="1"/>
  <c r="F72" i="70" a="1"/>
  <c r="F72" i="70" s="1"/>
  <c r="G67" i="70" a="1"/>
  <c r="G67" i="70" s="1"/>
  <c r="F67" i="70" a="1"/>
  <c r="F67" i="70" s="1"/>
  <c r="E67" i="70" a="1"/>
  <c r="E67" i="70" s="1"/>
  <c r="E65" i="70" a="1"/>
  <c r="E65" i="70" s="1"/>
  <c r="H71" i="70" a="1"/>
  <c r="H71" i="70" s="1"/>
  <c r="I66" i="70" a="1"/>
  <c r="I66" i="70" s="1"/>
  <c r="J198" i="69" s="1"/>
  <c r="E71" i="70" a="1"/>
  <c r="E71" i="70" s="1"/>
  <c r="E66" i="70" a="1"/>
  <c r="E66" i="70" s="1"/>
  <c r="I67" i="70" a="1"/>
  <c r="I67" i="70" s="1"/>
  <c r="G71" i="70" a="1"/>
  <c r="G71" i="70" s="1"/>
  <c r="H66" i="70" a="1"/>
  <c r="H66" i="70" s="1"/>
  <c r="I198" i="69" s="1"/>
  <c r="F66" i="70" a="1"/>
  <c r="F66" i="70" s="1"/>
  <c r="G198" i="69" s="1"/>
  <c r="H70" i="70" a="1"/>
  <c r="H70" i="70" s="1"/>
  <c r="F71" i="70" a="1"/>
  <c r="F71" i="70" s="1"/>
  <c r="G66" i="70" a="1"/>
  <c r="G66" i="70" s="1"/>
  <c r="H198" i="69" s="1"/>
  <c r="I70" i="70" a="1"/>
  <c r="I70" i="70" s="1"/>
  <c r="H65" i="70" a="1"/>
  <c r="H65" i="70" s="1"/>
  <c r="I150" i="69" s="1"/>
  <c r="I172" i="69" s="1" a="1"/>
  <c r="I172" i="69" s="1"/>
  <c r="F70" i="70" a="1"/>
  <c r="F70" i="70" s="1"/>
  <c r="G65" i="70" a="1"/>
  <c r="G65" i="70" s="1"/>
  <c r="H150" i="69" s="1"/>
  <c r="H172" i="69" s="1" a="1"/>
  <c r="H172" i="69" s="1"/>
  <c r="I72" i="70" a="1"/>
  <c r="I72" i="70" s="1"/>
  <c r="E70" i="70" a="1"/>
  <c r="E70" i="70" s="1"/>
  <c r="F65" i="70" a="1"/>
  <c r="F65" i="70" s="1"/>
  <c r="G150" i="69" s="1"/>
  <c r="G172" i="69" s="1" a="1"/>
  <c r="G172" i="69" s="1"/>
  <c r="F198" i="69" l="1"/>
  <c r="F151" i="69"/>
  <c r="Q25" i="96"/>
  <c r="Q150" i="69"/>
  <c r="Q172" i="69" s="1" a="1"/>
  <c r="Q172" i="69" s="1"/>
  <c r="S25" i="96"/>
  <c r="S150" i="69"/>
  <c r="S172" i="69" s="1" a="1"/>
  <c r="S172" i="69" s="1"/>
  <c r="F25" i="96"/>
  <c r="F150" i="69"/>
  <c r="F172" i="69" s="1" a="1"/>
  <c r="F172" i="69" s="1"/>
  <c r="T25" i="96"/>
  <c r="T150" i="69"/>
  <c r="T172" i="69" s="1" a="1"/>
  <c r="T172" i="69" s="1"/>
  <c r="R25" i="96"/>
  <c r="R150" i="69"/>
  <c r="R172" i="69" s="1" a="1"/>
  <c r="R172" i="69" s="1"/>
  <c r="U25" i="96"/>
  <c r="U150" i="69"/>
  <c r="U172" i="69" s="1" a="1"/>
  <c r="U172" i="69" s="1"/>
  <c r="E22" i="81"/>
  <c r="J25" i="96"/>
  <c r="G25" i="96"/>
  <c r="H25" i="96"/>
  <c r="I25" i="96"/>
  <c r="R231" i="76" a="1"/>
  <c r="R231" i="76" s="1"/>
  <c r="R233" i="76" a="1"/>
  <c r="R233" i="76" s="1"/>
  <c r="R234" i="76" a="1"/>
  <c r="R234" i="76" s="1"/>
  <c r="R232" i="76" a="1"/>
  <c r="R232" i="76" s="1"/>
  <c r="T233" i="76" a="1"/>
  <c r="T233" i="76" s="1"/>
  <c r="T231" i="76" a="1"/>
  <c r="T231" i="76" s="1"/>
  <c r="T232" i="76" a="1"/>
  <c r="T232" i="76" s="1"/>
  <c r="T234" i="76" a="1"/>
  <c r="T234" i="76" s="1"/>
  <c r="R103" i="69"/>
  <c r="Q98" i="76"/>
  <c r="J236" i="76" a="1"/>
  <c r="J236" i="76" s="1"/>
  <c r="J237" i="76" a="1"/>
  <c r="J237" i="76" s="1"/>
  <c r="J238" i="76" a="1"/>
  <c r="J238" i="76" s="1"/>
  <c r="J235" i="76" a="1"/>
  <c r="J235" i="76" s="1"/>
  <c r="P238" i="76" a="1"/>
  <c r="P238" i="76" s="1"/>
  <c r="P236" i="76" a="1"/>
  <c r="P236" i="76" s="1"/>
  <c r="P235" i="76" a="1"/>
  <c r="P235" i="76" s="1"/>
  <c r="P237" i="76" a="1"/>
  <c r="P237" i="76" s="1"/>
  <c r="G103" i="69"/>
  <c r="G98" i="76"/>
  <c r="F232" i="76" a="1"/>
  <c r="F232" i="76" s="1"/>
  <c r="F234" i="76" a="1"/>
  <c r="F234" i="76" s="1"/>
  <c r="F233" i="76" a="1"/>
  <c r="F233" i="76" s="1"/>
  <c r="F231" i="76" a="1"/>
  <c r="F231" i="76" s="1"/>
  <c r="I237" i="76" a="1"/>
  <c r="I237" i="76" s="1"/>
  <c r="I236" i="76" a="1"/>
  <c r="I236" i="76" s="1"/>
  <c r="I238" i="76" a="1"/>
  <c r="I238" i="76" s="1"/>
  <c r="I235" i="76" a="1"/>
  <c r="I235" i="76" s="1"/>
  <c r="F103" i="69"/>
  <c r="F98" i="76"/>
  <c r="P234" i="76" a="1"/>
  <c r="P234" i="76" s="1"/>
  <c r="P231" i="76" a="1"/>
  <c r="P231" i="76" s="1"/>
  <c r="P233" i="76" a="1"/>
  <c r="P233" i="76" s="1"/>
  <c r="P232" i="76" a="1"/>
  <c r="P232" i="76" s="1"/>
  <c r="R236" i="76" a="1"/>
  <c r="R236" i="76" s="1"/>
  <c r="R238" i="76" a="1"/>
  <c r="R238" i="76" s="1"/>
  <c r="R235" i="76" a="1"/>
  <c r="R235" i="76" s="1"/>
  <c r="R237" i="76" a="1"/>
  <c r="R237" i="76" s="1"/>
  <c r="Q103" i="69"/>
  <c r="P98" i="76"/>
  <c r="T238" i="76" a="1"/>
  <c r="T238" i="76" s="1"/>
  <c r="T235" i="76" a="1"/>
  <c r="T235" i="76" s="1"/>
  <c r="T237" i="76" a="1"/>
  <c r="T237" i="76" s="1"/>
  <c r="T236" i="76" a="1"/>
  <c r="T236" i="76" s="1"/>
  <c r="J234" i="76" a="1"/>
  <c r="J234" i="76" s="1"/>
  <c r="J231" i="76" a="1"/>
  <c r="J231" i="76" s="1"/>
  <c r="J233" i="76" a="1"/>
  <c r="J233" i="76" s="1"/>
  <c r="J232" i="76" a="1"/>
  <c r="J232" i="76" s="1"/>
  <c r="E103" i="69"/>
  <c r="E98" i="76"/>
  <c r="P98" i="69"/>
  <c r="O19" i="76"/>
  <c r="O29" i="76" s="1" a="1"/>
  <c r="O29" i="76" s="1"/>
  <c r="S231" i="76" a="1"/>
  <c r="S231" i="76" s="1"/>
  <c r="S233" i="76" a="1"/>
  <c r="S233" i="76" s="1"/>
  <c r="S232" i="76" a="1"/>
  <c r="S232" i="76" s="1"/>
  <c r="S234" i="76" a="1"/>
  <c r="S234" i="76" s="1"/>
  <c r="P103" i="69"/>
  <c r="O98" i="76"/>
  <c r="E98" i="69"/>
  <c r="E19" i="76"/>
  <c r="E29" i="76" s="1" a="1"/>
  <c r="E29" i="76" s="1"/>
  <c r="O103" i="69"/>
  <c r="N98" i="76"/>
  <c r="Q98" i="69"/>
  <c r="P19" i="76"/>
  <c r="P29" i="76" s="1" a="1"/>
  <c r="P29" i="76" s="1"/>
  <c r="F235" i="76" a="1"/>
  <c r="F235" i="76" s="1"/>
  <c r="F237" i="76" a="1"/>
  <c r="F237" i="76" s="1"/>
  <c r="F236" i="76" a="1"/>
  <c r="F236" i="76" s="1"/>
  <c r="F238" i="76" a="1"/>
  <c r="F238" i="76" s="1"/>
  <c r="D103" i="69"/>
  <c r="D98" i="76"/>
  <c r="F98" i="69"/>
  <c r="F19" i="76"/>
  <c r="F29" i="76" s="1" a="1"/>
  <c r="F29" i="76" s="1"/>
  <c r="G235" i="76" a="1"/>
  <c r="G235" i="76" s="1"/>
  <c r="G237" i="76" a="1"/>
  <c r="G237" i="76" s="1"/>
  <c r="G238" i="76" a="1"/>
  <c r="G238" i="76" s="1"/>
  <c r="G236" i="76" a="1"/>
  <c r="G236" i="76" s="1"/>
  <c r="H98" i="69"/>
  <c r="H19" i="76"/>
  <c r="H29" i="76" s="1" a="1"/>
  <c r="H29" i="76" s="1"/>
  <c r="O98" i="69"/>
  <c r="N19" i="76"/>
  <c r="N29" i="76" s="1" a="1"/>
  <c r="N29" i="76" s="1"/>
  <c r="H232" i="76" a="1"/>
  <c r="H232" i="76" s="1"/>
  <c r="H234" i="76" a="1"/>
  <c r="H234" i="76" s="1"/>
  <c r="H231" i="76" a="1"/>
  <c r="H231" i="76" s="1"/>
  <c r="H233" i="76" a="1"/>
  <c r="H233" i="76" s="1"/>
  <c r="H237" i="76" a="1"/>
  <c r="H237" i="76" s="1"/>
  <c r="H236" i="76" a="1"/>
  <c r="H236" i="76" s="1"/>
  <c r="H235" i="76" a="1"/>
  <c r="H235" i="76" s="1"/>
  <c r="H238" i="76" a="1"/>
  <c r="H238" i="76" s="1"/>
  <c r="S98" i="69"/>
  <c r="R19" i="76"/>
  <c r="R29" i="76" s="1" a="1"/>
  <c r="R29" i="76" s="1"/>
  <c r="D98" i="69"/>
  <c r="D19" i="76"/>
  <c r="D29" i="76" s="1" a="1"/>
  <c r="D29" i="76" s="1"/>
  <c r="Q231" i="76" a="1"/>
  <c r="Q231" i="76" s="1"/>
  <c r="Q233" i="76" a="1"/>
  <c r="Q233" i="76" s="1"/>
  <c r="Q234" i="76" a="1"/>
  <c r="Q234" i="76" s="1"/>
  <c r="Q232" i="76" a="1"/>
  <c r="Q232" i="76" s="1"/>
  <c r="Q236" i="76" a="1"/>
  <c r="Q236" i="76" s="1"/>
  <c r="Q238" i="76" a="1"/>
  <c r="Q238" i="76" s="1"/>
  <c r="Q235" i="76" a="1"/>
  <c r="Q235" i="76" s="1"/>
  <c r="Q237" i="76" a="1"/>
  <c r="Q237" i="76" s="1"/>
  <c r="G98" i="69"/>
  <c r="G19" i="76"/>
  <c r="G29" i="76" s="1" a="1"/>
  <c r="G29" i="76" s="1"/>
  <c r="S236" i="76" a="1"/>
  <c r="S236" i="76" s="1"/>
  <c r="S238" i="76" a="1"/>
  <c r="S238" i="76" s="1"/>
  <c r="S235" i="76" a="1"/>
  <c r="S235" i="76" s="1"/>
  <c r="S237" i="76" a="1"/>
  <c r="S237" i="76" s="1"/>
  <c r="R98" i="69"/>
  <c r="R113" i="69" s="1" a="1"/>
  <c r="R113" i="69" s="1"/>
  <c r="Q19" i="76"/>
  <c r="Q29" i="76" s="1" a="1"/>
  <c r="Q29" i="76" s="1"/>
  <c r="G232" i="76" a="1"/>
  <c r="G232" i="76" s="1"/>
  <c r="G234" i="76" a="1"/>
  <c r="G234" i="76" s="1"/>
  <c r="G231" i="76" a="1"/>
  <c r="G231" i="76" s="1"/>
  <c r="G233" i="76" a="1"/>
  <c r="G233" i="76" s="1"/>
  <c r="H103" i="69"/>
  <c r="H98" i="76"/>
  <c r="I232" i="76" a="1"/>
  <c r="I232" i="76" s="1"/>
  <c r="I234" i="76" a="1"/>
  <c r="I234" i="76" s="1"/>
  <c r="I231" i="76" a="1"/>
  <c r="I231" i="76" s="1"/>
  <c r="I233" i="76" a="1"/>
  <c r="I233" i="76" s="1"/>
  <c r="S103" i="69"/>
  <c r="R98" i="76"/>
  <c r="J154" i="69"/>
  <c r="J176" i="69" s="1" a="1"/>
  <c r="J176" i="69" s="1"/>
  <c r="J156" i="69"/>
  <c r="J178" i="69" s="1" a="1"/>
  <c r="J178" i="69" s="1"/>
  <c r="J155" i="69"/>
  <c r="J177" i="69" s="1" a="1"/>
  <c r="J177" i="69" s="1"/>
  <c r="J199" i="69"/>
  <c r="Q154" i="69"/>
  <c r="Q176" i="69" s="1" a="1"/>
  <c r="Q176" i="69" s="1"/>
  <c r="Q155" i="69"/>
  <c r="Q177" i="69" s="1" a="1"/>
  <c r="Q177" i="69" s="1"/>
  <c r="Q156" i="69"/>
  <c r="Q178" i="69" s="1" a="1"/>
  <c r="Q178" i="69" s="1"/>
  <c r="Q199" i="69"/>
  <c r="S156" i="69"/>
  <c r="S178" i="69" s="1" a="1"/>
  <c r="S178" i="69" s="1"/>
  <c r="S155" i="69"/>
  <c r="S177" i="69" s="1" a="1"/>
  <c r="S177" i="69" s="1"/>
  <c r="S154" i="69"/>
  <c r="S176" i="69" s="1" a="1"/>
  <c r="S176" i="69" s="1"/>
  <c r="S199" i="69"/>
  <c r="T198" i="69"/>
  <c r="T153" i="69"/>
  <c r="T175" i="69" s="1" a="1"/>
  <c r="T175" i="69" s="1"/>
  <c r="T152" i="69"/>
  <c r="T174" i="69" s="1" a="1"/>
  <c r="T174" i="69" s="1"/>
  <c r="T151" i="69"/>
  <c r="T173" i="69" s="1" a="1"/>
  <c r="T173" i="69" s="1"/>
  <c r="F153" i="69"/>
  <c r="F175" i="69" s="1" a="1"/>
  <c r="F175" i="69" s="1"/>
  <c r="F152" i="69"/>
  <c r="F174" i="69" s="1" a="1"/>
  <c r="F174" i="69" s="1"/>
  <c r="F173" i="69" a="1"/>
  <c r="F173" i="69" s="1"/>
  <c r="U156" i="69"/>
  <c r="U178" i="69" s="1" a="1"/>
  <c r="U178" i="69" s="1"/>
  <c r="U155" i="69"/>
  <c r="U177" i="69" s="1" a="1"/>
  <c r="U177" i="69" s="1"/>
  <c r="U154" i="69"/>
  <c r="U176" i="69" s="1" a="1"/>
  <c r="U176" i="69" s="1"/>
  <c r="U199" i="69"/>
  <c r="F155" i="69"/>
  <c r="F177" i="69" s="1" a="1"/>
  <c r="F177" i="69" s="1"/>
  <c r="F199" i="69"/>
  <c r="F154" i="69"/>
  <c r="F176" i="69" s="1" a="1"/>
  <c r="F176" i="69" s="1"/>
  <c r="F156" i="69"/>
  <c r="F178" i="69" s="1" a="1"/>
  <c r="F178" i="69" s="1"/>
  <c r="H154" i="69"/>
  <c r="H176" i="69" s="1" a="1"/>
  <c r="H176" i="69" s="1"/>
  <c r="H199" i="69"/>
  <c r="H156" i="69"/>
  <c r="H178" i="69" s="1" a="1"/>
  <c r="H178" i="69" s="1"/>
  <c r="H155" i="69"/>
  <c r="H177" i="69" s="1" a="1"/>
  <c r="H177" i="69" s="1"/>
  <c r="J153" i="69"/>
  <c r="J175" i="69" s="1" a="1"/>
  <c r="J175" i="69" s="1"/>
  <c r="J152" i="69"/>
  <c r="J174" i="69" s="1" a="1"/>
  <c r="J174" i="69" s="1"/>
  <c r="J151" i="69"/>
  <c r="J173" i="69" s="1" a="1"/>
  <c r="J173" i="69" s="1"/>
  <c r="G154" i="69"/>
  <c r="G176" i="69" s="1" a="1"/>
  <c r="G176" i="69" s="1"/>
  <c r="G199" i="69"/>
  <c r="G156" i="69"/>
  <c r="G178" i="69" s="1" a="1"/>
  <c r="G178" i="69" s="1"/>
  <c r="G155" i="69"/>
  <c r="G177" i="69" s="1" a="1"/>
  <c r="G177" i="69" s="1"/>
  <c r="H151" i="69"/>
  <c r="H173" i="69" s="1" a="1"/>
  <c r="H173" i="69" s="1"/>
  <c r="H153" i="69"/>
  <c r="H175" i="69" s="1" a="1"/>
  <c r="H175" i="69" s="1"/>
  <c r="H152" i="69"/>
  <c r="H174" i="69" s="1" a="1"/>
  <c r="H174" i="69" s="1"/>
  <c r="R151" i="69"/>
  <c r="R173" i="69" s="1" a="1"/>
  <c r="R173" i="69" s="1"/>
  <c r="R198" i="69"/>
  <c r="R153" i="69"/>
  <c r="R175" i="69" s="1" a="1"/>
  <c r="R175" i="69" s="1"/>
  <c r="R152" i="69"/>
  <c r="R174" i="69" s="1" a="1"/>
  <c r="R174" i="69" s="1"/>
  <c r="T199" i="69"/>
  <c r="T155" i="69"/>
  <c r="T177" i="69" s="1" a="1"/>
  <c r="T177" i="69" s="1"/>
  <c r="T154" i="69"/>
  <c r="T176" i="69" s="1" a="1"/>
  <c r="T176" i="69" s="1"/>
  <c r="T156" i="69"/>
  <c r="T178" i="69" s="1" a="1"/>
  <c r="T178" i="69" s="1"/>
  <c r="I199" i="69"/>
  <c r="I156" i="69"/>
  <c r="I178" i="69" s="1" a="1"/>
  <c r="I178" i="69" s="1"/>
  <c r="I155" i="69"/>
  <c r="I177" i="69" s="1" a="1"/>
  <c r="I177" i="69" s="1"/>
  <c r="I154" i="69"/>
  <c r="I176" i="69" s="1" a="1"/>
  <c r="I176" i="69" s="1"/>
  <c r="G153" i="69"/>
  <c r="G175" i="69" s="1" a="1"/>
  <c r="G175" i="69" s="1"/>
  <c r="G152" i="69"/>
  <c r="G174" i="69" s="1" a="1"/>
  <c r="G174" i="69" s="1"/>
  <c r="G151" i="69"/>
  <c r="G173" i="69" s="1" a="1"/>
  <c r="G173" i="69" s="1"/>
  <c r="Q198" i="69"/>
  <c r="Q152" i="69"/>
  <c r="Q174" i="69" s="1" a="1"/>
  <c r="Q174" i="69" s="1"/>
  <c r="Q153" i="69"/>
  <c r="Q175" i="69" s="1" a="1"/>
  <c r="Q175" i="69" s="1"/>
  <c r="Q151" i="69"/>
  <c r="Q173" i="69" s="1" a="1"/>
  <c r="Q173" i="69" s="1"/>
  <c r="R154" i="69"/>
  <c r="R176" i="69" s="1" a="1"/>
  <c r="R176" i="69" s="1"/>
  <c r="R156" i="69"/>
  <c r="R178" i="69" s="1" a="1"/>
  <c r="R178" i="69" s="1"/>
  <c r="R155" i="69"/>
  <c r="R177" i="69" s="1" a="1"/>
  <c r="R177" i="69" s="1"/>
  <c r="R199" i="69"/>
  <c r="I151" i="69"/>
  <c r="I173" i="69" s="1" a="1"/>
  <c r="I173" i="69" s="1"/>
  <c r="I153" i="69"/>
  <c r="I175" i="69" s="1" a="1"/>
  <c r="I175" i="69" s="1"/>
  <c r="I152" i="69"/>
  <c r="I174" i="69" s="1" a="1"/>
  <c r="I174" i="69" s="1"/>
  <c r="S151" i="69"/>
  <c r="S173" i="69" s="1" a="1"/>
  <c r="S173" i="69" s="1"/>
  <c r="S198" i="69"/>
  <c r="S153" i="69"/>
  <c r="S175" i="69" s="1" a="1"/>
  <c r="S175" i="69" s="1"/>
  <c r="S152" i="69"/>
  <c r="S174" i="69" s="1" a="1"/>
  <c r="S174" i="69" s="1"/>
  <c r="U198" i="69"/>
  <c r="U152" i="69"/>
  <c r="U174" i="69" s="1" a="1"/>
  <c r="U174" i="69" s="1"/>
  <c r="U151" i="69"/>
  <c r="U173" i="69" s="1" a="1"/>
  <c r="U173" i="69" s="1"/>
  <c r="U153" i="69"/>
  <c r="U175" i="69" s="1" a="1"/>
  <c r="U175" i="69" s="1"/>
  <c r="J46" i="96"/>
  <c r="D113" i="69" l="1" a="1"/>
  <c r="D113" i="69" s="1"/>
  <c r="D132" i="69" s="1" a="1"/>
  <c r="D132" i="69" s="1"/>
  <c r="G113" i="69" a="1"/>
  <c r="G113" i="69" s="1"/>
  <c r="G50" i="76" s="1"/>
  <c r="F113" i="69" a="1"/>
  <c r="F113" i="69" s="1"/>
  <c r="F132" i="69" s="1" a="1"/>
  <c r="F132" i="69" s="1"/>
  <c r="E113" i="69" a="1"/>
  <c r="E113" i="69" s="1"/>
  <c r="E132" i="69" s="1" a="1"/>
  <c r="E132" i="69" s="1"/>
  <c r="H113" i="69" a="1"/>
  <c r="H113" i="69" s="1"/>
  <c r="H132" i="69" s="1" a="1"/>
  <c r="H132" i="69" s="1"/>
  <c r="I43" i="97"/>
  <c r="I66" i="82"/>
  <c r="Q113" i="69" a="1"/>
  <c r="Q113" i="69" s="1"/>
  <c r="P50" i="76" s="1"/>
  <c r="P113" i="69" a="1"/>
  <c r="P113" i="69" s="1"/>
  <c r="O50" i="76" s="1"/>
  <c r="S113" i="69" a="1"/>
  <c r="S113" i="69" s="1"/>
  <c r="S132" i="69" s="1" a="1"/>
  <c r="S132" i="69" s="1"/>
  <c r="O113" i="69" a="1"/>
  <c r="O113" i="69" s="1"/>
  <c r="O132" i="69" s="1" a="1"/>
  <c r="O132" i="69" s="1"/>
  <c r="R205" i="69" a="1"/>
  <c r="R205" i="69" s="1"/>
  <c r="G205" i="69" a="1"/>
  <c r="G205" i="69" s="1"/>
  <c r="Q205" i="69" a="1"/>
  <c r="Q205" i="69" s="1"/>
  <c r="J205" i="69" a="1"/>
  <c r="J205" i="69" s="1"/>
  <c r="S204" i="69" a="1"/>
  <c r="S204" i="69" s="1"/>
  <c r="F205" i="69" a="1"/>
  <c r="F205" i="69" s="1"/>
  <c r="U205" i="69" a="1"/>
  <c r="U205" i="69" s="1"/>
  <c r="I205" i="69" a="1"/>
  <c r="I205" i="69" s="1"/>
  <c r="R132" i="69" a="1"/>
  <c r="R132" i="69" s="1"/>
  <c r="Q50" i="76"/>
  <c r="T205" i="69" a="1"/>
  <c r="T205" i="69" s="1"/>
  <c r="G204" i="69" a="1"/>
  <c r="G204" i="69" s="1"/>
  <c r="S205" i="69" a="1"/>
  <c r="S205" i="69" s="1"/>
  <c r="H204" i="69" a="1"/>
  <c r="H204" i="69" s="1"/>
  <c r="U204" i="69" a="1"/>
  <c r="U204" i="69" s="1"/>
  <c r="Q204" i="69" a="1"/>
  <c r="Q204" i="69" s="1"/>
  <c r="R204" i="69" a="1"/>
  <c r="R204" i="69" s="1"/>
  <c r="H205" i="69" a="1"/>
  <c r="H205" i="69" s="1"/>
  <c r="F204" i="69" a="1"/>
  <c r="F204" i="69" s="1"/>
  <c r="J204" i="69" a="1"/>
  <c r="J204" i="69" s="1"/>
  <c r="T204" i="69" a="1"/>
  <c r="T204" i="69" s="1"/>
  <c r="I204" i="69" a="1"/>
  <c r="I204" i="69" s="1"/>
  <c r="U236" i="69" l="1" a="1"/>
  <c r="U236" i="69" s="1"/>
  <c r="U289" i="69" s="1" a="1"/>
  <c r="U289" i="69" s="1"/>
  <c r="T236" i="69" a="1"/>
  <c r="T236" i="69" s="1"/>
  <c r="T289" i="69" s="1" a="1"/>
  <c r="T289" i="69" s="1"/>
  <c r="J236" i="69" a="1"/>
  <c r="J236" i="69" s="1"/>
  <c r="J289" i="69" s="1" a="1"/>
  <c r="J289" i="69" s="1"/>
  <c r="H236" i="69" a="1"/>
  <c r="H236" i="69" s="1"/>
  <c r="H289" i="69" s="1" a="1"/>
  <c r="H289" i="69" s="1"/>
  <c r="Q236" i="69" a="1"/>
  <c r="Q236" i="69" s="1"/>
  <c r="Q289" i="69" s="1" a="1"/>
  <c r="Q289" i="69" s="1"/>
  <c r="G236" i="69" a="1"/>
  <c r="G236" i="69" s="1"/>
  <c r="G289" i="69" s="1" a="1"/>
  <c r="G289" i="69" s="1"/>
  <c r="F236" i="69" a="1"/>
  <c r="F236" i="69" s="1"/>
  <c r="F289" i="69" s="1" a="1"/>
  <c r="F289" i="69" s="1"/>
  <c r="F50" i="76"/>
  <c r="F65" i="76" s="1" a="1"/>
  <c r="F65" i="76" s="1"/>
  <c r="F103" i="76" s="1" a="1"/>
  <c r="F103" i="76" s="1"/>
  <c r="G132" i="69" a="1"/>
  <c r="G132" i="69" s="1"/>
  <c r="D50" i="76"/>
  <c r="D126" i="76" s="1" a="1"/>
  <c r="D126" i="76" s="1"/>
  <c r="H50" i="76"/>
  <c r="H65" i="76" s="1" a="1"/>
  <c r="H65" i="76" s="1"/>
  <c r="H103" i="76" s="1" a="1"/>
  <c r="H103" i="76" s="1"/>
  <c r="R50" i="76"/>
  <c r="R126" i="76" s="1" a="1"/>
  <c r="R126" i="76" s="1"/>
  <c r="Q132" i="69" a="1"/>
  <c r="Q132" i="69" s="1"/>
  <c r="E50" i="76"/>
  <c r="E65" i="76" s="1" a="1"/>
  <c r="E65" i="76" s="1"/>
  <c r="E103" i="76" s="1" a="1"/>
  <c r="E103" i="76" s="1"/>
  <c r="P132" i="69" a="1"/>
  <c r="P132" i="69" s="1"/>
  <c r="N50" i="76"/>
  <c r="N65" i="76" s="1" a="1"/>
  <c r="N65" i="76" s="1"/>
  <c r="N103" i="76" s="1" a="1"/>
  <c r="N103" i="76" s="1"/>
  <c r="P65" i="76" a="1"/>
  <c r="P65" i="76" s="1"/>
  <c r="P103" i="76" s="1" a="1"/>
  <c r="P103" i="76" s="1"/>
  <c r="P126" i="76" a="1"/>
  <c r="P126" i="76" s="1"/>
  <c r="Q65" i="76" a="1"/>
  <c r="Q65" i="76" s="1"/>
  <c r="Q103" i="76" s="1" a="1"/>
  <c r="Q103" i="76" s="1"/>
  <c r="Q126" i="76" a="1"/>
  <c r="Q126" i="76" s="1"/>
  <c r="G126" i="76" a="1"/>
  <c r="G126" i="76" s="1"/>
  <c r="G65" i="76" a="1"/>
  <c r="G65" i="76" s="1"/>
  <c r="G103" i="76" s="1" a="1"/>
  <c r="G103" i="76" s="1"/>
  <c r="O65" i="76" a="1"/>
  <c r="O65" i="76" s="1"/>
  <c r="O103" i="76" s="1" a="1"/>
  <c r="O103" i="76" s="1"/>
  <c r="O126" i="76" a="1"/>
  <c r="O126" i="76" s="1"/>
  <c r="A39" i="74"/>
  <c r="A38" i="74"/>
  <c r="A37" i="74"/>
  <c r="A36" i="74"/>
  <c r="A33" i="74"/>
  <c r="A30" i="74"/>
  <c r="A29" i="74"/>
  <c r="A28" i="74"/>
  <c r="A27" i="74"/>
  <c r="A26" i="74"/>
  <c r="A25" i="74"/>
  <c r="A24" i="74"/>
  <c r="A19" i="74"/>
  <c r="A18" i="74"/>
  <c r="A15" i="74"/>
  <c r="A14" i="74"/>
  <c r="A13" i="74"/>
  <c r="A12" i="74"/>
  <c r="A11" i="74"/>
  <c r="A10" i="74"/>
  <c r="A9" i="74"/>
  <c r="A8" i="74"/>
  <c r="A7" i="74"/>
  <c r="A4" i="74"/>
  <c r="S236" i="69" l="1" a="1"/>
  <c r="S236" i="69" s="1"/>
  <c r="S289" i="69" s="1" a="1"/>
  <c r="S289" i="69" s="1"/>
  <c r="F126" i="76" a="1"/>
  <c r="F126" i="76" s="1"/>
  <c r="F146" i="76" s="1" a="1"/>
  <c r="F146" i="76" s="1"/>
  <c r="F213" i="76" s="1" a="1"/>
  <c r="F213" i="76" s="1"/>
  <c r="F19" i="96" s="1"/>
  <c r="R236" i="69" a="1"/>
  <c r="R236" i="69" s="1"/>
  <c r="R289" i="69" s="1" a="1"/>
  <c r="R289" i="69" s="1"/>
  <c r="I236" i="69" a="1"/>
  <c r="I236" i="69" s="1"/>
  <c r="I289" i="69" s="1" a="1"/>
  <c r="I289" i="69" s="1"/>
  <c r="N126" i="76" a="1"/>
  <c r="N126" i="76" s="1"/>
  <c r="N146" i="76" s="1" a="1"/>
  <c r="N146" i="76" s="1"/>
  <c r="D65" i="76" a="1"/>
  <c r="D65" i="76" s="1"/>
  <c r="E126" i="76" a="1"/>
  <c r="E126" i="76" s="1"/>
  <c r="E146" i="76" s="1" a="1"/>
  <c r="E146" i="76" s="1"/>
  <c r="H126" i="76" a="1"/>
  <c r="H126" i="76" s="1"/>
  <c r="H146" i="76" s="1" a="1"/>
  <c r="H146" i="76" s="1"/>
  <c r="R65" i="76" a="1"/>
  <c r="R65" i="76" s="1"/>
  <c r="Q146" i="76" a="1"/>
  <c r="Q146" i="76" s="1"/>
  <c r="Q176" i="76" s="1" a="1"/>
  <c r="Q176" i="76" s="1"/>
  <c r="R19" i="96" s="1"/>
  <c r="G146" i="76" a="1"/>
  <c r="G146" i="76" s="1"/>
  <c r="G213" i="76" s="1" a="1"/>
  <c r="G213" i="76" s="1"/>
  <c r="O146" i="76" a="1"/>
  <c r="O146" i="76" s="1"/>
  <c r="P146" i="76" a="1"/>
  <c r="P146" i="76" s="1"/>
  <c r="R103" i="76" l="1" a="1"/>
  <c r="R103" i="76" s="1"/>
  <c r="R146" i="76" s="1" a="1"/>
  <c r="R146" i="76" s="1"/>
  <c r="D103" i="76" a="1"/>
  <c r="D103" i="76" s="1"/>
  <c r="D146" i="76" s="1" a="1"/>
  <c r="D146" i="76" s="1"/>
  <c r="G176" i="76" a="1"/>
  <c r="G176" i="76" s="1"/>
  <c r="G19" i="96" s="1"/>
  <c r="I31" i="96" s="1" a="1"/>
  <c r="I31" i="96" s="1"/>
  <c r="H176" i="76" a="1"/>
  <c r="H176" i="76" s="1"/>
  <c r="H213" i="76" a="1"/>
  <c r="H213" i="76" s="1"/>
  <c r="H19" i="96" s="1"/>
  <c r="U31" i="96" s="1" a="1"/>
  <c r="U31" i="96" s="1"/>
  <c r="F176" i="76" a="1"/>
  <c r="F176" i="76" s="1"/>
  <c r="S31" i="96" a="1"/>
  <c r="S31" i="96" s="1"/>
  <c r="H31" i="96" a="1"/>
  <c r="H31" i="96" s="1"/>
  <c r="Q213" i="76" a="1"/>
  <c r="Q213" i="76" s="1"/>
  <c r="H250" i="76" a="1"/>
  <c r="H250" i="76" s="1"/>
  <c r="H47" i="81" s="1"/>
  <c r="H249" i="76" a="1"/>
  <c r="H249" i="76" s="1"/>
  <c r="H46" i="81" s="1"/>
  <c r="H248" i="76" a="1"/>
  <c r="H248" i="76" s="1"/>
  <c r="H45" i="81" s="1"/>
  <c r="H246" i="76" a="1"/>
  <c r="H246" i="76" s="1"/>
  <c r="H43" i="81" s="1"/>
  <c r="H244" i="76" a="1"/>
  <c r="H244" i="76" s="1"/>
  <c r="H41" i="81" s="1"/>
  <c r="H243" i="76" a="1"/>
  <c r="H243" i="76" s="1"/>
  <c r="H40" i="81" s="1"/>
  <c r="H247" i="76" a="1"/>
  <c r="H247" i="76" s="1"/>
  <c r="H44" i="81" s="1"/>
  <c r="H245" i="76" a="1"/>
  <c r="H245" i="76" s="1"/>
  <c r="H42" i="81" s="1"/>
  <c r="S250" i="76" a="1"/>
  <c r="S250" i="76" s="1"/>
  <c r="T47" i="81" s="1"/>
  <c r="S248" i="76" a="1"/>
  <c r="S248" i="76" s="1"/>
  <c r="T45" i="81" s="1"/>
  <c r="S243" i="76" a="1"/>
  <c r="S243" i="76" s="1"/>
  <c r="T40" i="81" s="1"/>
  <c r="S246" i="76" a="1"/>
  <c r="S246" i="76" s="1"/>
  <c r="T43" i="81" s="1"/>
  <c r="S245" i="76" a="1"/>
  <c r="S245" i="76" s="1"/>
  <c r="T42" i="81" s="1"/>
  <c r="S247" i="76" a="1"/>
  <c r="S247" i="76" s="1"/>
  <c r="T44" i="81" s="1"/>
  <c r="S244" i="76" a="1"/>
  <c r="S244" i="76" s="1"/>
  <c r="T41" i="81" s="1"/>
  <c r="S249" i="76" a="1"/>
  <c r="S249" i="76" s="1"/>
  <c r="T46" i="81" s="1"/>
  <c r="O176" i="76" a="1"/>
  <c r="O176" i="76" s="1"/>
  <c r="P19" i="96" s="1"/>
  <c r="O213" i="76" a="1"/>
  <c r="O213" i="76" s="1"/>
  <c r="E176" i="76" a="1"/>
  <c r="E176" i="76" s="1"/>
  <c r="E19" i="96" s="1"/>
  <c r="E213" i="76" a="1"/>
  <c r="E213" i="76" s="1"/>
  <c r="N176" i="76" a="1"/>
  <c r="N176" i="76" s="1"/>
  <c r="O19" i="96" s="1"/>
  <c r="N213" i="76" a="1"/>
  <c r="N213" i="76" s="1"/>
  <c r="P176" i="76" a="1"/>
  <c r="P176" i="76" s="1"/>
  <c r="P213" i="76" a="1"/>
  <c r="P213" i="76" s="1"/>
  <c r="Q19" i="96" s="1"/>
  <c r="R176" i="76" l="1" a="1"/>
  <c r="R176" i="76" s="1"/>
  <c r="R213" i="76" a="1"/>
  <c r="R213" i="76" s="1"/>
  <c r="D213" i="76" a="1"/>
  <c r="D213" i="76" s="1"/>
  <c r="D176" i="76" a="1"/>
  <c r="D176" i="76" s="1"/>
  <c r="D19" i="96" s="1"/>
  <c r="Q31" i="96" s="1" a="1"/>
  <c r="Q31" i="96" s="1"/>
  <c r="Q23" i="98" s="1"/>
  <c r="Q28" i="98" s="1" a="1"/>
  <c r="Q28" i="98" s="1"/>
  <c r="T243" i="76" a="1"/>
  <c r="T243" i="76" s="1"/>
  <c r="U40" i="81" s="1"/>
  <c r="S19" i="96"/>
  <c r="I250" i="76" a="1"/>
  <c r="I250" i="76" s="1"/>
  <c r="I47" i="81" s="1"/>
  <c r="I246" i="76" a="1"/>
  <c r="I246" i="76" s="1"/>
  <c r="I43" i="81" s="1"/>
  <c r="I249" i="76" a="1"/>
  <c r="I249" i="76" s="1"/>
  <c r="I46" i="81" s="1"/>
  <c r="I248" i="76" a="1"/>
  <c r="I248" i="76" s="1"/>
  <c r="I45" i="81" s="1"/>
  <c r="I243" i="76" a="1"/>
  <c r="I243" i="76" s="1"/>
  <c r="I40" i="81" s="1"/>
  <c r="I244" i="76" a="1"/>
  <c r="I244" i="76" s="1"/>
  <c r="I41" i="81" s="1"/>
  <c r="I245" i="76" a="1"/>
  <c r="I245" i="76" s="1"/>
  <c r="I42" i="81" s="1"/>
  <c r="T31" i="96" a="1"/>
  <c r="T31" i="96" s="1"/>
  <c r="T51" i="96" s="1" a="1"/>
  <c r="T51" i="96" s="1"/>
  <c r="I247" i="76" a="1"/>
  <c r="I247" i="76" s="1"/>
  <c r="I44" i="81" s="1"/>
  <c r="J248" i="76" a="1"/>
  <c r="J248" i="76" s="1"/>
  <c r="J45" i="81" s="1"/>
  <c r="J246" i="76" a="1"/>
  <c r="J246" i="76" s="1"/>
  <c r="J43" i="81" s="1"/>
  <c r="T246" i="76" a="1"/>
  <c r="T246" i="76" s="1"/>
  <c r="U43" i="81" s="1"/>
  <c r="T247" i="76" a="1"/>
  <c r="T247" i="76" s="1"/>
  <c r="U44" i="81" s="1"/>
  <c r="T245" i="76" a="1"/>
  <c r="T245" i="76" s="1"/>
  <c r="U42" i="81" s="1"/>
  <c r="T250" i="76" a="1"/>
  <c r="T250" i="76" s="1"/>
  <c r="U47" i="81" s="1"/>
  <c r="J243" i="76" a="1"/>
  <c r="J243" i="76" s="1"/>
  <c r="J249" i="76" a="1"/>
  <c r="J249" i="76" s="1"/>
  <c r="J25" i="82" s="1"/>
  <c r="J46" i="82" s="1" a="1"/>
  <c r="J46" i="82" s="1"/>
  <c r="T249" i="76" a="1"/>
  <c r="T249" i="76" s="1"/>
  <c r="U46" i="81" s="1"/>
  <c r="J31" i="96" a="1"/>
  <c r="J31" i="96" s="1"/>
  <c r="J51" i="96" s="1" a="1"/>
  <c r="J51" i="96" s="1"/>
  <c r="T248" i="76" a="1"/>
  <c r="T248" i="76" s="1"/>
  <c r="T283" i="76" s="1" a="1"/>
  <c r="T283" i="76" s="1"/>
  <c r="J250" i="76" a="1"/>
  <c r="J250" i="76" s="1"/>
  <c r="J247" i="76" a="1"/>
  <c r="J247" i="76" s="1"/>
  <c r="J245" i="76" a="1"/>
  <c r="J245" i="76" s="1"/>
  <c r="J280" i="76" s="1" a="1"/>
  <c r="J280" i="76" s="1"/>
  <c r="J244" i="76" a="1"/>
  <c r="J244" i="76" s="1"/>
  <c r="J41" i="81" s="1"/>
  <c r="F249" i="76" a="1"/>
  <c r="F249" i="76" s="1"/>
  <c r="F284" i="76" s="1" a="1"/>
  <c r="F284" i="76" s="1"/>
  <c r="T244" i="76" a="1"/>
  <c r="T244" i="76" s="1"/>
  <c r="U41" i="81" s="1"/>
  <c r="H23" i="98"/>
  <c r="H28" i="98" s="1" a="1"/>
  <c r="H28" i="98" s="1"/>
  <c r="H19" i="97"/>
  <c r="H24" i="97" s="1" a="1"/>
  <c r="H24" i="97" s="1"/>
  <c r="S23" i="98"/>
  <c r="S28" i="98" s="1" a="1"/>
  <c r="S28" i="98" s="1"/>
  <c r="S19" i="97"/>
  <c r="S24" i="97" s="1" a="1"/>
  <c r="S24" i="97" s="1"/>
  <c r="U23" i="98"/>
  <c r="U28" i="98" s="1" a="1"/>
  <c r="U28" i="98" s="1"/>
  <c r="U19" i="97"/>
  <c r="U24" i="97" s="1" a="1"/>
  <c r="U24" i="97" s="1"/>
  <c r="I19" i="97"/>
  <c r="I24" i="97" s="1" a="1"/>
  <c r="I24" i="97" s="1"/>
  <c r="I23" i="98"/>
  <c r="I28" i="98" s="1" a="1"/>
  <c r="I28" i="98" s="1"/>
  <c r="H51" i="96" a="1"/>
  <c r="H51" i="96" s="1"/>
  <c r="S51" i="96" a="1"/>
  <c r="S51" i="96" s="1"/>
  <c r="U51" i="96" a="1"/>
  <c r="U51" i="96" s="1"/>
  <c r="I51" i="96" a="1"/>
  <c r="I51" i="96" s="1"/>
  <c r="R31" i="96" a="1"/>
  <c r="R31" i="96" s="1"/>
  <c r="G31" i="96" a="1"/>
  <c r="G31" i="96" s="1"/>
  <c r="H24" i="82"/>
  <c r="H45" i="82" s="1" a="1"/>
  <c r="H45" i="82" s="1"/>
  <c r="T25" i="82"/>
  <c r="T46" i="82" s="1" a="1"/>
  <c r="T46" i="82" s="1"/>
  <c r="H25" i="82"/>
  <c r="H46" i="82" s="1" a="1"/>
  <c r="H46" i="82" s="1"/>
  <c r="H24" i="95"/>
  <c r="H30" i="95" s="1" a="1"/>
  <c r="H30" i="95" s="1"/>
  <c r="H26" i="82"/>
  <c r="H47" i="82" s="1" a="1"/>
  <c r="H47" i="82" s="1"/>
  <c r="T20" i="82"/>
  <c r="T41" i="82" s="1" a="1"/>
  <c r="T41" i="82" s="1"/>
  <c r="T23" i="82"/>
  <c r="T44" i="82" s="1" a="1"/>
  <c r="T44" i="82" s="1"/>
  <c r="U19" i="82"/>
  <c r="U40" i="82" s="1" a="1"/>
  <c r="U40" i="82" s="1"/>
  <c r="T19" i="82"/>
  <c r="T40" i="82" s="1" a="1"/>
  <c r="T40" i="82" s="1"/>
  <c r="T24" i="95"/>
  <c r="T30" i="95" s="1" a="1"/>
  <c r="T30" i="95" s="1"/>
  <c r="T26" i="82"/>
  <c r="T47" i="82" s="1" a="1"/>
  <c r="T47" i="82" s="1"/>
  <c r="H21" i="82"/>
  <c r="H42" i="82" s="1" a="1"/>
  <c r="H42" i="82" s="1"/>
  <c r="T21" i="82"/>
  <c r="T42" i="82" s="1" a="1"/>
  <c r="T42" i="82" s="1"/>
  <c r="T24" i="82"/>
  <c r="T45" i="82" s="1" a="1"/>
  <c r="T45" i="82" s="1"/>
  <c r="H23" i="82"/>
  <c r="H44" i="82" s="1" a="1"/>
  <c r="H44" i="82" s="1"/>
  <c r="H19" i="82"/>
  <c r="H40" i="82" s="1" a="1"/>
  <c r="H40" i="82" s="1"/>
  <c r="H20" i="82"/>
  <c r="H41" i="82" s="1" a="1"/>
  <c r="H41" i="82" s="1"/>
  <c r="T23" i="95"/>
  <c r="T29" i="95" s="1" a="1"/>
  <c r="T29" i="95" s="1"/>
  <c r="T22" i="82"/>
  <c r="T43" i="82" s="1" a="1"/>
  <c r="T43" i="82" s="1"/>
  <c r="H23" i="95"/>
  <c r="H29" i="95" s="1" a="1"/>
  <c r="H29" i="95" s="1"/>
  <c r="H22" i="82"/>
  <c r="H43" i="82" s="1" a="1"/>
  <c r="H43" i="82" s="1"/>
  <c r="H281" i="76" a="1"/>
  <c r="H281" i="76" s="1"/>
  <c r="H283" i="76" a="1"/>
  <c r="H283" i="76" s="1"/>
  <c r="H284" i="76" a="1"/>
  <c r="H284" i="76" s="1"/>
  <c r="P247" i="76" a="1"/>
  <c r="P247" i="76" s="1"/>
  <c r="Q44" i="81" s="1"/>
  <c r="P245" i="76" a="1"/>
  <c r="P245" i="76" s="1"/>
  <c r="Q42" i="81" s="1"/>
  <c r="P250" i="76" a="1"/>
  <c r="P250" i="76" s="1"/>
  <c r="Q47" i="81" s="1"/>
  <c r="P248" i="76" a="1"/>
  <c r="P248" i="76" s="1"/>
  <c r="Q45" i="81" s="1"/>
  <c r="P243" i="76" a="1"/>
  <c r="P243" i="76" s="1"/>
  <c r="Q40" i="81" s="1"/>
  <c r="P246" i="76" a="1"/>
  <c r="P246" i="76" s="1"/>
  <c r="Q43" i="81" s="1"/>
  <c r="P249" i="76" a="1"/>
  <c r="P249" i="76" s="1"/>
  <c r="Q46" i="81" s="1"/>
  <c r="P244" i="76" a="1"/>
  <c r="P244" i="76" s="1"/>
  <c r="Q41" i="81" s="1"/>
  <c r="S282" i="76" a="1"/>
  <c r="S282" i="76" s="1"/>
  <c r="S283" i="76" a="1"/>
  <c r="S283" i="76" s="1"/>
  <c r="S284" i="76" a="1"/>
  <c r="S284" i="76" s="1"/>
  <c r="H285" i="76" a="1"/>
  <c r="H285" i="76" s="1"/>
  <c r="S285" i="76" a="1"/>
  <c r="S285" i="76" s="1"/>
  <c r="H280" i="76" a="1"/>
  <c r="H280" i="76" s="1"/>
  <c r="S280" i="76" a="1"/>
  <c r="S280" i="76" s="1"/>
  <c r="S278" i="76" a="1"/>
  <c r="S278" i="76" s="1"/>
  <c r="G245" i="76" a="1"/>
  <c r="G245" i="76" s="1"/>
  <c r="G42" i="81" s="1"/>
  <c r="G244" i="76" a="1"/>
  <c r="G244" i="76" s="1"/>
  <c r="G41" i="81" s="1"/>
  <c r="G243" i="76" a="1"/>
  <c r="G243" i="76" s="1"/>
  <c r="G40" i="81" s="1"/>
  <c r="G250" i="76" a="1"/>
  <c r="G250" i="76" s="1"/>
  <c r="G47" i="81" s="1"/>
  <c r="G247" i="76" a="1"/>
  <c r="G247" i="76" s="1"/>
  <c r="G44" i="81" s="1"/>
  <c r="G246" i="76" a="1"/>
  <c r="G246" i="76" s="1"/>
  <c r="G43" i="81" s="1"/>
  <c r="G248" i="76" a="1"/>
  <c r="G248" i="76" s="1"/>
  <c r="G45" i="81" s="1"/>
  <c r="G249" i="76" a="1"/>
  <c r="G249" i="76" s="1"/>
  <c r="G46" i="81" s="1"/>
  <c r="S279" i="76" a="1"/>
  <c r="S279" i="76" s="1"/>
  <c r="T278" i="76" a="1"/>
  <c r="T278" i="76" s="1"/>
  <c r="S281" i="76" a="1"/>
  <c r="S281" i="76" s="1"/>
  <c r="Q250" i="76" a="1"/>
  <c r="Q250" i="76" s="1"/>
  <c r="R47" i="81" s="1"/>
  <c r="Q245" i="76" a="1"/>
  <c r="Q245" i="76" s="1"/>
  <c r="R42" i="81" s="1"/>
  <c r="Q248" i="76" a="1"/>
  <c r="Q248" i="76" s="1"/>
  <c r="R45" i="81" s="1"/>
  <c r="Q243" i="76" a="1"/>
  <c r="Q243" i="76" s="1"/>
  <c r="R40" i="81" s="1"/>
  <c r="Q247" i="76" a="1"/>
  <c r="Q247" i="76" s="1"/>
  <c r="R44" i="81" s="1"/>
  <c r="Q249" i="76" a="1"/>
  <c r="Q249" i="76" s="1"/>
  <c r="R46" i="81" s="1"/>
  <c r="Q246" i="76" a="1"/>
  <c r="Q246" i="76" s="1"/>
  <c r="R43" i="81" s="1"/>
  <c r="Q244" i="76" a="1"/>
  <c r="Q244" i="76" s="1"/>
  <c r="R41" i="81" s="1"/>
  <c r="H282" i="76" a="1"/>
  <c r="H282" i="76" s="1"/>
  <c r="R250" i="76" a="1"/>
  <c r="R250" i="76" s="1"/>
  <c r="S47" i="81" s="1"/>
  <c r="R245" i="76" a="1"/>
  <c r="R245" i="76" s="1"/>
  <c r="S42" i="81" s="1"/>
  <c r="R248" i="76" a="1"/>
  <c r="R248" i="76" s="1"/>
  <c r="S45" i="81" s="1"/>
  <c r="R243" i="76" a="1"/>
  <c r="R243" i="76" s="1"/>
  <c r="S40" i="81" s="1"/>
  <c r="R246" i="76" a="1"/>
  <c r="R246" i="76" s="1"/>
  <c r="S43" i="81" s="1"/>
  <c r="R244" i="76" a="1"/>
  <c r="R244" i="76" s="1"/>
  <c r="S41" i="81" s="1"/>
  <c r="R247" i="76" a="1"/>
  <c r="R247" i="76" s="1"/>
  <c r="S44" i="81" s="1"/>
  <c r="R249" i="76" a="1"/>
  <c r="R249" i="76" s="1"/>
  <c r="S46" i="81" s="1"/>
  <c r="H278" i="76" a="1"/>
  <c r="H278" i="76" s="1"/>
  <c r="H279" i="76" a="1"/>
  <c r="H279" i="76" s="1"/>
  <c r="A25" i="13"/>
  <c r="A23" i="13"/>
  <c r="A24" i="13"/>
  <c r="A8" i="13"/>
  <c r="A5" i="13"/>
  <c r="A3" i="13"/>
  <c r="F248" i="76" l="1" a="1"/>
  <c r="F248" i="76" s="1"/>
  <c r="F45" i="81" s="1"/>
  <c r="F31" i="96" a="1"/>
  <c r="F31" i="96" s="1"/>
  <c r="F23" i="98" s="1"/>
  <c r="F28" i="98" s="1" a="1"/>
  <c r="F28" i="98" s="1"/>
  <c r="F247" i="76" a="1"/>
  <c r="F247" i="76" s="1"/>
  <c r="Q51" i="96" a="1"/>
  <c r="Q51" i="96" s="1"/>
  <c r="F245" i="76" a="1"/>
  <c r="F245" i="76" s="1"/>
  <c r="F42" i="81" s="1"/>
  <c r="F244" i="76" a="1"/>
  <c r="F244" i="76" s="1"/>
  <c r="F41" i="81" s="1"/>
  <c r="F243" i="76" a="1"/>
  <c r="F243" i="76" s="1"/>
  <c r="F278" i="76" s="1" a="1"/>
  <c r="F278" i="76" s="1"/>
  <c r="Q19" i="97"/>
  <c r="Q24" i="97" s="1" a="1"/>
  <c r="Q24" i="97" s="1"/>
  <c r="I281" i="76" a="1"/>
  <c r="I281" i="76" s="1"/>
  <c r="F246" i="76" a="1"/>
  <c r="F246" i="76" s="1"/>
  <c r="F43" i="81" s="1"/>
  <c r="F250" i="76" a="1"/>
  <c r="F250" i="76" s="1"/>
  <c r="F47" i="81" s="1"/>
  <c r="I278" i="76" a="1"/>
  <c r="I278" i="76" s="1"/>
  <c r="I25" i="82"/>
  <c r="I46" i="82" s="1" a="1"/>
  <c r="I46" i="82" s="1"/>
  <c r="I26" i="82"/>
  <c r="I47" i="82" s="1" a="1"/>
  <c r="I47" i="82" s="1"/>
  <c r="I24" i="95"/>
  <c r="I30" i="95" s="1" a="1"/>
  <c r="I30" i="95" s="1"/>
  <c r="I50" i="95" s="1" a="1"/>
  <c r="I50" i="95" s="1"/>
  <c r="I21" i="82"/>
  <c r="I42" i="82" s="1" a="1"/>
  <c r="I42" i="82" s="1"/>
  <c r="I22" i="82"/>
  <c r="I43" i="82" s="1" a="1"/>
  <c r="I43" i="82" s="1"/>
  <c r="I282" i="76" a="1"/>
  <c r="I282" i="76" s="1"/>
  <c r="I283" i="76" a="1"/>
  <c r="I283" i="76" s="1"/>
  <c r="J22" i="82"/>
  <c r="J43" i="82" s="1" a="1"/>
  <c r="J43" i="82" s="1"/>
  <c r="I24" i="82"/>
  <c r="I45" i="82" s="1" a="1"/>
  <c r="I45" i="82" s="1"/>
  <c r="I19" i="82"/>
  <c r="I40" i="82" s="1" a="1"/>
  <c r="I40" i="82" s="1"/>
  <c r="I280" i="76" a="1"/>
  <c r="I280" i="76" s="1"/>
  <c r="I285" i="76" a="1"/>
  <c r="I285" i="76" s="1"/>
  <c r="I23" i="95"/>
  <c r="I29" i="95" s="1" a="1"/>
  <c r="I29" i="95" s="1"/>
  <c r="I55" i="81" s="1"/>
  <c r="I279" i="76" a="1"/>
  <c r="I279" i="76" s="1"/>
  <c r="J24" i="82"/>
  <c r="J45" i="82" s="1" a="1"/>
  <c r="J45" i="82" s="1"/>
  <c r="I284" i="76" a="1"/>
  <c r="I284" i="76" s="1"/>
  <c r="J23" i="95"/>
  <c r="J29" i="95" s="1" a="1"/>
  <c r="J29" i="95" s="1"/>
  <c r="J49" i="95" s="1" a="1"/>
  <c r="J49" i="95" s="1"/>
  <c r="J281" i="76" a="1"/>
  <c r="J281" i="76" s="1"/>
  <c r="I20" i="82"/>
  <c r="I41" i="82" s="1" a="1"/>
  <c r="I41" i="82" s="1"/>
  <c r="I23" i="82"/>
  <c r="I44" i="82" s="1" a="1"/>
  <c r="I44" i="82" s="1"/>
  <c r="J283" i="76" a="1"/>
  <c r="J283" i="76" s="1"/>
  <c r="T19" i="97"/>
  <c r="T24" i="97" s="1" a="1"/>
  <c r="T24" i="97" s="1"/>
  <c r="T23" i="98"/>
  <c r="T28" i="98" s="1" a="1"/>
  <c r="T28" i="98" s="1"/>
  <c r="U22" i="82"/>
  <c r="U43" i="82" s="1" a="1"/>
  <c r="U43" i="82" s="1"/>
  <c r="U23" i="95"/>
  <c r="U29" i="95" s="1" a="1"/>
  <c r="U29" i="95" s="1"/>
  <c r="U55" i="81" s="1"/>
  <c r="T281" i="76" a="1"/>
  <c r="T281" i="76" s="1"/>
  <c r="T280" i="76" a="1"/>
  <c r="T280" i="76" s="1"/>
  <c r="U21" i="82"/>
  <c r="U42" i="82" s="1" a="1"/>
  <c r="U42" i="82" s="1"/>
  <c r="U23" i="82"/>
  <c r="U44" i="82" s="1" a="1"/>
  <c r="U44" i="82" s="1"/>
  <c r="T282" i="76" a="1"/>
  <c r="T282" i="76" s="1"/>
  <c r="T285" i="76" a="1"/>
  <c r="T285" i="76" s="1"/>
  <c r="T284" i="76" a="1"/>
  <c r="T284" i="76" s="1"/>
  <c r="U26" i="82"/>
  <c r="U47" i="82" s="1" a="1"/>
  <c r="U47" i="82" s="1"/>
  <c r="U24" i="95"/>
  <c r="U30" i="95" s="1" a="1"/>
  <c r="U30" i="95" s="1"/>
  <c r="H50" i="95" a="1"/>
  <c r="H50" i="95" s="1"/>
  <c r="H59" i="81"/>
  <c r="F282" i="76" a="1"/>
  <c r="F282" i="76" s="1"/>
  <c r="F44" i="81"/>
  <c r="J24" i="95"/>
  <c r="J30" i="95" s="1" a="1"/>
  <c r="J30" i="95" s="1"/>
  <c r="J47" i="81"/>
  <c r="J19" i="82"/>
  <c r="J40" i="82" s="1" a="1"/>
  <c r="J40" i="82" s="1"/>
  <c r="J40" i="81"/>
  <c r="U25" i="82"/>
  <c r="U46" i="82" s="1" a="1"/>
  <c r="U46" i="82" s="1"/>
  <c r="T49" i="95" a="1"/>
  <c r="T49" i="95" s="1"/>
  <c r="T55" i="81"/>
  <c r="U24" i="82"/>
  <c r="U45" i="82" s="1" a="1"/>
  <c r="U45" i="82" s="1"/>
  <c r="U45" i="81"/>
  <c r="J284" i="76" a="1"/>
  <c r="J284" i="76" s="1"/>
  <c r="J46" i="81"/>
  <c r="F25" i="82"/>
  <c r="F46" i="82" s="1" a="1"/>
  <c r="F46" i="82" s="1"/>
  <c r="F46" i="81"/>
  <c r="H49" i="95" a="1"/>
  <c r="H49" i="95" s="1"/>
  <c r="H55" i="81"/>
  <c r="J21" i="82"/>
  <c r="J42" i="82" s="1" a="1"/>
  <c r="J42" i="82" s="1"/>
  <c r="J42" i="81"/>
  <c r="J278" i="76" a="1"/>
  <c r="J278" i="76" s="1"/>
  <c r="T50" i="95" a="1"/>
  <c r="T50" i="95" s="1"/>
  <c r="T59" i="81"/>
  <c r="J23" i="82"/>
  <c r="J44" i="82" s="1" a="1"/>
  <c r="J44" i="82" s="1"/>
  <c r="J44" i="81"/>
  <c r="J23" i="98"/>
  <c r="J28" i="98" s="1" a="1"/>
  <c r="J28" i="98" s="1"/>
  <c r="U20" i="82"/>
  <c r="U41" i="82" s="1" a="1"/>
  <c r="U41" i="82" s="1"/>
  <c r="J19" i="97"/>
  <c r="J24" i="97" s="1" a="1"/>
  <c r="J24" i="97" s="1"/>
  <c r="J285" i="76" a="1"/>
  <c r="J285" i="76" s="1"/>
  <c r="J282" i="76" a="1"/>
  <c r="J282" i="76" s="1"/>
  <c r="F51" i="96" a="1"/>
  <c r="F51" i="96" s="1"/>
  <c r="F19" i="97"/>
  <c r="F24" i="97" s="1" a="1"/>
  <c r="F24" i="97" s="1"/>
  <c r="T279" i="76" a="1"/>
  <c r="T279" i="76" s="1"/>
  <c r="F283" i="76" a="1"/>
  <c r="F283" i="76" s="1"/>
  <c r="F24" i="82"/>
  <c r="F45" i="82" s="1" a="1"/>
  <c r="F45" i="82" s="1"/>
  <c r="J279" i="76" a="1"/>
  <c r="J279" i="76" s="1"/>
  <c r="F23" i="82"/>
  <c r="F44" i="82" s="1" a="1"/>
  <c r="F44" i="82" s="1"/>
  <c r="J20" i="82"/>
  <c r="J41" i="82" s="1" a="1"/>
  <c r="J41" i="82" s="1"/>
  <c r="J26" i="82"/>
  <c r="J47" i="82" s="1" a="1"/>
  <c r="J47" i="82" s="1"/>
  <c r="G23" i="98"/>
  <c r="G28" i="98" s="1" a="1"/>
  <c r="G28" i="98" s="1"/>
  <c r="G19" i="97"/>
  <c r="G24" i="97" s="1" a="1"/>
  <c r="G24" i="97" s="1"/>
  <c r="R23" i="98"/>
  <c r="R28" i="98" s="1" a="1"/>
  <c r="R28" i="98" s="1"/>
  <c r="R19" i="97"/>
  <c r="R24" i="97" s="1" a="1"/>
  <c r="R24" i="97" s="1"/>
  <c r="G51" i="96" a="1"/>
  <c r="G51" i="96" s="1"/>
  <c r="R51" i="96" a="1"/>
  <c r="R51" i="96" s="1"/>
  <c r="P53" i="96" s="1"/>
  <c r="R19" i="82"/>
  <c r="R40" i="82" s="1" a="1"/>
  <c r="R40" i="82" s="1"/>
  <c r="G24" i="95"/>
  <c r="G30" i="95" s="1" a="1"/>
  <c r="G30" i="95" s="1"/>
  <c r="G26" i="82"/>
  <c r="G47" i="82" s="1" a="1"/>
  <c r="G47" i="82" s="1"/>
  <c r="Q21" i="82"/>
  <c r="Q42" i="82" s="1" a="1"/>
  <c r="Q42" i="82" s="1"/>
  <c r="S23" i="82"/>
  <c r="S44" i="82" s="1" a="1"/>
  <c r="S44" i="82" s="1"/>
  <c r="S20" i="82"/>
  <c r="S41" i="82" s="1" a="1"/>
  <c r="S41" i="82" s="1"/>
  <c r="R21" i="82"/>
  <c r="R42" i="82" s="1" a="1"/>
  <c r="R42" i="82" s="1"/>
  <c r="G20" i="82"/>
  <c r="G41" i="82" s="1" a="1"/>
  <c r="G41" i="82" s="1"/>
  <c r="S25" i="82"/>
  <c r="S46" i="82" s="1" a="1"/>
  <c r="S46" i="82" s="1"/>
  <c r="S23" i="95"/>
  <c r="S29" i="95" s="1" a="1"/>
  <c r="S29" i="95" s="1"/>
  <c r="S22" i="82"/>
  <c r="S43" i="82" s="1" a="1"/>
  <c r="S43" i="82" s="1"/>
  <c r="R24" i="95"/>
  <c r="R30" i="95" s="1" a="1"/>
  <c r="R30" i="95" s="1"/>
  <c r="R26" i="82"/>
  <c r="R47" i="82" s="1" a="1"/>
  <c r="R47" i="82" s="1"/>
  <c r="G21" i="82"/>
  <c r="G42" i="82" s="1" a="1"/>
  <c r="G42" i="82" s="1"/>
  <c r="S19" i="82"/>
  <c r="S40" i="82" s="1" a="1"/>
  <c r="S40" i="82" s="1"/>
  <c r="S24" i="95"/>
  <c r="S30" i="95" s="1" a="1"/>
  <c r="S30" i="95" s="1"/>
  <c r="S26" i="82"/>
  <c r="S47" i="82" s="1" a="1"/>
  <c r="S47" i="82" s="1"/>
  <c r="S21" i="82"/>
  <c r="S42" i="82" s="1" a="1"/>
  <c r="S42" i="82" s="1"/>
  <c r="Q20" i="82"/>
  <c r="Q41" i="82" s="1" a="1"/>
  <c r="Q41" i="82" s="1"/>
  <c r="Q25" i="82"/>
  <c r="Q46" i="82" s="1" a="1"/>
  <c r="Q46" i="82" s="1"/>
  <c r="G25" i="82"/>
  <c r="G46" i="82" s="1" a="1"/>
  <c r="G46" i="82" s="1"/>
  <c r="Q23" i="95"/>
  <c r="Q29" i="95" s="1" a="1"/>
  <c r="Q29" i="95" s="1"/>
  <c r="Q22" i="82"/>
  <c r="Q43" i="82" s="1" a="1"/>
  <c r="Q43" i="82" s="1"/>
  <c r="R20" i="82"/>
  <c r="R41" i="82" s="1" a="1"/>
  <c r="R41" i="82" s="1"/>
  <c r="G24" i="82"/>
  <c r="G45" i="82" s="1" a="1"/>
  <c r="G45" i="82" s="1"/>
  <c r="Q19" i="82"/>
  <c r="Q40" i="82" s="1" a="1"/>
  <c r="Q40" i="82" s="1"/>
  <c r="R25" i="82"/>
  <c r="R46" i="82" s="1" a="1"/>
  <c r="R46" i="82" s="1"/>
  <c r="G23" i="95"/>
  <c r="G29" i="95" s="1" a="1"/>
  <c r="G29" i="95" s="1"/>
  <c r="G22" i="82"/>
  <c r="G43" i="82" s="1" a="1"/>
  <c r="G43" i="82" s="1"/>
  <c r="Q24" i="82"/>
  <c r="Q45" i="82" s="1" a="1"/>
  <c r="Q45" i="82" s="1"/>
  <c r="R23" i="82"/>
  <c r="R44" i="82" s="1" a="1"/>
  <c r="R44" i="82" s="1"/>
  <c r="G23" i="82"/>
  <c r="G44" i="82" s="1" a="1"/>
  <c r="G44" i="82" s="1"/>
  <c r="Q24" i="95"/>
  <c r="Q30" i="95" s="1" a="1"/>
  <c r="Q30" i="95" s="1"/>
  <c r="Q26" i="82"/>
  <c r="Q47" i="82" s="1" a="1"/>
  <c r="Q47" i="82" s="1"/>
  <c r="S24" i="82"/>
  <c r="S45" i="82" s="1" a="1"/>
  <c r="S45" i="82" s="1"/>
  <c r="R23" i="95"/>
  <c r="R29" i="95" s="1" a="1"/>
  <c r="R29" i="95" s="1"/>
  <c r="R22" i="82"/>
  <c r="R43" i="82" s="1" a="1"/>
  <c r="R43" i="82" s="1"/>
  <c r="R24" i="82"/>
  <c r="R45" i="82" s="1" a="1"/>
  <c r="R45" i="82" s="1"/>
  <c r="G19" i="82"/>
  <c r="G40" i="82" s="1" a="1"/>
  <c r="G40" i="82" s="1"/>
  <c r="Q23" i="82"/>
  <c r="Q44" i="82" s="1" a="1"/>
  <c r="Q44" i="82" s="1"/>
  <c r="G284" i="76" a="1"/>
  <c r="G284" i="76" s="1"/>
  <c r="R280" i="76" a="1"/>
  <c r="R280" i="76" s="1"/>
  <c r="P279" i="76" a="1"/>
  <c r="P279" i="76" s="1"/>
  <c r="P284" i="76" a="1"/>
  <c r="P284" i="76" s="1"/>
  <c r="P281" i="76" a="1"/>
  <c r="P281" i="76" s="1"/>
  <c r="R285" i="76" a="1"/>
  <c r="R285" i="76" s="1"/>
  <c r="P278" i="76" a="1"/>
  <c r="P278" i="76" s="1"/>
  <c r="Q284" i="76" a="1"/>
  <c r="Q284" i="76" s="1"/>
  <c r="G281" i="76" a="1"/>
  <c r="G281" i="76" s="1"/>
  <c r="P283" i="76" a="1"/>
  <c r="P283" i="76" s="1"/>
  <c r="P285" i="76" a="1"/>
  <c r="P285" i="76" s="1"/>
  <c r="P280" i="76" a="1"/>
  <c r="P280" i="76" s="1"/>
  <c r="Q279" i="76" a="1"/>
  <c r="Q279" i="76" s="1"/>
  <c r="Q281" i="76" a="1"/>
  <c r="Q281" i="76" s="1"/>
  <c r="G283" i="76" a="1"/>
  <c r="G283" i="76" s="1"/>
  <c r="G282" i="76" a="1"/>
  <c r="G282" i="76" s="1"/>
  <c r="R284" i="76" a="1"/>
  <c r="R284" i="76" s="1"/>
  <c r="Q278" i="76" a="1"/>
  <c r="Q278" i="76" s="1"/>
  <c r="G285" i="76" a="1"/>
  <c r="G285" i="76" s="1"/>
  <c r="R282" i="76" a="1"/>
  <c r="R282" i="76" s="1"/>
  <c r="Q283" i="76" a="1"/>
  <c r="Q283" i="76" s="1"/>
  <c r="G278" i="76" a="1"/>
  <c r="G278" i="76" s="1"/>
  <c r="P282" i="76" a="1"/>
  <c r="P282" i="76" s="1"/>
  <c r="Q282" i="76" a="1"/>
  <c r="Q282" i="76" s="1"/>
  <c r="R279" i="76" a="1"/>
  <c r="R279" i="76" s="1"/>
  <c r="R281" i="76" a="1"/>
  <c r="R281" i="76" s="1"/>
  <c r="G280" i="76" a="1"/>
  <c r="G280" i="76" s="1"/>
  <c r="R278" i="76" a="1"/>
  <c r="R278" i="76" s="1"/>
  <c r="Q280" i="76" a="1"/>
  <c r="Q280" i="76" s="1"/>
  <c r="G279" i="76" a="1"/>
  <c r="G279" i="76" s="1"/>
  <c r="Q285" i="76" a="1"/>
  <c r="Q285" i="76" s="1"/>
  <c r="R283" i="76" a="1"/>
  <c r="R283" i="76"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1" i="79" s="1"/>
  <c r="E15" i="43" a="1"/>
  <c r="E15" i="43" s="1"/>
  <c r="D11" i="79" s="1"/>
  <c r="D15" i="43" a="1"/>
  <c r="D15" i="43" s="1"/>
  <c r="F14" i="43" a="1"/>
  <c r="F14" i="43" s="1"/>
  <c r="E10" i="79" s="1"/>
  <c r="E14" i="43" a="1"/>
  <c r="E14" i="43" s="1"/>
  <c r="D10" i="79" s="1"/>
  <c r="D14" i="43" a="1"/>
  <c r="D14" i="43" s="1"/>
  <c r="F13" i="43" a="1"/>
  <c r="F13" i="43" s="1"/>
  <c r="E9" i="79" s="1"/>
  <c r="E13" i="43" a="1"/>
  <c r="E13" i="43" s="1"/>
  <c r="D9" i="79" s="1"/>
  <c r="D13" i="43" a="1"/>
  <c r="D13" i="43" s="1"/>
  <c r="F12" i="43" a="1"/>
  <c r="F12" i="43" s="1"/>
  <c r="E12" i="43" a="1"/>
  <c r="E12" i="43" s="1"/>
  <c r="D12" i="43" a="1"/>
  <c r="D12" i="43" s="1"/>
  <c r="F11" i="43" a="1"/>
  <c r="F11" i="43" s="1"/>
  <c r="E11" i="43" a="1"/>
  <c r="E11" i="43" s="1"/>
  <c r="D11" i="43" a="1"/>
  <c r="D11" i="43" s="1"/>
  <c r="F10" i="43" a="1"/>
  <c r="F10" i="43" s="1"/>
  <c r="E8" i="79" s="1"/>
  <c r="E10" i="43" a="1"/>
  <c r="E10" i="43" s="1"/>
  <c r="D8" i="79" s="1"/>
  <c r="D10" i="43" a="1"/>
  <c r="D10" i="43" s="1"/>
  <c r="D8" i="43" a="1"/>
  <c r="D8" i="43" s="1"/>
  <c r="D7" i="43" a="1"/>
  <c r="D7" i="43" s="1"/>
  <c r="D6" i="43" a="1"/>
  <c r="D6" i="43" s="1"/>
  <c r="F40" i="81" l="1"/>
  <c r="F19" i="82"/>
  <c r="F40" i="82" s="1" a="1"/>
  <c r="F40" i="82" s="1"/>
  <c r="F20" i="82"/>
  <c r="F41" i="82" s="1" a="1"/>
  <c r="F41" i="82" s="1"/>
  <c r="F279" i="76" a="1"/>
  <c r="F279" i="76" s="1"/>
  <c r="F21" i="82"/>
  <c r="F42" i="82" s="1" a="1"/>
  <c r="F42" i="82" s="1"/>
  <c r="F280" i="76" a="1"/>
  <c r="F280" i="76" s="1"/>
  <c r="F22" i="82"/>
  <c r="F43" i="82" s="1" a="1"/>
  <c r="F43" i="82" s="1"/>
  <c r="E49" i="82" s="1"/>
  <c r="F26" i="82"/>
  <c r="F47" i="82" s="1" a="1"/>
  <c r="F47" i="82" s="1"/>
  <c r="F23" i="95"/>
  <c r="F29" i="95" s="1" a="1"/>
  <c r="F29" i="95" s="1"/>
  <c r="F55" i="81" s="1"/>
  <c r="F281" i="76" a="1"/>
  <c r="F281" i="76" s="1"/>
  <c r="F24" i="95"/>
  <c r="F30" i="95" s="1" a="1"/>
  <c r="F30" i="95" s="1"/>
  <c r="F59" i="81" s="1"/>
  <c r="F285" i="76" a="1"/>
  <c r="F285" i="76" s="1"/>
  <c r="I59" i="81"/>
  <c r="J55" i="81"/>
  <c r="I49" i="95" a="1"/>
  <c r="I49" i="95" s="1"/>
  <c r="P26" i="97"/>
  <c r="S38" i="97" s="1"/>
  <c r="P45" i="97" s="1" a="1"/>
  <c r="P45" i="97" s="1"/>
  <c r="F12" i="13" s="1"/>
  <c r="P30" i="98"/>
  <c r="U43" i="98" s="1"/>
  <c r="P47" i="98" s="1" a="1"/>
  <c r="P47" i="98" s="1"/>
  <c r="F13" i="13" s="1"/>
  <c r="U49" i="95" a="1"/>
  <c r="U49" i="95" s="1"/>
  <c r="J50" i="95" a="1"/>
  <c r="J50" i="95" s="1"/>
  <c r="J59" i="81"/>
  <c r="G49" i="95" a="1"/>
  <c r="G49" i="95" s="1"/>
  <c r="G55" i="81"/>
  <c r="G50" i="95" a="1"/>
  <c r="G50" i="95" s="1"/>
  <c r="G59" i="81"/>
  <c r="R50" i="95" a="1"/>
  <c r="R50" i="95" s="1"/>
  <c r="R59" i="81"/>
  <c r="U50" i="95" a="1"/>
  <c r="U50" i="95" s="1"/>
  <c r="U59" i="81"/>
  <c r="S49" i="95" a="1"/>
  <c r="S49" i="95" s="1"/>
  <c r="S55" i="81"/>
  <c r="S50" i="95" a="1"/>
  <c r="S50" i="95" s="1"/>
  <c r="S59" i="81"/>
  <c r="Q50" i="95" a="1"/>
  <c r="Q50" i="95" s="1"/>
  <c r="Q59" i="81"/>
  <c r="R49" i="95" a="1"/>
  <c r="R49" i="95" s="1"/>
  <c r="R55" i="81"/>
  <c r="Q49" i="95" a="1"/>
  <c r="Q49" i="95" s="1"/>
  <c r="Q55" i="81"/>
  <c r="E30" i="98"/>
  <c r="J43" i="98" s="1"/>
  <c r="E47" i="98" s="1" a="1"/>
  <c r="E47" i="98" s="1"/>
  <c r="G49" i="98" s="1"/>
  <c r="E52" i="98" s="1" a="1"/>
  <c r="E52" i="98" s="1"/>
  <c r="H13" i="13" s="1"/>
  <c r="E26" i="97"/>
  <c r="I38" i="97" s="1"/>
  <c r="E45" i="97" s="1" a="1"/>
  <c r="E45" i="97" s="1"/>
  <c r="E12" i="13" s="1"/>
  <c r="E53" i="96"/>
  <c r="G55" i="96" s="1"/>
  <c r="E58" i="96" s="1" a="1"/>
  <c r="E58" i="96" s="1"/>
  <c r="H11" i="13" s="1"/>
  <c r="E28" i="98"/>
  <c r="P28" i="98"/>
  <c r="E23" i="98"/>
  <c r="P23" i="98"/>
  <c r="P49" i="82"/>
  <c r="R61" i="82" s="1"/>
  <c r="R55" i="96"/>
  <c r="P58" i="96" s="1" a="1"/>
  <c r="P58" i="96" s="1"/>
  <c r="I11" i="13" s="1"/>
  <c r="F11" i="13"/>
  <c r="P19" i="97"/>
  <c r="E19" i="97"/>
  <c r="P24" i="97"/>
  <c r="E24" i="97"/>
  <c r="P51" i="96"/>
  <c r="P25" i="96"/>
  <c r="E25" i="96"/>
  <c r="P31" i="96"/>
  <c r="E51" i="96"/>
  <c r="E31" i="96"/>
  <c r="E229" i="69" a="1"/>
  <c r="E229" i="69" s="1"/>
  <c r="D86" i="70"/>
  <c r="D102" i="70"/>
  <c r="E230" i="69" a="1"/>
  <c r="E230" i="69" s="1"/>
  <c r="D87" i="70"/>
  <c r="D103" i="70"/>
  <c r="E228" i="69" a="1"/>
  <c r="E228" i="69" s="1"/>
  <c r="D85" i="70"/>
  <c r="D101" i="70"/>
  <c r="E231" i="69" a="1"/>
  <c r="E231" i="69" s="1"/>
  <c r="E29" i="15"/>
  <c r="F49" i="95" l="1" a="1"/>
  <c r="F49" i="95" s="1"/>
  <c r="F50" i="95" a="1"/>
  <c r="F50" i="95" s="1"/>
  <c r="R47" i="97"/>
  <c r="P50" i="97" s="1" a="1"/>
  <c r="P50" i="97" s="1"/>
  <c r="I12" i="13" s="1"/>
  <c r="P68" i="82" a="1"/>
  <c r="P68" i="82" s="1"/>
  <c r="F9" i="13" s="1"/>
  <c r="R49" i="98"/>
  <c r="P52" i="98" s="1" a="1"/>
  <c r="P52" i="98" s="1"/>
  <c r="I13" i="13" s="1"/>
  <c r="E52" i="95"/>
  <c r="G54" i="95" s="1"/>
  <c r="E57" i="95" s="1" a="1"/>
  <c r="E57" i="95" s="1"/>
  <c r="H10" i="13" s="1"/>
  <c r="P52" i="95"/>
  <c r="R54" i="95" s="1"/>
  <c r="P57" i="95" s="1" a="1"/>
  <c r="P57" i="95" s="1"/>
  <c r="I10" i="13" s="1"/>
  <c r="P56" i="81"/>
  <c r="E44" i="81"/>
  <c r="P44" i="81"/>
  <c r="E56" i="81"/>
  <c r="E131" i="81"/>
  <c r="E143" i="81"/>
  <c r="P143" i="81"/>
  <c r="P40" i="81"/>
  <c r="E40" i="81"/>
  <c r="P52" i="81"/>
  <c r="E52" i="81"/>
  <c r="P139" i="81"/>
  <c r="E139" i="81"/>
  <c r="E127" i="81"/>
  <c r="E58" i="81"/>
  <c r="P46" i="81"/>
  <c r="P58" i="81"/>
  <c r="E46" i="81"/>
  <c r="E145" i="81"/>
  <c r="E133" i="81"/>
  <c r="P145" i="81"/>
  <c r="E42" i="81"/>
  <c r="P54" i="81"/>
  <c r="P42" i="81"/>
  <c r="E54" i="81"/>
  <c r="P141" i="81"/>
  <c r="E141" i="81"/>
  <c r="E129" i="81"/>
  <c r="P45" i="81"/>
  <c r="P57" i="81"/>
  <c r="E45" i="81"/>
  <c r="E57" i="81"/>
  <c r="P144" i="81"/>
  <c r="E132" i="81"/>
  <c r="E144" i="81"/>
  <c r="P41" i="81"/>
  <c r="E53" i="81"/>
  <c r="E41" i="81"/>
  <c r="P53" i="81"/>
  <c r="E128" i="81"/>
  <c r="P140" i="81"/>
  <c r="E140" i="81"/>
  <c r="E13" i="13"/>
  <c r="G47" i="97"/>
  <c r="E50" i="97" s="1" a="1"/>
  <c r="E50" i="97" s="1"/>
  <c r="H12" i="13" s="1"/>
  <c r="E11" i="13"/>
  <c r="I61" i="82"/>
  <c r="E68" i="82" s="1" a="1"/>
  <c r="E68" i="82" s="1"/>
  <c r="E9" i="13" s="1"/>
  <c r="E67" i="81"/>
  <c r="E68" i="81"/>
  <c r="P110" i="81"/>
  <c r="P80" i="81"/>
  <c r="E110" i="81"/>
  <c r="E80" i="81"/>
  <c r="E71" i="81"/>
  <c r="P76" i="81"/>
  <c r="P106" i="81"/>
  <c r="E76" i="81"/>
  <c r="E106" i="81"/>
  <c r="E64" i="81"/>
  <c r="P81" i="81"/>
  <c r="P111" i="81"/>
  <c r="E81" i="81"/>
  <c r="E111" i="81"/>
  <c r="E69" i="81"/>
  <c r="P82" i="81"/>
  <c r="E112" i="81"/>
  <c r="E70" i="81"/>
  <c r="E82" i="81"/>
  <c r="P112" i="81"/>
  <c r="E108" i="81"/>
  <c r="E66" i="81"/>
  <c r="P78" i="81"/>
  <c r="P108" i="81"/>
  <c r="E78" i="81"/>
  <c r="P77" i="81"/>
  <c r="E107" i="81"/>
  <c r="P107" i="81"/>
  <c r="E77" i="81"/>
  <c r="E65" i="81"/>
  <c r="P296" i="69"/>
  <c r="E249" i="76"/>
  <c r="E46" i="82"/>
  <c r="P25" i="82"/>
  <c r="O284" i="76"/>
  <c r="E284" i="76"/>
  <c r="E296" i="69"/>
  <c r="P178" i="69"/>
  <c r="P243" i="69"/>
  <c r="E178" i="69"/>
  <c r="E243" i="69"/>
  <c r="G243" i="69" s="1" a="1"/>
  <c r="G243" i="69" s="1"/>
  <c r="O237" i="76"/>
  <c r="P46" i="82"/>
  <c r="E25" i="82"/>
  <c r="O249" i="76"/>
  <c r="E237" i="76"/>
  <c r="P156" i="69"/>
  <c r="E156" i="69"/>
  <c r="P167" i="69"/>
  <c r="E167" i="69"/>
  <c r="P45" i="82"/>
  <c r="E295" i="69"/>
  <c r="P295" i="69"/>
  <c r="E248" i="76"/>
  <c r="E45" i="82"/>
  <c r="P24" i="82"/>
  <c r="E283" i="76"/>
  <c r="O248" i="76"/>
  <c r="P242" i="69"/>
  <c r="E242" i="69"/>
  <c r="H242" i="69" s="1" a="1"/>
  <c r="H242" i="69" s="1"/>
  <c r="P177" i="69"/>
  <c r="O236" i="76"/>
  <c r="O283" i="76"/>
  <c r="E24" i="82"/>
  <c r="E236" i="76"/>
  <c r="P166" i="69"/>
  <c r="E166" i="69"/>
  <c r="E177" i="69"/>
  <c r="P155" i="69"/>
  <c r="E155" i="69"/>
  <c r="P238" i="69"/>
  <c r="P163" i="69"/>
  <c r="P41" i="82"/>
  <c r="O232" i="76"/>
  <c r="E163" i="69"/>
  <c r="E152" i="69"/>
  <c r="E20" i="82"/>
  <c r="E232" i="76"/>
  <c r="O279" i="76"/>
  <c r="E41" i="82"/>
  <c r="P20" i="82"/>
  <c r="E279" i="76"/>
  <c r="O244" i="76"/>
  <c r="E291" i="69"/>
  <c r="E174" i="69"/>
  <c r="P152" i="69"/>
  <c r="E244" i="76"/>
  <c r="P174" i="69"/>
  <c r="E238" i="69"/>
  <c r="F238" i="69" s="1" a="1"/>
  <c r="F238" i="69" s="1"/>
  <c r="P291" i="69"/>
  <c r="E40" i="82"/>
  <c r="P19" i="82"/>
  <c r="E278" i="76"/>
  <c r="E290" i="69"/>
  <c r="P173" i="69"/>
  <c r="P151" i="69"/>
  <c r="P162" i="69"/>
  <c r="E151" i="69"/>
  <c r="O278" i="76"/>
  <c r="O231" i="76"/>
  <c r="E162" i="69"/>
  <c r="E19" i="82"/>
  <c r="E231" i="76"/>
  <c r="P40" i="82"/>
  <c r="E243" i="76"/>
  <c r="O243" i="76"/>
  <c r="E173" i="69"/>
  <c r="P237" i="69"/>
  <c r="P290" i="69"/>
  <c r="E237" i="69"/>
  <c r="H237" i="69" s="1" a="1"/>
  <c r="H237" i="69" s="1"/>
  <c r="O233" i="76"/>
  <c r="P239" i="69"/>
  <c r="O280" i="76"/>
  <c r="E164" i="69"/>
  <c r="E153" i="69"/>
  <c r="O245" i="76"/>
  <c r="E21" i="82"/>
  <c r="E233" i="76"/>
  <c r="P42" i="82"/>
  <c r="E245" i="76"/>
  <c r="E239" i="69"/>
  <c r="J239" i="69" s="1" a="1"/>
  <c r="J239" i="69" s="1"/>
  <c r="E42" i="82"/>
  <c r="P21" i="82"/>
  <c r="E280" i="76"/>
  <c r="E175" i="69"/>
  <c r="P153" i="69"/>
  <c r="P175" i="69"/>
  <c r="P164" i="69"/>
  <c r="P292" i="69"/>
  <c r="E292" i="69"/>
  <c r="E23" i="82"/>
  <c r="E235" i="76"/>
  <c r="E165" i="69"/>
  <c r="O247" i="76"/>
  <c r="O282" i="76"/>
  <c r="P294" i="69"/>
  <c r="E247" i="76"/>
  <c r="E44" i="82"/>
  <c r="P23" i="82"/>
  <c r="E282" i="76"/>
  <c r="E294" i="69"/>
  <c r="P44" i="82"/>
  <c r="P176" i="69"/>
  <c r="P241" i="69"/>
  <c r="P165" i="69"/>
  <c r="O235" i="76"/>
  <c r="E241" i="69"/>
  <c r="F241" i="69" s="1" a="1"/>
  <c r="F241" i="69" s="1"/>
  <c r="E176" i="69"/>
  <c r="P154" i="69"/>
  <c r="E154" i="69"/>
  <c r="O238" i="76"/>
  <c r="E199" i="69"/>
  <c r="P199" i="69"/>
  <c r="J244" i="69" a="1"/>
  <c r="J244" i="69" s="1"/>
  <c r="H240" i="69" a="1"/>
  <c r="H240" i="69" s="1"/>
  <c r="E198" i="69"/>
  <c r="P198" i="69"/>
  <c r="E13" i="15"/>
  <c r="R70" i="82" l="1"/>
  <c r="P73" i="82" s="1" a="1"/>
  <c r="P73" i="82" s="1"/>
  <c r="I9" i="13" s="1"/>
  <c r="F78" i="81" a="1"/>
  <c r="F78" i="81" s="1"/>
  <c r="J78" i="81" a="1"/>
  <c r="J78" i="81" s="1"/>
  <c r="G78" i="81" a="1"/>
  <c r="G78" i="81" s="1"/>
  <c r="I78" i="81" a="1"/>
  <c r="I78" i="81" s="1"/>
  <c r="H78" i="81" a="1"/>
  <c r="H78" i="81" s="1"/>
  <c r="U81" i="81" a="1"/>
  <c r="U81" i="81" s="1"/>
  <c r="Q81" i="81" a="1"/>
  <c r="Q81" i="81" s="1"/>
  <c r="T81" i="81" a="1"/>
  <c r="T81" i="81" s="1"/>
  <c r="S81" i="81" a="1"/>
  <c r="S81" i="81" s="1"/>
  <c r="R81" i="81" a="1"/>
  <c r="R81" i="81" s="1"/>
  <c r="U113" i="81" a="1"/>
  <c r="U113" i="81" s="1"/>
  <c r="T113" i="81" a="1"/>
  <c r="T113" i="81" s="1"/>
  <c r="S113" i="81" a="1"/>
  <c r="S113" i="81" s="1"/>
  <c r="R113" i="81" a="1"/>
  <c r="R113" i="81" s="1"/>
  <c r="Q113" i="81" a="1"/>
  <c r="Q113" i="81" s="1"/>
  <c r="U79" i="81" a="1"/>
  <c r="U79" i="81" s="1"/>
  <c r="R79" i="81" a="1"/>
  <c r="R79" i="81" s="1"/>
  <c r="T79" i="81" a="1"/>
  <c r="T79" i="81" s="1"/>
  <c r="S79" i="81" a="1"/>
  <c r="S79" i="81" s="1"/>
  <c r="Q79" i="81" a="1"/>
  <c r="Q79" i="81" s="1"/>
  <c r="T83" i="81" a="1"/>
  <c r="T83" i="81" s="1"/>
  <c r="U83" i="81" a="1"/>
  <c r="U83" i="81" s="1"/>
  <c r="S83" i="81" a="1"/>
  <c r="S83" i="81" s="1"/>
  <c r="R83" i="81" a="1"/>
  <c r="R83" i="81" s="1"/>
  <c r="Q83" i="81" a="1"/>
  <c r="Q83" i="81" s="1"/>
  <c r="S78" i="81" a="1"/>
  <c r="S78" i="81" s="1"/>
  <c r="T78" i="81" a="1"/>
  <c r="T78" i="81" s="1"/>
  <c r="U78" i="81" a="1"/>
  <c r="U78" i="81" s="1"/>
  <c r="R78" i="81" a="1"/>
  <c r="R78" i="81" s="1"/>
  <c r="Q78" i="81" a="1"/>
  <c r="Q78" i="81" s="1"/>
  <c r="F106" i="81" a="1"/>
  <c r="F106" i="81" s="1"/>
  <c r="J106" i="81" a="1"/>
  <c r="J106" i="81" s="1"/>
  <c r="I106" i="81" a="1"/>
  <c r="I106" i="81" s="1"/>
  <c r="G106" i="81" a="1"/>
  <c r="G106" i="81" s="1"/>
  <c r="H106" i="81" a="1"/>
  <c r="H106" i="81" s="1"/>
  <c r="G142" i="81" a="1"/>
  <c r="G142" i="81" s="1"/>
  <c r="I142" i="81" a="1"/>
  <c r="I142" i="81" s="1"/>
  <c r="J142" i="81" a="1"/>
  <c r="J142" i="81" s="1"/>
  <c r="F142" i="81" a="1"/>
  <c r="F142" i="81" s="1"/>
  <c r="H142" i="81" a="1"/>
  <c r="H142" i="81" s="1"/>
  <c r="J144" i="81" a="1"/>
  <c r="J144" i="81" s="1"/>
  <c r="I144" i="81" a="1"/>
  <c r="I144" i="81" s="1"/>
  <c r="F144" i="81" a="1"/>
  <c r="F144" i="81" s="1"/>
  <c r="H144" i="81" a="1"/>
  <c r="H144" i="81" s="1"/>
  <c r="G144" i="81" a="1"/>
  <c r="G144" i="81" s="1"/>
  <c r="T145" i="81" a="1"/>
  <c r="T145" i="81" s="1"/>
  <c r="S145" i="81" a="1"/>
  <c r="S145" i="81" s="1"/>
  <c r="U145" i="81" a="1"/>
  <c r="U145" i="81" s="1"/>
  <c r="R145" i="81" a="1"/>
  <c r="R145" i="81" s="1"/>
  <c r="Q145" i="81" a="1"/>
  <c r="Q145" i="81" s="1"/>
  <c r="R143" i="81" a="1"/>
  <c r="R143" i="81" s="1"/>
  <c r="S143" i="81" a="1"/>
  <c r="S143" i="81" s="1"/>
  <c r="Q143" i="81" a="1"/>
  <c r="Q143" i="81" s="1"/>
  <c r="U143" i="81" a="1"/>
  <c r="U143" i="81" s="1"/>
  <c r="T143" i="81" a="1"/>
  <c r="T143" i="81" s="1"/>
  <c r="U108" i="81" a="1"/>
  <c r="U108" i="81" s="1"/>
  <c r="Q108" i="81" a="1"/>
  <c r="Q108" i="81" s="1"/>
  <c r="T108" i="81" a="1"/>
  <c r="T108" i="81" s="1"/>
  <c r="S108" i="81" a="1"/>
  <c r="S108" i="81" s="1"/>
  <c r="R108" i="81" a="1"/>
  <c r="R108" i="81" s="1"/>
  <c r="F76" i="81" a="1"/>
  <c r="F76" i="81" s="1"/>
  <c r="J76" i="81" a="1"/>
  <c r="J76" i="81" s="1"/>
  <c r="I76" i="81" a="1"/>
  <c r="I76" i="81" s="1"/>
  <c r="H76" i="81" a="1"/>
  <c r="H76" i="81" s="1"/>
  <c r="G76" i="81" a="1"/>
  <c r="G76" i="81" s="1"/>
  <c r="H80" i="81" a="1"/>
  <c r="H80" i="81" s="1"/>
  <c r="F80" i="81" a="1"/>
  <c r="F80" i="81" s="1"/>
  <c r="I80" i="81" a="1"/>
  <c r="I80" i="81" s="1"/>
  <c r="G80" i="81" a="1"/>
  <c r="G80" i="81" s="1"/>
  <c r="J80" i="81" a="1"/>
  <c r="J80" i="81" s="1"/>
  <c r="F143" i="81" a="1"/>
  <c r="F143" i="81" s="1"/>
  <c r="H143" i="81" a="1"/>
  <c r="H143" i="81" s="1"/>
  <c r="I143" i="81" a="1"/>
  <c r="I143" i="81" s="1"/>
  <c r="J143" i="81" a="1"/>
  <c r="J143" i="81" s="1"/>
  <c r="G143" i="81" a="1"/>
  <c r="G143" i="81" s="1"/>
  <c r="H108" i="81" a="1"/>
  <c r="H108" i="81" s="1"/>
  <c r="I108" i="81" a="1"/>
  <c r="I108" i="81" s="1"/>
  <c r="G108" i="81" a="1"/>
  <c r="G108" i="81" s="1"/>
  <c r="J108" i="81" a="1"/>
  <c r="J108" i="81" s="1"/>
  <c r="F108" i="81" a="1"/>
  <c r="F108" i="81" s="1"/>
  <c r="Q106" i="81" a="1"/>
  <c r="Q106" i="81" s="1"/>
  <c r="R106" i="81" a="1"/>
  <c r="R106" i="81" s="1"/>
  <c r="S106" i="81" a="1"/>
  <c r="S106" i="81" s="1"/>
  <c r="U106" i="81" a="1"/>
  <c r="U106" i="81" s="1"/>
  <c r="T106" i="81" a="1"/>
  <c r="T106" i="81" s="1"/>
  <c r="J110" i="81" a="1"/>
  <c r="J110" i="81" s="1"/>
  <c r="I110" i="81" a="1"/>
  <c r="I110" i="81" s="1"/>
  <c r="H110" i="81" a="1"/>
  <c r="H110" i="81" s="1"/>
  <c r="G110" i="81" a="1"/>
  <c r="G110" i="81" s="1"/>
  <c r="F110" i="81" a="1"/>
  <c r="F110" i="81" s="1"/>
  <c r="U142" i="81" a="1"/>
  <c r="U142" i="81" s="1"/>
  <c r="T142" i="81" a="1"/>
  <c r="T142" i="81" s="1"/>
  <c r="S142" i="81" a="1"/>
  <c r="S142" i="81" s="1"/>
  <c r="R142" i="81" a="1"/>
  <c r="R142" i="81" s="1"/>
  <c r="Q142" i="81" a="1"/>
  <c r="Q142" i="81" s="1"/>
  <c r="Q144" i="81" a="1"/>
  <c r="Q144" i="81" s="1"/>
  <c r="U144" i="81" a="1"/>
  <c r="U144" i="81" s="1"/>
  <c r="T144" i="81" a="1"/>
  <c r="T144" i="81" s="1"/>
  <c r="R144" i="81" a="1"/>
  <c r="R144" i="81" s="1"/>
  <c r="S144" i="81" a="1"/>
  <c r="S144" i="81" s="1"/>
  <c r="G145" i="81" a="1"/>
  <c r="G145" i="81" s="1"/>
  <c r="F145" i="81" a="1"/>
  <c r="F145" i="81" s="1"/>
  <c r="J145" i="81" a="1"/>
  <c r="J145" i="81" s="1"/>
  <c r="H145" i="81" a="1"/>
  <c r="H145" i="81" s="1"/>
  <c r="I145" i="81" a="1"/>
  <c r="I145" i="81" s="1"/>
  <c r="T112" i="81" a="1"/>
  <c r="T112" i="81" s="1"/>
  <c r="Q112" i="81" a="1"/>
  <c r="Q112" i="81" s="1"/>
  <c r="U112" i="81" a="1"/>
  <c r="U112" i="81" s="1"/>
  <c r="S112" i="81" a="1"/>
  <c r="S112" i="81" s="1"/>
  <c r="R112" i="81" a="1"/>
  <c r="R112" i="81" s="1"/>
  <c r="U76" i="81" a="1"/>
  <c r="U76" i="81" s="1"/>
  <c r="T76" i="81" a="1"/>
  <c r="T76" i="81" s="1"/>
  <c r="S76" i="81" a="1"/>
  <c r="S76" i="81" s="1"/>
  <c r="R76" i="81" a="1"/>
  <c r="R76" i="81" s="1"/>
  <c r="Q76" i="81" a="1"/>
  <c r="Q76" i="81" s="1"/>
  <c r="Q80" i="81" a="1"/>
  <c r="Q80" i="81" s="1"/>
  <c r="R80" i="81" a="1"/>
  <c r="R80" i="81" s="1"/>
  <c r="S80" i="81" a="1"/>
  <c r="S80" i="81" s="1"/>
  <c r="U80" i="81" a="1"/>
  <c r="U80" i="81" s="1"/>
  <c r="T80" i="81" a="1"/>
  <c r="T80" i="81" s="1"/>
  <c r="H82" i="81" a="1"/>
  <c r="H82" i="81" s="1"/>
  <c r="G82" i="81" a="1"/>
  <c r="G82" i="81" s="1"/>
  <c r="F82" i="81" a="1"/>
  <c r="F82" i="81" s="1"/>
  <c r="J82" i="81" a="1"/>
  <c r="J82" i="81" s="1"/>
  <c r="I82" i="81" a="1"/>
  <c r="I82" i="81" s="1"/>
  <c r="Q110" i="81" a="1"/>
  <c r="Q110" i="81" s="1"/>
  <c r="U110" i="81" a="1"/>
  <c r="U110" i="81" s="1"/>
  <c r="T110" i="81" a="1"/>
  <c r="T110" i="81" s="1"/>
  <c r="R110" i="81" a="1"/>
  <c r="R110" i="81" s="1"/>
  <c r="S110" i="81" a="1"/>
  <c r="S110" i="81" s="1"/>
  <c r="J112" i="81" a="1"/>
  <c r="J112" i="81" s="1"/>
  <c r="G112" i="81" a="1"/>
  <c r="G112" i="81" s="1"/>
  <c r="I112" i="81" a="1"/>
  <c r="I112" i="81" s="1"/>
  <c r="F112" i="81" a="1"/>
  <c r="F112" i="81" s="1"/>
  <c r="H112" i="81" a="1"/>
  <c r="H112" i="81" s="1"/>
  <c r="F146" i="81" a="1"/>
  <c r="F146" i="81" s="1"/>
  <c r="J146" i="81" a="1"/>
  <c r="J146" i="81" s="1"/>
  <c r="I146" i="81" a="1"/>
  <c r="I146" i="81" s="1"/>
  <c r="H146" i="81" a="1"/>
  <c r="H146" i="81" s="1"/>
  <c r="G146" i="81" a="1"/>
  <c r="G146" i="81" s="1"/>
  <c r="F140" i="81" a="1"/>
  <c r="F140" i="81" s="1"/>
  <c r="I140" i="81" a="1"/>
  <c r="I140" i="81" s="1"/>
  <c r="H140" i="81" a="1"/>
  <c r="H140" i="81" s="1"/>
  <c r="J140" i="81" a="1"/>
  <c r="J140" i="81" s="1"/>
  <c r="G140" i="81" a="1"/>
  <c r="G140" i="81" s="1"/>
  <c r="I77" i="81" a="1"/>
  <c r="I77" i="81" s="1"/>
  <c r="G77" i="81" a="1"/>
  <c r="G77" i="81" s="1"/>
  <c r="F77" i="81" a="1"/>
  <c r="F77" i="81" s="1"/>
  <c r="J77" i="81" a="1"/>
  <c r="J77" i="81" s="1"/>
  <c r="H77" i="81" a="1"/>
  <c r="H77" i="81" s="1"/>
  <c r="Q140" i="81" a="1"/>
  <c r="Q140" i="81" s="1"/>
  <c r="T140" i="81" a="1"/>
  <c r="T140" i="81" s="1"/>
  <c r="S140" i="81" a="1"/>
  <c r="S140" i="81" s="1"/>
  <c r="R140" i="81" a="1"/>
  <c r="R140" i="81" s="1"/>
  <c r="U140" i="81" a="1"/>
  <c r="U140" i="81" s="1"/>
  <c r="J141" i="81" a="1"/>
  <c r="J141" i="81" s="1"/>
  <c r="I141" i="81" a="1"/>
  <c r="I141" i="81" s="1"/>
  <c r="H141" i="81" a="1"/>
  <c r="H141" i="81" s="1"/>
  <c r="G141" i="81" a="1"/>
  <c r="G141" i="81" s="1"/>
  <c r="F141" i="81" a="1"/>
  <c r="F141" i="81" s="1"/>
  <c r="G139" i="81" a="1"/>
  <c r="G139" i="81" s="1"/>
  <c r="I139" i="81" a="1"/>
  <c r="I139" i="81" s="1"/>
  <c r="H139" i="81" a="1"/>
  <c r="H139" i="81" s="1"/>
  <c r="F139" i="81" a="1"/>
  <c r="F139" i="81" s="1"/>
  <c r="J139" i="81" a="1"/>
  <c r="J139" i="81" s="1"/>
  <c r="U107" i="81" a="1"/>
  <c r="U107" i="81" s="1"/>
  <c r="R107" i="81" a="1"/>
  <c r="R107" i="81" s="1"/>
  <c r="T107" i="81" a="1"/>
  <c r="T107" i="81" s="1"/>
  <c r="S107" i="81" a="1"/>
  <c r="S107" i="81" s="1"/>
  <c r="Q107" i="81" a="1"/>
  <c r="Q107" i="81" s="1"/>
  <c r="H111" i="81" a="1"/>
  <c r="H111" i="81" s="1"/>
  <c r="G111" i="81" a="1"/>
  <c r="G111" i="81" s="1"/>
  <c r="I111" i="81" a="1"/>
  <c r="I111" i="81" s="1"/>
  <c r="F111" i="81" a="1"/>
  <c r="F111" i="81" s="1"/>
  <c r="J111" i="81" a="1"/>
  <c r="J111" i="81" s="1"/>
  <c r="F109" i="81" a="1"/>
  <c r="F109" i="81" s="1"/>
  <c r="H109" i="81" a="1"/>
  <c r="H109" i="81" s="1"/>
  <c r="J109" i="81" a="1"/>
  <c r="J109" i="81" s="1"/>
  <c r="I109" i="81" a="1"/>
  <c r="I109" i="81" s="1"/>
  <c r="G109" i="81" a="1"/>
  <c r="G109" i="81" s="1"/>
  <c r="R139" i="81" a="1"/>
  <c r="R139" i="81" s="1"/>
  <c r="U139" i="81" a="1"/>
  <c r="U139" i="81" s="1"/>
  <c r="T139" i="81" a="1"/>
  <c r="T139" i="81" s="1"/>
  <c r="S139" i="81" a="1"/>
  <c r="S139" i="81" s="1"/>
  <c r="Q139" i="81" a="1"/>
  <c r="Q139" i="81" s="1"/>
  <c r="G81" i="81" a="1"/>
  <c r="G81" i="81" s="1"/>
  <c r="J81" i="81" a="1"/>
  <c r="J81" i="81" s="1"/>
  <c r="F81" i="81" a="1"/>
  <c r="F81" i="81" s="1"/>
  <c r="I81" i="81" a="1"/>
  <c r="I81" i="81" s="1"/>
  <c r="H81" i="81" a="1"/>
  <c r="H81" i="81" s="1"/>
  <c r="G113" i="81" a="1"/>
  <c r="G113" i="81" s="1"/>
  <c r="J113" i="81" a="1"/>
  <c r="J113" i="81" s="1"/>
  <c r="I113" i="81" a="1"/>
  <c r="I113" i="81" s="1"/>
  <c r="H113" i="81" a="1"/>
  <c r="H113" i="81" s="1"/>
  <c r="F113" i="81" a="1"/>
  <c r="F113" i="81" s="1"/>
  <c r="S82" i="81" a="1"/>
  <c r="S82" i="81" s="1"/>
  <c r="R82" i="81" a="1"/>
  <c r="R82" i="81" s="1"/>
  <c r="U82" i="81" a="1"/>
  <c r="U82" i="81" s="1"/>
  <c r="Q82" i="81" a="1"/>
  <c r="Q82" i="81" s="1"/>
  <c r="T82" i="81" a="1"/>
  <c r="T82" i="81" s="1"/>
  <c r="T146" i="81" a="1"/>
  <c r="T146" i="81" s="1"/>
  <c r="Q146" i="81" a="1"/>
  <c r="Q146" i="81" s="1"/>
  <c r="U146" i="81" a="1"/>
  <c r="U146" i="81" s="1"/>
  <c r="S146" i="81" a="1"/>
  <c r="S146" i="81" s="1"/>
  <c r="R146" i="81" a="1"/>
  <c r="R146" i="81" s="1"/>
  <c r="U141" i="81" a="1"/>
  <c r="U141" i="81" s="1"/>
  <c r="R141" i="81" a="1"/>
  <c r="R141" i="81" s="1"/>
  <c r="T141" i="81" a="1"/>
  <c r="T141" i="81" s="1"/>
  <c r="S141" i="81" a="1"/>
  <c r="S141" i="81" s="1"/>
  <c r="Q141" i="81" a="1"/>
  <c r="Q141" i="81" s="1"/>
  <c r="J107" i="81" a="1"/>
  <c r="J107" i="81" s="1"/>
  <c r="F107" i="81" a="1"/>
  <c r="F107" i="81" s="1"/>
  <c r="I107" i="81" a="1"/>
  <c r="I107" i="81" s="1"/>
  <c r="H107" i="81" a="1"/>
  <c r="H107" i="81" s="1"/>
  <c r="G107" i="81" a="1"/>
  <c r="G107" i="81" s="1"/>
  <c r="J79" i="81" a="1"/>
  <c r="J79" i="81" s="1"/>
  <c r="F79" i="81" a="1"/>
  <c r="F79" i="81" s="1"/>
  <c r="I79" i="81" a="1"/>
  <c r="I79" i="81" s="1"/>
  <c r="H79" i="81" a="1"/>
  <c r="H79" i="81" s="1"/>
  <c r="G79" i="81" a="1"/>
  <c r="G79" i="81" s="1"/>
  <c r="R77" i="81" a="1"/>
  <c r="R77" i="81" s="1"/>
  <c r="Q77" i="81" a="1"/>
  <c r="Q77" i="81" s="1"/>
  <c r="S77" i="81" a="1"/>
  <c r="S77" i="81" s="1"/>
  <c r="U77" i="81" a="1"/>
  <c r="U77" i="81" s="1"/>
  <c r="T77" i="81" a="1"/>
  <c r="T77" i="81" s="1"/>
  <c r="T111" i="81" a="1"/>
  <c r="T111" i="81" s="1"/>
  <c r="S111" i="81" a="1"/>
  <c r="S111" i="81" s="1"/>
  <c r="R111" i="81" a="1"/>
  <c r="R111" i="81" s="1"/>
  <c r="Q111" i="81" a="1"/>
  <c r="Q111" i="81" s="1"/>
  <c r="U111" i="81" a="1"/>
  <c r="U111" i="81" s="1"/>
  <c r="G83" i="81" a="1"/>
  <c r="G83" i="81" s="1"/>
  <c r="J83" i="81" a="1"/>
  <c r="J83" i="81" s="1"/>
  <c r="H83" i="81" a="1"/>
  <c r="H83" i="81" s="1"/>
  <c r="I83" i="81" a="1"/>
  <c r="I83" i="81" s="1"/>
  <c r="F83" i="81" a="1"/>
  <c r="F83" i="81" s="1"/>
  <c r="R109" i="81" a="1"/>
  <c r="R109" i="81" s="1"/>
  <c r="Q109" i="81" a="1"/>
  <c r="Q109" i="81" s="1"/>
  <c r="U109" i="81" a="1"/>
  <c r="U109" i="81" s="1"/>
  <c r="T109" i="81" a="1"/>
  <c r="T109" i="81" s="1"/>
  <c r="S109" i="81" a="1"/>
  <c r="S109" i="81" s="1"/>
  <c r="I244" i="69" a="1"/>
  <c r="I244" i="69" s="1"/>
  <c r="I297" i="69" s="1" a="1"/>
  <c r="I297" i="69" s="1"/>
  <c r="J243" i="69" a="1"/>
  <c r="J243" i="69" s="1"/>
  <c r="J296" i="69" s="1" a="1"/>
  <c r="J296" i="69" s="1"/>
  <c r="F242" i="69" a="1"/>
  <c r="F242" i="69" s="1"/>
  <c r="F295" i="69" s="1" a="1"/>
  <c r="F295" i="69" s="1"/>
  <c r="I240" i="69" a="1"/>
  <c r="I240" i="69" s="1"/>
  <c r="I293" i="69" s="1" a="1"/>
  <c r="I293" i="69" s="1"/>
  <c r="G239" i="69" a="1"/>
  <c r="G239" i="69" s="1"/>
  <c r="G292" i="69" s="1" a="1"/>
  <c r="G292" i="69" s="1"/>
  <c r="J238" i="69" a="1"/>
  <c r="J238" i="69" s="1"/>
  <c r="J291" i="69" s="1" a="1"/>
  <c r="J291" i="69" s="1"/>
  <c r="U240" i="69" a="1"/>
  <c r="U240" i="69" s="1"/>
  <c r="U293" i="69" s="1" a="1"/>
  <c r="U293" i="69" s="1"/>
  <c r="T240" i="69" a="1"/>
  <c r="T240" i="69" s="1"/>
  <c r="T293" i="69" s="1" a="1"/>
  <c r="T293" i="69" s="1"/>
  <c r="Q240" i="69" a="1"/>
  <c r="Q240" i="69" s="1"/>
  <c r="Q293" i="69" s="1" a="1"/>
  <c r="Q293" i="69" s="1"/>
  <c r="S240" i="69" a="1"/>
  <c r="S240" i="69" s="1"/>
  <c r="S293" i="69" s="1" a="1"/>
  <c r="S293" i="69" s="1"/>
  <c r="R240" i="69" a="1"/>
  <c r="R240" i="69" s="1"/>
  <c r="R293" i="69" s="1" a="1"/>
  <c r="R293" i="69" s="1"/>
  <c r="U244" i="69" a="1"/>
  <c r="U244" i="69" s="1"/>
  <c r="U297" i="69" s="1" a="1"/>
  <c r="U297" i="69" s="1"/>
  <c r="Q244" i="69" a="1"/>
  <c r="Q244" i="69" s="1"/>
  <c r="Q297" i="69" s="1" a="1"/>
  <c r="Q297" i="69" s="1"/>
  <c r="T244" i="69" a="1"/>
  <c r="T244" i="69" s="1"/>
  <c r="T297" i="69" s="1" a="1"/>
  <c r="T297" i="69" s="1"/>
  <c r="R244" i="69" a="1"/>
  <c r="R244" i="69" s="1"/>
  <c r="R297" i="69" s="1" a="1"/>
  <c r="R297" i="69" s="1"/>
  <c r="S244" i="69" a="1"/>
  <c r="S244" i="69" s="1"/>
  <c r="S297" i="69" s="1" a="1"/>
  <c r="S297" i="69" s="1"/>
  <c r="U243" i="69" a="1"/>
  <c r="U243" i="69" s="1"/>
  <c r="U296" i="69" s="1" a="1"/>
  <c r="U296" i="69" s="1"/>
  <c r="Q243" i="69" a="1"/>
  <c r="Q243" i="69" s="1"/>
  <c r="Q296" i="69" s="1" a="1"/>
  <c r="Q296" i="69" s="1"/>
  <c r="T243" i="69" a="1"/>
  <c r="T243" i="69" s="1"/>
  <c r="T296" i="69" s="1" a="1"/>
  <c r="T296" i="69" s="1"/>
  <c r="R243" i="69" a="1"/>
  <c r="R243" i="69" s="1"/>
  <c r="R296" i="69" s="1" a="1"/>
  <c r="R296" i="69" s="1"/>
  <c r="S243" i="69" a="1"/>
  <c r="S243" i="69" s="1"/>
  <c r="S296" i="69" s="1" a="1"/>
  <c r="S296" i="69" s="1"/>
  <c r="G244" i="69" a="1"/>
  <c r="G244" i="69" s="1"/>
  <c r="G297" i="69" s="1" a="1"/>
  <c r="G297" i="69" s="1"/>
  <c r="H239" i="69" a="1"/>
  <c r="H239" i="69" s="1"/>
  <c r="H292" i="69" s="1" a="1"/>
  <c r="H292" i="69" s="1"/>
  <c r="I241" i="69" a="1"/>
  <c r="I241" i="69" s="1"/>
  <c r="I294" i="69" s="1" a="1"/>
  <c r="I294" i="69" s="1"/>
  <c r="H244" i="69" a="1"/>
  <c r="H244" i="69" s="1"/>
  <c r="H297" i="69" s="1" a="1"/>
  <c r="H297" i="69" s="1"/>
  <c r="H243" i="69" a="1"/>
  <c r="H243" i="69" s="1"/>
  <c r="H296" i="69" s="1" a="1"/>
  <c r="H296" i="69" s="1"/>
  <c r="I237" i="69" a="1"/>
  <c r="I237" i="69" s="1"/>
  <c r="I290" i="69" s="1" a="1"/>
  <c r="I290" i="69" s="1"/>
  <c r="F244" i="69" a="1"/>
  <c r="F244" i="69" s="1"/>
  <c r="F297" i="69" s="1" a="1"/>
  <c r="F297" i="69" s="1"/>
  <c r="F239" i="69" a="1"/>
  <c r="F239" i="69" s="1"/>
  <c r="F292" i="69" s="1" a="1"/>
  <c r="F292" i="69" s="1"/>
  <c r="J237" i="69" a="1"/>
  <c r="J237" i="69" s="1"/>
  <c r="J290" i="69" s="1" a="1"/>
  <c r="J290" i="69" s="1"/>
  <c r="F240" i="69" a="1"/>
  <c r="F240" i="69" s="1"/>
  <c r="F293" i="69" s="1" a="1"/>
  <c r="F293" i="69" s="1"/>
  <c r="F243" i="69" a="1"/>
  <c r="F243" i="69" s="1"/>
  <c r="F296" i="69" s="1" a="1"/>
  <c r="F296" i="69" s="1"/>
  <c r="J241" i="69" a="1"/>
  <c r="J241" i="69" s="1"/>
  <c r="J294" i="69" s="1" a="1"/>
  <c r="J294" i="69" s="1"/>
  <c r="J240" i="69" a="1"/>
  <c r="J240" i="69" s="1"/>
  <c r="J293" i="69" s="1" a="1"/>
  <c r="J293" i="69" s="1"/>
  <c r="I238" i="69" a="1"/>
  <c r="I238" i="69" s="1"/>
  <c r="I291" i="69" s="1" a="1"/>
  <c r="I291" i="69" s="1"/>
  <c r="G237" i="69" a="1"/>
  <c r="G237" i="69" s="1"/>
  <c r="G290" i="69" s="1" a="1"/>
  <c r="G290" i="69" s="1"/>
  <c r="I242" i="69" a="1"/>
  <c r="I242" i="69" s="1"/>
  <c r="I295" i="69" s="1" a="1"/>
  <c r="I295" i="69" s="1"/>
  <c r="H241" i="69" a="1"/>
  <c r="H241" i="69" s="1"/>
  <c r="H294" i="69" s="1" a="1"/>
  <c r="H294" i="69" s="1"/>
  <c r="G240" i="69" a="1"/>
  <c r="G240" i="69" s="1"/>
  <c r="G293" i="69" s="1" a="1"/>
  <c r="G293" i="69" s="1"/>
  <c r="G238" i="69" a="1"/>
  <c r="G238" i="69" s="1"/>
  <c r="G291" i="69" s="1" a="1"/>
  <c r="G291" i="69" s="1"/>
  <c r="F237" i="69" a="1"/>
  <c r="F237" i="69" s="1"/>
  <c r="F290" i="69" s="1" a="1"/>
  <c r="F290" i="69" s="1"/>
  <c r="G242" i="69" a="1"/>
  <c r="G242" i="69" s="1"/>
  <c r="G295" i="69" s="1" a="1"/>
  <c r="G295" i="69" s="1"/>
  <c r="G241" i="69" a="1"/>
  <c r="G241" i="69" s="1"/>
  <c r="G294" i="69" s="1" a="1"/>
  <c r="G294" i="69" s="1"/>
  <c r="T237" i="69" a="1"/>
  <c r="T237" i="69" s="1"/>
  <c r="T290" i="69" s="1" a="1"/>
  <c r="T290" i="69" s="1"/>
  <c r="U237" i="69" a="1"/>
  <c r="U237" i="69" s="1"/>
  <c r="U290" i="69" s="1" a="1"/>
  <c r="U290" i="69" s="1"/>
  <c r="Q237" i="69" a="1"/>
  <c r="Q237" i="69" s="1"/>
  <c r="Q290" i="69" s="1" a="1"/>
  <c r="Q290" i="69" s="1"/>
  <c r="R237" i="69" a="1"/>
  <c r="R237" i="69" s="1"/>
  <c r="R290" i="69" s="1" a="1"/>
  <c r="R290" i="69" s="1"/>
  <c r="S237" i="69" a="1"/>
  <c r="S237" i="69" s="1"/>
  <c r="S290" i="69" s="1" a="1"/>
  <c r="S290" i="69" s="1"/>
  <c r="T239" i="69" a="1"/>
  <c r="T239" i="69" s="1"/>
  <c r="T292" i="69" s="1" a="1"/>
  <c r="T292" i="69" s="1"/>
  <c r="U239" i="69" a="1"/>
  <c r="U239" i="69" s="1"/>
  <c r="U292" i="69" s="1" a="1"/>
  <c r="U292" i="69" s="1"/>
  <c r="Q239" i="69" a="1"/>
  <c r="Q239" i="69" s="1"/>
  <c r="Q292" i="69" s="1" a="1"/>
  <c r="Q292" i="69" s="1"/>
  <c r="R239" i="69" a="1"/>
  <c r="R239" i="69" s="1"/>
  <c r="R292" i="69" s="1" a="1"/>
  <c r="R292" i="69" s="1"/>
  <c r="S239" i="69" a="1"/>
  <c r="S239" i="69" s="1"/>
  <c r="S292" i="69" s="1" a="1"/>
  <c r="S292" i="69" s="1"/>
  <c r="U242" i="69" a="1"/>
  <c r="U242" i="69" s="1"/>
  <c r="U295" i="69" s="1" a="1"/>
  <c r="U295" i="69" s="1"/>
  <c r="T242" i="69" a="1"/>
  <c r="T242" i="69" s="1"/>
  <c r="T295" i="69" s="1" a="1"/>
  <c r="T295" i="69" s="1"/>
  <c r="Q242" i="69" a="1"/>
  <c r="Q242" i="69" s="1"/>
  <c r="Q295" i="69" s="1" a="1"/>
  <c r="Q295" i="69" s="1"/>
  <c r="R242" i="69" a="1"/>
  <c r="R242" i="69" s="1"/>
  <c r="R295" i="69" s="1" a="1"/>
  <c r="R295" i="69" s="1"/>
  <c r="S242" i="69" a="1"/>
  <c r="S242" i="69" s="1"/>
  <c r="S295" i="69" s="1" a="1"/>
  <c r="S295" i="69" s="1"/>
  <c r="I243" i="69" a="1"/>
  <c r="I243" i="69" s="1"/>
  <c r="I296" i="69" s="1" a="1"/>
  <c r="I296" i="69" s="1"/>
  <c r="J242" i="69" a="1"/>
  <c r="J242" i="69" s="1"/>
  <c r="J295" i="69" s="1" a="1"/>
  <c r="J295" i="69" s="1"/>
  <c r="I239" i="69" a="1"/>
  <c r="I239" i="69" s="1"/>
  <c r="I292" i="69" s="1" a="1"/>
  <c r="I292" i="69" s="1"/>
  <c r="H238" i="69" a="1"/>
  <c r="H238" i="69" s="1"/>
  <c r="H291" i="69" s="1" a="1"/>
  <c r="H291" i="69" s="1"/>
  <c r="U238" i="69" a="1"/>
  <c r="U238" i="69" s="1"/>
  <c r="U291" i="69" s="1" a="1"/>
  <c r="U291" i="69" s="1"/>
  <c r="Q238" i="69" a="1"/>
  <c r="Q238" i="69" s="1"/>
  <c r="Q291" i="69" s="1" a="1"/>
  <c r="Q291" i="69" s="1"/>
  <c r="T238" i="69" a="1"/>
  <c r="T238" i="69" s="1"/>
  <c r="T291" i="69" s="1" a="1"/>
  <c r="T291" i="69" s="1"/>
  <c r="S238" i="69" a="1"/>
  <c r="S238" i="69" s="1"/>
  <c r="S291" i="69" s="1" a="1"/>
  <c r="S291" i="69" s="1"/>
  <c r="R238" i="69" a="1"/>
  <c r="R238" i="69" s="1"/>
  <c r="R291" i="69" s="1" a="1"/>
  <c r="R291" i="69" s="1"/>
  <c r="T241" i="69" a="1"/>
  <c r="T241" i="69" s="1"/>
  <c r="T294" i="69" s="1" a="1"/>
  <c r="T294" i="69" s="1"/>
  <c r="U241" i="69" a="1"/>
  <c r="U241" i="69" s="1"/>
  <c r="U294" i="69" s="1" a="1"/>
  <c r="U294" i="69" s="1"/>
  <c r="Q241" i="69" a="1"/>
  <c r="Q241" i="69" s="1"/>
  <c r="Q294" i="69" s="1" a="1"/>
  <c r="Q294" i="69" s="1"/>
  <c r="S241" i="69" a="1"/>
  <c r="S241" i="69" s="1"/>
  <c r="S294" i="69" s="1" a="1"/>
  <c r="S294" i="69" s="1"/>
  <c r="R241" i="69" a="1"/>
  <c r="R241" i="69" s="1"/>
  <c r="R294" i="69" s="1" a="1"/>
  <c r="R294" i="69" s="1"/>
  <c r="E10" i="13"/>
  <c r="F291" i="69" a="1"/>
  <c r="F291" i="69" s="1"/>
  <c r="F294" i="69" a="1"/>
  <c r="F294" i="69" s="1"/>
  <c r="H293" i="69" a="1"/>
  <c r="H293" i="69" s="1"/>
  <c r="J297" i="69" a="1"/>
  <c r="J297" i="69" s="1"/>
  <c r="J292" i="69" a="1"/>
  <c r="J292" i="69" s="1"/>
  <c r="H295" i="69" a="1"/>
  <c r="H295" i="69" s="1"/>
  <c r="H290" i="69" a="1"/>
  <c r="H290" i="69" s="1"/>
  <c r="G296" i="69" a="1"/>
  <c r="G296" i="69" s="1"/>
  <c r="F10" i="13"/>
  <c r="G70" i="82"/>
  <c r="E73" i="82" s="1" a="1"/>
  <c r="E73" i="82" s="1"/>
  <c r="H9" i="13" s="1"/>
  <c r="E287" i="76"/>
  <c r="O287" i="76"/>
  <c r="F8" i="13" s="1"/>
  <c r="P299" i="69" l="1"/>
  <c r="R301" i="69" s="1"/>
  <c r="P304" i="69" s="1" a="1"/>
  <c r="P304" i="69" s="1"/>
  <c r="I7" i="13" s="1"/>
  <c r="E299" i="69"/>
  <c r="G301" i="69" s="1"/>
  <c r="E304" i="69" s="1" a="1"/>
  <c r="E304" i="69" s="1"/>
  <c r="H7" i="13" s="1"/>
  <c r="E85" i="81"/>
  <c r="E20" i="13" s="1"/>
  <c r="P115" i="81"/>
  <c r="E115" i="81"/>
  <c r="E22" i="13" s="1"/>
  <c r="E148" i="81"/>
  <c r="E21" i="13" s="1"/>
  <c r="P148" i="81"/>
  <c r="Q289" i="76"/>
  <c r="O292" i="76" s="1" a="1"/>
  <c r="O292" i="76" s="1"/>
  <c r="I8" i="13" s="1"/>
  <c r="G289" i="76"/>
  <c r="E292" i="76" s="1" a="1"/>
  <c r="E292" i="76" s="1"/>
  <c r="H8" i="13" s="1"/>
  <c r="E8" i="13"/>
  <c r="F7" i="13" l="1"/>
  <c r="E7" i="13"/>
  <c r="I14" i="13"/>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<sst xmlns="http://schemas.openxmlformats.org/spreadsheetml/2006/main" count="1645" uniqueCount="463">
  <si>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</si>
  <si>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</si>
  <si>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</si>
  <si>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</si>
  <si>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</si>
  <si>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</si>
  <si>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</si>
  <si>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</si>
  <si>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</si>
  <si>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</si>
  <si>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</si>
  <si>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</si>
  <si>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</si>
  <si>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</si>
  <si>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</si>
  <si>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</si>
  <si>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</si>
  <si>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</si>
  <si>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 xml:space="preserve"> </t>
  </si>
  <si>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</si>
  <si>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</si>
  <si>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</si>
  <si>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</si>
  <si>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</si>
  <si>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</si>
  <si>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</si>
  <si>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</si>
  <si>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</si>
  <si>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</si>
  <si>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</si>
  <si>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</si>
  <si>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</si>
  <si>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</si>
  <si>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</si>
  <si>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</si>
  <si>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</si>
  <si>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</si>
  <si>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</si>
  <si>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</si>
  <si>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</si>
  <si>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</si>
  <si>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</si>
  <si>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</si>
  <si>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</si>
  <si>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</si>
  <si>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</si>
  <si>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</si>
  <si>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</si>
  <si>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</si>
  <si>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</si>
  <si>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</si>
  <si>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</si>
  <si>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</si>
  <si>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</si>
  <si>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</si>
  <si>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</si>
  <si>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</si>
  <si>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</si>
  <si>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</si>
  <si>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</si>
  <si>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</si>
  <si>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</si>
  <si>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</si>
  <si>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</si>
  <si>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</si>
  <si>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</si>
  <si>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</si>
  <si>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</si>
  <si>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</si>
  <si>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</si>
  <si>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</si>
  <si>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</si>
  <si>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</si>
  <si>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</si>
  <si>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</si>
  <si>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</si>
  <si>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</si>
  <si>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</si>
  <si>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</si>
  <si>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</si>
  <si>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</si>
  <si>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</si>
  <si>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</si>
  <si>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</si>
  <si>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</si>
  <si>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</si>
  <si>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</si>
  <si>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</si>
  <si>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</si>
  <si>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</si>
  <si>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</si>
  <si>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</si>
  <si>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</si>
  <si>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</si>
  <si>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</si>
  <si>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</si>
  <si>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</si>
  <si>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</si>
  <si>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</si>
  <si>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</si>
  <si>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</si>
  <si>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</si>
  <si>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MMS m</t>
  </si>
  <si>
    <t>Stage 1 MMS</t>
  </si>
  <si>
    <t>Manure management systems</t>
  </si>
  <si>
    <t>New South Wales</t>
  </si>
  <si>
    <t>Herd movement</t>
  </si>
  <si>
    <t>Duration of stay</t>
  </si>
  <si>
    <t>head</t>
  </si>
  <si>
    <t>Table_N_j</t>
  </si>
  <si>
    <t>Head</t>
  </si>
  <si>
    <r>
      <t>E</t>
    </r>
    <r>
      <rPr>
        <vertAlign val="subscript"/>
        <sz val="12"/>
        <color theme="1" tint="0.24994659260841701"/>
        <rFont val="Times New Roman"/>
        <family val="1"/>
      </rPr>
      <t>CO2e</t>
    </r>
  </si>
  <si>
    <t>Formula name</t>
  </si>
  <si>
    <t>Crude protein</t>
  </si>
  <si>
    <t>M1_Table_I_j</t>
  </si>
  <si>
    <t>M1_Table_CP_j</t>
  </si>
  <si>
    <t>M2_Table_I_j</t>
  </si>
  <si>
    <t>M1_Table_NR_j</t>
  </si>
  <si>
    <t>M2_Table_NR_j</t>
  </si>
  <si>
    <t>M1_Table_NE_j</t>
  </si>
  <si>
    <t>M2_Table_NE_j</t>
  </si>
  <si>
    <t>Method 1</t>
  </si>
  <si>
    <t>Method 2</t>
  </si>
  <si>
    <t>M1_Table_AE_j</t>
  </si>
  <si>
    <r>
      <t>E</t>
    </r>
    <r>
      <rPr>
        <b/>
        <vertAlign val="subscript"/>
        <sz val="16"/>
        <color theme="1" tint="0.24994659260841701"/>
        <rFont val="Times New Roman"/>
        <family val="1"/>
      </rPr>
      <t>N2O,dir</t>
    </r>
  </si>
  <si>
    <t>M1_Table_E_N2O_dir</t>
  </si>
  <si>
    <t>M1_Table_DMD_j</t>
  </si>
  <si>
    <t>M1_Table_VS_j</t>
  </si>
  <si>
    <t>Dry matter digestibility (Method 1)</t>
  </si>
  <si>
    <t>M2_Table_DMD_j</t>
  </si>
  <si>
    <t>M2_Table_VS_j</t>
  </si>
  <si>
    <t>ECH4 (Method 1)</t>
  </si>
  <si>
    <r>
      <t>E</t>
    </r>
    <r>
      <rPr>
        <vertAlign val="subscript"/>
        <sz val="12"/>
        <color theme="1" tint="0.24994659260841701"/>
        <rFont val="Times New Roman"/>
        <family val="1"/>
      </rPr>
      <t>CO2e</t>
    </r>
    <r>
      <rPr>
        <sz val="12"/>
        <color theme="1" tint="0.24994659260841701"/>
        <rFont val="Times New Roman"/>
        <family val="1"/>
      </rPr>
      <t xml:space="preserve"> (Method 1)</t>
    </r>
  </si>
  <si>
    <t>kg N</t>
  </si>
  <si>
    <r>
      <t>MNSoil</t>
    </r>
    <r>
      <rPr>
        <b/>
        <vertAlign val="subscript"/>
        <sz val="16"/>
        <color theme="1" tint="0.24994659260841701"/>
        <rFont val="Times New Roman"/>
        <family val="1"/>
      </rPr>
      <t>scope1</t>
    </r>
  </si>
  <si>
    <t>Table_PF_fert</t>
  </si>
  <si>
    <t>Fraction of manure applied to as fertiliser on own farm from MMS</t>
  </si>
  <si>
    <t>M1_Table_MNSoil_scope3_fert</t>
  </si>
  <si>
    <t>M2_Table_MNSoil_scope3_fert</t>
  </si>
  <si>
    <t>Mass of N applied to own farm as fertiliser (Method 2)</t>
  </si>
  <si>
    <t>Mass of N applied to own farm as fertiliser (Method 1)</t>
  </si>
  <si>
    <r>
      <t>MNSoil</t>
    </r>
    <r>
      <rPr>
        <b/>
        <vertAlign val="subscript"/>
        <sz val="16"/>
        <color theme="1" tint="0.24994659260841701"/>
        <rFont val="Times New Roman"/>
        <family val="1"/>
      </rPr>
      <t>scope3,fert</t>
    </r>
  </si>
  <si>
    <t>Scope 1 source</t>
  </si>
  <si>
    <t>Where deposited on farm soils as waste, what is the closest match?</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</si>
  <si>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</si>
  <si>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</si>
  <si>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</si>
  <si>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</si>
  <si>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</si>
  <si>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</si>
  <si>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</si>
  <si>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</si>
  <si>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</si>
  <si>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</si>
  <si>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</si>
  <si>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</si>
  <si>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</si>
  <si>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</si>
  <si>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</si>
  <si>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</si>
  <si>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</si>
  <si>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</si>
  <si>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</si>
  <si>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Amount of N in manure</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</si>
  <si>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</si>
  <si>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</si>
  <si>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</si>
  <si>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</si>
  <si>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</si>
  <si>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</si>
  <si>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</si>
  <si>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</si>
  <si>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</si>
  <si>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</si>
  <si>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</si>
  <si>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</si>
  <si>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</si>
  <si>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</si>
  <si>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</si>
  <si>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</si>
  <si>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</si>
  <si>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</si>
  <si>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</si>
  <si>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</si>
  <si>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</si>
  <si>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</si>
  <si>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</si>
  <si>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</si>
  <si>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</si>
  <si>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</si>
  <si>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</si>
  <si>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</si>
  <si>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</si>
  <si>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</si>
  <si>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</si>
  <si>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</si>
  <si>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</si>
  <si>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</si>
  <si>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</si>
  <si>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</si>
  <si>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</si>
  <si>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</si>
  <si>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</si>
  <si>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Time spent in production systems</t>
  </si>
  <si>
    <t>Feed pad</t>
  </si>
  <si>
    <t>Production system template</t>
  </si>
  <si>
    <t>Duplicate of data in table 1.3.7</t>
  </si>
  <si>
    <t>Method 2 custom values (Edit if known)</t>
  </si>
  <si>
    <t>Method 1 default values (Do not edit)</t>
  </si>
  <si>
    <t>Yes</t>
  </si>
  <si>
    <t>Production systems</t>
  </si>
  <si>
    <t>No</t>
  </si>
  <si>
    <t>System 3: Pasture-grazed 3-9 months/year</t>
  </si>
  <si>
    <t>Dry matter intake</t>
  </si>
  <si>
    <t>Diet</t>
  </si>
  <si>
    <t>kgDM/head/day</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</si>
  <si>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</si>
  <si>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</si>
  <si>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</si>
  <si>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</si>
  <si>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</si>
  <si>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</si>
  <si>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</si>
  <si>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</si>
  <si>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</si>
  <si>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</si>
  <si>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</si>
  <si>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</si>
  <si>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</si>
  <si>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</si>
  <si>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</si>
  <si>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</si>
  <si>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</si>
  <si>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</si>
  <si>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</si>
  <si>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</si>
  <si>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</si>
  <si>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</si>
  <si>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</si>
  <si>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</si>
  <si>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</si>
  <si>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</si>
  <si>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</si>
  <si>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</si>
  <si>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Volatile solids for weaned cattle (Method 1)</t>
  </si>
  <si>
    <t>Volatile solids for weaned cattle (Method 2)</t>
  </si>
  <si>
    <t>Fraction volatile solids to MMS other than solid storage (Method 1)</t>
  </si>
  <si>
    <t>M1_Table_FVS_j_m</t>
  </si>
  <si>
    <t>M1_Table_SS_m</t>
  </si>
  <si>
    <t>SS</t>
  </si>
  <si>
    <t>M1_Table_MMS_j_m</t>
  </si>
  <si>
    <t>Fraction of manure in each MMS prior to solid separation (Method 1)</t>
  </si>
  <si>
    <t>M2_Table_MMS_j_m</t>
  </si>
  <si>
    <t>Fraction of manure in each MMS prior to solid separation (Method 2)</t>
  </si>
  <si>
    <t>M2_Table_SS_m</t>
  </si>
  <si>
    <t>M1_Table_MMS_j_m-4</t>
  </si>
  <si>
    <t>Fraction volatile solids to in solid storage before transfer (Method 1)</t>
  </si>
  <si>
    <t>Fraction volatile solids separated to solid storage (Method 1)</t>
  </si>
  <si>
    <t>Fraction volatile solids separated to solid storage (Method 2)</t>
  </si>
  <si>
    <t>M1_Table_FVS_j_m-4</t>
  </si>
  <si>
    <t>Fraction volatile solids to in solid storage (Method 1)</t>
  </si>
  <si>
    <t>M2_Table_MMS_j_m-4</t>
  </si>
  <si>
    <t>Fraction volatile solids to in solid storage before transfer (Method 2)</t>
  </si>
  <si>
    <t>M2_Table_FVS_j_m-4</t>
  </si>
  <si>
    <t>Fraction volatile solids to in solid storage (Method 2)</t>
  </si>
  <si>
    <t>M1_Table_MCF_i_m</t>
  </si>
  <si>
    <t>Methane conversion factor for state (Method 1)</t>
  </si>
  <si>
    <t>M1_M_j_m</t>
  </si>
  <si>
    <t>Number of dairy cattle in all classes</t>
  </si>
  <si>
    <t>M1_Table_D_j</t>
  </si>
  <si>
    <t>M1_Table_DPW_j</t>
  </si>
  <si>
    <t>Table_MPW_manure_j-3-5</t>
  </si>
  <si>
    <t>Methane production of pre-weaned cattle</t>
  </si>
  <si>
    <t>M1_Table_E_CH4</t>
  </si>
  <si>
    <t>CH4/head/day</t>
  </si>
  <si>
    <t>M1_Table_D_j-1-2-4</t>
  </si>
  <si>
    <t>t CH4</t>
  </si>
  <si>
    <t>Duration of stay of weaned dairy cattle in all classes (Method 1)</t>
  </si>
  <si>
    <t>Duration of stay of of pre-weaned dairy cattle in all classes (Method 1)</t>
  </si>
  <si>
    <t>M2_Table_D_j</t>
  </si>
  <si>
    <t>Duration of stay of weaned dairy cattle in all classes (Method 2)</t>
  </si>
  <si>
    <t>M2_M_j_m</t>
  </si>
  <si>
    <t>Methane from manure production of weaned cattle (Method 2)</t>
  </si>
  <si>
    <t>Methane from manure production of weaned cattle (Method 1)</t>
  </si>
  <si>
    <t>Methane production from manure management (Method 1)</t>
  </si>
  <si>
    <t>4.3.1.1-2 Manure Methane</t>
  </si>
  <si>
    <t>4.3.1.3-4 Manure Direct N2O</t>
  </si>
  <si>
    <t>Table_WR_j</t>
  </si>
  <si>
    <t>Reference weight for each animal class</t>
  </si>
  <si>
    <t>M1_Table_Z_j</t>
  </si>
  <si>
    <t>Relative size for each animal class (Method 1)</t>
  </si>
  <si>
    <t>M1_Table_L_j</t>
  </si>
  <si>
    <t>Intake relative to maintenance (Method 1)</t>
  </si>
  <si>
    <t>M2_Table_L_j</t>
  </si>
  <si>
    <t>Intake relative to maintenance (Method 2)</t>
  </si>
  <si>
    <t>Nitrogen retained in the body for each animal class j (Method 1)</t>
  </si>
  <si>
    <t>Nitrogen retained in the body for each animal class j (Method 2)</t>
  </si>
  <si>
    <t>Crude protein content of feed intake for each animal class j (Method 1)</t>
  </si>
  <si>
    <t>M1_Table_CPI_j</t>
  </si>
  <si>
    <t>Crude protein intake for each animal class j (Method 1)</t>
  </si>
  <si>
    <t>Nitrogen excreted for each animal class j (Method 1)</t>
  </si>
  <si>
    <t>Nitrogen excreted for each animal class j (Method 2)</t>
  </si>
  <si>
    <t>M1_Table_AE_j-1-2-4</t>
  </si>
  <si>
    <t>Total annual nitrogen excreted cattle &gt; 1 year old</t>
  </si>
  <si>
    <t>Duration of stay of cattle &gt; 1 year (Method 1)</t>
  </si>
  <si>
    <t>Duration of stay of cattle &gt; 1 year (Method 2)</t>
  </si>
  <si>
    <t>M1_Table_D_j-3-5</t>
  </si>
  <si>
    <t>Duration of stay of weaned cattle &lt; 1 year (Method 1)</t>
  </si>
  <si>
    <t>Table_NPW_j-3-5</t>
  </si>
  <si>
    <t>Nitrogen excretion of pre-weaned cattle</t>
  </si>
  <si>
    <t>Total annual nitrogen excreted cattle &lt; 1 year old (Method 1)</t>
  </si>
  <si>
    <t>Total annual nitrogen excreted cattle &gt; 1 year old (Method 1)</t>
  </si>
  <si>
    <t>Fraction of manure sent to each MMS (Method 1)</t>
  </si>
  <si>
    <t>Fraction of manure sent to each MMS (Method 2)</t>
  </si>
  <si>
    <t>M1_Table_MN_j_m</t>
  </si>
  <si>
    <t>Total nitrogen in each MMS (Method 1)</t>
  </si>
  <si>
    <t>Total nitrogen in each MMS (Method 2)</t>
  </si>
  <si>
    <t>M2_Table_MN_j_m</t>
  </si>
  <si>
    <t>Table_EF_m</t>
  </si>
  <si>
    <t>Nitrous oxide EF for each MMS</t>
  </si>
  <si>
    <r>
      <t>EF</t>
    </r>
    <r>
      <rPr>
        <b/>
        <vertAlign val="subscript"/>
        <sz val="11"/>
        <color rgb="FF183C1B"/>
        <rFont val="Times New Roman"/>
        <family val="1"/>
      </rPr>
      <t>m</t>
    </r>
  </si>
  <si>
    <t>Total annual direct N2O emissions from each MMS (Method 1)</t>
  </si>
  <si>
    <t>4.3 Manure management: Dairy: Results</t>
  </si>
  <si>
    <t>4.3.1.5 Manure Atmospheric Deposition</t>
  </si>
  <si>
    <t>Table_FracGASM_m</t>
  </si>
  <si>
    <r>
      <t>FracGASM</t>
    </r>
    <r>
      <rPr>
        <b/>
        <vertAlign val="subscript"/>
        <sz val="11"/>
        <color rgb="FF183C1B"/>
        <rFont val="Times New Roman"/>
        <family val="1"/>
      </rPr>
      <t>m</t>
    </r>
  </si>
  <si>
    <t>Fraction N volatilised from each MS</t>
  </si>
  <si>
    <t>M1_Table_MN_atmos</t>
  </si>
  <si>
    <t>Total nitrogen volatilised from each MMS (Method 1)</t>
  </si>
  <si>
    <t>M2_Table_MN_atmos</t>
  </si>
  <si>
    <t>Total nitrogen volatilised from each MMS (Method 2)</t>
  </si>
  <si>
    <r>
      <t>E</t>
    </r>
    <r>
      <rPr>
        <b/>
        <vertAlign val="subscript"/>
        <sz val="16"/>
        <color theme="1" tint="0.24994659260841701"/>
        <rFont val="Times New Roman"/>
        <family val="1"/>
      </rPr>
      <t>N2O,MMS,ad</t>
    </r>
  </si>
  <si>
    <t>Irrigation type i</t>
  </si>
  <si>
    <t>M1_Table_MN_j_m-4</t>
  </si>
  <si>
    <t>Total nitrogen in solid storage MMS (Method 1)</t>
  </si>
  <si>
    <t>M2_Table_MN_j_m-4</t>
  </si>
  <si>
    <t>Total nitrogen in solid storage MMS (Method 2)</t>
  </si>
  <si>
    <t>Mass of N lost to leaching and runoff from solid storage (Method 1)</t>
  </si>
  <si>
    <t>M1_Table_MN_leach_j_m-4</t>
  </si>
  <si>
    <t>M2_Table_MN_leach_j_m-4</t>
  </si>
  <si>
    <t>Mass of N lost to leaching and runoff from solid storage (Method 2)</t>
  </si>
  <si>
    <t>M1_Table_EF_N2O_leach</t>
  </si>
  <si>
    <t>Emissions from leaching and runoff (Method 1)</t>
  </si>
  <si>
    <t>M2_Table_EF_N2O_leach</t>
  </si>
  <si>
    <t>Emissions from leaching and runoff (Method 2)</t>
  </si>
  <si>
    <t>4.3.1.8 Manure applied to soils</t>
  </si>
  <si>
    <t>Table_PF_scope</t>
  </si>
  <si>
    <t>Fraction of manure applied to soils within farm boundary</t>
  </si>
  <si>
    <t>M1_Table_MN_soil_scope1</t>
  </si>
  <si>
    <t>M1_Table_MN_soil_scope3</t>
  </si>
  <si>
    <t>Mass of nitrogen from manure applied to soils for scope 3 emissions (Method 1)</t>
  </si>
  <si>
    <t>Mass of nitrogen from manure applied to soils for scope 1 emissions (Method 1)</t>
  </si>
  <si>
    <t>M2_Table_MN_soil_scope1</t>
  </si>
  <si>
    <t>Mass of nitrogen from manure applied to soils for scope 1 emissions (Method 2)</t>
  </si>
  <si>
    <r>
      <t>MNSoil</t>
    </r>
    <r>
      <rPr>
        <b/>
        <vertAlign val="subscript"/>
        <sz val="16"/>
        <color theme="1" tint="0.24994659260841701"/>
        <rFont val="Times New Roman"/>
        <family val="1"/>
      </rPr>
      <t>scope3</t>
    </r>
  </si>
  <si>
    <t>M2_Table_MN_soil_scope3</t>
  </si>
  <si>
    <t>Mass of nitrogen from manure applied to soils for scope 3 emissions (Method 2)</t>
  </si>
  <si>
    <t>t CO2e</t>
  </si>
  <si>
    <t>4.1.1.6-7 Manure leaching and runoff</t>
  </si>
  <si>
    <t>4.3.1.9 Soil direct N2O</t>
  </si>
  <si>
    <t>M1_Table_MMS_j_m-14</t>
  </si>
  <si>
    <t>Fraction of manure deposited on pasture range and paddock (Method 1)</t>
  </si>
  <si>
    <t>Total annual nitrogen excreted all cattle (Method 1)</t>
  </si>
  <si>
    <t>M1_Table_MN_j_m-14</t>
  </si>
  <si>
    <t>Total nitrogen deposited on pasture range and paddock (Method 1)</t>
  </si>
  <si>
    <t>M2_Table_MN_j_m-14</t>
  </si>
  <si>
    <t>Total nitrogen deposited on pasture range and paddock (Method 2)</t>
  </si>
  <si>
    <t>EFPRP</t>
  </si>
  <si>
    <t>Direct nitrous oxide emissions from urine and dung deposited on pasture (Method 1)</t>
  </si>
  <si>
    <t>M2_Table_E_N2O_dir</t>
  </si>
  <si>
    <t>Direct nitrous oxide emissions from urine and dung deposited on pasture (Method 2)</t>
  </si>
  <si>
    <t>M1_Table_M_vol_m-14</t>
  </si>
  <si>
    <t>Mass of N volatilised from urine and dung on pasture (Method 1)</t>
  </si>
  <si>
    <t>M2_Table_M_vol_m-14</t>
  </si>
  <si>
    <t>Mass of N volatilised from urine and dung on pasture (Method 2)</t>
  </si>
  <si>
    <t>4.3.1.10-11 Soil atmospheric deposition</t>
  </si>
  <si>
    <t>4.3.1.12-13 Soil leaching and runoff</t>
  </si>
  <si>
    <t>4.3.1.12-13 Soil leaching and runoff N2O</t>
  </si>
  <si>
    <t>4.3.1.10-11 Soil atmospheric deposition N2O</t>
  </si>
  <si>
    <t>M1_Table_M_leach_M-14</t>
  </si>
  <si>
    <t>Mass of N lost to leaching and runoff urine and faeces on pasture (Method 1)</t>
  </si>
  <si>
    <t>M2_Table_M_leach_M-14</t>
  </si>
  <si>
    <t>Mass of N lost to leaching and runoff urine and faeces on pasture (Method 2)</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</si>
  <si>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</si>
  <si>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leach,m=14</t>
    </r>
  </si>
  <si>
    <r>
      <t>M</t>
    </r>
    <r>
      <rPr>
        <b/>
        <vertAlign val="subscript"/>
        <sz val="12"/>
        <color theme="1" tint="0.24994659260841701"/>
        <rFont val="Times New Roman"/>
        <family val="1"/>
      </rPr>
      <t>vol,m=14</t>
    </r>
  </si>
  <si>
    <r>
      <t>MN</t>
    </r>
    <r>
      <rPr>
        <b/>
        <vertAlign val="subscript"/>
        <sz val="12"/>
        <color theme="1" tint="0.24994659260841701"/>
        <rFont val="Times New Roman"/>
        <family val="1"/>
      </rPr>
      <t>ATMOS</t>
    </r>
  </si>
  <si>
    <t>GHG emissions method 1</t>
  </si>
  <si>
    <t>GHG emissions method 2</t>
  </si>
  <si>
    <t>4.3.1.1-2 Manure methane</t>
  </si>
  <si>
    <t>4.3.1.3-4 Manure direct N2O</t>
  </si>
  <si>
    <t>4.3.1.5 Manure atmospheric deposition</t>
  </si>
  <si>
    <t>4.3.1.6-7 Manure leaching and runoff</t>
  </si>
  <si>
    <t>CO2-e emissions method 1</t>
  </si>
  <si>
    <t>CO2-e emissions method 2</t>
  </si>
  <si>
    <t>Scope 1 - This dairy</t>
  </si>
  <si>
    <t>Month</t>
  </si>
  <si>
    <t>Season</t>
  </si>
  <si>
    <t>Acknowledgements</t>
  </si>
  <si>
    <t>Scope 1: Mass of nitrogen applied as fertiliser on own farm</t>
  </si>
  <si>
    <t>* Scope 1: Manure that is removed from MMS and used as fertiliser on the farm, for other enterprises (eg crops)</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</si>
  <si>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</si>
  <si>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M2_Table_MN_leach_j_m</t>
  </si>
  <si>
    <t>Mass of N lost to leaching and runoff from MMS (Method 2)</t>
  </si>
  <si>
    <t>M1_Table_MN_leach_j_m</t>
  </si>
  <si>
    <t>Mass of N lost to leaching and runoff from MMS (Method 1)</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</si>
  <si>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</si>
  <si>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</si>
  <si>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</si>
  <si>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</si>
  <si>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</si>
  <si>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</si>
  <si>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</si>
  <si>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</si>
  <si>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</si>
  <si>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</si>
  <si>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</si>
  <si>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</si>
  <si>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</si>
  <si>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</si>
  <si>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</si>
  <si>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NOTE: Drains to paddock uses 'Liquid slurry' MCFs</t>
  </si>
  <si>
    <t>NOTE: 'Sump and dispersal' uses 'Daily spread' MCFs</t>
  </si>
  <si>
    <t>M2_Table_MCF_i_m</t>
  </si>
  <si>
    <t>Methane conversion factor for state (Method 2)</t>
  </si>
  <si>
    <t>NOTE: 'Pasture range and paddock' MCF is state-based</t>
  </si>
  <si>
    <r>
      <t>E</t>
    </r>
    <r>
      <rPr>
        <vertAlign val="subscript"/>
        <sz val="12"/>
        <color theme="1" tint="0.24994659260841701"/>
        <rFont val="Times New Roman"/>
        <family val="1"/>
      </rPr>
      <t>CO2e</t>
    </r>
    <r>
      <rPr>
        <sz val="12"/>
        <color theme="1" tint="0.24994659260841701"/>
        <rFont val="Times New Roman"/>
        <family val="1"/>
      </rPr>
      <t xml:space="preserve"> (Method 2)</t>
    </r>
  </si>
  <si>
    <t>ECH4 (Method 2)</t>
  </si>
  <si>
    <t>`</t>
  </si>
  <si>
    <t>M2_Table_MMS_j_m-14</t>
  </si>
  <si>
    <t>Fraction of manure deposited on pasture range and paddock (Method 2)</t>
  </si>
  <si>
    <t xml:space="preserve">    Click on a box to go to the corresponding calculation.</t>
  </si>
  <si>
    <t>4.3: Manure Management: Dairy: Overview</t>
  </si>
  <si>
    <t>Destination after stage 2 MMS (Percent)</t>
  </si>
  <si>
    <t>►</t>
  </si>
  <si>
    <t>Sold</t>
  </si>
  <si>
    <t>Fert for own farm (eg crop)</t>
  </si>
  <si>
    <t>Direct application to soil</t>
  </si>
  <si>
    <t>Solid separation from stage 1 MMS</t>
  </si>
  <si>
    <t>Were solids separated? (select)</t>
  </si>
  <si>
    <t>Percent separated (Method 1)</t>
  </si>
  <si>
    <t>Percent separated (Method 2)</t>
  </si>
  <si>
    <t>▼</t>
  </si>
  <si>
    <t>PF_scope</t>
  </si>
  <si>
    <t>PF_fert</t>
  </si>
  <si>
    <t>Solid storage (after solid separation) - Method 1</t>
  </si>
  <si>
    <t>Solid storage (after solid separation) - Method 2</t>
  </si>
  <si>
    <t>💡 Below is a diagram that maps the equations used to calculate emissions, how they interact with each other and how they align with dairy manure management processes.</t>
  </si>
  <si>
    <t>Source Data - Dairy</t>
  </si>
  <si>
    <t>Milk production unit</t>
  </si>
  <si>
    <t>Milk solids</t>
  </si>
  <si>
    <t>For milk solids only:</t>
  </si>
  <si>
    <t>Method 1 (don't edit)</t>
  </si>
  <si>
    <t>Method 2 (edit if known)</t>
  </si>
  <si>
    <t>Fat content in fat and protein corrected milk</t>
  </si>
  <si>
    <t>percent</t>
  </si>
  <si>
    <t>Protein content in fat and protein corrected milk</t>
  </si>
  <si>
    <t>M1_Table_MS_j</t>
  </si>
  <si>
    <t>Milk solids production (Method 1)</t>
  </si>
  <si>
    <t>M1_Table_MP_j_from_solids</t>
  </si>
  <si>
    <t>Milk production from milk solids (Method 1)</t>
  </si>
  <si>
    <t>M2_Table_MP_j_from_solids</t>
  </si>
  <si>
    <t>Milk production from milk solids (Method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</si>
</sst>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
  </numFmts>
  <fonts count="7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
      <b/>
      <sz val="22"/>
      <color theme="5" tint="-0.499984740745262"/>
      <name val="Times New Roman"/>
      <family val="1"/>
    </font>
    <font>
      <b/>
      <sz val="11"/>
      <color theme="5" tint="-0.499984740745262"/>
      <name val="Times New Roman"/>
      <family val="1"/>
      <scheme val="minor"/>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5" fillId="15" borderId="2">
      <alignment horizontal="center" vertical="center"/>
    </xf>
    <xf numFmtId="0" fontId="66" fillId="4" borderId="2">
      <alignment horizontal="left" vertical="center"/>
    </xf>
    <xf numFmtId="0" fontId="67" fillId="16" borderId="2">
      <alignment horizontal="center" vertical="center"/>
    </xf>
    <xf numFmtId="0" fontId="35" fillId="4" borderId="2">
      <alignment horizontal="left" vertical="center"/>
    </xf>
    <xf numFmtId="0" fontId="68" fillId="0" borderId="0"/>
  </cellStyleXfs>
  <cellXfs count="161">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50" fillId="4" borderId="0" xfId="61">
      <alignment horizontal="left" vertical="center"/>
    </xf>
    <xf numFmtId="0" fontId="49" fillId="4" borderId="0" xfId="60">
      <alignment horizontal="left" vertical="center"/>
    </xf>
    <xf numFmtId="0" fontId="35" fillId="4" borderId="19" xfId="55" applyBorder="1" applyAlignment="1">
      <alignment horizontal="left" vertical="center"/>
    </xf>
    <xf numFmtId="3" fontId="2" fillId="0" borderId="2" xfId="19">
      <alignment horizontal="center" vertical="center"/>
    </xf>
    <xf numFmtId="3" fontId="35" fillId="4" borderId="2" xfId="55" applyNumberFormat="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0" fontId="46"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60" fillId="4" borderId="0" xfId="62" applyFont="1">
      <alignment horizontal="left" vertical="center"/>
    </xf>
    <xf numFmtId="0" fontId="40" fillId="4" borderId="0" xfId="8" applyAlignment="1">
      <alignment horizontal="center" vertical="center"/>
    </xf>
    <xf numFmtId="0" fontId="48" fillId="11" borderId="0" xfId="63">
      <alignment horizontal="center" vertical="center"/>
    </xf>
    <xf numFmtId="0" fontId="22" fillId="11" borderId="0" xfId="64">
      <alignment horizontal="left" vertical="center" indent="1"/>
    </xf>
    <xf numFmtId="0" fontId="61" fillId="0" borderId="0" xfId="2" applyFont="1"/>
    <xf numFmtId="0" fontId="57" fillId="2" borderId="0" xfId="8" applyFont="1" applyFill="1">
      <alignment horizontal="left" vertical="center"/>
    </xf>
    <xf numFmtId="0" fontId="17" fillId="4" borderId="0" xfId="32" applyFill="1">
      <alignment vertical="center"/>
    </xf>
    <xf numFmtId="170" fontId="40" fillId="4" borderId="0" xfId="8" applyNumberFormat="1">
      <alignment horizontal="left" vertical="center"/>
    </xf>
    <xf numFmtId="0" fontId="62" fillId="4" borderId="0" xfId="8" applyFont="1">
      <alignment horizontal="left" vertical="center"/>
    </xf>
    <xf numFmtId="0" fontId="63" fillId="4" borderId="0" xfId="8" applyFont="1">
      <alignment horizontal="left" vertical="center"/>
    </xf>
    <xf numFmtId="171" fontId="40" fillId="4" borderId="0" xfId="8" applyNumberFormat="1">
      <alignment horizontal="left" vertical="center"/>
    </xf>
    <xf numFmtId="43" fontId="40" fillId="4" borderId="0" xfId="42" applyFont="1" applyFill="1" applyAlignment="1">
      <alignment horizontal="left" vertical="center"/>
    </xf>
    <xf numFmtId="0" fontId="10" fillId="0" borderId="0" xfId="46"/>
    <xf numFmtId="0" fontId="65" fillId="15" borderId="2" xfId="65">
      <alignment horizontal="center" vertical="center"/>
    </xf>
    <xf numFmtId="0" fontId="66" fillId="4" borderId="2" xfId="66">
      <alignment horizontal="left" vertical="center"/>
    </xf>
    <xf numFmtId="0" fontId="67"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1" fontId="2" fillId="0" borderId="2" xfId="14" applyNumberFormat="1" applyFont="1" applyBorder="1" applyAlignment="1">
      <alignment horizontal="center" vertical="center"/>
    </xf>
    <xf numFmtId="171" fontId="35" fillId="4" borderId="2" xfId="14" applyNumberFormat="1" applyFont="1" applyFill="1" applyBorder="1" applyAlignment="1">
      <alignment horizontal="center" vertical="center"/>
    </xf>
    <xf numFmtId="0" fontId="68" fillId="0" borderId="0" xfId="69"/>
    <xf numFmtId="0" fontId="35" fillId="4" borderId="19" xfId="68" applyBorder="1">
      <alignment horizontal="left" vertical="center"/>
    </xf>
    <xf numFmtId="0" fontId="69" fillId="9" borderId="0" xfId="33" applyFont="1" applyFill="1"/>
    <xf numFmtId="0" fontId="40" fillId="9" borderId="0" xfId="8" applyFill="1">
      <alignment horizontal="left" vertical="center"/>
    </xf>
    <xf numFmtId="0" fontId="17" fillId="11" borderId="0" xfId="32" applyFill="1">
      <alignment vertical="center"/>
    </xf>
    <xf numFmtId="0" fontId="70" fillId="4" borderId="0" xfId="62" applyFont="1">
      <alignment horizontal="left" vertical="center"/>
    </xf>
    <xf numFmtId="0" fontId="13" fillId="6" borderId="0" xfId="29" applyAlignment="1">
      <alignment horizontal="left" vertical="center" indent="3"/>
    </xf>
    <xf numFmtId="0" fontId="71" fillId="6" borderId="0" xfId="30" applyFont="1" applyProtection="1">
      <alignment horizontal="center" vertical="center"/>
    </xf>
    <xf numFmtId="0" fontId="42" fillId="4" borderId="0" xfId="8" applyFont="1" applyAlignment="1">
      <alignment horizontal="left" vertical="center" indent="3"/>
    </xf>
    <xf numFmtId="10" fontId="40" fillId="4" borderId="0" xfId="8" applyNumberFormat="1">
      <alignment horizontal="left" vertical="center"/>
    </xf>
    <xf numFmtId="0" fontId="13" fillId="6" borderId="0" xfId="29" applyAlignment="1">
      <alignment horizontal="left" vertical="center" indent="6"/>
    </xf>
    <xf numFmtId="0" fontId="42" fillId="4" borderId="0" xfId="8" applyFont="1" applyAlignment="1">
      <alignment horizontal="left" vertical="center" indent="6"/>
    </xf>
    <xf numFmtId="0" fontId="40" fillId="4" borderId="0" xfId="8" applyAlignment="1">
      <alignment horizontal="left" vertical="center" indent="6"/>
    </xf>
    <xf numFmtId="0" fontId="70" fillId="4" borderId="0" xfId="62" applyFont="1" applyAlignment="1">
      <alignment horizontal="left" vertical="center" indent="6"/>
    </xf>
    <xf numFmtId="0" fontId="3" fillId="4" borderId="1" xfId="7" applyBorder="1">
      <alignment horizontal="left" vertical="center"/>
    </xf>
    <xf numFmtId="0" fontId="70" fillId="4" borderId="0" xfId="62" applyFont="1" applyAlignment="1">
      <alignment horizontal="left" vertical="center" indent="5"/>
    </xf>
    <xf numFmtId="0" fontId="46" fillId="13" borderId="21" xfId="41" applyBorder="1">
      <alignment horizontal="left" vertical="center"/>
    </xf>
    <xf numFmtId="0" fontId="46" fillId="13" borderId="20" xfId="41" applyBorder="1">
      <alignment horizontal="left" vertical="center"/>
    </xf>
    <xf numFmtId="0" fontId="47" fillId="13" borderId="21" xfId="41" applyFont="1" applyBorder="1">
      <alignment horizontal="left" vertical="center"/>
    </xf>
    <xf numFmtId="171" fontId="2" fillId="0" borderId="2" xfId="17" applyNumberFormat="1">
      <alignment horizontal="center" vertical="center"/>
    </xf>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2"/>
      <tableStyleElement type="headerRow" dxfId="91"/>
      <tableStyleElement type="totalRow" dxfId="90"/>
      <tableStyleElement type="firstColumn" dxfId="89"/>
      <tableStyleElement type="firstRowStripe" dxfId="88"/>
      <tableStyleElement type="secondRowStripe" dxfId="87"/>
    </tableStyle>
    <tableStyle name="Equation table" pivot="0" count="6" xr9:uid="{B247698E-E41D-4CCD-AA0A-C14817E9DE65}">
      <tableStyleElement type="wholeTable" dxfId="86"/>
      <tableStyleElement type="headerRow" dxfId="85"/>
      <tableStyleElement type="totalRow" dxfId="84"/>
      <tableStyleElement type="firstColumn" dxfId="83"/>
      <tableStyleElement type="firstRowStripe" dxfId="82"/>
      <tableStyleElement type="secondRowStripe" dxfId="81"/>
    </tableStyle>
    <tableStyle name="Table Style 1" pivot="0" count="0" xr9:uid="{97B370DB-5463-4A31-9160-5A96BD6A559D}"/>
  </tableStyles>
  <colors>
    <mruColors>
      <color rgb="FF0D9D96"/>
      <color rgb="FFCC6600"/>
      <color rgb="FF0C769E"/>
      <color rgb="FFC44340"/>
      <color rgb="FF00800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3.1.1-2 Methane'!D107"/><Relationship Id="rId13" Type="http://schemas.openxmlformats.org/officeDocument/2006/relationships/hyperlink" Target="#'4.3.1.3-4 Direct N20'!D69"/><Relationship Id="rId18" Type="http://schemas.openxmlformats.org/officeDocument/2006/relationships/hyperlink" Target="#'4.3.1.3-4 Direct N20'!D210"/><Relationship Id="rId26" Type="http://schemas.openxmlformats.org/officeDocument/2006/relationships/hyperlink" Target="#'4.3.1.12-13 Soil leach runoff'!D5"/><Relationship Id="rId3" Type="http://schemas.openxmlformats.org/officeDocument/2006/relationships/hyperlink" Target="#'4.3.1.8 Manure applied to soils'!D5"/><Relationship Id="rId21" Type="http://schemas.openxmlformats.org/officeDocument/2006/relationships/hyperlink" Target="#'4.3.1.5 Atmos deposition'!D5"/><Relationship Id="rId7" Type="http://schemas.openxmlformats.org/officeDocument/2006/relationships/hyperlink" Target="#'4.3.1.1-2 Methane'!D88"/><Relationship Id="rId12" Type="http://schemas.openxmlformats.org/officeDocument/2006/relationships/hyperlink" Target="#'4.3.1.3-4 Direct N20'!D33"/><Relationship Id="rId17" Type="http://schemas.openxmlformats.org/officeDocument/2006/relationships/hyperlink" Target="#'4.3.1.3-4 Direct N20'!D173"/><Relationship Id="rId25" Type="http://schemas.openxmlformats.org/officeDocument/2006/relationships/hyperlink" Target="#'4.3.1.10-11 Soil Atmos Dep'!D30"/><Relationship Id="rId2" Type="http://schemas.openxmlformats.org/officeDocument/2006/relationships/hyperlink" Target="#'4.3.1.3-4 Direct N20'!D5"/><Relationship Id="rId16" Type="http://schemas.openxmlformats.org/officeDocument/2006/relationships/hyperlink" Target="#'4.3.1.3-4 Direct N20'!D143"/><Relationship Id="rId20" Type="http://schemas.openxmlformats.org/officeDocument/2006/relationships/hyperlink" Target="#'4.3.1.8 Manure applied to soils'!D89"/><Relationship Id="rId1" Type="http://schemas.openxmlformats.org/officeDocument/2006/relationships/hyperlink" Target="#'4.3.1.1-2 Methane'!D5"/><Relationship Id="rId6" Type="http://schemas.openxmlformats.org/officeDocument/2006/relationships/hyperlink" Target="#'4.3.1.1-2 Methane'!D53"/><Relationship Id="rId11" Type="http://schemas.openxmlformats.org/officeDocument/2006/relationships/hyperlink" Target="#'4.3.1.1-2 Methane'!D219"/><Relationship Id="rId24" Type="http://schemas.openxmlformats.org/officeDocument/2006/relationships/hyperlink" Target="#'4.3.1.10-11 Soil Atmos Dep'!D5"/><Relationship Id="rId5" Type="http://schemas.openxmlformats.org/officeDocument/2006/relationships/hyperlink" Target="#'4.3.1.1-2 Methane'!D27"/><Relationship Id="rId15" Type="http://schemas.openxmlformats.org/officeDocument/2006/relationships/hyperlink" Target="#'4.3.1.3-4 Direct N20'!D123"/><Relationship Id="rId23" Type="http://schemas.openxmlformats.org/officeDocument/2006/relationships/hyperlink" Target="#'4.3.1.5 Atmos deposition'!D53"/><Relationship Id="rId10" Type="http://schemas.openxmlformats.org/officeDocument/2006/relationships/hyperlink" Target="#'4.3.1.1-2 Methane'!D180"/><Relationship Id="rId19" Type="http://schemas.openxmlformats.org/officeDocument/2006/relationships/hyperlink" Target="#'4.3.1.3-4 Direct N20'!D247"/><Relationship Id="rId4" Type="http://schemas.openxmlformats.org/officeDocument/2006/relationships/hyperlink" Target="#'4.3.1.9 Soil direct N2O'!D35"/><Relationship Id="rId9" Type="http://schemas.openxmlformats.org/officeDocument/2006/relationships/hyperlink" Target="#'4.3.1.1-2 Methane'!D153"/><Relationship Id="rId14" Type="http://schemas.openxmlformats.org/officeDocument/2006/relationships/hyperlink" Target="#'4.3.1.3-4 Direct N20'!D100"/><Relationship Id="rId22" Type="http://schemas.openxmlformats.org/officeDocument/2006/relationships/hyperlink" Target="#'4.3.1.6-7 Leaching and runoff'!D5"/><Relationship Id="rId27" Type="http://schemas.openxmlformats.org/officeDocument/2006/relationships/hyperlink" Target="#'4.3.1.12-13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123990</xdr:colOff>
      <xdr:row>7</xdr:row>
      <xdr:rowOff>106369</xdr:rowOff>
    </xdr:from>
    <xdr:ext cx="1928078" cy="298800"/>
    <xdr:sp macro="" textlink="">
      <xdr:nvSpPr>
        <xdr:cNvPr id="2" name="TextBox 1">
          <a:extLst>
            <a:ext uri="{FF2B5EF4-FFF2-40B4-BE49-F238E27FC236}">
              <a16:creationId xmlns:a16="http://schemas.microsoft.com/office/drawing/2014/main" id="{1D84D715-10A5-40B7-9527-5C8FA3BD89EE}"/>
            </a:ext>
          </a:extLst>
        </xdr:cNvPr>
        <xdr:cNvSpPr txBox="1"/>
      </xdr:nvSpPr>
      <xdr:spPr>
        <a:xfrm>
          <a:off x="5253883"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4.3.1.1-4 Methane</a:t>
          </a:r>
        </a:p>
      </xdr:txBody>
    </xdr:sp>
    <xdr:clientData/>
  </xdr:oneCellAnchor>
  <xdr:twoCellAnchor>
    <xdr:from>
      <xdr:col>3</xdr:col>
      <xdr:colOff>110835</xdr:colOff>
      <xdr:row>9</xdr:row>
      <xdr:rowOff>180108</xdr:rowOff>
    </xdr:from>
    <xdr:to>
      <xdr:col>5</xdr:col>
      <xdr:colOff>403635</xdr:colOff>
      <xdr:row>12</xdr:row>
      <xdr:rowOff>157158</xdr:rowOff>
    </xdr:to>
    <xdr:sp macro="" textlink="'4.3.1.1-2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7360" y="2542308"/>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oneCellAnchor>
    <xdr:from>
      <xdr:col>11</xdr:col>
      <xdr:colOff>336371</xdr:colOff>
      <xdr:row>7</xdr:row>
      <xdr:rowOff>106369</xdr:rowOff>
    </xdr:from>
    <xdr:ext cx="1946138" cy="298800"/>
    <xdr:sp macro="" textlink="">
      <xdr:nvSpPr>
        <xdr:cNvPr id="12" name="TextBox 11">
          <a:extLst>
            <a:ext uri="{FF2B5EF4-FFF2-40B4-BE49-F238E27FC236}">
              <a16:creationId xmlns:a16="http://schemas.microsoft.com/office/drawing/2014/main" id="{D9E520E3-EDA0-4545-8A08-1BA9077945B3}"/>
            </a:ext>
          </a:extLst>
        </xdr:cNvPr>
        <xdr:cNvSpPr txBox="1"/>
      </xdr:nvSpPr>
      <xdr:spPr>
        <a:xfrm>
          <a:off x="7915550"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11</xdr:col>
      <xdr:colOff>491466</xdr:colOff>
      <xdr:row>9</xdr:row>
      <xdr:rowOff>180108</xdr:rowOff>
    </xdr:from>
    <xdr:to>
      <xdr:col>14</xdr:col>
      <xdr:colOff>174666</xdr:colOff>
      <xdr:row>12</xdr:row>
      <xdr:rowOff>157158</xdr:rowOff>
    </xdr:to>
    <xdr:sp macro="" textlink="'4.3.1.3-4 Direct N20'!D5">
      <xdr:nvSpPr>
        <xdr:cNvPr id="13" name="TextBox 12">
          <a:hlinkClick xmlns:r="http://schemas.openxmlformats.org/officeDocument/2006/relationships" r:id="rId2"/>
          <a:extLst>
            <a:ext uri="{FF2B5EF4-FFF2-40B4-BE49-F238E27FC236}">
              <a16:creationId xmlns:a16="http://schemas.microsoft.com/office/drawing/2014/main" id="{A0F40C96-5DBA-4237-B85A-83903BEB28E4}"/>
            </a:ext>
          </a:extLst>
        </xdr:cNvPr>
        <xdr:cNvSpPr txBox="1"/>
      </xdr:nvSpPr>
      <xdr:spPr>
        <a:xfrm>
          <a:off x="8070645"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693AB1-EB1F-4E54-BE18-0AD5C946102B}" type="TxLink">
            <a:rPr lang="en-US" sz="1000" b="0" i="0" u="none" strike="noStrike">
              <a:solidFill>
                <a:srgbClr val="002060"/>
              </a:solidFill>
              <a:latin typeface="Times New Roman"/>
              <a:cs typeface="Times New Roman"/>
            </a:rPr>
            <a:pPr algn="ctr"/>
            <a:t>Relative size</a:t>
          </a:fld>
          <a:endParaRPr lang="en-AU" sz="1000">
            <a:solidFill>
              <a:srgbClr val="002060"/>
            </a:solidFill>
          </a:endParaRPr>
        </a:p>
      </xdr:txBody>
    </xdr:sp>
    <xdr:clientData/>
  </xdr:twoCellAnchor>
  <xdr:oneCellAnchor>
    <xdr:from>
      <xdr:col>15</xdr:col>
      <xdr:colOff>566813</xdr:colOff>
      <xdr:row>7</xdr:row>
      <xdr:rowOff>3136</xdr:rowOff>
    </xdr:from>
    <xdr:ext cx="1905000" cy="505267"/>
    <xdr:sp macro="" textlink="">
      <xdr:nvSpPr>
        <xdr:cNvPr id="16" name="TextBox 15">
          <a:extLst>
            <a:ext uri="{FF2B5EF4-FFF2-40B4-BE49-F238E27FC236}">
              <a16:creationId xmlns:a16="http://schemas.microsoft.com/office/drawing/2014/main" id="{97FDFA38-FB5B-4D8A-944A-FACF4C57836C}"/>
            </a:ext>
          </a:extLst>
        </xdr:cNvPr>
        <xdr:cNvSpPr txBox="1"/>
      </xdr:nvSpPr>
      <xdr:spPr>
        <a:xfrm>
          <a:off x="10595277"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20</xdr:col>
      <xdr:colOff>143795</xdr:colOff>
      <xdr:row>7</xdr:row>
      <xdr:rowOff>3136</xdr:rowOff>
    </xdr:from>
    <xdr:ext cx="1590674" cy="505267"/>
    <xdr:sp macro="" textlink="">
      <xdr:nvSpPr>
        <xdr:cNvPr id="20" name="TextBox 19">
          <a:extLst>
            <a:ext uri="{FF2B5EF4-FFF2-40B4-BE49-F238E27FC236}">
              <a16:creationId xmlns:a16="http://schemas.microsoft.com/office/drawing/2014/main" id="{8D1E9E99-F69F-4259-969F-3EA4B11C92C2}"/>
            </a:ext>
          </a:extLst>
        </xdr:cNvPr>
        <xdr:cNvSpPr txBox="1"/>
      </xdr:nvSpPr>
      <xdr:spPr>
        <a:xfrm>
          <a:off x="13233866" y="1853707"/>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4.3.1.6-7 </a:t>
          </a:r>
          <a:br>
            <a:rPr lang="en-AU" sz="1400" b="0">
              <a:solidFill>
                <a:srgbClr val="C44340"/>
              </a:solidFill>
            </a:rPr>
          </a:br>
          <a:r>
            <a:rPr lang="en-AU" sz="1400" b="0">
              <a:solidFill>
                <a:srgbClr val="C44340"/>
              </a:solidFill>
            </a:rPr>
            <a:t>Leaching &amp; runoff</a:t>
          </a:r>
        </a:p>
      </xdr:txBody>
    </xdr:sp>
    <xdr:clientData/>
  </xdr:oneCellAnchor>
  <xdr:oneCellAnchor>
    <xdr:from>
      <xdr:col>24</xdr:col>
      <xdr:colOff>18772</xdr:colOff>
      <xdr:row>7</xdr:row>
      <xdr:rowOff>106369</xdr:rowOff>
    </xdr:from>
    <xdr:ext cx="1683647" cy="505267"/>
    <xdr:sp macro="" textlink="">
      <xdr:nvSpPr>
        <xdr:cNvPr id="22" name="TextBox 21">
          <a:extLst>
            <a:ext uri="{FF2B5EF4-FFF2-40B4-BE49-F238E27FC236}">
              <a16:creationId xmlns:a16="http://schemas.microsoft.com/office/drawing/2014/main" id="{90C102F1-A574-4017-9AFC-4FC1E36AD803}"/>
            </a:ext>
          </a:extLst>
        </xdr:cNvPr>
        <xdr:cNvSpPr txBox="1"/>
      </xdr:nvSpPr>
      <xdr:spPr>
        <a:xfrm>
          <a:off x="15558129"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4.3.1.8 Manure applied</a:t>
          </a:r>
          <a:r>
            <a:rPr lang="en-AU" sz="1400" b="0" baseline="0">
              <a:solidFill>
                <a:srgbClr val="CC6600"/>
              </a:solidFill>
            </a:rPr>
            <a:t> to soils</a:t>
          </a:r>
          <a:endParaRPr lang="en-AU" sz="1400" b="0">
            <a:solidFill>
              <a:srgbClr val="CC6600"/>
            </a:solidFill>
          </a:endParaRPr>
        </a:p>
      </xdr:txBody>
    </xdr:sp>
    <xdr:clientData/>
  </xdr:oneCellAnchor>
  <xdr:twoCellAnchor>
    <xdr:from>
      <xdr:col>23</xdr:col>
      <xdr:colOff>292702</xdr:colOff>
      <xdr:row>72</xdr:row>
      <xdr:rowOff>44035</xdr:rowOff>
    </xdr:from>
    <xdr:to>
      <xdr:col>25</xdr:col>
      <xdr:colOff>584910</xdr:colOff>
      <xdr:row>75</xdr:row>
      <xdr:rowOff>184370</xdr:rowOff>
    </xdr:to>
    <xdr:sp macro="" textlink="'4.3.1.8 Manure applied to soils'!D5">
      <xdr:nvSpPr>
        <xdr:cNvPr id="23" name="TextBox 22">
          <a:hlinkClick xmlns:r="http://schemas.openxmlformats.org/officeDocument/2006/relationships" r:id="rId3"/>
          <a:extLst>
            <a:ext uri="{FF2B5EF4-FFF2-40B4-BE49-F238E27FC236}">
              <a16:creationId xmlns:a16="http://schemas.microsoft.com/office/drawing/2014/main" id="{9397134A-F539-41D7-997F-30953678168E}"/>
            </a:ext>
          </a:extLst>
        </xdr:cNvPr>
        <xdr:cNvSpPr txBox="1"/>
      </xdr:nvSpPr>
      <xdr:spPr>
        <a:xfrm>
          <a:off x="15082429" y="16911944"/>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07C738-1CA7-4C5B-978C-8966CCA93A67}" type="TxLink">
            <a:rPr lang="en-US" sz="1000" b="1" i="0" u="none" strike="noStrike">
              <a:solidFill>
                <a:srgbClr val="CC6600"/>
              </a:solidFill>
              <a:latin typeface="Times New Roman"/>
              <a:cs typeface="Times New Roman"/>
            </a:rPr>
            <a:pPr algn="ctr"/>
            <a:t>Mass of nitrogen from manure applied to soils for scope 1 emissions</a:t>
          </a:fld>
          <a:endParaRPr lang="en-AU" sz="1000" b="1">
            <a:solidFill>
              <a:srgbClr val="CC6600"/>
            </a:solidFill>
          </a:endParaRPr>
        </a:p>
      </xdr:txBody>
    </xdr:sp>
    <xdr:clientData/>
  </xdr:twoCellAnchor>
  <xdr:oneCellAnchor>
    <xdr:from>
      <xdr:col>27</xdr:col>
      <xdr:colOff>599044</xdr:colOff>
      <xdr:row>7</xdr:row>
      <xdr:rowOff>106369</xdr:rowOff>
    </xdr:from>
    <xdr:ext cx="1587293" cy="505267"/>
    <xdr:sp macro="" textlink="">
      <xdr:nvSpPr>
        <xdr:cNvPr id="31" name="TextBox 30">
          <a:extLst>
            <a:ext uri="{FF2B5EF4-FFF2-40B4-BE49-F238E27FC236}">
              <a16:creationId xmlns:a16="http://schemas.microsoft.com/office/drawing/2014/main" id="{E90C6298-1BCA-44F6-9B9E-02AE6CD8BDAB}"/>
            </a:ext>
          </a:extLst>
        </xdr:cNvPr>
        <xdr:cNvSpPr txBox="1"/>
      </xdr:nvSpPr>
      <xdr:spPr>
        <a:xfrm>
          <a:off x="17975365" y="1956940"/>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4.3.1.9</a:t>
          </a:r>
          <a:r>
            <a:rPr lang="en-AU" sz="1400" b="0" baseline="0">
              <a:solidFill>
                <a:schemeClr val="accent6">
                  <a:lumMod val="50000"/>
                </a:schemeClr>
              </a:solidFill>
            </a:rPr>
            <a:t> Soil direct N2O</a:t>
          </a:r>
          <a:endParaRPr lang="en-AU" sz="1400" b="0">
            <a:solidFill>
              <a:schemeClr val="accent6">
                <a:lumMod val="50000"/>
              </a:schemeClr>
            </a:solidFill>
          </a:endParaRPr>
        </a:p>
      </xdr:txBody>
    </xdr:sp>
    <xdr:clientData/>
  </xdr:oneCellAnchor>
  <xdr:twoCellAnchor>
    <xdr:from>
      <xdr:col>29</xdr:col>
      <xdr:colOff>93889</xdr:colOff>
      <xdr:row>52</xdr:row>
      <xdr:rowOff>31667</xdr:rowOff>
    </xdr:from>
    <xdr:to>
      <xdr:col>31</xdr:col>
      <xdr:colOff>389411</xdr:colOff>
      <xdr:row>55</xdr:row>
      <xdr:rowOff>14844</xdr:rowOff>
    </xdr:to>
    <xdr:sp macro="" textlink="'4.3.1.9 Soil direct N2O'!D35">
      <xdr:nvSpPr>
        <xdr:cNvPr id="32" name="TextBox 31">
          <a:hlinkClick xmlns:r="http://schemas.openxmlformats.org/officeDocument/2006/relationships" r:id="rId4"/>
          <a:extLst>
            <a:ext uri="{FF2B5EF4-FFF2-40B4-BE49-F238E27FC236}">
              <a16:creationId xmlns:a16="http://schemas.microsoft.com/office/drawing/2014/main" id="{C1AB63F5-4B24-47F1-9CF2-9095A9B98919}"/>
            </a:ext>
          </a:extLst>
        </xdr:cNvPr>
        <xdr:cNvSpPr txBox="1"/>
      </xdr:nvSpPr>
      <xdr:spPr>
        <a:xfrm>
          <a:off x="18520434" y="12777849"/>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F0A44C-9B3C-4F36-BC43-BFFDE477146A}" type="TxLink">
            <a:rPr lang="en-US" sz="1000" b="1" i="0" u="none" strike="noStrike">
              <a:solidFill>
                <a:schemeClr val="accent6">
                  <a:lumMod val="50000"/>
                </a:schemeClr>
              </a:solidFill>
              <a:latin typeface="Times New Roman"/>
              <a:cs typeface="Times New Roman"/>
            </a:rPr>
            <a:pPr algn="ctr"/>
            <a:t>Direct nitrous oxide emissions on pasture</a:t>
          </a:fld>
          <a:endParaRPr lang="en-AU" sz="1000" b="1">
            <a:solidFill>
              <a:schemeClr val="accent6">
                <a:lumMod val="50000"/>
              </a:schemeClr>
            </a:solidFill>
          </a:endParaRPr>
        </a:p>
      </xdr:txBody>
    </xdr:sp>
    <xdr:clientData/>
  </xdr:twoCellAnchor>
  <xdr:oneCellAnchor>
    <xdr:from>
      <xdr:col>31</xdr:col>
      <xdr:colOff>470640</xdr:colOff>
      <xdr:row>7</xdr:row>
      <xdr:rowOff>115894</xdr:rowOff>
    </xdr:from>
    <xdr:ext cx="1962150" cy="505267"/>
    <xdr:sp macro="" textlink="">
      <xdr:nvSpPr>
        <xdr:cNvPr id="39" name="TextBox 38">
          <a:extLst>
            <a:ext uri="{FF2B5EF4-FFF2-40B4-BE49-F238E27FC236}">
              <a16:creationId xmlns:a16="http://schemas.microsoft.com/office/drawing/2014/main" id="{21681B8B-168C-49D7-9D40-4349668ACBB1}"/>
            </a:ext>
          </a:extLst>
        </xdr:cNvPr>
        <xdr:cNvSpPr txBox="1"/>
      </xdr:nvSpPr>
      <xdr:spPr>
        <a:xfrm>
          <a:off x="20296247" y="1966465"/>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4.3.1.10-11</a:t>
          </a:r>
          <a:r>
            <a:rPr lang="en-AU" sz="1400" b="0" baseline="0">
              <a:solidFill>
                <a:schemeClr val="accent6">
                  <a:lumMod val="50000"/>
                </a:schemeClr>
              </a:solidFill>
            </a:rPr>
            <a:t> Soil Atmospheric deposition</a:t>
          </a:r>
          <a:endParaRPr lang="en-AU" sz="1400" b="0">
            <a:solidFill>
              <a:schemeClr val="accent6">
                <a:lumMod val="50000"/>
              </a:schemeClr>
            </a:solidFill>
          </a:endParaRPr>
        </a:p>
      </xdr:txBody>
    </xdr:sp>
    <xdr:clientData/>
  </xdr:oneCellAnchor>
  <xdr:oneCellAnchor>
    <xdr:from>
      <xdr:col>36</xdr:col>
      <xdr:colOff>104775</xdr:colOff>
      <xdr:row>7</xdr:row>
      <xdr:rowOff>125419</xdr:rowOff>
    </xdr:from>
    <xdr:ext cx="1962150" cy="505267"/>
    <xdr:sp macro="" textlink="">
      <xdr:nvSpPr>
        <xdr:cNvPr id="40" name="TextBox 39">
          <a:extLst>
            <a:ext uri="{FF2B5EF4-FFF2-40B4-BE49-F238E27FC236}">
              <a16:creationId xmlns:a16="http://schemas.microsoft.com/office/drawing/2014/main" id="{FF9E80FC-DBE6-4B05-979C-00544A3BB45E}"/>
            </a:ext>
          </a:extLst>
        </xdr:cNvPr>
        <xdr:cNvSpPr txBox="1"/>
      </xdr:nvSpPr>
      <xdr:spPr>
        <a:xfrm>
          <a:off x="22898100" y="1992319"/>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4.3.1.12-13 Soil Leaching &amp; Runoff</a:t>
          </a:r>
        </a:p>
      </xdr:txBody>
    </xdr:sp>
    <xdr:clientData/>
  </xdr:oneCellAnchor>
  <xdr:twoCellAnchor>
    <xdr:from>
      <xdr:col>3</xdr:col>
      <xdr:colOff>120360</xdr:colOff>
      <xdr:row>18</xdr:row>
      <xdr:rowOff>201756</xdr:rowOff>
    </xdr:from>
    <xdr:to>
      <xdr:col>5</xdr:col>
      <xdr:colOff>413160</xdr:colOff>
      <xdr:row>21</xdr:row>
      <xdr:rowOff>178806</xdr:rowOff>
    </xdr:to>
    <xdr:sp macro="" textlink="'4.3.1.1-2 Methane'!D53">
      <xdr:nvSpPr>
        <xdr:cNvPr id="41" name="TextBox 40">
          <a:hlinkClick xmlns:r="http://schemas.openxmlformats.org/officeDocument/2006/relationships" r:id="rId5"/>
          <a:extLst>
            <a:ext uri="{FF2B5EF4-FFF2-40B4-BE49-F238E27FC236}">
              <a16:creationId xmlns:a16="http://schemas.microsoft.com/office/drawing/2014/main" id="{82BBB490-20A6-44A4-855D-5BFCA5839BC1}"/>
            </a:ext>
          </a:extLst>
        </xdr:cNvPr>
        <xdr:cNvSpPr txBox="1"/>
      </xdr:nvSpPr>
      <xdr:spPr>
        <a:xfrm>
          <a:off x="2796885" y="4792806"/>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110835</xdr:colOff>
      <xdr:row>23</xdr:row>
      <xdr:rowOff>39831</xdr:rowOff>
    </xdr:from>
    <xdr:to>
      <xdr:col>5</xdr:col>
      <xdr:colOff>403635</xdr:colOff>
      <xdr:row>26</xdr:row>
      <xdr:rowOff>16880</xdr:rowOff>
    </xdr:to>
    <xdr:sp macro="" textlink="'4.3.1.1-2 Methane'!D82">
      <xdr:nvSpPr>
        <xdr:cNvPr id="42" name="TextBox 41">
          <a:hlinkClick xmlns:r="http://schemas.openxmlformats.org/officeDocument/2006/relationships" r:id="rId6"/>
          <a:extLst>
            <a:ext uri="{FF2B5EF4-FFF2-40B4-BE49-F238E27FC236}">
              <a16:creationId xmlns:a16="http://schemas.microsoft.com/office/drawing/2014/main" id="{5890F85A-690F-4E76-AFA6-9552C00B26D5}"/>
            </a:ext>
          </a:extLst>
        </xdr:cNvPr>
        <xdr:cNvSpPr txBox="1"/>
      </xdr:nvSpPr>
      <xdr:spPr>
        <a:xfrm>
          <a:off x="2777835" y="5754831"/>
          <a:ext cx="1505073" cy="704413"/>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7</xdr:col>
      <xdr:colOff>101310</xdr:colOff>
      <xdr:row>26</xdr:row>
      <xdr:rowOff>148935</xdr:rowOff>
    </xdr:from>
    <xdr:to>
      <xdr:col>9</xdr:col>
      <xdr:colOff>394110</xdr:colOff>
      <xdr:row>29</xdr:row>
      <xdr:rowOff>125986</xdr:rowOff>
    </xdr:to>
    <xdr:sp macro="" textlink="'4.3.1.1-2 Methane'!D117">
      <xdr:nvSpPr>
        <xdr:cNvPr id="43" name="TextBox 42">
          <a:hlinkClick xmlns:r="http://schemas.openxmlformats.org/officeDocument/2006/relationships" r:id="rId7"/>
          <a:extLst>
            <a:ext uri="{FF2B5EF4-FFF2-40B4-BE49-F238E27FC236}">
              <a16:creationId xmlns:a16="http://schemas.microsoft.com/office/drawing/2014/main" id="{91312EE3-1F9E-4914-8F12-5096A0DE65B9}"/>
            </a:ext>
          </a:extLst>
        </xdr:cNvPr>
        <xdr:cNvSpPr txBox="1"/>
      </xdr:nvSpPr>
      <xdr:spPr>
        <a:xfrm>
          <a:off x="5192855" y="6591299"/>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FBB973-88ED-4A22-A935-BDD550D6A852}" type="TxLink">
            <a:rPr lang="en-US" sz="1000" b="0" i="0" u="none" strike="noStrike">
              <a:solidFill>
                <a:srgbClr val="0C769E"/>
              </a:solidFill>
              <a:latin typeface="Times New Roman"/>
              <a:cs typeface="Times New Roman"/>
            </a:rPr>
            <a:pPr algn="ctr"/>
            <a:t>Volatile solids for weaned dairy cattle</a:t>
          </a:fld>
          <a:endParaRPr lang="en-AU" sz="1000">
            <a:solidFill>
              <a:srgbClr val="0C769E"/>
            </a:solidFill>
          </a:endParaRPr>
        </a:p>
      </xdr:txBody>
    </xdr:sp>
    <xdr:clientData/>
  </xdr:twoCellAnchor>
  <xdr:twoCellAnchor>
    <xdr:from>
      <xdr:col>7</xdr:col>
      <xdr:colOff>74096</xdr:colOff>
      <xdr:row>47</xdr:row>
      <xdr:rowOff>218331</xdr:rowOff>
    </xdr:from>
    <xdr:to>
      <xdr:col>9</xdr:col>
      <xdr:colOff>366896</xdr:colOff>
      <xdr:row>50</xdr:row>
      <xdr:rowOff>195381</xdr:rowOff>
    </xdr:to>
    <xdr:sp macro="" textlink="'4.3.1.1-2 Methane'!D136">
      <xdr:nvSpPr>
        <xdr:cNvPr id="44" name="TextBox 43">
          <a:hlinkClick xmlns:r="http://schemas.openxmlformats.org/officeDocument/2006/relationships" r:id="rId8"/>
          <a:extLst>
            <a:ext uri="{FF2B5EF4-FFF2-40B4-BE49-F238E27FC236}">
              <a16:creationId xmlns:a16="http://schemas.microsoft.com/office/drawing/2014/main" id="{27FF12DD-C78D-4BF6-BDF1-4AE217C14861}"/>
            </a:ext>
          </a:extLst>
        </xdr:cNvPr>
        <xdr:cNvSpPr txBox="1"/>
      </xdr:nvSpPr>
      <xdr:spPr>
        <a:xfrm>
          <a:off x="5165641" y="11752240"/>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AC6FE5-9375-488F-8972-E21E68EED8B2}" type="TxLink">
            <a:rPr lang="en-US" sz="1000" b="0" i="0" u="none" strike="noStrike">
              <a:solidFill>
                <a:srgbClr val="0C769E"/>
              </a:solidFill>
              <a:latin typeface="Times New Roman"/>
              <a:cs typeface="Times New Roman"/>
            </a:rPr>
            <a:pPr algn="ctr"/>
            <a:t>Fraction of volatile solids in each system other than solid storage</a:t>
          </a:fld>
          <a:endParaRPr lang="en-AU" sz="1000">
            <a:solidFill>
              <a:srgbClr val="0C769E"/>
            </a:solidFill>
          </a:endParaRPr>
        </a:p>
      </xdr:txBody>
    </xdr:sp>
    <xdr:clientData/>
  </xdr:twoCellAnchor>
  <xdr:twoCellAnchor>
    <xdr:from>
      <xdr:col>7</xdr:col>
      <xdr:colOff>93146</xdr:colOff>
      <xdr:row>51</xdr:row>
      <xdr:rowOff>116030</xdr:rowOff>
    </xdr:from>
    <xdr:to>
      <xdr:col>9</xdr:col>
      <xdr:colOff>385946</xdr:colOff>
      <xdr:row>54</xdr:row>
      <xdr:rowOff>93080</xdr:rowOff>
    </xdr:to>
    <xdr:sp macro="" textlink="'4.3.1.1-2 Methane'!D182">
      <xdr:nvSpPr>
        <xdr:cNvPr id="45" name="TextBox 44">
          <a:hlinkClick xmlns:r="http://schemas.openxmlformats.org/officeDocument/2006/relationships" r:id="rId9"/>
          <a:extLst>
            <a:ext uri="{FF2B5EF4-FFF2-40B4-BE49-F238E27FC236}">
              <a16:creationId xmlns:a16="http://schemas.microsoft.com/office/drawing/2014/main" id="{B60DE701-E046-4FE6-8418-F08AB3556650}"/>
            </a:ext>
          </a:extLst>
        </xdr:cNvPr>
        <xdr:cNvSpPr txBox="1"/>
      </xdr:nvSpPr>
      <xdr:spPr>
        <a:xfrm>
          <a:off x="5184691" y="1261975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A313D9-C45C-43CA-B870-14C168DFFDC9}" type="TxLink">
            <a:rPr lang="en-US" sz="1000" b="0" i="0" u="none" strike="noStrike">
              <a:solidFill>
                <a:srgbClr val="0C769E"/>
              </a:solidFill>
              <a:latin typeface="Times New Roman"/>
              <a:cs typeface="Times New Roman"/>
            </a:rPr>
            <a:pPr algn="ctr"/>
            <a:t>Fraction of volatile solids in solid storage</a:t>
          </a:fld>
          <a:endParaRPr lang="en-AU" sz="1000">
            <a:solidFill>
              <a:srgbClr val="0C769E"/>
            </a:solidFill>
          </a:endParaRPr>
        </a:p>
      </xdr:txBody>
    </xdr:sp>
    <xdr:clientData/>
  </xdr:twoCellAnchor>
  <xdr:twoCellAnchor>
    <xdr:from>
      <xdr:col>7</xdr:col>
      <xdr:colOff>93146</xdr:colOff>
      <xdr:row>55</xdr:row>
      <xdr:rowOff>42552</xdr:rowOff>
    </xdr:from>
    <xdr:to>
      <xdr:col>9</xdr:col>
      <xdr:colOff>385946</xdr:colOff>
      <xdr:row>58</xdr:row>
      <xdr:rowOff>19602</xdr:rowOff>
    </xdr:to>
    <xdr:sp macro="" textlink="'4.3.1.1-2 Methane'!D209">
      <xdr:nvSpPr>
        <xdr:cNvPr id="46" name="TextBox 45">
          <a:hlinkClick xmlns:r="http://schemas.openxmlformats.org/officeDocument/2006/relationships" r:id="rId10"/>
          <a:extLst>
            <a:ext uri="{FF2B5EF4-FFF2-40B4-BE49-F238E27FC236}">
              <a16:creationId xmlns:a16="http://schemas.microsoft.com/office/drawing/2014/main" id="{1DF73E34-8559-4F1F-BB82-E3E2B4035879}"/>
            </a:ext>
          </a:extLst>
        </xdr:cNvPr>
        <xdr:cNvSpPr txBox="1"/>
      </xdr:nvSpPr>
      <xdr:spPr>
        <a:xfrm>
          <a:off x="5184691" y="1351609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C728A61-C488-4859-9D64-BDEEC900F74F}" type="TxLink">
            <a:rPr lang="en-US" sz="1000" b="0" i="0" u="none" strike="noStrike">
              <a:solidFill>
                <a:srgbClr val="0C769E"/>
              </a:solidFill>
              <a:latin typeface="Times New Roman"/>
              <a:cs typeface="Times New Roman"/>
            </a:rPr>
            <a:pPr algn="ctr"/>
            <a:t>Methane from manure production from weaned dairy cattle</a:t>
          </a:fld>
          <a:endParaRPr lang="en-AU" sz="1000">
            <a:solidFill>
              <a:srgbClr val="0C769E"/>
            </a:solidFill>
          </a:endParaRPr>
        </a:p>
      </xdr:txBody>
    </xdr:sp>
    <xdr:clientData/>
  </xdr:twoCellAnchor>
  <xdr:twoCellAnchor>
    <xdr:from>
      <xdr:col>7</xdr:col>
      <xdr:colOff>74096</xdr:colOff>
      <xdr:row>63</xdr:row>
      <xdr:rowOff>137906</xdr:rowOff>
    </xdr:from>
    <xdr:to>
      <xdr:col>9</xdr:col>
      <xdr:colOff>366896</xdr:colOff>
      <xdr:row>67</xdr:row>
      <xdr:rowOff>82792</xdr:rowOff>
    </xdr:to>
    <xdr:sp macro="" textlink="'4.3.1.1-2 Methane'!D248">
      <xdr:nvSpPr>
        <xdr:cNvPr id="47" name="TextBox 46">
          <a:hlinkClick xmlns:r="http://schemas.openxmlformats.org/officeDocument/2006/relationships" r:id="rId11"/>
          <a:extLst>
            <a:ext uri="{FF2B5EF4-FFF2-40B4-BE49-F238E27FC236}">
              <a16:creationId xmlns:a16="http://schemas.microsoft.com/office/drawing/2014/main" id="{5BB39083-14D5-4E03-B2EF-96E2D8D78D27}"/>
            </a:ext>
          </a:extLst>
        </xdr:cNvPr>
        <xdr:cNvSpPr txBox="1"/>
      </xdr:nvSpPr>
      <xdr:spPr>
        <a:xfrm>
          <a:off x="5165641" y="15291315"/>
          <a:ext cx="150507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116284-0161-4ADB-B34F-D4AB31F12260}" type="TxLink">
            <a:rPr lang="en-US" sz="1000" b="1" i="0" u="none" strike="noStrike">
              <a:solidFill>
                <a:srgbClr val="0C769E"/>
              </a:solidFill>
              <a:latin typeface="Times New Roman"/>
              <a:cs typeface="Times New Roman"/>
            </a:rPr>
            <a:pPr algn="ctr"/>
            <a:t>Total annual methane production from manure management</a:t>
          </a:fld>
          <a:endParaRPr lang="en-AU" sz="1000" b="1">
            <a:solidFill>
              <a:srgbClr val="0C769E"/>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257236</xdr:colOff>
      <xdr:row>21</xdr:row>
      <xdr:rowOff>178806</xdr:rowOff>
    </xdr:from>
    <xdr:to>
      <xdr:col>4</xdr:col>
      <xdr:colOff>266761</xdr:colOff>
      <xdr:row>23</xdr:row>
      <xdr:rowOff>39831</xdr:rowOff>
    </xdr:to>
    <xdr:cxnSp macro="">
      <xdr:nvCxnSpPr>
        <xdr:cNvPr id="54" name="Connector: Curved 53">
          <a:extLst>
            <a:ext uri="{FF2B5EF4-FFF2-40B4-BE49-F238E27FC236}">
              <a16:creationId xmlns:a16="http://schemas.microsoft.com/office/drawing/2014/main" id="{900B639B-115C-1DCF-B500-684BF27906A8}"/>
            </a:ext>
          </a:extLst>
        </xdr:cNvPr>
        <xdr:cNvCxnSpPr>
          <a:stCxn id="41" idx="2"/>
          <a:endCxn id="42" idx="0"/>
        </xdr:cNvCxnSpPr>
      </xdr:nvCxnSpPr>
      <xdr:spPr>
        <a:xfrm rot="5400000">
          <a:off x="3369961" y="5686206"/>
          <a:ext cx="356325" cy="9525"/>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403635</xdr:colOff>
      <xdr:row>24</xdr:row>
      <xdr:rowOff>149583</xdr:rowOff>
    </xdr:from>
    <xdr:to>
      <xdr:col>8</xdr:col>
      <xdr:colOff>247710</xdr:colOff>
      <xdr:row>26</xdr:row>
      <xdr:rowOff>148935</xdr:rowOff>
    </xdr:to>
    <xdr:cxnSp macro="">
      <xdr:nvCxnSpPr>
        <xdr:cNvPr id="56" name="Connector: Curved 55">
          <a:extLst>
            <a:ext uri="{FF2B5EF4-FFF2-40B4-BE49-F238E27FC236}">
              <a16:creationId xmlns:a16="http://schemas.microsoft.com/office/drawing/2014/main" id="{1C8DCB3A-3AD5-64F4-B793-763E4DE2AC62}"/>
            </a:ext>
          </a:extLst>
        </xdr:cNvPr>
        <xdr:cNvCxnSpPr>
          <a:stCxn id="42" idx="3"/>
          <a:endCxn id="43" idx="0"/>
        </xdr:cNvCxnSpPr>
      </xdr:nvCxnSpPr>
      <xdr:spPr>
        <a:xfrm>
          <a:off x="4282908" y="6107038"/>
          <a:ext cx="1662484" cy="484261"/>
        </a:xfrm>
        <a:prstGeom prst="curvedConnector2">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29</xdr:row>
      <xdr:rowOff>125985</xdr:rowOff>
    </xdr:from>
    <xdr:to>
      <xdr:col>8</xdr:col>
      <xdr:colOff>247711</xdr:colOff>
      <xdr:row>47</xdr:row>
      <xdr:rowOff>218330</xdr:rowOff>
    </xdr:to>
    <xdr:cxnSp macro="">
      <xdr:nvCxnSpPr>
        <xdr:cNvPr id="58" name="Connector: Curved 57">
          <a:extLst>
            <a:ext uri="{FF2B5EF4-FFF2-40B4-BE49-F238E27FC236}">
              <a16:creationId xmlns:a16="http://schemas.microsoft.com/office/drawing/2014/main" id="{61022535-73B7-6FA8-34C1-B96F2865BCA7}"/>
            </a:ext>
          </a:extLst>
        </xdr:cNvPr>
        <xdr:cNvCxnSpPr>
          <a:stCxn id="43" idx="2"/>
          <a:endCxn id="44" idx="0"/>
        </xdr:cNvCxnSpPr>
      </xdr:nvCxnSpPr>
      <xdr:spPr>
        <a:xfrm rot="5400000">
          <a:off x="3703522" y="9510369"/>
          <a:ext cx="4456527"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50</xdr:row>
      <xdr:rowOff>195380</xdr:rowOff>
    </xdr:from>
    <xdr:to>
      <xdr:col>8</xdr:col>
      <xdr:colOff>239547</xdr:colOff>
      <xdr:row>51</xdr:row>
      <xdr:rowOff>116029</xdr:rowOff>
    </xdr:to>
    <xdr:cxnSp macro="">
      <xdr:nvCxnSpPr>
        <xdr:cNvPr id="60" name="Connector: Curved 59">
          <a:extLst>
            <a:ext uri="{FF2B5EF4-FFF2-40B4-BE49-F238E27FC236}">
              <a16:creationId xmlns:a16="http://schemas.microsoft.com/office/drawing/2014/main" id="{DEBC39A6-15BA-3E5D-DF57-4FEE0FD6B27D}"/>
            </a:ext>
          </a:extLst>
        </xdr:cNvPr>
        <xdr:cNvCxnSpPr>
          <a:stCxn id="44" idx="2"/>
          <a:endCxn id="45" idx="0"/>
        </xdr:cNvCxnSpPr>
      </xdr:nvCxnSpPr>
      <xdr:spPr>
        <a:xfrm rot="16200000" flipH="1">
          <a:off x="5846152" y="12528680"/>
          <a:ext cx="163103"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233196</xdr:colOff>
      <xdr:row>54</xdr:row>
      <xdr:rowOff>99430</xdr:rowOff>
    </xdr:from>
    <xdr:to>
      <xdr:col>8</xdr:col>
      <xdr:colOff>245896</xdr:colOff>
      <xdr:row>55</xdr:row>
      <xdr:rowOff>48902</xdr:rowOff>
    </xdr:to>
    <xdr:cxnSp macro="">
      <xdr:nvCxnSpPr>
        <xdr:cNvPr id="62" name="Connector: Curved 61">
          <a:extLst>
            <a:ext uri="{FF2B5EF4-FFF2-40B4-BE49-F238E27FC236}">
              <a16:creationId xmlns:a16="http://schemas.microsoft.com/office/drawing/2014/main" id="{5A2BA810-5644-6241-791A-DB9FB9D1418E}"/>
            </a:ext>
          </a:extLst>
        </xdr:cNvPr>
        <xdr:cNvCxnSpPr>
          <a:stCxn id="45" idx="2"/>
          <a:endCxn id="46" idx="0"/>
        </xdr:cNvCxnSpPr>
      </xdr:nvCxnSpPr>
      <xdr:spPr>
        <a:xfrm rot="5400000">
          <a:off x="5841265" y="13420134"/>
          <a:ext cx="191926"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220496</xdr:colOff>
      <xdr:row>58</xdr:row>
      <xdr:rowOff>19602</xdr:rowOff>
    </xdr:from>
    <xdr:to>
      <xdr:col>8</xdr:col>
      <xdr:colOff>239546</xdr:colOff>
      <xdr:row>63</xdr:row>
      <xdr:rowOff>137906</xdr:rowOff>
    </xdr:to>
    <xdr:cxnSp macro="">
      <xdr:nvCxnSpPr>
        <xdr:cNvPr id="64" name="Connector: Curved 63">
          <a:extLst>
            <a:ext uri="{FF2B5EF4-FFF2-40B4-BE49-F238E27FC236}">
              <a16:creationId xmlns:a16="http://schemas.microsoft.com/office/drawing/2014/main" id="{66D9845B-9E16-E423-ADE5-2754DBB16C8F}"/>
            </a:ext>
          </a:extLst>
        </xdr:cNvPr>
        <xdr:cNvCxnSpPr>
          <a:stCxn id="46" idx="2"/>
          <a:endCxn id="47" idx="0"/>
        </xdr:cNvCxnSpPr>
      </xdr:nvCxnSpPr>
      <xdr:spPr>
        <a:xfrm rot="5400000">
          <a:off x="5392301" y="14746388"/>
          <a:ext cx="1070804"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487723</xdr:colOff>
      <xdr:row>26</xdr:row>
      <xdr:rowOff>81502</xdr:rowOff>
    </xdr:from>
    <xdr:to>
      <xdr:col>14</xdr:col>
      <xdr:colOff>170923</xdr:colOff>
      <xdr:row>29</xdr:row>
      <xdr:rowOff>58553</xdr:rowOff>
    </xdr:to>
    <xdr:sp macro="" textlink="'4.3.1.3-4 Direct N20'!D33">
      <xdr:nvSpPr>
        <xdr:cNvPr id="65" name="TextBox 64">
          <a:hlinkClick xmlns:r="http://schemas.openxmlformats.org/officeDocument/2006/relationships" r:id="rId12"/>
          <a:extLst>
            <a:ext uri="{FF2B5EF4-FFF2-40B4-BE49-F238E27FC236}">
              <a16:creationId xmlns:a16="http://schemas.microsoft.com/office/drawing/2014/main" id="{BE3FB815-FBE9-4F7A-8364-CD052E9659EE}"/>
            </a:ext>
          </a:extLst>
        </xdr:cNvPr>
        <xdr:cNvSpPr txBox="1"/>
      </xdr:nvSpPr>
      <xdr:spPr>
        <a:xfrm>
          <a:off x="8003814" y="6523866"/>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48F6F5-BAE7-4105-A6FD-6B8198866203}" type="TxLink">
            <a:rPr lang="en-US" sz="1000" b="0" i="0" u="none" strike="noStrike">
              <a:solidFill>
                <a:srgbClr val="002060"/>
              </a:solidFill>
              <a:latin typeface="Times New Roman"/>
              <a:cs typeface="Times New Roman"/>
            </a:rPr>
            <a:pPr algn="ctr"/>
            <a:t>Intake relative to maintenance</a:t>
          </a:fld>
          <a:endParaRPr lang="en-AU" sz="1000">
            <a:solidFill>
              <a:srgbClr val="002060"/>
            </a:solidFill>
          </a:endParaRPr>
        </a:p>
      </xdr:txBody>
    </xdr:sp>
    <xdr:clientData/>
  </xdr:twoCellAnchor>
  <xdr:twoCellAnchor>
    <xdr:from>
      <xdr:col>5</xdr:col>
      <xdr:colOff>403635</xdr:colOff>
      <xdr:row>24</xdr:row>
      <xdr:rowOff>149583</xdr:rowOff>
    </xdr:from>
    <xdr:to>
      <xdr:col>13</xdr:col>
      <xdr:colOff>26255</xdr:colOff>
      <xdr:row>26</xdr:row>
      <xdr:rowOff>81502</xdr:rowOff>
    </xdr:to>
    <xdr:cxnSp macro="">
      <xdr:nvCxnSpPr>
        <xdr:cNvPr id="69" name="Connector: Curved 68">
          <a:extLst>
            <a:ext uri="{FF2B5EF4-FFF2-40B4-BE49-F238E27FC236}">
              <a16:creationId xmlns:a16="http://schemas.microsoft.com/office/drawing/2014/main" id="{90C4E357-7C61-617B-133C-0323E517E2CC}"/>
            </a:ext>
          </a:extLst>
        </xdr:cNvPr>
        <xdr:cNvCxnSpPr>
          <a:stCxn id="42" idx="3"/>
          <a:endCxn id="65" idx="0"/>
        </xdr:cNvCxnSpPr>
      </xdr:nvCxnSpPr>
      <xdr:spPr>
        <a:xfrm>
          <a:off x="4282908" y="6107038"/>
          <a:ext cx="4471711" cy="416828"/>
        </a:xfrm>
        <a:prstGeom prst="curvedConnector2">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479389</xdr:colOff>
      <xdr:row>30</xdr:row>
      <xdr:rowOff>1731</xdr:rowOff>
    </xdr:from>
    <xdr:to>
      <xdr:col>14</xdr:col>
      <xdr:colOff>162589</xdr:colOff>
      <xdr:row>32</xdr:row>
      <xdr:rowOff>221235</xdr:rowOff>
    </xdr:to>
    <xdr:sp macro="" textlink="'4.3.1.3-4 Direct N20'!D69">
      <xdr:nvSpPr>
        <xdr:cNvPr id="71" name="TextBox 70">
          <a:hlinkClick xmlns:r="http://schemas.openxmlformats.org/officeDocument/2006/relationships" r:id="rId13"/>
          <a:extLst>
            <a:ext uri="{FF2B5EF4-FFF2-40B4-BE49-F238E27FC236}">
              <a16:creationId xmlns:a16="http://schemas.microsoft.com/office/drawing/2014/main" id="{7D7EFDD9-03EF-49FF-A864-1C7FA40DCCF2}"/>
            </a:ext>
          </a:extLst>
        </xdr:cNvPr>
        <xdr:cNvSpPr txBox="1"/>
      </xdr:nvSpPr>
      <xdr:spPr>
        <a:xfrm>
          <a:off x="7995480" y="741391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7E903EE-14B6-4C9A-AA3D-938C1DDA9BA1}" type="TxLink">
            <a:rPr lang="en-US" sz="1000" b="0" i="0" u="none" strike="noStrike">
              <a:solidFill>
                <a:srgbClr val="002060"/>
              </a:solidFill>
              <a:latin typeface="Times New Roman"/>
              <a:cs typeface="Times New Roman"/>
            </a:rPr>
            <a:pPr algn="ctr"/>
            <a:t>Amount of nitrogen retained by the body</a:t>
          </a:fld>
          <a:endParaRPr lang="en-AU" sz="1000">
            <a:solidFill>
              <a:srgbClr val="002060"/>
            </a:solidFill>
          </a:endParaRPr>
        </a:p>
      </xdr:txBody>
    </xdr:sp>
    <xdr:clientData/>
  </xdr:twoCellAnchor>
  <xdr:twoCellAnchor>
    <xdr:from>
      <xdr:col>13</xdr:col>
      <xdr:colOff>26255</xdr:colOff>
      <xdr:row>12</xdr:row>
      <xdr:rowOff>157159</xdr:rowOff>
    </xdr:from>
    <xdr:to>
      <xdr:col>13</xdr:col>
      <xdr:colOff>29998</xdr:colOff>
      <xdr:row>26</xdr:row>
      <xdr:rowOff>81503</xdr:rowOff>
    </xdr:to>
    <xdr:cxnSp macro="">
      <xdr:nvCxnSpPr>
        <xdr:cNvPr id="73" name="Connector: Curved 72">
          <a:extLst>
            <a:ext uri="{FF2B5EF4-FFF2-40B4-BE49-F238E27FC236}">
              <a16:creationId xmlns:a16="http://schemas.microsoft.com/office/drawing/2014/main" id="{5ADBA7D5-DA21-ACAB-CAB2-F8955A4CF96D}"/>
            </a:ext>
          </a:extLst>
        </xdr:cNvPr>
        <xdr:cNvCxnSpPr>
          <a:stCxn id="13" idx="2"/>
          <a:endCxn id="65" idx="0"/>
        </xdr:cNvCxnSpPr>
      </xdr:nvCxnSpPr>
      <xdr:spPr>
        <a:xfrm rot="5400000">
          <a:off x="7097137" y="4862641"/>
          <a:ext cx="3318708"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482961</xdr:colOff>
      <xdr:row>33</xdr:row>
      <xdr:rowOff>164414</xdr:rowOff>
    </xdr:from>
    <xdr:to>
      <xdr:col>14</xdr:col>
      <xdr:colOff>166161</xdr:colOff>
      <xdr:row>36</xdr:row>
      <xdr:rowOff>141463</xdr:rowOff>
    </xdr:to>
    <xdr:sp macro="" textlink="'4.3.1.3-4 Direct N20'!D107">
      <xdr:nvSpPr>
        <xdr:cNvPr id="74" name="TextBox 73">
          <a:hlinkClick xmlns:r="http://schemas.openxmlformats.org/officeDocument/2006/relationships" r:id="rId14"/>
          <a:extLst>
            <a:ext uri="{FF2B5EF4-FFF2-40B4-BE49-F238E27FC236}">
              <a16:creationId xmlns:a16="http://schemas.microsoft.com/office/drawing/2014/main" id="{ED329F61-0057-4B10-AAF5-B29223F0C1C7}"/>
            </a:ext>
          </a:extLst>
        </xdr:cNvPr>
        <xdr:cNvSpPr txBox="1"/>
      </xdr:nvSpPr>
      <xdr:spPr>
        <a:xfrm>
          <a:off x="7999052" y="8303959"/>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3D8DBE2-ABD6-498E-A8B5-C74C4141311E}" type="TxLink">
            <a:rPr lang="en-US" sz="1000" b="0" i="0" u="none" strike="noStrike">
              <a:solidFill>
                <a:srgbClr val="002060"/>
              </a:solidFill>
              <a:latin typeface="Times New Roman"/>
              <a:cs typeface="Times New Roman"/>
            </a:rPr>
            <a:pPr algn="ctr"/>
            <a:t>Crude protein intake of dairy cattle</a:t>
          </a:fld>
          <a:endParaRPr lang="en-AU" sz="1000">
            <a:solidFill>
              <a:srgbClr val="002060"/>
            </a:solidFill>
          </a:endParaRPr>
        </a:p>
      </xdr:txBody>
    </xdr:sp>
    <xdr:clientData/>
  </xdr:twoCellAnchor>
  <xdr:twoCellAnchor>
    <xdr:from>
      <xdr:col>11</xdr:col>
      <xdr:colOff>498440</xdr:colOff>
      <xdr:row>37</xdr:row>
      <xdr:rowOff>68405</xdr:rowOff>
    </xdr:from>
    <xdr:to>
      <xdr:col>14</xdr:col>
      <xdr:colOff>181640</xdr:colOff>
      <xdr:row>40</xdr:row>
      <xdr:rowOff>45457</xdr:rowOff>
    </xdr:to>
    <xdr:sp macro="" textlink="'4.3.1.3-4 Direct N20'!D130">
      <xdr:nvSpPr>
        <xdr:cNvPr id="75" name="TextBox 74">
          <a:hlinkClick xmlns:r="http://schemas.openxmlformats.org/officeDocument/2006/relationships" r:id="rId15"/>
          <a:extLst>
            <a:ext uri="{FF2B5EF4-FFF2-40B4-BE49-F238E27FC236}">
              <a16:creationId xmlns:a16="http://schemas.microsoft.com/office/drawing/2014/main" id="{EF341A28-8B51-47C3-8F79-E7E1684C4D44}"/>
            </a:ext>
          </a:extLst>
        </xdr:cNvPr>
        <xdr:cNvSpPr txBox="1"/>
      </xdr:nvSpPr>
      <xdr:spPr>
        <a:xfrm>
          <a:off x="8014531" y="9177769"/>
          <a:ext cx="1501609"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EF25A30-2812-4765-A458-BA62006E84A8}" type="TxLink">
            <a:rPr lang="en-US" sz="1000" b="0" i="0" u="none" strike="noStrike">
              <a:solidFill>
                <a:srgbClr val="002060"/>
              </a:solidFill>
              <a:latin typeface="Times New Roman"/>
              <a:cs typeface="Times New Roman"/>
            </a:rPr>
            <a:pPr algn="ctr"/>
            <a:t>Nitrogen excreted by dairy cattle greater than one year old</a:t>
          </a:fld>
          <a:endParaRPr lang="en-AU" sz="1000">
            <a:solidFill>
              <a:srgbClr val="002060"/>
            </a:solidFill>
          </a:endParaRPr>
        </a:p>
      </xdr:txBody>
    </xdr:sp>
    <xdr:clientData/>
  </xdr:twoCellAnchor>
  <xdr:twoCellAnchor>
    <xdr:from>
      <xdr:col>10</xdr:col>
      <xdr:colOff>238262</xdr:colOff>
      <xdr:row>41</xdr:row>
      <xdr:rowOff>109509</xdr:rowOff>
    </xdr:from>
    <xdr:to>
      <xdr:col>12</xdr:col>
      <xdr:colOff>534375</xdr:colOff>
      <xdr:row>44</xdr:row>
      <xdr:rowOff>86560</xdr:rowOff>
    </xdr:to>
    <xdr:sp macro="" textlink="'4.3.1.3-4 Direct N20'!D150">
      <xdr:nvSpPr>
        <xdr:cNvPr id="76" name="TextBox 75">
          <a:hlinkClick xmlns:r="http://schemas.openxmlformats.org/officeDocument/2006/relationships" r:id="rId16"/>
          <a:extLst>
            <a:ext uri="{FF2B5EF4-FFF2-40B4-BE49-F238E27FC236}">
              <a16:creationId xmlns:a16="http://schemas.microsoft.com/office/drawing/2014/main" id="{E81D19C4-A204-4EAB-B09F-3181E6CFBBDE}"/>
            </a:ext>
          </a:extLst>
        </xdr:cNvPr>
        <xdr:cNvSpPr txBox="1"/>
      </xdr:nvSpPr>
      <xdr:spPr>
        <a:xfrm>
          <a:off x="7148217" y="10188691"/>
          <a:ext cx="1508385"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D7B348-2C71-4279-BD94-24CE3245FC92}" type="TxLink">
            <a:rPr lang="en-US" sz="1000" b="0" i="0" u="none" strike="noStrike">
              <a:solidFill>
                <a:srgbClr val="002060"/>
              </a:solidFill>
              <a:latin typeface="Times New Roman"/>
              <a:cs typeface="Times New Roman"/>
            </a:rPr>
            <a:pPr algn="ctr"/>
            <a:t>Total annual nitrogen excreted by dairy cattle greater than one year old</a:t>
          </a:fld>
          <a:endParaRPr lang="en-AU" sz="1000">
            <a:solidFill>
              <a:srgbClr val="002060"/>
            </a:solidFill>
          </a:endParaRPr>
        </a:p>
      </xdr:txBody>
    </xdr:sp>
    <xdr:clientData/>
  </xdr:twoCellAnchor>
  <xdr:twoCellAnchor>
    <xdr:from>
      <xdr:col>13</xdr:col>
      <xdr:colOff>63240</xdr:colOff>
      <xdr:row>41</xdr:row>
      <xdr:rowOff>113081</xdr:rowOff>
    </xdr:from>
    <xdr:to>
      <xdr:col>15</xdr:col>
      <xdr:colOff>359354</xdr:colOff>
      <xdr:row>44</xdr:row>
      <xdr:rowOff>90132</xdr:rowOff>
    </xdr:to>
    <xdr:sp macro="" textlink="'4.3.1.3-4 Direct N20'!D180">
      <xdr:nvSpPr>
        <xdr:cNvPr id="77" name="TextBox 76">
          <a:hlinkClick xmlns:r="http://schemas.openxmlformats.org/officeDocument/2006/relationships" r:id="rId17"/>
          <a:extLst>
            <a:ext uri="{FF2B5EF4-FFF2-40B4-BE49-F238E27FC236}">
              <a16:creationId xmlns:a16="http://schemas.microsoft.com/office/drawing/2014/main" id="{AE747D7E-F842-455A-B724-ECC014DD9AFD}"/>
            </a:ext>
          </a:extLst>
        </xdr:cNvPr>
        <xdr:cNvSpPr txBox="1"/>
      </xdr:nvSpPr>
      <xdr:spPr>
        <a:xfrm>
          <a:off x="8791604" y="10192263"/>
          <a:ext cx="150838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C9358C-3002-4C87-86E9-93AEF25C673A}" type="TxLink">
            <a:rPr lang="en-US" sz="1000" b="0" i="0" u="none" strike="noStrike">
              <a:solidFill>
                <a:srgbClr val="002060"/>
              </a:solidFill>
              <a:latin typeface="Times New Roman"/>
              <a:cs typeface="Times New Roman"/>
            </a:rPr>
            <a:pPr algn="ctr"/>
            <a:t>Total annual nitrogen excreted by dairy cattle less than one year old</a:t>
          </a:fld>
          <a:endParaRPr lang="en-AU" sz="1000">
            <a:solidFill>
              <a:srgbClr val="002060"/>
            </a:solidFill>
          </a:endParaRPr>
        </a:p>
      </xdr:txBody>
    </xdr:sp>
    <xdr:clientData/>
  </xdr:twoCellAnchor>
  <xdr:twoCellAnchor>
    <xdr:from>
      <xdr:col>11</xdr:col>
      <xdr:colOff>459459</xdr:colOff>
      <xdr:row>47</xdr:row>
      <xdr:rowOff>222074</xdr:rowOff>
    </xdr:from>
    <xdr:to>
      <xdr:col>14</xdr:col>
      <xdr:colOff>136966</xdr:colOff>
      <xdr:row>50</xdr:row>
      <xdr:rowOff>199124</xdr:rowOff>
    </xdr:to>
    <xdr:sp macro="" textlink="'4.3.1.3-4 Direct N20'!D217">
      <xdr:nvSpPr>
        <xdr:cNvPr id="78" name="TextBox 77">
          <a:hlinkClick xmlns:r="http://schemas.openxmlformats.org/officeDocument/2006/relationships" r:id="rId18"/>
          <a:extLst>
            <a:ext uri="{FF2B5EF4-FFF2-40B4-BE49-F238E27FC236}">
              <a16:creationId xmlns:a16="http://schemas.microsoft.com/office/drawing/2014/main" id="{0A04FC63-812A-4B29-93E2-9109058499F4}"/>
            </a:ext>
          </a:extLst>
        </xdr:cNvPr>
        <xdr:cNvSpPr txBox="1"/>
      </xdr:nvSpPr>
      <xdr:spPr>
        <a:xfrm>
          <a:off x="7975550" y="11755983"/>
          <a:ext cx="149591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C4287E5-F972-4674-A9C7-86E5DE613A85}" type="TxLink">
            <a:rPr lang="en-US" sz="1000" b="0" i="0" u="none" strike="noStrike">
              <a:solidFill>
                <a:srgbClr val="002060"/>
              </a:solidFill>
              <a:latin typeface="Times New Roman"/>
              <a:cs typeface="Times New Roman"/>
            </a:rPr>
            <a:pPr algn="ctr"/>
            <a:t>Total nitrogen in each MMS</a:t>
          </a:fld>
          <a:endParaRPr lang="en-AU" sz="1000">
            <a:solidFill>
              <a:srgbClr val="002060"/>
            </a:solidFill>
          </a:endParaRPr>
        </a:p>
      </xdr:txBody>
    </xdr:sp>
    <xdr:clientData/>
  </xdr:twoCellAnchor>
  <xdr:twoCellAnchor>
    <xdr:from>
      <xdr:col>11</xdr:col>
      <xdr:colOff>457078</xdr:colOff>
      <xdr:row>63</xdr:row>
      <xdr:rowOff>150710</xdr:rowOff>
    </xdr:from>
    <xdr:to>
      <xdr:col>14</xdr:col>
      <xdr:colOff>134585</xdr:colOff>
      <xdr:row>67</xdr:row>
      <xdr:rowOff>98070</xdr:rowOff>
    </xdr:to>
    <xdr:sp macro="" textlink="'4.3.1.3-4 Direct N20'!D254">
      <xdr:nvSpPr>
        <xdr:cNvPr id="79" name="TextBox 78">
          <a:hlinkClick xmlns:r="http://schemas.openxmlformats.org/officeDocument/2006/relationships" r:id="rId19"/>
          <a:extLst>
            <a:ext uri="{FF2B5EF4-FFF2-40B4-BE49-F238E27FC236}">
              <a16:creationId xmlns:a16="http://schemas.microsoft.com/office/drawing/2014/main" id="{C3BC9EB5-F04F-4C6D-A04D-225779E975AE}"/>
            </a:ext>
          </a:extLst>
        </xdr:cNvPr>
        <xdr:cNvSpPr txBox="1"/>
      </xdr:nvSpPr>
      <xdr:spPr>
        <a:xfrm>
          <a:off x="7973169" y="15304119"/>
          <a:ext cx="1495916"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057367-B228-4AD6-9D17-C0D1F71DB32A}"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13</xdr:col>
      <xdr:colOff>17922</xdr:colOff>
      <xdr:row>29</xdr:row>
      <xdr:rowOff>58552</xdr:rowOff>
    </xdr:from>
    <xdr:to>
      <xdr:col>13</xdr:col>
      <xdr:colOff>26256</xdr:colOff>
      <xdr:row>30</xdr:row>
      <xdr:rowOff>1730</xdr:rowOff>
    </xdr:to>
    <xdr:cxnSp macro="">
      <xdr:nvCxnSpPr>
        <xdr:cNvPr id="81" name="Connector: Curved 80">
          <a:extLst>
            <a:ext uri="{FF2B5EF4-FFF2-40B4-BE49-F238E27FC236}">
              <a16:creationId xmlns:a16="http://schemas.microsoft.com/office/drawing/2014/main" id="{269449AD-6D65-DAD3-75BB-00595941A6CA}"/>
            </a:ext>
          </a:extLst>
        </xdr:cNvPr>
        <xdr:cNvCxnSpPr>
          <a:stCxn id="65" idx="2"/>
          <a:endCxn id="71" idx="0"/>
        </xdr:cNvCxnSpPr>
      </xdr:nvCxnSpPr>
      <xdr:spPr>
        <a:xfrm rot="5400000">
          <a:off x="8657636" y="7316929"/>
          <a:ext cx="185633" cy="833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17922</xdr:colOff>
      <xdr:row>32</xdr:row>
      <xdr:rowOff>221234</xdr:rowOff>
    </xdr:from>
    <xdr:to>
      <xdr:col>13</xdr:col>
      <xdr:colOff>21494</xdr:colOff>
      <xdr:row>33</xdr:row>
      <xdr:rowOff>164413</xdr:rowOff>
    </xdr:to>
    <xdr:cxnSp macro="">
      <xdr:nvCxnSpPr>
        <xdr:cNvPr id="83" name="Connector: Curved 82">
          <a:extLst>
            <a:ext uri="{FF2B5EF4-FFF2-40B4-BE49-F238E27FC236}">
              <a16:creationId xmlns:a16="http://schemas.microsoft.com/office/drawing/2014/main" id="{1E727A50-8C79-F3D5-9191-A5300FED2CB6}"/>
            </a:ext>
          </a:extLst>
        </xdr:cNvPr>
        <xdr:cNvCxnSpPr>
          <a:stCxn id="71" idx="2"/>
          <a:endCxn id="74" idx="0"/>
        </xdr:cNvCxnSpPr>
      </xdr:nvCxnSpPr>
      <xdr:spPr>
        <a:xfrm rot="16200000" flipH="1">
          <a:off x="8655255" y="8209356"/>
          <a:ext cx="185633"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21493</xdr:colOff>
      <xdr:row>36</xdr:row>
      <xdr:rowOff>141462</xdr:rowOff>
    </xdr:from>
    <xdr:to>
      <xdr:col>13</xdr:col>
      <xdr:colOff>36972</xdr:colOff>
      <xdr:row>37</xdr:row>
      <xdr:rowOff>68404</xdr:rowOff>
    </xdr:to>
    <xdr:cxnSp macro="">
      <xdr:nvCxnSpPr>
        <xdr:cNvPr id="85" name="Connector: Curved 84">
          <a:extLst>
            <a:ext uri="{FF2B5EF4-FFF2-40B4-BE49-F238E27FC236}">
              <a16:creationId xmlns:a16="http://schemas.microsoft.com/office/drawing/2014/main" id="{CD77FCA6-AC3D-5496-EAB1-97FC53A1A144}"/>
            </a:ext>
          </a:extLst>
        </xdr:cNvPr>
        <xdr:cNvCxnSpPr>
          <a:stCxn id="74" idx="2"/>
          <a:endCxn id="75" idx="0"/>
        </xdr:cNvCxnSpPr>
      </xdr:nvCxnSpPr>
      <xdr:spPr>
        <a:xfrm rot="16200000" flipH="1">
          <a:off x="8672898" y="9085330"/>
          <a:ext cx="169397" cy="1547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386320</xdr:colOff>
      <xdr:row>40</xdr:row>
      <xdr:rowOff>45456</xdr:rowOff>
    </xdr:from>
    <xdr:to>
      <xdr:col>13</xdr:col>
      <xdr:colOff>36973</xdr:colOff>
      <xdr:row>41</xdr:row>
      <xdr:rowOff>109508</xdr:rowOff>
    </xdr:to>
    <xdr:cxnSp macro="">
      <xdr:nvCxnSpPr>
        <xdr:cNvPr id="87" name="Connector: Curved 86">
          <a:extLst>
            <a:ext uri="{FF2B5EF4-FFF2-40B4-BE49-F238E27FC236}">
              <a16:creationId xmlns:a16="http://schemas.microsoft.com/office/drawing/2014/main" id="{AFBF84D8-D07E-B1D2-EEB6-1788FE8F5EA0}"/>
            </a:ext>
          </a:extLst>
        </xdr:cNvPr>
        <xdr:cNvCxnSpPr>
          <a:stCxn id="75" idx="2"/>
          <a:endCxn id="76" idx="0"/>
        </xdr:cNvCxnSpPr>
      </xdr:nvCxnSpPr>
      <xdr:spPr>
        <a:xfrm rot="5400000">
          <a:off x="8180620" y="9603974"/>
          <a:ext cx="306507" cy="86292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386319</xdr:colOff>
      <xdr:row>44</xdr:row>
      <xdr:rowOff>86560</xdr:rowOff>
    </xdr:from>
    <xdr:to>
      <xdr:col>12</xdr:col>
      <xdr:colOff>601281</xdr:colOff>
      <xdr:row>47</xdr:row>
      <xdr:rowOff>222074</xdr:rowOff>
    </xdr:to>
    <xdr:cxnSp macro="">
      <xdr:nvCxnSpPr>
        <xdr:cNvPr id="89" name="Connector: Curved 88">
          <a:extLst>
            <a:ext uri="{FF2B5EF4-FFF2-40B4-BE49-F238E27FC236}">
              <a16:creationId xmlns:a16="http://schemas.microsoft.com/office/drawing/2014/main" id="{3C9EB857-15C1-DA45-5042-4B6F5197C3DC}"/>
            </a:ext>
          </a:extLst>
        </xdr:cNvPr>
        <xdr:cNvCxnSpPr>
          <a:stCxn id="76" idx="2"/>
          <a:endCxn id="78" idx="0"/>
        </xdr:cNvCxnSpPr>
      </xdr:nvCxnSpPr>
      <xdr:spPr>
        <a:xfrm rot="16200000" flipH="1">
          <a:off x="7881520" y="10913995"/>
          <a:ext cx="862878" cy="82109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36972</xdr:colOff>
      <xdr:row>40</xdr:row>
      <xdr:rowOff>45456</xdr:rowOff>
    </xdr:from>
    <xdr:to>
      <xdr:col>14</xdr:col>
      <xdr:colOff>211297</xdr:colOff>
      <xdr:row>41</xdr:row>
      <xdr:rowOff>113080</xdr:rowOff>
    </xdr:to>
    <xdr:cxnSp macro="">
      <xdr:nvCxnSpPr>
        <xdr:cNvPr id="91" name="Connector: Curved 90">
          <a:extLst>
            <a:ext uri="{FF2B5EF4-FFF2-40B4-BE49-F238E27FC236}">
              <a16:creationId xmlns:a16="http://schemas.microsoft.com/office/drawing/2014/main" id="{09599CB2-63B0-FF3C-CDFB-6AAFCCE2B8CF}"/>
            </a:ext>
          </a:extLst>
        </xdr:cNvPr>
        <xdr:cNvCxnSpPr>
          <a:stCxn id="75" idx="2"/>
          <a:endCxn id="77" idx="0"/>
        </xdr:cNvCxnSpPr>
      </xdr:nvCxnSpPr>
      <xdr:spPr>
        <a:xfrm rot="16200000" flipH="1">
          <a:off x="9000527" y="9646992"/>
          <a:ext cx="310079" cy="78046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601281</xdr:colOff>
      <xdr:row>44</xdr:row>
      <xdr:rowOff>90133</xdr:rowOff>
    </xdr:from>
    <xdr:to>
      <xdr:col>14</xdr:col>
      <xdr:colOff>211297</xdr:colOff>
      <xdr:row>47</xdr:row>
      <xdr:rowOff>222075</xdr:rowOff>
    </xdr:to>
    <xdr:cxnSp macro="">
      <xdr:nvCxnSpPr>
        <xdr:cNvPr id="93" name="Connector: Curved 92">
          <a:extLst>
            <a:ext uri="{FF2B5EF4-FFF2-40B4-BE49-F238E27FC236}">
              <a16:creationId xmlns:a16="http://schemas.microsoft.com/office/drawing/2014/main" id="{0F5EDDB3-F613-5D9D-7109-ACFCD05B4037}"/>
            </a:ext>
          </a:extLst>
        </xdr:cNvPr>
        <xdr:cNvCxnSpPr>
          <a:stCxn id="77" idx="2"/>
          <a:endCxn id="78" idx="0"/>
        </xdr:cNvCxnSpPr>
      </xdr:nvCxnSpPr>
      <xdr:spPr>
        <a:xfrm rot="5400000">
          <a:off x="8705000" y="10915186"/>
          <a:ext cx="859306" cy="82228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598900</xdr:colOff>
      <xdr:row>50</xdr:row>
      <xdr:rowOff>199125</xdr:rowOff>
    </xdr:from>
    <xdr:to>
      <xdr:col>12</xdr:col>
      <xdr:colOff>601281</xdr:colOff>
      <xdr:row>63</xdr:row>
      <xdr:rowOff>150711</xdr:rowOff>
    </xdr:to>
    <xdr:cxnSp macro="">
      <xdr:nvCxnSpPr>
        <xdr:cNvPr id="95" name="Connector: Curved 94">
          <a:extLst>
            <a:ext uri="{FF2B5EF4-FFF2-40B4-BE49-F238E27FC236}">
              <a16:creationId xmlns:a16="http://schemas.microsoft.com/office/drawing/2014/main" id="{4A0592A3-E6C8-DCD3-EE51-D171A932D6B0}"/>
            </a:ext>
          </a:extLst>
        </xdr:cNvPr>
        <xdr:cNvCxnSpPr>
          <a:stCxn id="78" idx="2"/>
          <a:endCxn id="79" idx="0"/>
        </xdr:cNvCxnSpPr>
      </xdr:nvCxnSpPr>
      <xdr:spPr>
        <a:xfrm rot="5400000">
          <a:off x="7300457" y="13881068"/>
          <a:ext cx="2843722" cy="238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17</xdr:col>
      <xdr:colOff>304489</xdr:colOff>
      <xdr:row>52</xdr:row>
      <xdr:rowOff>53556</xdr:rowOff>
    </xdr:to>
    <xdr:cxnSp macro="">
      <xdr:nvCxnSpPr>
        <xdr:cNvPr id="111" name="Connector: Curved 110">
          <a:extLst>
            <a:ext uri="{FF2B5EF4-FFF2-40B4-BE49-F238E27FC236}">
              <a16:creationId xmlns:a16="http://schemas.microsoft.com/office/drawing/2014/main" id="{8CD3589F-9AFB-C690-9C6F-7AF5DE7E57BB}"/>
            </a:ext>
          </a:extLst>
        </xdr:cNvPr>
        <xdr:cNvCxnSpPr>
          <a:stCxn id="78" idx="3"/>
          <a:endCxn id="17" idx="0"/>
        </xdr:cNvCxnSpPr>
      </xdr:nvCxnSpPr>
      <xdr:spPr>
        <a:xfrm>
          <a:off x="9471466" y="12108190"/>
          <a:ext cx="1985932" cy="691548"/>
        </a:xfrm>
        <a:prstGeom prst="curvedConnector2">
          <a:avLst/>
        </a:prstGeom>
        <a:ln>
          <a:solidFill>
            <a:srgbClr val="7030A0"/>
          </a:solidFill>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17</xdr:col>
      <xdr:colOff>304489</xdr:colOff>
      <xdr:row>55</xdr:row>
      <xdr:rowOff>30607</xdr:rowOff>
    </xdr:from>
    <xdr:to>
      <xdr:col>17</xdr:col>
      <xdr:colOff>307388</xdr:colOff>
      <xdr:row>63</xdr:row>
      <xdr:rowOff>126960</xdr:rowOff>
    </xdr:to>
    <xdr:cxnSp macro="">
      <xdr:nvCxnSpPr>
        <xdr:cNvPr id="113" name="Connector: Curved 112">
          <a:extLst>
            <a:ext uri="{FF2B5EF4-FFF2-40B4-BE49-F238E27FC236}">
              <a16:creationId xmlns:a16="http://schemas.microsoft.com/office/drawing/2014/main" id="{1C67CB42-96F4-DAA4-196C-8A64548918E8}"/>
            </a:ext>
          </a:extLst>
        </xdr:cNvPr>
        <xdr:cNvCxnSpPr>
          <a:stCxn id="17" idx="2"/>
          <a:endCxn id="107" idx="0"/>
        </xdr:cNvCxnSpPr>
      </xdr:nvCxnSpPr>
      <xdr:spPr>
        <a:xfrm rot="16200000" flipH="1">
          <a:off x="10570739" y="14390811"/>
          <a:ext cx="1776217"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21</xdr:col>
      <xdr:colOff>292245</xdr:colOff>
      <xdr:row>52</xdr:row>
      <xdr:rowOff>36990</xdr:rowOff>
    </xdr:to>
    <xdr:cxnSp macro="">
      <xdr:nvCxnSpPr>
        <xdr:cNvPr id="117" name="Connector: Curved 116">
          <a:extLst>
            <a:ext uri="{FF2B5EF4-FFF2-40B4-BE49-F238E27FC236}">
              <a16:creationId xmlns:a16="http://schemas.microsoft.com/office/drawing/2014/main" id="{4610B5F2-BA4A-C232-1266-CB5F0FED0277}"/>
            </a:ext>
          </a:extLst>
        </xdr:cNvPr>
        <xdr:cNvCxnSpPr>
          <a:stCxn id="78" idx="3"/>
          <a:endCxn id="21" idx="0"/>
        </xdr:cNvCxnSpPr>
      </xdr:nvCxnSpPr>
      <xdr:spPr>
        <a:xfrm>
          <a:off x="9471466" y="12108190"/>
          <a:ext cx="4398234" cy="674982"/>
        </a:xfrm>
        <a:prstGeom prst="curvedConnector2">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292245</xdr:colOff>
      <xdr:row>55</xdr:row>
      <xdr:rowOff>14042</xdr:rowOff>
    </xdr:from>
    <xdr:to>
      <xdr:col>21</xdr:col>
      <xdr:colOff>303841</xdr:colOff>
      <xdr:row>63</xdr:row>
      <xdr:rowOff>115010</xdr:rowOff>
    </xdr:to>
    <xdr:cxnSp macro="">
      <xdr:nvCxnSpPr>
        <xdr:cNvPr id="119" name="Connector: Curved 118">
          <a:extLst>
            <a:ext uri="{FF2B5EF4-FFF2-40B4-BE49-F238E27FC236}">
              <a16:creationId xmlns:a16="http://schemas.microsoft.com/office/drawing/2014/main" id="{F880E262-4162-C2AA-9F7A-BEC2A3ED7D21}"/>
            </a:ext>
          </a:extLst>
        </xdr:cNvPr>
        <xdr:cNvCxnSpPr>
          <a:stCxn id="21" idx="2"/>
          <a:endCxn id="115" idx="0"/>
        </xdr:cNvCxnSpPr>
      </xdr:nvCxnSpPr>
      <xdr:spPr>
        <a:xfrm rot="16200000" flipH="1">
          <a:off x="12985082" y="14372205"/>
          <a:ext cx="1780832"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48779</xdr:colOff>
      <xdr:row>72</xdr:row>
      <xdr:rowOff>37409</xdr:rowOff>
    </xdr:from>
    <xdr:to>
      <xdr:col>28</xdr:col>
      <xdr:colOff>341580</xdr:colOff>
      <xdr:row>75</xdr:row>
      <xdr:rowOff>177744</xdr:rowOff>
    </xdr:to>
    <xdr:sp macro="" textlink="'4.3.1.8 Manure applied to soils'!D89">
      <xdr:nvSpPr>
        <xdr:cNvPr id="120" name="TextBox 119">
          <a:hlinkClick xmlns:r="http://schemas.openxmlformats.org/officeDocument/2006/relationships" r:id="rId20"/>
          <a:extLst>
            <a:ext uri="{FF2B5EF4-FFF2-40B4-BE49-F238E27FC236}">
              <a16:creationId xmlns:a16="http://schemas.microsoft.com/office/drawing/2014/main" id="{AF0739EF-5132-4BB9-8A48-332CA37733AD}"/>
            </a:ext>
          </a:extLst>
        </xdr:cNvPr>
        <xdr:cNvSpPr txBox="1"/>
      </xdr:nvSpPr>
      <xdr:spPr>
        <a:xfrm>
          <a:off x="16656915" y="16905318"/>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6A2476F-D79B-4943-8251-6752031A25D4}" type="TxLink">
            <a:rPr lang="en-US" sz="1000" b="1" i="0" u="none" strike="noStrike">
              <a:solidFill>
                <a:srgbClr val="CC6600"/>
              </a:solidFill>
              <a:latin typeface="Times New Roman"/>
              <a:cs typeface="Times New Roman"/>
            </a:rPr>
            <a:pPr algn="ctr"/>
            <a:t>Mass of nitrogen from manure applied to soils for scope 3 emissions</a:t>
          </a:fld>
          <a:endParaRPr lang="en-AU" sz="1000" b="1">
            <a:solidFill>
              <a:srgbClr val="CC6600"/>
            </a:solidFill>
          </a:endParaRPr>
        </a:p>
      </xdr:txBody>
    </xdr:sp>
    <xdr:clientData/>
  </xdr:twoCellAnchor>
  <xdr:twoCellAnchor>
    <xdr:from>
      <xdr:col>14</xdr:col>
      <xdr:colOff>136966</xdr:colOff>
      <xdr:row>49</xdr:row>
      <xdr:rowOff>89372</xdr:rowOff>
    </xdr:from>
    <xdr:to>
      <xdr:col>24</xdr:col>
      <xdr:colOff>438806</xdr:colOff>
      <xdr:row>72</xdr:row>
      <xdr:rowOff>44035</xdr:rowOff>
    </xdr:to>
    <xdr:cxnSp macro="">
      <xdr:nvCxnSpPr>
        <xdr:cNvPr id="122" name="Connector: Curved 121">
          <a:extLst>
            <a:ext uri="{FF2B5EF4-FFF2-40B4-BE49-F238E27FC236}">
              <a16:creationId xmlns:a16="http://schemas.microsoft.com/office/drawing/2014/main" id="{D16DD1C8-8C84-E3C7-8AB3-CB7BA5947779}"/>
            </a:ext>
          </a:extLst>
        </xdr:cNvPr>
        <xdr:cNvCxnSpPr>
          <a:stCxn id="78" idx="3"/>
          <a:endCxn id="23" idx="0"/>
        </xdr:cNvCxnSpPr>
      </xdr:nvCxnSpPr>
      <xdr:spPr>
        <a:xfrm>
          <a:off x="9471466" y="12108190"/>
          <a:ext cx="6363204" cy="4803754"/>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27</xdr:col>
      <xdr:colOff>195179</xdr:colOff>
      <xdr:row>72</xdr:row>
      <xdr:rowOff>37409</xdr:rowOff>
    </xdr:to>
    <xdr:cxnSp macro="">
      <xdr:nvCxnSpPr>
        <xdr:cNvPr id="124" name="Connector: Curved 123">
          <a:extLst>
            <a:ext uri="{FF2B5EF4-FFF2-40B4-BE49-F238E27FC236}">
              <a16:creationId xmlns:a16="http://schemas.microsoft.com/office/drawing/2014/main" id="{AB9103AE-7367-BB76-1C06-299E20CE0DE8}"/>
            </a:ext>
          </a:extLst>
        </xdr:cNvPr>
        <xdr:cNvCxnSpPr>
          <a:stCxn id="78" idx="3"/>
          <a:endCxn id="120" idx="0"/>
        </xdr:cNvCxnSpPr>
      </xdr:nvCxnSpPr>
      <xdr:spPr>
        <a:xfrm>
          <a:off x="9471466" y="12108190"/>
          <a:ext cx="7937986" cy="4797128"/>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158089</xdr:colOff>
      <xdr:row>52</xdr:row>
      <xdr:rowOff>53556</xdr:rowOff>
    </xdr:from>
    <xdr:to>
      <xdr:col>18</xdr:col>
      <xdr:colOff>450889</xdr:colOff>
      <xdr:row>55</xdr:row>
      <xdr:rowOff>30608</xdr:rowOff>
    </xdr:to>
    <xdr:sp macro="" textlink="'4.3.1.5 Atmos deposition'!D5">
      <xdr:nvSpPr>
        <xdr:cNvPr id="17" name="TextBox 16">
          <a:hlinkClick xmlns:r="http://schemas.openxmlformats.org/officeDocument/2006/relationships" r:id="rId21"/>
          <a:extLst>
            <a:ext uri="{FF2B5EF4-FFF2-40B4-BE49-F238E27FC236}">
              <a16:creationId xmlns:a16="http://schemas.microsoft.com/office/drawing/2014/main" id="{68C548DB-4AE3-450A-9AE3-76F39207811B}"/>
            </a:ext>
          </a:extLst>
        </xdr:cNvPr>
        <xdr:cNvSpPr txBox="1"/>
      </xdr:nvSpPr>
      <xdr:spPr>
        <a:xfrm>
          <a:off x="10704862" y="12799738"/>
          <a:ext cx="1505072" cy="704415"/>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2D26E0-7285-4F7D-8766-85C46C34EA77}" type="TxLink">
            <a:rPr lang="en-US" sz="1000" b="0" i="0" u="none" strike="noStrike">
              <a:solidFill>
                <a:srgbClr val="7030A0"/>
              </a:solidFill>
              <a:latin typeface="Times New Roman"/>
              <a:cs typeface="Times New Roman"/>
            </a:rPr>
            <a:pPr algn="ctr"/>
            <a:t>Total nitrogen volatilised from MMS</a:t>
          </a:fld>
          <a:endParaRPr lang="en-AU" sz="1000">
            <a:solidFill>
              <a:srgbClr val="7030A0"/>
            </a:solidFill>
          </a:endParaRPr>
        </a:p>
      </xdr:txBody>
    </xdr:sp>
    <xdr:clientData/>
  </xdr:twoCellAnchor>
  <xdr:twoCellAnchor>
    <xdr:from>
      <xdr:col>20</xdr:col>
      <xdr:colOff>144485</xdr:colOff>
      <xdr:row>52</xdr:row>
      <xdr:rowOff>36990</xdr:rowOff>
    </xdr:from>
    <xdr:to>
      <xdr:col>22</xdr:col>
      <xdr:colOff>440006</xdr:colOff>
      <xdr:row>55</xdr:row>
      <xdr:rowOff>14042</xdr:rowOff>
    </xdr:to>
    <xdr:sp macro="" textlink="'4.3.1.6-7 Leaching and runoff'!D5">
      <xdr:nvSpPr>
        <xdr:cNvPr id="21" name="TextBox 20">
          <a:hlinkClick xmlns:r="http://schemas.openxmlformats.org/officeDocument/2006/relationships" r:id="rId22"/>
          <a:extLst>
            <a:ext uri="{FF2B5EF4-FFF2-40B4-BE49-F238E27FC236}">
              <a16:creationId xmlns:a16="http://schemas.microsoft.com/office/drawing/2014/main" id="{ADE1B198-9F1F-4820-80B2-2F9A45A5EAF5}"/>
            </a:ext>
          </a:extLst>
        </xdr:cNvPr>
        <xdr:cNvSpPr txBox="1"/>
      </xdr:nvSpPr>
      <xdr:spPr>
        <a:xfrm>
          <a:off x="13115803" y="12783172"/>
          <a:ext cx="1507794" cy="704415"/>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67840F7-9D56-4C7F-AE66-7D2F8BD2026B}"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16</xdr:col>
      <xdr:colOff>160988</xdr:colOff>
      <xdr:row>63</xdr:row>
      <xdr:rowOff>126961</xdr:rowOff>
    </xdr:from>
    <xdr:to>
      <xdr:col>18</xdr:col>
      <xdr:colOff>453788</xdr:colOff>
      <xdr:row>67</xdr:row>
      <xdr:rowOff>71847</xdr:rowOff>
    </xdr:to>
    <xdr:sp macro="" textlink="'4.3.1.5 Atmos deposition'!D53">
      <xdr:nvSpPr>
        <xdr:cNvPr id="107" name="TextBox 106">
          <a:hlinkClick xmlns:r="http://schemas.openxmlformats.org/officeDocument/2006/relationships" r:id="rId23"/>
          <a:extLst>
            <a:ext uri="{FF2B5EF4-FFF2-40B4-BE49-F238E27FC236}">
              <a16:creationId xmlns:a16="http://schemas.microsoft.com/office/drawing/2014/main" id="{75AB35EF-987C-4659-9DCC-48F50A4077A0}"/>
            </a:ext>
          </a:extLst>
        </xdr:cNvPr>
        <xdr:cNvSpPr txBox="1"/>
      </xdr:nvSpPr>
      <xdr:spPr>
        <a:xfrm>
          <a:off x="10707761" y="15280370"/>
          <a:ext cx="1505072"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4A81703-96F8-4EAB-A73D-294E59030947}" type="TxLink">
            <a:rPr lang="en-US" sz="1000" b="1" i="0" u="none" strike="noStrike">
              <a:solidFill>
                <a:srgbClr val="7030A0"/>
              </a:solidFill>
              <a:latin typeface="Times New Roman"/>
              <a:cs typeface="Times New Roman"/>
            </a:rPr>
            <a:pPr algn="ctr"/>
            <a:t>Annual atmospheric deposition emissions from MMS</a:t>
          </a:fld>
          <a:endParaRPr lang="en-AU" sz="1000" b="1">
            <a:solidFill>
              <a:srgbClr val="7030A0"/>
            </a:solidFill>
          </a:endParaRPr>
        </a:p>
      </xdr:txBody>
    </xdr:sp>
    <xdr:clientData/>
  </xdr:twoCellAnchor>
  <xdr:twoCellAnchor>
    <xdr:from>
      <xdr:col>20</xdr:col>
      <xdr:colOff>156081</xdr:colOff>
      <xdr:row>63</xdr:row>
      <xdr:rowOff>115010</xdr:rowOff>
    </xdr:from>
    <xdr:to>
      <xdr:col>22</xdr:col>
      <xdr:colOff>451602</xdr:colOff>
      <xdr:row>67</xdr:row>
      <xdr:rowOff>59896</xdr:rowOff>
    </xdr:to>
    <xdr:sp macro="" textlink="'4.3.1.5 Atmos deposition'!D53">
      <xdr:nvSpPr>
        <xdr:cNvPr id="115" name="TextBox 114">
          <a:hlinkClick xmlns:r="http://schemas.openxmlformats.org/officeDocument/2006/relationships" r:id="rId23"/>
          <a:extLst>
            <a:ext uri="{FF2B5EF4-FFF2-40B4-BE49-F238E27FC236}">
              <a16:creationId xmlns:a16="http://schemas.microsoft.com/office/drawing/2014/main" id="{44EE026D-EBA6-4CD3-89C2-9EFD65454A24}"/>
            </a:ext>
          </a:extLst>
        </xdr:cNvPr>
        <xdr:cNvSpPr txBox="1"/>
      </xdr:nvSpPr>
      <xdr:spPr>
        <a:xfrm>
          <a:off x="13127399" y="15268419"/>
          <a:ext cx="1507794"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932A5A-4B9C-4952-80C0-031C99452CAA}" type="TxLink">
            <a:rPr lang="en-US" sz="1000" b="1" i="0" u="none" strike="noStrike">
              <a:solidFill>
                <a:srgbClr val="C00000"/>
              </a:solidFill>
              <a:latin typeface="Times New Roman"/>
              <a:cs typeface="Times New Roman"/>
            </a:rPr>
            <a:pPr algn="ctr"/>
            <a:t>Annual atmospheric deposition emissions from MMS</a:t>
          </a:fld>
          <a:endParaRPr lang="en-AU" sz="1000" b="1">
            <a:solidFill>
              <a:srgbClr val="C00000"/>
            </a:solidFill>
          </a:endParaRPr>
        </a:p>
      </xdr:txBody>
    </xdr:sp>
    <xdr:clientData/>
  </xdr:twoCellAnchor>
  <xdr:twoCellAnchor>
    <xdr:from>
      <xdr:col>14</xdr:col>
      <xdr:colOff>136966</xdr:colOff>
      <xdr:row>49</xdr:row>
      <xdr:rowOff>89372</xdr:rowOff>
    </xdr:from>
    <xdr:to>
      <xdr:col>30</xdr:col>
      <xdr:colOff>241650</xdr:colOff>
      <xdr:row>52</xdr:row>
      <xdr:rowOff>31667</xdr:rowOff>
    </xdr:to>
    <xdr:cxnSp macro="">
      <xdr:nvCxnSpPr>
        <xdr:cNvPr id="129" name="Connector: Curved 128">
          <a:extLst>
            <a:ext uri="{FF2B5EF4-FFF2-40B4-BE49-F238E27FC236}">
              <a16:creationId xmlns:a16="http://schemas.microsoft.com/office/drawing/2014/main" id="{5F37BF19-90E1-DBD6-6E23-A13BC59FED3A}"/>
            </a:ext>
          </a:extLst>
        </xdr:cNvPr>
        <xdr:cNvCxnSpPr>
          <a:stCxn id="78" idx="3"/>
          <a:endCxn id="32" idx="0"/>
        </xdr:cNvCxnSpPr>
      </xdr:nvCxnSpPr>
      <xdr:spPr>
        <a:xfrm>
          <a:off x="9471466" y="12108190"/>
          <a:ext cx="9802866" cy="669659"/>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32</xdr:col>
      <xdr:colOff>164645</xdr:colOff>
      <xdr:row>52</xdr:row>
      <xdr:rowOff>47996</xdr:rowOff>
    </xdr:from>
    <xdr:to>
      <xdr:col>34</xdr:col>
      <xdr:colOff>460168</xdr:colOff>
      <xdr:row>55</xdr:row>
      <xdr:rowOff>31173</xdr:rowOff>
    </xdr:to>
    <xdr:sp macro="" textlink="'4.3.1.10-11 Soil Atmos Dep'!D5">
      <xdr:nvSpPr>
        <xdr:cNvPr id="130" name="TextBox 129">
          <a:hlinkClick xmlns:r="http://schemas.openxmlformats.org/officeDocument/2006/relationships" r:id="rId24"/>
          <a:extLst>
            <a:ext uri="{FF2B5EF4-FFF2-40B4-BE49-F238E27FC236}">
              <a16:creationId xmlns:a16="http://schemas.microsoft.com/office/drawing/2014/main" id="{44B66A09-F9C9-4EF3-BB0C-2D541F5B6CC8}"/>
            </a:ext>
          </a:extLst>
        </xdr:cNvPr>
        <xdr:cNvSpPr txBox="1"/>
      </xdr:nvSpPr>
      <xdr:spPr>
        <a:xfrm>
          <a:off x="20409600" y="12794178"/>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50D902-5385-4FBC-835E-4ECD29601E2C}" type="TxLink">
            <a:rPr lang="en-US" sz="1000" b="0" i="0" u="none" strike="noStrike">
              <a:solidFill>
                <a:schemeClr val="accent6">
                  <a:lumMod val="50000"/>
                </a:schemeClr>
              </a:solidFill>
              <a:latin typeface="Times New Roman"/>
              <a:cs typeface="Times New Roman"/>
            </a:rPr>
            <a:pPr algn="ctr"/>
            <a:t>Mass of nitrogen volatilised from urine and faeces deposited on pasture</a:t>
          </a:fld>
          <a:endParaRPr lang="en-AU" sz="1000" b="0">
            <a:solidFill>
              <a:schemeClr val="accent6">
                <a:lumMod val="50000"/>
              </a:schemeClr>
            </a:solidFill>
          </a:endParaRPr>
        </a:p>
      </xdr:txBody>
    </xdr:sp>
    <xdr:clientData/>
  </xdr:twoCellAnchor>
  <xdr:twoCellAnchor>
    <xdr:from>
      <xdr:col>32</xdr:col>
      <xdr:colOff>167366</xdr:colOff>
      <xdr:row>56</xdr:row>
      <xdr:rowOff>143493</xdr:rowOff>
    </xdr:from>
    <xdr:to>
      <xdr:col>34</xdr:col>
      <xdr:colOff>462889</xdr:colOff>
      <xdr:row>59</xdr:row>
      <xdr:rowOff>178625</xdr:rowOff>
    </xdr:to>
    <xdr:sp macro="" textlink="'4.3.1.10-11 Soil Atmos Dep'!D30">
      <xdr:nvSpPr>
        <xdr:cNvPr id="131" name="TextBox 130">
          <a:hlinkClick xmlns:r="http://schemas.openxmlformats.org/officeDocument/2006/relationships" r:id="rId25"/>
          <a:extLst>
            <a:ext uri="{FF2B5EF4-FFF2-40B4-BE49-F238E27FC236}">
              <a16:creationId xmlns:a16="http://schemas.microsoft.com/office/drawing/2014/main" id="{C11A3B18-67DA-434D-BF87-46D534AAC1C3}"/>
            </a:ext>
          </a:extLst>
        </xdr:cNvPr>
        <xdr:cNvSpPr txBox="1"/>
      </xdr:nvSpPr>
      <xdr:spPr>
        <a:xfrm>
          <a:off x="20412321"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54E621-A07E-4777-91A3-B2F47EE59156}" type="TxLink">
            <a:rPr lang="en-US" sz="1000" b="1" i="0" u="none" strike="noStrike">
              <a:solidFill>
                <a:schemeClr val="accent6">
                  <a:lumMod val="50000"/>
                </a:schemeClr>
              </a:solidFill>
              <a:latin typeface="Times New Roman"/>
              <a:cs typeface="Times New Roman"/>
            </a:rPr>
            <a:pPr algn="ctr"/>
            <a:t>Atmospheric deposition emissions from urine and dung deposited on pasture</a:t>
          </a:fld>
          <a:endParaRPr lang="en-AU" sz="1000" b="1">
            <a:solidFill>
              <a:schemeClr val="accent6">
                <a:lumMod val="50000"/>
              </a:schemeClr>
            </a:solidFill>
          </a:endParaRPr>
        </a:p>
      </xdr:txBody>
    </xdr:sp>
    <xdr:clientData/>
  </xdr:twoCellAnchor>
  <xdr:twoCellAnchor>
    <xdr:from>
      <xdr:col>36</xdr:col>
      <xdr:colOff>6802</xdr:colOff>
      <xdr:row>52</xdr:row>
      <xdr:rowOff>39832</xdr:rowOff>
    </xdr:from>
    <xdr:to>
      <xdr:col>38</xdr:col>
      <xdr:colOff>302324</xdr:colOff>
      <xdr:row>55</xdr:row>
      <xdr:rowOff>23009</xdr:rowOff>
    </xdr:to>
    <xdr:sp macro="" textlink="'4.3.1.12-13 Soil leach runoff'!D5">
      <xdr:nvSpPr>
        <xdr:cNvPr id="132" name="TextBox 131">
          <a:hlinkClick xmlns:r="http://schemas.openxmlformats.org/officeDocument/2006/relationships" r:id="rId26"/>
          <a:extLst>
            <a:ext uri="{FF2B5EF4-FFF2-40B4-BE49-F238E27FC236}">
              <a16:creationId xmlns:a16="http://schemas.microsoft.com/office/drawing/2014/main" id="{D5FAD217-5D22-42A6-832F-EADF4D6CEC65}"/>
            </a:ext>
          </a:extLst>
        </xdr:cNvPr>
        <xdr:cNvSpPr txBox="1"/>
      </xdr:nvSpPr>
      <xdr:spPr>
        <a:xfrm>
          <a:off x="22676302" y="12786014"/>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142AFC9-F71C-49CD-88C3-99E89341784D}" type="TxLink">
            <a:rPr lang="en-US" sz="1000" b="0" i="0" u="none" strike="noStrike">
              <a:solidFill>
                <a:schemeClr val="accent6">
                  <a:lumMod val="50000"/>
                </a:schemeClr>
              </a:solidFill>
              <a:latin typeface="Times New Roman"/>
              <a:cs typeface="Times New Roman"/>
            </a:rPr>
            <a:pPr algn="ctr"/>
            <a:t>Mass of nitrogen lost to leaching and runoff from urine and faeces on pasture</a:t>
          </a:fld>
          <a:endParaRPr lang="en-AU" sz="1000" b="0">
            <a:solidFill>
              <a:schemeClr val="accent6">
                <a:lumMod val="50000"/>
              </a:schemeClr>
            </a:solidFill>
          </a:endParaRPr>
        </a:p>
      </xdr:txBody>
    </xdr:sp>
    <xdr:clientData/>
  </xdr:twoCellAnchor>
  <xdr:twoCellAnchor>
    <xdr:from>
      <xdr:col>36</xdr:col>
      <xdr:colOff>4082</xdr:colOff>
      <xdr:row>56</xdr:row>
      <xdr:rowOff>143493</xdr:rowOff>
    </xdr:from>
    <xdr:to>
      <xdr:col>38</xdr:col>
      <xdr:colOff>299604</xdr:colOff>
      <xdr:row>59</xdr:row>
      <xdr:rowOff>178625</xdr:rowOff>
    </xdr:to>
    <xdr:sp macro="" textlink="'4.3.1.12-13 Soil leach runoff'!D35">
      <xdr:nvSpPr>
        <xdr:cNvPr id="133" name="TextBox 132">
          <a:hlinkClick xmlns:r="http://schemas.openxmlformats.org/officeDocument/2006/relationships" r:id="rId27"/>
          <a:extLst>
            <a:ext uri="{FF2B5EF4-FFF2-40B4-BE49-F238E27FC236}">
              <a16:creationId xmlns:a16="http://schemas.microsoft.com/office/drawing/2014/main" id="{3C13A335-1F96-4FF2-9226-69D75ABB98C7}"/>
            </a:ext>
          </a:extLst>
        </xdr:cNvPr>
        <xdr:cNvSpPr txBox="1"/>
      </xdr:nvSpPr>
      <xdr:spPr>
        <a:xfrm>
          <a:off x="22673582"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D737E15-2502-44D4-B826-A5C1A57AF917}" type="TxLink">
            <a:rPr lang="en-US" sz="1000" b="1" i="0" u="none" strike="noStrike">
              <a:solidFill>
                <a:schemeClr val="accent6">
                  <a:lumMod val="50000"/>
                </a:schemeClr>
              </a:solidFill>
              <a:latin typeface="Times New Roman"/>
              <a:cs typeface="Times New Roman"/>
            </a:rPr>
            <a:pPr algn="ctr"/>
            <a:t>Leaching and runoff emissions from urine and dung deposited on pasture</a:t>
          </a:fld>
          <a:endParaRPr lang="en-AU" sz="1000" b="1">
            <a:solidFill>
              <a:schemeClr val="accent6">
                <a:lumMod val="50000"/>
              </a:schemeClr>
            </a:solidFill>
          </a:endParaRPr>
        </a:p>
      </xdr:txBody>
    </xdr:sp>
    <xdr:clientData/>
  </xdr:twoCellAnchor>
  <xdr:twoCellAnchor>
    <xdr:from>
      <xdr:col>14</xdr:col>
      <xdr:colOff>136966</xdr:colOff>
      <xdr:row>49</xdr:row>
      <xdr:rowOff>89372</xdr:rowOff>
    </xdr:from>
    <xdr:to>
      <xdr:col>33</xdr:col>
      <xdr:colOff>312407</xdr:colOff>
      <xdr:row>52</xdr:row>
      <xdr:rowOff>47996</xdr:rowOff>
    </xdr:to>
    <xdr:cxnSp macro="">
      <xdr:nvCxnSpPr>
        <xdr:cNvPr id="135" name="Connector: Curved 134">
          <a:extLst>
            <a:ext uri="{FF2B5EF4-FFF2-40B4-BE49-F238E27FC236}">
              <a16:creationId xmlns:a16="http://schemas.microsoft.com/office/drawing/2014/main" id="{B2B05C77-061C-DBBD-AD4C-857262EA55EB}"/>
            </a:ext>
          </a:extLst>
        </xdr:cNvPr>
        <xdr:cNvCxnSpPr>
          <a:stCxn id="78" idx="3"/>
          <a:endCxn id="130" idx="0"/>
        </xdr:cNvCxnSpPr>
      </xdr:nvCxnSpPr>
      <xdr:spPr>
        <a:xfrm>
          <a:off x="9471466" y="12108190"/>
          <a:ext cx="11692032" cy="685988"/>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37</xdr:col>
      <xdr:colOff>154564</xdr:colOff>
      <xdr:row>52</xdr:row>
      <xdr:rowOff>39832</xdr:rowOff>
    </xdr:to>
    <xdr:cxnSp macro="">
      <xdr:nvCxnSpPr>
        <xdr:cNvPr id="137" name="Connector: Curved 136">
          <a:extLst>
            <a:ext uri="{FF2B5EF4-FFF2-40B4-BE49-F238E27FC236}">
              <a16:creationId xmlns:a16="http://schemas.microsoft.com/office/drawing/2014/main" id="{6586B6B4-0A15-144D-16BE-39BC6D205D1B}"/>
            </a:ext>
          </a:extLst>
        </xdr:cNvPr>
        <xdr:cNvCxnSpPr>
          <a:stCxn id="78" idx="3"/>
          <a:endCxn id="132" idx="0"/>
        </xdr:cNvCxnSpPr>
      </xdr:nvCxnSpPr>
      <xdr:spPr>
        <a:xfrm>
          <a:off x="9471466" y="12108190"/>
          <a:ext cx="13958734" cy="677824"/>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312407</xdr:colOff>
      <xdr:row>55</xdr:row>
      <xdr:rowOff>31172</xdr:rowOff>
    </xdr:from>
    <xdr:to>
      <xdr:col>33</xdr:col>
      <xdr:colOff>315128</xdr:colOff>
      <xdr:row>56</xdr:row>
      <xdr:rowOff>143492</xdr:rowOff>
    </xdr:to>
    <xdr:cxnSp macro="">
      <xdr:nvCxnSpPr>
        <xdr:cNvPr id="150" name="Connector: Curved 149">
          <a:extLst>
            <a:ext uri="{FF2B5EF4-FFF2-40B4-BE49-F238E27FC236}">
              <a16:creationId xmlns:a16="http://schemas.microsoft.com/office/drawing/2014/main" id="{36AE65F0-C291-B81A-22D7-D7425B7986CF}"/>
            </a:ext>
          </a:extLst>
        </xdr:cNvPr>
        <xdr:cNvCxnSpPr>
          <a:stCxn id="130" idx="2"/>
          <a:endCxn id="131" idx="0"/>
        </xdr:cNvCxnSpPr>
      </xdr:nvCxnSpPr>
      <xdr:spPr>
        <a:xfrm rot="16200000" flipH="1">
          <a:off x="20987471" y="13680744"/>
          <a:ext cx="354775"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151845</xdr:colOff>
      <xdr:row>55</xdr:row>
      <xdr:rowOff>23008</xdr:rowOff>
    </xdr:from>
    <xdr:to>
      <xdr:col>37</xdr:col>
      <xdr:colOff>154565</xdr:colOff>
      <xdr:row>56</xdr:row>
      <xdr:rowOff>143492</xdr:rowOff>
    </xdr:to>
    <xdr:cxnSp macro="">
      <xdr:nvCxnSpPr>
        <xdr:cNvPr id="152" name="Connector: Curved 151">
          <a:extLst>
            <a:ext uri="{FF2B5EF4-FFF2-40B4-BE49-F238E27FC236}">
              <a16:creationId xmlns:a16="http://schemas.microsoft.com/office/drawing/2014/main" id="{676866DA-B673-DBF2-88B5-DBF16E0247F0}"/>
            </a:ext>
          </a:extLst>
        </xdr:cNvPr>
        <xdr:cNvCxnSpPr>
          <a:stCxn id="132" idx="2"/>
          <a:endCxn id="133" idx="0"/>
        </xdr:cNvCxnSpPr>
      </xdr:nvCxnSpPr>
      <xdr:spPr>
        <a:xfrm rot="5400000">
          <a:off x="23247371" y="13676663"/>
          <a:ext cx="362939"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517071</xdr:colOff>
      <xdr:row>49</xdr:row>
      <xdr:rowOff>80404</xdr:rowOff>
    </xdr:from>
    <xdr:to>
      <xdr:col>45</xdr:col>
      <xdr:colOff>341701</xdr:colOff>
      <xdr:row>52</xdr:row>
      <xdr:rowOff>227610</xdr:rowOff>
    </xdr:to>
    <xdr:sp macro="" textlink="">
      <xdr:nvSpPr>
        <xdr:cNvPr id="162" name="Rectangle 161">
          <a:extLst>
            <a:ext uri="{FF2B5EF4-FFF2-40B4-BE49-F238E27FC236}">
              <a16:creationId xmlns:a16="http://schemas.microsoft.com/office/drawing/2014/main" id="{D5CF8D1D-D154-45F7-818B-B91705E6D8DC}"/>
            </a:ext>
          </a:extLst>
        </xdr:cNvPr>
        <xdr:cNvSpPr/>
      </xdr:nvSpPr>
      <xdr:spPr>
        <a:xfrm>
          <a:off x="26823389" y="12099222"/>
          <a:ext cx="1643039"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42</xdr:col>
      <xdr:colOff>506185</xdr:colOff>
      <xdr:row>25</xdr:row>
      <xdr:rowOff>205590</xdr:rowOff>
    </xdr:from>
    <xdr:to>
      <xdr:col>45</xdr:col>
      <xdr:colOff>330815</xdr:colOff>
      <xdr:row>29</xdr:row>
      <xdr:rowOff>112815</xdr:rowOff>
    </xdr:to>
    <xdr:sp macro="" textlink="">
      <xdr:nvSpPr>
        <xdr:cNvPr id="164" name="Rectangle 163">
          <a:extLst>
            <a:ext uri="{FF2B5EF4-FFF2-40B4-BE49-F238E27FC236}">
              <a16:creationId xmlns:a16="http://schemas.microsoft.com/office/drawing/2014/main" id="{F3C6CB1D-4C84-464D-B2BF-DC8AF4FE5DFE}"/>
            </a:ext>
          </a:extLst>
        </xdr:cNvPr>
        <xdr:cNvSpPr/>
      </xdr:nvSpPr>
      <xdr:spPr>
        <a:xfrm>
          <a:off x="26812503" y="6405499"/>
          <a:ext cx="1643039"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on pasture, range and paddock</a:t>
          </a:r>
        </a:p>
      </xdr:txBody>
    </xdr:sp>
    <xdr:clientData/>
  </xdr:twoCellAnchor>
  <xdr:twoCellAnchor>
    <xdr:from>
      <xdr:col>51</xdr:col>
      <xdr:colOff>454479</xdr:colOff>
      <xdr:row>25</xdr:row>
      <xdr:rowOff>194705</xdr:rowOff>
    </xdr:from>
    <xdr:to>
      <xdr:col>54</xdr:col>
      <xdr:colOff>279109</xdr:colOff>
      <xdr:row>29</xdr:row>
      <xdr:rowOff>101930</xdr:rowOff>
    </xdr:to>
    <xdr:sp macro="" textlink="">
      <xdr:nvSpPr>
        <xdr:cNvPr id="166" name="Rectangle 165">
          <a:extLst>
            <a:ext uri="{FF2B5EF4-FFF2-40B4-BE49-F238E27FC236}">
              <a16:creationId xmlns:a16="http://schemas.microsoft.com/office/drawing/2014/main" id="{5618E090-501A-4B00-8965-422A095F6833}"/>
            </a:ext>
          </a:extLst>
        </xdr:cNvPr>
        <xdr:cNvSpPr/>
      </xdr:nvSpPr>
      <xdr:spPr>
        <a:xfrm>
          <a:off x="32216024" y="6394614"/>
          <a:ext cx="1643040"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in milking shed or feed pad</a:t>
          </a:r>
        </a:p>
      </xdr:txBody>
    </xdr:sp>
    <xdr:clientData/>
  </xdr:twoCellAnchor>
  <xdr:twoCellAnchor>
    <xdr:from>
      <xdr:col>48</xdr:col>
      <xdr:colOff>443594</xdr:colOff>
      <xdr:row>49</xdr:row>
      <xdr:rowOff>47748</xdr:rowOff>
    </xdr:from>
    <xdr:to>
      <xdr:col>51</xdr:col>
      <xdr:colOff>268223</xdr:colOff>
      <xdr:row>52</xdr:row>
      <xdr:rowOff>194954</xdr:rowOff>
    </xdr:to>
    <xdr:sp macro="" textlink="">
      <xdr:nvSpPr>
        <xdr:cNvPr id="167" name="Rectangle 166">
          <a:extLst>
            <a:ext uri="{FF2B5EF4-FFF2-40B4-BE49-F238E27FC236}">
              <a16:creationId xmlns:a16="http://schemas.microsoft.com/office/drawing/2014/main" id="{C628196E-E770-4DF9-8942-3CE7510D0535}"/>
            </a:ext>
          </a:extLst>
        </xdr:cNvPr>
        <xdr:cNvSpPr/>
      </xdr:nvSpPr>
      <xdr:spPr>
        <a:xfrm>
          <a:off x="30386730" y="12066566"/>
          <a:ext cx="1643038"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solid storage</a:t>
          </a:r>
        </a:p>
      </xdr:txBody>
    </xdr:sp>
    <xdr:clientData/>
  </xdr:twoCellAnchor>
  <xdr:twoCellAnchor>
    <xdr:from>
      <xdr:col>52</xdr:col>
      <xdr:colOff>204108</xdr:colOff>
      <xdr:row>55</xdr:row>
      <xdr:rowOff>216478</xdr:rowOff>
    </xdr:from>
    <xdr:to>
      <xdr:col>55</xdr:col>
      <xdr:colOff>28735</xdr:colOff>
      <xdr:row>58</xdr:row>
      <xdr:rowOff>148441</xdr:rowOff>
    </xdr:to>
    <xdr:sp macro="" textlink="">
      <xdr:nvSpPr>
        <xdr:cNvPr id="168" name="Rectangle 167">
          <a:extLst>
            <a:ext uri="{FF2B5EF4-FFF2-40B4-BE49-F238E27FC236}">
              <a16:creationId xmlns:a16="http://schemas.microsoft.com/office/drawing/2014/main" id="{FDFC5965-793F-482A-B053-A4CED5383D93}"/>
            </a:ext>
          </a:extLst>
        </xdr:cNvPr>
        <xdr:cNvSpPr/>
      </xdr:nvSpPr>
      <xdr:spPr>
        <a:xfrm>
          <a:off x="32571790" y="13690023"/>
          <a:ext cx="1643036" cy="659327"/>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55</xdr:col>
      <xdr:colOff>190501</xdr:colOff>
      <xdr:row>49</xdr:row>
      <xdr:rowOff>107620</xdr:rowOff>
    </xdr:from>
    <xdr:to>
      <xdr:col>58</xdr:col>
      <xdr:colOff>19611</xdr:colOff>
      <xdr:row>52</xdr:row>
      <xdr:rowOff>227611</xdr:rowOff>
    </xdr:to>
    <xdr:sp macro="" textlink="">
      <xdr:nvSpPr>
        <xdr:cNvPr id="169" name="Rectangle 168">
          <a:extLst>
            <a:ext uri="{FF2B5EF4-FFF2-40B4-BE49-F238E27FC236}">
              <a16:creationId xmlns:a16="http://schemas.microsoft.com/office/drawing/2014/main" id="{BF5584D8-512F-4D4F-9E7C-5AF2A07186D6}"/>
            </a:ext>
          </a:extLst>
        </xdr:cNvPr>
        <xdr:cNvSpPr/>
      </xdr:nvSpPr>
      <xdr:spPr>
        <a:xfrm>
          <a:off x="34376592" y="12126438"/>
          <a:ext cx="1647519" cy="84735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Solid storage</a:t>
          </a:r>
        </a:p>
      </xdr:txBody>
    </xdr:sp>
    <xdr:clientData/>
  </xdr:twoCellAnchor>
  <xdr:twoCellAnchor>
    <xdr:from>
      <xdr:col>55</xdr:col>
      <xdr:colOff>176894</xdr:colOff>
      <xdr:row>61</xdr:row>
      <xdr:rowOff>12618</xdr:rowOff>
    </xdr:from>
    <xdr:to>
      <xdr:col>58</xdr:col>
      <xdr:colOff>6004</xdr:colOff>
      <xdr:row>65</xdr:row>
      <xdr:rowOff>108856</xdr:rowOff>
    </xdr:to>
    <xdr:sp macro="" textlink="">
      <xdr:nvSpPr>
        <xdr:cNvPr id="170" name="Rectangle 169">
          <a:extLst>
            <a:ext uri="{FF2B5EF4-FFF2-40B4-BE49-F238E27FC236}">
              <a16:creationId xmlns:a16="http://schemas.microsoft.com/office/drawing/2014/main" id="{C72EDE28-0617-46C7-81EC-9A84A4C42015}"/>
            </a:ext>
          </a:extLst>
        </xdr:cNvPr>
        <xdr:cNvSpPr/>
      </xdr:nvSpPr>
      <xdr:spPr>
        <a:xfrm>
          <a:off x="34362985" y="14785027"/>
          <a:ext cx="1647519" cy="85823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48</xdr:col>
      <xdr:colOff>446315</xdr:colOff>
      <xdr:row>61</xdr:row>
      <xdr:rowOff>7175</xdr:rowOff>
    </xdr:from>
    <xdr:to>
      <xdr:col>51</xdr:col>
      <xdr:colOff>270944</xdr:colOff>
      <xdr:row>65</xdr:row>
      <xdr:rowOff>119743</xdr:rowOff>
    </xdr:to>
    <xdr:sp macro="" textlink="">
      <xdr:nvSpPr>
        <xdr:cNvPr id="171" name="Rectangle 170">
          <a:extLst>
            <a:ext uri="{FF2B5EF4-FFF2-40B4-BE49-F238E27FC236}">
              <a16:creationId xmlns:a16="http://schemas.microsoft.com/office/drawing/2014/main" id="{4C54173E-FBA6-4D09-A37C-3C8E553DCA07}"/>
            </a:ext>
          </a:extLst>
        </xdr:cNvPr>
        <xdr:cNvSpPr/>
      </xdr:nvSpPr>
      <xdr:spPr>
        <a:xfrm>
          <a:off x="30389451" y="14779584"/>
          <a:ext cx="1643038" cy="87456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MMS other than solid storage</a:t>
          </a:r>
        </a:p>
      </xdr:txBody>
    </xdr:sp>
    <xdr:clientData/>
  </xdr:twoCellAnchor>
  <xdr:twoCellAnchor>
    <xdr:from>
      <xdr:col>49</xdr:col>
      <xdr:colOff>97971</xdr:colOff>
      <xdr:row>71</xdr:row>
      <xdr:rowOff>16328</xdr:rowOff>
    </xdr:from>
    <xdr:to>
      <xdr:col>51</xdr:col>
      <xdr:colOff>534920</xdr:colOff>
      <xdr:row>74</xdr:row>
      <xdr:rowOff>111578</xdr:rowOff>
    </xdr:to>
    <xdr:sp macro="" textlink="">
      <xdr:nvSpPr>
        <xdr:cNvPr id="172" name="Rectangle 171">
          <a:extLst>
            <a:ext uri="{FF2B5EF4-FFF2-40B4-BE49-F238E27FC236}">
              <a16:creationId xmlns:a16="http://schemas.microsoft.com/office/drawing/2014/main" id="{93B6012B-B836-486D-84EA-65A9F19BC0B9}"/>
            </a:ext>
          </a:extLst>
        </xdr:cNvPr>
        <xdr:cNvSpPr/>
      </xdr:nvSpPr>
      <xdr:spPr>
        <a:xfrm>
          <a:off x="30647244" y="16693737"/>
          <a:ext cx="164922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51</xdr:col>
      <xdr:colOff>583905</xdr:colOff>
      <xdr:row>71</xdr:row>
      <xdr:rowOff>16328</xdr:rowOff>
    </xdr:from>
    <xdr:to>
      <xdr:col>54</xdr:col>
      <xdr:colOff>408534</xdr:colOff>
      <xdr:row>74</xdr:row>
      <xdr:rowOff>111578</xdr:rowOff>
    </xdr:to>
    <xdr:sp macro="" textlink="">
      <xdr:nvSpPr>
        <xdr:cNvPr id="173" name="Rectangle 172">
          <a:extLst>
            <a:ext uri="{FF2B5EF4-FFF2-40B4-BE49-F238E27FC236}">
              <a16:creationId xmlns:a16="http://schemas.microsoft.com/office/drawing/2014/main" id="{D422C0CF-B4B3-45D9-9031-C7206C9FFDF3}"/>
            </a:ext>
          </a:extLst>
        </xdr:cNvPr>
        <xdr:cNvSpPr/>
      </xdr:nvSpPr>
      <xdr:spPr>
        <a:xfrm>
          <a:off x="32345450"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54</xdr:col>
      <xdr:colOff>486094</xdr:colOff>
      <xdr:row>71</xdr:row>
      <xdr:rowOff>16328</xdr:rowOff>
    </xdr:from>
    <xdr:to>
      <xdr:col>57</xdr:col>
      <xdr:colOff>310724</xdr:colOff>
      <xdr:row>74</xdr:row>
      <xdr:rowOff>111578</xdr:rowOff>
    </xdr:to>
    <xdr:sp macro="" textlink="">
      <xdr:nvSpPr>
        <xdr:cNvPr id="174" name="Rectangle 173">
          <a:extLst>
            <a:ext uri="{FF2B5EF4-FFF2-40B4-BE49-F238E27FC236}">
              <a16:creationId xmlns:a16="http://schemas.microsoft.com/office/drawing/2014/main" id="{B845FD8D-6D69-4637-BB63-9D69985BA226}"/>
            </a:ext>
          </a:extLst>
        </xdr:cNvPr>
        <xdr:cNvSpPr/>
      </xdr:nvSpPr>
      <xdr:spPr>
        <a:xfrm>
          <a:off x="34066049"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44</xdr:col>
      <xdr:colOff>115432</xdr:colOff>
      <xdr:row>29</xdr:row>
      <xdr:rowOff>112815</xdr:rowOff>
    </xdr:from>
    <xdr:to>
      <xdr:col>44</xdr:col>
      <xdr:colOff>126318</xdr:colOff>
      <xdr:row>49</xdr:row>
      <xdr:rowOff>80404</xdr:rowOff>
    </xdr:to>
    <xdr:cxnSp macro="">
      <xdr:nvCxnSpPr>
        <xdr:cNvPr id="178" name="Connector: Curved 177">
          <a:extLst>
            <a:ext uri="{FF2B5EF4-FFF2-40B4-BE49-F238E27FC236}">
              <a16:creationId xmlns:a16="http://schemas.microsoft.com/office/drawing/2014/main" id="{C1B26EC3-A31F-6C94-46DA-FC6B6D4590BA}"/>
            </a:ext>
          </a:extLst>
        </xdr:cNvPr>
        <xdr:cNvCxnSpPr>
          <a:stCxn id="164" idx="2"/>
          <a:endCxn id="162" idx="0"/>
        </xdr:cNvCxnSpPr>
      </xdr:nvCxnSpPr>
      <xdr:spPr>
        <a:xfrm rot="16200000" flipH="1">
          <a:off x="25231126" y="9685439"/>
          <a:ext cx="481668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52841</xdr:colOff>
      <xdr:row>29</xdr:row>
      <xdr:rowOff>101930</xdr:rowOff>
    </xdr:from>
    <xdr:to>
      <xdr:col>53</xdr:col>
      <xdr:colOff>63727</xdr:colOff>
      <xdr:row>49</xdr:row>
      <xdr:rowOff>47748</xdr:rowOff>
    </xdr:to>
    <xdr:cxnSp macro="">
      <xdr:nvCxnSpPr>
        <xdr:cNvPr id="180" name="Connector: Curved 179">
          <a:extLst>
            <a:ext uri="{FF2B5EF4-FFF2-40B4-BE49-F238E27FC236}">
              <a16:creationId xmlns:a16="http://schemas.microsoft.com/office/drawing/2014/main" id="{155D7C87-2737-953F-F874-54B06F7D9DB4}"/>
            </a:ext>
          </a:extLst>
        </xdr:cNvPr>
        <xdr:cNvCxnSpPr>
          <a:stCxn id="166" idx="2"/>
          <a:endCxn id="167" idx="0"/>
        </xdr:cNvCxnSpPr>
      </xdr:nvCxnSpPr>
      <xdr:spPr>
        <a:xfrm rot="5400000">
          <a:off x="29725443" y="8754464"/>
          <a:ext cx="4794909" cy="182929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63727</xdr:colOff>
      <xdr:row>29</xdr:row>
      <xdr:rowOff>101929</xdr:rowOff>
    </xdr:from>
    <xdr:to>
      <xdr:col>56</xdr:col>
      <xdr:colOff>408126</xdr:colOff>
      <xdr:row>49</xdr:row>
      <xdr:rowOff>107619</xdr:rowOff>
    </xdr:to>
    <xdr:cxnSp macro="">
      <xdr:nvCxnSpPr>
        <xdr:cNvPr id="182" name="Connector: Curved 181">
          <a:extLst>
            <a:ext uri="{FF2B5EF4-FFF2-40B4-BE49-F238E27FC236}">
              <a16:creationId xmlns:a16="http://schemas.microsoft.com/office/drawing/2014/main" id="{B2CF4B38-87AB-1EFC-EA91-0CF0553D3EFD}"/>
            </a:ext>
          </a:extLst>
        </xdr:cNvPr>
        <xdr:cNvCxnSpPr>
          <a:stCxn id="166" idx="2"/>
          <a:endCxn id="169" idx="0"/>
        </xdr:cNvCxnSpPr>
      </xdr:nvCxnSpPr>
      <xdr:spPr>
        <a:xfrm rot="16200000" flipH="1">
          <a:off x="31691558" y="8617643"/>
          <a:ext cx="4854781" cy="21628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52839</xdr:colOff>
      <xdr:row>52</xdr:row>
      <xdr:rowOff>194954</xdr:rowOff>
    </xdr:from>
    <xdr:to>
      <xdr:col>50</xdr:col>
      <xdr:colOff>55560</xdr:colOff>
      <xdr:row>61</xdr:row>
      <xdr:rowOff>7175</xdr:rowOff>
    </xdr:to>
    <xdr:cxnSp macro="">
      <xdr:nvCxnSpPr>
        <xdr:cNvPr id="186" name="Connector: Curved 185">
          <a:extLst>
            <a:ext uri="{FF2B5EF4-FFF2-40B4-BE49-F238E27FC236}">
              <a16:creationId xmlns:a16="http://schemas.microsoft.com/office/drawing/2014/main" id="{0CE31E0D-560A-286A-FAE8-E9476A807CD9}"/>
            </a:ext>
          </a:extLst>
        </xdr:cNvPr>
        <xdr:cNvCxnSpPr>
          <a:stCxn id="167" idx="2"/>
          <a:endCxn id="171" idx="0"/>
        </xdr:cNvCxnSpPr>
      </xdr:nvCxnSpPr>
      <xdr:spPr>
        <a:xfrm rot="16200000" flipH="1">
          <a:off x="30290385" y="13858999"/>
          <a:ext cx="1838448" cy="2721"/>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52840</xdr:colOff>
      <xdr:row>52</xdr:row>
      <xdr:rowOff>194953</xdr:rowOff>
    </xdr:from>
    <xdr:to>
      <xdr:col>53</xdr:col>
      <xdr:colOff>419490</xdr:colOff>
      <xdr:row>55</xdr:row>
      <xdr:rowOff>216477</xdr:rowOff>
    </xdr:to>
    <xdr:cxnSp macro="">
      <xdr:nvCxnSpPr>
        <xdr:cNvPr id="189" name="Connector: Curved 188">
          <a:extLst>
            <a:ext uri="{FF2B5EF4-FFF2-40B4-BE49-F238E27FC236}">
              <a16:creationId xmlns:a16="http://schemas.microsoft.com/office/drawing/2014/main" id="{00FDE934-5A19-25E6-EF23-46FF18983C09}"/>
            </a:ext>
          </a:extLst>
        </xdr:cNvPr>
        <xdr:cNvCxnSpPr>
          <a:stCxn id="167" idx="2"/>
          <a:endCxn id="168" idx="0"/>
        </xdr:cNvCxnSpPr>
      </xdr:nvCxnSpPr>
      <xdr:spPr>
        <a:xfrm rot="16200000" flipH="1">
          <a:off x="31926335" y="12223049"/>
          <a:ext cx="748887" cy="2185059"/>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419490</xdr:colOff>
      <xdr:row>58</xdr:row>
      <xdr:rowOff>148440</xdr:rowOff>
    </xdr:from>
    <xdr:to>
      <xdr:col>56</xdr:col>
      <xdr:colOff>394518</xdr:colOff>
      <xdr:row>61</xdr:row>
      <xdr:rowOff>12617</xdr:rowOff>
    </xdr:to>
    <xdr:cxnSp macro="">
      <xdr:nvCxnSpPr>
        <xdr:cNvPr id="191" name="Connector: Curved 190">
          <a:extLst>
            <a:ext uri="{FF2B5EF4-FFF2-40B4-BE49-F238E27FC236}">
              <a16:creationId xmlns:a16="http://schemas.microsoft.com/office/drawing/2014/main" id="{088FCC81-87E4-CBBD-B651-8124D36ABCD7}"/>
            </a:ext>
          </a:extLst>
        </xdr:cNvPr>
        <xdr:cNvCxnSpPr>
          <a:stCxn id="168" idx="2"/>
          <a:endCxn id="170" idx="0"/>
        </xdr:cNvCxnSpPr>
      </xdr:nvCxnSpPr>
      <xdr:spPr>
        <a:xfrm rot="16200000" flipH="1">
          <a:off x="34072188" y="13670469"/>
          <a:ext cx="435677" cy="179343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394518</xdr:colOff>
      <xdr:row>52</xdr:row>
      <xdr:rowOff>227612</xdr:rowOff>
    </xdr:from>
    <xdr:to>
      <xdr:col>56</xdr:col>
      <xdr:colOff>408125</xdr:colOff>
      <xdr:row>61</xdr:row>
      <xdr:rowOff>12619</xdr:rowOff>
    </xdr:to>
    <xdr:cxnSp macro="">
      <xdr:nvCxnSpPr>
        <xdr:cNvPr id="193" name="Connector: Curved 192">
          <a:extLst>
            <a:ext uri="{FF2B5EF4-FFF2-40B4-BE49-F238E27FC236}">
              <a16:creationId xmlns:a16="http://schemas.microsoft.com/office/drawing/2014/main" id="{68C7F3D3-EB68-FD43-7BD2-4385F61FA27A}"/>
            </a:ext>
          </a:extLst>
        </xdr:cNvPr>
        <xdr:cNvCxnSpPr>
          <a:stCxn id="169" idx="2"/>
          <a:endCxn id="170" idx="0"/>
        </xdr:cNvCxnSpPr>
      </xdr:nvCxnSpPr>
      <xdr:spPr>
        <a:xfrm rot="5400000">
          <a:off x="34287932" y="13872607"/>
          <a:ext cx="1811234" cy="1360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47</xdr:col>
      <xdr:colOff>386443</xdr:colOff>
      <xdr:row>10</xdr:row>
      <xdr:rowOff>57397</xdr:rowOff>
    </xdr:from>
    <xdr:to>
      <xdr:col>50</xdr:col>
      <xdr:colOff>211073</xdr:colOff>
      <xdr:row>13</xdr:row>
      <xdr:rowOff>207075</xdr:rowOff>
    </xdr:to>
    <xdr:sp macro="" textlink="">
      <xdr:nvSpPr>
        <xdr:cNvPr id="196" name="Rectangle 195">
          <a:extLst>
            <a:ext uri="{FF2B5EF4-FFF2-40B4-BE49-F238E27FC236}">
              <a16:creationId xmlns:a16="http://schemas.microsoft.com/office/drawing/2014/main" id="{9E607BF0-8A60-43F8-A85C-7AFBAB5516F7}"/>
            </a:ext>
          </a:extLst>
        </xdr:cNvPr>
        <xdr:cNvSpPr/>
      </xdr:nvSpPr>
      <xdr:spPr>
        <a:xfrm>
          <a:off x="29723443" y="262048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Dairy enterprise</a:t>
          </a:r>
        </a:p>
      </xdr:txBody>
    </xdr:sp>
    <xdr:clientData/>
  </xdr:twoCellAnchor>
  <xdr:twoCellAnchor>
    <xdr:from>
      <xdr:col>44</xdr:col>
      <xdr:colOff>115433</xdr:colOff>
      <xdr:row>13</xdr:row>
      <xdr:rowOff>207074</xdr:rowOff>
    </xdr:from>
    <xdr:to>
      <xdr:col>48</xdr:col>
      <xdr:colOff>601828</xdr:colOff>
      <xdr:row>25</xdr:row>
      <xdr:rowOff>205589</xdr:rowOff>
    </xdr:to>
    <xdr:cxnSp macro="">
      <xdr:nvCxnSpPr>
        <xdr:cNvPr id="198" name="Connector: Curved 197">
          <a:extLst>
            <a:ext uri="{FF2B5EF4-FFF2-40B4-BE49-F238E27FC236}">
              <a16:creationId xmlns:a16="http://schemas.microsoft.com/office/drawing/2014/main" id="{5B085BC6-6DCC-1D67-2FE0-4A7686DB1998}"/>
            </a:ext>
          </a:extLst>
        </xdr:cNvPr>
        <xdr:cNvCxnSpPr>
          <a:stCxn id="196" idx="2"/>
          <a:endCxn id="164" idx="0"/>
        </xdr:cNvCxnSpPr>
      </xdr:nvCxnSpPr>
      <xdr:spPr>
        <a:xfrm rot="5400000">
          <a:off x="27635509" y="3496044"/>
          <a:ext cx="2907969" cy="291094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48</xdr:col>
      <xdr:colOff>601826</xdr:colOff>
      <xdr:row>13</xdr:row>
      <xdr:rowOff>207075</xdr:rowOff>
    </xdr:from>
    <xdr:to>
      <xdr:col>53</xdr:col>
      <xdr:colOff>63725</xdr:colOff>
      <xdr:row>25</xdr:row>
      <xdr:rowOff>194705</xdr:rowOff>
    </xdr:to>
    <xdr:cxnSp macro="">
      <xdr:nvCxnSpPr>
        <xdr:cNvPr id="200" name="Connector: Curved 199">
          <a:extLst>
            <a:ext uri="{FF2B5EF4-FFF2-40B4-BE49-F238E27FC236}">
              <a16:creationId xmlns:a16="http://schemas.microsoft.com/office/drawing/2014/main" id="{D3483AA1-2050-B84D-44BA-6AFB06CA7695}"/>
            </a:ext>
          </a:extLst>
        </xdr:cNvPr>
        <xdr:cNvCxnSpPr>
          <a:stCxn id="196" idx="2"/>
          <a:endCxn id="166" idx="0"/>
        </xdr:cNvCxnSpPr>
      </xdr:nvCxnSpPr>
      <xdr:spPr>
        <a:xfrm rot="16200000" flipH="1">
          <a:off x="30342711" y="3699781"/>
          <a:ext cx="2897084" cy="249258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46</xdr:col>
      <xdr:colOff>540327</xdr:colOff>
      <xdr:row>7</xdr:row>
      <xdr:rowOff>138597</xdr:rowOff>
    </xdr:from>
    <xdr:ext cx="2490354" cy="298800"/>
    <xdr:sp macro="" textlink="">
      <xdr:nvSpPr>
        <xdr:cNvPr id="254" name="TextBox 253">
          <a:extLst>
            <a:ext uri="{FF2B5EF4-FFF2-40B4-BE49-F238E27FC236}">
              <a16:creationId xmlns:a16="http://schemas.microsoft.com/office/drawing/2014/main" id="{F962AD50-F9C3-4CD3-AE84-E76EA6281DDC}"/>
            </a:ext>
          </a:extLst>
        </xdr:cNvPr>
        <xdr:cNvSpPr txBox="1"/>
      </xdr:nvSpPr>
      <xdr:spPr>
        <a:xfrm>
          <a:off x="29271191"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50</xdr:col>
      <xdr:colOff>55561</xdr:colOff>
      <xdr:row>65</xdr:row>
      <xdr:rowOff>119742</xdr:rowOff>
    </xdr:from>
    <xdr:to>
      <xdr:col>50</xdr:col>
      <xdr:colOff>316446</xdr:colOff>
      <xdr:row>71</xdr:row>
      <xdr:rowOff>16327</xdr:rowOff>
    </xdr:to>
    <xdr:cxnSp macro="">
      <xdr:nvCxnSpPr>
        <xdr:cNvPr id="256" name="Connector: Curved 255">
          <a:extLst>
            <a:ext uri="{FF2B5EF4-FFF2-40B4-BE49-F238E27FC236}">
              <a16:creationId xmlns:a16="http://schemas.microsoft.com/office/drawing/2014/main" id="{DB2A268F-D151-4025-71DF-AA7FD0A82CD0}"/>
            </a:ext>
          </a:extLst>
        </xdr:cNvPr>
        <xdr:cNvCxnSpPr>
          <a:stCxn id="171" idx="2"/>
          <a:endCxn id="172" idx="0"/>
        </xdr:cNvCxnSpPr>
      </xdr:nvCxnSpPr>
      <xdr:spPr>
        <a:xfrm rot="16200000" flipH="1">
          <a:off x="30821620" y="16043501"/>
          <a:ext cx="1039585" cy="260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55562</xdr:colOff>
      <xdr:row>65</xdr:row>
      <xdr:rowOff>119742</xdr:rowOff>
    </xdr:from>
    <xdr:to>
      <xdr:col>53</xdr:col>
      <xdr:colOff>193153</xdr:colOff>
      <xdr:row>71</xdr:row>
      <xdr:rowOff>16327</xdr:rowOff>
    </xdr:to>
    <xdr:cxnSp macro="">
      <xdr:nvCxnSpPr>
        <xdr:cNvPr id="258" name="Connector: Curved 257">
          <a:extLst>
            <a:ext uri="{FF2B5EF4-FFF2-40B4-BE49-F238E27FC236}">
              <a16:creationId xmlns:a16="http://schemas.microsoft.com/office/drawing/2014/main" id="{093A1E3C-0054-2F9D-A5AF-A75BD3C2E675}"/>
            </a:ext>
          </a:extLst>
        </xdr:cNvPr>
        <xdr:cNvCxnSpPr>
          <a:stCxn id="171" idx="2"/>
          <a:endCxn id="173" idx="0"/>
        </xdr:cNvCxnSpPr>
      </xdr:nvCxnSpPr>
      <xdr:spPr>
        <a:xfrm rot="16200000" flipH="1">
          <a:off x="31669178" y="15195944"/>
          <a:ext cx="1039585" cy="19560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55561</xdr:colOff>
      <xdr:row>65</xdr:row>
      <xdr:rowOff>119742</xdr:rowOff>
    </xdr:from>
    <xdr:to>
      <xdr:col>56</xdr:col>
      <xdr:colOff>95342</xdr:colOff>
      <xdr:row>71</xdr:row>
      <xdr:rowOff>16327</xdr:rowOff>
    </xdr:to>
    <xdr:cxnSp macro="">
      <xdr:nvCxnSpPr>
        <xdr:cNvPr id="260" name="Connector: Curved 259">
          <a:extLst>
            <a:ext uri="{FF2B5EF4-FFF2-40B4-BE49-F238E27FC236}">
              <a16:creationId xmlns:a16="http://schemas.microsoft.com/office/drawing/2014/main" id="{D4FDC863-3D9A-66CB-47BC-8FC8B21FF805}"/>
            </a:ext>
          </a:extLst>
        </xdr:cNvPr>
        <xdr:cNvCxnSpPr>
          <a:stCxn id="171" idx="2"/>
          <a:endCxn id="174" idx="0"/>
        </xdr:cNvCxnSpPr>
      </xdr:nvCxnSpPr>
      <xdr:spPr>
        <a:xfrm rot="16200000" flipH="1">
          <a:off x="32529477" y="14335644"/>
          <a:ext cx="1039585" cy="367659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316446</xdr:colOff>
      <xdr:row>65</xdr:row>
      <xdr:rowOff>108856</xdr:rowOff>
    </xdr:from>
    <xdr:to>
      <xdr:col>56</xdr:col>
      <xdr:colOff>394518</xdr:colOff>
      <xdr:row>71</xdr:row>
      <xdr:rowOff>16328</xdr:rowOff>
    </xdr:to>
    <xdr:cxnSp macro="">
      <xdr:nvCxnSpPr>
        <xdr:cNvPr id="262" name="Connector: Curved 261">
          <a:extLst>
            <a:ext uri="{FF2B5EF4-FFF2-40B4-BE49-F238E27FC236}">
              <a16:creationId xmlns:a16="http://schemas.microsoft.com/office/drawing/2014/main" id="{66799E70-D94E-7822-F8C8-FF9972A796B9}"/>
            </a:ext>
          </a:extLst>
        </xdr:cNvPr>
        <xdr:cNvCxnSpPr>
          <a:stCxn id="170" idx="2"/>
          <a:endCxn id="172" idx="0"/>
        </xdr:cNvCxnSpPr>
      </xdr:nvCxnSpPr>
      <xdr:spPr>
        <a:xfrm rot="5400000">
          <a:off x="32804064" y="14311056"/>
          <a:ext cx="1050472" cy="371489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193152</xdr:colOff>
      <xdr:row>65</xdr:row>
      <xdr:rowOff>108857</xdr:rowOff>
    </xdr:from>
    <xdr:to>
      <xdr:col>56</xdr:col>
      <xdr:colOff>394518</xdr:colOff>
      <xdr:row>71</xdr:row>
      <xdr:rowOff>16329</xdr:rowOff>
    </xdr:to>
    <xdr:cxnSp macro="">
      <xdr:nvCxnSpPr>
        <xdr:cNvPr id="264" name="Connector: Curved 263">
          <a:extLst>
            <a:ext uri="{FF2B5EF4-FFF2-40B4-BE49-F238E27FC236}">
              <a16:creationId xmlns:a16="http://schemas.microsoft.com/office/drawing/2014/main" id="{3349764F-CE49-F2E6-6D97-C28C59B79BA4}"/>
            </a:ext>
          </a:extLst>
        </xdr:cNvPr>
        <xdr:cNvCxnSpPr>
          <a:stCxn id="170" idx="2"/>
          <a:endCxn id="173" idx="0"/>
        </xdr:cNvCxnSpPr>
      </xdr:nvCxnSpPr>
      <xdr:spPr>
        <a:xfrm rot="5400000">
          <a:off x="33651622" y="15158614"/>
          <a:ext cx="1050472" cy="20197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95342</xdr:colOff>
      <xdr:row>65</xdr:row>
      <xdr:rowOff>108856</xdr:rowOff>
    </xdr:from>
    <xdr:to>
      <xdr:col>56</xdr:col>
      <xdr:colOff>394518</xdr:colOff>
      <xdr:row>71</xdr:row>
      <xdr:rowOff>16328</xdr:rowOff>
    </xdr:to>
    <xdr:cxnSp macro="">
      <xdr:nvCxnSpPr>
        <xdr:cNvPr id="266" name="Connector: Curved 265">
          <a:extLst>
            <a:ext uri="{FF2B5EF4-FFF2-40B4-BE49-F238E27FC236}">
              <a16:creationId xmlns:a16="http://schemas.microsoft.com/office/drawing/2014/main" id="{8251E7A0-48B0-57DD-6444-827E7DB18995}"/>
            </a:ext>
          </a:extLst>
        </xdr:cNvPr>
        <xdr:cNvCxnSpPr>
          <a:stCxn id="170" idx="2"/>
          <a:endCxn id="174" idx="0"/>
        </xdr:cNvCxnSpPr>
      </xdr:nvCxnSpPr>
      <xdr:spPr>
        <a:xfrm rot="5400000">
          <a:off x="34511921" y="16018913"/>
          <a:ext cx="1050472" cy="2991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106098</xdr:colOff>
      <xdr:row>14</xdr:row>
      <xdr:rowOff>48591</xdr:rowOff>
    </xdr:from>
    <xdr:to>
      <xdr:col>5</xdr:col>
      <xdr:colOff>398898</xdr:colOff>
      <xdr:row>17</xdr:row>
      <xdr:rowOff>25641</xdr:rowOff>
    </xdr:to>
    <xdr:sp macro="" textlink="'4.3.1.1-2 Methane'!D27">
      <xdr:nvSpPr>
        <xdr:cNvPr id="4" name="TextBox 3">
          <a:extLst>
            <a:ext uri="{FF2B5EF4-FFF2-40B4-BE49-F238E27FC236}">
              <a16:creationId xmlns:a16="http://schemas.microsoft.com/office/drawing/2014/main" id="{A70746A1-EBF7-43FF-85D8-0B3F9463F885}"/>
            </a:ext>
          </a:extLst>
        </xdr:cNvPr>
        <xdr:cNvSpPr txBox="1"/>
      </xdr:nvSpPr>
      <xdr:spPr>
        <a:xfrm>
          <a:off x="2773098" y="3581500"/>
          <a:ext cx="1505073" cy="704414"/>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3836C7B-CDBC-4017-8FDA-D8799018F3FC}"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252499</xdr:colOff>
      <xdr:row>17</xdr:row>
      <xdr:rowOff>25640</xdr:rowOff>
    </xdr:from>
    <xdr:to>
      <xdr:col>4</xdr:col>
      <xdr:colOff>266761</xdr:colOff>
      <xdr:row>18</xdr:row>
      <xdr:rowOff>201755</xdr:rowOff>
    </xdr:to>
    <xdr:cxnSp macro="">
      <xdr:nvCxnSpPr>
        <xdr:cNvPr id="49" name="Connector: Curved 48">
          <a:extLst>
            <a:ext uri="{FF2B5EF4-FFF2-40B4-BE49-F238E27FC236}">
              <a16:creationId xmlns:a16="http://schemas.microsoft.com/office/drawing/2014/main" id="{1D041237-CB58-D291-A916-B20245816879}"/>
            </a:ext>
          </a:extLst>
        </xdr:cNvPr>
        <xdr:cNvCxnSpPr>
          <a:stCxn id="4" idx="2"/>
          <a:endCxn id="41" idx="0"/>
        </xdr:cNvCxnSpPr>
      </xdr:nvCxnSpPr>
      <xdr:spPr>
        <a:xfrm rot="16200000" flipH="1">
          <a:off x="3333872" y="4573792"/>
          <a:ext cx="423765" cy="14262"/>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252498</xdr:colOff>
      <xdr:row>12</xdr:row>
      <xdr:rowOff>157159</xdr:rowOff>
    </xdr:from>
    <xdr:to>
      <xdr:col>4</xdr:col>
      <xdr:colOff>257235</xdr:colOff>
      <xdr:row>14</xdr:row>
      <xdr:rowOff>48592</xdr:rowOff>
    </xdr:to>
    <xdr:cxnSp macro="">
      <xdr:nvCxnSpPr>
        <xdr:cNvPr id="53" name="Connector: Curved 52">
          <a:extLst>
            <a:ext uri="{FF2B5EF4-FFF2-40B4-BE49-F238E27FC236}">
              <a16:creationId xmlns:a16="http://schemas.microsoft.com/office/drawing/2014/main" id="{8F8E6DFB-9AE6-E5DB-DC6C-966E80CD3668}"/>
            </a:ext>
          </a:extLst>
        </xdr:cNvPr>
        <xdr:cNvCxnSpPr>
          <a:stCxn id="3" idx="2"/>
          <a:endCxn id="4" idx="0"/>
        </xdr:cNvCxnSpPr>
      </xdr:nvCxnSpPr>
      <xdr:spPr>
        <a:xfrm rot="5400000">
          <a:off x="3357151" y="3420649"/>
          <a:ext cx="381290" cy="4737"/>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119</xdr:row>
      <xdr:rowOff>90487</xdr:rowOff>
    </xdr:from>
    <xdr:ext cx="2975751"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𝑉𝑆_𝑗=(𝐼_𝑗×(1−𝐷𝑀𝐷_𝑗 )+(0.04×𝐼_𝑗 ))×(1−𝐴)</a:t>
              </a:r>
              <a:endParaRPr lang="en-AU" sz="1100"/>
            </a:p>
          </xdr:txBody>
        </xdr:sp>
      </mc:Fallback>
    </mc:AlternateContent>
    <xdr:clientData/>
  </xdr:oneCellAnchor>
  <xdr:oneCellAnchor>
    <xdr:from>
      <xdr:col>2</xdr:col>
      <xdr:colOff>309562</xdr:colOff>
      <xdr:row>84</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14287</xdr:colOff>
      <xdr:row>55</xdr:row>
      <xdr:rowOff>42862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7</xdr:row>
      <xdr:rowOff>128587</xdr:rowOff>
    </xdr:from>
    <xdr:ext cx="2435346"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43534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43534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𝑞𝑚_𝑗=0.795×(𝐷𝑀𝐷_𝑗×100)−0.0014</a:t>
              </a:r>
              <a:endParaRPr lang="en-AU" sz="1100"/>
            </a:p>
          </xdr:txBody>
        </xdr:sp>
      </mc:Fallback>
    </mc:AlternateContent>
    <xdr:clientData/>
  </xdr:oneCellAnchor>
  <xdr:oneCellAnchor>
    <xdr:from>
      <xdr:col>3</xdr:col>
      <xdr:colOff>14287</xdr:colOff>
      <xdr:row>138</xdr:row>
      <xdr:rowOff>128587</xdr:rowOff>
    </xdr:from>
    <xdr:ext cx="1834220" cy="182871"/>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𝐹𝑉𝑆_𝑗𝑚=𝑀𝑀𝑆_𝑗𝑚×(1−𝑆𝑆_𝑚 )</a:t>
              </a:r>
              <a:endParaRPr lang="en-AU" sz="1100"/>
            </a:p>
          </xdr:txBody>
        </xdr:sp>
      </mc:Fallback>
    </mc:AlternateContent>
    <xdr:clientData/>
  </xdr:oneCellAnchor>
  <xdr:oneCellAnchor>
    <xdr:from>
      <xdr:col>6</xdr:col>
      <xdr:colOff>1604962</xdr:colOff>
      <xdr:row>185</xdr:row>
      <xdr:rowOff>157162</xdr:rowOff>
    </xdr:from>
    <xdr:ext cx="3888692" cy="194990"/>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m:rPr>
                        <m:sty m:val="p"/>
                      </m:rPr>
                      <a:rPr lang="en-AU" sz="1100" b="0" i="1">
                        <a:solidFill>
                          <a:srgbClr val="C44340"/>
                        </a:solidFill>
                        <a:latin typeface="Cambria Math" panose="02040503050406030204" pitchFamily="18" charset="0"/>
                      </a:rPr>
                      <m:t>equation</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equation: </a:t>
              </a:r>
              <a:r>
                <a:rPr lang="en-AU" sz="1100" i="0">
                  <a:latin typeface="Cambria Math" panose="02040503050406030204" pitchFamily="18" charset="0"/>
                </a:rPr>
                <a:t>𝐹𝑉𝑆_(𝑗𝑚=4)=𝑀𝑀𝑆_(𝑗𝑚=4)+(𝑀𝑀𝑆_(𝑗𝑚=1,7,9)×𝑆𝑆_𝑚 )</a:t>
              </a:r>
              <a:endParaRPr lang="en-AU" sz="1100"/>
            </a:p>
          </xdr:txBody>
        </xdr:sp>
      </mc:Fallback>
    </mc:AlternateContent>
    <xdr:clientData/>
  </xdr:oneCellAnchor>
  <xdr:oneCellAnchor>
    <xdr:from>
      <xdr:col>2</xdr:col>
      <xdr:colOff>276225</xdr:colOff>
      <xdr:row>185</xdr:row>
      <xdr:rowOff>128587</xdr:rowOff>
    </xdr:from>
    <xdr:ext cx="5606791" cy="194990"/>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=7</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sub>
                        </m:sSub>
                      </m:e>
                    </m:d>
                  </m:oMath>
                </m:oMathPara>
              </a14:m>
              <a:endParaRPr lang="en-AU" sz="1100"/>
            </a:p>
          </xdr:txBody>
        </xdr:sp>
      </mc:Choice>
      <mc:Fallback xmlns="">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𝐹𝑉𝑆_(𝑗𝑚=4)=𝑀𝑀𝑆_(𝑗𝑚=4)+(𝑀𝑀𝑆_(𝑗𝑚=1)×𝑆𝑆_(𝑚=1) )+(𝑀𝑀𝑆_(𝑗𝑚=7)×𝑆𝑆_(𝑚=7) )+(𝑀𝑀𝑆_(𝑗𝑚=9)×𝑆𝑆_(𝑚=9) )</a:t>
              </a:r>
              <a:endParaRPr lang="en-AU" sz="1100"/>
            </a:p>
          </xdr:txBody>
        </xdr:sp>
      </mc:Fallback>
    </mc:AlternateContent>
    <xdr:clientData/>
  </xdr:oneCellAnchor>
  <xdr:oneCellAnchor>
    <xdr:from>
      <xdr:col>3</xdr:col>
      <xdr:colOff>4762</xdr:colOff>
      <xdr:row>211</xdr:row>
      <xdr:rowOff>157162</xdr:rowOff>
    </xdr:from>
    <xdr:ext cx="2591222" cy="182871"/>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𝑀_𝑗𝑚=𝑉𝑆_𝑗×𝐹𝑉𝑆_(𝑗𝑚,𝑇=1)×𝑀𝐶𝐹_𝑖𝑚×𝐵_𝑜×𝜌</a:t>
              </a:r>
              <a:endParaRPr lang="en-AU" sz="1100"/>
            </a:p>
          </xdr:txBody>
        </xdr:sp>
      </mc:Fallback>
    </mc:AlternateContent>
    <xdr:clientData/>
  </xdr:oneCellAnchor>
  <xdr:oneCellAnchor>
    <xdr:from>
      <xdr:col>3</xdr:col>
      <xdr:colOff>14287</xdr:colOff>
      <xdr:row>251</xdr:row>
      <xdr:rowOff>166687</xdr:rowOff>
    </xdr:from>
    <xdr:ext cx="7943200" cy="332079"/>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100"/>
            </a:p>
          </xdr:txBody>
        </xdr:sp>
      </mc:Fallback>
    </mc:AlternateContent>
    <xdr:clientData/>
  </xdr:oneCellAnchor>
  <xdr:oneCellAnchor>
    <xdr:from>
      <xdr:col>7</xdr:col>
      <xdr:colOff>4762</xdr:colOff>
      <xdr:row>251</xdr:row>
      <xdr:rowOff>147637</xdr:rowOff>
    </xdr:from>
    <xdr:ext cx="8406468" cy="332079"/>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𝐸〗_𝐶𝐻4=∑2_𝑗▒∑2_𝑚▒((𝑁_(𝑗=1,2,4)×𝑀_(𝑗=1,2,4,𝑚)×𝐷_(𝑗=1,2,4) )+(𝑁_(𝑗=3,5)×𝑀_(𝑗=3,5,𝑚)×𝐷_(𝑗=3,5) )+(𝑁_(𝑗=3,5)×𝑀𝑃𝑊_(𝑚𝑎𝑛𝑢𝑟𝑒,𝑗=3,5)×𝐷_(𝑗=3,5) )) ×10^(−3)</a:t>
              </a:r>
              <a:endParaRPr lang="en-AU" sz="1100"/>
            </a:p>
          </xdr:txBody>
        </xdr:sp>
      </mc:Fallback>
    </mc:AlternateContent>
    <xdr:clientData/>
  </xdr:oneCellAnchor>
  <xdr:oneCellAnchor>
    <xdr:from>
      <xdr:col>3</xdr:col>
      <xdr:colOff>9525</xdr:colOff>
      <xdr:row>29</xdr:row>
      <xdr:rowOff>228600</xdr:rowOff>
    </xdr:from>
    <xdr:ext cx="1606465" cy="383888"/>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num>
                      <m:den>
                        <m:r>
                          <a:rPr lang="en-AU" sz="1100" i="1">
                            <a:latin typeface="Cambria Math" panose="02040503050406030204" pitchFamily="18" charset="0"/>
                          </a:rPr>
                          <m:t>𝑊</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𝑍_𝑗=𝑊_𝑗/(𝑊𝑅_𝑗 )</a:t>
              </a:r>
              <a:endParaRPr lang="en-AU" sz="11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𝐿_𝑗=𝐼_𝑗/((1.185+0.00454×𝑊_𝑗−0.0000026×𝑊_𝑗^2 )^2×𝑀𝑅_𝑗+𝑀𝐼_𝑗 )</a:t>
              </a:r>
              <a:endParaRPr lang="en-AU" sz="11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num>
                          <m:den>
                            <m:r>
                              <a:rPr lang="en-AU" sz="1100" i="1">
                                <a:latin typeface="Cambria Math" panose="02040503050406030204" pitchFamily="18" charset="0"/>
                              </a:rPr>
                              <m:t>6.38</m:t>
                            </m:r>
                          </m:den>
                        </m:f>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−0.4</m:t>
                                            </m:r>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r>
                              <a:rPr lang="en-AU" sz="1100" i="1">
                                <a:latin typeface="Cambria Math" panose="02040503050406030204" pitchFamily="18" charset="0"/>
                              </a:rPr>
                              <m:t>×0.92</m:t>
                            </m:r>
                          </m:e>
                        </m:d>
                      </m:e>
                    </m:d>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6.25</m:t>
                        </m:r>
                      </m:den>
                    </m:f>
                  </m:oMath>
                </m:oMathPara>
              </a14:m>
              <a:endParaRPr lang="en-AU" sz="1100"/>
            </a:p>
          </xdr:txBody>
        </xdr:sp>
      </mc:Choice>
      <mc:Fallback xmlns="">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𝑁𝑅_𝑗=((0.032×𝑀𝑃_𝑗×1.03)/6.38)+{(0.212−0.008×(𝐿_𝑗−2)−[(0.140−0.008×(𝐿_𝑗−2))/(1+𝑒^(−6×(𝑍_𝑗−0.4) ) )])×(𝐿𝑊𝐺_𝑗×0.92)}×1/6.25</a:t>
              </a:r>
              <a:endParaRPr lang="en-AU" sz="11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𝐶𝑃𝐼_𝑗=𝐼_𝑗×𝐶𝑃_𝑗</a:t>
              </a:r>
              <a:endParaRPr lang="en-AU" sz="11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r>
                              <a:rPr lang="en-AU" sz="1100" i="1">
                                <a:latin typeface="Cambria Math" panose="02040503050406030204" pitchFamily="18" charset="0"/>
                              </a:rPr>
                              <m:t>6.25</m:t>
                            </m:r>
                          </m:den>
                        </m:f>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0.75</m:t>
                                </m:r>
                              </m:sup>
                            </m:sSubSup>
                          </m:num>
                          <m:den>
                            <m:r>
                              <a:rPr lang="en-AU" sz="1100" i="1">
                                <a:latin typeface="Cambria Math" panose="02040503050406030204" pitchFamily="18" charset="0"/>
                              </a:rPr>
                              <m:t>6.25</m:t>
                            </m:r>
                          </m:den>
                        </m:f>
                      </m:e>
                    </m:d>
                  </m:oMath>
                </m:oMathPara>
              </a14:m>
              <a:endParaRPr lang="en-AU" sz="1100"/>
            </a:p>
          </xdr:txBody>
        </xdr:sp>
      </mc:Choice>
      <mc:Fallback xmlns="">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𝑁𝐸_𝑗=((𝐶𝑃𝐼_𝑗)/6.25)−𝑁𝑅_𝑗−[(1.1×10^(−4)×𝑊_𝑗^0.75)/6.25]</a:t>
              </a:r>
              <a:endParaRPr lang="en-AU" sz="11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×365</m:t>
                  </m:r>
                </m:oMath>
              </a14:m>
              <a:endParaRPr lang="en-AU" sz="1100"/>
            </a:p>
          </xdr:txBody>
        </xdr:sp>
      </mc:Choice>
      <mc:Fallback xmlns="">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r>
                <a:rPr lang="en-AU" sz="1100" i="0">
                  <a:latin typeface="Cambria Math" panose="02040503050406030204" pitchFamily="18" charset="0"/>
                </a:rPr>
                <a:t>𝐴𝐸_(𝑗=1,2,4)=𝑁_(𝑗=1,2,4)×𝑁𝐸_(𝑗=1,2,4)×365</a:t>
              </a:r>
              <a:endParaRPr lang="en-AU" sz="11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oMath>
                </m:oMathPara>
              </a14:m>
              <a:endParaRPr lang="en-AU" sz="1100"/>
            </a:p>
          </xdr:txBody>
        </xdr:sp>
      </mc:Choice>
      <mc:Fallback xmlns="">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𝐴𝐸_(𝑗=1,2,4)=𝑁_(𝑗=1,2,4)×𝑁𝐸_(𝑗=1,2,4)×𝐷_(𝑗=1,2,4)</a:t>
              </a:r>
              <a:endParaRPr lang="en-AU" sz="11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×281</m:t>
                      </m:r>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×84</m:t>
                      </m:r>
                    </m:e>
                  </m:d>
                </m:oMath>
              </a14:m>
              <a:endParaRPr lang="en-AU" sz="1100"/>
            </a:p>
          </xdr:txBody>
        </xdr:sp>
      </mc:Choice>
      <mc:Fallback xmlns="">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r>
                <a:rPr lang="en-AU" sz="1100" i="0">
                  <a:latin typeface="Cambria Math" panose="02040503050406030204" pitchFamily="18" charset="0"/>
                </a:rPr>
                <a:t>𝐴𝐸_(𝑗=3,5)=(𝑁_(𝑗=3,5)×𝑁𝐸_(𝑗=3,5)×281)+(𝑁_(𝑗=3,5)×𝑁𝑃𝑊_(𝑗=3,5)×84)</a:t>
              </a:r>
              <a:endParaRPr lang="en-AU" sz="11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oMath>
                </m:oMathPara>
              </a14:m>
              <a:endParaRPr lang="en-AU" sz="1100"/>
            </a:p>
          </xdr:txBody>
        </xdr:sp>
      </mc:Choice>
      <mc:Fallback xmlns="">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𝐴𝐸_(𝑗=3,5)=(𝑁_(𝑗=3,5)×𝑁𝐸_(𝑗=3,5)×𝐷_(𝑗=3,5) )+(𝑁_(𝑗=3,5)×𝑁𝑃𝑊_(𝑗=3,5)×𝐷𝑃𝑊_(𝑗=3,5) )</a:t>
              </a:r>
              <a:endParaRPr lang="en-AU" sz="11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𝐸_(𝑁2𝑂,𝑑𝑖𝑟)=∑2_𝑗▒∑2_𝑚▒(𝑀𝑁_𝑗𝑚×𝐸𝐹_𝑚×𝐶_𝑁2𝑂×10^(−3)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sub>
                                </m:sSub>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𝑀𝑁_𝐴𝑇𝑀𝑂𝑆=∑10_𝑗▒∑10_𝑚▒(𝑀𝑁_𝑗𝑚×𝐹𝑟𝑎𝑐𝐺𝐴𝑆𝑀_𝑚 ) </a:t>
              </a:r>
              <a:endParaRPr lang="en-AU" sz="11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𝑀𝑀𝑆</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𝐸_(𝑁2𝑂,𝑀𝑀𝑆,𝑎𝑑)=𝑀𝑁_𝐴𝑇𝑀𝑂𝑆×𝐸𝐹_𝑁2𝑂×𝐶_𝑁2𝑂×10^(−3)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r>
                              <a:rPr lang="en-AU" sz="1100" i="1">
                                <a:latin typeface="Cambria Math" panose="02040503050406030204" pitchFamily="18" charset="0"/>
                              </a:rPr>
                              <m:t>=1−13</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𝐸_(𝑁2𝑂,𝑙𝑒𝑎𝑐ℎ)=∑10_𝑗▒∑10_(𝑚=1−13)▒(𝑀𝑁𝐿𝑒𝑎𝑐ℎ_𝑗𝑚×𝐸𝐹_𝑙𝑒𝑎𝑐ℎ×𝐶_𝑁2𝑂 ) ×10^(−3)</a:t>
              </a:r>
              <a14:m xmlns:a14="http://schemas.microsoft.com/office/drawing/2010/main"/>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1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𝐸_(𝑁2𝑂,𝑑𝑖𝑟)=∑10_𝑗▒(𝑀𝑁_(𝑗𝑚=14)×𝐸𝐹_𝑃𝑅𝑃×𝐶_𝑁2𝑂×10^(−3) ) </a:t>
              </a:r>
              <a:endParaRPr lang="en-AU" sz="11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𝑀_(𝑣𝑜𝑙,𝑚=14)=∑10_𝑗▒(𝑀𝑁_(𝑗𝑚=14)×𝐹𝑟𝑎𝑐𝐺𝐴𝑆𝑀𝑠𝑜𝑖𝑙) </a:t>
              </a:r>
              <a:endParaRPr lang="en-AU" sz="11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𝑀_(𝑙𝑒𝑎𝑐ℎ,𝑚=14)=∑10_𝑗▒(𝑀𝑁_(𝑗𝑚=14)×𝐹𝑟𝑎𝑐𝑊𝑒𝑡×𝐹𝑟𝑎𝑐𝐿𝐸𝐴𝐶𝐻</a:t>
              </a:r>
              <a14:m xmlns:a14="http://schemas.microsoft.com/office/drawing/2010/main"/>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80"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79"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78"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77"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76"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75"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74"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73"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72"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71"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70"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69"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68"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67"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66"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65"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64"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63"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62"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61"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60"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59"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58"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57"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56"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55"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54"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53"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52"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51"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50"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4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4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47"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46"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45"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44"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03FF72D-5AA8-4D04-BC68-A876F0B27A9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F794626-A850-4164-8339-B540B2DF4318}" name="State/Territory">
      <calculatedColumnFormula array="1">Common_InputFunctions.Utility_DisplayArrayInTable(Common_SourceData.Common_SourceData_AustralianStatesTerritories_Data(),Table_AustralianStates[[#Headers],[State/Territory]],0)</calculatedColumnFormula>
    </tableColumn>
    <tableColumn id="2" xr3:uid="{DAE38D79-3412-44EE-B743-F7EA54525797}" name="Common Name">
      <calculatedColumnFormula array="1">Common_InputFunctions.Utility_DisplayArrayInTable(Common_SourceData.Common_SourceData_AustralianStatesTerritories_Data(),Table_AustralianStates[[#Headers],[State/Territory]],0)</calculatedColumnFormula>
    </tableColumn>
    <tableColumn id="3" xr3:uid="{0A80F820-FBCF-4CD9-BB99-A505AD6A647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A467D148-4878-4FAD-BB3C-F97D06CA9512}" name="Table_WASA4Areas" displayName="Table_WASA4Areas" ref="D20:D30" totalsRowShown="0">
  <autoFilter ref="D20:D30" xr:uid="{5FA81339-C6C8-4D36-BEEA-6C4AEDD9E676}">
    <filterColumn colId="0" hiddenButton="1"/>
  </autoFilter>
  <tableColumns count="1">
    <tableColumn id="1" xr3:uid="{C82476DA-E731-4E10-9D5A-E9F0C1FC06B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914CD11-0EFE-4643-96AF-5AA68162B523}" name="Table_GWPData" displayName="Table_GWPData" ref="D36:E43" totalsRowShown="0">
  <autoFilter ref="D36:E43" xr:uid="{B8E87A66-3E41-4AD3-925D-01EE21B43D7A}">
    <filterColumn colId="0" hiddenButton="1"/>
    <filterColumn colId="1" hiddenButton="1"/>
  </autoFilter>
  <tableColumns count="2">
    <tableColumn id="1" xr3:uid="{65D9E7F2-5AA3-4F6D-B872-299BD4277352}" name="Gas">
      <calculatedColumnFormula array="1">Common_InputFunctions.Utility_DisplayArrayInTable(Common_SourceData.Common_SourceData_GWP_Data(), Table_GWPData[[#Headers],[Gas]], 0)</calculatedColumnFormula>
    </tableColumn>
    <tableColumn id="2" xr3:uid="{2E11C296-A27E-44C8-B866-B60D8484DA2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9DEC118-7605-4D43-9B0E-4EC1C118899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4DF9520-BD4A-4E94-BBCC-0D5B7E7A8E54}" name="Gas">
      <calculatedColumnFormula array="1">Common_InputFunctions.Utility_DisplayArrayInTable(Common_SourceData.Common_SourceData_ConvertGasElementalToMolecular_Data(),Table_GasToMolecularConversionFactor[[#Headers],[Gas]], 0)</calculatedColumnFormula>
    </tableColumn>
    <tableColumn id="5" xr3:uid="{719EA7B0-E1E5-4B9A-9E3D-3FFF5967D16D}" name="Conversion factor">
      <calculatedColumnFormula array="1">Common_InputFunctions.Utility_DisplayArrayInTable(Common_SourceData.Common_SourceData_ConvertGasElementalToMolecular_Data(),Table_GasToMolecularConversionFactor[[#Headers],[Gas]], 0)</calculatedColumnFormula>
    </tableColumn>
    <tableColumn id="2" xr3:uid="{AF7D1800-FE1C-4287-A8AE-6903F6F799C1}"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AFCE0E3-845A-46DD-9AB0-BABC1C0E7CFA}"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BEB747A-4ACF-4E38-AEBF-06ED8AF9CE7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EBE267B3-46EA-4CA7-9B3C-1A1F5421802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7B6CA81-618B-4698-9F97-AD28407946EB}"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1C1D4B8-FE13-46DA-BB59-A5008C6FE7C1}" name="MAT"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3" xr3:uid="{102A624F-AE25-4F8F-B3F0-59DB196609CC}" name="MAP"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4" xr3:uid="{F989612B-CC72-45D5-AE66-26DF38DFC6EA}" name="Frost days per year"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5" xr3:uid="{01545F31-673F-4A04-A77E-2429EE93C858}" name="Elevation"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6" xr3:uid="{25F16A09-9A57-463B-9BCB-20875BB51C44}" name="MAP:PET"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7" xr3:uid="{5AA65FCB-002B-47F1-A287-E218559BCF41}" name="Min temp"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8" xr3:uid="{C0739D72-8114-41EC-AE17-F0842D7BE327}" name="Max temp"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9" xr3:uid="{838C2DB7-9885-4DD3-9B09-44688DEE8F3E}" name="Min rainfall"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0" xr3:uid="{AC6CC6C2-C45B-4428-B2ED-43073BD9C77B}" name="Max rainfall"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1" xr3:uid="{D27C9106-4113-428E-A02E-BB79B2F36A53}" name="Min frost days"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5" xr3:uid="{2C7CD77E-0CE7-472B-80F9-ED09AE8A7629}" name="Max frost days"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2" xr3:uid="{FAF6B10D-23FD-49F4-B389-A5D911DA4EB0}" name="Min 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6" xr3:uid="{C3D3CE5A-28C9-4BA8-9403-42CCEEFC311A}" name="Max elevation"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3" xr3:uid="{41AF1E4E-419B-49D3-B5DD-31A71A63AD52}" name="Min MAP:PET"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7" xr3:uid="{0323E4F1-1C74-4A8C-A893-AA2777B9A8E5}" name="Max MAP:PET" totalsRowDxfId="2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E4CA1693-7EC0-48C3-8123-A6D663D828A8}"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9E074F6-1F46-427E-8A7B-BFEA18900DC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7FF83C7F-09C9-4F06-BECA-CDFF7F5BD9FB}" name="Wet or Dry Zone" totalsRowDxfId="2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18520BC8-5672-4822-908B-809C356B033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083149F2-73DE-4562-B91A-1F9C39334064}" name="Temperature Zone">
      <calculatedColumnFormula array="1">Common_InputFunctions.Utility_DisplayArrayInTable(Common_SourceData.Common_SourceData_TemperatureZones_Data(),Table_SourceData_TemperatureZones[[#Headers],[Temperature Zone]],0)</calculatedColumnFormula>
    </tableColumn>
    <tableColumn id="2" xr3:uid="{14D1E32A-5A09-4329-8DC4-EAD6A0F58865}" name="MAT">
      <calculatedColumnFormula array="1">Common_InputFunctions.Utility_DisplayArrayInTable(Common_SourceData.Common_SourceData_TemperatureZones_Data(),Table_SourceData_TemperatureZones[[#Headers],[Temperature Zone]],0)</calculatedColumnFormula>
    </tableColumn>
    <tableColumn id="3" xr3:uid="{C067EEEF-2F54-4838-949C-910BB29190EE}" name="Min MAT">
      <calculatedColumnFormula array="1">Common_InputFunctions.Utility_DisplayArrayInTable(Common_SourceData.Common_SourceData_TemperatureZones_Data(),Table_SourceData_TemperatureZones[[#Headers],[Temperature Zone]],0)</calculatedColumnFormula>
    </tableColumn>
    <tableColumn id="4" xr3:uid="{1A7E3D6B-ED50-49B2-8FFF-27C59B2D229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BCEE09E-35BE-4F5B-9886-18B04A28577F}"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6419F08F-BAEF-4F99-9D31-2F07F0CBAEC1}" name="Rainfall Zone">
      <calculatedColumnFormula array="1">Common_InputFunctions.Utility_DisplayArrayInTable(Common_SourceData.Common_SourceData_RainfallZones_Data(),Table_SourceData_RainfallZones[[#Headers],[Rainfall Zone]],0)</calculatedColumnFormula>
    </tableColumn>
    <tableColumn id="2" xr3:uid="{C5E53696-D0AD-48E4-A387-F00098834B82}" name="Annual rainfall">
      <calculatedColumnFormula array="1">Common_InputFunctions.Utility_DisplayArrayInTable(Common_SourceData.Common_SourceData_RainfallZones_Data(),Table_SourceData_RainfallZones[[#Headers],[Rainfall Zone]],0)</calculatedColumnFormula>
    </tableColumn>
    <tableColumn id="3" xr3:uid="{AEB22F2A-45B7-4985-926A-90CE467ACCA3}" name="Min rainfall">
      <calculatedColumnFormula array="1">Common_InputFunctions.Utility_DisplayArrayInTable(Common_SourceData.Common_SourceData_RainfallZones_Data(),Table_SourceData_RainfallZones[[#Headers],[Rainfall Zone]],0)</calculatedColumnFormula>
    </tableColumn>
    <tableColumn id="4" xr3:uid="{1E498886-42FD-468A-8875-3F9783E4700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BDEC461-6A93-4A97-90E4-9A8AA40A19DB}"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7479AB66-B537-45F0-95C3-F780F47F5E4D}" name="Leaching Zone">
      <calculatedColumnFormula array="1">Common_InputFunctions.Utility_DisplayArrayInTable(Common_SourceData.Common_SourceData_LeachingZones_Data(), Table_SourceData_LeachingZones[[#Headers],[Leaching Zone]], 0)</calculatedColumnFormula>
    </tableColumn>
    <tableColumn id="2" xr3:uid="{7681297D-A0F0-4054-A87F-AE8E786F8B43}"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21C81900-DCEC-41E8-B766-0A4CBD6AFDD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242AC1A-2AFA-428F-935B-83A73B49F1AF}" name="Data source">
      <calculatedColumnFormula array="1">Common_InputFunctions.Utility_DisplayArrayInTable(Common_SourceData.Common_SourceData_DataScores_Scope3_Data(), Table_SourceData_DataScores_Scope3[[#Headers],[Data source]], 0)</calculatedColumnFormula>
    </tableColumn>
    <tableColumn id="2" xr3:uid="{A432E50B-9E0E-4A79-9E3B-C047686F9E56}"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C3F08F2B-C3BE-4F58-9F6F-330BA0E52867}" name="Table_SourceData_FracWET" displayName="Table_SourceData_FracWET" ref="D134:E136" totalsRowShown="0">
  <autoFilter ref="D134:E136" xr:uid="{308E99BE-FE1F-47A4-B2CA-97217277C4E9}">
    <filterColumn colId="0" hiddenButton="1"/>
    <filterColumn colId="1" hiddenButton="1"/>
  </autoFilter>
  <tableColumns count="2">
    <tableColumn id="1" xr3:uid="{CA6CB252-C2A3-40D6-9473-9FC46E9D52A4}" name="Is in leaching zone">
      <calculatedColumnFormula array="1">Common_InputFunctions.Utility_DisplayArrayInTable(Common_SourceData.Common_SourceData_FracWET_Data(),Table_SourceData_FracWET[[#Headers],[Is in leaching zone]],0)</calculatedColumnFormula>
    </tableColumn>
    <tableColumn id="2" xr3:uid="{17B50AED-915B-4AAF-A792-B6C8FBF0C02A}" name="FracWET" dataDxfId="2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6AE7B8FB-16AF-416E-98A4-D699DD5C5E8A}"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9A1113FC-3C11-4120-8A7A-C6A066062811}" name="Production system j">
      <calculatedColumnFormula array="1">Common_InputFunctions.Utility_DisplayArrayInTable(Common_SourceData.Common_SourceData_EFN2O_Data(), Table_SourceData_Common_EFN2O[[#Headers],[Production system j]], 0)</calculatedColumnFormula>
    </tableColumn>
    <tableColumn id="2" xr3:uid="{19F26070-D269-4461-9AA9-E73E9C3B4B2E}" name="EFN2O">
      <calculatedColumnFormula array="1">Common_InputFunctions.Utility_DisplayArrayInTable(Common_SourceData.Common_SourceData_EFN2O_Data(), Table_SourceData_Common_EFN2O[[#Headers],[Production system j]], 0)</calculatedColumnFormula>
    </tableColumn>
    <tableColumn id="3" xr3:uid="{21B682C6-C2D0-424C-AD39-4F3E40D4636F}" name="Production system only">
      <calculatedColumnFormula array="1">Common_InputFunctions.Utility_DisplayArrayInTable(Common_SourceData.Common_SourceData_EFN2O_Data(), Table_SourceData_Common_EFN2O[[#Headers],[Production system j]], 0)</calculatedColumnFormula>
    </tableColumn>
    <tableColumn id="4" xr3:uid="{6962E14F-8525-41AD-A04F-63D56983CE42}" name="Irrigation method">
      <calculatedColumnFormula array="1">Common_InputFunctions.Utility_DisplayArrayInTable(Common_SourceData.Common_SourceData_EFN2O_Data(), Table_SourceData_Common_EFN2O[[#Headers],[Production system j]], 0)</calculatedColumnFormula>
    </tableColumn>
    <tableColumn id="5" xr3:uid="{3BE4975D-FE3A-45D5-891E-ED75504CC358}"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A13CB41C-F794-4760-AC66-5B531D674B0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CAC3C0F9-1257-4074-B70D-B5E41C33E503}" name="Irrigation type i">
      <calculatedColumnFormula array="1">Common_InputFunctions.Utility_DisplayArrayInTable(Common_SourceData.Common_SourceData_FracWETIrrigation_Data(), Table_SourceData_FracWETIrrigation[[#Headers],[Irrigation type i]], 0)</calculatedColumnFormula>
    </tableColumn>
    <tableColumn id="2" xr3:uid="{493CDD78-3DCB-49BC-B18C-971DBEBBEFAD}" name="FracWET" dataDxfId="2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B66389F-5E7A-480C-811A-03404D9514D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6A630E68-DE8C-4AED-8D19-EEAAD9054DF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BCF572D-EFF8-47B4-9A54-09684720C466}" name="EFPRP" dataDxfId="2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F6508C63-E9E0-470A-9DC6-5393265238C6}"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3D2FAD8-2DF7-440E-9815-F9954FD522E7}" name="Month">
      <calculatedColumnFormula array="1">Common_InputFunctions.Utility_DisplayArrayInTable(Common_SourceData.Common_SourceData_MonthsToSeasons_Data(), Table_SourceData_Common_MonthToSeason[[#Headers],[Month]], 0)</calculatedColumnFormula>
    </tableColumn>
    <tableColumn id="2" xr3:uid="{E686A930-9FC6-45F2-A491-349E9B878124}" name="Season" dataDxfId="2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DC651049-2627-4EC7-8E7F-25B154AFB6E0}"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2F53388-4525-4EB9-9628-BCBEA2F30578}"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6933AB0-11DA-4292-8FE5-DE8E2CA4B88D}" name="MAT (ºC)"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76F11EA-A68F-4DDA-AB7D-A620B6EF4C44}" name="Anaerobic lagoon"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A59FC53-FA95-42F8-A803-83894C899534}" name="Digester / covered lagoons"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8317A95-2AB4-45D9-AACA-B1FFC6DCAD30}" name="Liquid systems"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0C2DD5C-EF5D-46AB-A17D-EA174DBC06AB}" name="Daily spread"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3E6D90B-E8DC-4961-9A38-4984A6364EC3}" name="Composting (passive windrow)"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85E7893-DB4C-4B24-975D-397921C40F6A}" name="Solid storage"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5D07BA0-D24C-47DD-BCE9-8AEB94688BBD}" name="Pit storage"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A8038AA-B56B-40E7-94C4-CFC40CEFAF7B}" name="Deep litter"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8FB6B0A-E569-4A66-B2B7-67E40B8006C7}" name="Poultry manure with bedding"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708DD5D-0DF4-4D67-BB71-ADF7EFD4F4DF}" name="Poultry manure without bedding"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02B5F58-FFEC-4FFD-AC7E-15228F5CB463}" name="Direct processing"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D5FE3CD-8EA9-40AB-A6D2-55C163061365}" name="Direct application"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89C453B-2907-4AE7-80EF-A626BEEC7189}" name="Pasture range and paddock"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00A278F-92FA-4925-ADAF-21269BA28878}" name="MAT raw"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3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5.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6.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dimension ref="A1:BL82"/>
  <sheetViews>
    <sheetView showGridLines="0" tabSelected="1" zoomScale="70" zoomScaleNormal="70" workbookViewId="0"/>
  </sheetViews>
  <sheetFormatPr defaultRowHeight="15" x14ac:dyDescent="0.25"/>
  <cols>
    <col min="1" max="1" width="30.7109375" customWidth="1"/>
    <col min="2" max="3" width="4.7109375" customWidth="1"/>
  </cols>
  <sheetData>
    <row r="1" spans="1:64" ht="30" customHeight="1" x14ac:dyDescent="0.35">
      <c r="A1" s="71" t="e" vm="1">
        <v>#VALUE!</v>
      </c>
      <c r="C1" s="143" t="s">
        <v>432</v>
      </c>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row>
    <row r="2" spans="1:64" ht="20.100000000000001" customHeight="1" x14ac:dyDescent="0.25">
      <c r="A2" s="9"/>
      <c r="C2" s="144"/>
      <c r="D2" s="144"/>
      <c r="E2" s="144"/>
      <c r="F2" s="144"/>
      <c r="G2" s="144"/>
      <c r="H2" s="144"/>
      <c r="I2" s="144"/>
      <c r="J2" s="144"/>
      <c r="K2" s="144"/>
      <c r="L2" s="144"/>
      <c r="M2" s="144"/>
      <c r="N2" s="144"/>
      <c r="O2" s="144"/>
      <c r="P2" s="144"/>
      <c r="Q2" s="144"/>
      <c r="R2" s="144"/>
      <c r="S2" s="144"/>
      <c r="T2" s="144"/>
      <c r="U2" s="144"/>
      <c r="V2" s="144"/>
      <c r="W2" s="144"/>
      <c r="X2" s="144"/>
      <c r="Y2" s="144"/>
      <c r="Z2" s="144"/>
      <c r="AA2" s="144"/>
      <c r="AB2" s="144"/>
      <c r="AC2" s="144"/>
      <c r="AD2" s="144"/>
      <c r="AE2" s="144"/>
      <c r="AF2" s="144"/>
      <c r="AG2" s="144"/>
    </row>
    <row r="3" spans="1:64" ht="20.100000000000001" customHeight="1" x14ac:dyDescent="0.25">
      <c r="A3" s="17" t="str">
        <f>HYPERLINK("#'Home'!A1", "Home")</f>
        <v>Home</v>
      </c>
      <c r="C3" s="145"/>
      <c r="D3" s="145"/>
      <c r="E3" s="145"/>
      <c r="F3" s="145"/>
      <c r="G3" s="145"/>
      <c r="H3" s="145"/>
      <c r="I3" s="145"/>
      <c r="J3" s="145"/>
      <c r="K3" s="145"/>
      <c r="L3" s="145"/>
      <c r="M3" s="145"/>
      <c r="N3" s="145"/>
      <c r="O3" s="145"/>
      <c r="P3" s="145"/>
      <c r="Q3" s="145"/>
      <c r="R3" s="145"/>
      <c r="S3" s="145"/>
      <c r="T3" s="145"/>
      <c r="U3" s="145"/>
      <c r="V3" s="145"/>
      <c r="W3" s="145"/>
      <c r="X3" s="145"/>
      <c r="Y3" s="145"/>
      <c r="Z3" s="145"/>
      <c r="AA3" s="145"/>
      <c r="AB3" s="145"/>
      <c r="AC3" s="145"/>
      <c r="AD3" s="145"/>
      <c r="AE3" s="145"/>
      <c r="AF3" s="145"/>
      <c r="AG3" s="145"/>
      <c r="AH3" s="145"/>
      <c r="AI3" s="145"/>
      <c r="AJ3" s="145"/>
      <c r="AK3" s="145"/>
      <c r="AL3" s="145"/>
      <c r="AM3" s="145"/>
      <c r="AN3" s="145"/>
      <c r="AO3" s="145"/>
      <c r="AP3" s="145"/>
      <c r="AQ3" s="145"/>
      <c r="AR3" s="145"/>
      <c r="AS3" s="145"/>
      <c r="AT3" s="145"/>
      <c r="AU3" s="145"/>
      <c r="AV3" s="145"/>
      <c r="AW3" s="145"/>
      <c r="AX3" s="145"/>
      <c r="AY3" s="145"/>
      <c r="AZ3" s="145"/>
      <c r="BA3" s="145"/>
      <c r="BB3" s="145"/>
      <c r="BC3" s="145"/>
      <c r="BD3" s="145"/>
      <c r="BE3" s="145"/>
      <c r="BF3" s="145"/>
      <c r="BG3" s="145"/>
      <c r="BH3" s="145"/>
      <c r="BI3" s="145"/>
      <c r="BJ3" s="145"/>
      <c r="BK3" s="145"/>
      <c r="BL3" s="145"/>
    </row>
    <row r="4" spans="1:64" ht="20.100000000000001" customHeight="1" x14ac:dyDescent="0.25">
      <c r="A4" s="12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58" t="s">
        <v>447</v>
      </c>
      <c r="E5" s="158"/>
      <c r="F5" s="158"/>
      <c r="G5" s="158"/>
      <c r="H5" s="158"/>
      <c r="I5" s="115"/>
      <c r="J5" s="95"/>
      <c r="K5" s="95"/>
      <c r="L5" s="95"/>
      <c r="M5" s="95"/>
      <c r="N5" s="95"/>
      <c r="O5" s="95"/>
      <c r="P5" s="95"/>
      <c r="Q5" s="95"/>
      <c r="R5" s="95"/>
      <c r="S5" s="95"/>
      <c r="T5" s="95"/>
      <c r="U5" s="95"/>
      <c r="V5" s="91"/>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59" t="s">
        <v>431</v>
      </c>
      <c r="E6" s="157"/>
      <c r="F6" s="157"/>
      <c r="G6" s="157"/>
      <c r="H6" s="157"/>
      <c r="I6" s="97"/>
      <c r="J6" s="94"/>
      <c r="K6" s="94"/>
      <c r="L6" s="94"/>
      <c r="M6" s="94"/>
      <c r="N6" s="94"/>
      <c r="O6" s="94"/>
      <c r="P6" s="94"/>
      <c r="Q6" s="94"/>
      <c r="R6" s="94"/>
      <c r="S6" s="94"/>
      <c r="T6" s="94"/>
      <c r="U6" s="94"/>
      <c r="V6" s="92"/>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Dairy'!A1", "Dairy")</f>
        <v>Dairy</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78</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HYPERLINK("#'4.3.1.1-2 Methane'!A1", "4.3.1.1-2 Methane")</f>
        <v>4.3.1.1-2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A13" s="17" t="str">
        <f>HYPERLINK("#'4.3.1.3-4 Direct N20'!A1", "4.3.1.3-4 Direct N2O")</f>
        <v>4.3.1.3-4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7" t="str">
        <f>HYPERLINK("#'4.3.1.5 Atmos Deposition'!A1", "4.3.1.5 Atmospheric deposition")</f>
        <v>4.3.1.5 Atmospheric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HYPERLINK("#'4.3.1.6-7 Leaching and runoff'!A1", "4.3.1.6-7 Leaching and runoff")</f>
        <v>4.3.1.6-7 Leaching and runoff</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A16" s="17" t="str">
        <f>HYPERLINK("#'4.3.1.8 Manure applied to soils'!A1", "4.3.1.8 Manure applied to soils")</f>
        <v>4.3.1.8 Manure applied to soils</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7" t="str">
        <f>HYPERLINK("#'4.3.1.9 Soil direct N2O'!A1", "4.3.1.9 Soil direct N2O")</f>
        <v>4.3.1.9 Soil direct N2O</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HYPERLINK("#'4.3.1.10-11 Soil Atmos Dep'!A1", "4.3.1.10-11 Soil atm. deposition")</f>
        <v>4.3.1.10-11 Soil atm. deposition</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A19" s="17" t="str">
        <f>HYPERLINK("#'4.3.1.12-13 Soil leach runoff'!A1", "4.3.1.12-13 Soil leach &amp; runoff")</f>
        <v>4.3.1.12-13 Soil leach &amp; runoff</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A20" s="17"/>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8" t="s">
        <v>4</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A22" s="17" t="str">
        <f>HYPERLINK("#'Constants - Dairy'!A1", "Constants - Dairy")</f>
        <v>Constants - Dairy</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A23" s="17" t="str">
        <f>HYPERLINK("#'Constants - Livestock'!A1", "Constants - Livestock")</f>
        <v>Constants - Livestock</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t="str">
        <f>HYPERLINK("#'Constants - Common'!A1", "Constants - Common")</f>
        <v>Constants - Common</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t="str">
        <f>HYPERLINK("#'Acknowledgements'!A1", "Acknowledgements")</f>
        <v>Acknowledgements</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E8" sqref="E8"/>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71" t="e" vm="1">
        <v>#VALUE!</v>
      </c>
      <c r="C1" s="124" t="s">
        <v>322</v>
      </c>
    </row>
    <row r="2" spans="1:11" ht="20.100000000000001" customHeight="1" x14ac:dyDescent="0.25">
      <c r="A2" s="9"/>
      <c r="C2" s="9"/>
    </row>
    <row r="3" spans="1:11" ht="20.100000000000001" customHeight="1" x14ac:dyDescent="0.25">
      <c r="A3" s="17" t="str">
        <f>HYPERLINK("#'Home'!A1", "Home")</f>
        <v>Home</v>
      </c>
      <c r="C3" s="24"/>
      <c r="D3" s="24"/>
      <c r="E3" s="24"/>
      <c r="F3" s="24"/>
      <c r="G3" s="24"/>
      <c r="H3" s="24"/>
      <c r="I3" s="24"/>
      <c r="J3" s="24"/>
      <c r="K3" s="24"/>
    </row>
    <row r="4" spans="1:11" ht="20.100000000000001" customHeight="1" x14ac:dyDescent="0.25">
      <c r="A4" s="17" t="str">
        <f>HYPERLINK("#'Overview'!A1", "Overview")</f>
        <v>Overview</v>
      </c>
      <c r="C4" s="24"/>
      <c r="D4" s="6" t="s">
        <v>5</v>
      </c>
      <c r="E4" s="26"/>
      <c r="F4" s="26"/>
      <c r="G4" s="26"/>
      <c r="H4" s="6"/>
      <c r="I4" s="6"/>
      <c r="J4" s="6"/>
      <c r="K4" s="27"/>
    </row>
    <row r="5" spans="1:11" ht="20.100000000000001" customHeight="1" x14ac:dyDescent="0.3">
      <c r="A5" s="123" t="str">
        <f>HYPERLINK("#'Results'!A1", "Results")</f>
        <v>Results</v>
      </c>
      <c r="C5" s="24"/>
      <c r="D5" s="28"/>
      <c r="E5" s="29"/>
      <c r="F5" s="29"/>
      <c r="G5" s="29"/>
      <c r="H5" s="26"/>
      <c r="I5" s="24"/>
      <c r="J5" s="24"/>
      <c r="K5" s="24"/>
    </row>
    <row r="6" spans="1:11" ht="20.100000000000001" customHeight="1" x14ac:dyDescent="0.25">
      <c r="A6" s="16"/>
      <c r="C6" s="24"/>
      <c r="D6" s="122" t="s">
        <v>142</v>
      </c>
      <c r="E6" s="122" t="s">
        <v>387</v>
      </c>
      <c r="F6" s="122" t="s">
        <v>388</v>
      </c>
      <c r="G6" s="122" t="s">
        <v>159</v>
      </c>
      <c r="H6" s="122" t="s">
        <v>393</v>
      </c>
      <c r="I6" s="122" t="s">
        <v>394</v>
      </c>
      <c r="J6" s="122" t="s">
        <v>160</v>
      </c>
      <c r="K6" s="24"/>
    </row>
    <row r="7" spans="1:11" ht="20.100000000000001" customHeight="1" x14ac:dyDescent="0.25">
      <c r="A7" s="20" t="s">
        <v>3</v>
      </c>
      <c r="C7" s="24"/>
      <c r="D7" s="1" t="s">
        <v>389</v>
      </c>
      <c r="E7" s="117">
        <f>'4.3.1.1-2 Methane'!$E$299</f>
        <v>9.1425584633734314</v>
      </c>
      <c r="F7" s="117">
        <f>'4.3.1.1-2 Methane'!$P$299</f>
        <v>9.4175289244735705</v>
      </c>
      <c r="G7" s="57" t="str">
        <f>'4.3.1.1-2 Methane'!$F$299</f>
        <v>t CH4</v>
      </c>
      <c r="H7" s="117">
        <f>'4.3.1.1-2 Methane'!$E$304</f>
        <v>255.99163697445607</v>
      </c>
      <c r="I7" s="117">
        <f>'4.3.1.1-2 Methane'!$P$304</f>
        <v>263.69080988525997</v>
      </c>
      <c r="J7" s="57" t="str">
        <f>'4.3.1.1-2 Methane'!$F$304</f>
        <v>t CO2e</v>
      </c>
      <c r="K7" s="24"/>
    </row>
    <row r="8" spans="1:11" ht="20.100000000000001" customHeight="1" x14ac:dyDescent="0.25">
      <c r="A8" s="17" t="str">
        <f>HYPERLINK("#'Input - Site'!A1", "Site")</f>
        <v>Site</v>
      </c>
      <c r="C8" s="24"/>
      <c r="D8" s="1" t="s">
        <v>390</v>
      </c>
      <c r="E8" s="117">
        <f>'4.3.1.3-4 Direct N20'!$E$287</f>
        <v>4.1098291500061392E-3</v>
      </c>
      <c r="F8" s="117">
        <f>'4.3.1.3-4 Direct N20'!$O$287</f>
        <v>4.1098291500061392E-3</v>
      </c>
      <c r="G8" s="57" t="str">
        <f>'4.3.1.3-4 Direct N20'!$F$287</f>
        <v>t N2O</v>
      </c>
      <c r="H8" s="117">
        <f>'4.3.1.3-4 Direct N20'!$E$292</f>
        <v>1.0891047247516268</v>
      </c>
      <c r="I8" s="117">
        <f>'4.3.1.3-4 Direct N20'!$O$292</f>
        <v>1.0891047247516268</v>
      </c>
      <c r="J8" s="57" t="str">
        <f>'4.3.1.3-4 Direct N20'!$F$292</f>
        <v>t CO2e</v>
      </c>
      <c r="K8" s="24"/>
    </row>
    <row r="9" spans="1:11" ht="20.100000000000001" customHeight="1" x14ac:dyDescent="0.25">
      <c r="A9" s="17" t="str">
        <f>HYPERLINK("#'Input - Dairy'!A1", "Dairy")</f>
        <v>Dairy</v>
      </c>
      <c r="C9" s="24"/>
      <c r="D9" s="1" t="s">
        <v>391</v>
      </c>
      <c r="E9" s="117">
        <f>'4.3.1.5 Atmos deposition'!$E$68</f>
        <v>2.367239666641521E-2</v>
      </c>
      <c r="F9" s="117">
        <f>'4.3.1.5 Atmos deposition'!$P$68</f>
        <v>2.367239666641521E-2</v>
      </c>
      <c r="G9" s="57" t="str">
        <f>'4.3.1.5 Atmos deposition'!$F$68</f>
        <v>t N2O</v>
      </c>
      <c r="H9" s="117">
        <f>'4.3.1.5 Atmos deposition'!$E$73</f>
        <v>6.2731851166000308</v>
      </c>
      <c r="I9" s="117">
        <f>'4.3.1.5 Atmos deposition'!$P$73</f>
        <v>6.2731851166000308</v>
      </c>
      <c r="J9" s="57" t="str">
        <f>'4.3.1.5 Atmos deposition'!$F$73</f>
        <v>t CO2e</v>
      </c>
      <c r="K9" s="24"/>
    </row>
    <row r="10" spans="1:11" ht="20.100000000000001" customHeight="1" x14ac:dyDescent="0.25">
      <c r="A10" s="17"/>
      <c r="C10" s="24"/>
      <c r="D10" s="1" t="s">
        <v>392</v>
      </c>
      <c r="E10" s="117">
        <f>'4.3.1.6-7 Leaching and runoff'!$E$52</f>
        <v>1.2986992503093058E-3</v>
      </c>
      <c r="F10" s="117">
        <f>'4.3.1.6-7 Leaching and runoff'!$P$52</f>
        <v>1.2986992503093058E-3</v>
      </c>
      <c r="G10" s="57" t="str">
        <f>'4.3.1.6-7 Leaching and runoff'!$F$52</f>
        <v>t N2O</v>
      </c>
      <c r="H10" s="117">
        <f>'4.3.1.6-7 Leaching and runoff'!$E$57</f>
        <v>0.34415530133196603</v>
      </c>
      <c r="I10" s="117">
        <f>'4.3.1.6-7 Leaching and runoff'!$P$57</f>
        <v>0.34415530133196603</v>
      </c>
      <c r="J10" s="57" t="str">
        <f>'4.3.1.6-7 Leaching and runoff'!$F$57</f>
        <v>t CO2e</v>
      </c>
      <c r="K10" s="24"/>
    </row>
    <row r="11" spans="1:11" ht="20.100000000000001" customHeight="1" x14ac:dyDescent="0.25">
      <c r="A11" s="19" t="s">
        <v>78</v>
      </c>
      <c r="C11" s="24"/>
      <c r="D11" s="1" t="s">
        <v>359</v>
      </c>
      <c r="E11" s="117">
        <f>'4.3.1.9 Soil direct N2O'!$E$53</f>
        <v>3.7393799183930196E-2</v>
      </c>
      <c r="F11" s="117">
        <f>'4.3.1.9 Soil direct N2O'!$P$53</f>
        <v>3.7393799183930196E-2</v>
      </c>
      <c r="G11" s="57" t="str">
        <f>'4.3.1.9 Soil direct N2O'!$F$53</f>
        <v>t N2O</v>
      </c>
      <c r="H11" s="117">
        <f>'4.3.1.9 Soil direct N2O'!$E$58</f>
        <v>9.9093567837415026</v>
      </c>
      <c r="I11" s="117">
        <f>'4.3.1.9 Soil direct N2O'!$P$58</f>
        <v>9.9093567837415026</v>
      </c>
      <c r="J11" s="57" t="str">
        <f>'4.3.1.9 Soil direct N2O'!$F$58</f>
        <v>t CO2e</v>
      </c>
      <c r="K11" s="24"/>
    </row>
    <row r="12" spans="1:11" ht="20.100000000000001" customHeight="1" x14ac:dyDescent="0.25">
      <c r="A12" s="17" t="str">
        <f>HYPERLINK("#'4.3.1.1-2 Methane'!A1", "4.3.1.1-2 Methane")</f>
        <v>4.3.1.1-2 Methane</v>
      </c>
      <c r="C12" s="24"/>
      <c r="D12" s="1" t="s">
        <v>375</v>
      </c>
      <c r="E12" s="117">
        <f>'4.3.1.10-11 Soil Atmos Dep'!$E$45</f>
        <v>2.3165458594444754E-2</v>
      </c>
      <c r="F12" s="117">
        <f>'4.3.1.10-11 Soil Atmos Dep'!$P$45</f>
        <v>2.3165458594444754E-2</v>
      </c>
      <c r="G12" s="57" t="str">
        <f>'4.3.1.10-11 Soil Atmos Dep'!$F$45</f>
        <v>t N2O</v>
      </c>
      <c r="H12" s="117">
        <f>'4.3.1.10-11 Soil Atmos Dep'!$E$50</f>
        <v>6.1388465275278596</v>
      </c>
      <c r="I12" s="117">
        <f>'4.3.1.10-11 Soil Atmos Dep'!$P$50</f>
        <v>6.1388465275278596</v>
      </c>
      <c r="J12" s="57" t="str">
        <f>'4.3.1.10-11 Soil Atmos Dep'!$F$50</f>
        <v>t CO2e</v>
      </c>
      <c r="K12" s="24"/>
    </row>
    <row r="13" spans="1:11" ht="20.100000000000001" customHeight="1" x14ac:dyDescent="0.25">
      <c r="A13" s="17" t="str">
        <f>HYPERLINK("#'4.3.1.3-4 Direct N20'!A1", "4.3.1.3-4 Direct N2O")</f>
        <v>4.3.1.3-4 Direct N2O</v>
      </c>
      <c r="C13" s="24"/>
      <c r="D13" s="1" t="s">
        <v>376</v>
      </c>
      <c r="E13" s="117">
        <f>'4.3.1.12-13 Soil leach runoff'!$E$47</f>
        <v>4.113317910232321E-3</v>
      </c>
      <c r="F13" s="117">
        <f>'4.3.1.12-13 Soil leach runoff'!$P$47</f>
        <v>4.113317910232321E-3</v>
      </c>
      <c r="G13" s="57" t="str">
        <f>'4.3.1.12-13 Soil leach runoff'!$F$47</f>
        <v>t N2O</v>
      </c>
      <c r="H13" s="117">
        <f>'4.3.1.12-13 Soil leach runoff'!$E$52</f>
        <v>1.0900292462115651</v>
      </c>
      <c r="I13" s="117">
        <f>'4.3.1.12-13 Soil leach runoff'!$P$52</f>
        <v>1.0900292462115651</v>
      </c>
      <c r="J13" s="57" t="str">
        <f>'4.3.1.12-13 Soil leach runoff'!$F$52</f>
        <v>t CO2e</v>
      </c>
      <c r="K13" s="24"/>
    </row>
    <row r="14" spans="1:11" ht="20.100000000000001" customHeight="1" x14ac:dyDescent="0.3">
      <c r="A14" s="17" t="str">
        <f>HYPERLINK("#'4.3.1.5 Atmos Deposition'!A1", "4.3.1.5 Atmospheric deposition")</f>
        <v>4.3.1.5 Atmospheric deposition</v>
      </c>
      <c r="C14" s="24"/>
      <c r="D14" s="31" t="s">
        <v>157</v>
      </c>
      <c r="E14" s="25"/>
      <c r="F14" s="25"/>
      <c r="G14" s="31"/>
      <c r="H14" s="119">
        <f>SUM(H7:H13)</f>
        <v>280.83631467462055</v>
      </c>
      <c r="I14" s="119">
        <f>SUM(I7:I13)</f>
        <v>288.53548758542445</v>
      </c>
      <c r="J14" s="112" t="s">
        <v>357</v>
      </c>
      <c r="K14" s="24"/>
    </row>
    <row r="15" spans="1:11" ht="20.100000000000001" customHeight="1" x14ac:dyDescent="0.25">
      <c r="A15" s="17" t="str">
        <f>HYPERLINK("#'4.3.1.6-7 Leaching and runoff'!A1", "4.3.1.6-7 Leaching and runoff")</f>
        <v>4.3.1.6-7 Leaching and runoff</v>
      </c>
      <c r="C15" s="24"/>
      <c r="D15" s="1"/>
      <c r="E15" s="1"/>
      <c r="F15" s="1"/>
      <c r="G15" s="26"/>
      <c r="H15" s="24"/>
      <c r="I15" s="1"/>
      <c r="J15" s="1"/>
      <c r="K15" s="24"/>
    </row>
    <row r="16" spans="1:11" ht="20.100000000000001" customHeight="1" x14ac:dyDescent="0.25">
      <c r="A16" s="17" t="str">
        <f>HYPERLINK("#'4.3.1.8 Manure applied to soils'!A1", "4.3.1.8 Manure applied to soils")</f>
        <v>4.3.1.8 Manure applied to soils</v>
      </c>
      <c r="C16" s="24"/>
      <c r="D16" s="51" t="s">
        <v>345</v>
      </c>
      <c r="E16" s="1"/>
      <c r="F16" s="1"/>
      <c r="G16" s="1"/>
      <c r="H16" s="26"/>
      <c r="I16" s="1"/>
      <c r="J16" s="1"/>
      <c r="K16" s="24"/>
    </row>
    <row r="17" spans="1:11" ht="20.100000000000001" customHeight="1" x14ac:dyDescent="0.25">
      <c r="A17" s="17" t="str">
        <f>HYPERLINK("#'4.3.1.9 Soil direct N2O'!A1", "4.3.1.9 Soil direct N2O")</f>
        <v>4.3.1.9 Soil direct N2O</v>
      </c>
      <c r="C17" s="24"/>
      <c r="D17" s="113" t="s">
        <v>165</v>
      </c>
      <c r="E17" s="1"/>
      <c r="F17" s="1"/>
      <c r="G17" s="1"/>
      <c r="H17" s="1"/>
      <c r="I17" s="1"/>
      <c r="J17" s="1"/>
      <c r="K17" s="24"/>
    </row>
    <row r="18" spans="1:11" ht="20.100000000000001" customHeight="1" x14ac:dyDescent="0.25">
      <c r="A18" s="17" t="str">
        <f>HYPERLINK("#'4.3.1.10-11 Soil Atmos Dep'!A1", "4.3.1.10-11 Soil atm. deposition")</f>
        <v>4.3.1.10-11 Soil atm. deposition</v>
      </c>
      <c r="C18" s="24"/>
      <c r="D18" s="120" t="s">
        <v>171</v>
      </c>
      <c r="E18" s="1"/>
      <c r="F18" s="1"/>
      <c r="G18" s="1"/>
      <c r="H18" s="1"/>
      <c r="I18" s="1"/>
      <c r="J18" s="1"/>
      <c r="K18" s="24"/>
    </row>
    <row r="19" spans="1:11" ht="20.100000000000001" customHeight="1" x14ac:dyDescent="0.25">
      <c r="A19" s="17" t="str">
        <f>HYPERLINK("#'4.3.1.12-13 Soil leach runoff'!A1", "4.3.1.12-13 Soil leach &amp; runoff")</f>
        <v>4.3.1.12-13 Soil leach &amp; runoff</v>
      </c>
      <c r="C19" s="24"/>
      <c r="D19" s="122" t="s">
        <v>166</v>
      </c>
      <c r="E19" s="122" t="s">
        <v>163</v>
      </c>
      <c r="F19" s="122" t="s">
        <v>164</v>
      </c>
      <c r="G19" s="122" t="s">
        <v>158</v>
      </c>
      <c r="H19" s="122" t="s">
        <v>170</v>
      </c>
      <c r="I19" s="1"/>
      <c r="J19" s="1"/>
      <c r="K19" s="24"/>
    </row>
    <row r="20" spans="1:11" ht="20.100000000000001" customHeight="1" x14ac:dyDescent="0.25">
      <c r="A20" s="17"/>
      <c r="C20" s="24"/>
      <c r="D20" s="1" t="s">
        <v>401</v>
      </c>
      <c r="E20" s="121">
        <f>'4.3.1.8 Manure applied to soils'!$E$85</f>
        <v>5801.8088436718181</v>
      </c>
      <c r="F20" s="57" t="s">
        <v>133</v>
      </c>
      <c r="G20" s="1" t="s">
        <v>395</v>
      </c>
      <c r="H20" s="1" t="s">
        <v>169</v>
      </c>
      <c r="I20" s="1"/>
      <c r="J20" s="1"/>
      <c r="K20" s="24"/>
    </row>
    <row r="21" spans="1:11" ht="20.100000000000001" customHeight="1" x14ac:dyDescent="0.25">
      <c r="A21" s="18" t="s">
        <v>4</v>
      </c>
      <c r="C21" s="24"/>
      <c r="D21" s="1" t="s">
        <v>167</v>
      </c>
      <c r="E21" s="121">
        <f>'4.3.1.8 Manure applied to soils'!$E$148</f>
        <v>1933.9362812239392</v>
      </c>
      <c r="F21" s="57" t="s">
        <v>133</v>
      </c>
      <c r="G21" s="1" t="s">
        <v>395</v>
      </c>
      <c r="H21" s="1" t="s">
        <v>169</v>
      </c>
      <c r="I21" s="24"/>
      <c r="J21" s="1"/>
      <c r="K21" s="24"/>
    </row>
    <row r="22" spans="1:11" ht="20.100000000000001" customHeight="1" x14ac:dyDescent="0.25">
      <c r="A22" s="17" t="str">
        <f>HYPERLINK("#'Constants - Dairy'!A1", "Constants - Dairy")</f>
        <v>Constants - Dairy</v>
      </c>
      <c r="C22" s="24"/>
      <c r="D22" s="1" t="s">
        <v>161</v>
      </c>
      <c r="E22" s="121">
        <f>'4.3.1.8 Manure applied to soils'!$E$115</f>
        <v>1933.9362812239392</v>
      </c>
      <c r="F22" s="57" t="s">
        <v>133</v>
      </c>
      <c r="G22" s="1" t="s">
        <v>162</v>
      </c>
      <c r="H22" s="1" t="s">
        <v>168</v>
      </c>
      <c r="I22" s="24"/>
      <c r="J22" s="24"/>
      <c r="K22" s="24"/>
    </row>
    <row r="23" spans="1:11" ht="20.100000000000001" customHeight="1" x14ac:dyDescent="0.25">
      <c r="A23" s="17" t="str">
        <f>HYPERLINK("#'Constants - Livestock'!A1", "Constants - Livestock")</f>
        <v>Constants - Livestock</v>
      </c>
      <c r="C23" s="24"/>
      <c r="D23" s="1"/>
      <c r="E23" s="1"/>
      <c r="F23" s="1"/>
      <c r="G23" s="1"/>
      <c r="H23" s="1"/>
      <c r="I23" s="24"/>
      <c r="J23" s="24"/>
      <c r="K23" s="24"/>
    </row>
    <row r="24" spans="1:11" ht="20.100000000000001" customHeight="1" x14ac:dyDescent="0.25">
      <c r="A24" s="17" t="str">
        <f>HYPERLINK("#'Constants - Common'!A1", "Constants - Common")</f>
        <v>Constants - Common</v>
      </c>
      <c r="C24" s="24"/>
      <c r="D24" s="1"/>
      <c r="E24" s="1"/>
      <c r="F24" s="1"/>
      <c r="G24" s="1"/>
      <c r="H24" s="26"/>
      <c r="I24" s="24"/>
      <c r="J24" s="24"/>
      <c r="K24" s="24"/>
    </row>
    <row r="25" spans="1:11" ht="20.100000000000001" customHeight="1" x14ac:dyDescent="0.3">
      <c r="A25" s="17" t="str">
        <f>HYPERLINK("#'Acknowledgements'!A1", "Acknowledgements")</f>
        <v>Acknowledgements</v>
      </c>
      <c r="C25" s="24"/>
      <c r="D25" s="1"/>
      <c r="E25" s="1"/>
      <c r="F25" s="1"/>
      <c r="G25" s="1"/>
      <c r="H25" s="29"/>
      <c r="I25" s="24"/>
      <c r="J25" s="24"/>
      <c r="K25" s="24"/>
    </row>
    <row r="26" spans="1:11" ht="20.100000000000001" customHeight="1" x14ac:dyDescent="0.25">
      <c r="C26" s="24"/>
      <c r="D26" s="1"/>
      <c r="E26" s="1"/>
      <c r="F26" s="1"/>
      <c r="G26" s="1"/>
      <c r="H26" s="1"/>
      <c r="I26" s="1"/>
      <c r="J26" s="1"/>
      <c r="K26" s="24"/>
    </row>
    <row r="27" spans="1:11" ht="20.100000000000001" customHeight="1" x14ac:dyDescent="0.25">
      <c r="C27" s="24"/>
      <c r="D27" s="1"/>
      <c r="E27" s="1"/>
      <c r="F27" s="1"/>
      <c r="G27" s="1"/>
      <c r="H27" s="1"/>
      <c r="I27" s="1"/>
      <c r="J27" s="24"/>
      <c r="K27" s="24"/>
    </row>
    <row r="28" spans="1:11" ht="20.100000000000001" customHeight="1" x14ac:dyDescent="0.25">
      <c r="C28" s="24"/>
      <c r="D28" s="1"/>
      <c r="E28" s="1"/>
      <c r="F28" s="1"/>
      <c r="G28" s="1"/>
      <c r="H28" s="1"/>
      <c r="I28" s="1"/>
      <c r="J28" s="24"/>
      <c r="K28" s="24"/>
    </row>
    <row r="29" spans="1:11" ht="20.100000000000001" customHeight="1" x14ac:dyDescent="0.25">
      <c r="C29" s="24"/>
      <c r="D29" s="1"/>
      <c r="E29" s="1"/>
      <c r="F29" s="1"/>
      <c r="G29" s="1"/>
      <c r="H29" s="1"/>
      <c r="I29" s="1"/>
      <c r="J29" s="24"/>
      <c r="K29" s="24"/>
    </row>
    <row r="30" spans="1:11" ht="20.100000000000001" customHeight="1" x14ac:dyDescent="0.25">
      <c r="C30" s="24"/>
      <c r="D30" s="1"/>
      <c r="E30" s="1"/>
      <c r="F30" s="1"/>
      <c r="G30" s="1"/>
      <c r="H30" s="1"/>
      <c r="I30" s="1"/>
      <c r="J30" s="24"/>
      <c r="K30" s="24"/>
    </row>
    <row r="31" spans="1:11" ht="20.100000000000001" customHeight="1" x14ac:dyDescent="0.25">
      <c r="C31" s="24"/>
      <c r="D31" s="1"/>
      <c r="E31" s="1"/>
      <c r="F31" s="1"/>
      <c r="G31" s="1"/>
      <c r="H31" s="1"/>
      <c r="I31" s="1"/>
      <c r="J31" s="24"/>
      <c r="K31" s="24"/>
    </row>
    <row r="32" spans="1:11" ht="20.100000000000001" customHeight="1" x14ac:dyDescent="0.25">
      <c r="C32" s="24"/>
      <c r="D32" s="1"/>
      <c r="E32" s="1"/>
      <c r="F32" s="1"/>
      <c r="G32" s="1"/>
      <c r="H32" s="1"/>
      <c r="I32" s="1"/>
      <c r="J32" s="24"/>
      <c r="K32" s="24"/>
    </row>
    <row r="33" spans="3:11" ht="20.100000000000001" customHeight="1" x14ac:dyDescent="0.25">
      <c r="C33" s="24"/>
      <c r="D33" s="1"/>
      <c r="E33" s="1"/>
      <c r="F33" s="1"/>
      <c r="G33" s="1"/>
      <c r="H33" s="1"/>
      <c r="I33" s="1"/>
      <c r="J33" s="24"/>
      <c r="K33" s="24"/>
    </row>
    <row r="34" spans="3:11" ht="20.100000000000001" customHeight="1" x14ac:dyDescent="0.25">
      <c r="C34" s="24"/>
      <c r="D34" s="1"/>
      <c r="E34" s="1"/>
      <c r="F34" s="1"/>
      <c r="G34" s="1"/>
      <c r="H34" s="1"/>
      <c r="I34" s="24"/>
      <c r="J34" s="24"/>
      <c r="K34" s="24"/>
    </row>
    <row r="35" spans="3:11" ht="20.100000000000001" customHeight="1" x14ac:dyDescent="0.25">
      <c r="C35" s="24"/>
      <c r="D35" s="1"/>
      <c r="E35" s="1"/>
      <c r="F35" s="1"/>
      <c r="G35" s="1"/>
      <c r="H35" s="1"/>
      <c r="I35" s="24"/>
      <c r="J35" s="24"/>
      <c r="K35" s="24"/>
    </row>
    <row r="36" spans="3:11" ht="20.100000000000001" customHeight="1" x14ac:dyDescent="0.25">
      <c r="C36" s="24"/>
      <c r="D36" s="1"/>
      <c r="E36" s="1"/>
      <c r="F36" s="1"/>
      <c r="G36" s="1"/>
      <c r="H36" s="1"/>
      <c r="I36" s="24"/>
      <c r="J36" s="24"/>
      <c r="K36" s="24"/>
    </row>
    <row r="37" spans="3:11" ht="20.100000000000001" customHeight="1" x14ac:dyDescent="0.25">
      <c r="C37" s="24"/>
      <c r="D37" s="1"/>
      <c r="E37" s="1"/>
      <c r="F37" s="1"/>
      <c r="G37" s="1"/>
      <c r="H37" s="1"/>
      <c r="I37" s="24"/>
      <c r="J37" s="24"/>
      <c r="K37" s="24"/>
    </row>
    <row r="38" spans="3:11" ht="20.100000000000001" customHeight="1" x14ac:dyDescent="0.25">
      <c r="C38" s="24"/>
      <c r="D38" s="1"/>
      <c r="E38" s="1"/>
      <c r="F38" s="1"/>
      <c r="G38" s="1"/>
      <c r="H38" s="1"/>
      <c r="I38" s="116"/>
      <c r="J38" s="116"/>
      <c r="K38" s="24"/>
    </row>
    <row r="39" spans="3:11" ht="20.100000000000001" customHeight="1" x14ac:dyDescent="0.25">
      <c r="C39" s="24"/>
      <c r="D39" s="1"/>
      <c r="E39" s="1"/>
      <c r="F39" s="1"/>
      <c r="G39" s="1"/>
      <c r="H39" s="1"/>
      <c r="I39" s="116"/>
      <c r="J39" s="116"/>
      <c r="K39" s="24"/>
    </row>
    <row r="40" spans="3:11" ht="20.100000000000001" customHeight="1" x14ac:dyDescent="0.25">
      <c r="C40" s="24"/>
      <c r="D40" s="1"/>
      <c r="E40" s="1"/>
      <c r="F40" s="1"/>
      <c r="G40" s="1"/>
      <c r="H40" s="1"/>
      <c r="I40" s="116"/>
      <c r="J40" s="116"/>
      <c r="K40" s="24"/>
    </row>
    <row r="41" spans="3:11" ht="20.100000000000001" customHeight="1" x14ac:dyDescent="0.25">
      <c r="C41" s="24"/>
      <c r="D41" s="1"/>
      <c r="E41" s="1"/>
      <c r="F41" s="1"/>
      <c r="G41" s="1"/>
      <c r="H41" s="1"/>
      <c r="I41" s="116"/>
      <c r="J41" s="116"/>
      <c r="K41" s="24"/>
    </row>
    <row r="42" spans="3:11" ht="20.100000000000001" customHeight="1" x14ac:dyDescent="0.25">
      <c r="C42" s="24"/>
      <c r="D42" s="1"/>
      <c r="E42" s="1"/>
      <c r="F42" s="1"/>
      <c r="G42" s="1"/>
      <c r="H42" s="1"/>
      <c r="I42" s="116"/>
      <c r="J42" s="116"/>
      <c r="K42" s="24"/>
    </row>
    <row r="43" spans="3:11" ht="20.100000000000001" customHeight="1" x14ac:dyDescent="0.25">
      <c r="C43" s="24"/>
      <c r="D43" s="1"/>
      <c r="E43" s="1"/>
      <c r="F43" s="1"/>
      <c r="G43" s="1"/>
      <c r="H43" s="1"/>
      <c r="I43" s="116"/>
      <c r="J43" s="116"/>
      <c r="K43" s="24"/>
    </row>
    <row r="44" spans="3:11" ht="20.100000000000001" customHeight="1" x14ac:dyDescent="0.25">
      <c r="C44" s="24"/>
      <c r="D44" s="1"/>
      <c r="E44" s="1"/>
      <c r="F44" s="1"/>
      <c r="G44" s="1"/>
      <c r="H44" s="1"/>
      <c r="I44" s="116"/>
      <c r="J44" s="116"/>
      <c r="K44" s="24"/>
    </row>
    <row r="45" spans="3:11" ht="20.100000000000001" customHeight="1" x14ac:dyDescent="0.25">
      <c r="C45" s="24"/>
      <c r="D45" s="1"/>
      <c r="E45" s="1"/>
      <c r="F45" s="1"/>
      <c r="G45" s="1"/>
      <c r="H45" s="1"/>
      <c r="I45" s="116"/>
      <c r="J45" s="116"/>
      <c r="K45" s="24"/>
    </row>
    <row r="46" spans="3:11" ht="20.100000000000001" customHeight="1" x14ac:dyDescent="0.25">
      <c r="C46" s="24"/>
      <c r="D46" s="1"/>
      <c r="E46" s="1"/>
      <c r="F46" s="1"/>
      <c r="G46" s="1"/>
      <c r="H46" s="1"/>
      <c r="I46" s="116"/>
      <c r="J46" s="116"/>
      <c r="K46" s="24"/>
    </row>
    <row r="47" spans="3:11" ht="20.100000000000001" customHeight="1" x14ac:dyDescent="0.25">
      <c r="C47" s="24"/>
      <c r="D47" s="1"/>
      <c r="E47" s="1"/>
      <c r="F47" s="1"/>
      <c r="G47" s="1"/>
      <c r="H47" s="1"/>
      <c r="I47" s="116"/>
      <c r="J47" s="116"/>
      <c r="K47" s="24"/>
    </row>
    <row r="48" spans="3:11" ht="20.100000000000001" customHeight="1" x14ac:dyDescent="0.25">
      <c r="C48" s="24"/>
      <c r="D48" s="1"/>
      <c r="E48" s="1"/>
      <c r="F48" s="1"/>
      <c r="G48" s="1"/>
      <c r="H48" s="1"/>
      <c r="I48" s="116"/>
      <c r="J48" s="116"/>
      <c r="K48" s="24"/>
    </row>
    <row r="49" spans="3:11" ht="20.100000000000001" customHeight="1" x14ac:dyDescent="0.25">
      <c r="C49" s="24"/>
      <c r="D49" s="1"/>
      <c r="E49" s="1"/>
      <c r="F49" s="1"/>
      <c r="G49" s="1"/>
      <c r="H49" s="116"/>
      <c r="I49" s="116"/>
      <c r="J49" s="116"/>
      <c r="K49" s="24"/>
    </row>
    <row r="50" spans="3:11" ht="20.100000000000001" customHeight="1" x14ac:dyDescent="0.25">
      <c r="C50" s="24"/>
      <c r="D50" s="1"/>
      <c r="E50" s="1"/>
      <c r="F50" s="1"/>
      <c r="G50" s="1"/>
      <c r="H50" s="116"/>
      <c r="I50" s="116"/>
      <c r="J50" s="116"/>
      <c r="K50" s="24"/>
    </row>
    <row r="51" spans="3:11" ht="20.100000000000001" customHeight="1" x14ac:dyDescent="0.25">
      <c r="C51" s="24"/>
      <c r="D51" s="1"/>
      <c r="E51" s="1"/>
      <c r="F51" s="1"/>
      <c r="G51" s="1"/>
      <c r="H51" s="116"/>
      <c r="I51" s="116"/>
      <c r="J51" s="116"/>
      <c r="K51" s="24"/>
    </row>
    <row r="52" spans="3:11" ht="20.100000000000001" customHeight="1" x14ac:dyDescent="0.25">
      <c r="C52" s="24"/>
      <c r="D52" s="1"/>
      <c r="E52" s="1"/>
      <c r="F52" s="1"/>
      <c r="G52" s="1"/>
      <c r="H52" s="116"/>
      <c r="I52" s="116"/>
      <c r="J52" s="116"/>
      <c r="K52" s="24"/>
    </row>
    <row r="53" spans="3:11" ht="20.100000000000001" customHeight="1" x14ac:dyDescent="0.25">
      <c r="C53" s="24"/>
      <c r="D53" s="1"/>
      <c r="E53" s="1"/>
      <c r="F53" s="1"/>
      <c r="G53" s="1"/>
      <c r="H53" s="116"/>
      <c r="I53" s="116"/>
      <c r="J53" s="116"/>
      <c r="K53" s="24"/>
    </row>
    <row r="54" spans="3:11" ht="20.100000000000001" customHeight="1" x14ac:dyDescent="0.25">
      <c r="C54" s="24"/>
      <c r="D54" s="1"/>
      <c r="E54" s="1"/>
      <c r="F54" s="1"/>
      <c r="G54" s="1"/>
      <c r="H54" s="24"/>
      <c r="I54" s="24"/>
      <c r="J54" s="24"/>
      <c r="K54" s="24"/>
    </row>
    <row r="55" spans="3:11" ht="20.100000000000001" customHeight="1" x14ac:dyDescent="0.25">
      <c r="C55" s="24"/>
      <c r="D55" s="1"/>
      <c r="E55" s="1"/>
      <c r="F55" s="1"/>
      <c r="G55" s="1"/>
      <c r="H55" s="24"/>
      <c r="I55" s="24"/>
      <c r="J55" s="24"/>
      <c r="K55" s="24"/>
    </row>
    <row r="56" spans="3:11" ht="20.100000000000001" customHeight="1" x14ac:dyDescent="0.25">
      <c r="C56" s="24"/>
      <c r="D56" s="1"/>
      <c r="E56" s="1"/>
      <c r="F56" s="1"/>
      <c r="G56" s="1"/>
      <c r="H56" s="24"/>
      <c r="I56" s="24"/>
      <c r="J56" s="24"/>
      <c r="K56" s="24"/>
    </row>
    <row r="57" spans="3:11" ht="20.100000000000001" customHeight="1" x14ac:dyDescent="0.25">
      <c r="C57" s="24"/>
      <c r="D57" s="1"/>
      <c r="E57" s="1"/>
      <c r="F57" s="1"/>
      <c r="G57" s="1"/>
      <c r="H57" s="24"/>
      <c r="I57" s="24"/>
      <c r="J57" s="24"/>
      <c r="K57" s="24"/>
    </row>
    <row r="58" spans="3:11" ht="20.100000000000001" customHeight="1" x14ac:dyDescent="0.25">
      <c r="C58" s="24"/>
      <c r="D58" s="1"/>
      <c r="E58" s="32"/>
      <c r="F58" s="30"/>
      <c r="G58" s="24"/>
      <c r="H58" s="24"/>
      <c r="I58" s="24"/>
      <c r="J58" s="24"/>
      <c r="K58" s="24"/>
    </row>
    <row r="59" spans="3:11" ht="20.100000000000001" customHeight="1" x14ac:dyDescent="0.25">
      <c r="C59" s="24"/>
      <c r="D59" s="1"/>
      <c r="E59" s="1"/>
      <c r="F59" s="1"/>
      <c r="G59" s="1"/>
      <c r="H59" s="1"/>
      <c r="I59" s="1"/>
      <c r="J59" s="1"/>
      <c r="K59" s="24"/>
    </row>
    <row r="60" spans="3:11" ht="20.100000000000001" customHeight="1" x14ac:dyDescent="0.25">
      <c r="C60" s="24"/>
      <c r="D60" s="1"/>
      <c r="E60" s="1"/>
      <c r="F60" s="1"/>
      <c r="G60" s="1"/>
      <c r="H60" s="1"/>
      <c r="I60" s="1"/>
      <c r="J60" s="1"/>
      <c r="K60" s="24"/>
    </row>
    <row r="61" spans="3:11" ht="20.100000000000001" customHeight="1" x14ac:dyDescent="0.25">
      <c r="C61" s="24"/>
      <c r="D61" s="1"/>
      <c r="E61" s="1"/>
      <c r="F61" s="1"/>
      <c r="G61" s="1"/>
      <c r="H61" s="1"/>
      <c r="I61" s="1"/>
      <c r="J61" s="1"/>
      <c r="K61" s="24"/>
    </row>
    <row r="62" spans="3:11" ht="20.100000000000001" customHeight="1" x14ac:dyDescent="0.25">
      <c r="C62" s="24"/>
      <c r="D62" s="1"/>
      <c r="E62" s="1"/>
      <c r="F62" s="1"/>
      <c r="G62" s="1"/>
      <c r="H62" s="1"/>
      <c r="I62" s="1"/>
      <c r="J62" s="1"/>
      <c r="K62" s="24"/>
    </row>
    <row r="63" spans="3:11" ht="20.100000000000001" customHeight="1" x14ac:dyDescent="0.25">
      <c r="C63" s="24"/>
      <c r="D63" s="1"/>
      <c r="E63" s="1"/>
      <c r="F63" s="1"/>
      <c r="G63" s="1"/>
      <c r="H63" s="1"/>
      <c r="I63" s="1"/>
      <c r="J63" s="1"/>
      <c r="K63" s="24"/>
    </row>
    <row r="64" spans="3:11" ht="20.100000000000001" customHeight="1" x14ac:dyDescent="0.25">
      <c r="C64" s="24"/>
      <c r="D64" s="1"/>
      <c r="E64" s="1"/>
      <c r="F64" s="1"/>
      <c r="G64" s="1"/>
      <c r="H64" s="1"/>
      <c r="I64" s="1"/>
      <c r="J64" s="1"/>
      <c r="K64" s="24"/>
    </row>
    <row r="65" spans="3:11" ht="20.100000000000001" customHeight="1" x14ac:dyDescent="0.25">
      <c r="C65" s="24"/>
      <c r="D65" s="1"/>
      <c r="E65" s="1"/>
      <c r="F65" s="1"/>
      <c r="G65" s="1"/>
      <c r="H65" s="1"/>
      <c r="I65" s="1"/>
      <c r="J65" s="1"/>
      <c r="K65" s="24"/>
    </row>
    <row r="66" spans="3:11" ht="20.100000000000001" customHeight="1" x14ac:dyDescent="0.25">
      <c r="C66" s="24"/>
      <c r="D66" s="1"/>
      <c r="E66" s="1"/>
      <c r="F66" s="1"/>
      <c r="G66" s="1"/>
      <c r="H66" s="1"/>
      <c r="I66" s="1"/>
      <c r="J66" s="1"/>
      <c r="K66" s="24"/>
    </row>
    <row r="67" spans="3:11" ht="20.100000000000001" customHeight="1" x14ac:dyDescent="0.25">
      <c r="C67" s="24"/>
      <c r="D67" s="1"/>
      <c r="E67" s="1"/>
      <c r="F67" s="1"/>
      <c r="G67" s="1"/>
      <c r="H67" s="1"/>
      <c r="I67" s="1"/>
      <c r="J67" s="1"/>
      <c r="K67" s="24"/>
    </row>
    <row r="68" spans="3:11" ht="20.100000000000001" customHeight="1" x14ac:dyDescent="0.25">
      <c r="C68" s="24"/>
      <c r="D68" s="1"/>
      <c r="E68" s="1"/>
      <c r="F68" s="1"/>
      <c r="G68" s="1"/>
      <c r="H68" s="1"/>
      <c r="I68" s="1"/>
      <c r="J68" s="1"/>
      <c r="K68" s="24"/>
    </row>
    <row r="69" spans="3:11" ht="20.100000000000001" customHeight="1" x14ac:dyDescent="0.25">
      <c r="C69" s="24"/>
      <c r="D69" s="1"/>
      <c r="E69" s="1"/>
      <c r="F69" s="1"/>
      <c r="G69" s="1"/>
      <c r="H69" s="1"/>
      <c r="I69" s="1"/>
      <c r="J69" s="1"/>
      <c r="K69" s="24"/>
    </row>
    <row r="70" spans="3:11" ht="20.100000000000001" customHeight="1" x14ac:dyDescent="0.25">
      <c r="C70" s="24"/>
      <c r="D70" s="1"/>
      <c r="E70" s="1"/>
      <c r="F70" s="1"/>
      <c r="G70" s="1"/>
      <c r="H70" s="1"/>
      <c r="I70" s="1"/>
      <c r="J70" s="1"/>
      <c r="K70" s="24"/>
    </row>
    <row r="71" spans="3:11" ht="20.100000000000001" customHeight="1" x14ac:dyDescent="0.25">
      <c r="C71" s="24"/>
      <c r="D71" s="1"/>
      <c r="E71" s="1"/>
      <c r="F71" s="1"/>
      <c r="G71" s="1"/>
      <c r="H71" s="1"/>
      <c r="I71" s="1"/>
      <c r="J71" s="1"/>
      <c r="K71" s="24"/>
    </row>
    <row r="72" spans="3:11" ht="20.100000000000001" customHeight="1" x14ac:dyDescent="0.25">
      <c r="C72" s="24"/>
      <c r="D72" s="1"/>
      <c r="E72" s="1"/>
      <c r="F72" s="1"/>
      <c r="G72" s="1"/>
      <c r="H72" s="1"/>
      <c r="I72" s="1"/>
      <c r="J72" s="1"/>
      <c r="K72" s="24"/>
    </row>
    <row r="73" spans="3:11" ht="20.100000000000001" customHeight="1" x14ac:dyDescent="0.25">
      <c r="C73" s="24"/>
      <c r="D73" s="1"/>
      <c r="E73" s="1"/>
      <c r="F73" s="1"/>
      <c r="G73" s="1"/>
      <c r="H73" s="1"/>
      <c r="I73" s="1"/>
      <c r="J73" s="1"/>
      <c r="K73" s="24"/>
    </row>
    <row r="74" spans="3:11" ht="20.100000000000001" customHeight="1" x14ac:dyDescent="0.25">
      <c r="C74" s="24"/>
      <c r="D74" s="1"/>
      <c r="E74" s="1"/>
      <c r="F74" s="1"/>
      <c r="G74" s="1"/>
      <c r="H74" s="1"/>
      <c r="I74" s="1"/>
      <c r="J74" s="1"/>
      <c r="K74" s="24"/>
    </row>
    <row r="75" spans="3:11" ht="20.100000000000001" customHeight="1" x14ac:dyDescent="0.25">
      <c r="C75" s="24"/>
      <c r="D75" s="1"/>
      <c r="E75" s="1"/>
      <c r="F75" s="1"/>
      <c r="G75" s="1"/>
      <c r="H75" s="1"/>
      <c r="I75" s="1"/>
      <c r="J75" s="1"/>
      <c r="K75" s="24"/>
    </row>
    <row r="76" spans="3:11" ht="15.75" x14ac:dyDescent="0.25">
      <c r="C76" s="24"/>
      <c r="D76" s="1"/>
      <c r="E76" s="1"/>
      <c r="F76" s="1"/>
      <c r="G76" s="1"/>
      <c r="H76" s="1"/>
      <c r="I76" s="1"/>
      <c r="J76" s="1"/>
      <c r="K76" s="24"/>
    </row>
    <row r="77" spans="3:11" ht="15.75" x14ac:dyDescent="0.25">
      <c r="C77" s="24"/>
      <c r="D77" s="1"/>
      <c r="E77" s="1"/>
      <c r="F77" s="1"/>
      <c r="G77" s="1"/>
      <c r="H77" s="1"/>
      <c r="I77" s="1"/>
      <c r="J77" s="1"/>
      <c r="K77" s="24"/>
    </row>
    <row r="78" spans="3:11" ht="15.75" x14ac:dyDescent="0.25">
      <c r="C78" s="24"/>
      <c r="D78" s="1"/>
      <c r="E78" s="1"/>
      <c r="F78" s="1"/>
      <c r="G78" s="1"/>
      <c r="H78" s="1"/>
      <c r="I78" s="1"/>
      <c r="J78" s="1"/>
      <c r="K78" s="24"/>
    </row>
    <row r="79" spans="3:11" ht="15.75" x14ac:dyDescent="0.25">
      <c r="C79" s="24"/>
      <c r="D79" s="1"/>
      <c r="E79" s="1"/>
      <c r="F79" s="1"/>
      <c r="G79" s="1"/>
      <c r="H79" s="1"/>
      <c r="I79" s="1"/>
      <c r="J79" s="1"/>
      <c r="K79" s="24"/>
    </row>
    <row r="80" spans="3:11" ht="15.75" x14ac:dyDescent="0.25">
      <c r="C80" s="24"/>
      <c r="D80" s="1"/>
      <c r="E80" s="1"/>
      <c r="F80" s="1"/>
      <c r="G80" s="1"/>
      <c r="H80" s="1"/>
      <c r="I80" s="1"/>
      <c r="J80" s="1"/>
      <c r="K80" s="24"/>
    </row>
    <row r="81" spans="3:11" ht="15.75" x14ac:dyDescent="0.25">
      <c r="C81" s="24"/>
      <c r="D81" s="1"/>
      <c r="E81" s="1"/>
      <c r="F81" s="1"/>
      <c r="G81" s="1"/>
      <c r="H81" s="1"/>
      <c r="I81" s="1"/>
      <c r="J81" s="1"/>
      <c r="K81" s="24"/>
    </row>
    <row r="82" spans="3:11" ht="15.75" x14ac:dyDescent="0.25">
      <c r="C82" s="24"/>
      <c r="D82" s="1"/>
      <c r="E82" s="1"/>
      <c r="F82" s="1"/>
      <c r="G82" s="1"/>
      <c r="H82" s="1"/>
      <c r="I82" s="1"/>
      <c r="J82" s="1"/>
      <c r="K82" s="24"/>
    </row>
    <row r="83" spans="3:11" ht="15.75" x14ac:dyDescent="0.25">
      <c r="C83" s="24"/>
      <c r="D83" s="1"/>
      <c r="E83" s="1"/>
      <c r="F83" s="1"/>
      <c r="G83" s="1"/>
      <c r="H83" s="1"/>
      <c r="I83" s="1"/>
      <c r="J83" s="1"/>
      <c r="K83" s="24"/>
    </row>
    <row r="84" spans="3:11" ht="15.75" x14ac:dyDescent="0.25">
      <c r="C84" s="24"/>
      <c r="D84" s="1"/>
      <c r="E84" s="1"/>
      <c r="F84" s="1"/>
      <c r="G84" s="1"/>
      <c r="H84" s="1"/>
      <c r="I84" s="1"/>
      <c r="J84" s="1"/>
      <c r="K84" s="24"/>
    </row>
    <row r="85" spans="3:11" ht="15.75" x14ac:dyDescent="0.25">
      <c r="C85" s="24"/>
      <c r="D85" s="1"/>
      <c r="E85" s="1"/>
      <c r="F85" s="1"/>
      <c r="G85" s="1"/>
      <c r="H85" s="1"/>
      <c r="I85" s="1"/>
      <c r="J85" s="1"/>
      <c r="K85" s="24"/>
    </row>
    <row r="86" spans="3:11" x14ac:dyDescent="0.25">
      <c r="C86" s="24"/>
      <c r="D86" s="24"/>
      <c r="E86" s="24"/>
      <c r="F86" s="24"/>
      <c r="G86" s="24"/>
      <c r="H86" s="24"/>
      <c r="I86" s="24"/>
      <c r="J86" s="24"/>
      <c r="K86" s="24"/>
    </row>
    <row r="87" spans="3:11" x14ac:dyDescent="0.25">
      <c r="C87" s="24"/>
      <c r="D87" s="24"/>
      <c r="E87" s="24"/>
      <c r="F87" s="24"/>
      <c r="G87" s="24"/>
      <c r="H87" s="24"/>
      <c r="I87" s="24"/>
      <c r="J87" s="24"/>
      <c r="K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5" sqref="A5"/>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71" t="e" vm="1">
        <v>#VALUE!</v>
      </c>
      <c r="C1" s="12" t="s">
        <v>93</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73"/>
      <c r="D4" s="73"/>
      <c r="E4" s="73"/>
      <c r="F4" s="73"/>
      <c r="G4" s="73"/>
      <c r="H4" s="73"/>
      <c r="I4" s="73"/>
      <c r="J4" s="73"/>
      <c r="K4" s="73"/>
    </row>
    <row r="5" spans="1:24" ht="20.100000000000001" customHeight="1" x14ac:dyDescent="0.25">
      <c r="A5" s="17" t="str">
        <f>HYPERLINK("#'Results'!A1", "Results")</f>
        <v>Results</v>
      </c>
      <c r="D5" s="6" t="s">
        <v>15</v>
      </c>
      <c r="N5" s="43"/>
    </row>
    <row r="6" spans="1:24" ht="20.100000000000001" customHeight="1" x14ac:dyDescent="0.25">
      <c r="D6" s="14"/>
      <c r="N6" s="44"/>
    </row>
    <row r="7" spans="1:24" ht="20.100000000000001" customHeight="1" x14ac:dyDescent="0.25">
      <c r="A7" s="20" t="s">
        <v>3</v>
      </c>
      <c r="D7" s="1" t="s">
        <v>7</v>
      </c>
      <c r="E7" s="35" t="s">
        <v>6</v>
      </c>
      <c r="F7" s="2"/>
    </row>
    <row r="8" spans="1:24" ht="20.100000000000001" customHeight="1" x14ac:dyDescent="0.25">
      <c r="A8" s="21" t="str">
        <f>HYPERLINK("#'Input - Site'!A1", "Site")</f>
        <v>Site</v>
      </c>
      <c r="D8" s="10" t="s">
        <v>74</v>
      </c>
      <c r="E8" s="35" t="s">
        <v>75</v>
      </c>
    </row>
    <row r="9" spans="1:24" ht="20.100000000000001" customHeight="1" x14ac:dyDescent="0.25">
      <c r="A9" s="17" t="str">
        <f>HYPERLINK("#'Input - Dairy'!A1", "Dairy")</f>
        <v>Dairy</v>
      </c>
      <c r="N9" s="45"/>
    </row>
    <row r="10" spans="1:24" ht="20.100000000000001" customHeight="1" x14ac:dyDescent="0.25">
      <c r="A10" s="17"/>
      <c r="D10" s="98" t="s">
        <v>92</v>
      </c>
      <c r="E10" s="96"/>
      <c r="F10" s="99"/>
      <c r="G10" s="93"/>
      <c r="N10" s="45"/>
    </row>
    <row r="11" spans="1:24" ht="20.100000000000001" customHeight="1" x14ac:dyDescent="0.25">
      <c r="A11" s="19" t="s">
        <v>78</v>
      </c>
      <c r="N11" s="46"/>
    </row>
    <row r="12" spans="1:24" ht="20.100000000000001" customHeight="1" x14ac:dyDescent="0.25">
      <c r="A12" s="17" t="str">
        <f>HYPERLINK("#'4.3.1.1-2 Methane'!A1", "4.3.1.1-2 Methane")</f>
        <v>4.3.1.1-2 Methane</v>
      </c>
      <c r="D12" s="10" t="s">
        <v>98</v>
      </c>
      <c r="E12" s="67">
        <v>45292</v>
      </c>
      <c r="F12" s="2" t="s">
        <v>72</v>
      </c>
    </row>
    <row r="13" spans="1:24" ht="20.100000000000001" customHeight="1" x14ac:dyDescent="0.25">
      <c r="A13" s="17" t="str">
        <f>HYPERLINK("#'4.3.1.3-4 Direct N20'!A1", "4.3.1.3-4 Direct N2O")</f>
        <v>4.3.1.3-4 Direct N2O</v>
      </c>
      <c r="D13" s="10" t="s">
        <v>99</v>
      </c>
      <c r="E13" s="74">
        <f>DATE(YEAR(E12)+1,MONTH(E12),DAY(E12))-1</f>
        <v>45657</v>
      </c>
      <c r="F13" s="2" t="s">
        <v>17</v>
      </c>
      <c r="N13" s="40"/>
      <c r="O13" s="40"/>
    </row>
    <row r="14" spans="1:24" ht="20.100000000000001" customHeight="1" x14ac:dyDescent="0.25">
      <c r="A14" s="17" t="str">
        <f>HYPERLINK("#'4.3.1.5 Atmos Deposition'!A1", "4.3.1.5 Atmospheric deposition")</f>
        <v>4.3.1.5 Atmospheric deposition</v>
      </c>
      <c r="N14" s="40"/>
      <c r="O14" s="40"/>
    </row>
    <row r="15" spans="1:24" ht="20.100000000000001" customHeight="1" x14ac:dyDescent="0.25">
      <c r="A15" s="17" t="str">
        <f>HYPERLINK("#'4.3.1.6-7 Leaching and runoff'!A1", "4.3.1.6-7 Leaching and runoff")</f>
        <v>4.3.1.6-7 Leaching and runoff</v>
      </c>
      <c r="N15" s="40"/>
      <c r="O15" s="40"/>
    </row>
    <row r="16" spans="1:24" ht="20.100000000000001" customHeight="1" x14ac:dyDescent="0.25">
      <c r="A16" s="17" t="str">
        <f>HYPERLINK("#'4.3.1.8 Manure applied to soils'!A1", "4.3.1.8 Manure applied to soils")</f>
        <v>4.3.1.8 Manure applied to soils</v>
      </c>
      <c r="D16" s="6" t="s">
        <v>14</v>
      </c>
      <c r="N16" s="40"/>
      <c r="O16" s="40"/>
    </row>
    <row r="17" spans="1:25" ht="20.100000000000001" customHeight="1" x14ac:dyDescent="0.25">
      <c r="A17" s="17" t="str">
        <f>HYPERLINK("#'4.3.1.9 Soil direct N2O'!A1", "4.3.1.9 Soil direct N2O")</f>
        <v>4.3.1.9 Soil direct N2O</v>
      </c>
    </row>
    <row r="18" spans="1:25" ht="20.100000000000001" customHeight="1" x14ac:dyDescent="0.25">
      <c r="A18" s="17" t="str">
        <f>HYPERLINK("#'4.3.1.10-11 Soil Atmos Dep'!A1", "4.3.1.10-11 Soil atm. deposition")</f>
        <v>4.3.1.10-11 Soil atm. deposition</v>
      </c>
      <c r="D18" s="100" t="s">
        <v>16</v>
      </c>
      <c r="E18" s="95"/>
      <c r="F18" s="95"/>
      <c r="G18" s="91"/>
    </row>
    <row r="19" spans="1:25" ht="20.100000000000001" customHeight="1" x14ac:dyDescent="0.25">
      <c r="A19" s="17" t="str">
        <f>HYPERLINK("#'4.3.1.12-13 Soil leach runoff'!A1", "4.3.1.12-13 Soil leach &amp; runoff")</f>
        <v>4.3.1.12-13 Soil leach &amp; runoff</v>
      </c>
      <c r="D19" s="97" t="s">
        <v>73</v>
      </c>
      <c r="E19" s="94"/>
      <c r="F19" s="94"/>
      <c r="G19" s="92"/>
      <c r="N19" s="43"/>
    </row>
    <row r="20" spans="1:25" ht="20.100000000000001" customHeight="1" x14ac:dyDescent="0.25">
      <c r="A20" s="17"/>
      <c r="D20" s="1"/>
      <c r="E20" s="33"/>
      <c r="F20" s="2"/>
      <c r="N20" s="44"/>
    </row>
    <row r="21" spans="1:25" ht="20.100000000000001" customHeight="1" x14ac:dyDescent="0.25">
      <c r="A21" s="18" t="s">
        <v>4</v>
      </c>
      <c r="D21" s="1" t="s">
        <v>8</v>
      </c>
      <c r="E21" s="42" t="s">
        <v>105</v>
      </c>
      <c r="F21" s="2" t="s">
        <v>11</v>
      </c>
    </row>
    <row r="22" spans="1:25" ht="20.100000000000001" customHeight="1" x14ac:dyDescent="0.25">
      <c r="A22" s="17" t="str">
        <f>HYPERLINK("#'Constants - Dairy'!A1", "Constants - Dairy")</f>
        <v>Constants - Dairy</v>
      </c>
      <c r="D22" s="1" t="s">
        <v>27</v>
      </c>
      <c r="E22" s="42" t="s">
        <v>36</v>
      </c>
      <c r="F22" s="2" t="s">
        <v>11</v>
      </c>
      <c r="G22" s="1"/>
    </row>
    <row r="23" spans="1:25" ht="20.100000000000001" customHeight="1" x14ac:dyDescent="0.25">
      <c r="A23" s="17" t="str">
        <f>HYPERLINK("#'Constants - Livestock'!A1", "Constants - Livestock")</f>
        <v>Constants - Livestock</v>
      </c>
      <c r="D23" s="1" t="s">
        <v>9</v>
      </c>
      <c r="E23" s="42" t="s">
        <v>97</v>
      </c>
      <c r="F23" s="2" t="s">
        <v>11</v>
      </c>
    </row>
    <row r="24" spans="1:25" ht="20.100000000000001" customHeight="1" x14ac:dyDescent="0.25">
      <c r="A24" s="17" t="str">
        <f>HYPERLINK("#'Constants - Common'!A1", "Constants - Common")</f>
        <v>Constants - Common</v>
      </c>
      <c r="D24" s="1" t="s">
        <v>41</v>
      </c>
      <c r="E24" s="35">
        <v>307.7</v>
      </c>
      <c r="F24" s="2" t="s">
        <v>55</v>
      </c>
    </row>
    <row r="25" spans="1:25" ht="20.100000000000001" customHeight="1" x14ac:dyDescent="0.25">
      <c r="A25" s="17" t="str">
        <f>HYPERLINK("#'Acknowledgements'!A1", "Acknowledgements")</f>
        <v>Acknowledgements</v>
      </c>
      <c r="D25" s="1" t="s">
        <v>63</v>
      </c>
      <c r="E25" s="35">
        <v>18</v>
      </c>
      <c r="F25" s="2" t="s">
        <v>12</v>
      </c>
      <c r="N25" s="44"/>
    </row>
    <row r="26" spans="1:25" ht="20.100000000000001" customHeight="1" x14ac:dyDescent="0.25">
      <c r="A26"/>
      <c r="D26" s="1" t="s">
        <v>64</v>
      </c>
      <c r="E26" s="35">
        <v>601</v>
      </c>
      <c r="F26" s="2" t="s">
        <v>13</v>
      </c>
    </row>
    <row r="27" spans="1:25" ht="20.100000000000001" customHeight="1" x14ac:dyDescent="0.25">
      <c r="A27"/>
      <c r="D27" s="10" t="s">
        <v>65</v>
      </c>
      <c r="E27" s="35">
        <v>1326</v>
      </c>
      <c r="F27" s="2" t="s">
        <v>13</v>
      </c>
    </row>
    <row r="28" spans="1:25" ht="20.100000000000001" customHeight="1" x14ac:dyDescent="0.25">
      <c r="A28"/>
      <c r="D28" s="1" t="s">
        <v>66</v>
      </c>
      <c r="E28" s="35">
        <v>7</v>
      </c>
      <c r="F28" s="2" t="s">
        <v>56</v>
      </c>
    </row>
    <row r="29" spans="1:25" ht="20.100000000000001" customHeight="1" x14ac:dyDescent="0.25">
      <c r="A29"/>
      <c r="D29" s="10" t="s">
        <v>62</v>
      </c>
      <c r="E29" s="55">
        <f>E26/E27</f>
        <v>0.45324283559577677</v>
      </c>
      <c r="F29" s="2"/>
    </row>
    <row r="30" spans="1:25" ht="20.100000000000001" customHeight="1" x14ac:dyDescent="0.25">
      <c r="A30"/>
      <c r="D30" s="10" t="s">
        <v>37</v>
      </c>
      <c r="E30" s="55" t="str">
        <f>Common_InputFunctions.Utility_LookupItemFromMinMax(E26,Table_SourceData_RainfallZones[Min rainfall],Table_SourceData_RainfallZones[Max rainfall],Table_SourceData_RainfallZones[Rainfall Zone])</f>
        <v>High rainfall</v>
      </c>
      <c r="G30" s="34"/>
      <c r="L30" s="52"/>
      <c r="M30" s="52"/>
      <c r="N30" s="52"/>
      <c r="O30" s="52"/>
      <c r="P30" s="52"/>
      <c r="Q30" s="52"/>
      <c r="R30" s="52"/>
      <c r="S30" s="52"/>
      <c r="T30" s="52"/>
      <c r="U30" s="52"/>
      <c r="V30" s="52"/>
      <c r="W30" s="52"/>
      <c r="X30" s="52"/>
      <c r="Y30" s="52"/>
    </row>
    <row r="31" spans="1:25" ht="20.100000000000001" customHeight="1" x14ac:dyDescent="0.25">
      <c r="A31"/>
      <c r="D31" s="1" t="s">
        <v>10</v>
      </c>
      <c r="E31" s="55"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50"/>
      <c r="M31" s="50"/>
      <c r="N31" s="50"/>
      <c r="O31" s="50"/>
      <c r="P31" s="50"/>
      <c r="Q31" s="50"/>
      <c r="R31" s="50"/>
      <c r="S31" s="50"/>
      <c r="T31" s="50"/>
      <c r="U31" s="50"/>
      <c r="V31" s="50"/>
      <c r="W31" s="50"/>
      <c r="X31" s="50"/>
      <c r="Y31" s="50"/>
    </row>
    <row r="32" spans="1:25" ht="20.100000000000001" customHeight="1" x14ac:dyDescent="0.25">
      <c r="A32"/>
      <c r="D32" s="1" t="s">
        <v>94</v>
      </c>
      <c r="E32" s="55" t="str">
        <f>Common_InputFunctions.Utility_LookupValueInTable($E$31,Table_SourceData_WetDryZones[Climate zone],Table_SourceData_WetDryZones[Wet or Dry Zone])</f>
        <v>Dry climate zone</v>
      </c>
      <c r="F32" s="1"/>
      <c r="G32" s="33"/>
      <c r="L32" s="50"/>
      <c r="M32" s="50"/>
      <c r="N32" s="50"/>
      <c r="O32" s="50"/>
      <c r="P32" s="50"/>
      <c r="Q32" s="50"/>
      <c r="R32" s="50"/>
      <c r="S32" s="50"/>
      <c r="T32" s="50"/>
      <c r="U32" s="50"/>
      <c r="V32" s="50"/>
      <c r="W32" s="50"/>
      <c r="X32" s="50"/>
      <c r="Y32" s="50"/>
    </row>
    <row r="33" spans="1:25" ht="20.100000000000001" customHeight="1" x14ac:dyDescent="0.25">
      <c r="A33"/>
      <c r="D33" s="1" t="s">
        <v>54</v>
      </c>
      <c r="E33" s="55" t="str">
        <f>Common_InputFunctions.Utility_LookupItemFromMinMax(E25,Table_SourceData_TemperatureZones[Min MAT],Table_SourceData_TemperatureZones[Max MAT],Table_SourceData_TemperatureZones[Temperature Zone])</f>
        <v>Temperate</v>
      </c>
      <c r="G33" s="75"/>
      <c r="L33" s="50"/>
      <c r="M33" s="50"/>
      <c r="N33" s="50"/>
      <c r="O33" s="50"/>
      <c r="P33" s="50"/>
      <c r="Q33" s="50"/>
      <c r="R33" s="50"/>
      <c r="S33" s="50"/>
      <c r="T33" s="50"/>
      <c r="U33" s="50"/>
      <c r="V33" s="50"/>
      <c r="W33" s="50"/>
      <c r="X33" s="50"/>
      <c r="Y33" s="50"/>
    </row>
    <row r="34" spans="1:25" ht="20.100000000000001" customHeight="1" x14ac:dyDescent="0.25">
      <c r="A34"/>
      <c r="J34" s="64"/>
      <c r="K34" s="78"/>
      <c r="L34" s="50"/>
      <c r="M34" s="50"/>
      <c r="N34" s="50"/>
      <c r="O34" s="50"/>
      <c r="P34" s="50"/>
      <c r="Q34" s="50"/>
      <c r="R34" s="50"/>
      <c r="S34" s="50"/>
      <c r="T34" s="50"/>
      <c r="U34" s="50"/>
      <c r="V34" s="50"/>
      <c r="W34" s="50"/>
      <c r="X34" s="50"/>
      <c r="Y34" s="50"/>
    </row>
    <row r="35" spans="1:25" ht="20.100000000000001" customHeight="1" x14ac:dyDescent="0.25">
      <c r="A35"/>
      <c r="J35" s="64"/>
      <c r="K35" s="78"/>
      <c r="L35" s="50"/>
      <c r="M35" s="50"/>
      <c r="N35" s="50"/>
      <c r="O35" s="50"/>
      <c r="P35" s="50"/>
      <c r="Q35" s="50"/>
      <c r="R35" s="50"/>
      <c r="S35" s="50"/>
      <c r="T35" s="50"/>
      <c r="U35" s="50"/>
      <c r="V35" s="50"/>
      <c r="W35" s="50"/>
      <c r="X35" s="50"/>
      <c r="Y35" s="50"/>
    </row>
    <row r="36" spans="1:25" ht="20.100000000000001" customHeight="1" x14ac:dyDescent="0.25">
      <c r="A36"/>
      <c r="D36" s="76"/>
      <c r="E36" s="76"/>
      <c r="F36" s="77"/>
      <c r="G36" s="64"/>
      <c r="H36" s="64"/>
      <c r="I36" s="65"/>
      <c r="J36" s="64"/>
      <c r="K36" s="78"/>
      <c r="L36" s="50"/>
      <c r="M36" s="50"/>
      <c r="N36" s="50"/>
      <c r="O36" s="50"/>
      <c r="P36" s="50"/>
      <c r="Q36" s="50"/>
      <c r="R36" s="50"/>
      <c r="S36" s="50"/>
      <c r="T36" s="50"/>
      <c r="U36" s="50"/>
      <c r="V36" s="50"/>
      <c r="W36" s="50"/>
      <c r="X36" s="50"/>
      <c r="Y36" s="50"/>
    </row>
    <row r="37" spans="1:25" ht="20.100000000000001" customHeight="1" x14ac:dyDescent="0.25">
      <c r="A37"/>
      <c r="D37" s="76"/>
      <c r="E37" s="76"/>
      <c r="F37" s="77"/>
      <c r="G37" s="64"/>
      <c r="H37" s="64"/>
      <c r="I37" s="65"/>
      <c r="J37" s="64"/>
      <c r="K37" s="78"/>
      <c r="L37" s="50"/>
      <c r="M37" s="50"/>
      <c r="N37" s="50"/>
      <c r="O37" s="50"/>
      <c r="P37" s="50"/>
      <c r="Q37" s="50"/>
      <c r="R37" s="50"/>
      <c r="S37" s="50"/>
      <c r="T37" s="50"/>
      <c r="U37" s="50"/>
      <c r="V37" s="50"/>
      <c r="W37" s="50"/>
      <c r="X37" s="50"/>
      <c r="Y37" s="50"/>
    </row>
    <row r="38" spans="1:25" ht="20.100000000000001" customHeight="1" x14ac:dyDescent="0.25">
      <c r="A38"/>
      <c r="D38" s="76"/>
      <c r="E38" s="76"/>
      <c r="F38" s="77"/>
      <c r="G38" s="64"/>
      <c r="H38" s="64"/>
      <c r="I38" s="65"/>
      <c r="J38" s="64"/>
      <c r="K38" s="78"/>
      <c r="L38" s="50"/>
      <c r="M38" s="50"/>
      <c r="N38" s="50"/>
      <c r="O38" s="50"/>
      <c r="P38" s="50"/>
      <c r="Q38" s="50"/>
      <c r="R38" s="50"/>
      <c r="S38" s="50"/>
      <c r="T38" s="50"/>
      <c r="U38" s="50"/>
      <c r="V38" s="50"/>
      <c r="W38" s="50"/>
      <c r="X38" s="50"/>
      <c r="Y38" s="50"/>
    </row>
    <row r="39" spans="1:25" ht="20.100000000000001" customHeight="1" x14ac:dyDescent="0.25">
      <c r="A39"/>
      <c r="D39" s="76"/>
      <c r="E39" s="76"/>
      <c r="F39" s="77"/>
      <c r="G39" s="64"/>
      <c r="H39" s="64"/>
      <c r="I39" s="65"/>
      <c r="J39" s="64"/>
      <c r="K39" s="78"/>
      <c r="L39" s="50"/>
      <c r="M39" s="50"/>
      <c r="N39" s="50"/>
      <c r="O39" s="50"/>
      <c r="P39" s="50"/>
      <c r="Q39" s="50"/>
      <c r="R39" s="50"/>
      <c r="S39" s="50"/>
      <c r="T39" s="50"/>
      <c r="U39" s="50"/>
      <c r="V39" s="50"/>
      <c r="W39" s="50"/>
      <c r="X39" s="50"/>
      <c r="Y39" s="50"/>
    </row>
    <row r="40" spans="1:25" ht="20.100000000000001" customHeight="1" x14ac:dyDescent="0.25">
      <c r="A40"/>
      <c r="D40" s="79"/>
      <c r="E40" s="79"/>
      <c r="F40" s="79"/>
      <c r="G40" s="80"/>
      <c r="H40" s="81"/>
      <c r="I40" s="81"/>
      <c r="J40" s="81"/>
      <c r="K40" s="81"/>
      <c r="L40" s="53"/>
      <c r="M40" s="53"/>
      <c r="N40" s="53"/>
      <c r="O40" s="53"/>
      <c r="P40" s="53"/>
      <c r="Q40" s="53"/>
      <c r="R40" s="53"/>
      <c r="S40" s="53"/>
      <c r="T40" s="53"/>
      <c r="U40" s="53"/>
      <c r="V40" s="53"/>
      <c r="W40" s="53"/>
      <c r="X40" s="53"/>
      <c r="Y40" s="5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2"/>
      <c r="E47" s="82"/>
      <c r="F47" s="82"/>
      <c r="G47" s="82"/>
      <c r="H47" s="82"/>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3"/>
      <c r="E51" s="84"/>
      <c r="F51" s="84"/>
      <c r="G51" s="84"/>
      <c r="H51" s="85"/>
    </row>
    <row r="52" spans="4:8" ht="20.100000000000001" customHeight="1" x14ac:dyDescent="0.25"/>
    <row r="53" spans="4:8" ht="20.100000000000001" customHeight="1" x14ac:dyDescent="0.25"/>
    <row r="54" spans="4:8" ht="20.100000000000001" customHeight="1" x14ac:dyDescent="0.25">
      <c r="G54" s="86"/>
    </row>
    <row r="55" spans="4:8" ht="20.100000000000001" customHeight="1" x14ac:dyDescent="0.25">
      <c r="D55" s="6"/>
    </row>
    <row r="56" spans="4:8" ht="20.100000000000001" customHeight="1" x14ac:dyDescent="0.25"/>
    <row r="57" spans="4:8" ht="20.100000000000001" customHeight="1" x14ac:dyDescent="0.25">
      <c r="D57" s="23"/>
      <c r="F57" s="87"/>
    </row>
    <row r="58" spans="4:8" ht="20.100000000000001" customHeight="1" x14ac:dyDescent="0.25">
      <c r="D58" s="1"/>
      <c r="E58" s="88"/>
    </row>
    <row r="59" spans="4:8" ht="20.100000000000001" customHeight="1" x14ac:dyDescent="0.25">
      <c r="D59" s="1"/>
      <c r="E59" s="88"/>
    </row>
    <row r="60" spans="4:8" ht="20.100000000000001" customHeight="1" x14ac:dyDescent="0.25">
      <c r="D60" s="1"/>
      <c r="E60" s="89"/>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8"/>
    </row>
    <row r="65" spans="4:9" ht="20.100000000000001" customHeight="1" x14ac:dyDescent="0.25">
      <c r="D65" s="1"/>
      <c r="E65" s="88"/>
    </row>
    <row r="66" spans="4:9" ht="20.100000000000001" customHeight="1" x14ac:dyDescent="0.25">
      <c r="D66" s="1"/>
      <c r="E66" s="89"/>
    </row>
    <row r="67" spans="4:9" ht="20.100000000000001" customHeight="1" x14ac:dyDescent="0.25"/>
    <row r="68" spans="4:9" ht="20.100000000000001" customHeight="1" x14ac:dyDescent="0.25"/>
    <row r="69" spans="4:9" ht="20.100000000000001" customHeight="1" x14ac:dyDescent="0.25">
      <c r="D69" s="63"/>
      <c r="E69" s="63"/>
      <c r="F69" s="63"/>
      <c r="G69" s="63"/>
      <c r="H69" s="63"/>
      <c r="I69" s="63"/>
    </row>
    <row r="70" spans="4:9" ht="20.100000000000001" customHeight="1" x14ac:dyDescent="0.25">
      <c r="D70" s="63"/>
      <c r="E70" s="63"/>
      <c r="F70" s="63"/>
      <c r="G70" s="63"/>
      <c r="H70" s="63"/>
      <c r="I70" s="63"/>
    </row>
    <row r="71" spans="4:9" ht="20.100000000000001" customHeight="1" x14ac:dyDescent="0.25">
      <c r="D71" s="63"/>
      <c r="E71" s="63"/>
      <c r="F71" s="63"/>
      <c r="G71" s="63"/>
      <c r="H71" s="63"/>
      <c r="I71" s="63"/>
    </row>
    <row r="72" spans="4:9" ht="20.100000000000001" customHeight="1" x14ac:dyDescent="0.25">
      <c r="D72" s="63"/>
      <c r="E72" s="63"/>
      <c r="F72" s="63"/>
      <c r="G72" s="63"/>
      <c r="H72" s="63"/>
      <c r="I72" s="63"/>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90"/>
    </row>
    <row r="79" spans="4:9" ht="20.100000000000001" customHeight="1" x14ac:dyDescent="0.25">
      <c r="D79" s="90"/>
    </row>
    <row r="80" spans="4:9" ht="20.100000000000001" customHeight="1" x14ac:dyDescent="0.25">
      <c r="D80" s="90"/>
    </row>
    <row r="81" spans="4:4" ht="20.100000000000001" customHeight="1" x14ac:dyDescent="0.25">
      <c r="D81" s="90"/>
    </row>
    <row r="82" spans="4:4" ht="20.100000000000001" customHeight="1" x14ac:dyDescent="0.25">
      <c r="D82" s="9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178"/>
  <sheetViews>
    <sheetView showGridLines="0" topLeftCell="A44" workbookViewId="0">
      <selection activeCell="F56" sqref="E55:F56"/>
    </sheetView>
  </sheetViews>
  <sheetFormatPr defaultRowHeight="15.75" x14ac:dyDescent="0.25"/>
  <cols>
    <col min="1" max="1" width="30.7109375" customWidth="1"/>
    <col min="2" max="2" width="4.7109375" customWidth="1"/>
    <col min="3" max="3" width="4.7109375" style="1" customWidth="1"/>
    <col min="4" max="4" width="79" style="1" customWidth="1"/>
    <col min="5" max="9" width="30.7109375" style="1" customWidth="1"/>
    <col min="10" max="10" width="16.42578125" style="1" customWidth="1"/>
    <col min="11" max="13" width="30.7109375" style="1" customWidth="1"/>
    <col min="14" max="14" width="4.7109375" style="1" customWidth="1"/>
    <col min="15" max="16" width="4.7109375" style="59" customWidth="1"/>
    <col min="17" max="22" width="30.7109375" style="59" customWidth="1"/>
    <col min="23" max="23" width="4.7109375" style="59" customWidth="1"/>
  </cols>
  <sheetData>
    <row r="1" spans="1:23" s="71" customFormat="1" ht="30" customHeight="1" x14ac:dyDescent="0.35">
      <c r="A1" s="71" t="e" vm="1">
        <v>#VALUE!</v>
      </c>
      <c r="C1" s="71" t="s">
        <v>196</v>
      </c>
      <c r="O1" s="59"/>
      <c r="P1" s="59"/>
      <c r="Q1" s="59"/>
      <c r="R1" s="59"/>
      <c r="S1" s="59"/>
      <c r="T1" s="59"/>
      <c r="U1" s="59"/>
      <c r="V1" s="59"/>
      <c r="W1" s="59"/>
    </row>
    <row r="2" spans="1:23" s="9" customFormat="1" ht="20.100000000000001" customHeight="1" x14ac:dyDescent="0.25">
      <c r="O2" s="59"/>
      <c r="P2" s="59"/>
      <c r="Q2" s="59"/>
      <c r="R2" s="59"/>
      <c r="S2" s="59"/>
      <c r="T2" s="59"/>
      <c r="U2" s="59"/>
      <c r="V2" s="59"/>
      <c r="W2" s="59"/>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6" t="s">
        <v>106</v>
      </c>
      <c r="N5" s="3"/>
      <c r="R5" s="7"/>
    </row>
    <row r="6" spans="1:23" ht="20.100000000000001" customHeight="1" x14ac:dyDescent="0.25">
      <c r="A6" s="16"/>
      <c r="N6" s="3"/>
      <c r="R6" s="7"/>
    </row>
    <row r="7" spans="1:23" ht="20.100000000000001" customHeight="1" x14ac:dyDescent="0.25">
      <c r="A7" s="20" t="s">
        <v>3</v>
      </c>
      <c r="D7" s="1" t="s">
        <v>174</v>
      </c>
      <c r="E7" s="42" t="s">
        <v>219</v>
      </c>
      <c r="F7" s="2" t="s">
        <v>11</v>
      </c>
      <c r="N7" s="3"/>
      <c r="R7" s="7"/>
    </row>
    <row r="8" spans="1:23" ht="20.100000000000001" customHeight="1" x14ac:dyDescent="0.25">
      <c r="A8" s="17" t="str">
        <f>HYPERLINK("#'Input - Site'!A1", "Site")</f>
        <v>Site</v>
      </c>
      <c r="N8" s="3"/>
      <c r="R8" s="7"/>
    </row>
    <row r="9" spans="1:23" ht="20.100000000000001" customHeight="1" x14ac:dyDescent="0.25">
      <c r="A9" s="21" t="str">
        <f>HYPERLINK("#'Input - Dairy'!A1", "Dairy")</f>
        <v>Dairy</v>
      </c>
      <c r="D9" s="66"/>
      <c r="E9" s="41" t="s">
        <v>175</v>
      </c>
      <c r="F9" s="41" t="s">
        <v>192</v>
      </c>
      <c r="G9" s="41" t="s">
        <v>193</v>
      </c>
      <c r="H9" s="41" t="s">
        <v>194</v>
      </c>
      <c r="I9" s="41" t="s">
        <v>195</v>
      </c>
      <c r="R9" s="7"/>
    </row>
    <row r="10" spans="1:23" ht="20.100000000000001" customHeight="1" x14ac:dyDescent="0.25">
      <c r="A10" s="17"/>
      <c r="D10" s="1" t="str">
        <f>"Average number of head between " &amp; TEXT('Input - Site'!$E$12, "dd mmm yy") &amp; " and " &amp; TEXT('Input - Site'!$E$13, "dd mmm yy")</f>
        <v>Average number of head between 01 Jan 24 and 31 Dec 24</v>
      </c>
      <c r="E10" s="106">
        <v>100</v>
      </c>
      <c r="F10" s="106">
        <v>100</v>
      </c>
      <c r="G10" s="106">
        <v>100</v>
      </c>
      <c r="H10" s="106">
        <v>100</v>
      </c>
      <c r="I10" s="106">
        <v>100</v>
      </c>
      <c r="J10" s="2" t="s">
        <v>108</v>
      </c>
      <c r="K10" s="2"/>
      <c r="L10" s="2"/>
      <c r="M10" s="2"/>
      <c r="R10" s="7"/>
    </row>
    <row r="11" spans="1:23" ht="20.100000000000001" customHeight="1" x14ac:dyDescent="0.25">
      <c r="A11" s="19" t="s">
        <v>78</v>
      </c>
      <c r="R11" s="7"/>
    </row>
    <row r="12" spans="1:23" ht="20.100000000000001" customHeight="1" x14ac:dyDescent="0.25">
      <c r="A12" s="17" t="str">
        <f>HYPERLINK("#'4.3.1.1-2 Methane'!A1", "4.3.1.1-2 Methane")</f>
        <v>4.3.1.1-2 Methane</v>
      </c>
      <c r="D12" s="51" t="s">
        <v>216</v>
      </c>
      <c r="R12" s="7"/>
    </row>
    <row r="13" spans="1:23" ht="20.100000000000001" customHeight="1" x14ac:dyDescent="0.25">
      <c r="A13" s="17" t="str">
        <f>HYPERLINK("#'4.3.1.3-4 Direct N20'!A1", "4.3.1.3-4 Direct N2O")</f>
        <v>4.3.1.3-4 Direct N2O</v>
      </c>
      <c r="D13" s="66" t="s">
        <v>208</v>
      </c>
      <c r="E13" s="41" t="s">
        <v>175</v>
      </c>
      <c r="F13" s="41" t="s">
        <v>192</v>
      </c>
      <c r="G13" s="41" t="s">
        <v>193</v>
      </c>
      <c r="H13" s="41" t="s">
        <v>194</v>
      </c>
      <c r="I13" s="41" t="s">
        <v>195</v>
      </c>
      <c r="R13" s="40"/>
    </row>
    <row r="14" spans="1:23" ht="20.100000000000001" customHeight="1" x14ac:dyDescent="0.25">
      <c r="A14" s="17" t="str">
        <f>HYPERLINK("#'4.3.1.5 Atmos Deposition'!A1", "4.3.1.5 Atmospheric deposition")</f>
        <v>4.3.1.5 Atmospheric deposition</v>
      </c>
      <c r="D14" s="1" t="s">
        <v>217</v>
      </c>
      <c r="E14" s="55" cm="1">
        <f t="array" ref="E14">Common_InputFunctions.Utility_LookupValueInTableNumber($E$7, Table_SourceData_Dairy_WjCowsHeifers[Breed],Table_SourceData_Dairy_WjCowsHeifers[Milking cows])</f>
        <v>550</v>
      </c>
      <c r="F14" s="55" cm="1">
        <f t="array" ref="F14">Common_InputFunctions.Utility_LookupValueInTableNumber($E$7, Table_SourceData_Dairy_WjCowsHeifers[Breed],Table_SourceData_Dairy_WjCowsHeifers[Heifers &gt; 1])</f>
        <v>380</v>
      </c>
      <c r="G14" s="55" cm="1">
        <f t="array" ref="G14">Common_InputFunctions.Utility_LookupValueInTableNumber($E$7, Table_SourceData_Dairy_WjCowsHeifers[Breed],Table_SourceData_Dairy_WjCowsHeifers[Heifers &lt; 1 (weaned)])</f>
        <v>155</v>
      </c>
      <c r="H14" s="55" cm="1">
        <f t="array" ref="H14">Table_SourceData_Dairy_WjBulls[Bulls &gt; 1]</f>
        <v>600</v>
      </c>
      <c r="I14" s="55" cm="1">
        <f t="array" ref="I14">Table_SourceData_Dairy_WjBulls[Bulls &lt; 1 (weaned)]</f>
        <v>225</v>
      </c>
      <c r="J14" s="2" t="s">
        <v>197</v>
      </c>
      <c r="K14" s="2"/>
      <c r="L14" s="2"/>
      <c r="M14" s="2"/>
      <c r="R14" s="40"/>
    </row>
    <row r="15" spans="1:23" ht="20.100000000000001" customHeight="1" x14ac:dyDescent="0.25">
      <c r="A15" s="17" t="str">
        <f>HYPERLINK("#'4.3.1.6-7 Leaching and runoff'!A1", "4.3.1.6-7 Leaching and runoff")</f>
        <v>4.3.1.6-7 Leaching and runoff</v>
      </c>
      <c r="D15" s="1" t="s">
        <v>218</v>
      </c>
      <c r="E15" s="55" cm="1">
        <f t="array" ref="E15">Table_SourceData_Dairy_LWGj[Milking cows]</f>
        <v>1.6E-2</v>
      </c>
      <c r="F15" s="55" cm="1">
        <f t="array" ref="F15">Table_SourceData_Dairy_LWGj[Heifers &gt; 1]</f>
        <v>0.6</v>
      </c>
      <c r="G15" s="55" cm="1">
        <f t="array" ref="G15">Table_SourceData_Dairy_LWGj[Heifers &lt; 1 (weaned)]</f>
        <v>0.56999999999999995</v>
      </c>
      <c r="H15" s="55" cm="1">
        <f t="array" ref="H15">Table_SourceData_Dairy_LWGj[Bulls &gt; 1]</f>
        <v>0.1</v>
      </c>
      <c r="I15" s="55" cm="1">
        <f t="array" ref="I15">Table_SourceData_Dairy_LWGj[Bulls &lt; 1 (weaned)]</f>
        <v>0.8</v>
      </c>
      <c r="J15" s="2" t="s">
        <v>198</v>
      </c>
      <c r="K15" s="2"/>
      <c r="L15" s="2"/>
      <c r="M15" s="2"/>
      <c r="R15" s="40"/>
    </row>
    <row r="16" spans="1:23" ht="20.100000000000001" customHeight="1" x14ac:dyDescent="0.25">
      <c r="A16" s="17" t="str">
        <f>HYPERLINK("#'4.3.1.8 Manure applied to soils'!A1", "4.3.1.8 Manure applied to soils")</f>
        <v>4.3.1.8 Manure applied to soils</v>
      </c>
      <c r="R16" s="40"/>
    </row>
    <row r="17" spans="1:18" ht="20.100000000000001" customHeight="1" x14ac:dyDescent="0.25">
      <c r="A17" s="17" t="str">
        <f>HYPERLINK("#'4.3.1.9 Soil direct N2O'!A1", "4.3.1.9 Soil direct N2O")</f>
        <v>4.3.1.9 Soil direct N2O</v>
      </c>
      <c r="D17" s="66" t="s">
        <v>207</v>
      </c>
      <c r="E17" s="41" t="s">
        <v>175</v>
      </c>
      <c r="F17" s="41" t="s">
        <v>192</v>
      </c>
      <c r="G17" s="41" t="s">
        <v>193</v>
      </c>
      <c r="H17" s="41" t="s">
        <v>194</v>
      </c>
      <c r="I17" s="41" t="s">
        <v>195</v>
      </c>
      <c r="R17" s="7"/>
    </row>
    <row r="18" spans="1:18" ht="20.100000000000001" customHeight="1" x14ac:dyDescent="0.25">
      <c r="A18" s="17" t="str">
        <f>HYPERLINK("#'4.3.1.10-11 Soil Atmos Dep'!A1", "4.3.1.10-11 Soil atm. deposition")</f>
        <v>4.3.1.10-11 Soil atm. deposition</v>
      </c>
      <c r="D18" s="1" t="s">
        <v>217</v>
      </c>
      <c r="E18" s="69" cm="1">
        <f t="array" ref="E18">Common_InputFunctions.Utility_LookupValueInTableNumber($E$7, Table_SourceData_Dairy_WjCowsHeifers[Breed],Table_SourceData_Dairy_WjCowsHeifers[Milking cows])</f>
        <v>550</v>
      </c>
      <c r="F18" s="69" cm="1">
        <f t="array" ref="F18">Common_InputFunctions.Utility_LookupValueInTableNumber($E$7, Table_SourceData_Dairy_WjCowsHeifers[Breed],Table_SourceData_Dairy_WjCowsHeifers[Heifers &gt; 1])</f>
        <v>380</v>
      </c>
      <c r="G18" s="69" cm="1">
        <f t="array" ref="G18">Common_InputFunctions.Utility_LookupValueInTableNumber($E$7, Table_SourceData_Dairy_WjCowsHeifers[Breed],Table_SourceData_Dairy_WjCowsHeifers[Heifers &lt; 1 (weaned)])</f>
        <v>155</v>
      </c>
      <c r="H18" s="69" cm="1">
        <f t="array" ref="H18">Table_SourceData_Dairy_WjBulls[Bulls &gt; 1]</f>
        <v>600</v>
      </c>
      <c r="I18" s="69" cm="1">
        <f t="array" ref="I18">Table_SourceData_Dairy_WjBulls[Bulls &lt; 1 (weaned)]</f>
        <v>225</v>
      </c>
      <c r="J18" s="2" t="s">
        <v>197</v>
      </c>
      <c r="K18" s="2"/>
      <c r="L18" s="2"/>
      <c r="M18" s="2"/>
      <c r="R18" s="7"/>
    </row>
    <row r="19" spans="1:18" ht="20.100000000000001" customHeight="1" x14ac:dyDescent="0.25">
      <c r="A19" s="17" t="str">
        <f>HYPERLINK("#'4.3.1.12-13 Soil leach runoff'!A1", "4.3.1.12-13 Soil leach &amp; runoff")</f>
        <v>4.3.1.12-13 Soil leach &amp; runoff</v>
      </c>
      <c r="D19" s="1" t="s">
        <v>218</v>
      </c>
      <c r="E19" s="69" cm="1">
        <f t="array" ref="E19">Table_SourceData_Dairy_LWGj[Milking cows]</f>
        <v>1.6E-2</v>
      </c>
      <c r="F19" s="69" cm="1">
        <f t="array" ref="F19">Table_SourceData_Dairy_LWGj[Heifers &gt; 1]</f>
        <v>0.6</v>
      </c>
      <c r="G19" s="69" cm="1">
        <f t="array" ref="G19">Table_SourceData_Dairy_LWGj[Heifers &lt; 1 (weaned)]</f>
        <v>0.56999999999999995</v>
      </c>
      <c r="H19" s="69" cm="1">
        <f t="array" ref="H19">Table_SourceData_Dairy_LWGj[Bulls &gt; 1]</f>
        <v>0.1</v>
      </c>
      <c r="I19" s="69" cm="1">
        <f t="array" ref="I19">Table_SourceData_Dairy_LWGj[Bulls &lt; 1 (weaned)]</f>
        <v>0.8</v>
      </c>
      <c r="J19" s="2" t="s">
        <v>198</v>
      </c>
      <c r="K19" s="2"/>
      <c r="L19" s="2"/>
      <c r="M19" s="2"/>
      <c r="R19" s="7"/>
    </row>
    <row r="20" spans="1:18" ht="20.100000000000001" customHeight="1" x14ac:dyDescent="0.25">
      <c r="A20" s="17"/>
      <c r="R20" s="7"/>
    </row>
    <row r="21" spans="1:18" ht="20.100000000000001" customHeight="1" x14ac:dyDescent="0.25">
      <c r="A21" s="18" t="s">
        <v>4</v>
      </c>
      <c r="D21" s="51" t="s">
        <v>107</v>
      </c>
      <c r="R21" s="7"/>
    </row>
    <row r="22" spans="1:18" ht="20.100000000000001" customHeight="1" x14ac:dyDescent="0.25">
      <c r="A22" s="17" t="str">
        <f>HYPERLINK("#'Constants - Dairy'!A1", "Constants - Dairy")</f>
        <v>Constants - Dairy</v>
      </c>
      <c r="R22" s="7"/>
    </row>
    <row r="23" spans="1:18" ht="20.100000000000001" customHeight="1" x14ac:dyDescent="0.25">
      <c r="A23" s="17" t="str">
        <f>HYPERLINK("#'Constants - Livestock'!A1", "Constants - Livestock")</f>
        <v>Constants - Livestock</v>
      </c>
      <c r="D23" s="66" t="s">
        <v>208</v>
      </c>
      <c r="E23" s="41" t="s">
        <v>175</v>
      </c>
      <c r="F23" s="41" t="s">
        <v>192</v>
      </c>
      <c r="G23" s="41" t="s">
        <v>193</v>
      </c>
      <c r="H23" s="41" t="s">
        <v>194</v>
      </c>
      <c r="I23" s="41" t="s">
        <v>195</v>
      </c>
      <c r="R23" s="7"/>
    </row>
    <row r="24" spans="1:18" ht="20.100000000000001" customHeight="1" x14ac:dyDescent="0.25">
      <c r="A24" s="17" t="str">
        <f>HYPERLINK("#'Constants - Common'!A1", "Constants - Common")</f>
        <v>Constants - Common</v>
      </c>
      <c r="D24" s="1" t="str">
        <f>"Average duration of stay between " &amp; TEXT('Input - Site'!$E$12, "dd mmm yy") &amp; " and " &amp; TEXT('Input - Site'!$E$13, "dd mmm yy") &amp; " weaned livestock"</f>
        <v>Average duration of stay between 01 Jan 24 and 31 Dec 24 weaned livestock</v>
      </c>
      <c r="E24" s="55" cm="1">
        <f t="array" ref="E24">Common_InputFunctions.Utility_LookupValueInTableNumber(E23,Table_SourceData_Dairy_Duration[Animal class j],Table_SourceData_Dairy_Duration[Duration (weaned)])</f>
        <v>365</v>
      </c>
      <c r="F24" s="55" cm="1">
        <f t="array" ref="F24">Common_InputFunctions.Utility_LookupValueInTableNumber(F23,Table_SourceData_Dairy_Duration[Animal class j],Table_SourceData_Dairy_Duration[Duration (weaned)])</f>
        <v>365</v>
      </c>
      <c r="G24" s="55" cm="1">
        <f t="array" ref="G24">Common_InputFunctions.Utility_LookupValueInTableNumber(G23,Table_SourceData_Dairy_Duration[Animal class j],Table_SourceData_Dairy_Duration[Duration (weaned)])</f>
        <v>281</v>
      </c>
      <c r="H24" s="55" cm="1">
        <f t="array" ref="H24">Common_InputFunctions.Utility_LookupValueInTableNumber(H23,Table_SourceData_Dairy_Duration[Animal class j],Table_SourceData_Dairy_Duration[Duration (weaned)])</f>
        <v>365</v>
      </c>
      <c r="I24" s="55" cm="1">
        <f t="array" ref="I24">Common_InputFunctions.Utility_LookupValueInTableNumber(I23,Table_SourceData_Dairy_Duration[Animal class j],Table_SourceData_Dairy_Duration[Duration (weaned)])</f>
        <v>281</v>
      </c>
      <c r="J24" s="2" t="s">
        <v>56</v>
      </c>
      <c r="K24" s="2"/>
      <c r="L24" s="2"/>
      <c r="M24" s="2"/>
      <c r="R24" s="7"/>
    </row>
    <row r="25" spans="1:18" ht="20.100000000000001" customHeight="1" x14ac:dyDescent="0.25">
      <c r="A25" s="17" t="str">
        <f>HYPERLINK("#'Acknowledgements'!A1", "Acknowledgements")</f>
        <v>Acknowledgements</v>
      </c>
      <c r="D25" s="1" t="str">
        <f>"Average duration of stay between " &amp; TEXT('Input - Site'!$E$12, "dd mmm yy") &amp; " and " &amp; TEXT('Input - Site'!$E$13, "dd mmm yy") &amp; " pre-weaned livestock"</f>
        <v>Average duration of stay between 01 Jan 24 and 31 Dec 24 pre-weaned livestock</v>
      </c>
      <c r="E25" s="55" cm="1">
        <f t="array" ref="E25">Common_InputFunctions.Utility_LookupValueInTableNumber(E23,Table_SourceData_Dairy_Duration[Animal class j],Table_SourceData_Dairy_Duration[Duration (pre-weaned)])</f>
        <v>0</v>
      </c>
      <c r="F25" s="55" cm="1">
        <f t="array" ref="F25">Common_InputFunctions.Utility_LookupValueInTableNumber(F23,Table_SourceData_Dairy_Duration[Animal class j],Table_SourceData_Dairy_Duration[Duration (pre-weaned)])</f>
        <v>0</v>
      </c>
      <c r="G25" s="55" cm="1">
        <f t="array" ref="G25">Common_InputFunctions.Utility_LookupValueInTableNumber(G23,Table_SourceData_Dairy_Duration[Animal class j],Table_SourceData_Dairy_Duration[Duration (pre-weaned)])</f>
        <v>84</v>
      </c>
      <c r="H25" s="55" cm="1">
        <f t="array" ref="H25">Common_InputFunctions.Utility_LookupValueInTableNumber(H23,Table_SourceData_Dairy_Duration[Animal class j],Table_SourceData_Dairy_Duration[Duration (pre-weaned)])</f>
        <v>0</v>
      </c>
      <c r="I25" s="55" cm="1">
        <f t="array" ref="I25">Common_InputFunctions.Utility_LookupValueInTableNumber(I23,Table_SourceData_Dairy_Duration[Animal class j],Table_SourceData_Dairy_Duration[Duration (pre-weaned)])</f>
        <v>84</v>
      </c>
      <c r="J25" s="2" t="s">
        <v>56</v>
      </c>
      <c r="K25" s="2"/>
      <c r="L25" s="2"/>
      <c r="M25" s="2"/>
      <c r="R25" s="7"/>
    </row>
    <row r="26" spans="1:18" ht="20.100000000000001" customHeight="1" x14ac:dyDescent="0.25">
      <c r="R26" s="7"/>
    </row>
    <row r="27" spans="1:18" ht="20.100000000000001" customHeight="1" x14ac:dyDescent="0.25">
      <c r="D27" s="66" t="s">
        <v>207</v>
      </c>
      <c r="E27" s="41" t="s">
        <v>175</v>
      </c>
      <c r="F27" s="41" t="s">
        <v>192</v>
      </c>
      <c r="G27" s="41" t="s">
        <v>193</v>
      </c>
      <c r="H27" s="41" t="s">
        <v>194</v>
      </c>
      <c r="I27" s="41" t="s">
        <v>195</v>
      </c>
      <c r="R27" s="7"/>
    </row>
    <row r="28" spans="1:18" ht="20.100000000000001" customHeight="1" x14ac:dyDescent="0.25">
      <c r="A28" s="17"/>
      <c r="D28" s="1" t="str">
        <f>"Average duration of stay between " &amp; TEXT('Input - Site'!$E$12, "dd mmm yy") &amp; " and " &amp; TEXT('Input - Site'!$E$13, "dd mmm yy") &amp; " weaned livestock"</f>
        <v>Average duration of stay between 01 Jan 24 and 31 Dec 24 weaned livestock</v>
      </c>
      <c r="E28" s="69" cm="1">
        <f t="array" ref="E28">Common_InputFunctions.Utility_LookupValueInTableNumber(E27,Table_SourceData_Dairy_Duration[Animal class j],Table_SourceData_Dairy_Duration[Duration (weaned)])</f>
        <v>365</v>
      </c>
      <c r="F28" s="69" cm="1">
        <f t="array" ref="F28">Common_InputFunctions.Utility_LookupValueInTableNumber(F27,Table_SourceData_Dairy_Duration[Animal class j],Table_SourceData_Dairy_Duration[Duration (weaned)])</f>
        <v>365</v>
      </c>
      <c r="G28" s="69" cm="1">
        <f t="array" ref="G28">Common_InputFunctions.Utility_LookupValueInTableNumber(G27,Table_SourceData_Dairy_Duration[Animal class j],Table_SourceData_Dairy_Duration[Duration (weaned)])</f>
        <v>281</v>
      </c>
      <c r="H28" s="69" cm="1">
        <f t="array" ref="H28">Common_InputFunctions.Utility_LookupValueInTableNumber(H27,Table_SourceData_Dairy_Duration[Animal class j],Table_SourceData_Dairy_Duration[Duration (weaned)])</f>
        <v>365</v>
      </c>
      <c r="I28" s="69" cm="1">
        <f t="array" ref="I28">Common_InputFunctions.Utility_LookupValueInTableNumber(I27,Table_SourceData_Dairy_Duration[Animal class j],Table_SourceData_Dairy_Duration[Duration (weaned)])</f>
        <v>281</v>
      </c>
      <c r="J28" s="2" t="s">
        <v>56</v>
      </c>
      <c r="K28" s="2"/>
      <c r="L28" s="2"/>
      <c r="M28" s="2"/>
      <c r="R28" s="7"/>
    </row>
    <row r="29" spans="1:18" ht="20.100000000000001" customHeight="1" x14ac:dyDescent="0.25">
      <c r="A29" s="17"/>
      <c r="D29" s="1" t="str">
        <f>"Average duration of stay between " &amp; TEXT('Input - Site'!$E$12, "dd mmm yy") &amp; " and " &amp; TEXT('Input - Site'!$E$13, "dd mmm yy") &amp; " pre-weaned livestock"</f>
        <v>Average duration of stay between 01 Jan 24 and 31 Dec 24 pre-weaned livestock</v>
      </c>
      <c r="E29" s="55">
        <f>365-E28</f>
        <v>0</v>
      </c>
      <c r="F29" s="55">
        <f t="shared" ref="F29:I29" si="0">365-F28</f>
        <v>0</v>
      </c>
      <c r="G29" s="55">
        <f t="shared" si="0"/>
        <v>84</v>
      </c>
      <c r="H29" s="55">
        <f t="shared" si="0"/>
        <v>0</v>
      </c>
      <c r="I29" s="55">
        <f t="shared" si="0"/>
        <v>84</v>
      </c>
      <c r="J29" s="2" t="s">
        <v>56</v>
      </c>
      <c r="K29" s="2"/>
      <c r="L29" s="2"/>
      <c r="M29" s="2"/>
      <c r="R29" s="7"/>
    </row>
    <row r="30" spans="1:18" ht="20.100000000000001" customHeight="1" x14ac:dyDescent="0.25">
      <c r="A30" s="17"/>
      <c r="R30" s="7"/>
    </row>
    <row r="31" spans="1:18" ht="20.100000000000001" customHeight="1" x14ac:dyDescent="0.25">
      <c r="A31" s="70"/>
      <c r="R31" s="7"/>
    </row>
    <row r="32" spans="1:18" ht="20.100000000000001" customHeight="1" x14ac:dyDescent="0.25">
      <c r="A32" s="70"/>
      <c r="C32" s="48"/>
      <c r="D32" s="48"/>
      <c r="E32" s="48"/>
      <c r="F32" s="48"/>
      <c r="G32" s="48"/>
      <c r="H32" s="48"/>
      <c r="I32" s="48"/>
      <c r="J32" s="48"/>
      <c r="K32" s="48"/>
      <c r="L32" s="48"/>
      <c r="M32" s="48"/>
      <c r="N32" s="48"/>
      <c r="R32" s="7"/>
    </row>
    <row r="33" spans="1:18" ht="20.100000000000001" customHeight="1" x14ac:dyDescent="0.25">
      <c r="A33" s="17"/>
      <c r="D33" s="6" t="s">
        <v>214</v>
      </c>
      <c r="R33" s="7"/>
    </row>
    <row r="34" spans="1:18" ht="20.100000000000001" customHeight="1" x14ac:dyDescent="0.25">
      <c r="D34" s="51"/>
      <c r="R34" s="7"/>
    </row>
    <row r="35" spans="1:18" ht="20.100000000000001" customHeight="1" x14ac:dyDescent="0.25">
      <c r="D35" s="66" t="s">
        <v>208</v>
      </c>
      <c r="E35" s="41" t="s">
        <v>175</v>
      </c>
      <c r="F35" s="41" t="s">
        <v>192</v>
      </c>
      <c r="G35" s="41" t="s">
        <v>193</v>
      </c>
      <c r="H35" s="41" t="s">
        <v>194</v>
      </c>
      <c r="I35" s="41" t="s">
        <v>195</v>
      </c>
      <c r="R35" s="7"/>
    </row>
    <row r="36" spans="1:18" ht="20.100000000000001" customHeight="1" x14ac:dyDescent="0.25">
      <c r="D36" s="1" t="s">
        <v>213</v>
      </c>
      <c r="E36" s="55" cm="1">
        <f t="array" ref="E36">Common_InputFunctions.Utility_LookupValueInTableNumber(E35,Table_SourceData_Dairy_Duration[Animal class j],Table_SourceData_Dairy_Duration[Duration (weaned)])</f>
        <v>365</v>
      </c>
      <c r="F36" s="55" cm="1">
        <f t="array" ref="F36">Common_InputFunctions.Utility_LookupValueInTableNumber(F35,Table_SourceData_Dairy_Duration[Animal class j],Table_SourceData_Dairy_Duration[Duration (weaned)])</f>
        <v>365</v>
      </c>
      <c r="G36" s="55" cm="1">
        <f t="array" ref="G36">Common_InputFunctions.Utility_LookupValueInTableNumber(G35,Table_SourceData_Dairy_Duration[Animal class j],Table_SourceData_Dairy_Duration[Duration (weaned)])</f>
        <v>281</v>
      </c>
      <c r="H36" s="55" cm="1">
        <f t="array" ref="H36">Common_InputFunctions.Utility_LookupValueInTableNumber(H35,Table_SourceData_Dairy_Duration[Animal class j],Table_SourceData_Dairy_Duration[Duration (weaned)])</f>
        <v>365</v>
      </c>
      <c r="I36" s="55" cm="1">
        <f t="array" ref="I36">Common_InputFunctions.Utility_LookupValueInTableNumber(I35,Table_SourceData_Dairy_Duration[Animal class j],Table_SourceData_Dairy_Duration[Duration (weaned)])</f>
        <v>281</v>
      </c>
      <c r="J36" s="2" t="s">
        <v>215</v>
      </c>
      <c r="K36" s="2"/>
      <c r="L36" s="2"/>
      <c r="M36" s="2"/>
      <c r="R36" s="7"/>
    </row>
    <row r="37" spans="1:18" ht="20.100000000000001" customHeight="1" x14ac:dyDescent="0.25">
      <c r="D37" s="1" t="s">
        <v>19</v>
      </c>
      <c r="E37" s="55">
        <f>'Constants - Dairy'!$D$160</f>
        <v>0.75</v>
      </c>
      <c r="F37" s="55">
        <f>'Constants - Dairy'!$D$160</f>
        <v>0.75</v>
      </c>
      <c r="G37" s="55">
        <f>'Constants - Dairy'!$D$160</f>
        <v>0.75</v>
      </c>
      <c r="H37" s="55">
        <f>'Constants - Dairy'!$D$160</f>
        <v>0.75</v>
      </c>
      <c r="I37" s="55">
        <f>'Constants - Dairy'!$D$160</f>
        <v>0.75</v>
      </c>
      <c r="J37" s="2" t="s">
        <v>101</v>
      </c>
      <c r="K37" s="2"/>
      <c r="L37" s="2"/>
      <c r="M37" s="2"/>
      <c r="R37" s="7"/>
    </row>
    <row r="38" spans="1:18" ht="20.100000000000001" customHeight="1" x14ac:dyDescent="0.25">
      <c r="D38" s="1" t="s">
        <v>113</v>
      </c>
      <c r="E38" s="55">
        <f>'Constants - Dairy'!$D$153</f>
        <v>0.2</v>
      </c>
      <c r="F38" s="55">
        <f>'Constants - Dairy'!$D$153</f>
        <v>0.2</v>
      </c>
      <c r="G38" s="55">
        <f>'Constants - Dairy'!$D$153</f>
        <v>0.2</v>
      </c>
      <c r="H38" s="55">
        <f>'Constants - Dairy'!$D$153</f>
        <v>0.2</v>
      </c>
      <c r="I38" s="55">
        <f>'Constants - Dairy'!$D$153</f>
        <v>0.2</v>
      </c>
      <c r="J38" s="2" t="s">
        <v>101</v>
      </c>
      <c r="K38" s="2"/>
      <c r="L38" s="2"/>
      <c r="M38" s="2"/>
      <c r="R38" s="7"/>
    </row>
    <row r="39" spans="1:18" ht="20.100000000000001" customHeight="1" x14ac:dyDescent="0.25">
      <c r="A39" s="17"/>
      <c r="R39" s="7"/>
    </row>
    <row r="40" spans="1:18" ht="20.100000000000001" customHeight="1" x14ac:dyDescent="0.25">
      <c r="D40" s="66" t="s">
        <v>207</v>
      </c>
      <c r="E40" s="41" t="s">
        <v>175</v>
      </c>
      <c r="F40" s="41" t="s">
        <v>192</v>
      </c>
      <c r="G40" s="41" t="s">
        <v>193</v>
      </c>
      <c r="H40" s="41" t="s">
        <v>194</v>
      </c>
      <c r="I40" s="41" t="s">
        <v>195</v>
      </c>
      <c r="R40" s="7"/>
    </row>
    <row r="41" spans="1:18" ht="20.100000000000001" customHeight="1" x14ac:dyDescent="0.25">
      <c r="A41" s="47"/>
      <c r="D41" s="1" t="s">
        <v>213</v>
      </c>
      <c r="E41" s="69" cm="1">
        <f t="array" ref="E41">Common_InputFunctions.Utility_LookupValueInTableNumber(E40,Table_SourceData_Dairy_Duration[Animal class j],Table_SourceData_Dairy_Duration[Duration (weaned)])</f>
        <v>365</v>
      </c>
      <c r="F41" s="69" cm="1">
        <f t="array" ref="F41">Common_InputFunctions.Utility_LookupValueInTableNumber(F40,Table_SourceData_Dairy_Duration[Animal class j],Table_SourceData_Dairy_Duration[Duration (weaned)])</f>
        <v>365</v>
      </c>
      <c r="G41" s="69" cm="1">
        <f t="array" ref="G41">Common_InputFunctions.Utility_LookupValueInTableNumber(G40,Table_SourceData_Dairy_Duration[Animal class j],Table_SourceData_Dairy_Duration[Duration (weaned)])</f>
        <v>281</v>
      </c>
      <c r="H41" s="69" cm="1">
        <f t="array" ref="H41">Common_InputFunctions.Utility_LookupValueInTableNumber(H40,Table_SourceData_Dairy_Duration[Animal class j],Table_SourceData_Dairy_Duration[Duration (weaned)])</f>
        <v>365</v>
      </c>
      <c r="I41" s="69" cm="1">
        <f t="array" ref="I41">Common_InputFunctions.Utility_LookupValueInTableNumber(I40,Table_SourceData_Dairy_Duration[Animal class j],Table_SourceData_Dairy_Duration[Duration (weaned)])</f>
        <v>281</v>
      </c>
      <c r="J41" s="2" t="s">
        <v>215</v>
      </c>
      <c r="K41" s="2"/>
      <c r="L41" s="2"/>
      <c r="M41" s="2"/>
      <c r="R41" s="7"/>
    </row>
    <row r="42" spans="1:18" ht="20.100000000000001" customHeight="1" x14ac:dyDescent="0.25">
      <c r="D42" s="1" t="s">
        <v>19</v>
      </c>
      <c r="E42" s="69">
        <v>0.75</v>
      </c>
      <c r="F42" s="69">
        <v>0.75</v>
      </c>
      <c r="G42" s="69">
        <v>0.75</v>
      </c>
      <c r="H42" s="69">
        <v>0.75</v>
      </c>
      <c r="I42" s="69">
        <v>0.75</v>
      </c>
      <c r="J42" s="2" t="s">
        <v>101</v>
      </c>
      <c r="K42" s="2"/>
      <c r="L42" s="2"/>
      <c r="M42" s="2"/>
      <c r="R42" s="7"/>
    </row>
    <row r="43" spans="1:18" ht="20.100000000000001" customHeight="1" x14ac:dyDescent="0.25">
      <c r="D43" s="1" t="s">
        <v>113</v>
      </c>
      <c r="E43" s="69">
        <v>0.2</v>
      </c>
      <c r="F43" s="69">
        <v>0.2</v>
      </c>
      <c r="G43" s="69">
        <v>0.2</v>
      </c>
      <c r="H43" s="69">
        <v>0.2</v>
      </c>
      <c r="I43" s="69">
        <v>0.2</v>
      </c>
      <c r="J43" s="2" t="s">
        <v>101</v>
      </c>
      <c r="K43" s="2"/>
      <c r="L43" s="2"/>
      <c r="M43" s="2"/>
      <c r="R43" s="7"/>
    </row>
    <row r="44" spans="1:18" ht="20.100000000000001" customHeight="1" x14ac:dyDescent="0.25">
      <c r="R44" s="7"/>
    </row>
    <row r="45" spans="1:18" ht="20.100000000000001" customHeight="1" x14ac:dyDescent="0.25">
      <c r="R45" s="7"/>
    </row>
    <row r="46" spans="1:18" ht="20.100000000000001" customHeight="1" x14ac:dyDescent="0.25">
      <c r="C46" s="48"/>
      <c r="D46" s="48"/>
      <c r="E46" s="48"/>
      <c r="F46" s="48"/>
      <c r="G46" s="48"/>
      <c r="H46" s="48"/>
      <c r="I46" s="48"/>
      <c r="J46" s="48"/>
      <c r="K46" s="48"/>
      <c r="L46" s="48"/>
      <c r="M46" s="48"/>
      <c r="N46" s="48"/>
      <c r="R46" s="7"/>
    </row>
    <row r="47" spans="1:18" ht="20.100000000000001" customHeight="1" x14ac:dyDescent="0.25">
      <c r="D47" s="6" t="s">
        <v>199</v>
      </c>
      <c r="E47" s="3"/>
      <c r="F47" s="3"/>
      <c r="G47" s="3"/>
      <c r="H47" s="3"/>
      <c r="I47" s="3"/>
      <c r="J47" s="3"/>
      <c r="K47" s="3"/>
      <c r="L47" s="3"/>
      <c r="M47" s="3"/>
      <c r="R47" s="7"/>
    </row>
    <row r="48" spans="1:18" ht="20.100000000000001" customHeight="1" x14ac:dyDescent="0.25">
      <c r="G48" s="6"/>
      <c r="H48" s="6"/>
      <c r="I48" s="6"/>
      <c r="J48" s="126"/>
      <c r="K48" s="126"/>
      <c r="L48" s="126"/>
      <c r="M48" s="126"/>
      <c r="R48" s="7"/>
    </row>
    <row r="49" spans="3:18" ht="20.100000000000001" customHeight="1" x14ac:dyDescent="0.25">
      <c r="D49" s="1" t="s">
        <v>449</v>
      </c>
      <c r="E49" s="42" t="s">
        <v>450</v>
      </c>
      <c r="F49" s="2" t="s">
        <v>11</v>
      </c>
      <c r="R49" s="7"/>
    </row>
    <row r="50" spans="3:18" ht="20.100000000000001" customHeight="1" x14ac:dyDescent="0.25">
      <c r="R50" s="7"/>
    </row>
    <row r="51" spans="3:18" ht="20.100000000000001" customHeight="1" x14ac:dyDescent="0.25">
      <c r="E51" s="41" t="s">
        <v>175</v>
      </c>
      <c r="R51" s="7"/>
    </row>
    <row r="52" spans="3:18" ht="20.100000000000001" customHeight="1" x14ac:dyDescent="0.25">
      <c r="D52" s="1" t="s">
        <v>200</v>
      </c>
      <c r="E52" s="69">
        <v>44</v>
      </c>
      <c r="F52" s="2" t="str">
        <f>IF(E49="Litres of milk", "litres/head/day", "kg milk solids/head/day")</f>
        <v>kg milk solids/head/day</v>
      </c>
      <c r="R52" s="7"/>
    </row>
    <row r="53" spans="3:18" ht="20.100000000000001" customHeight="1" x14ac:dyDescent="0.25">
      <c r="E53" s="6"/>
      <c r="F53" s="6"/>
      <c r="R53" s="7"/>
    </row>
    <row r="54" spans="3:18" ht="20.100000000000001" customHeight="1" x14ac:dyDescent="0.25">
      <c r="D54" s="56" t="s">
        <v>451</v>
      </c>
      <c r="E54" s="41" t="s">
        <v>452</v>
      </c>
      <c r="F54" s="41" t="s">
        <v>453</v>
      </c>
      <c r="R54" s="7"/>
    </row>
    <row r="55" spans="3:18" ht="20.100000000000001" customHeight="1" x14ac:dyDescent="0.25">
      <c r="D55" s="1" t="s">
        <v>454</v>
      </c>
      <c r="E55" s="140">
        <f>'Constants - Dairy'!$D$221/100</f>
        <v>0.04</v>
      </c>
      <c r="F55" s="160">
        <f>'Constants - Dairy'!$D$221/100</f>
        <v>0.04</v>
      </c>
      <c r="G55" s="2" t="s">
        <v>455</v>
      </c>
      <c r="R55" s="7"/>
    </row>
    <row r="56" spans="3:18" ht="20.100000000000001" customHeight="1" x14ac:dyDescent="0.25">
      <c r="D56" s="1" t="s">
        <v>456</v>
      </c>
      <c r="E56" s="140">
        <f>'Constants - Dairy'!$D$227/100</f>
        <v>3.3000000000000002E-2</v>
      </c>
      <c r="F56" s="160">
        <f>'Constants - Dairy'!$D$227/100</f>
        <v>3.3000000000000002E-2</v>
      </c>
      <c r="G56" s="2" t="s">
        <v>455</v>
      </c>
      <c r="R56" s="7"/>
    </row>
    <row r="57" spans="3:18" ht="20.100000000000001" customHeight="1" x14ac:dyDescent="0.25">
      <c r="R57" s="7"/>
    </row>
    <row r="58" spans="3:18" ht="20.100000000000001" customHeight="1" x14ac:dyDescent="0.25">
      <c r="R58" s="7"/>
    </row>
    <row r="59" spans="3:18" ht="20.100000000000001" customHeight="1" x14ac:dyDescent="0.25">
      <c r="C59" s="48"/>
      <c r="D59" s="48"/>
      <c r="E59" s="48"/>
      <c r="F59" s="48"/>
      <c r="G59" s="48"/>
      <c r="H59" s="48"/>
      <c r="I59" s="48"/>
      <c r="J59" s="48"/>
      <c r="K59" s="48"/>
      <c r="L59" s="48"/>
      <c r="M59" s="48"/>
      <c r="N59" s="48"/>
      <c r="R59" s="7"/>
    </row>
    <row r="60" spans="3:18" ht="20.100000000000001" customHeight="1" x14ac:dyDescent="0.25">
      <c r="D60" s="6" t="s">
        <v>210</v>
      </c>
      <c r="R60" s="7"/>
    </row>
    <row r="61" spans="3:18" ht="20.100000000000001" customHeight="1" x14ac:dyDescent="0.25">
      <c r="D61" s="51" t="s">
        <v>203</v>
      </c>
      <c r="R61" s="7"/>
    </row>
    <row r="62" spans="3:18" ht="20.100000000000001" customHeight="1" x14ac:dyDescent="0.25">
      <c r="D62" s="1" t="s">
        <v>205</v>
      </c>
      <c r="E62" s="42" t="s">
        <v>212</v>
      </c>
      <c r="F62" s="2" t="s">
        <v>11</v>
      </c>
      <c r="N62" s="3"/>
      <c r="R62" s="7"/>
    </row>
    <row r="63" spans="3:18" ht="20.100000000000001" customHeight="1" x14ac:dyDescent="0.25">
      <c r="N63" s="3"/>
      <c r="R63" s="7"/>
    </row>
    <row r="64" spans="3:18" ht="20.100000000000001" customHeight="1" x14ac:dyDescent="0.25">
      <c r="D64" s="66" t="s">
        <v>208</v>
      </c>
      <c r="E64" s="41" t="s">
        <v>175</v>
      </c>
      <c r="F64" s="41" t="s">
        <v>192</v>
      </c>
      <c r="G64" s="41" t="s">
        <v>193</v>
      </c>
      <c r="H64" s="41" t="s">
        <v>194</v>
      </c>
      <c r="I64" s="41" t="s">
        <v>195</v>
      </c>
      <c r="N64" s="3"/>
      <c r="R64" s="7"/>
    </row>
    <row r="65" spans="3:18" ht="20.100000000000001" customHeight="1" x14ac:dyDescent="0.25">
      <c r="D65" s="1" t="s">
        <v>148</v>
      </c>
      <c r="E65" s="140" cm="1">
        <f t="array" ref="E65">Common_InputFunctions.Utility_LookupValueInTableNumber($E$62, Table_SourceData_Dairy_ProductionSystemTemplates[Area],Table_SourceData_Dairy_ProductionSystemTemplates[Pasture])</f>
        <v>0.53400000000000003</v>
      </c>
      <c r="F65" s="140" cm="1">
        <f t="array" ref="F65">Common_InputFunctions.Utility_LookupValueInTableNumber($E$62, Table_SourceData_Dairy_ProductionSystemTemplates[Area],Table_SourceData_Dairy_ProductionSystemTemplates[Pasture])</f>
        <v>0.53400000000000003</v>
      </c>
      <c r="G65" s="140" cm="1">
        <f t="array" ref="G65">Common_InputFunctions.Utility_LookupValueInTableNumber($E$62, Table_SourceData_Dairy_ProductionSystemTemplates[Area],Table_SourceData_Dairy_ProductionSystemTemplates[Pasture])</f>
        <v>0.53400000000000003</v>
      </c>
      <c r="H65" s="140" cm="1">
        <f t="array" ref="H65">Common_InputFunctions.Utility_LookupValueInTableNumber($E$62, Table_SourceData_Dairy_ProductionSystemTemplates[Area],Table_SourceData_Dairy_ProductionSystemTemplates[Pasture])</f>
        <v>0.53400000000000003</v>
      </c>
      <c r="I65" s="140" cm="1">
        <f t="array" ref="I65">Common_InputFunctions.Utility_LookupValueInTableNumber($E$62, Table_SourceData_Dairy_ProductionSystemTemplates[Area],Table_SourceData_Dairy_ProductionSystemTemplates[Pasture])</f>
        <v>0.53400000000000003</v>
      </c>
      <c r="J65" s="2" t="s">
        <v>20</v>
      </c>
      <c r="K65" s="2"/>
      <c r="L65" s="2"/>
      <c r="M65" s="2"/>
      <c r="N65" s="3"/>
    </row>
    <row r="66" spans="3:18" ht="20.100000000000001" customHeight="1" x14ac:dyDescent="0.25">
      <c r="D66" s="1" t="s">
        <v>189</v>
      </c>
      <c r="E66" s="140" cm="1">
        <f t="array" ref="E66">Common_InputFunctions.Utility_LookupValueInTableNumber($E$62, Table_SourceData_Dairy_ProductionSystemTemplates[Area],Table_SourceData_Dairy_ProductionSystemTemplates[Milking shed])</f>
        <v>0.11</v>
      </c>
      <c r="F66" s="140" cm="1">
        <f t="array" ref="F66">Common_InputFunctions.Utility_LookupValueInTableNumber($E$62, Table_SourceData_Dairy_ProductionSystemTemplates[Area],Table_SourceData_Dairy_ProductionSystemTemplates[Milking shed])</f>
        <v>0.11</v>
      </c>
      <c r="G66" s="140" cm="1">
        <f t="array" ref="G66">Common_InputFunctions.Utility_LookupValueInTableNumber($E$62, Table_SourceData_Dairy_ProductionSystemTemplates[Area],Table_SourceData_Dairy_ProductionSystemTemplates[Milking shed])</f>
        <v>0.11</v>
      </c>
      <c r="H66" s="140" cm="1">
        <f t="array" ref="H66">Common_InputFunctions.Utility_LookupValueInTableNumber($E$62, Table_SourceData_Dairy_ProductionSystemTemplates[Area],Table_SourceData_Dairy_ProductionSystemTemplates[Milking shed])</f>
        <v>0.11</v>
      </c>
      <c r="I66" s="140" cm="1">
        <f t="array" ref="I66">Common_InputFunctions.Utility_LookupValueInTableNumber($E$62, Table_SourceData_Dairy_ProductionSystemTemplates[Area],Table_SourceData_Dairy_ProductionSystemTemplates[Milking shed])</f>
        <v>0.11</v>
      </c>
      <c r="J66" s="2" t="s">
        <v>20</v>
      </c>
      <c r="K66" s="2"/>
      <c r="L66" s="2"/>
      <c r="M66" s="2"/>
      <c r="N66" s="3"/>
    </row>
    <row r="67" spans="3:18" ht="20.100000000000001" customHeight="1" x14ac:dyDescent="0.25">
      <c r="D67" s="1" t="s">
        <v>204</v>
      </c>
      <c r="E67" s="140" cm="1">
        <f t="array" ref="E67">Common_InputFunctions.Utility_LookupValueInTableNumber($E$62, Table_SourceData_Dairy_ProductionSystemTemplates[Area],Table_SourceData_Dairy_ProductionSystemTemplates[Feedpad])</f>
        <v>0.35599999999999998</v>
      </c>
      <c r="F67" s="140" cm="1">
        <f t="array" ref="F67">Common_InputFunctions.Utility_LookupValueInTableNumber($E$62, Table_SourceData_Dairy_ProductionSystemTemplates[Area],Table_SourceData_Dairy_ProductionSystemTemplates[Feedpad])</f>
        <v>0.35599999999999998</v>
      </c>
      <c r="G67" s="140" cm="1">
        <f t="array" ref="G67">Common_InputFunctions.Utility_LookupValueInTableNumber($E$62, Table_SourceData_Dairy_ProductionSystemTemplates[Area],Table_SourceData_Dairy_ProductionSystemTemplates[Feedpad])</f>
        <v>0.35599999999999998</v>
      </c>
      <c r="H67" s="140" cm="1">
        <f t="array" ref="H67">Common_InputFunctions.Utility_LookupValueInTableNumber($E$62, Table_SourceData_Dairy_ProductionSystemTemplates[Area],Table_SourceData_Dairy_ProductionSystemTemplates[Feedpad])</f>
        <v>0.35599999999999998</v>
      </c>
      <c r="I67" s="140" cm="1">
        <f t="array" ref="I67">Common_InputFunctions.Utility_LookupValueInTableNumber($E$62, Table_SourceData_Dairy_ProductionSystemTemplates[Area],Table_SourceData_Dairy_ProductionSystemTemplates[Feedpad])</f>
        <v>0.35599999999999998</v>
      </c>
      <c r="J67" s="2" t="s">
        <v>20</v>
      </c>
      <c r="K67" s="2"/>
      <c r="L67" s="2"/>
      <c r="M67" s="2"/>
      <c r="N67" s="3"/>
    </row>
    <row r="68" spans="3:18" ht="20.100000000000001" customHeight="1" x14ac:dyDescent="0.25">
      <c r="N68" s="3"/>
    </row>
    <row r="69" spans="3:18" ht="20.100000000000001" customHeight="1" x14ac:dyDescent="0.25">
      <c r="D69" s="66" t="s">
        <v>207</v>
      </c>
      <c r="E69" s="41" t="s">
        <v>175</v>
      </c>
      <c r="F69" s="41" t="s">
        <v>192</v>
      </c>
      <c r="G69" s="41" t="s">
        <v>193</v>
      </c>
      <c r="H69" s="41" t="s">
        <v>194</v>
      </c>
      <c r="I69" s="41" t="s">
        <v>195</v>
      </c>
      <c r="N69" s="3"/>
    </row>
    <row r="70" spans="3:18" ht="20.100000000000001" customHeight="1" x14ac:dyDescent="0.25">
      <c r="D70" s="1" t="s">
        <v>148</v>
      </c>
      <c r="E70" s="139" cm="1">
        <f t="array" ref="E70">Common_InputFunctions.Utility_LookupValueInTableNumber($E$62, Table_SourceData_Dairy_ProductionSystemTemplates[Area],Table_SourceData_Dairy_ProductionSystemTemplates[Pasture])</f>
        <v>0.53400000000000003</v>
      </c>
      <c r="F70" s="139" cm="1">
        <f t="array" ref="F70">Common_InputFunctions.Utility_LookupValueInTableNumber($E$62, Table_SourceData_Dairy_ProductionSystemTemplates[Area],Table_SourceData_Dairy_ProductionSystemTemplates[Pasture])</f>
        <v>0.53400000000000003</v>
      </c>
      <c r="G70" s="139" cm="1">
        <f t="array" ref="G70">Common_InputFunctions.Utility_LookupValueInTableNumber($E$62, Table_SourceData_Dairy_ProductionSystemTemplates[Area],Table_SourceData_Dairy_ProductionSystemTemplates[Pasture])</f>
        <v>0.53400000000000003</v>
      </c>
      <c r="H70" s="139" cm="1">
        <f t="array" ref="H70">Common_InputFunctions.Utility_LookupValueInTableNumber($E$62, Table_SourceData_Dairy_ProductionSystemTemplates[Area],Table_SourceData_Dairy_ProductionSystemTemplates[Pasture])</f>
        <v>0.53400000000000003</v>
      </c>
      <c r="I70" s="139" cm="1">
        <f t="array" ref="I70">Common_InputFunctions.Utility_LookupValueInTableNumber($E$62, Table_SourceData_Dairy_ProductionSystemTemplates[Area],Table_SourceData_Dairy_ProductionSystemTemplates[Pasture])</f>
        <v>0.53400000000000003</v>
      </c>
      <c r="J70" s="2" t="s">
        <v>20</v>
      </c>
      <c r="K70" s="2"/>
      <c r="L70" s="2"/>
      <c r="M70" s="2"/>
      <c r="N70" s="3"/>
    </row>
    <row r="71" spans="3:18" ht="20.100000000000001" customHeight="1" x14ac:dyDescent="0.25">
      <c r="D71" s="1" t="s">
        <v>189</v>
      </c>
      <c r="E71" s="139" cm="1">
        <f t="array" ref="E71">Common_InputFunctions.Utility_LookupValueInTableNumber($E$62, Table_SourceData_Dairy_ProductionSystemTemplates[Area],Table_SourceData_Dairy_ProductionSystemTemplates[Milking shed])</f>
        <v>0.11</v>
      </c>
      <c r="F71" s="139" cm="1">
        <f t="array" ref="F71">Common_InputFunctions.Utility_LookupValueInTableNumber($E$62, Table_SourceData_Dairy_ProductionSystemTemplates[Area],Table_SourceData_Dairy_ProductionSystemTemplates[Milking shed])</f>
        <v>0.11</v>
      </c>
      <c r="G71" s="139" cm="1">
        <f t="array" ref="G71">Common_InputFunctions.Utility_LookupValueInTableNumber($E$62, Table_SourceData_Dairy_ProductionSystemTemplates[Area],Table_SourceData_Dairy_ProductionSystemTemplates[Milking shed])</f>
        <v>0.11</v>
      </c>
      <c r="H71" s="139" cm="1">
        <f t="array" ref="H71">Common_InputFunctions.Utility_LookupValueInTableNumber($E$62, Table_SourceData_Dairy_ProductionSystemTemplates[Area],Table_SourceData_Dairy_ProductionSystemTemplates[Milking shed])</f>
        <v>0.11</v>
      </c>
      <c r="I71" s="139" cm="1">
        <f t="array" ref="I71">Common_InputFunctions.Utility_LookupValueInTableNumber($E$62, Table_SourceData_Dairy_ProductionSystemTemplates[Area],Table_SourceData_Dairy_ProductionSystemTemplates[Milking shed])</f>
        <v>0.11</v>
      </c>
      <c r="J71" s="2" t="s">
        <v>20</v>
      </c>
      <c r="K71" s="2"/>
      <c r="L71" s="2"/>
      <c r="M71" s="2"/>
      <c r="N71" s="3"/>
    </row>
    <row r="72" spans="3:18" ht="20.100000000000001" customHeight="1" x14ac:dyDescent="0.25">
      <c r="D72" s="1" t="s">
        <v>204</v>
      </c>
      <c r="E72" s="139" cm="1">
        <f t="array" ref="E72">Common_InputFunctions.Utility_LookupValueInTableNumber($E$62, Table_SourceData_Dairy_ProductionSystemTemplates[Area],Table_SourceData_Dairy_ProductionSystemTemplates[Feedpad])</f>
        <v>0.35599999999999998</v>
      </c>
      <c r="F72" s="139" cm="1">
        <f t="array" ref="F72">Common_InputFunctions.Utility_LookupValueInTableNumber($E$62, Table_SourceData_Dairy_ProductionSystemTemplates[Area],Table_SourceData_Dairy_ProductionSystemTemplates[Feedpad])</f>
        <v>0.35599999999999998</v>
      </c>
      <c r="G72" s="139" cm="1">
        <f t="array" ref="G72">Common_InputFunctions.Utility_LookupValueInTableNumber($E$62, Table_SourceData_Dairy_ProductionSystemTemplates[Area],Table_SourceData_Dairy_ProductionSystemTemplates[Feedpad])</f>
        <v>0.35599999999999998</v>
      </c>
      <c r="H72" s="139" cm="1">
        <f t="array" ref="H72">Common_InputFunctions.Utility_LookupValueInTableNumber($E$62, Table_SourceData_Dairy_ProductionSystemTemplates[Area],Table_SourceData_Dairy_ProductionSystemTemplates[Feedpad])</f>
        <v>0.35599999999999998</v>
      </c>
      <c r="I72" s="139" cm="1">
        <f t="array" ref="I72">Common_InputFunctions.Utility_LookupValueInTableNumber($E$62, Table_SourceData_Dairy_ProductionSystemTemplates[Area],Table_SourceData_Dairy_ProductionSystemTemplates[Feedpad])</f>
        <v>0.35599999999999998</v>
      </c>
      <c r="J72" s="2" t="s">
        <v>20</v>
      </c>
      <c r="K72" s="2"/>
      <c r="L72" s="2"/>
      <c r="M72" s="2"/>
      <c r="N72" s="3"/>
    </row>
    <row r="73" spans="3:18" ht="20.100000000000001" customHeight="1" x14ac:dyDescent="0.25">
      <c r="E73" s="130"/>
      <c r="N73" s="3"/>
    </row>
    <row r="74" spans="3:18" ht="20.100000000000001" customHeight="1" x14ac:dyDescent="0.25"/>
    <row r="75" spans="3:18" ht="20.100000000000001" customHeight="1" x14ac:dyDescent="0.25">
      <c r="C75" s="48"/>
      <c r="D75" s="48"/>
      <c r="E75" s="48"/>
      <c r="F75" s="48"/>
      <c r="G75" s="48"/>
      <c r="H75" s="48"/>
      <c r="I75" s="48"/>
      <c r="J75" s="48"/>
      <c r="K75" s="48"/>
      <c r="L75" s="48"/>
      <c r="M75" s="48"/>
      <c r="N75" s="155"/>
    </row>
    <row r="76" spans="3:18" ht="20.100000000000001" customHeight="1" x14ac:dyDescent="0.25">
      <c r="D76" s="6" t="s">
        <v>104</v>
      </c>
      <c r="F76" s="127"/>
      <c r="N76" s="3"/>
    </row>
    <row r="77" spans="3:18" ht="20.100000000000001" customHeight="1" x14ac:dyDescent="0.25">
      <c r="D77" s="51" t="str">
        <f>"From " &amp; $D$66</f>
        <v>From Milking shed</v>
      </c>
      <c r="N77" s="3"/>
    </row>
    <row r="78" spans="3:18" ht="20.100000000000001" customHeight="1" x14ac:dyDescent="0.25">
      <c r="D78" s="147" t="s">
        <v>438</v>
      </c>
      <c r="E78" s="148" t="s">
        <v>439</v>
      </c>
      <c r="F78" s="148" t="s">
        <v>440</v>
      </c>
      <c r="G78" s="148" t="s">
        <v>441</v>
      </c>
      <c r="N78" s="3"/>
    </row>
    <row r="79" spans="3:18" ht="20.100000000000001" customHeight="1" x14ac:dyDescent="0.25">
      <c r="D79" s="149" t="str">
        <f>'Constants - Dairy'!$D$8</f>
        <v>Anaerobic lagoon</v>
      </c>
      <c r="E79" s="42" t="s">
        <v>209</v>
      </c>
      <c r="F79" s="101">
        <v>0.2</v>
      </c>
      <c r="G79" s="49">
        <v>0.2</v>
      </c>
      <c r="N79" s="3"/>
    </row>
    <row r="80" spans="3:18" ht="20.100000000000001" customHeight="1" x14ac:dyDescent="0.25">
      <c r="D80" s="149" t="str">
        <f>'Constants - Dairy'!$D$9</f>
        <v>Sump and dispersal system</v>
      </c>
      <c r="E80" s="42" t="s">
        <v>209</v>
      </c>
      <c r="F80" s="101">
        <v>0.2</v>
      </c>
      <c r="G80" s="49">
        <v>0.2</v>
      </c>
      <c r="N80" s="3"/>
      <c r="R80" s="7"/>
    </row>
    <row r="81" spans="4:18" ht="20.100000000000001" customHeight="1" x14ac:dyDescent="0.25">
      <c r="D81" s="149" t="str">
        <f>'Constants - Dairy'!$D$10</f>
        <v>Drains to paddock</v>
      </c>
      <c r="E81" s="42" t="s">
        <v>209</v>
      </c>
      <c r="F81" s="101">
        <v>0.2</v>
      </c>
      <c r="G81" s="49">
        <v>0.2</v>
      </c>
      <c r="N81" s="3"/>
      <c r="R81" s="7"/>
    </row>
    <row r="82" spans="4:18" ht="20.100000000000001" customHeight="1" x14ac:dyDescent="0.25">
      <c r="D82" s="154" t="s">
        <v>442</v>
      </c>
      <c r="N82" s="3"/>
      <c r="R82" s="7"/>
    </row>
    <row r="83" spans="4:18" ht="20.100000000000001" customHeight="1" x14ac:dyDescent="0.25">
      <c r="D83" s="151" t="s">
        <v>103</v>
      </c>
      <c r="E83" s="41" t="s">
        <v>175</v>
      </c>
      <c r="F83" s="41" t="s">
        <v>192</v>
      </c>
      <c r="G83" s="41" t="s">
        <v>193</v>
      </c>
      <c r="H83" s="41" t="s">
        <v>194</v>
      </c>
      <c r="I83" s="41" t="s">
        <v>195</v>
      </c>
      <c r="J83" s="146" t="s">
        <v>434</v>
      </c>
      <c r="K83" s="66" t="s">
        <v>433</v>
      </c>
      <c r="L83" s="66"/>
      <c r="M83" s="41"/>
      <c r="N83" s="3"/>
      <c r="R83" s="7"/>
    </row>
    <row r="84" spans="4:18" ht="20.100000000000001" customHeight="1" x14ac:dyDescent="0.25">
      <c r="K84" s="121" t="s">
        <v>435</v>
      </c>
      <c r="L84" s="121" t="s">
        <v>436</v>
      </c>
      <c r="M84" s="121" t="s">
        <v>437</v>
      </c>
      <c r="N84" s="3"/>
      <c r="R84" s="7"/>
    </row>
    <row r="85" spans="4:18" ht="20.100000000000001" customHeight="1" x14ac:dyDescent="0.25">
      <c r="D85" s="152" t="str">
        <f>'Constants - Dairy'!$D$8</f>
        <v>Anaerobic lagoon</v>
      </c>
      <c r="E85" s="49">
        <v>0.25</v>
      </c>
      <c r="F85" s="49">
        <v>0.25</v>
      </c>
      <c r="G85" s="49">
        <v>0.25</v>
      </c>
      <c r="H85" s="49">
        <v>0.25</v>
      </c>
      <c r="I85" s="49">
        <v>0.25</v>
      </c>
      <c r="J85" s="2" t="s">
        <v>20</v>
      </c>
      <c r="K85" s="49">
        <v>0.25</v>
      </c>
      <c r="L85" s="49">
        <v>0.25</v>
      </c>
      <c r="M85" s="101">
        <f>1-SUM(K85:L85)</f>
        <v>0.5</v>
      </c>
      <c r="R85" s="7"/>
    </row>
    <row r="86" spans="4:18" ht="20.100000000000001" customHeight="1" x14ac:dyDescent="0.25">
      <c r="D86" s="152" t="str">
        <f>'Constants - Dairy'!$D$9</f>
        <v>Sump and dispersal system</v>
      </c>
      <c r="E86" s="49">
        <v>0.25</v>
      </c>
      <c r="F86" s="49">
        <v>0.25</v>
      </c>
      <c r="G86" s="49">
        <v>0.25</v>
      </c>
      <c r="H86" s="49">
        <v>0.25</v>
      </c>
      <c r="I86" s="49">
        <v>0.25</v>
      </c>
      <c r="J86" s="2" t="s">
        <v>20</v>
      </c>
      <c r="K86" s="49">
        <v>0.25</v>
      </c>
      <c r="L86" s="49">
        <v>0.25</v>
      </c>
      <c r="M86" s="101">
        <f t="shared" ref="M86:M87" si="1">1-SUM(K86:L86)</f>
        <v>0.5</v>
      </c>
      <c r="R86" s="7"/>
    </row>
    <row r="87" spans="4:18" ht="20.100000000000001" customHeight="1" x14ac:dyDescent="0.25">
      <c r="D87" s="152" t="str">
        <f>'Constants - Dairy'!$D$10</f>
        <v>Drains to paddock</v>
      </c>
      <c r="E87" s="49">
        <v>0.25</v>
      </c>
      <c r="F87" s="49">
        <v>0.25</v>
      </c>
      <c r="G87" s="49">
        <v>0.25</v>
      </c>
      <c r="H87" s="49">
        <v>0.25</v>
      </c>
      <c r="I87" s="49">
        <v>0.25</v>
      </c>
      <c r="J87" s="2" t="s">
        <v>20</v>
      </c>
      <c r="K87" s="49">
        <v>0.25</v>
      </c>
      <c r="L87" s="49">
        <v>0.25</v>
      </c>
      <c r="M87" s="101">
        <f t="shared" si="1"/>
        <v>0.5</v>
      </c>
      <c r="R87" s="7"/>
    </row>
    <row r="88" spans="4:18" ht="20.100000000000001" customHeight="1" x14ac:dyDescent="0.25">
      <c r="D88" s="152" t="str">
        <f>'Constants - Dairy'!$D$11 &amp; " (before solid separation)"</f>
        <v>Solid storage (before solid separation)</v>
      </c>
      <c r="E88" s="49">
        <v>0.25</v>
      </c>
      <c r="F88" s="49">
        <v>0.25</v>
      </c>
      <c r="G88" s="49">
        <v>0.25</v>
      </c>
      <c r="H88" s="49">
        <v>0.25</v>
      </c>
      <c r="I88" s="49">
        <v>0.25</v>
      </c>
      <c r="J88" s="2" t="s">
        <v>20</v>
      </c>
      <c r="K88" s="49">
        <v>0.25</v>
      </c>
      <c r="L88" s="49">
        <v>0.25</v>
      </c>
      <c r="M88" s="101">
        <f t="shared" ref="M88" si="2">1-SUM(K88:L88)</f>
        <v>0.5</v>
      </c>
      <c r="R88" s="7"/>
    </row>
    <row r="89" spans="4:18" ht="20.100000000000001" customHeight="1" x14ac:dyDescent="0.25">
      <c r="D89" s="153" t="s">
        <v>445</v>
      </c>
      <c r="E89" s="101">
        <f>E88+(E85*$F79)+(E86*$F80)+(E87*$F81)</f>
        <v>0.39999999999999997</v>
      </c>
      <c r="F89" s="101">
        <f>F88+(F85*$F79)+(F86*$F80)+(F87*$F81)</f>
        <v>0.39999999999999997</v>
      </c>
      <c r="G89" s="101">
        <f>G88+(G85*$F79)+(G86*$F80)+(G87*$F81)</f>
        <v>0.39999999999999997</v>
      </c>
      <c r="H89" s="101">
        <f>H88+(H85*$F79)+(H86*$F80)+(H87*$F81)</f>
        <v>0.39999999999999997</v>
      </c>
      <c r="I89" s="101">
        <f>I88+(I85*$F79)+(I86*$F80)+(I87*$F81)</f>
        <v>0.39999999999999997</v>
      </c>
      <c r="J89" s="2" t="s">
        <v>20</v>
      </c>
      <c r="K89" s="2"/>
      <c r="L89" s="2"/>
      <c r="M89" s="2"/>
      <c r="R89" s="7"/>
    </row>
    <row r="90" spans="4:18" ht="20.100000000000001" customHeight="1" x14ac:dyDescent="0.25">
      <c r="D90" s="153" t="s">
        <v>446</v>
      </c>
      <c r="E90" s="101">
        <f>E88+(E85*$G79)+(E86*$G80)+(E87*$G81)</f>
        <v>0.39999999999999997</v>
      </c>
      <c r="F90" s="101">
        <f>F88+(F85*$G79)+(F86*$G80)+(F87*$G81)</f>
        <v>0.39999999999999997</v>
      </c>
      <c r="G90" s="101">
        <f>G88+(G85*$G79)+(G86*$G80)+(G87*$G81)</f>
        <v>0.39999999999999997</v>
      </c>
      <c r="H90" s="101">
        <f>H88+(H85*$G79)+(H86*$G80)+(H87*$G81)</f>
        <v>0.39999999999999997</v>
      </c>
      <c r="I90" s="101">
        <f>I88+(I85*$G79)+(I86*$G80)+(I87*$G81)</f>
        <v>0.39999999999999997</v>
      </c>
      <c r="J90" s="2" t="s">
        <v>20</v>
      </c>
      <c r="R90" s="7"/>
    </row>
    <row r="91" spans="4:18" ht="20.100000000000001" customHeight="1" x14ac:dyDescent="0.25">
      <c r="F91" s="2"/>
      <c r="R91" s="7"/>
    </row>
    <row r="92" spans="4:18" ht="20.100000000000001" customHeight="1" x14ac:dyDescent="0.25">
      <c r="F92" s="150"/>
      <c r="R92" s="7"/>
    </row>
    <row r="93" spans="4:18" ht="20.100000000000001" customHeight="1" x14ac:dyDescent="0.25">
      <c r="D93" s="51" t="str">
        <f>"From " &amp; $D$67</f>
        <v>From Feed pad</v>
      </c>
      <c r="R93" s="7"/>
    </row>
    <row r="94" spans="4:18" ht="20.100000000000001" customHeight="1" x14ac:dyDescent="0.25">
      <c r="D94" s="147" t="s">
        <v>438</v>
      </c>
      <c r="E94" s="148" t="s">
        <v>439</v>
      </c>
      <c r="F94" s="148" t="s">
        <v>440</v>
      </c>
      <c r="G94" s="148" t="s">
        <v>441</v>
      </c>
      <c r="R94" s="7"/>
    </row>
    <row r="95" spans="4:18" ht="20.100000000000001" customHeight="1" x14ac:dyDescent="0.25">
      <c r="D95" s="149" t="str">
        <f>'Constants - Dairy'!$D$8</f>
        <v>Anaerobic lagoon</v>
      </c>
      <c r="E95" s="42" t="s">
        <v>211</v>
      </c>
      <c r="F95" s="101">
        <f>IF(E95="Yes", 20%, 0)</f>
        <v>0</v>
      </c>
      <c r="G95" s="49">
        <f>IF(E95="Yes", 20%, 0)</f>
        <v>0</v>
      </c>
      <c r="K95" s="2"/>
      <c r="L95" s="2"/>
      <c r="M95" s="2"/>
      <c r="R95" s="7"/>
    </row>
    <row r="96" spans="4:18" ht="20.100000000000001" customHeight="1" x14ac:dyDescent="0.25">
      <c r="D96" s="149" t="str">
        <f>'Constants - Dairy'!$D$9</f>
        <v>Sump and dispersal system</v>
      </c>
      <c r="E96" s="42" t="s">
        <v>209</v>
      </c>
      <c r="F96" s="101">
        <f>IF(E96="Yes", 20%, 0)</f>
        <v>0.2</v>
      </c>
      <c r="G96" s="49">
        <f>IF(E96="Yes", 20%, 0)</f>
        <v>0.2</v>
      </c>
      <c r="R96" s="7"/>
    </row>
    <row r="97" spans="4:18" ht="20.100000000000001" customHeight="1" x14ac:dyDescent="0.25">
      <c r="D97" s="149" t="str">
        <f>'Constants - Dairy'!$D$10</f>
        <v>Drains to paddock</v>
      </c>
      <c r="E97" s="42" t="s">
        <v>209</v>
      </c>
      <c r="F97" s="101">
        <f>IF(E97="Yes", 20%, 0)</f>
        <v>0.2</v>
      </c>
      <c r="G97" s="49">
        <f>IF(E97="Yes", 20%, 0)</f>
        <v>0.2</v>
      </c>
      <c r="R97" s="7"/>
    </row>
    <row r="98" spans="4:18" ht="20.100000000000001" customHeight="1" x14ac:dyDescent="0.25">
      <c r="D98" s="156" t="s">
        <v>442</v>
      </c>
      <c r="F98" s="2"/>
      <c r="R98" s="7"/>
    </row>
    <row r="99" spans="4:18" ht="20.100000000000001" customHeight="1" x14ac:dyDescent="0.25">
      <c r="D99" s="151" t="s">
        <v>103</v>
      </c>
      <c r="E99" s="41" t="s">
        <v>175</v>
      </c>
      <c r="F99" s="41" t="s">
        <v>192</v>
      </c>
      <c r="G99" s="41" t="s">
        <v>193</v>
      </c>
      <c r="H99" s="41" t="s">
        <v>194</v>
      </c>
      <c r="I99" s="41" t="s">
        <v>195</v>
      </c>
      <c r="J99" s="146" t="s">
        <v>434</v>
      </c>
      <c r="K99" s="66" t="s">
        <v>433</v>
      </c>
      <c r="L99" s="66"/>
      <c r="M99" s="41"/>
      <c r="R99" s="7"/>
    </row>
    <row r="100" spans="4:18" ht="20.100000000000001" customHeight="1" x14ac:dyDescent="0.25">
      <c r="D100" s="153"/>
      <c r="K100" s="121" t="s">
        <v>435</v>
      </c>
      <c r="L100" s="121" t="s">
        <v>436</v>
      </c>
      <c r="M100" s="121" t="s">
        <v>437</v>
      </c>
      <c r="R100" s="7"/>
    </row>
    <row r="101" spans="4:18" ht="20.100000000000001" customHeight="1" x14ac:dyDescent="0.25">
      <c r="D101" s="152" t="str">
        <f>'Constants - Dairy'!$D$8</f>
        <v>Anaerobic lagoon</v>
      </c>
      <c r="E101" s="49">
        <v>0.25</v>
      </c>
      <c r="F101" s="49">
        <v>0.25</v>
      </c>
      <c r="G101" s="49">
        <v>0.25</v>
      </c>
      <c r="H101" s="49">
        <v>0.25</v>
      </c>
      <c r="I101" s="49">
        <v>0.25</v>
      </c>
      <c r="J101" s="2" t="s">
        <v>20</v>
      </c>
      <c r="K101" s="49">
        <v>0.25</v>
      </c>
      <c r="L101" s="49">
        <v>0.25</v>
      </c>
      <c r="M101" s="101">
        <f>1-SUM(K101:L101)</f>
        <v>0.5</v>
      </c>
      <c r="R101" s="7"/>
    </row>
    <row r="102" spans="4:18" ht="20.100000000000001" customHeight="1" x14ac:dyDescent="0.25">
      <c r="D102" s="152" t="str">
        <f>'Constants - Dairy'!$D$9</f>
        <v>Sump and dispersal system</v>
      </c>
      <c r="E102" s="49">
        <v>0.25</v>
      </c>
      <c r="F102" s="49">
        <v>0.25</v>
      </c>
      <c r="G102" s="49">
        <v>0.25</v>
      </c>
      <c r="H102" s="49">
        <v>0.25</v>
      </c>
      <c r="I102" s="49">
        <v>0.25</v>
      </c>
      <c r="J102" s="2" t="s">
        <v>20</v>
      </c>
      <c r="K102" s="49">
        <v>0.25</v>
      </c>
      <c r="L102" s="49">
        <v>0.25</v>
      </c>
      <c r="M102" s="101">
        <f t="shared" ref="M102:M103" si="3">1-SUM(K102:L102)</f>
        <v>0.5</v>
      </c>
      <c r="R102" s="7"/>
    </row>
    <row r="103" spans="4:18" ht="20.100000000000001" customHeight="1" x14ac:dyDescent="0.25">
      <c r="D103" s="152" t="str">
        <f>'Constants - Dairy'!$D$10</f>
        <v>Drains to paddock</v>
      </c>
      <c r="E103" s="49">
        <v>0.25</v>
      </c>
      <c r="F103" s="49">
        <v>0.25</v>
      </c>
      <c r="G103" s="49">
        <v>0.25</v>
      </c>
      <c r="H103" s="49">
        <v>0.25</v>
      </c>
      <c r="I103" s="49">
        <v>0.25</v>
      </c>
      <c r="J103" s="2" t="s">
        <v>20</v>
      </c>
      <c r="K103" s="49">
        <v>0.25</v>
      </c>
      <c r="L103" s="49">
        <v>0.25</v>
      </c>
      <c r="M103" s="101">
        <f t="shared" si="3"/>
        <v>0.5</v>
      </c>
      <c r="R103" s="7"/>
    </row>
    <row r="104" spans="4:18" ht="20.100000000000001" customHeight="1" x14ac:dyDescent="0.25">
      <c r="D104" s="152" t="str">
        <f>'Constants - Dairy'!$D$11 &amp; " (before solid separation)"</f>
        <v>Solid storage (before solid separation)</v>
      </c>
      <c r="E104" s="49">
        <v>0.25</v>
      </c>
      <c r="F104" s="49">
        <v>0.25</v>
      </c>
      <c r="G104" s="49">
        <v>0.25</v>
      </c>
      <c r="H104" s="49">
        <v>0.25</v>
      </c>
      <c r="I104" s="49">
        <v>0.25</v>
      </c>
      <c r="J104" s="2" t="s">
        <v>20</v>
      </c>
      <c r="K104" s="49">
        <v>0.25</v>
      </c>
      <c r="L104" s="49">
        <v>0.25</v>
      </c>
      <c r="M104" s="101">
        <f>1-SUM(K104:L104)</f>
        <v>0.5</v>
      </c>
      <c r="R104" s="7"/>
    </row>
    <row r="105" spans="4:18" ht="20.100000000000001" customHeight="1" x14ac:dyDescent="0.25">
      <c r="D105" s="153" t="s">
        <v>445</v>
      </c>
      <c r="E105" s="101">
        <f>E104+(E101*$F95)+(E102*$F96)+(E103*$F97)</f>
        <v>0.35</v>
      </c>
      <c r="F105" s="101">
        <f>F104+(F101*$F95)+(F102*$F96)+(F103*$F97)</f>
        <v>0.35</v>
      </c>
      <c r="G105" s="101">
        <f>G104+(G101*$F95)+(G102*$F96)+(G103*$F97)</f>
        <v>0.35</v>
      </c>
      <c r="H105" s="101">
        <f>H104+(H101*$F95)+(H102*$F96)+(H103*$F97)</f>
        <v>0.35</v>
      </c>
      <c r="I105" s="101">
        <f>I104+(I101*$F95)+(I102*$F96)+(I103*$F97)</f>
        <v>0.35</v>
      </c>
      <c r="J105" s="2" t="s">
        <v>20</v>
      </c>
      <c r="K105" s="2"/>
      <c r="L105" s="2"/>
      <c r="M105" s="2"/>
      <c r="R105" s="7"/>
    </row>
    <row r="106" spans="4:18" ht="20.100000000000001" customHeight="1" x14ac:dyDescent="0.25">
      <c r="D106" s="153" t="s">
        <v>446</v>
      </c>
      <c r="E106" s="101">
        <f>E104+(E101*$G95)+(E102*$G96)+(E103*$G97)</f>
        <v>0.35</v>
      </c>
      <c r="F106" s="101">
        <f>F104+(F101*$G95)+(F102*$G96)+(F103*$G97)</f>
        <v>0.35</v>
      </c>
      <c r="G106" s="101">
        <f>G104+(G101*$G95)+(G102*$G96)+(G103*$G97)</f>
        <v>0.35</v>
      </c>
      <c r="H106" s="101">
        <f>H104+(H101*$G95)+(H102*$G96)+(H103*$G97)</f>
        <v>0.35</v>
      </c>
      <c r="I106" s="101">
        <f>I104+(I101*$G95)+(I102*$G96)+(I103*$G97)</f>
        <v>0.35</v>
      </c>
      <c r="J106" s="2" t="s">
        <v>20</v>
      </c>
      <c r="R106" s="7"/>
    </row>
    <row r="107" spans="4:18" ht="20.100000000000001" customHeight="1" x14ac:dyDescent="0.25"/>
    <row r="108" spans="4:18" ht="20.100000000000001" customHeight="1" x14ac:dyDescent="0.25"/>
    <row r="109" spans="4:18" ht="20.100000000000001" customHeight="1" x14ac:dyDescent="0.25">
      <c r="D109" s="1" t="s">
        <v>143</v>
      </c>
      <c r="E109" s="42" t="s">
        <v>148</v>
      </c>
      <c r="F109" s="2" t="s">
        <v>11</v>
      </c>
    </row>
    <row r="110" spans="4:18" ht="20.100000000000001" customHeight="1" x14ac:dyDescent="0.25">
      <c r="E110" s="42" t="s">
        <v>153</v>
      </c>
      <c r="F110" s="2" t="s">
        <v>11</v>
      </c>
      <c r="K110" s="2"/>
      <c r="L110" s="2"/>
      <c r="M110" s="2"/>
    </row>
    <row r="111" spans="4:18" ht="20.100000000000001" customHeight="1" x14ac:dyDescent="0.25"/>
    <row r="112" spans="4:18" ht="20.100000000000001" customHeight="1" x14ac:dyDescent="0.25"/>
    <row r="113" spans="6:13" ht="20.100000000000001" customHeight="1" x14ac:dyDescent="0.25"/>
    <row r="114" spans="6:13" ht="20.100000000000001" customHeight="1" x14ac:dyDescent="0.25">
      <c r="K114" s="2"/>
      <c r="L114" s="2"/>
      <c r="M114" s="2"/>
    </row>
    <row r="115" spans="6:13" ht="20.100000000000001" customHeight="1" x14ac:dyDescent="0.25">
      <c r="F115" s="2"/>
    </row>
    <row r="116" spans="6:13" ht="20.100000000000001" customHeight="1" x14ac:dyDescent="0.25"/>
    <row r="117" spans="6:13" ht="20.100000000000001" customHeight="1" x14ac:dyDescent="0.25"/>
    <row r="118" spans="6:13" ht="20.100000000000001" customHeight="1" x14ac:dyDescent="0.25">
      <c r="K118" s="2"/>
      <c r="L118" s="2"/>
      <c r="M118" s="2"/>
    </row>
    <row r="119" spans="6:13" ht="20.100000000000001" customHeight="1" x14ac:dyDescent="0.25"/>
    <row r="120" spans="6:13" ht="20.100000000000001" customHeight="1" x14ac:dyDescent="0.25"/>
    <row r="121" spans="6:13" ht="20.100000000000001" customHeight="1" x14ac:dyDescent="0.25"/>
    <row r="122" spans="6:13" ht="20.100000000000001" customHeight="1" x14ac:dyDescent="0.25"/>
    <row r="123" spans="6:13" ht="20.100000000000001" customHeight="1" x14ac:dyDescent="0.25"/>
    <row r="124" spans="6:13" ht="20.100000000000001" customHeight="1" x14ac:dyDescent="0.25"/>
    <row r="125" spans="6:13" ht="20.100000000000001" customHeight="1" x14ac:dyDescent="0.25"/>
    <row r="126" spans="6:13" ht="20.100000000000001" customHeight="1" x14ac:dyDescent="0.25"/>
    <row r="127" spans="6:13" ht="20.100000000000001" customHeight="1" x14ac:dyDescent="0.25"/>
    <row r="128" spans="6:13" ht="20.100000000000001" customHeight="1" x14ac:dyDescent="0.25"/>
    <row r="129" spans="12:13" ht="20.100000000000001" customHeight="1" x14ac:dyDescent="0.25"/>
    <row r="130" spans="12:13" ht="20.100000000000001" customHeight="1" x14ac:dyDescent="0.25"/>
    <row r="131" spans="12:13" ht="20.100000000000001" customHeight="1" x14ac:dyDescent="0.25"/>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row r="138" spans="12:13" ht="20.100000000000001" customHeight="1" x14ac:dyDescent="0.25"/>
    <row r="139" spans="12:13" ht="20.100000000000001" customHeight="1" x14ac:dyDescent="0.25"/>
    <row r="140" spans="12:13" ht="20.100000000000001" customHeight="1" x14ac:dyDescent="0.25"/>
    <row r="141" spans="12:13" ht="20.100000000000001" customHeight="1" x14ac:dyDescent="0.25"/>
    <row r="142" spans="12:13" ht="20.100000000000001" customHeight="1" x14ac:dyDescent="0.25">
      <c r="L142" s="2"/>
      <c r="M142" s="2"/>
    </row>
    <row r="143" spans="12:13" ht="20.100000000000001" customHeight="1" x14ac:dyDescent="0.25">
      <c r="L143" s="2"/>
      <c r="M143" s="2"/>
    </row>
    <row r="144" spans="12:13" ht="20.100000000000001" customHeight="1" x14ac:dyDescent="0.25">
      <c r="L144" s="2"/>
      <c r="M144" s="2"/>
    </row>
    <row r="145" spans="12:13" ht="20.100000000000001" customHeight="1" x14ac:dyDescent="0.25"/>
    <row r="146" spans="12:13" ht="20.100000000000001" customHeight="1" x14ac:dyDescent="0.25"/>
    <row r="147" spans="12:13" ht="20.100000000000001" customHeight="1" x14ac:dyDescent="0.25">
      <c r="L147" s="2"/>
      <c r="M147" s="2"/>
    </row>
    <row r="148" spans="12:13" ht="20.100000000000001" customHeight="1" x14ac:dyDescent="0.25">
      <c r="L148" s="2"/>
      <c r="M148" s="2"/>
    </row>
    <row r="149" spans="12:13" ht="20.100000000000001" customHeight="1" x14ac:dyDescent="0.25">
      <c r="L149" s="2"/>
      <c r="M149" s="2"/>
    </row>
    <row r="150" spans="12:13" ht="20.100000000000001" customHeight="1" x14ac:dyDescent="0.25"/>
    <row r="151" spans="12:13" ht="20.100000000000001" customHeight="1" x14ac:dyDescent="0.25"/>
    <row r="152" spans="12:13" ht="20.100000000000001" customHeight="1" x14ac:dyDescent="0.25">
      <c r="L152" s="2"/>
      <c r="M152" s="2"/>
    </row>
    <row r="153" spans="12:13" ht="20.100000000000001" customHeight="1" x14ac:dyDescent="0.25">
      <c r="L153" s="2"/>
      <c r="M153" s="2"/>
    </row>
    <row r="154" spans="12:13" ht="20.100000000000001" customHeight="1" x14ac:dyDescent="0.25">
      <c r="L154" s="2"/>
      <c r="M154" s="2"/>
    </row>
    <row r="155" spans="12:13" ht="20.100000000000001" customHeight="1" x14ac:dyDescent="0.25"/>
    <row r="156" spans="12:13" ht="20.100000000000001" customHeight="1" x14ac:dyDescent="0.25"/>
    <row r="157" spans="12:13" ht="20.100000000000001" customHeight="1" x14ac:dyDescent="0.25"/>
    <row r="158" spans="12:13" ht="20.100000000000001" customHeight="1" x14ac:dyDescent="0.25"/>
    <row r="159" spans="12:13" ht="20.100000000000001" customHeight="1" x14ac:dyDescent="0.25"/>
    <row r="160" spans="12:13" ht="20.100000000000001" customHeight="1" x14ac:dyDescent="0.25"/>
    <row r="161" spans="12:13" ht="20.100000000000001" customHeight="1" x14ac:dyDescent="0.25">
      <c r="L161" s="2"/>
      <c r="M161" s="2"/>
    </row>
    <row r="162" spans="12:13" ht="20.100000000000001" customHeight="1" x14ac:dyDescent="0.25">
      <c r="L162" s="2"/>
      <c r="M162" s="2"/>
    </row>
    <row r="163" spans="12:13" ht="20.100000000000001" customHeight="1" x14ac:dyDescent="0.25">
      <c r="L163" s="2"/>
      <c r="M163" s="2"/>
    </row>
    <row r="164" spans="12:13" ht="20.100000000000001" customHeight="1" x14ac:dyDescent="0.25"/>
    <row r="165" spans="12:13" ht="20.100000000000001" customHeight="1" x14ac:dyDescent="0.25"/>
    <row r="166" spans="12:13" x14ac:dyDescent="0.25">
      <c r="L166" s="2"/>
      <c r="M166" s="2"/>
    </row>
    <row r="167" spans="12:13" x14ac:dyDescent="0.25">
      <c r="L167" s="2"/>
      <c r="M167" s="2"/>
    </row>
    <row r="168" spans="12:13" x14ac:dyDescent="0.25">
      <c r="L168" s="2"/>
      <c r="M168" s="2"/>
    </row>
    <row r="171" spans="12:13" x14ac:dyDescent="0.25">
      <c r="L171" s="2"/>
      <c r="M171" s="2"/>
    </row>
    <row r="172" spans="12:13" x14ac:dyDescent="0.25">
      <c r="L172" s="2"/>
      <c r="M172" s="2"/>
    </row>
    <row r="173" spans="12:13" x14ac:dyDescent="0.25">
      <c r="L173" s="2"/>
      <c r="M173" s="2"/>
    </row>
    <row r="176" spans="12:13" x14ac:dyDescent="0.25">
      <c r="L176" s="2"/>
      <c r="M176" s="2"/>
    </row>
    <row r="177" spans="12:13" x14ac:dyDescent="0.25">
      <c r="L177" s="2"/>
      <c r="M177" s="2"/>
    </row>
    <row r="178" spans="12:13" x14ac:dyDescent="0.25">
      <c r="L178" s="2"/>
      <c r="M178" s="2"/>
    </row>
  </sheetData>
  <conditionalFormatting sqref="E10:M10 E24:M25 E28:M29 O43:P43 N44 J85:J90 K89:M89 K95:M95 F98 J101:J106 K105:M105 K110:M110 K114:M114 K118:M118">
    <cfRule type="cellIs" dxfId="8" priority="30" operator="lessThan">
      <formula>0</formula>
    </cfRule>
  </conditionalFormatting>
  <conditionalFormatting sqref="E14:M15">
    <cfRule type="cellIs" dxfId="7" priority="2" operator="lessThan">
      <formula>0</formula>
    </cfRule>
  </conditionalFormatting>
  <conditionalFormatting sqref="E18:M19">
    <cfRule type="cellIs" dxfId="6" priority="1" operator="lessThan">
      <formula>0</formula>
    </cfRule>
  </conditionalFormatting>
  <conditionalFormatting sqref="E36:M38">
    <cfRule type="cellIs" dxfId="5" priority="6" operator="lessThan">
      <formula>0</formula>
    </cfRule>
  </conditionalFormatting>
  <conditionalFormatting sqref="E41:M43">
    <cfRule type="cellIs" dxfId="4" priority="3" operator="lessThan">
      <formula>0</formula>
    </cfRule>
  </conditionalFormatting>
  <conditionalFormatting sqref="F87:F88">
    <cfRule type="cellIs" dxfId="3" priority="21" operator="lessThan">
      <formula>0</formula>
    </cfRule>
  </conditionalFormatting>
  <conditionalFormatting sqref="F91">
    <cfRule type="cellIs" dxfId="2" priority="20" operator="lessThan">
      <formula>0</formula>
    </cfRule>
  </conditionalFormatting>
  <conditionalFormatting sqref="J65:M67">
    <cfRule type="cellIs" dxfId="1" priority="24" operator="lessThan">
      <formula>0</formula>
    </cfRule>
  </conditionalFormatting>
  <conditionalFormatting sqref="J70:M72">
    <cfRule type="cellIs" dxfId="0" priority="23" operator="lessThan">
      <formula>0</formula>
    </cfRule>
  </conditionalFormatting>
  <dataValidations count="6">
    <dataValidation type="list" allowBlank="1" showInputMessage="1" showErrorMessage="1" sqref="E109" xr:uid="{AF94BFC8-A9BD-4286-932B-111409BF1EB6}">
      <formula1>INDIRECT("Table_SourceData_Dairy_CropProdSystems[Production system]")</formula1>
    </dataValidation>
    <dataValidation type="list" allowBlank="1" showInputMessage="1" showErrorMessage="1" sqref="E110" xr:uid="{20E9D9A1-CABD-46A5-B149-02F06B30AA0E}">
      <formula1>INDIRECT("Table_SourceData_Dairy_IrrigationMethods[Irrigation method]")</formula1>
    </dataValidation>
    <dataValidation type="list" allowBlank="1" showInputMessage="1" showErrorMessage="1" sqref="E62" xr:uid="{9FB53635-991F-44AA-A123-E8ABEF9EE0A6}">
      <formula1>INDIRECT("Table_SourceData_Dairy_ProductionSystemTemplates[Area]")</formula1>
    </dataValidation>
    <dataValidation type="list" allowBlank="1" showInputMessage="1" showErrorMessage="1" sqref="E79:E81 E95:E97"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49" xr:uid="{00EB9640-5A32-4119-9EC9-65330CC2A6A9}">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W304"/>
  <sheetViews>
    <sheetView showGridLines="0" topLeftCell="A35" zoomScale="55" zoomScaleNormal="55" workbookViewId="0">
      <selection activeCell="K41" sqref="K4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71" t="e" vm="1">
        <v>#VALUE!</v>
      </c>
      <c r="C1" s="8" t="s">
        <v>285</v>
      </c>
    </row>
    <row r="2" spans="1:23" s="9" customFormat="1" ht="20.100000000000001" customHeight="1" x14ac:dyDescent="0.25"/>
    <row r="3" spans="1:23" ht="20.100000000000001" customHeight="1" x14ac:dyDescent="0.25">
      <c r="A3" s="17" t="str">
        <f>HYPERLINK("#'Home'!A1", "Home")</f>
        <v>Home</v>
      </c>
      <c r="C3" s="4"/>
      <c r="D3" s="4" t="s">
        <v>121</v>
      </c>
      <c r="E3" s="4"/>
      <c r="F3" s="4"/>
      <c r="G3" s="4"/>
      <c r="H3" s="4"/>
      <c r="I3" s="4"/>
      <c r="J3" s="4"/>
      <c r="K3" s="4"/>
      <c r="L3" s="4"/>
      <c r="N3" s="4"/>
      <c r="O3" s="4" t="s">
        <v>122</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EntericMethane_Dairy_Equations.VEERG_3_3_1_1__6_MetabolisabilityOfDiet_Title()</f>
        <v>Metabolisability of diet</v>
      </c>
    </row>
    <row r="6" spans="1:23" ht="20.100000000000001" customHeight="1" x14ac:dyDescent="0.25">
      <c r="A6" s="16"/>
      <c r="D6" s="5" t="str" cm="1">
        <f t="array" ref="D6">EntericMethane_Dairy_Equations.VEERG_3_3_1_1__6_MetabolisabilityOfDiet_Source()</f>
        <v>VEERG 2026: 3.3.1.1, Equation (6)</v>
      </c>
    </row>
    <row r="7" spans="1:23" ht="20.100000000000001" customHeight="1" x14ac:dyDescent="0.25">
      <c r="A7" s="20" t="s">
        <v>3</v>
      </c>
      <c r="D7" s="13" t="s">
        <v>28</v>
      </c>
      <c r="E7" s="13" t="str" cm="1">
        <f t="array" aca="1" ref="E7" ca="1">Common_InputFunctions.Utility_DisplayFunctionName(D23)</f>
        <v>=EntericMethane_Dairy_Equations.VEERG_3_3_1_1__6_MetabolisabilityOfDiet</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EntericMethane_Dairy_Equations.VEERG_3_3_1_1__6_MetabolisabilityOfDiet_Variable()</f>
        <v>qm_j</v>
      </c>
    </row>
    <row r="11" spans="1:23" ht="20.100000000000001" customHeight="1" x14ac:dyDescent="0.25">
      <c r="A11" s="19" t="s">
        <v>78</v>
      </c>
      <c r="D11" s="56" t="s">
        <v>21</v>
      </c>
      <c r="E11" s="57" t="str" cm="1">
        <f t="array" ref="E11">EntericMethane_Dairy_Equations.VEERG_3_3_1_1__6_MetabolisabilityOfDiet_Unit()</f>
        <v>fraction</v>
      </c>
    </row>
    <row r="12" spans="1:23" ht="20.100000000000001" customHeight="1" x14ac:dyDescent="0.25">
      <c r="A12" s="22" t="str">
        <f>HYPERLINK("#'4.3.1.1-2 Methane'!A1", "4.3.1.1-2 Methane")</f>
        <v>4.3.1.1-2 Methane</v>
      </c>
    </row>
    <row r="13" spans="1:23" ht="20.100000000000001" customHeight="1" x14ac:dyDescent="0.25">
      <c r="A13" s="17" t="str">
        <f>HYPERLINK("#'4.3.1.3-4 Direct N20'!A1", "4.3.1.3-4 Direct N2O")</f>
        <v>4.3.1.3-4 Direct N2O</v>
      </c>
      <c r="D13" s="137" t="str" cm="1">
        <f t="array" ref="D13:E13">_xlfn.CHOOSECOLS(EntericMethane_Dairy_Equations.VEERG_3_3_1_1__6_MetabolisabilityOfDiet_Arguments(), 1,2)</f>
        <v>DMD_j</v>
      </c>
      <c r="E13" s="137" t="str">
        <v>dry matter digestibility expressed as a fraction</v>
      </c>
      <c r="F13" s="137"/>
      <c r="G13" s="137" t="str" cm="1">
        <f t="array" ref="G13:H13">_xlfn.CHOOSECOLS(EntericMethane_Dairy_Equations.VEERG_3_3_1_1__6_MetabolisabilityOfDiet_Arguments(), 3,4)</f>
        <v>fraction</v>
      </c>
      <c r="H13" s="135" t="str">
        <v>Input</v>
      </c>
      <c r="I13" s="137" t="str">
        <f>"See " &amp; D15</f>
        <v>See M1_Table_DMD_j</v>
      </c>
    </row>
    <row r="14" spans="1:23" ht="20.100000000000001" customHeight="1" x14ac:dyDescent="0.25">
      <c r="A14" s="17" t="str">
        <f>HYPERLINK("#'4.3.1.5 Atmos Deposition'!A1", "4.3.1.5 Atmospheric deposition")</f>
        <v>4.3.1.5 Atmospheric deposition</v>
      </c>
    </row>
    <row r="15" spans="1:23" ht="20.100000000000001" customHeight="1" x14ac:dyDescent="0.25">
      <c r="A15" s="17" t="str">
        <f>HYPERLINK("#'4.3.1.6-7 Leaching and runoff'!A1", "4.3.1.6-7 Leaching and runoff")</f>
        <v>4.3.1.6-7 Leaching and runoff</v>
      </c>
      <c r="D15" s="104" t="s">
        <v>126</v>
      </c>
      <c r="O15" s="104" t="s">
        <v>129</v>
      </c>
    </row>
    <row r="16" spans="1:23" ht="20.100000000000001" customHeight="1" x14ac:dyDescent="0.25">
      <c r="A16" s="17" t="str">
        <f>HYPERLINK("#'4.3.1.8 Manure applied to soils'!A1", "4.3.1.8 Manure applied to soils")</f>
        <v>4.3.1.8 Manure applied to soils</v>
      </c>
      <c r="D16" s="103" t="s">
        <v>128</v>
      </c>
      <c r="O16" s="103" t="s">
        <v>241</v>
      </c>
    </row>
    <row r="17" spans="1:23" ht="20.100000000000001" customHeight="1" x14ac:dyDescent="0.25">
      <c r="A17" s="17" t="str">
        <f>HYPERLINK("#'4.3.1.9 Soil direct N2O'!A1", "4.3.1.9 Soil direct N2O")</f>
        <v>4.3.1.9 Soil direct N2O</v>
      </c>
      <c r="D17" s="41" t="s">
        <v>175</v>
      </c>
      <c r="E17" s="41" t="s">
        <v>192</v>
      </c>
      <c r="F17" s="41" t="s">
        <v>193</v>
      </c>
      <c r="G17" s="41" t="s">
        <v>194</v>
      </c>
      <c r="H17" s="41" t="s">
        <v>195</v>
      </c>
      <c r="O17" s="41" t="s">
        <v>175</v>
      </c>
      <c r="P17" s="41" t="s">
        <v>192</v>
      </c>
      <c r="Q17" s="41" t="s">
        <v>193</v>
      </c>
      <c r="R17" s="41" t="s">
        <v>194</v>
      </c>
      <c r="S17" s="41" t="s">
        <v>195</v>
      </c>
    </row>
    <row r="18" spans="1:23" ht="20.100000000000001" customHeight="1" x14ac:dyDescent="0.25">
      <c r="A18" s="17" t="str">
        <f>HYPERLINK("#'4.3.1.10-11 Soil Atmos Dep'!A1", "4.3.1.10-11 Soil atm. deposition")</f>
        <v>4.3.1.10-11 Soil atm. deposition</v>
      </c>
      <c r="D18" s="55">
        <f>'Input - Dairy'!$E$37</f>
        <v>0.75</v>
      </c>
      <c r="E18" s="55">
        <f>'Input - Dairy'!$F$37</f>
        <v>0.75</v>
      </c>
      <c r="F18" s="55">
        <f>'Input - Dairy'!$G$37</f>
        <v>0.75</v>
      </c>
      <c r="G18" s="55">
        <f>'Input - Dairy'!$H$37</f>
        <v>0.75</v>
      </c>
      <c r="H18" s="55">
        <f>'Input - Dairy'!$I$37</f>
        <v>0.75</v>
      </c>
      <c r="I18" s="2" t="s">
        <v>230</v>
      </c>
      <c r="J18" s="2"/>
      <c r="K18" s="2"/>
      <c r="O18" s="55">
        <f>'Input - Dairy'!$E$42</f>
        <v>0.75</v>
      </c>
      <c r="P18" s="55">
        <f>'Input - Dairy'!$F$42</f>
        <v>0.75</v>
      </c>
      <c r="Q18" s="55">
        <f>'Input - Dairy'!$G$42</f>
        <v>0.75</v>
      </c>
      <c r="R18" s="55">
        <f>'Input - Dairy'!$H$42</f>
        <v>0.75</v>
      </c>
      <c r="S18" s="55">
        <f>'Input - Dairy'!$I$42</f>
        <v>0.75</v>
      </c>
      <c r="T18" s="2" t="s">
        <v>230</v>
      </c>
      <c r="U18" s="2"/>
      <c r="V18" s="2"/>
    </row>
    <row r="19" spans="1:23" ht="20.100000000000001" customHeight="1" x14ac:dyDescent="0.25">
      <c r="A19" s="17" t="str">
        <f>HYPERLINK("#'4.3.1.12-13 Soil leach runoff'!A1", "4.3.1.12-13 Soil leach &amp; runoff")</f>
        <v>4.3.1.12-13 Soil leach &amp; runoff</v>
      </c>
    </row>
    <row r="20" spans="1:23" ht="20.100000000000001" customHeight="1" x14ac:dyDescent="0.25">
      <c r="A20" s="17"/>
      <c r="D20" s="104" t="s">
        <v>231</v>
      </c>
      <c r="O20" s="104" t="s">
        <v>233</v>
      </c>
    </row>
    <row r="21" spans="1:23" ht="20.100000000000001" customHeight="1" x14ac:dyDescent="0.25">
      <c r="A21" s="18" t="s">
        <v>4</v>
      </c>
      <c r="D21" s="103" t="s">
        <v>232</v>
      </c>
      <c r="O21" s="103" t="s">
        <v>234</v>
      </c>
    </row>
    <row r="22" spans="1:23" ht="20.100000000000001" customHeight="1" x14ac:dyDescent="0.25">
      <c r="A22" s="17" t="str">
        <f>HYPERLINK("#'Constants - Dairy'!A1", "Constants - Dairy")</f>
        <v>Constants - Dairy</v>
      </c>
      <c r="D22" s="54" t="s">
        <v>175</v>
      </c>
      <c r="E22" s="54" t="s">
        <v>192</v>
      </c>
      <c r="F22" s="54" t="s">
        <v>193</v>
      </c>
      <c r="G22" s="54" t="s">
        <v>194</v>
      </c>
      <c r="H22" s="54" t="s">
        <v>195</v>
      </c>
      <c r="O22" s="54" t="s">
        <v>175</v>
      </c>
      <c r="P22" s="54" t="s">
        <v>192</v>
      </c>
      <c r="Q22" s="54" t="s">
        <v>193</v>
      </c>
      <c r="R22" s="54" t="s">
        <v>194</v>
      </c>
      <c r="S22" s="54" t="s">
        <v>195</v>
      </c>
    </row>
    <row r="23" spans="1:23" ht="20.100000000000001" customHeight="1" x14ac:dyDescent="0.25">
      <c r="A23" s="17" t="str">
        <f>HYPERLINK("#'Constants - Livestock'!A1", "Constants - Livestock")</f>
        <v>Constants - Livestock</v>
      </c>
      <c r="D23" s="55" cm="1">
        <f t="array" ref="D23">EntericMethane_Dairy_Equations.VEERG_3_3_1_1__6_MetabolisabilityOfDiet(D18)</f>
        <v>59.623600000000003</v>
      </c>
      <c r="E23" s="55" cm="1">
        <f t="array" ref="E23">EntericMethane_Dairy_Equations.VEERG_3_3_1_1__6_MetabolisabilityOfDiet(E18)</f>
        <v>59.623600000000003</v>
      </c>
      <c r="F23" s="55" cm="1">
        <f t="array" ref="F23">EntericMethane_Dairy_Equations.VEERG_3_3_1_1__6_MetabolisabilityOfDiet(F18)</f>
        <v>59.623600000000003</v>
      </c>
      <c r="G23" s="55" cm="1">
        <f t="array" ref="G23">EntericMethane_Dairy_Equations.VEERG_3_3_1_1__6_MetabolisabilityOfDiet(G18)</f>
        <v>59.623600000000003</v>
      </c>
      <c r="H23" s="55" cm="1">
        <f t="array" ref="H23">EntericMethane_Dairy_Equations.VEERG_3_3_1_1__6_MetabolisabilityOfDiet(H18)</f>
        <v>59.623600000000003</v>
      </c>
      <c r="I23" s="2" t="str">
        <f>$E$11</f>
        <v>fraction</v>
      </c>
      <c r="J23" s="2"/>
      <c r="K23" s="2"/>
      <c r="O23" s="55" cm="1">
        <f t="array" ref="O23">EntericMethane_Dairy_Equations.VEERG_3_3_1_1__6_MetabolisabilityOfDiet(O18)</f>
        <v>59.623600000000003</v>
      </c>
      <c r="P23" s="55" cm="1">
        <f t="array" ref="P23">EntericMethane_Dairy_Equations.VEERG_3_3_1_1__6_MetabolisabilityOfDiet(P18)</f>
        <v>59.623600000000003</v>
      </c>
      <c r="Q23" s="55" cm="1">
        <f t="array" ref="Q23">EntericMethane_Dairy_Equations.VEERG_3_3_1_1__6_MetabolisabilityOfDiet(Q18)</f>
        <v>59.623600000000003</v>
      </c>
      <c r="R23" s="55" cm="1">
        <f t="array" ref="R23">EntericMethane_Dairy_Equations.VEERG_3_3_1_1__6_MetabolisabilityOfDiet(R18)</f>
        <v>59.623600000000003</v>
      </c>
      <c r="S23" s="55" cm="1">
        <f t="array" ref="S23">EntericMethane_Dairy_Equations.VEERG_3_3_1_1__6_MetabolisabilityOfDiet(S18)</f>
        <v>59.623600000000003</v>
      </c>
      <c r="T23" s="2" t="str">
        <f>$E$11</f>
        <v>fraction</v>
      </c>
      <c r="U23" s="2"/>
      <c r="V23" s="2"/>
    </row>
    <row r="24" spans="1:23" ht="20.100000000000001" customHeight="1" x14ac:dyDescent="0.25">
      <c r="A24" s="17" t="str">
        <f>HYPERLINK("#'Constants - Common'!A1", "Constants - Common")</f>
        <v>Constants - Common</v>
      </c>
    </row>
    <row r="25" spans="1:23" ht="20.100000000000001" customHeight="1" x14ac:dyDescent="0.25">
      <c r="A25" s="17" t="str">
        <f>HYPERLINK("#'Acknowledgements'!A1", "Acknowledgements")</f>
        <v>Acknowledgements</v>
      </c>
    </row>
    <row r="26" spans="1:23" ht="20.100000000000001" customHeight="1" x14ac:dyDescent="0.25">
      <c r="C26" s="48"/>
      <c r="D26" s="48"/>
      <c r="E26" s="48"/>
      <c r="F26" s="48"/>
      <c r="G26" s="48"/>
      <c r="H26" s="48"/>
      <c r="I26" s="48"/>
      <c r="J26" s="48"/>
      <c r="K26" s="48"/>
      <c r="L26" s="48"/>
      <c r="N26" s="48"/>
      <c r="O26" s="48"/>
      <c r="P26" s="48"/>
      <c r="Q26" s="48"/>
      <c r="R26" s="48"/>
      <c r="S26" s="48"/>
      <c r="T26" s="48"/>
      <c r="U26" s="48"/>
      <c r="V26" s="48"/>
      <c r="W26" s="48"/>
    </row>
    <row r="27" spans="1:23" ht="20.100000000000001" customHeight="1" x14ac:dyDescent="0.25">
      <c r="D27" s="6" t="str" cm="1">
        <f t="array" ref="D27">EntericMethane_Dairy_Equations.VEERG_3_3_1_1__5_MilkProductionFromMilkSolids_Title()</f>
        <v>Milk production converted from milk solids</v>
      </c>
    </row>
    <row r="28" spans="1:23" ht="20.100000000000001" customHeight="1" x14ac:dyDescent="0.25">
      <c r="D28" s="5" t="str" cm="1">
        <f t="array" ref="D28">EntericMethane_Dairy_Equations.VEERG_3_3_1_1__5_MilkProductionFromMilkSolids_Source()</f>
        <v>VEERG 2026: 3.3.1.1, Equation (5)</v>
      </c>
    </row>
    <row r="29" spans="1:23" ht="20.100000000000001" customHeight="1" x14ac:dyDescent="0.25">
      <c r="D29" s="58" t="str" cm="1">
        <f t="array" ref="D29">EntericMethane_Dairy_Equations.VEERG_3_3_1_1__5_MilkProductionFromMilkSolids_Variation()</f>
        <v>VARATION ON SOURCE: Added milk production unit variable to allow for use of either milk solids or litres of milk. Converted input FC and PC percent to integer.</v>
      </c>
    </row>
    <row r="30" spans="1:23" ht="20.100000000000001" customHeight="1" x14ac:dyDescent="0.25">
      <c r="D30" s="13" t="s">
        <v>28</v>
      </c>
      <c r="E30" s="13" t="str" cm="1">
        <f t="array" aca="1" ref="E30" ca="1">Common_InputFunctions.Utility_DisplayFunctionName(D49)</f>
        <v>=EntericMethane_Dairy_Equations.VEERG_3_3_1_1__5_MilkProductionFromMilkSolids</v>
      </c>
    </row>
    <row r="31" spans="1:23" ht="20.100000000000001" customHeight="1" x14ac:dyDescent="0.25"/>
    <row r="32" spans="1:23" ht="20.100000000000001" customHeight="1" x14ac:dyDescent="0.25"/>
    <row r="33" spans="4:20" ht="20.100000000000001" customHeight="1" x14ac:dyDescent="0.25">
      <c r="D33" s="56" t="s">
        <v>31</v>
      </c>
      <c r="E33" s="1" t="str" cm="1">
        <f t="array" ref="E33">EntericMethane_Dairy_Equations.VEERG_3_3_1_1__5_MilkProductionFromMilkSolids_Variable()</f>
        <v>MP_j</v>
      </c>
    </row>
    <row r="34" spans="4:20" ht="20.100000000000001" customHeight="1" x14ac:dyDescent="0.25">
      <c r="D34" s="56" t="s">
        <v>21</v>
      </c>
      <c r="E34" s="57" t="str" cm="1">
        <f t="array" ref="E34">EntericMethane_Dairy_Equations.VEERG_3_3_1_1__5_MilkProductionFromMilkSolids_Unit()</f>
        <v>L/head/day</v>
      </c>
    </row>
    <row r="35" spans="4:20" ht="20.100000000000001" customHeight="1" x14ac:dyDescent="0.25"/>
    <row r="36" spans="4:20" ht="20.100000000000001" customHeight="1" x14ac:dyDescent="0.25">
      <c r="D36" s="137" t="str" cm="1">
        <f t="array" ref="D36:E39">_xlfn.CHOOSECOLS(EntericMethane_Dairy_Equations.VEERG_3_3_1_1__5_MilkProductionFromMilkSolids_Arguments(),1,2)</f>
        <v>MPU</v>
      </c>
      <c r="E36" s="136" t="str">
        <v>input milk production unit</v>
      </c>
      <c r="F36" s="138"/>
      <c r="G36" s="137" t="str" cm="1">
        <f t="array" ref="G36:H39">_xlfn.CHOOSECOLS(EntericMethane_Dairy_Equations.VEERG_3_3_1_1__5_MilkProductionFromMilkSolids_Arguments(),3,4)</f>
        <v/>
      </c>
      <c r="H36" s="135" t="str">
        <v>Input</v>
      </c>
      <c r="I36" s="137" t="str">
        <f>'Input - Dairy'!$E$49</f>
        <v>Milk solids</v>
      </c>
      <c r="O36" s="137" t="str" cm="1">
        <f t="array" ref="O36:P39">_xlfn.CHOOSECOLS(EntericMethane_Dairy_Equations.VEERG_3_3_1_1__5_MilkProductionFromMilkSolids_Arguments(),1,2)</f>
        <v>MPU</v>
      </c>
      <c r="P36" s="136" t="str">
        <v>input milk production unit</v>
      </c>
      <c r="Q36" s="138"/>
      <c r="R36" s="137" t="str" cm="1">
        <f t="array" ref="R36:S39">_xlfn.CHOOSECOLS(EntericMethane_Dairy_Equations.VEERG_3_3_1_1__5_MilkProductionFromMilkSolids_Arguments(),3,4)</f>
        <v/>
      </c>
      <c r="S36" s="135" t="str">
        <v>Input</v>
      </c>
      <c r="T36" s="137"/>
    </row>
    <row r="37" spans="4:20" ht="20.100000000000001" customHeight="1" x14ac:dyDescent="0.25">
      <c r="D37" s="137" t="str">
        <v>MS_j</v>
      </c>
      <c r="E37" s="136" t="str">
        <v>daily production of milk solids</v>
      </c>
      <c r="F37" s="138"/>
      <c r="G37" s="137" t="str">
        <v>kg MS/head/day</v>
      </c>
      <c r="H37" s="135" t="str">
        <v>Input</v>
      </c>
      <c r="I37" s="134" t="str" cm="1">
        <f t="array" aca="1" ref="I37" ca="1">HYPERLINK(Common_InputFunctions.Utility_SourceHyperlink($D$41),$D$41)</f>
        <v>M1_Table_MS_j</v>
      </c>
      <c r="O37" s="137" t="str">
        <v>MS_j</v>
      </c>
      <c r="P37" s="136" t="str">
        <v>daily production of milk solids</v>
      </c>
      <c r="Q37" s="138"/>
      <c r="R37" s="137" t="str">
        <v>kg MS/head/day</v>
      </c>
      <c r="S37" s="135" t="str">
        <v>Input</v>
      </c>
      <c r="T37" s="134"/>
    </row>
    <row r="38" spans="4:20" ht="20.100000000000001" customHeight="1" x14ac:dyDescent="0.25">
      <c r="D38" s="137" t="str">
        <v>FC_j</v>
      </c>
      <c r="E38" s="136" t="str">
        <v>fat content in fat and protein corrected milk</v>
      </c>
      <c r="F38" s="138"/>
      <c r="G38" s="137" t="str">
        <v>per cent</v>
      </c>
      <c r="H38" s="133" t="str">
        <v>Constant</v>
      </c>
      <c r="I38" s="137">
        <f>'Input - Dairy'!E55*100</f>
        <v>4</v>
      </c>
      <c r="O38" s="137" t="str">
        <v>FC_j</v>
      </c>
      <c r="P38" s="136" t="str">
        <v>fat content in fat and protein corrected milk</v>
      </c>
      <c r="Q38" s="138"/>
      <c r="R38" s="137" t="str">
        <v>per cent</v>
      </c>
      <c r="S38" s="133" t="str">
        <v>Constant</v>
      </c>
      <c r="T38" s="137">
        <f>'Input - Dairy'!$F$55*100</f>
        <v>4</v>
      </c>
    </row>
    <row r="39" spans="4:20" ht="20.100000000000001" customHeight="1" x14ac:dyDescent="0.25">
      <c r="D39" s="137" t="str">
        <v>PC_j</v>
      </c>
      <c r="E39" s="137" t="str">
        <v>protein content in fat and protein corrected milk</v>
      </c>
      <c r="F39" s="137"/>
      <c r="G39" s="137" t="str">
        <v>per cent</v>
      </c>
      <c r="H39" s="133" t="str">
        <v>Constant</v>
      </c>
      <c r="I39" s="137">
        <f>'Input - Dairy'!E56*100</f>
        <v>3.3000000000000003</v>
      </c>
      <c r="O39" s="137" t="str">
        <v>PC_j</v>
      </c>
      <c r="P39" s="137" t="str">
        <v>protein content in fat and protein corrected milk</v>
      </c>
      <c r="Q39" s="137"/>
      <c r="R39" s="137" t="str">
        <v>per cent</v>
      </c>
      <c r="S39" s="133" t="str">
        <v>Constant</v>
      </c>
      <c r="T39" s="137">
        <f>'Input - Dairy'!$F$56*100</f>
        <v>3.3000000000000003</v>
      </c>
    </row>
    <row r="40" spans="4:20" ht="20.100000000000001" customHeight="1" x14ac:dyDescent="0.25"/>
    <row r="41" spans="4:20" ht="20.100000000000001" customHeight="1" x14ac:dyDescent="0.25">
      <c r="D41" s="104" t="s">
        <v>457</v>
      </c>
    </row>
    <row r="42" spans="4:20" ht="20.100000000000001" customHeight="1" x14ac:dyDescent="0.25">
      <c r="D42" s="103" t="s">
        <v>458</v>
      </c>
    </row>
    <row r="43" spans="4:20" ht="20.100000000000001" customHeight="1" x14ac:dyDescent="0.25">
      <c r="D43" s="41" t="s">
        <v>175</v>
      </c>
      <c r="E43" s="41" t="s">
        <v>192</v>
      </c>
      <c r="F43" s="41" t="s">
        <v>193</v>
      </c>
      <c r="G43" s="41" t="s">
        <v>194</v>
      </c>
      <c r="H43" s="41" t="s">
        <v>195</v>
      </c>
    </row>
    <row r="44" spans="4:20" ht="20.100000000000001" customHeight="1" x14ac:dyDescent="0.25">
      <c r="D44" s="55">
        <f>IF($I$36="Milk solids", 'Input - Dairy'!E52, 0)</f>
        <v>44</v>
      </c>
      <c r="E44" s="55">
        <v>0</v>
      </c>
      <c r="F44" s="55">
        <v>0</v>
      </c>
      <c r="G44" s="55">
        <v>0</v>
      </c>
      <c r="H44" s="55">
        <v>0</v>
      </c>
      <c r="I44" s="2" t="str">
        <f>G37</f>
        <v>kg MS/head/day</v>
      </c>
    </row>
    <row r="45" spans="4:20" ht="20.100000000000001" customHeight="1" x14ac:dyDescent="0.25"/>
    <row r="46" spans="4:20" ht="20.100000000000001" customHeight="1" x14ac:dyDescent="0.25">
      <c r="D46" s="104" t="s">
        <v>459</v>
      </c>
      <c r="O46" s="104" t="s">
        <v>461</v>
      </c>
    </row>
    <row r="47" spans="4:20" ht="20.100000000000001" customHeight="1" x14ac:dyDescent="0.25">
      <c r="D47" s="103" t="s">
        <v>460</v>
      </c>
      <c r="O47" s="103" t="s">
        <v>462</v>
      </c>
    </row>
    <row r="48" spans="4:20" ht="20.100000000000001" customHeight="1" x14ac:dyDescent="0.25">
      <c r="D48" s="54" t="s">
        <v>175</v>
      </c>
      <c r="E48" s="54" t="s">
        <v>192</v>
      </c>
      <c r="F48" s="54" t="s">
        <v>193</v>
      </c>
      <c r="G48" s="54" t="s">
        <v>194</v>
      </c>
      <c r="H48" s="54" t="s">
        <v>195</v>
      </c>
      <c r="O48" s="54" t="s">
        <v>175</v>
      </c>
      <c r="P48" s="54" t="s">
        <v>192</v>
      </c>
      <c r="Q48" s="54" t="s">
        <v>193</v>
      </c>
      <c r="R48" s="54" t="s">
        <v>194</v>
      </c>
      <c r="S48" s="54" t="s">
        <v>195</v>
      </c>
    </row>
    <row r="49" spans="1:23" ht="20.100000000000001" customHeight="1" x14ac:dyDescent="0.25">
      <c r="D49" s="55" cm="1">
        <f t="array" ref="D49">EntericMethane_Dairy_Equations.VEERG_3_3_1_1__5_MilkProductionFromMilkSolids(D44,$I$38,$I$39)</f>
        <v>602.73972602739718</v>
      </c>
      <c r="E49" s="55">
        <v>0</v>
      </c>
      <c r="F49" s="55">
        <v>0</v>
      </c>
      <c r="G49" s="55">
        <v>0</v>
      </c>
      <c r="H49" s="55">
        <v>0</v>
      </c>
      <c r="I49" s="2" t="s">
        <v>237</v>
      </c>
      <c r="O49" s="55" cm="1">
        <f t="array" ref="O49">EntericMethane_Dairy_Equations.VEERG_3_3_1_1__5_MilkProductionFromMilkSolids(D44,$T$38,$T$39)</f>
        <v>602.73972602739718</v>
      </c>
      <c r="P49" s="55">
        <v>0</v>
      </c>
      <c r="Q49" s="55">
        <v>0</v>
      </c>
      <c r="R49" s="55">
        <v>0</v>
      </c>
      <c r="S49" s="55">
        <v>0</v>
      </c>
      <c r="T49" s="2" t="s">
        <v>237</v>
      </c>
    </row>
    <row r="50" spans="1:23" ht="20.100000000000001" customHeight="1" x14ac:dyDescent="0.25"/>
    <row r="51" spans="1:23" ht="20.100000000000001" customHeight="1" x14ac:dyDescent="0.25">
      <c r="A51" s="141" t="str">
        <f>HYPERLINK("#A1", "▲ Back to top")</f>
        <v>▲ Back to top</v>
      </c>
    </row>
    <row r="52" spans="1:23" ht="20.100000000000001" customHeight="1" x14ac:dyDescent="0.25">
      <c r="C52" s="48"/>
      <c r="D52" s="48"/>
      <c r="E52" s="48"/>
      <c r="F52" s="48"/>
      <c r="G52" s="48"/>
      <c r="H52" s="48"/>
      <c r="I52" s="48"/>
      <c r="J52" s="48"/>
      <c r="K52" s="48"/>
      <c r="L52" s="48"/>
      <c r="N52" s="48"/>
      <c r="O52" s="48"/>
      <c r="P52" s="48"/>
      <c r="Q52" s="48"/>
      <c r="R52" s="48"/>
      <c r="S52" s="48"/>
      <c r="T52" s="48"/>
      <c r="U52" s="48"/>
      <c r="V52" s="48"/>
      <c r="W52" s="48"/>
    </row>
    <row r="53" spans="1:23" ht="20.100000000000001" customHeight="1" x14ac:dyDescent="0.25">
      <c r="D53" s="6" t="str" cm="1">
        <f t="array" ref="D53">EntericMethane_Dairy_Equations.VEERG_3_3_1_1__4_AdditionalIntakeForMilkProduction_Title()</f>
        <v>Additional intake required for milk production</v>
      </c>
    </row>
    <row r="54" spans="1:23" ht="20.100000000000001" customHeight="1" x14ac:dyDescent="0.25">
      <c r="D54" s="5" t="str" cm="1">
        <f t="array" ref="D54">EntericMethane_Dairy_Equations.VEERG_3_3_1_1__4_AdditionalIntakeForMilkProduction_Source()</f>
        <v>VEERG 2026: 3.3.1.1, Equation (4)</v>
      </c>
    </row>
    <row r="55" spans="1:23" ht="20.100000000000001" customHeight="1" x14ac:dyDescent="0.25">
      <c r="D55" s="13" t="s">
        <v>28</v>
      </c>
      <c r="E55" s="13" t="str" cm="1">
        <f t="array" aca="1" ref="E55" ca="1">Common_InputFunctions.Utility_DisplayFunctionName(D78)</f>
        <v>=EntericMethane_Dairy_Equations.VEERG_3_3_1_1__4_AdditionalIntakeForMilkProduction</v>
      </c>
    </row>
    <row r="56" spans="1:23" ht="20.100000000000001" customHeight="1" x14ac:dyDescent="0.25"/>
    <row r="57" spans="1:23" ht="20.100000000000001" customHeight="1" x14ac:dyDescent="0.25">
      <c r="D57" s="6"/>
    </row>
    <row r="58" spans="1:23" ht="20.100000000000001" customHeight="1" x14ac:dyDescent="0.25">
      <c r="D58" s="56" t="s">
        <v>31</v>
      </c>
      <c r="E58" s="1" t="str" cm="1">
        <f t="array" ref="E58">EntericMethane_Dairy_Equations.VEERG_3_3_1_1__4_AdditionalIntakeForMilkProduction_Variable()</f>
        <v>MI_j</v>
      </c>
    </row>
    <row r="59" spans="1:23" ht="20.100000000000001" customHeight="1" x14ac:dyDescent="0.25">
      <c r="D59" s="56" t="s">
        <v>21</v>
      </c>
      <c r="E59" s="57" t="str" cm="1">
        <f t="array" ref="E59">EntericMethane_Dairy_Equations.VEERG_3_3_1_1__4_AdditionalIntakeForMilkProduction_Unit()</f>
        <v>kg DM/head/day</v>
      </c>
    </row>
    <row r="60" spans="1:23" ht="20.100000000000001" customHeight="1" x14ac:dyDescent="0.25"/>
    <row r="61" spans="1:23" ht="20.100000000000001" customHeight="1" x14ac:dyDescent="0.25">
      <c r="D61" s="137" t="str" cm="1">
        <f t="array" ref="D61:E67">_xlfn.CHOOSECOLS(EntericMethane_Dairy_Equations.VEERG_3_3_1_1__4_AdditionalIntakeForMilkProduction_Arguments(), 1,2)</f>
        <v>MPU</v>
      </c>
      <c r="E61" s="136" t="str">
        <v>input milk production unit</v>
      </c>
      <c r="F61" s="138"/>
      <c r="G61" s="137" t="str" cm="1">
        <f t="array" ref="G61:H67">_xlfn.CHOOSECOLS(EntericMethane_Dairy_Equations.VEERG_3_3_1_1__4_AdditionalIntakeForMilkProduction_Arguments(), 3,4)</f>
        <v/>
      </c>
      <c r="H61" s="135" t="str">
        <v>Input</v>
      </c>
      <c r="I61" s="137" t="str">
        <f>'Input - Dairy'!$E$49</f>
        <v>Milk solids</v>
      </c>
    </row>
    <row r="62" spans="1:23" ht="20.100000000000001" customHeight="1" x14ac:dyDescent="0.25">
      <c r="D62" s="137" t="str">
        <v>MP_j</v>
      </c>
      <c r="E62" s="136" t="str">
        <v>milk production (if input as litres of milk)</v>
      </c>
      <c r="F62" s="138"/>
      <c r="G62" s="137" t="str">
        <v>L/head/day</v>
      </c>
      <c r="H62" s="133" t="str">
        <v>Input</v>
      </c>
      <c r="I62" s="134" t="str" cm="1">
        <f t="array" aca="1" ref="I62" ca="1">HYPERLINK(Common_InputFunctions.Utility_SourceHyperlink($D$70), $D$70)</f>
        <v>Table_MP_j</v>
      </c>
    </row>
    <row r="63" spans="1:23" ht="20.100000000000001" customHeight="1" x14ac:dyDescent="0.25">
      <c r="D63" s="137" t="str">
        <v>MP_j</v>
      </c>
      <c r="E63" s="136" t="str">
        <v>milk production (if input as milk solids)</v>
      </c>
      <c r="F63" s="138"/>
      <c r="G63" s="137" t="str">
        <v>L/head/day</v>
      </c>
      <c r="H63" s="133" t="str">
        <v>Calculated from 3.3.1.1 (5)</v>
      </c>
      <c r="I63" s="134" t="str" cm="1">
        <f t="array" aca="1" ref="I63" ca="1">HYPERLINK(Common_InputFunctions.Utility_SourceHyperlink($D$46),$D$46)</f>
        <v>M1_Table_MP_j_from_solids</v>
      </c>
    </row>
    <row r="64" spans="1:23" ht="20.100000000000001" customHeight="1" x14ac:dyDescent="0.25">
      <c r="D64" s="137" t="str">
        <v>NE</v>
      </c>
      <c r="E64" s="136" t="str">
        <v>net energy</v>
      </c>
      <c r="F64" s="138"/>
      <c r="G64" s="137" t="str">
        <v>MJ net energy/kg milk</v>
      </c>
      <c r="H64" s="133" t="str">
        <v>Constant</v>
      </c>
      <c r="I64" s="137">
        <f>'Constants - Dairy'!$D$167</f>
        <v>3.0539999999999998</v>
      </c>
    </row>
    <row r="65" spans="4:22" ht="20.100000000000001" customHeight="1" x14ac:dyDescent="0.25">
      <c r="D65" s="137" t="str">
        <v>GEC</v>
      </c>
      <c r="E65" s="136" t="str">
        <v>gross energy content</v>
      </c>
      <c r="F65" s="138"/>
      <c r="G65" s="137" t="str">
        <v>MJ/kgDM</v>
      </c>
      <c r="H65" s="133" t="str">
        <v>Constant</v>
      </c>
      <c r="I65" s="137">
        <f>'Constants - Dairy'!$D$174</f>
        <v>18.399999999999999</v>
      </c>
    </row>
    <row r="66" spans="4:22" ht="20.100000000000001" customHeight="1" x14ac:dyDescent="0.25">
      <c r="D66" s="137" t="str">
        <v>k</v>
      </c>
      <c r="E66" s="137" t="str">
        <v>efficiency of metabolizable energy use for milk production</v>
      </c>
      <c r="F66" s="137"/>
      <c r="G66" s="137" t="str">
        <v>fraction</v>
      </c>
      <c r="H66" s="133" t="str">
        <v>Constant</v>
      </c>
      <c r="I66" s="137">
        <f>'Constants - Dairy'!$D$181</f>
        <v>0.6</v>
      </c>
    </row>
    <row r="67" spans="4:22" ht="20.100000000000001" customHeight="1" x14ac:dyDescent="0.25">
      <c r="D67" s="137" t="str">
        <v>qm_j</v>
      </c>
      <c r="E67" s="136" t="str">
        <v>metabolisability of the diet</v>
      </c>
      <c r="F67" s="138"/>
      <c r="G67" s="137" t="str">
        <v>fraction</v>
      </c>
      <c r="H67" s="133" t="str">
        <v>Calculated from 3.3.1.1 (6)</v>
      </c>
      <c r="I67" s="134" t="str" cm="1">
        <f t="array" aca="1" ref="I67" ca="1">HYPERLINK(Common_InputFunctions.Utility_SourceHyperlink($D$20), $D$20)</f>
        <v>M1_Table_qm_j</v>
      </c>
    </row>
    <row r="68" spans="4:22" ht="20.100000000000001" customHeight="1" x14ac:dyDescent="0.25"/>
    <row r="69" spans="4:22" ht="20.100000000000001" customHeight="1" x14ac:dyDescent="0.25"/>
    <row r="70" spans="4:22" ht="20.100000000000001" customHeight="1" x14ac:dyDescent="0.25">
      <c r="D70" s="104" t="s">
        <v>240</v>
      </c>
    </row>
    <row r="71" spans="4:22" ht="20.100000000000001" customHeight="1" x14ac:dyDescent="0.25">
      <c r="D71" s="103" t="s">
        <v>199</v>
      </c>
    </row>
    <row r="72" spans="4:22" ht="20.100000000000001" customHeight="1" x14ac:dyDescent="0.25">
      <c r="D72" s="41" t="s">
        <v>175</v>
      </c>
      <c r="E72" s="41" t="s">
        <v>192</v>
      </c>
      <c r="F72" s="41" t="s">
        <v>193</v>
      </c>
      <c r="G72" s="41" t="s">
        <v>194</v>
      </c>
      <c r="H72" s="41" t="s">
        <v>195</v>
      </c>
    </row>
    <row r="73" spans="4:22" ht="20.100000000000001" customHeight="1" x14ac:dyDescent="0.25">
      <c r="D73" s="55">
        <f>IF(I61="Milk solids", 0, 'Input - Dairy'!$E$52)</f>
        <v>0</v>
      </c>
      <c r="E73" s="55">
        <v>0</v>
      </c>
      <c r="F73" s="55">
        <v>0</v>
      </c>
      <c r="G73" s="55">
        <v>0</v>
      </c>
      <c r="H73" s="55">
        <v>0</v>
      </c>
      <c r="I73" s="2" t="s">
        <v>237</v>
      </c>
      <c r="J73" s="2"/>
      <c r="K73" s="2"/>
    </row>
    <row r="74" spans="4:22" ht="20.100000000000001" customHeight="1" x14ac:dyDescent="0.25"/>
    <row r="75" spans="4:22" ht="20.100000000000001" customHeight="1" x14ac:dyDescent="0.25">
      <c r="D75" s="104" t="s">
        <v>235</v>
      </c>
      <c r="O75" s="104" t="s">
        <v>238</v>
      </c>
    </row>
    <row r="76" spans="4:22" ht="20.100000000000001" customHeight="1" x14ac:dyDescent="0.25">
      <c r="D76" s="103" t="s">
        <v>236</v>
      </c>
      <c r="O76" s="103" t="s">
        <v>239</v>
      </c>
    </row>
    <row r="77" spans="4:22" ht="20.100000000000001" customHeight="1" x14ac:dyDescent="0.25">
      <c r="D77" s="54" t="s">
        <v>175</v>
      </c>
      <c r="E77" s="54" t="s">
        <v>192</v>
      </c>
      <c r="F77" s="54" t="s">
        <v>193</v>
      </c>
      <c r="G77" s="54" t="s">
        <v>194</v>
      </c>
      <c r="H77" s="54" t="s">
        <v>195</v>
      </c>
      <c r="O77" s="54" t="s">
        <v>175</v>
      </c>
      <c r="P77" s="54" t="s">
        <v>192</v>
      </c>
      <c r="Q77" s="54" t="s">
        <v>193</v>
      </c>
      <c r="R77" s="54" t="s">
        <v>194</v>
      </c>
      <c r="S77" s="54" t="s">
        <v>195</v>
      </c>
    </row>
    <row r="78" spans="4:22" ht="20.100000000000001" customHeight="1" x14ac:dyDescent="0.25">
      <c r="D78" s="55" cm="1">
        <f t="array" ref="D78">EntericMethane_Dairy_Equations.VEERG_3_3_1_1__4_AdditionalIntakeForMilkProduction(IF(I61="Milk solids", D49, D73), $I$64,$I$65,$I$66,D23)</f>
        <v>2.8803734938155463</v>
      </c>
      <c r="E78" s="55" cm="1">
        <f t="array" ref="E78">EntericMethane_Dairy_Equations.VEERG_3_3_1_1__4_AdditionalIntakeForMilkProduction(E73, $I$64,$I$65,$I$66,E23)</f>
        <v>0</v>
      </c>
      <c r="F78" s="55" cm="1">
        <f t="array" ref="F78">EntericMethane_Dairy_Equations.VEERG_3_3_1_1__4_AdditionalIntakeForMilkProduction(F73, $I$64,$I$65,$I$66,F23)</f>
        <v>0</v>
      </c>
      <c r="G78" s="55" cm="1">
        <f t="array" ref="G78">EntericMethane_Dairy_Equations.VEERG_3_3_1_1__4_AdditionalIntakeForMilkProduction(G73, $I$64,$I$65,$I$66,G23)</f>
        <v>0</v>
      </c>
      <c r="H78" s="55" cm="1">
        <f t="array" ref="H78">EntericMethane_Dairy_Equations.VEERG_3_3_1_1__4_AdditionalIntakeForMilkProduction(H73, $I$64,$I$65,$I$66,H23)</f>
        <v>0</v>
      </c>
      <c r="I78" s="2" t="str">
        <f>$E$59</f>
        <v>kg DM/head/day</v>
      </c>
      <c r="J78" s="2"/>
      <c r="K78" s="2"/>
      <c r="O78" s="55" cm="1">
        <f t="array" ref="O78">EntericMethane_Dairy_Equations.VEERG_3_3_1_1__4_AdditionalIntakeForMilkProduction(IF(I61="Milk solids", O49, D73), $I$64,$I$65,$I$66,O23)</f>
        <v>2.8803734938155463</v>
      </c>
      <c r="P78" s="55" cm="1">
        <f t="array" ref="P78">EntericMethane_Dairy_Equations.VEERG_3_3_1_1__4_AdditionalIntakeForMilkProduction(E73, $I$64,$I$65,$I$66,P23)</f>
        <v>0</v>
      </c>
      <c r="Q78" s="55" cm="1">
        <f t="array" ref="Q78">EntericMethane_Dairy_Equations.VEERG_3_3_1_1__4_AdditionalIntakeForMilkProduction(F73, $I$64,$I$65,$I$66,Q23)</f>
        <v>0</v>
      </c>
      <c r="R78" s="55" cm="1">
        <f t="array" ref="R78">EntericMethane_Dairy_Equations.VEERG_3_3_1_1__4_AdditionalIntakeForMilkProduction(G73, $I$64,$I$65,$I$66,R23)</f>
        <v>0</v>
      </c>
      <c r="S78" s="55" cm="1">
        <f t="array" ref="S78">EntericMethane_Dairy_Equations.VEERG_3_3_1_1__4_AdditionalIntakeForMilkProduction(H73, $I$64,$I$65,$I$66,S23)</f>
        <v>0</v>
      </c>
      <c r="T78" s="2" t="str">
        <f>$E$59</f>
        <v>kg DM/head/day</v>
      </c>
      <c r="U78" s="2"/>
      <c r="V78" s="2"/>
    </row>
    <row r="79" spans="4:22" ht="20.100000000000001" customHeight="1" x14ac:dyDescent="0.25"/>
    <row r="80" spans="4:22" ht="20.100000000000001" customHeight="1" x14ac:dyDescent="0.25"/>
    <row r="81" spans="3:23" ht="20.100000000000001" customHeight="1" x14ac:dyDescent="0.25">
      <c r="C81" s="48"/>
      <c r="D81" s="48"/>
      <c r="E81" s="48"/>
      <c r="F81" s="48"/>
      <c r="G81" s="48"/>
      <c r="H81" s="48"/>
      <c r="I81" s="48"/>
      <c r="J81" s="48"/>
      <c r="K81" s="48"/>
      <c r="L81" s="48"/>
      <c r="N81" s="48"/>
      <c r="O81" s="48"/>
      <c r="P81" s="48"/>
      <c r="Q81" s="48"/>
      <c r="R81" s="48"/>
      <c r="S81" s="48"/>
      <c r="T81" s="48"/>
      <c r="U81" s="48"/>
      <c r="V81" s="48"/>
      <c r="W81" s="48"/>
    </row>
    <row r="82" spans="3:23" ht="20.100000000000001" customHeight="1" x14ac:dyDescent="0.25">
      <c r="D82" s="6" t="str" cm="1">
        <f t="array" ref="D82">EntericMethane_Dairy_Equations.VEERG_3_3_1_1__3_DryMatterFeedIntake_Title()</f>
        <v>Feed intake</v>
      </c>
    </row>
    <row r="83" spans="3:23" ht="20.100000000000001" customHeight="1" x14ac:dyDescent="0.25">
      <c r="D83" s="5" t="str" cm="1">
        <f t="array" ref="D83">EntericMethane_Dairy_Equations.VEERG_3_3_1_1__3_DryMatterFeedIntake_Source()</f>
        <v>VEERG 2026: 3.3.1.1, Equation (3)</v>
      </c>
    </row>
    <row r="84" spans="3:23" ht="20.100000000000001" customHeight="1" x14ac:dyDescent="0.25">
      <c r="D84" s="13" t="s">
        <v>28</v>
      </c>
      <c r="E84" s="13" t="str" cm="1">
        <f t="array" aca="1" ref="E84" ca="1">Common_InputFunctions.Utility_DisplayFunctionName(D113)</f>
        <v>=EntericMethane_Dairy_Equations.VEERG_3_3_1_1__3_DryMatterFeedIntake</v>
      </c>
    </row>
    <row r="85" spans="3:23" ht="20.100000000000001" customHeight="1" x14ac:dyDescent="0.25"/>
    <row r="86" spans="3:23" ht="20.100000000000001" customHeight="1" x14ac:dyDescent="0.25"/>
    <row r="87" spans="3:23" ht="20.100000000000001" customHeight="1" x14ac:dyDescent="0.25">
      <c r="D87" s="56" t="s">
        <v>31</v>
      </c>
      <c r="E87" s="1" t="str" cm="1">
        <f t="array" ref="E87">EntericMethane_Dairy_Equations.VEERG_3_3_1_1__3_DryMatterFeedIntake_Variable()</f>
        <v>I_j</v>
      </c>
    </row>
    <row r="88" spans="3:23" ht="20.100000000000001" customHeight="1" x14ac:dyDescent="0.25">
      <c r="D88" s="56" t="s">
        <v>21</v>
      </c>
      <c r="E88" s="57" t="str" cm="1">
        <f t="array" ref="E88">EntericMethane_Dairy_Equations.VEERG_3_3_1_1__3_DryMatterFeedIntake_Unit()</f>
        <v>kg DM/head/day</v>
      </c>
    </row>
    <row r="89" spans="3:23" ht="20.100000000000001" customHeight="1" x14ac:dyDescent="0.25"/>
    <row r="90" spans="3:23" ht="20.100000000000001" customHeight="1" x14ac:dyDescent="0.25">
      <c r="D90" s="137" t="str" cm="1">
        <f t="array" ref="D90:E93">_xlfn.CHOOSECOLS(EntericMethane_Dairy_Equations.VEERG_3_3_1_1__3_DryMatterFeedIntake_Arguments(),1,2)</f>
        <v>W_j</v>
      </c>
      <c r="E90" s="136" t="str">
        <v>liveweight</v>
      </c>
      <c r="F90" s="138"/>
      <c r="G90" s="137" t="str" cm="1">
        <f t="array" ref="G90:H93">_xlfn.CHOOSECOLS(EntericMethane_Dairy_Equations.VEERG_3_3_1_1__3_DryMatterFeedIntake_Arguments(),3,4)</f>
        <v>kg</v>
      </c>
      <c r="H90" s="135" t="str">
        <v>Input</v>
      </c>
      <c r="I90" s="134" t="str" cm="1">
        <f t="array" aca="1" ref="I90" ca="1">HYPERLINK(Common_InputFunctions.Utility_SourceHyperlink($D$95), $D$95)</f>
        <v>M1_Table_W_j</v>
      </c>
    </row>
    <row r="91" spans="3:23" ht="20.100000000000001" customHeight="1" x14ac:dyDescent="0.25">
      <c r="D91" s="137" t="str">
        <v>LWG_j</v>
      </c>
      <c r="E91" s="136" t="str">
        <v>liveweight gain</v>
      </c>
      <c r="F91" s="138"/>
      <c r="G91" s="137" t="str">
        <v>kg/head/day</v>
      </c>
      <c r="H91" s="135" t="str">
        <v>Input</v>
      </c>
      <c r="I91" s="134" t="str" cm="1">
        <f t="array" aca="1" ref="I91" ca="1">HYPERLINK(Common_InputFunctions.Utility_SourceHyperlink($D$100), $D$100)</f>
        <v>M1_Table_LWG_j</v>
      </c>
    </row>
    <row r="92" spans="3:23" ht="20.100000000000001" customHeight="1" x14ac:dyDescent="0.25">
      <c r="D92" s="137" t="str">
        <v>MR_j</v>
      </c>
      <c r="E92" s="136" t="str">
        <v>increase in metabolic rate when producing milk</v>
      </c>
      <c r="F92" s="138"/>
      <c r="G92" s="137" t="str">
        <v>fraction</v>
      </c>
      <c r="H92" s="133" t="str">
        <v>Constant</v>
      </c>
      <c r="I92" s="134" t="str" cm="1">
        <f t="array" aca="1" ref="I92" ca="1">HYPERLINK(Common_InputFunctions.Utility_SourceHyperlink($D$105), $D$105)</f>
        <v>Table_MR_j</v>
      </c>
    </row>
    <row r="93" spans="3:23" ht="20.100000000000001" customHeight="1" x14ac:dyDescent="0.25">
      <c r="D93" s="137" t="str">
        <v>MI_j</v>
      </c>
      <c r="E93" s="136" t="str">
        <v>additional intake required for milk production</v>
      </c>
      <c r="F93" s="138"/>
      <c r="G93" s="137" t="str">
        <v>kg DM/head/day</v>
      </c>
      <c r="H93" s="133" t="str">
        <v>Calculated from 3.3.1.1 (4)</v>
      </c>
      <c r="I93" s="134" t="str" cm="1">
        <f t="array" aca="1" ref="I93" ca="1">HYPERLINK(Common_InputFunctions.Utility_SourceHyperlink($D$75), $D$75)</f>
        <v>M1_Table_MI_j</v>
      </c>
    </row>
    <row r="94" spans="3:23" ht="20.100000000000001" customHeight="1" x14ac:dyDescent="0.25"/>
    <row r="95" spans="3:23" ht="20.100000000000001" customHeight="1" x14ac:dyDescent="0.25">
      <c r="D95" s="104" t="s">
        <v>220</v>
      </c>
      <c r="O95" s="104" t="s">
        <v>222</v>
      </c>
    </row>
    <row r="96" spans="3:23" ht="20.100000000000001" customHeight="1" x14ac:dyDescent="0.25">
      <c r="D96" s="103" t="s">
        <v>221</v>
      </c>
      <c r="O96" s="103" t="s">
        <v>223</v>
      </c>
    </row>
    <row r="97" spans="1:22" ht="20.100000000000001" customHeight="1" x14ac:dyDescent="0.25">
      <c r="D97" s="41" t="s">
        <v>175</v>
      </c>
      <c r="E97" s="41" t="s">
        <v>192</v>
      </c>
      <c r="F97" s="41" t="s">
        <v>193</v>
      </c>
      <c r="G97" s="41" t="s">
        <v>194</v>
      </c>
      <c r="H97" s="41" t="s">
        <v>195</v>
      </c>
      <c r="O97" s="41" t="s">
        <v>175</v>
      </c>
      <c r="P97" s="41" t="s">
        <v>192</v>
      </c>
      <c r="Q97" s="41" t="s">
        <v>193</v>
      </c>
      <c r="R97" s="41" t="s">
        <v>194</v>
      </c>
      <c r="S97" s="41" t="s">
        <v>195</v>
      </c>
    </row>
    <row r="98" spans="1:22" ht="20.100000000000001" customHeight="1" x14ac:dyDescent="0.25">
      <c r="D98" s="55">
        <f>'Input - Dairy'!$E$14</f>
        <v>550</v>
      </c>
      <c r="E98" s="55">
        <f>'Input - Dairy'!$F$14</f>
        <v>380</v>
      </c>
      <c r="F98" s="55">
        <f>'Input - Dairy'!$G$14</f>
        <v>155</v>
      </c>
      <c r="G98" s="55">
        <f>'Input - Dairy'!$H$14</f>
        <v>600</v>
      </c>
      <c r="H98" s="55">
        <f>'Input - Dairy'!$I$14</f>
        <v>225</v>
      </c>
      <c r="I98" s="2" t="s">
        <v>197</v>
      </c>
      <c r="J98" s="2"/>
      <c r="K98" s="2"/>
      <c r="O98" s="55">
        <f>'Input - Dairy'!$E$18</f>
        <v>550</v>
      </c>
      <c r="P98" s="55">
        <f>'Input - Dairy'!$F$18</f>
        <v>380</v>
      </c>
      <c r="Q98" s="55">
        <f>'Input - Dairy'!$G$18</f>
        <v>155</v>
      </c>
      <c r="R98" s="55">
        <f>'Input - Dairy'!$H$18</f>
        <v>600</v>
      </c>
      <c r="S98" s="55">
        <f>'Input - Dairy'!$I$18</f>
        <v>225</v>
      </c>
      <c r="T98" s="2" t="s">
        <v>197</v>
      </c>
      <c r="U98" s="2"/>
      <c r="V98" s="2"/>
    </row>
    <row r="99" spans="1:22" ht="20.100000000000001" customHeight="1" x14ac:dyDescent="0.25"/>
    <row r="100" spans="1:22" ht="20.100000000000001" customHeight="1" x14ac:dyDescent="0.25">
      <c r="D100" s="104" t="s">
        <v>224</v>
      </c>
      <c r="O100" s="104" t="s">
        <v>226</v>
      </c>
    </row>
    <row r="101" spans="1:22" ht="20.100000000000001" customHeight="1" x14ac:dyDescent="0.25">
      <c r="D101" s="103" t="s">
        <v>225</v>
      </c>
      <c r="O101" s="103" t="s">
        <v>227</v>
      </c>
    </row>
    <row r="102" spans="1:22" ht="20.100000000000001" customHeight="1" x14ac:dyDescent="0.25">
      <c r="D102" s="41" t="s">
        <v>175</v>
      </c>
      <c r="E102" s="41" t="s">
        <v>192</v>
      </c>
      <c r="F102" s="41" t="s">
        <v>193</v>
      </c>
      <c r="G102" s="41" t="s">
        <v>194</v>
      </c>
      <c r="H102" s="41" t="s">
        <v>195</v>
      </c>
      <c r="O102" s="41" t="s">
        <v>175</v>
      </c>
      <c r="P102" s="41" t="s">
        <v>192</v>
      </c>
      <c r="Q102" s="41" t="s">
        <v>193</v>
      </c>
      <c r="R102" s="41" t="s">
        <v>194</v>
      </c>
      <c r="S102" s="41" t="s">
        <v>195</v>
      </c>
    </row>
    <row r="103" spans="1:22" ht="20.100000000000001" customHeight="1" x14ac:dyDescent="0.25">
      <c r="D103" s="55">
        <f>'Input - Dairy'!$E$15</f>
        <v>1.6E-2</v>
      </c>
      <c r="E103" s="55">
        <f>'Input - Dairy'!$F$15</f>
        <v>0.6</v>
      </c>
      <c r="F103" s="55">
        <f>'Input - Dairy'!$G$15</f>
        <v>0.56999999999999995</v>
      </c>
      <c r="G103" s="55">
        <f>'Input - Dairy'!$H$15</f>
        <v>0.1</v>
      </c>
      <c r="H103" s="55">
        <f>'Input - Dairy'!$I$15</f>
        <v>0.8</v>
      </c>
      <c r="I103" s="2" t="s">
        <v>198</v>
      </c>
      <c r="J103" s="2"/>
      <c r="K103" s="2"/>
      <c r="O103" s="55">
        <f>'Input - Dairy'!$E$19</f>
        <v>1.6E-2</v>
      </c>
      <c r="P103" s="55">
        <f>'Input - Dairy'!$F$19</f>
        <v>0.6</v>
      </c>
      <c r="Q103" s="55">
        <f>'Input - Dairy'!$G$19</f>
        <v>0.56999999999999995</v>
      </c>
      <c r="R103" s="55">
        <f>'Input - Dairy'!$H$19</f>
        <v>0.1</v>
      </c>
      <c r="S103" s="55">
        <f>'Input - Dairy'!$I$19</f>
        <v>0.8</v>
      </c>
      <c r="T103" s="2" t="s">
        <v>198</v>
      </c>
      <c r="U103" s="2"/>
      <c r="V103" s="2"/>
    </row>
    <row r="104" spans="1:22" ht="20.100000000000001" customHeight="1" x14ac:dyDescent="0.25"/>
    <row r="105" spans="1:22" ht="20.100000000000001" customHeight="1" x14ac:dyDescent="0.25">
      <c r="A105" s="141" t="str">
        <f>HYPERLINK("#A1", "▲ Back to top")</f>
        <v>▲ Back to top</v>
      </c>
      <c r="D105" s="104" t="s">
        <v>228</v>
      </c>
    </row>
    <row r="106" spans="1:22" ht="20.100000000000001" customHeight="1" x14ac:dyDescent="0.25">
      <c r="D106" s="103" t="s">
        <v>229</v>
      </c>
    </row>
    <row r="107" spans="1:22" ht="20.100000000000001" customHeight="1" x14ac:dyDescent="0.25">
      <c r="D107" s="54" t="s">
        <v>175</v>
      </c>
      <c r="E107" s="54" t="s">
        <v>192</v>
      </c>
      <c r="F107" s="54" t="s">
        <v>193</v>
      </c>
      <c r="G107" s="54" t="s">
        <v>194</v>
      </c>
      <c r="H107" s="54" t="s">
        <v>195</v>
      </c>
    </row>
    <row r="108" spans="1:22" ht="20.100000000000001" customHeight="1" x14ac:dyDescent="0.25">
      <c r="D108" s="55">
        <f>'Constants - Dairy'!$E$108</f>
        <v>1.1000000000000001</v>
      </c>
      <c r="E108" s="55">
        <f>'Constants - Dairy'!$E$109</f>
        <v>1</v>
      </c>
      <c r="F108" s="55">
        <f>'Constants - Dairy'!$E$109</f>
        <v>1</v>
      </c>
      <c r="G108" s="55">
        <f>'Constants - Dairy'!$E$109</f>
        <v>1</v>
      </c>
      <c r="H108" s="55">
        <f>'Constants - Dairy'!$E$109</f>
        <v>1</v>
      </c>
      <c r="I108" s="2" t="s">
        <v>101</v>
      </c>
      <c r="J108" s="2"/>
      <c r="K108" s="2"/>
    </row>
    <row r="109" spans="1:22" ht="20.100000000000001" customHeight="1" x14ac:dyDescent="0.25"/>
    <row r="110" spans="1:22" ht="20.100000000000001" customHeight="1" x14ac:dyDescent="0.25">
      <c r="D110" s="104" t="s">
        <v>114</v>
      </c>
      <c r="O110" s="104" t="s">
        <v>116</v>
      </c>
    </row>
    <row r="111" spans="1:22" ht="20.100000000000001" customHeight="1" x14ac:dyDescent="0.25">
      <c r="D111" s="103" t="s">
        <v>243</v>
      </c>
      <c r="O111" s="103" t="s">
        <v>242</v>
      </c>
    </row>
    <row r="112" spans="1:22" ht="20.100000000000001" customHeight="1" x14ac:dyDescent="0.25">
      <c r="D112" s="54" t="s">
        <v>175</v>
      </c>
      <c r="E112" s="54" t="s">
        <v>192</v>
      </c>
      <c r="F112" s="54" t="s">
        <v>193</v>
      </c>
      <c r="G112" s="54" t="s">
        <v>194</v>
      </c>
      <c r="H112" s="54" t="s">
        <v>195</v>
      </c>
      <c r="O112" s="54" t="s">
        <v>175</v>
      </c>
      <c r="P112" s="54" t="s">
        <v>192</v>
      </c>
      <c r="Q112" s="54" t="s">
        <v>193</v>
      </c>
      <c r="R112" s="54" t="s">
        <v>194</v>
      </c>
      <c r="S112" s="54" t="s">
        <v>195</v>
      </c>
    </row>
    <row r="113" spans="3:23" ht="20.100000000000001" customHeight="1" x14ac:dyDescent="0.25">
      <c r="D113" s="55" cm="1">
        <f t="array" ref="D113">EntericMethane_Dairy_Equations.VEERG_3_3_1_1__3_DryMatterFeedIntake(D98,D103,D108,D78)</f>
        <v>12.134819014575548</v>
      </c>
      <c r="E113" s="55" cm="1">
        <f t="array" ref="E113">EntericMethane_Dairy_Equations.VEERG_3_3_1_1__3_DryMatterFeedIntake(E98,E103,E108,E78)</f>
        <v>7.4188685375999972</v>
      </c>
      <c r="F113" s="55" cm="1">
        <f t="array" ref="F113">EntericMethane_Dairy_Equations.VEERG_3_3_1_1__3_DryMatterFeedIntake(F98,F103,F108,F78)</f>
        <v>4.0231734662249998</v>
      </c>
      <c r="G113" s="55" cm="1">
        <f t="array" ref="G113">EntericMethane_Dairy_Equations.VEERG_3_3_1_1__3_DryMatterFeedIntake(G98,G103,G108,G78)</f>
        <v>9.0270202499999979</v>
      </c>
      <c r="H113" s="55" cm="1">
        <f t="array" ref="H113">EntericMethane_Dairy_Equations.VEERG_3_3_1_1__3_DryMatterFeedIntake(H98,H103,H108,H78)</f>
        <v>5.4143472656250013</v>
      </c>
      <c r="I113" s="2" t="str">
        <f>$E$88</f>
        <v>kg DM/head/day</v>
      </c>
      <c r="J113" s="2"/>
      <c r="K113" s="2"/>
      <c r="O113" s="55" cm="1">
        <f t="array" ref="O113">EntericMethane_Dairy_Equations.VEERG_3_3_1_1__3_DryMatterFeedIntake(O98,O103,D108,O78)</f>
        <v>12.134819014575548</v>
      </c>
      <c r="P113" s="55" cm="1">
        <f t="array" ref="P113">EntericMethane_Dairy_Equations.VEERG_3_3_1_1__3_DryMatterFeedIntake(P98,P103,E108,P78)</f>
        <v>7.4188685375999972</v>
      </c>
      <c r="Q113" s="55" cm="1">
        <f t="array" ref="Q113">EntericMethane_Dairy_Equations.VEERG_3_3_1_1__3_DryMatterFeedIntake(Q98,Q103,F108,Q78)</f>
        <v>4.0231734662249998</v>
      </c>
      <c r="R113" s="55" cm="1">
        <f t="array" ref="R113">EntericMethane_Dairy_Equations.VEERG_3_3_1_1__3_DryMatterFeedIntake(R98,R103,G108,R78)</f>
        <v>9.0270202499999979</v>
      </c>
      <c r="S113" s="55" cm="1">
        <f t="array" ref="S113">EntericMethane_Dairy_Equations.VEERG_3_3_1_1__3_DryMatterFeedIntake(S98,S103,H108,S78)</f>
        <v>5.4143472656250013</v>
      </c>
      <c r="T113" s="2" t="str">
        <f>$E$88</f>
        <v>kg DM/head/day</v>
      </c>
      <c r="U113" s="2"/>
      <c r="V113" s="2"/>
    </row>
    <row r="114" spans="3:23" ht="20.100000000000001" customHeight="1" x14ac:dyDescent="0.25"/>
    <row r="115" spans="3:23" ht="20.100000000000001" customHeight="1" x14ac:dyDescent="0.25"/>
    <row r="116" spans="3:23" ht="20.100000000000001" customHeight="1" x14ac:dyDescent="0.25">
      <c r="C116" s="48"/>
      <c r="D116" s="48"/>
      <c r="E116" s="48"/>
      <c r="F116" s="48"/>
      <c r="G116" s="48"/>
      <c r="H116" s="48"/>
      <c r="I116" s="48"/>
      <c r="J116" s="48"/>
      <c r="K116" s="48"/>
      <c r="L116" s="48"/>
      <c r="N116" s="48"/>
      <c r="O116" s="48"/>
      <c r="P116" s="48"/>
      <c r="Q116" s="48"/>
      <c r="R116" s="48"/>
      <c r="S116" s="48"/>
      <c r="T116" s="48"/>
      <c r="U116" s="48"/>
      <c r="V116" s="48"/>
      <c r="W116" s="48"/>
    </row>
    <row r="117" spans="3:23" ht="20.100000000000001" customHeight="1" x14ac:dyDescent="0.25">
      <c r="D117" s="6" t="str" cm="1">
        <f t="array" ref="D117">MMS_Dairy_Methane_Equations.VEERG_4_3_1_1__3_VolatileSolidsForWeanedDairyCattle_Title()</f>
        <v>Volatile solids for weaned dairy cattle</v>
      </c>
    </row>
    <row r="118" spans="3:23" ht="20.100000000000001" customHeight="1" x14ac:dyDescent="0.25">
      <c r="D118" s="5" t="str" cm="1">
        <f t="array" ref="D118">MMS_Dairy_Methane_Equations.VEERG_4_3_1_1__3_VolatileSolidsForWeanedDairyCattle_Source()</f>
        <v>VEERG 2026: 4.3.1.1, Equation (3)</v>
      </c>
    </row>
    <row r="119" spans="3:23" ht="20.100000000000001" customHeight="1" x14ac:dyDescent="0.25">
      <c r="D119" s="13" t="s">
        <v>28</v>
      </c>
      <c r="E119" s="13" t="str" cm="1">
        <f t="array" aca="1" ref="E119" ca="1">Common_InputFunctions.Utility_DisplayFunctionName(D132)</f>
        <v>=MMS_Dairy_Methane_Equations.VEERG_4_3_1_1__3_VolatileSolidsForWeanedDairyCattle</v>
      </c>
    </row>
    <row r="120" spans="3:23" ht="20.100000000000001" customHeight="1" x14ac:dyDescent="0.25"/>
    <row r="121" spans="3:23" ht="20.100000000000001" customHeight="1" x14ac:dyDescent="0.25"/>
    <row r="122" spans="3:23" ht="20.100000000000001" customHeight="1" x14ac:dyDescent="0.25">
      <c r="D122" s="56" t="s">
        <v>31</v>
      </c>
      <c r="E122" s="1" t="str" cm="1">
        <f t="array" ref="E122">MMS_Dairy_Methane_Equations.VEERG_4_3_1_1__3_VolatileSolidsForWeanedDairyCattle_Variable()</f>
        <v>VS_j</v>
      </c>
    </row>
    <row r="123" spans="3:23" ht="20.100000000000001" customHeight="1" x14ac:dyDescent="0.25">
      <c r="D123" s="56" t="s">
        <v>21</v>
      </c>
      <c r="E123" s="57" t="str" cm="1">
        <f t="array" ref="E123">MMS_Dairy_Methane_Equations.VEERG_4_3_1_1__3_VolatileSolidsForWeanedDairyCattle_Unit()</f>
        <v>kg/head/day</v>
      </c>
    </row>
    <row r="124" spans="3:23" ht="20.100000000000001" customHeight="1" x14ac:dyDescent="0.25"/>
    <row r="125" spans="3:23" ht="20.100000000000001" customHeight="1" x14ac:dyDescent="0.25">
      <c r="D125" s="137" t="str" cm="1">
        <f t="array" ref="D125:E127">_xlfn.CHOOSECOLS(MMS_Dairy_Methane_Equations.VEERG_4_3_1_1__3_VolatileSolidsForWeanedDairyCattle_Arguments(), 1,2)</f>
        <v>I_j</v>
      </c>
      <c r="E125" s="136" t="str">
        <v>dry matter feed intake (kgDM/head/day)</v>
      </c>
      <c r="F125" s="138"/>
      <c r="G125" s="137" t="str" cm="1">
        <f t="array" ref="G125:H127">_xlfn.CHOOSECOLS(MMS_Dairy_Methane_Equations.VEERG_4_3_1_1__3_VolatileSolidsForWeanedDairyCattle_Arguments(), 3,4)</f>
        <v>kgDM/head/day</v>
      </c>
      <c r="H125" s="133" t="str">
        <v>Calculated from 3.3.1.1 (3)</v>
      </c>
      <c r="I125" s="134" t="str" cm="1">
        <f t="array" aca="1" ref="I125" ca="1">HYPERLINK(Common_InputFunctions.Utility_SourceHyperlink($D$110), $D$110)</f>
        <v>M1_Table_I_j</v>
      </c>
    </row>
    <row r="126" spans="3:23" ht="20.100000000000001" customHeight="1" x14ac:dyDescent="0.25">
      <c r="D126" s="137" t="str">
        <v>DMD_j</v>
      </c>
      <c r="E126" s="136" t="str">
        <v>dry matter digestibility</v>
      </c>
      <c r="F126" s="138"/>
      <c r="G126" s="137" t="str">
        <v>fraction</v>
      </c>
      <c r="H126" s="135" t="str">
        <v>Input</v>
      </c>
      <c r="I126" s="134" t="str" cm="1">
        <f t="array" aca="1" ref="I126" ca="1">HYPERLINK(Common_InputFunctions.Utility_SourceHyperlink($D$15), $D$15)</f>
        <v>M1_Table_DMD_j</v>
      </c>
    </row>
    <row r="127" spans="3:23" ht="20.100000000000001" customHeight="1" x14ac:dyDescent="0.25">
      <c r="D127" s="137" t="str">
        <v>A</v>
      </c>
      <c r="E127" s="136" t="str">
        <v>ash content of feed intake</v>
      </c>
      <c r="F127" s="138"/>
      <c r="G127" s="137" t="str">
        <v>fraction</v>
      </c>
      <c r="H127" s="133" t="str">
        <v>Constant</v>
      </c>
      <c r="I127" s="137">
        <f>'Constants - Dairy'!$D$188</f>
        <v>0.08</v>
      </c>
    </row>
    <row r="128" spans="3:23" ht="20.100000000000001" customHeight="1" x14ac:dyDescent="0.25"/>
    <row r="129" spans="3:23" ht="20.100000000000001" customHeight="1" x14ac:dyDescent="0.25">
      <c r="D129" s="104" t="s">
        <v>127</v>
      </c>
      <c r="O129" s="104" t="s">
        <v>130</v>
      </c>
    </row>
    <row r="130" spans="3:23" ht="20.100000000000001" customHeight="1" x14ac:dyDescent="0.25">
      <c r="D130" s="103" t="s">
        <v>244</v>
      </c>
      <c r="O130" s="103" t="s">
        <v>245</v>
      </c>
    </row>
    <row r="131" spans="3:23" ht="20.100000000000001" customHeight="1" x14ac:dyDescent="0.25">
      <c r="D131" s="54" t="s">
        <v>175</v>
      </c>
      <c r="E131" s="54" t="s">
        <v>192</v>
      </c>
      <c r="F131" s="54" t="s">
        <v>193</v>
      </c>
      <c r="G131" s="54" t="s">
        <v>194</v>
      </c>
      <c r="H131" s="54" t="s">
        <v>195</v>
      </c>
      <c r="O131" s="54" t="s">
        <v>175</v>
      </c>
      <c r="P131" s="54" t="s">
        <v>192</v>
      </c>
      <c r="Q131" s="54" t="s">
        <v>193</v>
      </c>
      <c r="R131" s="54" t="s">
        <v>194</v>
      </c>
      <c r="S131" s="54" t="s">
        <v>195</v>
      </c>
    </row>
    <row r="132" spans="3:23" ht="20.100000000000001" customHeight="1" x14ac:dyDescent="0.25">
      <c r="D132" s="55" cm="1">
        <f t="array" ref="D132">MMS_Dairy_Methane_Equations.VEERG_4_3_1_1__3_VolatileSolidsForWeanedDairyCattle(D113,D18,$I$127)</f>
        <v>3.2375697130887562</v>
      </c>
      <c r="E132" s="55" cm="1">
        <f t="array" ref="E132">MMS_Dairy_Methane_Equations.VEERG_4_3_1_1__3_VolatileSolidsForWeanedDairyCattle(E113,E18,$I$127)</f>
        <v>1.9793541258316791</v>
      </c>
      <c r="F132" s="55" cm="1">
        <f t="array" ref="F132">MMS_Dairy_Methane_Equations.VEERG_4_3_1_1__3_VolatileSolidsForWeanedDairyCattle(F113,F18,$I$127)</f>
        <v>1.07338268078883</v>
      </c>
      <c r="G132" s="55" cm="1">
        <f t="array" ref="G132">MMS_Dairy_Methane_Equations.VEERG_4_3_1_1__3_VolatileSolidsForWeanedDairyCattle(G113,G18,$I$127)</f>
        <v>2.4084090026999996</v>
      </c>
      <c r="H132" s="55" cm="1">
        <f t="array" ref="H132">MMS_Dairy_Methane_Equations.VEERG_4_3_1_1__3_VolatileSolidsForWeanedDairyCattle(H113,H18,$I$127)</f>
        <v>1.4445478504687506</v>
      </c>
      <c r="I132" s="2" t="str">
        <f>$E$123</f>
        <v>kg/head/day</v>
      </c>
      <c r="O132" s="55" cm="1">
        <f t="array" ref="O132">MMS_Dairy_Methane_Equations.VEERG_4_3_1_1__3_VolatileSolidsForWeanedDairyCattle(O113,O18,$I$127)</f>
        <v>3.2375697130887562</v>
      </c>
      <c r="P132" s="55" cm="1">
        <f t="array" ref="P132">MMS_Dairy_Methane_Equations.VEERG_4_3_1_1__3_VolatileSolidsForWeanedDairyCattle(P113,P18,$I$127)</f>
        <v>1.9793541258316791</v>
      </c>
      <c r="Q132" s="55" cm="1">
        <f t="array" ref="Q132">MMS_Dairy_Methane_Equations.VEERG_4_3_1_1__3_VolatileSolidsForWeanedDairyCattle(Q113,Q18,$I$127)</f>
        <v>1.07338268078883</v>
      </c>
      <c r="R132" s="55" cm="1">
        <f t="array" ref="R132">MMS_Dairy_Methane_Equations.VEERG_4_3_1_1__3_VolatileSolidsForWeanedDairyCattle(R113,R18,$I$127)</f>
        <v>2.4084090026999996</v>
      </c>
      <c r="S132" s="55" cm="1">
        <f t="array" ref="S132">MMS_Dairy_Methane_Equations.VEERG_4_3_1_1__3_VolatileSolidsForWeanedDairyCattle(S113,S18,$I$127)</f>
        <v>1.4445478504687506</v>
      </c>
      <c r="T132" s="2" t="str">
        <f>$E$123</f>
        <v>kg/head/day</v>
      </c>
    </row>
    <row r="133" spans="3:23" ht="20.100000000000001" customHeight="1" x14ac:dyDescent="0.25"/>
    <row r="134" spans="3:23" ht="20.100000000000001" customHeight="1" x14ac:dyDescent="0.25"/>
    <row r="135" spans="3:23" ht="20.100000000000001" customHeight="1" x14ac:dyDescent="0.25">
      <c r="C135" s="48"/>
      <c r="D135" s="48"/>
      <c r="E135" s="48"/>
      <c r="F135" s="48"/>
      <c r="G135" s="48"/>
      <c r="H135" s="48"/>
      <c r="I135" s="48"/>
      <c r="J135" s="48"/>
      <c r="K135" s="48"/>
      <c r="L135" s="48"/>
      <c r="N135" s="48"/>
      <c r="O135" s="48"/>
      <c r="P135" s="48"/>
      <c r="Q135" s="48"/>
      <c r="R135" s="48"/>
      <c r="S135" s="48"/>
      <c r="T135" s="48"/>
      <c r="U135" s="48"/>
      <c r="V135" s="48"/>
      <c r="W135" s="48"/>
    </row>
    <row r="136" spans="3:23" ht="20.100000000000001" customHeight="1" x14ac:dyDescent="0.25">
      <c r="D136" s="6" t="str" cm="1">
        <f t="array" ref="D136">MMS_Dairy_Methane_Equations.VEERG_4_3_1_1__4_FractionVolatileSolidsNotSolidStorage_Title()</f>
        <v>Fraction of volatile solids in each system other than solid storage</v>
      </c>
    </row>
    <row r="137" spans="3:23" ht="20.100000000000001" customHeight="1" x14ac:dyDescent="0.25">
      <c r="D137" s="5" t="str" cm="1">
        <f t="array" ref="D137">MMS_Dairy_Methane_Equations.VEERG_4_3_1_1__4_FractionVolatileSolidsNotSolidStorage_Source()</f>
        <v>VEERG 2026: 4.3.1.1, Equation (4)</v>
      </c>
      <c r="E137" s="13"/>
    </row>
    <row r="138" spans="3:23" ht="20.100000000000001" customHeight="1" x14ac:dyDescent="0.25">
      <c r="D138" s="13" t="s">
        <v>28</v>
      </c>
      <c r="E138" s="13" t="str" cm="1">
        <f t="array" aca="1" ref="E138" ca="1">Common_InputFunctions.Utility_DisplayFunctionName(F173)</f>
        <v>=MMS_Dairy_Methane_Equations.VEERG_4_3_1_1__4_FractionVolatileSolidsNotSolidStorage</v>
      </c>
    </row>
    <row r="139" spans="3:23" ht="20.100000000000001" customHeight="1" x14ac:dyDescent="0.25">
      <c r="D139" s="6"/>
    </row>
    <row r="140" spans="3:23" ht="20.100000000000001" customHeight="1" x14ac:dyDescent="0.25"/>
    <row r="141" spans="3:23" ht="20.100000000000001" customHeight="1" x14ac:dyDescent="0.25">
      <c r="D141" s="56" t="s">
        <v>31</v>
      </c>
      <c r="E141" s="1" t="str" cm="1">
        <f t="array" ref="E141">MMS_Dairy_Methane_Equations.VEERG_4_3_1_1__4_FractionVolatileSolidsNotSolidStorage_Variable()</f>
        <v>FVS_jm</v>
      </c>
    </row>
    <row r="142" spans="3:23" ht="20.100000000000001" customHeight="1" x14ac:dyDescent="0.25">
      <c r="D142" s="56" t="s">
        <v>21</v>
      </c>
      <c r="E142" s="57" t="str" cm="1">
        <f t="array" ref="E142">MMS_Dairy_Methane_Equations.VEERG_4_3_1_1__4_FractionVolatileSolidsNotSolidStorage_Unit()</f>
        <v>fraction</v>
      </c>
    </row>
    <row r="143" spans="3:23" ht="20.100000000000001" customHeight="1" x14ac:dyDescent="0.25"/>
    <row r="144" spans="3:23" ht="20.100000000000001" customHeight="1" x14ac:dyDescent="0.25">
      <c r="D144" s="137" t="str" cm="1">
        <f t="array" ref="D144:E145">_xlfn.CHOOSECOLS(MMS_Dairy_Methane_Equations.VEERG_4_3_1_1__4_FractionVolatileSolidsNotSolidStorage_Arguments(),1,2)</f>
        <v>MMS_jm</v>
      </c>
      <c r="E144" s="137" t="str">
        <v>fraction of manure to each primary MMS for each class prior to solid separation</v>
      </c>
      <c r="F144" s="137"/>
      <c r="G144" s="137" t="str" cm="1">
        <f t="array" ref="G144:H145">_xlfn.CHOOSECOLS(MMS_Dairy_Methane_Equations.VEERG_4_3_1_1__4_FractionVolatileSolidsNotSolidStorage_Arguments(),3,4)</f>
        <v>fraction</v>
      </c>
      <c r="H144" s="135" t="str">
        <v>Input</v>
      </c>
      <c r="I144" s="134" t="str" cm="1">
        <f t="array" aca="1" ref="I144" ca="1">HYPERLINK(Common_InputFunctions.Utility_SourceHyperlink($D$147),$D$147)</f>
        <v>M1_Table_MMS_j_m</v>
      </c>
    </row>
    <row r="145" spans="1:22" ht="20.100000000000001" customHeight="1" x14ac:dyDescent="0.25">
      <c r="D145" s="137" t="str">
        <v>SS_m</v>
      </c>
      <c r="E145" s="137" t="str">
        <v>fraction of volatile solids separated to solid storage for each MMS</v>
      </c>
      <c r="F145" s="137"/>
      <c r="G145" s="137" t="str">
        <v>fraction</v>
      </c>
      <c r="H145" s="135" t="str">
        <v>Input</v>
      </c>
      <c r="I145" s="134" t="str" cm="1">
        <f t="array" aca="1" ref="I145" ca="1">HYPERLINK(Common_InputFunctions.Utility_SourceHyperlink($D$158),$D$158)</f>
        <v>M1_Table_SS_m</v>
      </c>
    </row>
    <row r="146" spans="1:22" ht="20.100000000000001" customHeight="1" x14ac:dyDescent="0.25"/>
    <row r="147" spans="1:22" ht="20.100000000000001" customHeight="1" x14ac:dyDescent="0.25">
      <c r="D147" s="104" t="s">
        <v>250</v>
      </c>
      <c r="O147" s="104" t="s">
        <v>252</v>
      </c>
    </row>
    <row r="148" spans="1:22" ht="20.100000000000001" customHeight="1" x14ac:dyDescent="0.25">
      <c r="D148" s="103" t="s">
        <v>251</v>
      </c>
      <c r="O148" s="103" t="s">
        <v>253</v>
      </c>
    </row>
    <row r="149" spans="1:22" ht="20.100000000000001" customHeight="1" x14ac:dyDescent="0.25">
      <c r="D149" s="41" t="s">
        <v>149</v>
      </c>
      <c r="E149" s="41" t="s">
        <v>69</v>
      </c>
      <c r="F149" s="41" t="s">
        <v>175</v>
      </c>
      <c r="G149" s="41" t="s">
        <v>192</v>
      </c>
      <c r="H149" s="41" t="s">
        <v>193</v>
      </c>
      <c r="I149" s="41" t="s">
        <v>194</v>
      </c>
      <c r="J149" s="41" t="s">
        <v>195</v>
      </c>
      <c r="O149" s="41" t="s">
        <v>149</v>
      </c>
      <c r="P149" s="41" t="s">
        <v>69</v>
      </c>
      <c r="Q149" s="41" t="s">
        <v>175</v>
      </c>
      <c r="R149" s="41" t="s">
        <v>192</v>
      </c>
      <c r="S149" s="41" t="s">
        <v>193</v>
      </c>
      <c r="T149" s="41" t="s">
        <v>194</v>
      </c>
      <c r="U149" s="41" t="s">
        <v>195</v>
      </c>
    </row>
    <row r="150" spans="1:22" ht="20.100000000000001" customHeight="1" x14ac:dyDescent="0.25">
      <c r="D150" s="55" t="str">
        <f>'Input - Dairy'!$D$65</f>
        <v>Pasture</v>
      </c>
      <c r="E150" s="55" t="str">
        <f>'Constants - Livestock'!$E$27</f>
        <v>Pasture range and paddock</v>
      </c>
      <c r="F150" s="55">
        <f>'Input - Dairy'!E65</f>
        <v>0.53400000000000003</v>
      </c>
      <c r="G150" s="55">
        <f>'Input - Dairy'!F65</f>
        <v>0.53400000000000003</v>
      </c>
      <c r="H150" s="55">
        <f>'Input - Dairy'!G65</f>
        <v>0.53400000000000003</v>
      </c>
      <c r="I150" s="55">
        <f>'Input - Dairy'!H65</f>
        <v>0.53400000000000003</v>
      </c>
      <c r="J150" s="55">
        <f>'Input - Dairy'!I65</f>
        <v>0.53400000000000003</v>
      </c>
      <c r="K150" s="2" t="str">
        <f>$G$144</f>
        <v>fraction</v>
      </c>
      <c r="O150" s="55" t="str">
        <f>'Input - Dairy'!$D$65</f>
        <v>Pasture</v>
      </c>
      <c r="P150" s="55" t="str">
        <f>'Constants - Livestock'!$E$27</f>
        <v>Pasture range and paddock</v>
      </c>
      <c r="Q150" s="55">
        <f>'Input - Dairy'!E70</f>
        <v>0.53400000000000003</v>
      </c>
      <c r="R150" s="55">
        <f>'Input - Dairy'!F70</f>
        <v>0.53400000000000003</v>
      </c>
      <c r="S150" s="55">
        <f>'Input - Dairy'!G70</f>
        <v>0.53400000000000003</v>
      </c>
      <c r="T150" s="55">
        <f>'Input - Dairy'!H70</f>
        <v>0.53400000000000003</v>
      </c>
      <c r="U150" s="55">
        <f>'Input - Dairy'!I70</f>
        <v>0.53400000000000003</v>
      </c>
    </row>
    <row r="151" spans="1:22" ht="20.100000000000001" customHeight="1" x14ac:dyDescent="0.25">
      <c r="A151" s="141" t="str">
        <f>HYPERLINK("#A1", "▲ Back to top")</f>
        <v>▲ Back to top</v>
      </c>
      <c r="D151" s="55" t="str">
        <f>'Input - Dairy'!$D$66</f>
        <v>Milking shed</v>
      </c>
      <c r="E151" s="55" t="str">
        <f>'Input - Dairy'!$D$85</f>
        <v>Anaerobic lagoon</v>
      </c>
      <c r="F151" s="55">
        <f>'Input - Dairy'!E$66*'Input - Dairy'!E85</f>
        <v>2.75E-2</v>
      </c>
      <c r="G151" s="55">
        <f>'Input - Dairy'!F$66*'Input - Dairy'!F85</f>
        <v>2.75E-2</v>
      </c>
      <c r="H151" s="55">
        <f>'Input - Dairy'!G$66*'Input - Dairy'!G85</f>
        <v>2.75E-2</v>
      </c>
      <c r="I151" s="55">
        <f>'Input - Dairy'!H$66*'Input - Dairy'!H85</f>
        <v>2.75E-2</v>
      </c>
      <c r="J151" s="55">
        <f>'Input - Dairy'!I$66*'Input - Dairy'!I85</f>
        <v>2.75E-2</v>
      </c>
      <c r="K151" s="2"/>
      <c r="O151" s="55" t="str">
        <f>'Input - Dairy'!$D$66</f>
        <v>Milking shed</v>
      </c>
      <c r="P151" s="55" t="str">
        <f>'Input - Dairy'!$D$85</f>
        <v>Anaerobic lagoon</v>
      </c>
      <c r="Q151" s="55">
        <f>'Input - Dairy'!E$71*'Input - Dairy'!E85</f>
        <v>2.75E-2</v>
      </c>
      <c r="R151" s="55">
        <f>'Input - Dairy'!F$71*'Input - Dairy'!F85</f>
        <v>2.75E-2</v>
      </c>
      <c r="S151" s="55">
        <f>'Input - Dairy'!G$71*'Input - Dairy'!G85</f>
        <v>2.75E-2</v>
      </c>
      <c r="T151" s="55">
        <f>'Input - Dairy'!H$71*'Input - Dairy'!H85</f>
        <v>2.75E-2</v>
      </c>
      <c r="U151" s="55">
        <f>'Input - Dairy'!I$71*'Input - Dairy'!I85</f>
        <v>2.75E-2</v>
      </c>
      <c r="V151" s="2" t="str">
        <f>$G$144</f>
        <v>fraction</v>
      </c>
    </row>
    <row r="152" spans="1:22" ht="20.100000000000001" customHeight="1" x14ac:dyDescent="0.25">
      <c r="D152" s="55" t="str">
        <f>'Input - Dairy'!$D$66</f>
        <v>Milking shed</v>
      </c>
      <c r="E152" s="55" t="str">
        <f>'Input - Dairy'!$D$86</f>
        <v>Sump and dispersal system</v>
      </c>
      <c r="F152" s="55">
        <f>'Input - Dairy'!E$66*'Input - Dairy'!E86</f>
        <v>2.75E-2</v>
      </c>
      <c r="G152" s="55">
        <f>'Input - Dairy'!F$66*'Input - Dairy'!F86</f>
        <v>2.75E-2</v>
      </c>
      <c r="H152" s="55">
        <f>'Input - Dairy'!G$66*'Input - Dairy'!G86</f>
        <v>2.75E-2</v>
      </c>
      <c r="I152" s="55">
        <f>'Input - Dairy'!H$66*'Input - Dairy'!H86</f>
        <v>2.75E-2</v>
      </c>
      <c r="J152" s="55">
        <f>'Input - Dairy'!I$66*'Input - Dairy'!I86</f>
        <v>2.75E-2</v>
      </c>
      <c r="K152" s="2"/>
      <c r="O152" s="55" t="str">
        <f>'Input - Dairy'!$D$66</f>
        <v>Milking shed</v>
      </c>
      <c r="P152" s="55" t="str">
        <f>'Input - Dairy'!$D$86</f>
        <v>Sump and dispersal system</v>
      </c>
      <c r="Q152" s="55">
        <f>'Input - Dairy'!E$71*'Input - Dairy'!E86</f>
        <v>2.75E-2</v>
      </c>
      <c r="R152" s="55">
        <f>'Input - Dairy'!F$71*'Input - Dairy'!F86</f>
        <v>2.75E-2</v>
      </c>
      <c r="S152" s="55">
        <f>'Input - Dairy'!G$71*'Input - Dairy'!G86</f>
        <v>2.75E-2</v>
      </c>
      <c r="T152" s="55">
        <f>'Input - Dairy'!H$71*'Input - Dairy'!H86</f>
        <v>2.75E-2</v>
      </c>
      <c r="U152" s="55">
        <f>'Input - Dairy'!I$71*'Input - Dairy'!I86</f>
        <v>2.75E-2</v>
      </c>
      <c r="V152" s="2"/>
    </row>
    <row r="153" spans="1:22" ht="20.100000000000001" customHeight="1" x14ac:dyDescent="0.25">
      <c r="D153" s="55" t="str">
        <f>'Input - Dairy'!$D$66</f>
        <v>Milking shed</v>
      </c>
      <c r="E153" s="55" t="str">
        <f>'Input - Dairy'!$D$87</f>
        <v>Drains to paddock</v>
      </c>
      <c r="F153" s="55">
        <f>'Input - Dairy'!E$66*'Input - Dairy'!E87</f>
        <v>2.75E-2</v>
      </c>
      <c r="G153" s="55">
        <f>'Input - Dairy'!F$66*'Input - Dairy'!F87</f>
        <v>2.75E-2</v>
      </c>
      <c r="H153" s="55">
        <f>'Input - Dairy'!G$66*'Input - Dairy'!G87</f>
        <v>2.75E-2</v>
      </c>
      <c r="I153" s="55">
        <f>'Input - Dairy'!H$66*'Input - Dairy'!H87</f>
        <v>2.75E-2</v>
      </c>
      <c r="J153" s="55">
        <f>'Input - Dairy'!I$66*'Input - Dairy'!I87</f>
        <v>2.75E-2</v>
      </c>
      <c r="K153" s="2"/>
      <c r="O153" s="55" t="str">
        <f>'Input - Dairy'!$D$66</f>
        <v>Milking shed</v>
      </c>
      <c r="P153" s="55" t="str">
        <f>'Input - Dairy'!$D$87</f>
        <v>Drains to paddock</v>
      </c>
      <c r="Q153" s="55">
        <f>'Input - Dairy'!E$71*'Input - Dairy'!E87</f>
        <v>2.75E-2</v>
      </c>
      <c r="R153" s="55">
        <f>'Input - Dairy'!F$71*'Input - Dairy'!F87</f>
        <v>2.75E-2</v>
      </c>
      <c r="S153" s="55">
        <f>'Input - Dairy'!G$71*'Input - Dairy'!G87</f>
        <v>2.75E-2</v>
      </c>
      <c r="T153" s="55">
        <f>'Input - Dairy'!H$71*'Input - Dairy'!H87</f>
        <v>2.75E-2</v>
      </c>
      <c r="U153" s="55">
        <f>'Input - Dairy'!I$71*'Input - Dairy'!I87</f>
        <v>2.75E-2</v>
      </c>
      <c r="V153" s="2"/>
    </row>
    <row r="154" spans="1:22" ht="20.100000000000001" customHeight="1" x14ac:dyDescent="0.25">
      <c r="D154" s="55" t="str">
        <f>'Input - Dairy'!$D$67</f>
        <v>Feed pad</v>
      </c>
      <c r="E154" s="55" t="str">
        <f>'Input - Dairy'!$D$101</f>
        <v>Anaerobic lagoon</v>
      </c>
      <c r="F154" s="55">
        <f>'Input - Dairy'!E$67*'Input - Dairy'!E101</f>
        <v>8.8999999999999996E-2</v>
      </c>
      <c r="G154" s="55">
        <f>'Input - Dairy'!F$67*'Input - Dairy'!F101</f>
        <v>8.8999999999999996E-2</v>
      </c>
      <c r="H154" s="55">
        <f>'Input - Dairy'!G$67*'Input - Dairy'!G101</f>
        <v>8.8999999999999996E-2</v>
      </c>
      <c r="I154" s="55">
        <f>'Input - Dairy'!H$67*'Input - Dairy'!H101</f>
        <v>8.8999999999999996E-2</v>
      </c>
      <c r="J154" s="55">
        <f>'Input - Dairy'!I$67*'Input - Dairy'!I101</f>
        <v>8.8999999999999996E-2</v>
      </c>
      <c r="K154" s="2"/>
      <c r="O154" s="55" t="str">
        <f>'Input - Dairy'!$D$67</f>
        <v>Feed pad</v>
      </c>
      <c r="P154" s="55" t="str">
        <f>'Input - Dairy'!$D$101</f>
        <v>Anaerobic lagoon</v>
      </c>
      <c r="Q154" s="55">
        <f>'Input - Dairy'!E$72*'Input - Dairy'!E101</f>
        <v>8.8999999999999996E-2</v>
      </c>
      <c r="R154" s="55">
        <f>'Input - Dairy'!F$72*'Input - Dairy'!F101</f>
        <v>8.8999999999999996E-2</v>
      </c>
      <c r="S154" s="55">
        <f>'Input - Dairy'!G$72*'Input - Dairy'!G101</f>
        <v>8.8999999999999996E-2</v>
      </c>
      <c r="T154" s="55">
        <f>'Input - Dairy'!H$72*'Input - Dairy'!H101</f>
        <v>8.8999999999999996E-2</v>
      </c>
      <c r="U154" s="55">
        <f>'Input - Dairy'!I$72*'Input - Dairy'!I101</f>
        <v>8.8999999999999996E-2</v>
      </c>
      <c r="V154" s="2"/>
    </row>
    <row r="155" spans="1:22" ht="20.100000000000001" customHeight="1" x14ac:dyDescent="0.25">
      <c r="D155" s="55" t="str">
        <f>'Input - Dairy'!$D$67</f>
        <v>Feed pad</v>
      </c>
      <c r="E155" s="55" t="str">
        <f>'Input - Dairy'!$D$102</f>
        <v>Sump and dispersal system</v>
      </c>
      <c r="F155" s="55">
        <f>'Input - Dairy'!E$67*'Input - Dairy'!E102</f>
        <v>8.8999999999999996E-2</v>
      </c>
      <c r="G155" s="55">
        <f>'Input - Dairy'!F$67*'Input - Dairy'!F102</f>
        <v>8.8999999999999996E-2</v>
      </c>
      <c r="H155" s="55">
        <f>'Input - Dairy'!G$67*'Input - Dairy'!G102</f>
        <v>8.8999999999999996E-2</v>
      </c>
      <c r="I155" s="55">
        <f>'Input - Dairy'!H$67*'Input - Dairy'!H102</f>
        <v>8.8999999999999996E-2</v>
      </c>
      <c r="J155" s="55">
        <f>'Input - Dairy'!I$67*'Input - Dairy'!I102</f>
        <v>8.8999999999999996E-2</v>
      </c>
      <c r="K155" s="2"/>
      <c r="O155" s="55" t="str">
        <f>'Input - Dairy'!$D$67</f>
        <v>Feed pad</v>
      </c>
      <c r="P155" s="55" t="str">
        <f>'Input - Dairy'!$D$102</f>
        <v>Sump and dispersal system</v>
      </c>
      <c r="Q155" s="55">
        <f>'Input - Dairy'!E$72*'Input - Dairy'!E102</f>
        <v>8.8999999999999996E-2</v>
      </c>
      <c r="R155" s="55">
        <f>'Input - Dairy'!F$72*'Input - Dairy'!F102</f>
        <v>8.8999999999999996E-2</v>
      </c>
      <c r="S155" s="55">
        <f>'Input - Dairy'!G$72*'Input - Dairy'!G102</f>
        <v>8.8999999999999996E-2</v>
      </c>
      <c r="T155" s="55">
        <f>'Input - Dairy'!H$72*'Input - Dairy'!H102</f>
        <v>8.8999999999999996E-2</v>
      </c>
      <c r="U155" s="55">
        <f>'Input - Dairy'!I$72*'Input - Dairy'!I102</f>
        <v>8.8999999999999996E-2</v>
      </c>
      <c r="V155" s="2"/>
    </row>
    <row r="156" spans="1:22" ht="20.100000000000001" customHeight="1" x14ac:dyDescent="0.25">
      <c r="D156" s="55" t="str">
        <f>'Input - Dairy'!$D$67</f>
        <v>Feed pad</v>
      </c>
      <c r="E156" s="55" t="str">
        <f>'Input - Dairy'!$D$103</f>
        <v>Drains to paddock</v>
      </c>
      <c r="F156" s="55">
        <f>'Input - Dairy'!E$67*'Input - Dairy'!E103</f>
        <v>8.8999999999999996E-2</v>
      </c>
      <c r="G156" s="55">
        <f>'Input - Dairy'!F$67*'Input - Dairy'!F103</f>
        <v>8.8999999999999996E-2</v>
      </c>
      <c r="H156" s="55">
        <f>'Input - Dairy'!G$67*'Input - Dairy'!G103</f>
        <v>8.8999999999999996E-2</v>
      </c>
      <c r="I156" s="55">
        <f>'Input - Dairy'!H$67*'Input - Dairy'!H103</f>
        <v>8.8999999999999996E-2</v>
      </c>
      <c r="J156" s="55">
        <f>'Input - Dairy'!I$67*'Input - Dairy'!I103</f>
        <v>8.8999999999999996E-2</v>
      </c>
      <c r="K156" s="2"/>
      <c r="O156" s="55" t="str">
        <f>'Input - Dairy'!$D$67</f>
        <v>Feed pad</v>
      </c>
      <c r="P156" s="55" t="str">
        <f>'Input - Dairy'!$D$103</f>
        <v>Drains to paddock</v>
      </c>
      <c r="Q156" s="55">
        <f>'Input - Dairy'!E$72*'Input - Dairy'!E103</f>
        <v>8.8999999999999996E-2</v>
      </c>
      <c r="R156" s="55">
        <f>'Input - Dairy'!F$72*'Input - Dairy'!F103</f>
        <v>8.8999999999999996E-2</v>
      </c>
      <c r="S156" s="55">
        <f>'Input - Dairy'!G$72*'Input - Dairy'!G103</f>
        <v>8.8999999999999996E-2</v>
      </c>
      <c r="T156" s="55">
        <f>'Input - Dairy'!H$72*'Input - Dairy'!H103</f>
        <v>8.8999999999999996E-2</v>
      </c>
      <c r="U156" s="55">
        <f>'Input - Dairy'!I$72*'Input - Dairy'!I103</f>
        <v>8.8999999999999996E-2</v>
      </c>
      <c r="V156" s="2"/>
    </row>
    <row r="157" spans="1:22" ht="20.100000000000001" customHeight="1" x14ac:dyDescent="0.25"/>
    <row r="158" spans="1:22" ht="20.100000000000001" customHeight="1" x14ac:dyDescent="0.25">
      <c r="D158" s="104" t="s">
        <v>248</v>
      </c>
      <c r="O158" s="104" t="s">
        <v>254</v>
      </c>
    </row>
    <row r="159" spans="1:22" ht="20.100000000000001" customHeight="1" x14ac:dyDescent="0.25">
      <c r="D159" s="103" t="s">
        <v>257</v>
      </c>
      <c r="O159" s="103" t="s">
        <v>258</v>
      </c>
    </row>
    <row r="160" spans="1:22" ht="20.100000000000001" customHeight="1" x14ac:dyDescent="0.25">
      <c r="D160" s="41" t="s">
        <v>149</v>
      </c>
      <c r="E160" s="41" t="s">
        <v>69</v>
      </c>
      <c r="F160" s="41" t="s">
        <v>249</v>
      </c>
      <c r="O160" s="41" t="s">
        <v>149</v>
      </c>
      <c r="P160" s="41" t="s">
        <v>69</v>
      </c>
      <c r="Q160" s="41" t="s">
        <v>249</v>
      </c>
    </row>
    <row r="161" spans="4:22" ht="20.100000000000001" customHeight="1" x14ac:dyDescent="0.25">
      <c r="D161" s="55" t="str">
        <f>'Input - Dairy'!$D$65</f>
        <v>Pasture</v>
      </c>
      <c r="E161" s="55" t="str">
        <f>'Constants - Livestock'!$E$27</f>
        <v>Pasture range and paddock</v>
      </c>
      <c r="F161" s="55">
        <v>0</v>
      </c>
      <c r="G161" s="2" t="str">
        <f>$G$145</f>
        <v>fraction</v>
      </c>
      <c r="O161" s="55" t="str">
        <f>'Input - Dairy'!$D$65</f>
        <v>Pasture</v>
      </c>
      <c r="P161" s="55" t="str">
        <f>'Constants - Livestock'!$E$27</f>
        <v>Pasture range and paddock</v>
      </c>
      <c r="Q161" s="55">
        <v>0</v>
      </c>
      <c r="R161" s="2" t="str">
        <f>$G$145</f>
        <v>fraction</v>
      </c>
    </row>
    <row r="162" spans="4:22" ht="20.100000000000001" customHeight="1" x14ac:dyDescent="0.25">
      <c r="D162" s="55" t="str">
        <f>'Input - Dairy'!$D$66</f>
        <v>Milking shed</v>
      </c>
      <c r="E162" s="55" t="str">
        <f>'Input - Dairy'!$D$85</f>
        <v>Anaerobic lagoon</v>
      </c>
      <c r="F162" s="55">
        <f>'Input - Dairy'!$F$79</f>
        <v>0.2</v>
      </c>
      <c r="O162" s="55" t="str">
        <f>'Input - Dairy'!$D$66</f>
        <v>Milking shed</v>
      </c>
      <c r="P162" s="55" t="str">
        <f>'Input - Dairy'!$D$85</f>
        <v>Anaerobic lagoon</v>
      </c>
      <c r="Q162" s="55">
        <f>'Input - Dairy'!$G$79</f>
        <v>0.2</v>
      </c>
      <c r="R162" s="2"/>
    </row>
    <row r="163" spans="4:22" ht="20.100000000000001" customHeight="1" x14ac:dyDescent="0.25">
      <c r="D163" s="55" t="str">
        <f>'Input - Dairy'!$D$66</f>
        <v>Milking shed</v>
      </c>
      <c r="E163" s="55" t="str">
        <f>'Input - Dairy'!$D$86</f>
        <v>Sump and dispersal system</v>
      </c>
      <c r="F163" s="55">
        <f>'Input - Dairy'!$F$80</f>
        <v>0.2</v>
      </c>
      <c r="G163" s="2"/>
      <c r="O163" s="55" t="str">
        <f>'Input - Dairy'!$D$66</f>
        <v>Milking shed</v>
      </c>
      <c r="P163" s="55" t="str">
        <f>'Input - Dairy'!$D$86</f>
        <v>Sump and dispersal system</v>
      </c>
      <c r="Q163" s="55">
        <f>'Input - Dairy'!$G$80</f>
        <v>0.2</v>
      </c>
      <c r="R163" s="2"/>
    </row>
    <row r="164" spans="4:22" ht="20.100000000000001" customHeight="1" x14ac:dyDescent="0.25">
      <c r="D164" s="55" t="str">
        <f>'Input - Dairy'!$D$66</f>
        <v>Milking shed</v>
      </c>
      <c r="E164" s="55" t="str">
        <f>'Input - Dairy'!$D$87</f>
        <v>Drains to paddock</v>
      </c>
      <c r="F164" s="55">
        <f>'Input - Dairy'!$F$81</f>
        <v>0.2</v>
      </c>
      <c r="G164" s="2"/>
      <c r="O164" s="55" t="str">
        <f>'Input - Dairy'!$D$66</f>
        <v>Milking shed</v>
      </c>
      <c r="P164" s="55" t="str">
        <f>'Input - Dairy'!$D$87</f>
        <v>Drains to paddock</v>
      </c>
      <c r="Q164" s="55">
        <f>'Input - Dairy'!$G$81</f>
        <v>0.2</v>
      </c>
      <c r="R164" s="2"/>
    </row>
    <row r="165" spans="4:22" ht="20.100000000000001" customHeight="1" x14ac:dyDescent="0.25">
      <c r="D165" s="55" t="str">
        <f>'Input - Dairy'!$D$67</f>
        <v>Feed pad</v>
      </c>
      <c r="E165" s="55" t="str">
        <f>'Input - Dairy'!$D$101</f>
        <v>Anaerobic lagoon</v>
      </c>
      <c r="F165" s="55">
        <f>'Input - Dairy'!$F$95</f>
        <v>0</v>
      </c>
      <c r="G165" s="2"/>
      <c r="O165" s="55" t="str">
        <f>'Input - Dairy'!$D$67</f>
        <v>Feed pad</v>
      </c>
      <c r="P165" s="55" t="str">
        <f>'Input - Dairy'!$D$101</f>
        <v>Anaerobic lagoon</v>
      </c>
      <c r="Q165" s="55">
        <f>'Input - Dairy'!$G$95</f>
        <v>0</v>
      </c>
      <c r="R165" s="2"/>
    </row>
    <row r="166" spans="4:22" ht="20.100000000000001" customHeight="1" x14ac:dyDescent="0.25">
      <c r="D166" s="55" t="str">
        <f>'Input - Dairy'!$D$67</f>
        <v>Feed pad</v>
      </c>
      <c r="E166" s="55" t="str">
        <f>'Input - Dairy'!$D$102</f>
        <v>Sump and dispersal system</v>
      </c>
      <c r="F166" s="55">
        <f>'Input - Dairy'!$F$96</f>
        <v>0.2</v>
      </c>
      <c r="G166" s="2"/>
      <c r="O166" s="55" t="str">
        <f>'Input - Dairy'!$D$67</f>
        <v>Feed pad</v>
      </c>
      <c r="P166" s="55" t="str">
        <f>'Input - Dairy'!$D$102</f>
        <v>Sump and dispersal system</v>
      </c>
      <c r="Q166" s="55">
        <f>'Input - Dairy'!$G$96</f>
        <v>0.2</v>
      </c>
      <c r="R166" s="2"/>
    </row>
    <row r="167" spans="4:22" ht="20.100000000000001" customHeight="1" x14ac:dyDescent="0.25">
      <c r="D167" s="55" t="str">
        <f>'Input - Dairy'!$D$67</f>
        <v>Feed pad</v>
      </c>
      <c r="E167" s="55" t="str">
        <f>'Input - Dairy'!$D$103</f>
        <v>Drains to paddock</v>
      </c>
      <c r="F167" s="55">
        <f>'Input - Dairy'!$F$97</f>
        <v>0.2</v>
      </c>
      <c r="G167" s="2"/>
      <c r="O167" s="55" t="str">
        <f>'Input - Dairy'!$D$67</f>
        <v>Feed pad</v>
      </c>
      <c r="P167" s="55" t="str">
        <f>'Input - Dairy'!$D$103</f>
        <v>Drains to paddock</v>
      </c>
      <c r="Q167" s="55">
        <f>'Input - Dairy'!$G$97</f>
        <v>0.2</v>
      </c>
      <c r="R167" s="2"/>
    </row>
    <row r="168" spans="4:22" ht="20.100000000000001" customHeight="1" x14ac:dyDescent="0.25"/>
    <row r="169" spans="4:22" ht="20.100000000000001" customHeight="1" x14ac:dyDescent="0.25">
      <c r="D169" s="104" t="s">
        <v>247</v>
      </c>
      <c r="O169" s="104" t="s">
        <v>247</v>
      </c>
    </row>
    <row r="170" spans="4:22" ht="20.100000000000001" customHeight="1" x14ac:dyDescent="0.25">
      <c r="D170" s="103" t="s">
        <v>246</v>
      </c>
      <c r="O170" s="103" t="s">
        <v>246</v>
      </c>
    </row>
    <row r="171" spans="4:22" ht="20.100000000000001" customHeight="1" x14ac:dyDescent="0.25">
      <c r="D171" s="54" t="s">
        <v>149</v>
      </c>
      <c r="E171" s="54" t="s">
        <v>69</v>
      </c>
      <c r="F171" s="54" t="s">
        <v>175</v>
      </c>
      <c r="G171" s="54" t="s">
        <v>192</v>
      </c>
      <c r="H171" s="54" t="s">
        <v>193</v>
      </c>
      <c r="I171" s="54" t="s">
        <v>194</v>
      </c>
      <c r="J171" s="54" t="s">
        <v>195</v>
      </c>
      <c r="O171" s="54" t="s">
        <v>149</v>
      </c>
      <c r="P171" s="54" t="s">
        <v>69</v>
      </c>
      <c r="Q171" s="54" t="s">
        <v>175</v>
      </c>
      <c r="R171" s="54" t="s">
        <v>192</v>
      </c>
      <c r="S171" s="54" t="s">
        <v>193</v>
      </c>
      <c r="T171" s="54" t="s">
        <v>194</v>
      </c>
      <c r="U171" s="54" t="s">
        <v>195</v>
      </c>
    </row>
    <row r="172" spans="4:22" ht="20.100000000000001" customHeight="1" x14ac:dyDescent="0.25">
      <c r="D172" s="55" t="str">
        <f>'Input - Dairy'!$D$65</f>
        <v>Pasture</v>
      </c>
      <c r="E172" s="55" t="str">
        <f>'Constants - Livestock'!$E$27</f>
        <v>Pasture range and paddock</v>
      </c>
      <c r="F172" s="55" cm="1">
        <f t="array" ref="F172">MMS_Dairy_Methane_Equations.VEERG_4_3_1_1__4_FractionVolatileSolidsNotSolidStorage(F150,$F161)</f>
        <v>0.53400000000000003</v>
      </c>
      <c r="G172" s="55" cm="1">
        <f t="array" ref="G172">MMS_Dairy_Methane_Equations.VEERG_4_3_1_1__4_FractionVolatileSolidsNotSolidStorage(G150,$F161)</f>
        <v>0.53400000000000003</v>
      </c>
      <c r="H172" s="55" cm="1">
        <f t="array" ref="H172">MMS_Dairy_Methane_Equations.VEERG_4_3_1_1__4_FractionVolatileSolidsNotSolidStorage(H150,$F161)</f>
        <v>0.53400000000000003</v>
      </c>
      <c r="I172" s="55" cm="1">
        <f t="array" ref="I172">MMS_Dairy_Methane_Equations.VEERG_4_3_1_1__4_FractionVolatileSolidsNotSolidStorage(I150,$F161)</f>
        <v>0.53400000000000003</v>
      </c>
      <c r="J172" s="55" cm="1">
        <f t="array" ref="J172">MMS_Dairy_Methane_Equations.VEERG_4_3_1_1__4_FractionVolatileSolidsNotSolidStorage(J150,$F161)</f>
        <v>0.53400000000000003</v>
      </c>
      <c r="K172" s="2" t="str">
        <f>$E$142</f>
        <v>fraction</v>
      </c>
      <c r="O172" s="55" t="str">
        <f>'Input - Dairy'!$D$65</f>
        <v>Pasture</v>
      </c>
      <c r="P172" s="55" t="str">
        <f>'Constants - Livestock'!$E$27</f>
        <v>Pasture range and paddock</v>
      </c>
      <c r="Q172" s="55" cm="1">
        <f t="array" ref="Q172">MMS_Dairy_Methane_Equations.VEERG_4_3_1_1__4_FractionVolatileSolidsNotSolidStorage(Q150,$Q161)</f>
        <v>0.53400000000000003</v>
      </c>
      <c r="R172" s="55" cm="1">
        <f t="array" ref="R172">MMS_Dairy_Methane_Equations.VEERG_4_3_1_1__4_FractionVolatileSolidsNotSolidStorage(R150,$Q161)</f>
        <v>0.53400000000000003</v>
      </c>
      <c r="S172" s="55" cm="1">
        <f t="array" ref="S172">MMS_Dairy_Methane_Equations.VEERG_4_3_1_1__4_FractionVolatileSolidsNotSolidStorage(S150,$Q161)</f>
        <v>0.53400000000000003</v>
      </c>
      <c r="T172" s="55" cm="1">
        <f t="array" ref="T172">MMS_Dairy_Methane_Equations.VEERG_4_3_1_1__4_FractionVolatileSolidsNotSolidStorage(T150,$Q161)</f>
        <v>0.53400000000000003</v>
      </c>
      <c r="U172" s="55" cm="1">
        <f t="array" ref="U172">MMS_Dairy_Methane_Equations.VEERG_4_3_1_1__4_FractionVolatileSolidsNotSolidStorage(U150,$Q161)</f>
        <v>0.53400000000000003</v>
      </c>
      <c r="V172" s="2" t="str">
        <f>$E$142</f>
        <v>fraction</v>
      </c>
    </row>
    <row r="173" spans="4:22" ht="20.100000000000001" customHeight="1" x14ac:dyDescent="0.25">
      <c r="D173" s="55" t="str">
        <f>'Input - Dairy'!$D$66</f>
        <v>Milking shed</v>
      </c>
      <c r="E173" s="55" t="str">
        <f>'Input - Dairy'!$D$85</f>
        <v>Anaerobic lagoon</v>
      </c>
      <c r="F173" s="55" cm="1">
        <f t="array" ref="F173">MMS_Dairy_Methane_Equations.VEERG_4_3_1_1__4_FractionVolatileSolidsNotSolidStorage(F151,$F162)</f>
        <v>2.2000000000000002E-2</v>
      </c>
      <c r="G173" s="55" cm="1">
        <f t="array" ref="G173">MMS_Dairy_Methane_Equations.VEERG_4_3_1_1__4_FractionVolatileSolidsNotSolidStorage(G151,$F162)</f>
        <v>2.2000000000000002E-2</v>
      </c>
      <c r="H173" s="55" cm="1">
        <f t="array" ref="H173">MMS_Dairy_Methane_Equations.VEERG_4_3_1_1__4_FractionVolatileSolidsNotSolidStorage(H151,$F162)</f>
        <v>2.2000000000000002E-2</v>
      </c>
      <c r="I173" s="55" cm="1">
        <f t="array" ref="I173">MMS_Dairy_Methane_Equations.VEERG_4_3_1_1__4_FractionVolatileSolidsNotSolidStorage(I151,$F162)</f>
        <v>2.2000000000000002E-2</v>
      </c>
      <c r="J173" s="55" cm="1">
        <f t="array" ref="J173">MMS_Dairy_Methane_Equations.VEERG_4_3_1_1__4_FractionVolatileSolidsNotSolidStorage(J151,$F162)</f>
        <v>2.2000000000000002E-2</v>
      </c>
      <c r="O173" s="55" t="str">
        <f>'Input - Dairy'!$D$66</f>
        <v>Milking shed</v>
      </c>
      <c r="P173" s="55" t="str">
        <f>'Input - Dairy'!$D$85</f>
        <v>Anaerobic lagoon</v>
      </c>
      <c r="Q173" s="55" cm="1">
        <f t="array" ref="Q173">MMS_Dairy_Methane_Equations.VEERG_4_3_1_1__4_FractionVolatileSolidsNotSolidStorage(Q151,$Q162)</f>
        <v>2.2000000000000002E-2</v>
      </c>
      <c r="R173" s="55" cm="1">
        <f t="array" ref="R173">MMS_Dairy_Methane_Equations.VEERG_4_3_1_1__4_FractionVolatileSolidsNotSolidStorage(R151,$Q162)</f>
        <v>2.2000000000000002E-2</v>
      </c>
      <c r="S173" s="55" cm="1">
        <f t="array" ref="S173">MMS_Dairy_Methane_Equations.VEERG_4_3_1_1__4_FractionVolatileSolidsNotSolidStorage(S151,$Q162)</f>
        <v>2.2000000000000002E-2</v>
      </c>
      <c r="T173" s="55" cm="1">
        <f t="array" ref="T173">MMS_Dairy_Methane_Equations.VEERG_4_3_1_1__4_FractionVolatileSolidsNotSolidStorage(T151,$Q162)</f>
        <v>2.2000000000000002E-2</v>
      </c>
      <c r="U173" s="55" cm="1">
        <f t="array" ref="U173">MMS_Dairy_Methane_Equations.VEERG_4_3_1_1__4_FractionVolatileSolidsNotSolidStorage(U151,$Q162)</f>
        <v>2.2000000000000002E-2</v>
      </c>
    </row>
    <row r="174" spans="4:22" ht="20.100000000000001" customHeight="1" x14ac:dyDescent="0.25">
      <c r="D174" s="55" t="str">
        <f>'Input - Dairy'!$D$66</f>
        <v>Milking shed</v>
      </c>
      <c r="E174" s="55" t="str">
        <f>'Input - Dairy'!$D$86</f>
        <v>Sump and dispersal system</v>
      </c>
      <c r="F174" s="55" cm="1">
        <f t="array" ref="F174">MMS_Dairy_Methane_Equations.VEERG_4_3_1_1__4_FractionVolatileSolidsNotSolidStorage(F152,$F163)</f>
        <v>2.2000000000000002E-2</v>
      </c>
      <c r="G174" s="55" cm="1">
        <f t="array" ref="G174">MMS_Dairy_Methane_Equations.VEERG_4_3_1_1__4_FractionVolatileSolidsNotSolidStorage(G152,$F163)</f>
        <v>2.2000000000000002E-2</v>
      </c>
      <c r="H174" s="55" cm="1">
        <f t="array" ref="H174">MMS_Dairy_Methane_Equations.VEERG_4_3_1_1__4_FractionVolatileSolidsNotSolidStorage(H152,$F163)</f>
        <v>2.2000000000000002E-2</v>
      </c>
      <c r="I174" s="55" cm="1">
        <f t="array" ref="I174">MMS_Dairy_Methane_Equations.VEERG_4_3_1_1__4_FractionVolatileSolidsNotSolidStorage(I152,$F163)</f>
        <v>2.2000000000000002E-2</v>
      </c>
      <c r="J174" s="55" cm="1">
        <f t="array" ref="J174">MMS_Dairy_Methane_Equations.VEERG_4_3_1_1__4_FractionVolatileSolidsNotSolidStorage(J152,$F163)</f>
        <v>2.2000000000000002E-2</v>
      </c>
      <c r="K174" s="2"/>
      <c r="O174" s="55" t="str">
        <f>'Input - Dairy'!$D$66</f>
        <v>Milking shed</v>
      </c>
      <c r="P174" s="55" t="str">
        <f>'Input - Dairy'!$D$86</f>
        <v>Sump and dispersal system</v>
      </c>
      <c r="Q174" s="55" cm="1">
        <f t="array" ref="Q174">MMS_Dairy_Methane_Equations.VEERG_4_3_1_1__4_FractionVolatileSolidsNotSolidStorage(Q152,$Q163)</f>
        <v>2.2000000000000002E-2</v>
      </c>
      <c r="R174" s="55" cm="1">
        <f t="array" ref="R174">MMS_Dairy_Methane_Equations.VEERG_4_3_1_1__4_FractionVolatileSolidsNotSolidStorage(R152,$Q163)</f>
        <v>2.2000000000000002E-2</v>
      </c>
      <c r="S174" s="55" cm="1">
        <f t="array" ref="S174">MMS_Dairy_Methane_Equations.VEERG_4_3_1_1__4_FractionVolatileSolidsNotSolidStorage(S152,$Q163)</f>
        <v>2.2000000000000002E-2</v>
      </c>
      <c r="T174" s="55" cm="1">
        <f t="array" ref="T174">MMS_Dairy_Methane_Equations.VEERG_4_3_1_1__4_FractionVolatileSolidsNotSolidStorage(T152,$Q163)</f>
        <v>2.2000000000000002E-2</v>
      </c>
      <c r="U174" s="55" cm="1">
        <f t="array" ref="U174">MMS_Dairy_Methane_Equations.VEERG_4_3_1_1__4_FractionVolatileSolidsNotSolidStorage(U152,$Q163)</f>
        <v>2.2000000000000002E-2</v>
      </c>
      <c r="V174" s="2"/>
    </row>
    <row r="175" spans="4:22" ht="20.100000000000001" customHeight="1" x14ac:dyDescent="0.25">
      <c r="D175" s="55" t="str">
        <f>'Input - Dairy'!$D$66</f>
        <v>Milking shed</v>
      </c>
      <c r="E175" s="55" t="str">
        <f>'Input - Dairy'!$D$87</f>
        <v>Drains to paddock</v>
      </c>
      <c r="F175" s="55" cm="1">
        <f t="array" ref="F175">MMS_Dairy_Methane_Equations.VEERG_4_3_1_1__4_FractionVolatileSolidsNotSolidStorage(F153,$F164)</f>
        <v>2.2000000000000002E-2</v>
      </c>
      <c r="G175" s="55" cm="1">
        <f t="array" ref="G175">MMS_Dairy_Methane_Equations.VEERG_4_3_1_1__4_FractionVolatileSolidsNotSolidStorage(G153,$F164)</f>
        <v>2.2000000000000002E-2</v>
      </c>
      <c r="H175" s="55" cm="1">
        <f t="array" ref="H175">MMS_Dairy_Methane_Equations.VEERG_4_3_1_1__4_FractionVolatileSolidsNotSolidStorage(H153,$F164)</f>
        <v>2.2000000000000002E-2</v>
      </c>
      <c r="I175" s="55" cm="1">
        <f t="array" ref="I175">MMS_Dairy_Methane_Equations.VEERG_4_3_1_1__4_FractionVolatileSolidsNotSolidStorage(I153,$F164)</f>
        <v>2.2000000000000002E-2</v>
      </c>
      <c r="J175" s="55" cm="1">
        <f t="array" ref="J175">MMS_Dairy_Methane_Equations.VEERG_4_3_1_1__4_FractionVolatileSolidsNotSolidStorage(J153,$F164)</f>
        <v>2.2000000000000002E-2</v>
      </c>
      <c r="K175" s="2"/>
      <c r="O175" s="55" t="str">
        <f>'Input - Dairy'!$D$66</f>
        <v>Milking shed</v>
      </c>
      <c r="P175" s="55" t="str">
        <f>'Input - Dairy'!$D$87</f>
        <v>Drains to paddock</v>
      </c>
      <c r="Q175" s="55" cm="1">
        <f t="array" ref="Q175">MMS_Dairy_Methane_Equations.VEERG_4_3_1_1__4_FractionVolatileSolidsNotSolidStorage(Q153,$Q164)</f>
        <v>2.2000000000000002E-2</v>
      </c>
      <c r="R175" s="55" cm="1">
        <f t="array" ref="R175">MMS_Dairy_Methane_Equations.VEERG_4_3_1_1__4_FractionVolatileSolidsNotSolidStorage(R153,$Q164)</f>
        <v>2.2000000000000002E-2</v>
      </c>
      <c r="S175" s="55" cm="1">
        <f t="array" ref="S175">MMS_Dairy_Methane_Equations.VEERG_4_3_1_1__4_FractionVolatileSolidsNotSolidStorage(S153,$Q164)</f>
        <v>2.2000000000000002E-2</v>
      </c>
      <c r="T175" s="55" cm="1">
        <f t="array" ref="T175">MMS_Dairy_Methane_Equations.VEERG_4_3_1_1__4_FractionVolatileSolidsNotSolidStorage(T153,$Q164)</f>
        <v>2.2000000000000002E-2</v>
      </c>
      <c r="U175" s="55" cm="1">
        <f t="array" ref="U175">MMS_Dairy_Methane_Equations.VEERG_4_3_1_1__4_FractionVolatileSolidsNotSolidStorage(U153,$Q164)</f>
        <v>2.2000000000000002E-2</v>
      </c>
      <c r="V175" s="2"/>
    </row>
    <row r="176" spans="4:22" ht="20.100000000000001" customHeight="1" x14ac:dyDescent="0.25">
      <c r="D176" s="55" t="str">
        <f>'Input - Dairy'!$D$67</f>
        <v>Feed pad</v>
      </c>
      <c r="E176" s="55" t="str">
        <f>'Input - Dairy'!$D$101</f>
        <v>Anaerobic lagoon</v>
      </c>
      <c r="F176" s="55" cm="1">
        <f t="array" ref="F176">MMS_Dairy_Methane_Equations.VEERG_4_3_1_1__4_FractionVolatileSolidsNotSolidStorage(F154,$F165)</f>
        <v>8.8999999999999996E-2</v>
      </c>
      <c r="G176" s="55" cm="1">
        <f t="array" ref="G176">MMS_Dairy_Methane_Equations.VEERG_4_3_1_1__4_FractionVolatileSolidsNotSolidStorage(G154,$F165)</f>
        <v>8.8999999999999996E-2</v>
      </c>
      <c r="H176" s="55" cm="1">
        <f t="array" ref="H176">MMS_Dairy_Methane_Equations.VEERG_4_3_1_1__4_FractionVolatileSolidsNotSolidStorage(H154,$F165)</f>
        <v>8.8999999999999996E-2</v>
      </c>
      <c r="I176" s="55" cm="1">
        <f t="array" ref="I176">MMS_Dairy_Methane_Equations.VEERG_4_3_1_1__4_FractionVolatileSolidsNotSolidStorage(I154,$F165)</f>
        <v>8.8999999999999996E-2</v>
      </c>
      <c r="J176" s="55" cm="1">
        <f t="array" ref="J176">MMS_Dairy_Methane_Equations.VEERG_4_3_1_1__4_FractionVolatileSolidsNotSolidStorage(J154,$F165)</f>
        <v>8.8999999999999996E-2</v>
      </c>
      <c r="K176" s="2"/>
      <c r="O176" s="55" t="str">
        <f>'Input - Dairy'!$D$67</f>
        <v>Feed pad</v>
      </c>
      <c r="P176" s="55" t="str">
        <f>'Input - Dairy'!$D$101</f>
        <v>Anaerobic lagoon</v>
      </c>
      <c r="Q176" s="55" cm="1">
        <f t="array" ref="Q176">MMS_Dairy_Methane_Equations.VEERG_4_3_1_1__4_FractionVolatileSolidsNotSolidStorage(Q154,$Q165)</f>
        <v>8.8999999999999996E-2</v>
      </c>
      <c r="R176" s="55" cm="1">
        <f t="array" ref="R176">MMS_Dairy_Methane_Equations.VEERG_4_3_1_1__4_FractionVolatileSolidsNotSolidStorage(R154,$Q165)</f>
        <v>8.8999999999999996E-2</v>
      </c>
      <c r="S176" s="55" cm="1">
        <f t="array" ref="S176">MMS_Dairy_Methane_Equations.VEERG_4_3_1_1__4_FractionVolatileSolidsNotSolidStorage(S154,$Q165)</f>
        <v>8.8999999999999996E-2</v>
      </c>
      <c r="T176" s="55" cm="1">
        <f t="array" ref="T176">MMS_Dairy_Methane_Equations.VEERG_4_3_1_1__4_FractionVolatileSolidsNotSolidStorage(T154,$Q165)</f>
        <v>8.8999999999999996E-2</v>
      </c>
      <c r="U176" s="55" cm="1">
        <f t="array" ref="U176">MMS_Dairy_Methane_Equations.VEERG_4_3_1_1__4_FractionVolatileSolidsNotSolidStorage(U154,$Q165)</f>
        <v>8.8999999999999996E-2</v>
      </c>
      <c r="V176" s="2"/>
    </row>
    <row r="177" spans="1:23" ht="20.100000000000001" customHeight="1" x14ac:dyDescent="0.25">
      <c r="D177" s="55" t="str">
        <f>'Input - Dairy'!$D$67</f>
        <v>Feed pad</v>
      </c>
      <c r="E177" s="55" t="str">
        <f>'Input - Dairy'!$D$102</f>
        <v>Sump and dispersal system</v>
      </c>
      <c r="F177" s="55" cm="1">
        <f t="array" ref="F177">MMS_Dairy_Methane_Equations.VEERG_4_3_1_1__4_FractionVolatileSolidsNotSolidStorage(F155,$F166)</f>
        <v>7.1199999999999999E-2</v>
      </c>
      <c r="G177" s="55" cm="1">
        <f t="array" ref="G177">MMS_Dairy_Methane_Equations.VEERG_4_3_1_1__4_FractionVolatileSolidsNotSolidStorage(G155,$F166)</f>
        <v>7.1199999999999999E-2</v>
      </c>
      <c r="H177" s="55" cm="1">
        <f t="array" ref="H177">MMS_Dairy_Methane_Equations.VEERG_4_3_1_1__4_FractionVolatileSolidsNotSolidStorage(H155,$F166)</f>
        <v>7.1199999999999999E-2</v>
      </c>
      <c r="I177" s="55" cm="1">
        <f t="array" ref="I177">MMS_Dairy_Methane_Equations.VEERG_4_3_1_1__4_FractionVolatileSolidsNotSolidStorage(I155,$F166)</f>
        <v>7.1199999999999999E-2</v>
      </c>
      <c r="J177" s="55" cm="1">
        <f t="array" ref="J177">MMS_Dairy_Methane_Equations.VEERG_4_3_1_1__4_FractionVolatileSolidsNotSolidStorage(J155,$F166)</f>
        <v>7.1199999999999999E-2</v>
      </c>
      <c r="K177" s="2"/>
      <c r="O177" s="55" t="str">
        <f>'Input - Dairy'!$D$67</f>
        <v>Feed pad</v>
      </c>
      <c r="P177" s="55" t="str">
        <f>'Input - Dairy'!$D$102</f>
        <v>Sump and dispersal system</v>
      </c>
      <c r="Q177" s="55" cm="1">
        <f t="array" ref="Q177">MMS_Dairy_Methane_Equations.VEERG_4_3_1_1__4_FractionVolatileSolidsNotSolidStorage(Q155,$Q166)</f>
        <v>7.1199999999999999E-2</v>
      </c>
      <c r="R177" s="55" cm="1">
        <f t="array" ref="R177">MMS_Dairy_Methane_Equations.VEERG_4_3_1_1__4_FractionVolatileSolidsNotSolidStorage(R155,$Q166)</f>
        <v>7.1199999999999999E-2</v>
      </c>
      <c r="S177" s="55" cm="1">
        <f t="array" ref="S177">MMS_Dairy_Methane_Equations.VEERG_4_3_1_1__4_FractionVolatileSolidsNotSolidStorage(S155,$Q166)</f>
        <v>7.1199999999999999E-2</v>
      </c>
      <c r="T177" s="55" cm="1">
        <f t="array" ref="T177">MMS_Dairy_Methane_Equations.VEERG_4_3_1_1__4_FractionVolatileSolidsNotSolidStorage(T155,$Q166)</f>
        <v>7.1199999999999999E-2</v>
      </c>
      <c r="U177" s="55" cm="1">
        <f t="array" ref="U177">MMS_Dairy_Methane_Equations.VEERG_4_3_1_1__4_FractionVolatileSolidsNotSolidStorage(U155,$Q166)</f>
        <v>7.1199999999999999E-2</v>
      </c>
      <c r="V177" s="2"/>
    </row>
    <row r="178" spans="1:23" ht="20.100000000000001" customHeight="1" x14ac:dyDescent="0.25">
      <c r="A178" s="141" t="str">
        <f>HYPERLINK("#A1", "▲ Back to top")</f>
        <v>▲ Back to top</v>
      </c>
      <c r="D178" s="55" t="str">
        <f>'Input - Dairy'!$D$67</f>
        <v>Feed pad</v>
      </c>
      <c r="E178" s="55" t="str">
        <f>'Input - Dairy'!$D$103</f>
        <v>Drains to paddock</v>
      </c>
      <c r="F178" s="55" cm="1">
        <f t="array" ref="F178">MMS_Dairy_Methane_Equations.VEERG_4_3_1_1__4_FractionVolatileSolidsNotSolidStorage(F156,$F167)</f>
        <v>7.1199999999999999E-2</v>
      </c>
      <c r="G178" s="55" cm="1">
        <f t="array" ref="G178">MMS_Dairy_Methane_Equations.VEERG_4_3_1_1__4_FractionVolatileSolidsNotSolidStorage(G156,$F167)</f>
        <v>7.1199999999999999E-2</v>
      </c>
      <c r="H178" s="55" cm="1">
        <f t="array" ref="H178">MMS_Dairy_Methane_Equations.VEERG_4_3_1_1__4_FractionVolatileSolidsNotSolidStorage(H156,$F167)</f>
        <v>7.1199999999999999E-2</v>
      </c>
      <c r="I178" s="55" cm="1">
        <f t="array" ref="I178">MMS_Dairy_Methane_Equations.VEERG_4_3_1_1__4_FractionVolatileSolidsNotSolidStorage(I156,$F167)</f>
        <v>7.1199999999999999E-2</v>
      </c>
      <c r="J178" s="55" cm="1">
        <f t="array" ref="J178">MMS_Dairy_Methane_Equations.VEERG_4_3_1_1__4_FractionVolatileSolidsNotSolidStorage(J156,$F167)</f>
        <v>7.1199999999999999E-2</v>
      </c>
      <c r="K178" s="2"/>
      <c r="O178" s="55" t="str">
        <f>'Input - Dairy'!$D$67</f>
        <v>Feed pad</v>
      </c>
      <c r="P178" s="55" t="str">
        <f>'Input - Dairy'!$D$103</f>
        <v>Drains to paddock</v>
      </c>
      <c r="Q178" s="55" cm="1">
        <f t="array" ref="Q178">MMS_Dairy_Methane_Equations.VEERG_4_3_1_1__4_FractionVolatileSolidsNotSolidStorage(Q156,$Q167)</f>
        <v>7.1199999999999999E-2</v>
      </c>
      <c r="R178" s="55" cm="1">
        <f t="array" ref="R178">MMS_Dairy_Methane_Equations.VEERG_4_3_1_1__4_FractionVolatileSolidsNotSolidStorage(R156,$Q167)</f>
        <v>7.1199999999999999E-2</v>
      </c>
      <c r="S178" s="55" cm="1">
        <f t="array" ref="S178">MMS_Dairy_Methane_Equations.VEERG_4_3_1_1__4_FractionVolatileSolidsNotSolidStorage(S156,$Q167)</f>
        <v>7.1199999999999999E-2</v>
      </c>
      <c r="T178" s="55" cm="1">
        <f t="array" ref="T178">MMS_Dairy_Methane_Equations.VEERG_4_3_1_1__4_FractionVolatileSolidsNotSolidStorage(T156,$Q167)</f>
        <v>7.1199999999999999E-2</v>
      </c>
      <c r="U178" s="55" cm="1">
        <f t="array" ref="U178">MMS_Dairy_Methane_Equations.VEERG_4_3_1_1__4_FractionVolatileSolidsNotSolidStorage(U156,$Q167)</f>
        <v>7.1199999999999999E-2</v>
      </c>
      <c r="V178" s="2"/>
    </row>
    <row r="179" spans="1:23" ht="20.100000000000001" customHeight="1" x14ac:dyDescent="0.25"/>
    <row r="180" spans="1:23" ht="20.100000000000001" customHeight="1" x14ac:dyDescent="0.25"/>
    <row r="181" spans="1:23" ht="20.100000000000001" customHeight="1" x14ac:dyDescent="0.25">
      <c r="C181" s="48"/>
      <c r="D181" s="48"/>
      <c r="E181" s="48"/>
      <c r="F181" s="48"/>
      <c r="G181" s="48"/>
      <c r="H181" s="48"/>
      <c r="I181" s="48"/>
      <c r="J181" s="48"/>
      <c r="K181" s="48"/>
      <c r="L181" s="48"/>
      <c r="N181" s="48"/>
      <c r="O181" s="48"/>
      <c r="P181" s="48"/>
      <c r="Q181" s="48"/>
      <c r="R181" s="48"/>
      <c r="S181" s="48"/>
      <c r="T181" s="48"/>
      <c r="U181" s="48"/>
      <c r="V181" s="48"/>
      <c r="W181" s="48"/>
    </row>
    <row r="182" spans="1:23" ht="20.100000000000001" customHeight="1" x14ac:dyDescent="0.25">
      <c r="D182" s="6" t="str" cm="1">
        <f t="array" ref="D182">MMS_Dairy_Methane_Equations.VEERG_4_3_1_1__5_FractionVolatileSolidsSolidStorage_Title()</f>
        <v>Fraction of volatile solids in solid storage</v>
      </c>
    </row>
    <row r="183" spans="1:23" ht="20.100000000000001" customHeight="1" x14ac:dyDescent="0.25">
      <c r="D183" s="5" t="str" cm="1">
        <f t="array" ref="D183">MMS_Dairy_Methane_Equations.VEERG_4_3_1_1__5_FractionVolatileSolidsSolidStorage_Source()</f>
        <v>VEERG 2026: 4.3.1.1, Equation (5)</v>
      </c>
    </row>
    <row r="184" spans="1:23" ht="20.100000000000001" customHeight="1" x14ac:dyDescent="0.25">
      <c r="D184" s="58" t="str" cm="1">
        <f t="array" ref="D184">MMS_Dairy_Methane_Equations.VEERG_4_3_1_1__5_FractionVolatileSolidsSolidStorage_Variation()</f>
        <v>Used separate variables for MMS and SS m 1, 7 and 9.</v>
      </c>
    </row>
    <row r="185" spans="1:23" ht="20.100000000000001" customHeight="1" x14ac:dyDescent="0.25">
      <c r="D185" s="13" t="s">
        <v>28</v>
      </c>
      <c r="E185" s="13" t="str" cm="1">
        <f t="array" aca="1" ref="E185" ca="1">Common_InputFunctions.Utility_DisplayFunctionName($F$204)</f>
        <v>=MMS_Dairy_Methane_Equations.VEERG_4_3_1_1__5_FractionVolatileSolidsSolidStorageVariation</v>
      </c>
    </row>
    <row r="186" spans="1:23" ht="20.100000000000001" customHeight="1" x14ac:dyDescent="0.25"/>
    <row r="187" spans="1:23" ht="20.100000000000001" customHeight="1" x14ac:dyDescent="0.25">
      <c r="D187" s="6"/>
    </row>
    <row r="188" spans="1:23" ht="20.100000000000001" customHeight="1" x14ac:dyDescent="0.25">
      <c r="D188" s="56" t="s">
        <v>31</v>
      </c>
      <c r="E188" s="1" t="str" cm="1">
        <f t="array" ref="E188">MMS_Dairy_Methane_Equations.VEERG_4_3_1_1__5_FractionVolatileSolidsSolidStorage_Variable()</f>
        <v>FVS_jm4</v>
      </c>
    </row>
    <row r="189" spans="1:23" ht="20.100000000000001" customHeight="1" x14ac:dyDescent="0.25">
      <c r="D189" s="56" t="s">
        <v>21</v>
      </c>
      <c r="E189" s="57" t="str" cm="1">
        <f t="array" ref="E189">MMS_Dairy_Methane_Equations.VEERG_4_3_1_1__5_FractionVolatileSolidsSolidStorage_Unit()</f>
        <v>fraction</v>
      </c>
    </row>
    <row r="190" spans="1:23" ht="20.100000000000001" customHeight="1" x14ac:dyDescent="0.25"/>
    <row r="191" spans="1:23" ht="20.100000000000001" customHeight="1" x14ac:dyDescent="0.25">
      <c r="D191" s="137" t="str" cm="1">
        <f t="array" ref="D191:E193">_xlfn.CHOOSECOLS(MMS_Dairy_Methane_Equations.VEERG_4_3_1_1__5_FractionVolatileSolidsSolidStorage_Arguments(),1,2)</f>
        <v>MMS_jm4</v>
      </c>
      <c r="E191" s="137" t="str">
        <v>fraction of volatile solids in solid storage before transfer</v>
      </c>
      <c r="F191" s="137"/>
      <c r="G191" s="137" t="str" cm="1">
        <f t="array" ref="G191:H193">_xlfn.CHOOSECOLS(MMS_Dairy_Methane_Equations.VEERG_4_3_1_1__5_FractionVolatileSolidsSolidStorage_Arguments(),3,4)</f>
        <v>fraction</v>
      </c>
      <c r="H191" s="135" t="str">
        <v>Input</v>
      </c>
      <c r="I191" s="134" t="str" cm="1">
        <f t="array" aca="1" ref="I191" ca="1">HYPERLINK(Common_InputFunctions.Utility_SourceHyperlink($D$195),$D$195)</f>
        <v>M1_Table_MMS_j_m-4</v>
      </c>
    </row>
    <row r="192" spans="1:23" ht="20.100000000000001" customHeight="1" x14ac:dyDescent="0.25">
      <c r="D192" s="137" t="str">
        <v>MMS_jm179</v>
      </c>
      <c r="E192" s="137" t="str">
        <v>fraction of volatile solids in MMS m=1,7,9 before transfer</v>
      </c>
      <c r="F192" s="137"/>
      <c r="G192" s="137" t="str">
        <v>fraction</v>
      </c>
      <c r="H192" s="135" t="str">
        <v>Input</v>
      </c>
      <c r="I192" s="134" t="str" cm="1">
        <f t="array" aca="1" ref="I192" ca="1">HYPERLINK(Common_InputFunctions.Utility_SourceHyperlink($D$147),$D$147)</f>
        <v>M1_Table_MMS_j_m</v>
      </c>
    </row>
    <row r="193" spans="3:23" ht="20.100000000000001" customHeight="1" x14ac:dyDescent="0.25">
      <c r="D193" s="137" t="str">
        <v>SS_m</v>
      </c>
      <c r="E193" s="137" t="str">
        <v>fraction of volatile solids separated to solid storage for each MMS</v>
      </c>
      <c r="F193" s="137"/>
      <c r="G193" s="137" t="str">
        <v>fraction</v>
      </c>
      <c r="H193" s="135" t="str">
        <v>Input</v>
      </c>
      <c r="I193" s="134" t="str" cm="1">
        <f t="array" aca="1" ref="I193" ca="1">HYPERLINK(Common_InputFunctions.Utility_SourceHyperlink($D$158),$D$158)</f>
        <v>M1_Table_SS_m</v>
      </c>
    </row>
    <row r="194" spans="3:23" ht="20.100000000000001" customHeight="1" x14ac:dyDescent="0.25"/>
    <row r="195" spans="3:23" ht="20.100000000000001" customHeight="1" x14ac:dyDescent="0.25">
      <c r="D195" s="104" t="s">
        <v>255</v>
      </c>
      <c r="O195" s="104" t="s">
        <v>261</v>
      </c>
    </row>
    <row r="196" spans="3:23" ht="20.100000000000001" customHeight="1" x14ac:dyDescent="0.25">
      <c r="D196" s="103" t="s">
        <v>256</v>
      </c>
      <c r="O196" s="103" t="s">
        <v>262</v>
      </c>
    </row>
    <row r="197" spans="3:23" ht="20.100000000000001" customHeight="1" x14ac:dyDescent="0.25">
      <c r="D197" s="41" t="s">
        <v>149</v>
      </c>
      <c r="E197" s="41" t="s">
        <v>69</v>
      </c>
      <c r="F197" s="41" t="s">
        <v>175</v>
      </c>
      <c r="G197" s="41" t="s">
        <v>192</v>
      </c>
      <c r="H197" s="41" t="s">
        <v>193</v>
      </c>
      <c r="I197" s="41" t="s">
        <v>194</v>
      </c>
      <c r="J197" s="41" t="s">
        <v>195</v>
      </c>
      <c r="O197" s="41" t="s">
        <v>149</v>
      </c>
      <c r="P197" s="41" t="s">
        <v>69</v>
      </c>
      <c r="Q197" s="41" t="s">
        <v>175</v>
      </c>
      <c r="R197" s="41" t="s">
        <v>192</v>
      </c>
      <c r="S197" s="41" t="s">
        <v>193</v>
      </c>
      <c r="T197" s="41" t="s">
        <v>194</v>
      </c>
      <c r="U197" s="41" t="s">
        <v>195</v>
      </c>
    </row>
    <row r="198" spans="3:23" ht="20.100000000000001" customHeight="1" x14ac:dyDescent="0.25">
      <c r="D198" s="55" t="str">
        <f>'Input - Dairy'!$D$66</f>
        <v>Milking shed</v>
      </c>
      <c r="E198" s="55" t="str">
        <f>'Input - Dairy'!$D$88</f>
        <v>Solid storage (before solid separation)</v>
      </c>
      <c r="F198" s="55">
        <f>'Input - Dairy'!E$66*'Input - Dairy'!E88</f>
        <v>2.75E-2</v>
      </c>
      <c r="G198" s="55">
        <f>'Input - Dairy'!F$66*'Input - Dairy'!F88</f>
        <v>2.75E-2</v>
      </c>
      <c r="H198" s="55">
        <f>'Input - Dairy'!G$66*'Input - Dairy'!G88</f>
        <v>2.75E-2</v>
      </c>
      <c r="I198" s="55">
        <f>'Input - Dairy'!H$66*'Input - Dairy'!H88</f>
        <v>2.75E-2</v>
      </c>
      <c r="J198" s="55">
        <f>'Input - Dairy'!I$66*'Input - Dairy'!I88</f>
        <v>2.75E-2</v>
      </c>
      <c r="K198" s="2" t="s">
        <v>101</v>
      </c>
      <c r="O198" s="55" t="str">
        <f>'Input - Dairy'!$D$66</f>
        <v>Milking shed</v>
      </c>
      <c r="P198" s="55" t="str">
        <f>'Input - Dairy'!$D$88</f>
        <v>Solid storage (before solid separation)</v>
      </c>
      <c r="Q198" s="55">
        <f>'Input - Dairy'!E71*'Input - Dairy'!E88</f>
        <v>2.75E-2</v>
      </c>
      <c r="R198" s="55">
        <f>'Input - Dairy'!F71*'Input - Dairy'!F88</f>
        <v>2.75E-2</v>
      </c>
      <c r="S198" s="55">
        <f>'Input - Dairy'!G71*'Input - Dairy'!G88</f>
        <v>2.75E-2</v>
      </c>
      <c r="T198" s="55">
        <f>'Input - Dairy'!H71*'Input - Dairy'!H88</f>
        <v>2.75E-2</v>
      </c>
      <c r="U198" s="55">
        <f>'Input - Dairy'!I71*'Input - Dairy'!I88</f>
        <v>2.75E-2</v>
      </c>
      <c r="V198" s="2" t="s">
        <v>101</v>
      </c>
    </row>
    <row r="199" spans="3:23" ht="20.100000000000001" customHeight="1" x14ac:dyDescent="0.25">
      <c r="D199" s="55" t="str">
        <f>'Input - Dairy'!$D$67</f>
        <v>Feed pad</v>
      </c>
      <c r="E199" s="55" t="str">
        <f>'Input - Dairy'!$D$104</f>
        <v>Solid storage (before solid separation)</v>
      </c>
      <c r="F199" s="55">
        <f>'Input - Dairy'!E67*'Input - Dairy'!E104</f>
        <v>8.8999999999999996E-2</v>
      </c>
      <c r="G199" s="55">
        <f>'Input - Dairy'!F67*'Input - Dairy'!F104</f>
        <v>8.8999999999999996E-2</v>
      </c>
      <c r="H199" s="55">
        <f>'Input - Dairy'!G67*'Input - Dairy'!G104</f>
        <v>8.8999999999999996E-2</v>
      </c>
      <c r="I199" s="55">
        <f>'Input - Dairy'!H67*'Input - Dairy'!H104</f>
        <v>8.8999999999999996E-2</v>
      </c>
      <c r="J199" s="55">
        <f>'Input - Dairy'!I67*'Input - Dairy'!I104</f>
        <v>8.8999999999999996E-2</v>
      </c>
      <c r="K199" s="2" t="s">
        <v>101</v>
      </c>
      <c r="O199" s="55" t="str">
        <f>'Input - Dairy'!$D$67</f>
        <v>Feed pad</v>
      </c>
      <c r="P199" s="55" t="str">
        <f>'Input - Dairy'!$D$104</f>
        <v>Solid storage (before solid separation)</v>
      </c>
      <c r="Q199" s="55">
        <f>'Input - Dairy'!E72*'Input - Dairy'!E104</f>
        <v>8.8999999999999996E-2</v>
      </c>
      <c r="R199" s="55">
        <f>'Input - Dairy'!F72*'Input - Dairy'!F104</f>
        <v>8.8999999999999996E-2</v>
      </c>
      <c r="S199" s="55">
        <f>'Input - Dairy'!G72*'Input - Dairy'!G104</f>
        <v>8.8999999999999996E-2</v>
      </c>
      <c r="T199" s="55">
        <f>'Input - Dairy'!H72*'Input - Dairy'!H104</f>
        <v>8.8999999999999996E-2</v>
      </c>
      <c r="U199" s="55">
        <f>'Input - Dairy'!I72*'Input - Dairy'!I104</f>
        <v>8.8999999999999996E-2</v>
      </c>
      <c r="V199" s="2" t="s">
        <v>101</v>
      </c>
    </row>
    <row r="200" spans="3:23" ht="20.100000000000001" customHeight="1" x14ac:dyDescent="0.25"/>
    <row r="201" spans="3:23" ht="20.100000000000001" customHeight="1" x14ac:dyDescent="0.25">
      <c r="D201" s="104" t="s">
        <v>259</v>
      </c>
      <c r="O201" s="104" t="s">
        <v>263</v>
      </c>
    </row>
    <row r="202" spans="3:23" ht="20.100000000000001" customHeight="1" x14ac:dyDescent="0.25">
      <c r="D202" s="103" t="s">
        <v>260</v>
      </c>
      <c r="O202" s="103" t="s">
        <v>264</v>
      </c>
    </row>
    <row r="203" spans="3:23" ht="20.100000000000001" customHeight="1" x14ac:dyDescent="0.25">
      <c r="D203" s="54" t="s">
        <v>149</v>
      </c>
      <c r="E203" s="54" t="s">
        <v>69</v>
      </c>
      <c r="F203" s="54" t="s">
        <v>175</v>
      </c>
      <c r="G203" s="54" t="s">
        <v>192</v>
      </c>
      <c r="H203" s="54" t="s">
        <v>193</v>
      </c>
      <c r="I203" s="54" t="s">
        <v>194</v>
      </c>
      <c r="J203" s="54" t="s">
        <v>195</v>
      </c>
      <c r="O203" s="54" t="s">
        <v>149</v>
      </c>
      <c r="P203" s="54" t="s">
        <v>69</v>
      </c>
      <c r="Q203" s="54" t="s">
        <v>175</v>
      </c>
      <c r="R203" s="54" t="s">
        <v>192</v>
      </c>
      <c r="S203" s="54" t="s">
        <v>193</v>
      </c>
      <c r="T203" s="54" t="s">
        <v>194</v>
      </c>
      <c r="U203" s="54" t="s">
        <v>195</v>
      </c>
    </row>
    <row r="204" spans="3:23" ht="20.100000000000001" customHeight="1" x14ac:dyDescent="0.25">
      <c r="D204" s="55" t="str">
        <f>'Input - Dairy'!$D$66</f>
        <v>Milking shed</v>
      </c>
      <c r="E204" s="55" t="s">
        <v>412</v>
      </c>
      <c r="F204" s="55" cm="1">
        <f t="array" ref="F204">MMS_Dairy_Methane_Equations.VEERG_4_3_1_1__5_FractionVolatileSolidsSolidStorageVariation(F198,F151,$F162,F152,$F163,F153,$F164)</f>
        <v>4.3999999999999997E-2</v>
      </c>
      <c r="G204" s="55" cm="1">
        <f t="array" ref="G204">MMS_Dairy_Methane_Equations.VEERG_4_3_1_1__5_FractionVolatileSolidsSolidStorageVariation(G198,G151,$F162,G152,$F163,G153,$F164)</f>
        <v>4.3999999999999997E-2</v>
      </c>
      <c r="H204" s="55" cm="1">
        <f t="array" ref="H204">MMS_Dairy_Methane_Equations.VEERG_4_3_1_1__5_FractionVolatileSolidsSolidStorageVariation(H198,H151,$F162,H152,$F163,H153,$F164)</f>
        <v>4.3999999999999997E-2</v>
      </c>
      <c r="I204" s="55" cm="1">
        <f t="array" ref="I204">MMS_Dairy_Methane_Equations.VEERG_4_3_1_1__5_FractionVolatileSolidsSolidStorageVariation(I198,I151,$F162,I152,$F163,I153,$F164)</f>
        <v>4.3999999999999997E-2</v>
      </c>
      <c r="J204" s="55" cm="1">
        <f t="array" ref="J204">MMS_Dairy_Methane_Equations.VEERG_4_3_1_1__5_FractionVolatileSolidsSolidStorageVariation(J198,J151,$F162,J152,$F163,J153,$F164)</f>
        <v>4.3999999999999997E-2</v>
      </c>
      <c r="K204" s="2" t="str">
        <f>$E$189</f>
        <v>fraction</v>
      </c>
      <c r="O204" s="55" t="str">
        <f>'Input - Dairy'!$D$66</f>
        <v>Milking shed</v>
      </c>
      <c r="P204" s="55" t="s">
        <v>412</v>
      </c>
      <c r="Q204" s="55" cm="1">
        <f t="array" ref="Q204">MMS_Dairy_Methane_Equations.VEERG_4_3_1_1__5_FractionVolatileSolidsSolidStorageVariation(Q198,Q151,$Q162,Q152,$Q163,Q153,$Q164)</f>
        <v>4.3999999999999997E-2</v>
      </c>
      <c r="R204" s="55" cm="1">
        <f t="array" ref="R204">MMS_Dairy_Methane_Equations.VEERG_4_3_1_1__5_FractionVolatileSolidsSolidStorageVariation(R198,R151,$Q162,R152,$Q163,R153,$Q164)</f>
        <v>4.3999999999999997E-2</v>
      </c>
      <c r="S204" s="55" cm="1">
        <f t="array" ref="S204">MMS_Dairy_Methane_Equations.VEERG_4_3_1_1__5_FractionVolatileSolidsSolidStorageVariation(S198,S151,$Q162,S152,$Q163,S153,$Q164)</f>
        <v>4.3999999999999997E-2</v>
      </c>
      <c r="T204" s="55" cm="1">
        <f t="array" ref="T204">MMS_Dairy_Methane_Equations.VEERG_4_3_1_1__5_FractionVolatileSolidsSolidStorageVariation(T198,T151,$Q162,T152,$Q163,T153,$Q164)</f>
        <v>4.3999999999999997E-2</v>
      </c>
      <c r="U204" s="55" cm="1">
        <f t="array" ref="U204">MMS_Dairy_Methane_Equations.VEERG_4_3_1_1__5_FractionVolatileSolidsSolidStorageVariation(U198,U151,$Q162,U152,$Q163,U153,$Q164)</f>
        <v>4.3999999999999997E-2</v>
      </c>
      <c r="V204" s="2" t="str">
        <f>$E$189</f>
        <v>fraction</v>
      </c>
    </row>
    <row r="205" spans="3:23" ht="20.100000000000001" customHeight="1" x14ac:dyDescent="0.25">
      <c r="D205" s="55" t="str">
        <f>'Input - Dairy'!$D$67</f>
        <v>Feed pad</v>
      </c>
      <c r="E205" s="55" t="s">
        <v>412</v>
      </c>
      <c r="F205" s="55" cm="1">
        <f t="array" ref="F205">MMS_Dairy_Methane_Equations.VEERG_4_3_1_1__5_FractionVolatileSolidsSolidStorageVariation(F199,F154,$F165,F155,$F166,F156,$F167)</f>
        <v>0.12459999999999999</v>
      </c>
      <c r="G205" s="55" cm="1">
        <f t="array" ref="G205">MMS_Dairy_Methane_Equations.VEERG_4_3_1_1__5_FractionVolatileSolidsSolidStorageVariation(G199,G154,$F165,G155,$F166,G156,$F167)</f>
        <v>0.12459999999999999</v>
      </c>
      <c r="H205" s="55" cm="1">
        <f t="array" ref="H205">MMS_Dairy_Methane_Equations.VEERG_4_3_1_1__5_FractionVolatileSolidsSolidStorageVariation(H199,H154,$F165,H155,$F166,H156,$F167)</f>
        <v>0.12459999999999999</v>
      </c>
      <c r="I205" s="55" cm="1">
        <f t="array" ref="I205">MMS_Dairy_Methane_Equations.VEERG_4_3_1_1__5_FractionVolatileSolidsSolidStorageVariation(I199,I154,$F165,I155,$F166,I156,$F167)</f>
        <v>0.12459999999999999</v>
      </c>
      <c r="J205" s="55" cm="1">
        <f t="array" ref="J205">MMS_Dairy_Methane_Equations.VEERG_4_3_1_1__5_FractionVolatileSolidsSolidStorageVariation(J199,J154,$F165,J155,$F166,J156,$F167)</f>
        <v>0.12459999999999999</v>
      </c>
      <c r="K205" s="2" t="str">
        <f>$E$189</f>
        <v>fraction</v>
      </c>
      <c r="O205" s="55" t="str">
        <f>'Input - Dairy'!$D$67</f>
        <v>Feed pad</v>
      </c>
      <c r="P205" s="55" t="s">
        <v>412</v>
      </c>
      <c r="Q205" s="55" cm="1">
        <f t="array" ref="Q205">MMS_Dairy_Methane_Equations.VEERG_4_3_1_1__5_FractionVolatileSolidsSolidStorageVariation(Q199,Q154,$Q165,Q155,$Q166,Q156,$Q167)</f>
        <v>0.12459999999999999</v>
      </c>
      <c r="R205" s="55" cm="1">
        <f t="array" ref="R205">MMS_Dairy_Methane_Equations.VEERG_4_3_1_1__5_FractionVolatileSolidsSolidStorageVariation(R199,R154,$Q165,R155,$Q166,R156,$Q167)</f>
        <v>0.12459999999999999</v>
      </c>
      <c r="S205" s="55" cm="1">
        <f t="array" ref="S205">MMS_Dairy_Methane_Equations.VEERG_4_3_1_1__5_FractionVolatileSolidsSolidStorageVariation(S199,S154,$Q165,S155,$Q166,S156,$Q167)</f>
        <v>0.12459999999999999</v>
      </c>
      <c r="T205" s="55" cm="1">
        <f t="array" ref="T205">MMS_Dairy_Methane_Equations.VEERG_4_3_1_1__5_FractionVolatileSolidsSolidStorageVariation(T199,T154,$Q165,T155,$Q166,T156,$Q167)</f>
        <v>0.12459999999999999</v>
      </c>
      <c r="U205" s="55" cm="1">
        <f t="array" ref="U205">MMS_Dairy_Methane_Equations.VEERG_4_3_1_1__5_FractionVolatileSolidsSolidStorageVariation(U199,U154,$Q165,U155,$Q166,U156,$Q167)</f>
        <v>0.12459999999999999</v>
      </c>
      <c r="V205" s="2" t="str">
        <f>$E$189</f>
        <v>fraction</v>
      </c>
    </row>
    <row r="206" spans="3:23" ht="20.100000000000001" customHeight="1" x14ac:dyDescent="0.25"/>
    <row r="207" spans="3:23" ht="20.100000000000001" customHeight="1" x14ac:dyDescent="0.25"/>
    <row r="208" spans="3:23" ht="20.100000000000001" customHeight="1" x14ac:dyDescent="0.25">
      <c r="C208" s="48"/>
      <c r="D208" s="48"/>
      <c r="E208" s="48"/>
      <c r="F208" s="48"/>
      <c r="G208" s="48"/>
      <c r="H208" s="48"/>
      <c r="I208" s="48"/>
      <c r="J208" s="48"/>
      <c r="K208" s="48"/>
      <c r="L208" s="48"/>
      <c r="N208" s="48"/>
      <c r="O208" s="48"/>
      <c r="P208" s="48"/>
      <c r="Q208" s="48"/>
      <c r="R208" s="48"/>
      <c r="S208" s="48"/>
      <c r="T208" s="48"/>
      <c r="U208" s="48"/>
      <c r="V208" s="48"/>
      <c r="W208" s="48"/>
    </row>
    <row r="209" spans="1:20" ht="20.100000000000001" customHeight="1" x14ac:dyDescent="0.25">
      <c r="D209" s="6" t="str" cm="1">
        <f t="array" ref="D209">MMS_Dairy_Methane_Equations.VEERG_4_3_1_1__2_MethaneFromManureProduction_Title()</f>
        <v>Methane from manure production from weaned dairy cattle</v>
      </c>
    </row>
    <row r="210" spans="1:20" ht="20.100000000000001" customHeight="1" x14ac:dyDescent="0.25">
      <c r="D210" s="5" t="str" cm="1">
        <f t="array" ref="D210">MMS_Dairy_Methane_Equations.VEERG_4_3_1_1__2_MethaneFromManureProduction_Source()</f>
        <v>VEERG 2026: 4.3.1.1, Equation (2)</v>
      </c>
    </row>
    <row r="211" spans="1:20" ht="20.100000000000001" customHeight="1" x14ac:dyDescent="0.25">
      <c r="D211" s="13" t="s">
        <v>28</v>
      </c>
      <c r="E211" s="13" t="str" cm="1">
        <f t="array" aca="1" ref="E211" ca="1">Common_InputFunctions.Utility_DisplayFunctionName($F$237)</f>
        <v>=MMS_Dairy_Methane_Equations.VEERG_4_3_1_1__2_MethaneFromManureProduction</v>
      </c>
    </row>
    <row r="212" spans="1:20" ht="20.100000000000001" customHeight="1" x14ac:dyDescent="0.25"/>
    <row r="213" spans="1:20" ht="20.100000000000001" customHeight="1" x14ac:dyDescent="0.25">
      <c r="D213" s="6"/>
    </row>
    <row r="214" spans="1:20" ht="20.100000000000001" customHeight="1" x14ac:dyDescent="0.25">
      <c r="D214" s="56" t="s">
        <v>31</v>
      </c>
      <c r="E214" s="1" t="str" cm="1">
        <f t="array" ref="E214">MMS_Dairy_Methane_Equations.VEERG_4_3_1_1__2_MethaneFromManureProduction_Variable()</f>
        <v>M_jm</v>
      </c>
    </row>
    <row r="215" spans="1:20" ht="20.100000000000001" customHeight="1" x14ac:dyDescent="0.25">
      <c r="D215" s="56" t="s">
        <v>21</v>
      </c>
      <c r="E215" s="57" t="str" cm="1">
        <f t="array" ref="E215">MMS_Dairy_Methane_Equations.VEERG_4_3_1_1__2_MethaneFromManureProduction_Unit()</f>
        <v>kg CH4/head/day</v>
      </c>
    </row>
    <row r="216" spans="1:20" ht="20.100000000000001" customHeight="1" x14ac:dyDescent="0.25"/>
    <row r="217" spans="1:20" ht="20.100000000000001" customHeight="1" x14ac:dyDescent="0.25">
      <c r="A217" s="141" t="str">
        <f>HYPERLINK("#A1", "▲ Back to top")</f>
        <v>▲ Back to top</v>
      </c>
      <c r="D217" s="137" t="str" cm="1">
        <f t="array" ref="D217:E222">_xlfn.CHOOSECOLS(MMS_Dairy_Methane_Equations.VEERG_4_3_1_1__2_MethaneFromManureProduction_Arguments(),1,2)</f>
        <v>VS_j</v>
      </c>
      <c r="E217" s="136" t="str">
        <v>daily volatile solids production per head for dairy cattle (kg/head/day)</v>
      </c>
      <c r="F217" s="138"/>
      <c r="G217" s="137" t="str" cm="1">
        <f t="array" ref="G217:H222">_xlfn.CHOOSECOLS(MMS_Dairy_Methane_Equations.VEERG_4_3_1_1__2_MethaneFromManureProduction_Arguments(),3,4)</f>
        <v>kg/head/day</v>
      </c>
      <c r="H217" s="133" t="str">
        <v>Calculated from 4.3.1.1 (3)</v>
      </c>
      <c r="I217" s="134" t="str" cm="1">
        <f t="array" aca="1" ref="I217" ca="1">HYPERLINK(Common_InputFunctions.Utility_SourceHyperlink($D$129),$D$129)</f>
        <v>M1_Table_VS_j</v>
      </c>
      <c r="J217" s="137"/>
      <c r="O217" s="137" t="str" cm="1">
        <f t="array" ref="O217:P222">_xlfn.CHOOSECOLS(MMS_Dairy_Methane_Equations.VEERG_4_3_1_1__2_MethaneFromManureProduction_Arguments_Method2(),1,2)</f>
        <v>VS_j</v>
      </c>
      <c r="P217" s="136" t="str">
        <v>daily volatile solids production per head for dairy cattle (kg/head/day)</v>
      </c>
      <c r="Q217" s="138"/>
      <c r="R217" s="137" t="str" cm="1">
        <f t="array" ref="R217:S222">_xlfn.CHOOSECOLS(MMS_Dairy_Methane_Equations.VEERG_4_3_1_1__2_MethaneFromManureProduction_Arguments_Method2(),3,4)</f>
        <v>kg/head/day</v>
      </c>
      <c r="S217" s="133" t="str">
        <v>Calculated from 4.3.1.1 (3)</v>
      </c>
      <c r="T217" s="137"/>
    </row>
    <row r="218" spans="1:20" ht="20.100000000000001" customHeight="1" x14ac:dyDescent="0.25">
      <c r="D218" s="137" t="str">
        <v>FVS_jmT1</v>
      </c>
      <c r="E218" s="136" t="str">
        <v>fraction of waste from each class in each management system</v>
      </c>
      <c r="F218" s="138"/>
      <c r="G218" s="137" t="str">
        <v>fraction</v>
      </c>
      <c r="H218" s="133" t="str">
        <v>Calculated from 4.3.1.1 (4)(5)</v>
      </c>
      <c r="I218" s="134" t="str" cm="1">
        <f t="array" aca="1" ref="I218" ca="1">HYPERLINK(Common_InputFunctions.Utility_SourceHyperlink($D$169),$D$169)</f>
        <v>M1_Table_FVS_j_m</v>
      </c>
      <c r="J218" s="134" t="str" cm="1">
        <f t="array" aca="1" ref="J218" ca="1">HYPERLINK(Common_InputFunctions.Utility_SourceHyperlink($D$201),$D$201)</f>
        <v>M1_Table_FVS_j_m-4</v>
      </c>
      <c r="O218" s="137" t="str">
        <v>FVS_jmT1</v>
      </c>
      <c r="P218" s="136" t="str">
        <v>fraction of waste from each class in each management system</v>
      </c>
      <c r="Q218" s="138"/>
      <c r="R218" s="137" t="str">
        <v>fraction</v>
      </c>
      <c r="S218" s="133" t="str">
        <v>Calculated from 4.3.1.1 (4)(5)</v>
      </c>
      <c r="T218" s="137"/>
    </row>
    <row r="219" spans="1:20" ht="20.100000000000001" customHeight="1" x14ac:dyDescent="0.25">
      <c r="D219" s="137" t="str">
        <v>MCF_im</v>
      </c>
      <c r="E219" s="136" t="str">
        <v>methane conversion factor for temperature zone and MMS</v>
      </c>
      <c r="F219" s="138"/>
      <c r="G219" s="137" t="str">
        <v>fraction</v>
      </c>
      <c r="H219" s="133" t="str">
        <v>Constant</v>
      </c>
      <c r="I219" s="134" t="str" cm="1">
        <f t="array" aca="1" ref="I219" ca="1">HYPERLINK(Common_InputFunctions.Utility_SourceHyperlink($D$224),$D$224)</f>
        <v>M1_Table_MCF_i_m</v>
      </c>
      <c r="J219" s="137"/>
      <c r="O219" s="137" t="str">
        <v>MCF_im</v>
      </c>
      <c r="P219" s="136" t="str">
        <v>methane conversion factor for temperature zone and MMS</v>
      </c>
      <c r="Q219" s="138"/>
      <c r="R219" s="137" t="str">
        <v>fraction</v>
      </c>
      <c r="S219" s="133" t="str">
        <v>Constant</v>
      </c>
      <c r="T219" s="134" t="str" cm="1">
        <f t="array" aca="1" ref="T219" ca="1">HYPERLINK(Common_InputFunctions.Utility_SourceHyperlink($O$224),$O$224)</f>
        <v>M2_Table_MCF_i_m</v>
      </c>
    </row>
    <row r="220" spans="1:20" ht="20.100000000000001" customHeight="1" x14ac:dyDescent="0.25">
      <c r="D220" s="137" t="str">
        <v>B_o</v>
      </c>
      <c r="E220" s="136" t="str">
        <v>emissions potential (m3 CH4/kgVS)</v>
      </c>
      <c r="F220" s="138"/>
      <c r="G220" s="137" t="str">
        <v>m3 CH4/kgVS</v>
      </c>
      <c r="H220" s="133" t="str">
        <v>Constant</v>
      </c>
      <c r="I220" s="137">
        <f>'Constants - Dairy'!$D$195</f>
        <v>0.24</v>
      </c>
      <c r="J220" s="137"/>
      <c r="O220" s="137" t="str">
        <v>B_o</v>
      </c>
      <c r="P220" s="136" t="str">
        <v>emissions potential (m3 CH4/kgVS)</v>
      </c>
      <c r="Q220" s="138"/>
      <c r="R220" s="137" t="str">
        <v>m3 CH4/kgVS</v>
      </c>
      <c r="S220" s="133" t="str">
        <v>Constant</v>
      </c>
      <c r="T220" s="137"/>
    </row>
    <row r="221" spans="1:20" ht="20.100000000000001" customHeight="1" x14ac:dyDescent="0.25">
      <c r="D221" s="137" t="str">
        <v>rho</v>
      </c>
      <c r="E221" s="136" t="str">
        <v>density of methane (kg/m3)</v>
      </c>
      <c r="F221" s="138"/>
      <c r="G221" s="137" t="str">
        <v>kg/m3</v>
      </c>
      <c r="H221" s="133" t="str">
        <v>Constant</v>
      </c>
      <c r="I221" s="137">
        <f>'Constants - Common'!$D$175</f>
        <v>0.6784</v>
      </c>
      <c r="J221" s="137"/>
      <c r="O221" s="137" t="str">
        <v>rho</v>
      </c>
      <c r="P221" s="136" t="str">
        <v>density of methane (kg/m3)</v>
      </c>
      <c r="Q221" s="138"/>
      <c r="R221" s="137" t="str">
        <v>kg/m3</v>
      </c>
      <c r="S221" s="133" t="str">
        <v>Constant</v>
      </c>
      <c r="T221" s="137"/>
    </row>
    <row r="222" spans="1:20" ht="20.100000000000001" customHeight="1" x14ac:dyDescent="0.25">
      <c r="D222" s="137" t="str">
        <v>i</v>
      </c>
      <c r="E222" s="136" t="str">
        <v>state</v>
      </c>
      <c r="F222" s="138"/>
      <c r="G222" s="137" t="str">
        <v>state</v>
      </c>
      <c r="H222" s="135" t="str">
        <v>Input</v>
      </c>
      <c r="I222" s="137" t="str">
        <f>Common_InputFunctions.Utility_LookupValueInTable('Input - Site'!$E$21, Table_AustralianStates[Common Name],Table_AustralianStates[Abbreviation])</f>
        <v>NSW</v>
      </c>
      <c r="J222" s="137"/>
      <c r="O222" s="137" t="str">
        <v>MAT</v>
      </c>
      <c r="P222" s="136" t="str">
        <v>Mean annual temperature</v>
      </c>
      <c r="Q222" s="138"/>
      <c r="R222" s="137" t="str">
        <v>°C</v>
      </c>
      <c r="S222" s="135" t="str">
        <v>Input</v>
      </c>
      <c r="T222" s="137">
        <f>'Input - Site'!$E$25</f>
        <v>18</v>
      </c>
    </row>
    <row r="223" spans="1:20" ht="20.100000000000001" customHeight="1" x14ac:dyDescent="0.25"/>
    <row r="224" spans="1:20" ht="20.100000000000001" customHeight="1" x14ac:dyDescent="0.25">
      <c r="D224" s="128" t="s">
        <v>265</v>
      </c>
      <c r="O224" s="128" t="s">
        <v>423</v>
      </c>
    </row>
    <row r="225" spans="4:22" ht="20.100000000000001" customHeight="1" x14ac:dyDescent="0.25">
      <c r="D225" s="129" t="s">
        <v>266</v>
      </c>
      <c r="O225" s="129" t="s">
        <v>424</v>
      </c>
    </row>
    <row r="226" spans="4:22" ht="20.100000000000001" customHeight="1" x14ac:dyDescent="0.25">
      <c r="D226" s="54" t="s">
        <v>69</v>
      </c>
      <c r="E226" s="54" t="s">
        <v>100</v>
      </c>
      <c r="O226" s="54" t="s">
        <v>69</v>
      </c>
      <c r="P226" s="54" t="s">
        <v>100</v>
      </c>
    </row>
    <row r="227" spans="4:22" ht="20.100000000000001" customHeight="1" x14ac:dyDescent="0.25">
      <c r="D227" s="60" t="str">
        <f>'Constants - Livestock'!$E$27</f>
        <v>Pasture range and paddock</v>
      </c>
      <c r="E227" s="55" cm="1">
        <f t="array" ref="E227">CommonLivestock_InputFunctions.Livestock_LookupMCFState(D227,Table_SourceData_Dairy_MCFjm[NIR reference],$I$222,Table_SourceData_Dairy_MCFjm[#Headers],Table_SourceData_Dairy_MCFjm[])</f>
        <v>0.01</v>
      </c>
      <c r="O227" s="60" t="str">
        <f>'Constants - Livestock'!$E$27</f>
        <v>Pasture range and paddock</v>
      </c>
      <c r="P227" s="55" cm="1">
        <f t="array" ref="P227">CommonLivestock_InputFunctions.Livestock_LookupMCFState(O227,Table_SourceData_Dairy_MCFjm[NIR reference],$I$222,Table_SourceData_Dairy_MCFjm[#Headers],Table_SourceData_Dairy_MCFjm[])</f>
        <v>0.01</v>
      </c>
      <c r="Q227" s="23" t="s">
        <v>425</v>
      </c>
      <c r="R227" s="23"/>
    </row>
    <row r="228" spans="4:22" ht="20.100000000000001" customHeight="1" x14ac:dyDescent="0.25">
      <c r="D228" s="60" t="str">
        <f>'Constants - Dairy'!$D$8</f>
        <v>Anaerobic lagoon</v>
      </c>
      <c r="E228" s="55" cm="1">
        <f t="array" ref="E228">CommonLivestock_InputFunctions.Livestock_LookupMCFState(D228,Table_SourceData_Dairy_MCFjm[NIR reference],$I$222,Table_SourceData_Dairy_MCFjm[#Headers],Table_SourceData_Dairy_MCFjm[])</f>
        <v>0.76</v>
      </c>
      <c r="O228" s="60" t="str">
        <f>'Constants - Dairy'!$D$8</f>
        <v>Anaerobic lagoon</v>
      </c>
      <c r="P228" s="55" cm="1">
        <f t="array" ref="P228">Common_InputFunctions.Common_GetMCFTemperatureZone($T$222, O228,Table_SourceData_Common_MCFTemperatureZone[MAT raw],Table_SourceData_Common_MCFTemperatureZone[#Headers],Table_SourceData_Common_MCFTemperatureZone[])</f>
        <v>0.77</v>
      </c>
    </row>
    <row r="229" spans="4:22" ht="20.100000000000001" customHeight="1" x14ac:dyDescent="0.25">
      <c r="D229" s="60" t="str">
        <f>'Constants - Dairy'!$D$9</f>
        <v>Sump and dispersal system</v>
      </c>
      <c r="E229" s="55" cm="1">
        <f t="array" ref="E229">CommonLivestock_InputFunctions.Livestock_LookupMCFState(D229,Table_SourceData_Dairy_MCFjm[NIR reference],$I$222,Table_SourceData_Dairy_MCFjm[#Headers],Table_SourceData_Dairy_MCFjm[])</f>
        <v>5.0000000000000001E-3</v>
      </c>
      <c r="O229" s="60" t="str">
        <f>'Constants - Dairy'!$D$9</f>
        <v>Sump and dispersal system</v>
      </c>
      <c r="P229" s="55" cm="1">
        <f t="array" ref="P229">Common_InputFunctions.Common_GetMCFTemperatureZone($T$222, "Daily spread",Table_SourceData_Common_MCFTemperatureZone[MAT raw],Table_SourceData_Common_MCFTemperatureZone[#Headers],Table_SourceData_Common_MCFTemperatureZone[])</f>
        <v>5.0000000000000001E-3</v>
      </c>
      <c r="Q229" s="23" t="s">
        <v>422</v>
      </c>
      <c r="R229" s="23"/>
    </row>
    <row r="230" spans="4:22" ht="20.100000000000001" customHeight="1" x14ac:dyDescent="0.25">
      <c r="D230" s="60" t="str">
        <f>'Constants - Dairy'!$D$10</f>
        <v>Drains to paddock</v>
      </c>
      <c r="E230" s="55" cm="1">
        <f t="array" ref="E230">CommonLivestock_InputFunctions.Livestock_LookupMCFState(D230,Table_SourceData_Dairy_MCFjm[NIR reference],$I$222,Table_SourceData_Dairy_MCFjm[#Headers],Table_SourceData_Dairy_MCFjm[])</f>
        <v>0.18</v>
      </c>
      <c r="O230" s="60" t="str">
        <f>'Constants - Dairy'!$D$10</f>
        <v>Drains to paddock</v>
      </c>
      <c r="P230" s="55" cm="1">
        <f t="array" ref="P230">Common_InputFunctions.Common_GetMCFTemperatureZone($T$222, "Liquid systems",Table_SourceData_Common_MCFTemperatureZone[MAT raw],Table_SourceData_Common_MCFTemperatureZone[#Headers],Table_SourceData_Common_MCFTemperatureZone[])</f>
        <v>0.22</v>
      </c>
      <c r="Q230" s="23" t="s">
        <v>421</v>
      </c>
      <c r="R230" s="23"/>
    </row>
    <row r="231" spans="4:22" ht="20.100000000000001" customHeight="1" x14ac:dyDescent="0.25">
      <c r="D231" s="60" t="str">
        <f>'Constants - Dairy'!$D$11</f>
        <v>Solid storage</v>
      </c>
      <c r="E231" s="55" cm="1">
        <f t="array" ref="E231">CommonLivestock_InputFunctions.Livestock_LookupMCFState(D231,Table_SourceData_Dairy_MCFjm[NIR reference],$I$222,Table_SourceData_Dairy_MCFjm[#Headers],Table_SourceData_Dairy_MCFjm[])</f>
        <v>0.02</v>
      </c>
      <c r="O231" s="60" t="str">
        <f>'Constants - Dairy'!$D$11</f>
        <v>Solid storage</v>
      </c>
      <c r="P231" s="55" cm="1">
        <f t="array" ref="P231">Common_InputFunctions.Common_GetMCFTemperatureZone($T$222, O231,Table_SourceData_Common_MCFTemperatureZone[MAT raw],Table_SourceData_Common_MCFTemperatureZone[#Headers],Table_SourceData_Common_MCFTemperatureZone[])</f>
        <v>0.02</v>
      </c>
    </row>
    <row r="232" spans="4:22" ht="20.100000000000001" customHeight="1" x14ac:dyDescent="0.25"/>
    <row r="233" spans="4:22" ht="20.100000000000001" customHeight="1" x14ac:dyDescent="0.25">
      <c r="D233" s="128" t="s">
        <v>267</v>
      </c>
      <c r="O233" s="128" t="s">
        <v>281</v>
      </c>
    </row>
    <row r="234" spans="4:22" ht="20.100000000000001" customHeight="1" x14ac:dyDescent="0.25">
      <c r="D234" s="129" t="s">
        <v>283</v>
      </c>
      <c r="O234" s="129" t="s">
        <v>282</v>
      </c>
    </row>
    <row r="235" spans="4:22" ht="20.100000000000001" customHeight="1" x14ac:dyDescent="0.25">
      <c r="D235" s="54" t="s">
        <v>149</v>
      </c>
      <c r="E235" s="54" t="s">
        <v>69</v>
      </c>
      <c r="F235" s="54" t="s">
        <v>175</v>
      </c>
      <c r="G235" s="54" t="s">
        <v>192</v>
      </c>
      <c r="H235" s="54" t="s">
        <v>193</v>
      </c>
      <c r="I235" s="54" t="s">
        <v>194</v>
      </c>
      <c r="J235" s="54" t="s">
        <v>195</v>
      </c>
      <c r="O235" s="54" t="s">
        <v>149</v>
      </c>
      <c r="P235" s="54" t="s">
        <v>69</v>
      </c>
      <c r="Q235" s="54" t="s">
        <v>175</v>
      </c>
      <c r="R235" s="54" t="s">
        <v>192</v>
      </c>
      <c r="S235" s="54" t="s">
        <v>193</v>
      </c>
      <c r="T235" s="54" t="s">
        <v>194</v>
      </c>
      <c r="U235" s="54" t="s">
        <v>195</v>
      </c>
    </row>
    <row r="236" spans="4:22" ht="20.100000000000001" customHeight="1" x14ac:dyDescent="0.25">
      <c r="D236" s="55" t="str">
        <f>'Input - Dairy'!$D$65</f>
        <v>Pasture</v>
      </c>
      <c r="E236" s="55" t="str">
        <f>'Constants - Livestock'!$E$27</f>
        <v>Pasture range and paddock</v>
      </c>
      <c r="F236" s="55" cm="1">
        <f t="array" ref="F236">MMS_Dairy_Methane_Equations.VEERG_4_3_1_1__2_MethaneFromManureProduction(D$132,F172,_xlfn.XLOOKUP($E236,$D$227:$D$231,$E$227:$E$231),$I$220,$I$221)</f>
        <v>2.814864323169422E-3</v>
      </c>
      <c r="G236" s="55" cm="1">
        <f t="array" ref="G236">MMS_Dairy_Methane_Equations.VEERG_4_3_1_1__2_MethaneFromManureProduction(E$132,G172,_xlfn.XLOOKUP($E236,$D$227:$D$231,$E$227:$E$231),$I$220,$I$221)</f>
        <v>1.7209245840165332E-3</v>
      </c>
      <c r="H236" s="55" cm="1">
        <f t="array" ref="H236">MMS_Dairy_Methane_Equations.VEERG_4_3_1_1__2_MethaneFromManureProduction(F$132,H172,_xlfn.XLOOKUP($E236,$D$227:$D$231,$E$227:$E$231),$I$220,$I$221)</f>
        <v>9.3323909012537774E-4</v>
      </c>
      <c r="I236" s="55" cm="1">
        <f t="array" ref="I236">MMS_Dairy_Methane_Equations.VEERG_4_3_1_1__2_MethaneFromManureProduction(G$132,I172,_xlfn.XLOOKUP($E236,$D$227:$D$231,$E$227:$E$231),$I$220,$I$221)</f>
        <v>2.0939609577804406E-3</v>
      </c>
      <c r="J236" s="55" cm="1">
        <f t="array" ref="J236">MMS_Dairy_Methane_Equations.VEERG_4_3_1_1__2_MethaneFromManureProduction(H$132,J172,_xlfn.XLOOKUP($E236,$D$227:$D$231,$E$227:$E$231),$I$220,$I$221)</f>
        <v>1.2559439850690533E-3</v>
      </c>
      <c r="K236" s="2" t="str">
        <f>$E$215</f>
        <v>kg CH4/head/day</v>
      </c>
      <c r="O236" s="55" t="str">
        <f>'Input - Dairy'!$D$65</f>
        <v>Pasture</v>
      </c>
      <c r="P236" s="55" t="str">
        <f>'Constants - Livestock'!$E$27</f>
        <v>Pasture range and paddock</v>
      </c>
      <c r="Q236" s="55" cm="1">
        <f t="array" ref="Q236">MMS_Dairy_Methane_Equations.VEERG_4_3_1_1__2_MethaneFromManureProduction(O$132,Q172,_xlfn.XLOOKUP($P236,$O$227:$O$231,$P$227:$P$231),$I$220,$I$221)</f>
        <v>2.814864323169422E-3</v>
      </c>
      <c r="R236" s="55" cm="1">
        <f t="array" ref="R236">MMS_Dairy_Methane_Equations.VEERG_4_3_1_1__2_MethaneFromManureProduction(P$132,R172,_xlfn.XLOOKUP($P236,$O$227:$O$231,$P$227:$P$231),$I$220,$I$221)</f>
        <v>1.7209245840165332E-3</v>
      </c>
      <c r="S236" s="55" cm="1">
        <f t="array" ref="S236">MMS_Dairy_Methane_Equations.VEERG_4_3_1_1__2_MethaneFromManureProduction(Q$132,S172,_xlfn.XLOOKUP($P236,$O$227:$O$231,$P$227:$P$231),$I$220,$I$221)</f>
        <v>9.3323909012537774E-4</v>
      </c>
      <c r="T236" s="55" cm="1">
        <f t="array" ref="T236">MMS_Dairy_Methane_Equations.VEERG_4_3_1_1__2_MethaneFromManureProduction(R$132,T172,_xlfn.XLOOKUP($P236,$O$227:$O$231,$P$227:$P$231),$I$220,$I$221)</f>
        <v>2.0939609577804406E-3</v>
      </c>
      <c r="U236" s="55" cm="1">
        <f t="array" ref="U236">MMS_Dairy_Methane_Equations.VEERG_4_3_1_1__2_MethaneFromManureProduction(S$132,U172,_xlfn.XLOOKUP($P236,$O$227:$O$231,$P$227:$P$231),$I$220,$I$221)</f>
        <v>1.2559439850690533E-3</v>
      </c>
      <c r="V236" s="2" t="str">
        <f>$E$215</f>
        <v>kg CH4/head/day</v>
      </c>
    </row>
    <row r="237" spans="4:22" ht="20.100000000000001" customHeight="1" x14ac:dyDescent="0.25">
      <c r="D237" s="55" t="str">
        <f>'Input - Dairy'!$D$66</f>
        <v>Milking shed</v>
      </c>
      <c r="E237" s="55" t="str">
        <f>'Input - Dairy'!$D$85</f>
        <v>Anaerobic lagoon</v>
      </c>
      <c r="F237" s="55" cm="1">
        <f t="array" ref="F237">MMS_Dairy_Methane_Equations.VEERG_4_3_1_1__2_MethaneFromManureProduction(D$132,F173,_xlfn.XLOOKUP($E237,$D$227:$D$231,$E$227:$E$231),$I$220,$I$221)</f>
        <v>8.8135826747926509E-3</v>
      </c>
      <c r="G237" s="55" cm="1">
        <f t="array" ref="G237">MMS_Dairy_Methane_Equations.VEERG_4_3_1_1__2_MethaneFromManureProduction(E$132,G173,_xlfn.XLOOKUP($E237,$D$227:$D$231,$E$227:$E$231),$I$220,$I$221)</f>
        <v>5.3883631169955861E-3</v>
      </c>
      <c r="H237" s="55" cm="1">
        <f t="array" ref="H237">MMS_Dairy_Methane_Equations.VEERG_4_3_1_1__2_MethaneFromManureProduction(F$132,H173,_xlfn.XLOOKUP($E237,$D$227:$D$231,$E$227:$E$231),$I$220,$I$221)</f>
        <v>2.922051982564853E-3</v>
      </c>
      <c r="I237" s="55" cm="1">
        <f t="array" ref="I237">MMS_Dairy_Methane_Equations.VEERG_4_3_1_1__2_MethaneFromManureProduction(G$132,I173,_xlfn.XLOOKUP($E237,$D$227:$D$231,$E$227:$E$231),$I$220,$I$221)</f>
        <v>6.556372137469845E-3</v>
      </c>
      <c r="J237" s="55" cm="1">
        <f t="array" ref="J237">MMS_Dairy_Methane_Equations.VEERG_4_3_1_1__2_MethaneFromManureProduction(H$132,J173,_xlfn.XLOOKUP($E237,$D$227:$D$231,$E$227:$E$231),$I$220,$I$221)</f>
        <v>3.9324688071825046E-3</v>
      </c>
      <c r="O237" s="55" t="str">
        <f>'Input - Dairy'!$D$66</f>
        <v>Milking shed</v>
      </c>
      <c r="P237" s="55" t="str">
        <f>'Input - Dairy'!$D$85</f>
        <v>Anaerobic lagoon</v>
      </c>
      <c r="Q237" s="55" cm="1">
        <f t="array" ref="Q237">MMS_Dairy_Methane_Equations.VEERG_4_3_1_1__2_MethaneFromManureProduction(O$132,Q173,_xlfn.XLOOKUP($P237,$O$227:$O$231,$P$227:$P$231),$I$220,$I$221)</f>
        <v>8.929550867882028E-3</v>
      </c>
      <c r="R237" s="55" cm="1">
        <f t="array" ref="R237">MMS_Dairy_Methane_Equations.VEERG_4_3_1_1__2_MethaneFromManureProduction(P$132,R173,_xlfn.XLOOKUP($P237,$O$227:$O$231,$P$227:$P$231),$I$220,$I$221)</f>
        <v>5.4592626316928971E-3</v>
      </c>
      <c r="S237" s="55" cm="1">
        <f t="array" ref="S237">MMS_Dairy_Methane_Equations.VEERG_4_3_1_1__2_MethaneFromManureProduction(Q$132,S173,_xlfn.XLOOKUP($P237,$O$227:$O$231,$P$227:$P$231),$I$220,$I$221)</f>
        <v>2.9605000349670215E-3</v>
      </c>
      <c r="T237" s="55" cm="1">
        <f t="array" ref="T237">MMS_Dairy_Methane_Equations.VEERG_4_3_1_1__2_MethaneFromManureProduction(R$132,T173,_xlfn.XLOOKUP($P237,$O$227:$O$231,$P$227:$P$231),$I$220,$I$221)</f>
        <v>6.6426401919102386E-3</v>
      </c>
      <c r="U237" s="55" cm="1">
        <f t="array" ref="U237">MMS_Dairy_Methane_Equations.VEERG_4_3_1_1__2_MethaneFromManureProduction(S$132,U173,_xlfn.XLOOKUP($P237,$O$227:$O$231,$P$227:$P$231),$I$220,$I$221)</f>
        <v>3.9842118178033264E-3</v>
      </c>
    </row>
    <row r="238" spans="4:22" ht="20.100000000000001" customHeight="1" x14ac:dyDescent="0.25">
      <c r="D238" s="55" t="str">
        <f>'Input - Dairy'!$D$66</f>
        <v>Milking shed</v>
      </c>
      <c r="E238" s="55" t="str">
        <f>'Input - Dairy'!$D$86</f>
        <v>Sump and dispersal system</v>
      </c>
      <c r="F238" s="55" cm="1">
        <f t="array" ref="F238">MMS_Dairy_Methane_Equations.VEERG_4_3_1_1__2_MethaneFromManureProduction(D$132,F174,_xlfn.XLOOKUP($E238,$D$227:$D$231,$E$227:$E$231),$I$220,$I$221)</f>
        <v>5.7984096544688489E-5</v>
      </c>
      <c r="G238" s="55" cm="1">
        <f t="array" ref="G238">MMS_Dairy_Methane_Equations.VEERG_4_3_1_1__2_MethaneFromManureProduction(E$132,G174,_xlfn.XLOOKUP($E238,$D$227:$D$231,$E$227:$E$231),$I$220,$I$221)</f>
        <v>3.5449757348655176E-5</v>
      </c>
      <c r="H238" s="55" cm="1">
        <f t="array" ref="H238">MMS_Dairy_Methane_Equations.VEERG_4_3_1_1__2_MethaneFromManureProduction(F$132,H174,_xlfn.XLOOKUP($E238,$D$227:$D$231,$E$227:$E$231),$I$220,$I$221)</f>
        <v>1.9224026201084556E-5</v>
      </c>
      <c r="I238" s="55" cm="1">
        <f t="array" ref="I238">MMS_Dairy_Methane_Equations.VEERG_4_3_1_1__2_MethaneFromManureProduction(G$132,I174,_xlfn.XLOOKUP($E238,$D$227:$D$231,$E$227:$E$231),$I$220,$I$221)</f>
        <v>4.313402722019635E-5</v>
      </c>
      <c r="J238" s="55" cm="1">
        <f t="array" ref="J238">MMS_Dairy_Methane_Equations.VEERG_4_3_1_1__2_MethaneFromManureProduction(H$132,J174,_xlfn.XLOOKUP($E238,$D$227:$D$231,$E$227:$E$231),$I$220,$I$221)</f>
        <v>2.587150531041121E-5</v>
      </c>
      <c r="K238" s="2"/>
      <c r="O238" s="55" t="str">
        <f>'Input - Dairy'!$D$66</f>
        <v>Milking shed</v>
      </c>
      <c r="P238" s="55" t="str">
        <f>'Input - Dairy'!$D$86</f>
        <v>Sump and dispersal system</v>
      </c>
      <c r="Q238" s="55" cm="1">
        <f t="array" ref="Q238">MMS_Dairy_Methane_Equations.VEERG_4_3_1_1__2_MethaneFromManureProduction(O$132,Q174,_xlfn.XLOOKUP($P238,$O$227:$O$231,$P$227:$P$231),$I$220,$I$221)</f>
        <v>5.7984096544688489E-5</v>
      </c>
      <c r="R238" s="55" cm="1">
        <f t="array" ref="R238">MMS_Dairy_Methane_Equations.VEERG_4_3_1_1__2_MethaneFromManureProduction(P$132,R174,_xlfn.XLOOKUP($P238,$O$227:$O$231,$P$227:$P$231),$I$220,$I$221)</f>
        <v>3.5449757348655176E-5</v>
      </c>
      <c r="S238" s="55" cm="1">
        <f t="array" ref="S238">MMS_Dairy_Methane_Equations.VEERG_4_3_1_1__2_MethaneFromManureProduction(Q$132,S174,_xlfn.XLOOKUP($P238,$O$227:$O$231,$P$227:$P$231),$I$220,$I$221)</f>
        <v>1.9224026201084556E-5</v>
      </c>
      <c r="T238" s="55" cm="1">
        <f t="array" ref="T238">MMS_Dairy_Methane_Equations.VEERG_4_3_1_1__2_MethaneFromManureProduction(R$132,T174,_xlfn.XLOOKUP($P238,$O$227:$O$231,$P$227:$P$231),$I$220,$I$221)</f>
        <v>4.313402722019635E-5</v>
      </c>
      <c r="U238" s="55" cm="1">
        <f t="array" ref="U238">MMS_Dairy_Methane_Equations.VEERG_4_3_1_1__2_MethaneFromManureProduction(S$132,U174,_xlfn.XLOOKUP($P238,$O$227:$O$231,$P$227:$P$231),$I$220,$I$221)</f>
        <v>2.587150531041121E-5</v>
      </c>
      <c r="V238" s="2"/>
    </row>
    <row r="239" spans="4:22" ht="20.100000000000001" customHeight="1" x14ac:dyDescent="0.25">
      <c r="D239" s="55" t="str">
        <f>'Input - Dairy'!$D$66</f>
        <v>Milking shed</v>
      </c>
      <c r="E239" s="55" t="str">
        <f>'Input - Dairy'!$D$87</f>
        <v>Drains to paddock</v>
      </c>
      <c r="F239" s="55" cm="1">
        <f t="array" ref="F239">MMS_Dairy_Methane_Equations.VEERG_4_3_1_1__2_MethaneFromManureProduction(D$132,F175,_xlfn.XLOOKUP($E239,$D$227:$D$231,$E$227:$E$231),$I$220,$I$221)</f>
        <v>2.0874274756087856E-3</v>
      </c>
      <c r="G239" s="55" cm="1">
        <f t="array" ref="G239">MMS_Dairy_Methane_Equations.VEERG_4_3_1_1__2_MethaneFromManureProduction(E$132,G175,_xlfn.XLOOKUP($E239,$D$227:$D$231,$E$227:$E$231),$I$220,$I$221)</f>
        <v>1.2761912645515865E-3</v>
      </c>
      <c r="H239" s="55" cm="1">
        <f t="array" ref="H239">MMS_Dairy_Methane_Equations.VEERG_4_3_1_1__2_MethaneFromManureProduction(F$132,H175,_xlfn.XLOOKUP($E239,$D$227:$D$231,$E$227:$E$231),$I$220,$I$221)</f>
        <v>6.9206494323904399E-4</v>
      </c>
      <c r="I239" s="55" cm="1">
        <f t="array" ref="I239">MMS_Dairy_Methane_Equations.VEERG_4_3_1_1__2_MethaneFromManureProduction(G$132,I175,_xlfn.XLOOKUP($E239,$D$227:$D$231,$E$227:$E$231),$I$220,$I$221)</f>
        <v>1.5528249799270685E-3</v>
      </c>
      <c r="J239" s="55" cm="1">
        <f t="array" ref="J239">MMS_Dairy_Methane_Equations.VEERG_4_3_1_1__2_MethaneFromManureProduction(H$132,J175,_xlfn.XLOOKUP($E239,$D$227:$D$231,$E$227:$E$231),$I$220,$I$221)</f>
        <v>9.3137419117480342E-4</v>
      </c>
      <c r="K239" s="2"/>
      <c r="O239" s="55" t="str">
        <f>'Input - Dairy'!$D$66</f>
        <v>Milking shed</v>
      </c>
      <c r="P239" s="55" t="str">
        <f>'Input - Dairy'!$D$87</f>
        <v>Drains to paddock</v>
      </c>
      <c r="Q239" s="55" cm="1">
        <f t="array" ref="Q239">MMS_Dairy_Methane_Equations.VEERG_4_3_1_1__2_MethaneFromManureProduction(O$132,Q175,_xlfn.XLOOKUP($P239,$O$227:$O$231,$P$227:$P$231),$I$220,$I$221)</f>
        <v>2.5513002479662932E-3</v>
      </c>
      <c r="R239" s="55" cm="1">
        <f t="array" ref="R239">MMS_Dairy_Methane_Equations.VEERG_4_3_1_1__2_MethaneFromManureProduction(P$132,R175,_xlfn.XLOOKUP($P239,$O$227:$O$231,$P$227:$P$231),$I$220,$I$221)</f>
        <v>1.5597893233408276E-3</v>
      </c>
      <c r="S239" s="55" cm="1">
        <f t="array" ref="S239">MMS_Dairy_Methane_Equations.VEERG_4_3_1_1__2_MethaneFromManureProduction(Q$132,S175,_xlfn.XLOOKUP($P239,$O$227:$O$231,$P$227:$P$231),$I$220,$I$221)</f>
        <v>8.4585715284772047E-4</v>
      </c>
      <c r="T239" s="55" cm="1">
        <f t="array" ref="T239">MMS_Dairy_Methane_Equations.VEERG_4_3_1_1__2_MethaneFromManureProduction(R$132,T175,_xlfn.XLOOKUP($P239,$O$227:$O$231,$P$227:$P$231),$I$220,$I$221)</f>
        <v>1.8978971976886393E-3</v>
      </c>
      <c r="U239" s="55" cm="1">
        <f t="array" ref="U239">MMS_Dairy_Methane_Equations.VEERG_4_3_1_1__2_MethaneFromManureProduction(S$132,U175,_xlfn.XLOOKUP($P239,$O$227:$O$231,$P$227:$P$231),$I$220,$I$221)</f>
        <v>1.1383462336580932E-3</v>
      </c>
      <c r="V239" s="2"/>
    </row>
    <row r="240" spans="4:22" ht="20.100000000000001" customHeight="1" x14ac:dyDescent="0.25">
      <c r="D240" s="55" t="str">
        <f>'Input - Dairy'!$D$66</f>
        <v>Milking shed</v>
      </c>
      <c r="E240" s="55" t="s">
        <v>412</v>
      </c>
      <c r="F240" s="55" cm="1">
        <f t="array" ref="F240">MMS_Dairy_Methane_Equations.VEERG_4_3_1_1__2_MethaneFromManureProduction(D$132,F204,_xlfn.XLOOKUP($E240,$D$227:$D$231,$E$227:$E$231),$I$220,$I$221)</f>
        <v>4.6387277235750786E-4</v>
      </c>
      <c r="G240" s="55" cm="1">
        <f t="array" ref="G240">MMS_Dairy_Methane_Equations.VEERG_4_3_1_1__2_MethaneFromManureProduction(E$132,G204,_xlfn.XLOOKUP($E240,$D$227:$D$231,$E$227:$E$231),$I$220,$I$221)</f>
        <v>2.8359805878924141E-4</v>
      </c>
      <c r="H240" s="55" cm="1">
        <f t="array" ref="H240">MMS_Dairy_Methane_Equations.VEERG_4_3_1_1__2_MethaneFromManureProduction(F$132,H204,_xlfn.XLOOKUP($E240,$D$227:$D$231,$E$227:$E$231),$I$220,$I$221)</f>
        <v>1.5379220960867642E-4</v>
      </c>
      <c r="I240" s="55" cm="1">
        <f t="array" ref="I240">MMS_Dairy_Methane_Equations.VEERG_4_3_1_1__2_MethaneFromManureProduction(G$132,I204,_xlfn.XLOOKUP($E240,$D$227:$D$231,$E$227:$E$231),$I$220,$I$221)</f>
        <v>3.4507221776157069E-4</v>
      </c>
      <c r="J240" s="55" cm="1">
        <f t="array" ref="J240">MMS_Dairy_Methane_Equations.VEERG_4_3_1_1__2_MethaneFromManureProduction(H$132,J204,_xlfn.XLOOKUP($E240,$D$227:$D$231,$E$227:$E$231),$I$220,$I$221)</f>
        <v>2.0697204248328968E-4</v>
      </c>
      <c r="K240" s="2"/>
      <c r="O240" s="55" t="str">
        <f>'Input - Dairy'!$D$66</f>
        <v>Milking shed</v>
      </c>
      <c r="P240" s="55" t="s">
        <v>412</v>
      </c>
      <c r="Q240" s="55" cm="1">
        <f t="array" ref="Q240">MMS_Dairy_Methane_Equations.VEERG_4_3_1_1__2_MethaneFromManureProduction(O$132,Q204,_xlfn.XLOOKUP($P240,$O$227:$O$231,$P$227:$P$231),$I$220,$I$221)</f>
        <v>4.6387277235750786E-4</v>
      </c>
      <c r="R240" s="55" cm="1">
        <f t="array" ref="R240">MMS_Dairy_Methane_Equations.VEERG_4_3_1_1__2_MethaneFromManureProduction(P$132,R204,_xlfn.XLOOKUP($P240,$O$227:$O$231,$P$227:$P$231),$I$220,$I$221)</f>
        <v>2.8359805878924141E-4</v>
      </c>
      <c r="S240" s="55" cm="1">
        <f t="array" ref="S240">MMS_Dairy_Methane_Equations.VEERG_4_3_1_1__2_MethaneFromManureProduction(Q$132,S204,_xlfn.XLOOKUP($P240,$O$227:$O$231,$P$227:$P$231),$I$220,$I$221)</f>
        <v>1.5379220960867642E-4</v>
      </c>
      <c r="T240" s="55" cm="1">
        <f t="array" ref="T240">MMS_Dairy_Methane_Equations.VEERG_4_3_1_1__2_MethaneFromManureProduction(R$132,T204,_xlfn.XLOOKUP($P240,$O$227:$O$231,$P$227:$P$231),$I$220,$I$221)</f>
        <v>3.4507221776157069E-4</v>
      </c>
      <c r="U240" s="55" cm="1">
        <f t="array" ref="U240">MMS_Dairy_Methane_Equations.VEERG_4_3_1_1__2_MethaneFromManureProduction(S$132,U204,_xlfn.XLOOKUP($P240,$O$227:$O$231,$P$227:$P$231),$I$220,$I$221)</f>
        <v>2.0697204248328968E-4</v>
      </c>
      <c r="V240" s="2"/>
    </row>
    <row r="241" spans="3:23" ht="20.100000000000001" customHeight="1" x14ac:dyDescent="0.25">
      <c r="D241" s="55" t="str">
        <f>'Input - Dairy'!$D$67</f>
        <v>Feed pad</v>
      </c>
      <c r="E241" s="55" t="str">
        <f>'Input - Dairy'!$D$101</f>
        <v>Anaerobic lagoon</v>
      </c>
      <c r="F241" s="55" cm="1">
        <f t="array" ref="F241">MMS_Dairy_Methane_Equations.VEERG_4_3_1_1__2_MethaneFromManureProduction(D$132,F176,_xlfn.XLOOKUP($E241,$D$227:$D$231,$E$227:$E$231),$I$220,$I$221)</f>
        <v>3.5654948093479348E-2</v>
      </c>
      <c r="G241" s="55" cm="1">
        <f t="array" ref="G241">MMS_Dairy_Methane_Equations.VEERG_4_3_1_1__2_MethaneFromManureProduction(E$132,G176,_xlfn.XLOOKUP($E241,$D$227:$D$231,$E$227:$E$231),$I$220,$I$221)</f>
        <v>2.1798378064209416E-2</v>
      </c>
      <c r="H241" s="55" cm="1">
        <f t="array" ref="H241">MMS_Dairy_Methane_Equations.VEERG_4_3_1_1__2_MethaneFromManureProduction(F$132,H176,_xlfn.XLOOKUP($E241,$D$227:$D$231,$E$227:$E$231),$I$220,$I$221)</f>
        <v>1.1821028474921448E-2</v>
      </c>
      <c r="I241" s="55" cm="1">
        <f t="array" ref="I241">MMS_Dairy_Methane_Equations.VEERG_4_3_1_1__2_MethaneFromManureProduction(G$132,I176,_xlfn.XLOOKUP($E241,$D$227:$D$231,$E$227:$E$231),$I$220,$I$221)</f>
        <v>2.6523505465218911E-2</v>
      </c>
      <c r="J241" s="55" cm="1">
        <f t="array" ref="J241">MMS_Dairy_Methane_Equations.VEERG_4_3_1_1__2_MethaneFromManureProduction(H$132,J176,_xlfn.XLOOKUP($E241,$D$227:$D$231,$E$227:$E$231),$I$220,$I$221)</f>
        <v>1.5908623810874673E-2</v>
      </c>
      <c r="K241" s="2"/>
      <c r="O241" s="55" t="str">
        <f>'Input - Dairy'!$D$67</f>
        <v>Feed pad</v>
      </c>
      <c r="P241" s="55" t="str">
        <f>'Input - Dairy'!$D$101</f>
        <v>Anaerobic lagoon</v>
      </c>
      <c r="Q241" s="55" cm="1">
        <f t="array" ref="Q241">MMS_Dairy_Methane_Equations.VEERG_4_3_1_1__2_MethaneFromManureProduction(O$132,Q176,_xlfn.XLOOKUP($P241,$O$227:$O$231,$P$227:$P$231),$I$220,$I$221)</f>
        <v>3.6124092147340921E-2</v>
      </c>
      <c r="R241" s="55" cm="1">
        <f t="array" ref="R241">MMS_Dairy_Methane_Equations.VEERG_4_3_1_1__2_MethaneFromManureProduction(P$132,R176,_xlfn.XLOOKUP($P241,$O$227:$O$231,$P$227:$P$231),$I$220,$I$221)</f>
        <v>2.2085198828212176E-2</v>
      </c>
      <c r="S241" s="55" cm="1">
        <f t="array" ref="S241">MMS_Dairy_Methane_Equations.VEERG_4_3_1_1__2_MethaneFromManureProduction(Q$132,S176,_xlfn.XLOOKUP($P241,$O$227:$O$231,$P$227:$P$231),$I$220,$I$221)</f>
        <v>1.197656832327568E-2</v>
      </c>
      <c r="T241" s="55" cm="1">
        <f t="array" ref="T241">MMS_Dairy_Methane_Equations.VEERG_4_3_1_1__2_MethaneFromManureProduction(R$132,T176,_xlfn.XLOOKUP($P241,$O$227:$O$231,$P$227:$P$231),$I$220,$I$221)</f>
        <v>2.687249895818232E-2</v>
      </c>
      <c r="U241" s="55" cm="1">
        <f t="array" ref="U241">MMS_Dairy_Methane_Equations.VEERG_4_3_1_1__2_MethaneFromManureProduction(S$132,U176,_xlfn.XLOOKUP($P241,$O$227:$O$231,$P$227:$P$231),$I$220,$I$221)</f>
        <v>1.6117947808386185E-2</v>
      </c>
      <c r="V241" s="2"/>
    </row>
    <row r="242" spans="3:23" ht="20.100000000000001" customHeight="1" x14ac:dyDescent="0.25">
      <c r="D242" s="55" t="str">
        <f>'Input - Dairy'!$D$67</f>
        <v>Feed pad</v>
      </c>
      <c r="E242" s="55" t="str">
        <f>'Input - Dairy'!$D$102</f>
        <v>Sump and dispersal system</v>
      </c>
      <c r="F242" s="55" cm="1">
        <f t="array" ref="F242">MMS_Dairy_Methane_Equations.VEERG_4_3_1_1__2_MethaneFromManureProduction(D$132,F177,_xlfn.XLOOKUP($E242,$D$227:$D$231,$E$227:$E$231),$I$220,$I$221)</f>
        <v>1.8765762154462819E-4</v>
      </c>
      <c r="G242" s="55" cm="1">
        <f t="array" ref="G242">MMS_Dairy_Methane_Equations.VEERG_4_3_1_1__2_MethaneFromManureProduction(E$132,G177,_xlfn.XLOOKUP($E242,$D$227:$D$231,$E$227:$E$231),$I$220,$I$221)</f>
        <v>1.1472830560110218E-4</v>
      </c>
      <c r="H242" s="55" cm="1">
        <f t="array" ref="H242">MMS_Dairy_Methane_Equations.VEERG_4_3_1_1__2_MethaneFromManureProduction(F$132,H177,_xlfn.XLOOKUP($E242,$D$227:$D$231,$E$227:$E$231),$I$220,$I$221)</f>
        <v>6.2215939341691832E-5</v>
      </c>
      <c r="I242" s="55" cm="1">
        <f t="array" ref="I242">MMS_Dairy_Methane_Equations.VEERG_4_3_1_1__2_MethaneFromManureProduction(G$132,I177,_xlfn.XLOOKUP($E242,$D$227:$D$231,$E$227:$E$231),$I$220,$I$221)</f>
        <v>1.3959739718536268E-4</v>
      </c>
      <c r="J242" s="55" cm="1">
        <f t="array" ref="J242">MMS_Dairy_Methane_Equations.VEERG_4_3_1_1__2_MethaneFromManureProduction(H$132,J177,_xlfn.XLOOKUP($E242,$D$227:$D$231,$E$227:$E$231),$I$220,$I$221)</f>
        <v>8.3729599004603552E-5</v>
      </c>
      <c r="K242" s="2"/>
      <c r="O242" s="55" t="str">
        <f>'Input - Dairy'!$D$67</f>
        <v>Feed pad</v>
      </c>
      <c r="P242" s="55" t="str">
        <f>'Input - Dairy'!$D$102</f>
        <v>Sump and dispersal system</v>
      </c>
      <c r="Q242" s="55" cm="1">
        <f t="array" ref="Q242">MMS_Dairy_Methane_Equations.VEERG_4_3_1_1__2_MethaneFromManureProduction(O$132,Q177,_xlfn.XLOOKUP($P242,$O$227:$O$231,$P$227:$P$231),$I$220,$I$221)</f>
        <v>1.8765762154462819E-4</v>
      </c>
      <c r="R242" s="55" cm="1">
        <f t="array" ref="R242">MMS_Dairy_Methane_Equations.VEERG_4_3_1_1__2_MethaneFromManureProduction(P$132,R177,_xlfn.XLOOKUP($P242,$O$227:$O$231,$P$227:$P$231),$I$220,$I$221)</f>
        <v>1.1472830560110218E-4</v>
      </c>
      <c r="S242" s="55" cm="1">
        <f t="array" ref="S242">MMS_Dairy_Methane_Equations.VEERG_4_3_1_1__2_MethaneFromManureProduction(Q$132,S177,_xlfn.XLOOKUP($P242,$O$227:$O$231,$P$227:$P$231),$I$220,$I$221)</f>
        <v>6.2215939341691832E-5</v>
      </c>
      <c r="T242" s="55" cm="1">
        <f t="array" ref="T242">MMS_Dairy_Methane_Equations.VEERG_4_3_1_1__2_MethaneFromManureProduction(R$132,T177,_xlfn.XLOOKUP($P242,$O$227:$O$231,$P$227:$P$231),$I$220,$I$221)</f>
        <v>1.3959739718536268E-4</v>
      </c>
      <c r="U242" s="55" cm="1">
        <f t="array" ref="U242">MMS_Dairy_Methane_Equations.VEERG_4_3_1_1__2_MethaneFromManureProduction(S$132,U177,_xlfn.XLOOKUP($P242,$O$227:$O$231,$P$227:$P$231),$I$220,$I$221)</f>
        <v>8.3729599004603552E-5</v>
      </c>
      <c r="V242" s="2"/>
    </row>
    <row r="243" spans="3:23" ht="20.100000000000001" customHeight="1" x14ac:dyDescent="0.25">
      <c r="D243" s="55" t="str">
        <f>'Input - Dairy'!$D$67</f>
        <v>Feed pad</v>
      </c>
      <c r="E243" s="55" t="str">
        <f>'Input - Dairy'!$D$103</f>
        <v>Drains to paddock</v>
      </c>
      <c r="F243" s="55" cm="1">
        <f t="array" ref="F243">MMS_Dairy_Methane_Equations.VEERG_4_3_1_1__2_MethaneFromManureProduction(D$132,F178,_xlfn.XLOOKUP($E243,$D$227:$D$231,$E$227:$E$231),$I$220,$I$221)</f>
        <v>6.7556743756066141E-3</v>
      </c>
      <c r="G243" s="55" cm="1">
        <f t="array" ref="G243">MMS_Dairy_Methane_Equations.VEERG_4_3_1_1__2_MethaneFromManureProduction(E$132,G178,_xlfn.XLOOKUP($E243,$D$227:$D$231,$E$227:$E$231),$I$220,$I$221)</f>
        <v>4.1302190016396789E-3</v>
      </c>
      <c r="H243" s="55" cm="1">
        <f t="array" ref="H243">MMS_Dairy_Methane_Equations.VEERG_4_3_1_1__2_MethaneFromManureProduction(F$132,H178,_xlfn.XLOOKUP($E243,$D$227:$D$231,$E$227:$E$231),$I$220,$I$221)</f>
        <v>2.2397738163009058E-3</v>
      </c>
      <c r="I243" s="55" cm="1">
        <f t="array" ref="I243">MMS_Dairy_Methane_Equations.VEERG_4_3_1_1__2_MethaneFromManureProduction(G$132,I178,_xlfn.XLOOKUP($E243,$D$227:$D$231,$E$227:$E$231),$I$220,$I$221)</f>
        <v>5.0255062986730567E-3</v>
      </c>
      <c r="J243" s="55" cm="1">
        <f t="array" ref="J243">MMS_Dairy_Methane_Equations.VEERG_4_3_1_1__2_MethaneFromManureProduction(H$132,J178,_xlfn.XLOOKUP($E243,$D$227:$D$231,$E$227:$E$231),$I$220,$I$221)</f>
        <v>3.0142655641657275E-3</v>
      </c>
      <c r="K243" s="2"/>
      <c r="O243" s="55" t="str">
        <f>'Input - Dairy'!$D$67</f>
        <v>Feed pad</v>
      </c>
      <c r="P243" s="55" t="str">
        <f>'Input - Dairy'!$D$103</f>
        <v>Drains to paddock</v>
      </c>
      <c r="Q243" s="55" cm="1">
        <f t="array" ref="Q243">MMS_Dairy_Methane_Equations.VEERG_4_3_1_1__2_MethaneFromManureProduction(O$132,Q178,_xlfn.XLOOKUP($P243,$O$227:$O$231,$P$227:$P$231),$I$220,$I$221)</f>
        <v>8.2569353479636405E-3</v>
      </c>
      <c r="R243" s="55" cm="1">
        <f t="array" ref="R243">MMS_Dairy_Methane_Equations.VEERG_4_3_1_1__2_MethaneFromManureProduction(P$132,R178,_xlfn.XLOOKUP($P243,$O$227:$O$231,$P$227:$P$231),$I$220,$I$221)</f>
        <v>5.0480454464484964E-3</v>
      </c>
      <c r="S243" s="55" cm="1">
        <f t="array" ref="S243">MMS_Dairy_Methane_Equations.VEERG_4_3_1_1__2_MethaneFromManureProduction(Q$132,S178,_xlfn.XLOOKUP($P243,$O$227:$O$231,$P$227:$P$231),$I$220,$I$221)</f>
        <v>2.7375013310344406E-3</v>
      </c>
      <c r="T243" s="55" cm="1">
        <f t="array" ref="T243">MMS_Dairy_Methane_Equations.VEERG_4_3_1_1__2_MethaneFromManureProduction(R$132,T178,_xlfn.XLOOKUP($P243,$O$227:$O$231,$P$227:$P$231),$I$220,$I$221)</f>
        <v>6.1422854761559592E-3</v>
      </c>
      <c r="U243" s="55" cm="1">
        <f t="array" ref="U243">MMS_Dairy_Methane_Equations.VEERG_4_3_1_1__2_MethaneFromManureProduction(S$132,U178,_xlfn.XLOOKUP($P243,$O$227:$O$231,$P$227:$P$231),$I$220,$I$221)</f>
        <v>3.684102356202556E-3</v>
      </c>
      <c r="V243" s="2"/>
    </row>
    <row r="244" spans="3:23" ht="20.100000000000001" customHeight="1" x14ac:dyDescent="0.25">
      <c r="D244" s="55" t="str">
        <f>'Input - Dairy'!$D$67</f>
        <v>Feed pad</v>
      </c>
      <c r="E244" s="55" t="s">
        <v>412</v>
      </c>
      <c r="F244" s="55" cm="1">
        <f t="array" ref="F244">MMS_Dairy_Methane_Equations.VEERG_4_3_1_1__2_MethaneFromManureProduction(D$132,F205,_xlfn.XLOOKUP($E244,$D$227:$D$231,$E$227:$E$231),$I$220,$I$221)</f>
        <v>1.3136033508123969E-3</v>
      </c>
      <c r="G244" s="55" cm="1">
        <f t="array" ref="G244">MMS_Dairy_Methane_Equations.VEERG_4_3_1_1__2_MethaneFromManureProduction(E$132,G205,_xlfn.XLOOKUP($E244,$D$227:$D$231,$E$227:$E$231),$I$220,$I$221)</f>
        <v>8.0309813920771526E-4</v>
      </c>
      <c r="H244" s="55" cm="1">
        <f t="array" ref="H244">MMS_Dairy_Methane_Equations.VEERG_4_3_1_1__2_MethaneFromManureProduction(F$132,H205,_xlfn.XLOOKUP($E244,$D$227:$D$231,$E$227:$E$231),$I$220,$I$221)</f>
        <v>4.3551157539184287E-4</v>
      </c>
      <c r="I244" s="55" cm="1">
        <f t="array" ref="I244">MMS_Dairy_Methane_Equations.VEERG_4_3_1_1__2_MethaneFromManureProduction(G$132,I205,_xlfn.XLOOKUP($E244,$D$227:$D$231,$E$227:$E$231),$I$220,$I$221)</f>
        <v>9.7718178029753897E-4</v>
      </c>
      <c r="J244" s="55" cm="1">
        <f t="array" ref="J244">MMS_Dairy_Methane_Equations.VEERG_4_3_1_1__2_MethaneFromManureProduction(H$132,J205,_xlfn.XLOOKUP($E244,$D$227:$D$231,$E$227:$E$231),$I$220,$I$221)</f>
        <v>5.8610719303222485E-4</v>
      </c>
      <c r="K244" s="2"/>
      <c r="O244" s="55" t="str">
        <f>'Input - Dairy'!$D$67</f>
        <v>Feed pad</v>
      </c>
      <c r="P244" s="55" t="s">
        <v>412</v>
      </c>
      <c r="Q244" s="55" cm="1">
        <f t="array" ref="Q244">MMS_Dairy_Methane_Equations.VEERG_4_3_1_1__2_MethaneFromManureProduction(O$132,Q205,_xlfn.XLOOKUP($P244,$O$227:$O$231,$P$227:$P$231),$I$220,$I$221)</f>
        <v>1.3136033508123969E-3</v>
      </c>
      <c r="R244" s="55" cm="1">
        <f t="array" ref="R244">MMS_Dairy_Methane_Equations.VEERG_4_3_1_1__2_MethaneFromManureProduction(P$132,R205,_xlfn.XLOOKUP($P244,$O$227:$O$231,$P$227:$P$231),$I$220,$I$221)</f>
        <v>8.0309813920771526E-4</v>
      </c>
      <c r="S244" s="55" cm="1">
        <f t="array" ref="S244">MMS_Dairy_Methane_Equations.VEERG_4_3_1_1__2_MethaneFromManureProduction(Q$132,S205,_xlfn.XLOOKUP($P244,$O$227:$O$231,$P$227:$P$231),$I$220,$I$221)</f>
        <v>4.3551157539184287E-4</v>
      </c>
      <c r="T244" s="55" cm="1">
        <f t="array" ref="T244">MMS_Dairy_Methane_Equations.VEERG_4_3_1_1__2_MethaneFromManureProduction(R$132,T205,_xlfn.XLOOKUP($P244,$O$227:$O$231,$P$227:$P$231),$I$220,$I$221)</f>
        <v>9.7718178029753897E-4</v>
      </c>
      <c r="U244" s="55" cm="1">
        <f t="array" ref="U244">MMS_Dairy_Methane_Equations.VEERG_4_3_1_1__2_MethaneFromManureProduction(S$132,U205,_xlfn.XLOOKUP($P244,$O$227:$O$231,$P$227:$P$231),$I$220,$I$221)</f>
        <v>5.8610719303222485E-4</v>
      </c>
      <c r="V244" s="2"/>
    </row>
    <row r="245" spans="3:23" ht="20.100000000000001" customHeight="1" x14ac:dyDescent="0.25"/>
    <row r="246" spans="3:23" ht="20.100000000000001" customHeight="1" x14ac:dyDescent="0.25"/>
    <row r="247" spans="3:23" ht="20.100000000000001" customHeight="1" x14ac:dyDescent="0.25">
      <c r="C247" s="48"/>
      <c r="D247" s="48"/>
      <c r="E247" s="48"/>
      <c r="F247" s="48"/>
      <c r="G247" s="48"/>
      <c r="H247" s="48"/>
      <c r="I247" s="48"/>
      <c r="J247" s="48"/>
      <c r="K247" s="48"/>
      <c r="L247" s="48"/>
      <c r="N247" s="48"/>
      <c r="O247" s="48"/>
      <c r="P247" s="48"/>
      <c r="Q247" s="48"/>
      <c r="R247" s="48"/>
      <c r="S247" s="48"/>
      <c r="T247" s="48"/>
      <c r="U247" s="48"/>
      <c r="V247" s="48"/>
      <c r="W247" s="48"/>
    </row>
    <row r="248" spans="3:23" ht="20.100000000000001" customHeight="1" x14ac:dyDescent="0.25">
      <c r="D248" s="6" t="str" cm="1">
        <f t="array" ref="D248">MMS_Dairy_Methane_Equations.VEERG_4_3_1_1__1_TotalAnnualMethaneFromManureManagement_Title()</f>
        <v>Total annual methane production from manure management</v>
      </c>
    </row>
    <row r="249" spans="3:23" ht="20.100000000000001" customHeight="1" x14ac:dyDescent="0.25">
      <c r="D249" s="5" t="str" cm="1">
        <f t="array" ref="D249">MMS_Dairy_Methane_Equations.VEERG_4_3_1_1__1_TotalAnnualMethaneFromManureManagement_Source()</f>
        <v>VEERG 2026: 4.3.1.1, Equation (1)</v>
      </c>
    </row>
    <row r="250" spans="3:23" ht="20.100000000000001" customHeight="1" x14ac:dyDescent="0.25">
      <c r="D250" s="58" t="str" cm="1">
        <f t="array" ref="D250">MMS_Dairy_Methane_Equations.VEERG_4_3_1_1__1_TotalAnnualMethaneFromManureManagement_Variation()</f>
        <v>VARIATION: Used separate variable for duration of stay on farm for pre-weaned heifer and bull calves.</v>
      </c>
    </row>
    <row r="251" spans="3:23" ht="20.100000000000001" customHeight="1" x14ac:dyDescent="0.25">
      <c r="D251" s="13" t="s">
        <v>28</v>
      </c>
      <c r="E251" s="13" t="str" cm="1">
        <f t="array" aca="1" ref="E251" ca="1">Common_InputFunctions.Utility_DisplayFunctionName($F$290)</f>
        <v>=MMS_Dairy_Methane_Equations.VEERG_4_3_1_1__1_TotalAnnualMethaneFromManureManagementVariation</v>
      </c>
    </row>
    <row r="252" spans="3:23" ht="20.100000000000001" customHeight="1" x14ac:dyDescent="0.25">
      <c r="D252" s="6"/>
    </row>
    <row r="253" spans="3:23" ht="20.100000000000001" customHeight="1" x14ac:dyDescent="0.25">
      <c r="D253" s="6"/>
    </row>
    <row r="254" spans="3:23" ht="20.100000000000001" customHeight="1" x14ac:dyDescent="0.25">
      <c r="D254" s="56" t="s">
        <v>31</v>
      </c>
      <c r="E254" s="1" t="str" cm="1">
        <f t="array" ref="E254">MMS_Dairy_Methane_Equations.VEERG_4_3_1_1__1_TotalAnnualMethaneFromManureManagement_Variable()</f>
        <v>E_CH4</v>
      </c>
    </row>
    <row r="255" spans="3:23" ht="20.100000000000001" customHeight="1" x14ac:dyDescent="0.25">
      <c r="D255" s="56" t="s">
        <v>21</v>
      </c>
      <c r="E255" s="57" t="str" cm="1">
        <f t="array" ref="E255">MMS_Dairy_Methane_Equations.VEERG_4_3_1_1__1_TotalAnnualMethaneFromManureManagement_Unit()</f>
        <v>t CH4</v>
      </c>
    </row>
    <row r="256" spans="3:23" ht="20.100000000000001" customHeight="1" x14ac:dyDescent="0.25"/>
    <row r="257" spans="4:15" ht="20.100000000000001" customHeight="1" x14ac:dyDescent="0.25">
      <c r="D257" s="137" t="str" cm="1">
        <f t="array" ref="D257:E264">_xlfn.CHOOSECOLS(MMS_Dairy_Methane_Equations.VEERG_4_3_1_1__1_TotalAnnualMethaneFromManureManagement_Arguments(),1,2)</f>
        <v>N_j124</v>
      </c>
      <c r="E257" s="136" t="str">
        <v>number of dairy cattle in classes j=1,2,4</v>
      </c>
      <c r="F257" s="142"/>
      <c r="G257" s="138"/>
      <c r="H257" s="137" t="str" cm="1">
        <f t="array" ref="H257:I264">_xlfn.CHOOSECOLS(MMS_Dairy_Methane_Equations.VEERG_4_3_1_1__1_TotalAnnualMethaneFromManureManagement_Arguments(),3,4)</f>
        <v>head</v>
      </c>
      <c r="I257" s="135" t="str">
        <v>Input</v>
      </c>
      <c r="J257" s="134" t="str" cm="1">
        <f t="array" aca="1" ref="J257" ca="1">HYPERLINK(Common_InputFunctions.Utility_SourceHyperlink($D$266),$D$266)</f>
        <v>Table_N_j</v>
      </c>
    </row>
    <row r="258" spans="4:15" ht="20.100000000000001" customHeight="1" x14ac:dyDescent="0.25">
      <c r="D258" s="137" t="str">
        <v>M_j124m</v>
      </c>
      <c r="E258" s="136" t="str">
        <v>methane production from manure of weaned dairy cattle in classes j=1,2,4 in MMS m</v>
      </c>
      <c r="F258" s="142"/>
      <c r="G258" s="138"/>
      <c r="H258" s="137" t="str">
        <v>kg CH4/head/day</v>
      </c>
      <c r="I258" s="133" t="str">
        <v>Calculated from 4.3.1.1 (2)</v>
      </c>
      <c r="J258" s="134" t="str" cm="1">
        <f t="array" aca="1" ref="J258" ca="1">HYPERLINK(Common_InputFunctions.Utility_SourceHyperlink($D$233),$D$233)</f>
        <v>M1_M_j_m</v>
      </c>
    </row>
    <row r="259" spans="4:15" ht="20.100000000000001" customHeight="1" x14ac:dyDescent="0.25">
      <c r="D259" s="137" t="str">
        <v>D_j124</v>
      </c>
      <c r="E259" s="136" t="str">
        <v>duration of stay on farm for classes j=1,2,4</v>
      </c>
      <c r="F259" s="142"/>
      <c r="G259" s="138"/>
      <c r="H259" s="137" t="str">
        <v>days</v>
      </c>
      <c r="I259" s="135" t="str">
        <v>Input</v>
      </c>
      <c r="J259" s="134" t="str" cm="1">
        <f t="array" aca="1" ref="J259" ca="1">HYPERLINK(Common_InputFunctions.Utility_SourceHyperlink($D$271),$D$271)</f>
        <v>M1_Table_D_j</v>
      </c>
    </row>
    <row r="260" spans="4:15" ht="20.100000000000001" customHeight="1" x14ac:dyDescent="0.25">
      <c r="D260" s="137" t="str">
        <v>N_j35</v>
      </c>
      <c r="E260" s="136" t="str">
        <v>number of dairy cattle in classes j=3,5</v>
      </c>
      <c r="F260" s="142"/>
      <c r="G260" s="138"/>
      <c r="H260" s="137" t="str">
        <v>head</v>
      </c>
      <c r="I260" s="135" t="str">
        <v>Input</v>
      </c>
      <c r="J260" s="134" t="str" cm="1">
        <f t="array" aca="1" ref="J260" ca="1">HYPERLINK(Common_InputFunctions.Utility_SourceHyperlink($D$266),$D$266)</f>
        <v>Table_N_j</v>
      </c>
    </row>
    <row r="261" spans="4:15" ht="20.100000000000001" customHeight="1" x14ac:dyDescent="0.25">
      <c r="D261" s="137" t="str">
        <v>M_j35m</v>
      </c>
      <c r="E261" s="136" t="str">
        <v>methane production from manure of weaned dairy cattle in classes j=3,5 in MMS m</v>
      </c>
      <c r="F261" s="142"/>
      <c r="G261" s="138"/>
      <c r="H261" s="137" t="str">
        <v>kg CH4/head/day</v>
      </c>
      <c r="I261" s="133" t="str">
        <v>Calculated from 4.3.1.1 (2)</v>
      </c>
      <c r="J261" s="134" t="str" cm="1">
        <f t="array" aca="1" ref="J261" ca="1">HYPERLINK(Common_InputFunctions.Utility_SourceHyperlink($D$233),$D$233)</f>
        <v>M1_M_j_m</v>
      </c>
    </row>
    <row r="262" spans="4:15" ht="20.100000000000001" customHeight="1" x14ac:dyDescent="0.25">
      <c r="D262" s="137" t="str">
        <v>D_j35</v>
      </c>
      <c r="E262" s="136" t="str">
        <v>duration of stay on farm for classes j=3,5</v>
      </c>
      <c r="F262" s="142"/>
      <c r="G262" s="138"/>
      <c r="H262" s="137" t="str">
        <v>days</v>
      </c>
      <c r="I262" s="135" t="str">
        <v>Input</v>
      </c>
      <c r="J262" s="134" t="str" cm="1">
        <f t="array" aca="1" ref="J262" ca="1">HYPERLINK(Common_InputFunctions.Utility_SourceHyperlink($D$271),$D$271)</f>
        <v>M1_Table_D_j</v>
      </c>
    </row>
    <row r="263" spans="4:15" ht="20.100000000000001" customHeight="1" x14ac:dyDescent="0.25">
      <c r="D263" s="137" t="str">
        <v>MPW_manure_j35</v>
      </c>
      <c r="E263" s="136" t="str">
        <v>methane production from manure of pre-weaned heifer and bull calves</v>
      </c>
      <c r="F263" s="142"/>
      <c r="G263" s="138"/>
      <c r="H263" s="137" t="str">
        <v>kg CH4/head/day</v>
      </c>
      <c r="I263" s="133" t="str">
        <v>Constant</v>
      </c>
      <c r="J263" s="134" t="str" cm="1">
        <f t="array" aca="1" ref="J263" ca="1">HYPERLINK(Common_InputFunctions.Utility_SourceHyperlink($D$276),$D$276)</f>
        <v>Table_MPW_manure_j-3-5</v>
      </c>
    </row>
    <row r="264" spans="4:15" ht="20.100000000000001" customHeight="1" x14ac:dyDescent="0.25">
      <c r="D264" s="137" t="str">
        <v>DPW_j35</v>
      </c>
      <c r="E264" s="136" t="str">
        <v>duration of stay on farm for pre-weaned heifer and bull calves</v>
      </c>
      <c r="F264" s="142"/>
      <c r="G264" s="138"/>
      <c r="H264" s="137" t="str">
        <v>days</v>
      </c>
      <c r="I264" s="135" t="str">
        <v>Input</v>
      </c>
      <c r="J264" s="134" t="str" cm="1">
        <f t="array" aca="1" ref="J264" ca="1">HYPERLINK(Common_InputFunctions.Utility_SourceHyperlink($D$281),$D$281)</f>
        <v>M1_Table_DPW_j</v>
      </c>
    </row>
    <row r="265" spans="4:15" ht="20.100000000000001" customHeight="1" x14ac:dyDescent="0.25"/>
    <row r="266" spans="4:15" ht="20.100000000000001" customHeight="1" x14ac:dyDescent="0.25">
      <c r="D266" s="104" t="s">
        <v>109</v>
      </c>
    </row>
    <row r="267" spans="4:15" ht="20.100000000000001" customHeight="1" x14ac:dyDescent="0.25">
      <c r="D267" s="103" t="s">
        <v>268</v>
      </c>
    </row>
    <row r="268" spans="4:15" ht="20.100000000000001" customHeight="1" x14ac:dyDescent="0.25">
      <c r="D268" s="41" t="s">
        <v>175</v>
      </c>
      <c r="E268" s="41" t="s">
        <v>192</v>
      </c>
      <c r="F268" s="41" t="s">
        <v>193</v>
      </c>
      <c r="G268" s="41" t="s">
        <v>194</v>
      </c>
      <c r="H268" s="41" t="s">
        <v>195</v>
      </c>
    </row>
    <row r="269" spans="4:15" ht="20.100000000000001" customHeight="1" x14ac:dyDescent="0.25">
      <c r="D269" s="107">
        <f>'Input - Dairy'!$E$10</f>
        <v>100</v>
      </c>
      <c r="E269" s="107">
        <f>'Input - Dairy'!$F$10</f>
        <v>100</v>
      </c>
      <c r="F269" s="107">
        <f>'Input - Dairy'!$G$10</f>
        <v>100</v>
      </c>
      <c r="G269" s="107">
        <f>'Input - Dairy'!$H$10</f>
        <v>100</v>
      </c>
      <c r="H269" s="107">
        <f>'Input - Dairy'!$I$10</f>
        <v>100</v>
      </c>
      <c r="I269" s="2" t="s">
        <v>110</v>
      </c>
    </row>
    <row r="270" spans="4:15" ht="20.100000000000001" customHeight="1" x14ac:dyDescent="0.25"/>
    <row r="271" spans="4:15" ht="20.100000000000001" customHeight="1" x14ac:dyDescent="0.25">
      <c r="D271" s="104" t="s">
        <v>269</v>
      </c>
      <c r="O271" s="104" t="s">
        <v>279</v>
      </c>
    </row>
    <row r="272" spans="4:15" x14ac:dyDescent="0.25">
      <c r="D272" s="103" t="s">
        <v>277</v>
      </c>
      <c r="O272" s="103" t="s">
        <v>280</v>
      </c>
    </row>
    <row r="273" spans="1:21" x14ac:dyDescent="0.25">
      <c r="D273" s="41" t="s">
        <v>175</v>
      </c>
      <c r="E273" s="41" t="s">
        <v>192</v>
      </c>
      <c r="F273" s="41" t="s">
        <v>193</v>
      </c>
      <c r="G273" s="41" t="s">
        <v>194</v>
      </c>
      <c r="H273" s="41" t="s">
        <v>195</v>
      </c>
      <c r="O273" s="41" t="s">
        <v>175</v>
      </c>
      <c r="P273" s="41" t="s">
        <v>192</v>
      </c>
      <c r="Q273" s="41" t="s">
        <v>193</v>
      </c>
      <c r="R273" s="41" t="s">
        <v>194</v>
      </c>
      <c r="S273" s="41" t="s">
        <v>195</v>
      </c>
    </row>
    <row r="274" spans="1:21" x14ac:dyDescent="0.25">
      <c r="D274" s="55">
        <f>'Input - Dairy'!$E$24</f>
        <v>365</v>
      </c>
      <c r="E274" s="55">
        <f>'Input - Dairy'!$F$24</f>
        <v>365</v>
      </c>
      <c r="F274" s="55">
        <f>'Input - Dairy'!$G$24</f>
        <v>281</v>
      </c>
      <c r="G274" s="55">
        <f>'Input - Dairy'!$H$24</f>
        <v>365</v>
      </c>
      <c r="H274" s="55">
        <f>'Input - Dairy'!$I$24</f>
        <v>281</v>
      </c>
      <c r="I274" s="2" t="s">
        <v>56</v>
      </c>
      <c r="O274" s="55">
        <f>'Input - Dairy'!$E$28</f>
        <v>365</v>
      </c>
      <c r="P274" s="55">
        <f>'Input - Dairy'!$F$28</f>
        <v>365</v>
      </c>
      <c r="Q274" s="55">
        <f>'Input - Dairy'!$G$28</f>
        <v>281</v>
      </c>
      <c r="R274" s="55">
        <f>'Input - Dairy'!$H$28</f>
        <v>365</v>
      </c>
      <c r="S274" s="55">
        <f>'Input - Dairy'!$I$28</f>
        <v>281</v>
      </c>
      <c r="T274" s="2" t="s">
        <v>56</v>
      </c>
    </row>
    <row r="275" spans="1:21" x14ac:dyDescent="0.25">
      <c r="A275" s="141" t="str">
        <f>HYPERLINK("#A1", "▲ Back to top")</f>
        <v>▲ Back to top</v>
      </c>
    </row>
    <row r="276" spans="1:21" x14ac:dyDescent="0.25">
      <c r="D276" s="104" t="s">
        <v>271</v>
      </c>
    </row>
    <row r="277" spans="1:21" x14ac:dyDescent="0.25">
      <c r="D277" s="103" t="s">
        <v>272</v>
      </c>
    </row>
    <row r="278" spans="1:21" x14ac:dyDescent="0.25">
      <c r="D278" s="54" t="s">
        <v>175</v>
      </c>
      <c r="E278" s="54" t="s">
        <v>192</v>
      </c>
      <c r="F278" s="54" t="s">
        <v>193</v>
      </c>
      <c r="G278" s="54" t="s">
        <v>194</v>
      </c>
      <c r="H278" s="54" t="s">
        <v>195</v>
      </c>
    </row>
    <row r="279" spans="1:21" x14ac:dyDescent="0.25">
      <c r="D279" s="55">
        <v>0</v>
      </c>
      <c r="E279" s="55">
        <v>0</v>
      </c>
      <c r="F279" s="55">
        <f>'Constants - Dairy'!$E$63</f>
        <v>1.7600000000000001E-2</v>
      </c>
      <c r="G279" s="55">
        <v>0</v>
      </c>
      <c r="H279" s="55">
        <f>'Constants - Dairy'!$E$64</f>
        <v>2.0400000000000001E-2</v>
      </c>
      <c r="I279" s="2" t="s">
        <v>274</v>
      </c>
    </row>
    <row r="281" spans="1:21" x14ac:dyDescent="0.25">
      <c r="D281" s="104" t="s">
        <v>270</v>
      </c>
      <c r="O281" s="104" t="s">
        <v>270</v>
      </c>
    </row>
    <row r="282" spans="1:21" x14ac:dyDescent="0.25">
      <c r="D282" s="103" t="s">
        <v>278</v>
      </c>
      <c r="O282" s="103" t="s">
        <v>278</v>
      </c>
    </row>
    <row r="283" spans="1:21" x14ac:dyDescent="0.25">
      <c r="D283" s="54" t="s">
        <v>175</v>
      </c>
      <c r="E283" s="54" t="s">
        <v>192</v>
      </c>
      <c r="F283" s="54" t="s">
        <v>193</v>
      </c>
      <c r="G283" s="54" t="s">
        <v>194</v>
      </c>
      <c r="H283" s="54" t="s">
        <v>195</v>
      </c>
      <c r="O283" s="41" t="s">
        <v>175</v>
      </c>
      <c r="P283" s="41" t="s">
        <v>192</v>
      </c>
      <c r="Q283" s="41" t="s">
        <v>193</v>
      </c>
      <c r="R283" s="41" t="s">
        <v>194</v>
      </c>
      <c r="S283" s="41" t="s">
        <v>195</v>
      </c>
    </row>
    <row r="284" spans="1:21" x14ac:dyDescent="0.25">
      <c r="D284" s="55">
        <f>'Input - Dairy'!$E$25</f>
        <v>0</v>
      </c>
      <c r="E284" s="55">
        <f>'Input - Dairy'!$F$25</f>
        <v>0</v>
      </c>
      <c r="F284" s="55">
        <f>'Input - Dairy'!$G$25</f>
        <v>84</v>
      </c>
      <c r="G284" s="55">
        <f>'Input - Dairy'!$H$25</f>
        <v>0</v>
      </c>
      <c r="H284" s="55">
        <f>'Input - Dairy'!$I$25</f>
        <v>84</v>
      </c>
      <c r="I284" s="2" t="s">
        <v>56</v>
      </c>
      <c r="O284" s="55">
        <f>'Input - Dairy'!$E$29</f>
        <v>0</v>
      </c>
      <c r="P284" s="55">
        <f>'Input - Dairy'!$F$29</f>
        <v>0</v>
      </c>
      <c r="Q284" s="55">
        <f>'Input - Dairy'!$G$29</f>
        <v>84</v>
      </c>
      <c r="R284" s="55">
        <f>'Input - Dairy'!$H$29</f>
        <v>0</v>
      </c>
      <c r="S284" s="55">
        <f>'Input - Dairy'!$I$29</f>
        <v>84</v>
      </c>
      <c r="T284" s="2" t="s">
        <v>56</v>
      </c>
    </row>
    <row r="286" spans="1:21" x14ac:dyDescent="0.25">
      <c r="D286" s="104" t="s">
        <v>273</v>
      </c>
      <c r="O286" s="104" t="s">
        <v>273</v>
      </c>
    </row>
    <row r="287" spans="1:21" x14ac:dyDescent="0.25">
      <c r="D287" s="103" t="s">
        <v>284</v>
      </c>
      <c r="O287" s="103" t="s">
        <v>284</v>
      </c>
    </row>
    <row r="288" spans="1:21" x14ac:dyDescent="0.25">
      <c r="D288" s="54" t="s">
        <v>149</v>
      </c>
      <c r="E288" s="54" t="s">
        <v>69</v>
      </c>
      <c r="F288" s="54" t="s">
        <v>175</v>
      </c>
      <c r="G288" s="54" t="s">
        <v>192</v>
      </c>
      <c r="H288" s="54" t="s">
        <v>193</v>
      </c>
      <c r="I288" s="54" t="s">
        <v>194</v>
      </c>
      <c r="J288" s="54" t="s">
        <v>195</v>
      </c>
      <c r="O288" s="54" t="s">
        <v>149</v>
      </c>
      <c r="P288" s="54" t="s">
        <v>69</v>
      </c>
      <c r="Q288" s="54" t="s">
        <v>175</v>
      </c>
      <c r="R288" s="54" t="s">
        <v>192</v>
      </c>
      <c r="S288" s="54" t="s">
        <v>193</v>
      </c>
      <c r="T288" s="54" t="s">
        <v>194</v>
      </c>
      <c r="U288" s="54" t="s">
        <v>195</v>
      </c>
    </row>
    <row r="289" spans="4:21" x14ac:dyDescent="0.25">
      <c r="D289" s="55" t="str">
        <f>'Input - Dairy'!$D$65</f>
        <v>Pasture</v>
      </c>
      <c r="E289" s="55" t="str">
        <f>'Constants - Livestock'!$E$27</f>
        <v>Pasture range and paddock</v>
      </c>
      <c r="F289" s="55" cm="1">
        <f t="array" ref="F289">MMS_Dairy_Methane_Equations.VEERG_4_3_1_1__1_TotalAnnualMethaneFromManureManagementVariation(D$269,F236,D$274,0,0,0,0,0)</f>
        <v>0.10274254779568391</v>
      </c>
      <c r="G289" s="55" cm="1">
        <f t="array" ref="G289">MMS_Dairy_Methane_Equations.VEERG_4_3_1_1__1_TotalAnnualMethaneFromManureManagementVariation(E$269,G236,E$274,0,0,0,0,0)</f>
        <v>6.2813747316603469E-2</v>
      </c>
      <c r="H289" s="55" cm="1">
        <f t="array" ref="H289">MMS_Dairy_Methane_Equations.VEERG_4_3_1_1__1_TotalAnnualMethaneFromManureManagementVariation(0,0,0,F$269,H236,F$274,F$279,F$284)</f>
        <v>0.17406401843252312</v>
      </c>
      <c r="I289" s="55" cm="1">
        <f t="array" ref="I289">MMS_Dairy_Methane_Equations.VEERG_4_3_1_1__1_TotalAnnualMethaneFromManureManagementVariation(G$269,I236,G$274,0,0,0,0,0)</f>
        <v>7.6429574958986099E-2</v>
      </c>
      <c r="J289" s="55" cm="1">
        <f t="array" ref="J289">MMS_Dairy_Methane_Equations.VEERG_4_3_1_1__1_TotalAnnualMethaneFromManureManagementVariation(0,0,0,H$269,J236,H$274,H$279,H$284)</f>
        <v>0.20665202598044041</v>
      </c>
      <c r="O289" s="55" t="str">
        <f>'Input - Dairy'!$D$65</f>
        <v>Pasture</v>
      </c>
      <c r="P289" s="55" t="str">
        <f>'Constants - Livestock'!$E$27</f>
        <v>Pasture range and paddock</v>
      </c>
      <c r="Q289" s="55" cm="1">
        <f t="array" ref="Q289">MMS_Dairy_Methane_Equations.VEERG_4_3_1_1__1_TotalAnnualMethaneFromManureManagementVariation(D$269,Q236,O$274,0,0,0,0,0)</f>
        <v>0.10274254779568391</v>
      </c>
      <c r="R289" s="55" cm="1">
        <f t="array" ref="R289">MMS_Dairy_Methane_Equations.VEERG_4_3_1_1__1_TotalAnnualMethaneFromManureManagementVariation(D$269,R236,P$274,0,0,0,0,0)</f>
        <v>6.2813747316603469E-2</v>
      </c>
      <c r="S289" s="55" cm="1">
        <f t="array" ref="S289">MMS_Dairy_Methane_Equations.VEERG_4_3_1_1__1_TotalAnnualMethaneFromManureManagementVariation(0,0,0,F$269,S236,Q$274,F$279,Q$284)</f>
        <v>0.17406401843252312</v>
      </c>
      <c r="T289" s="55" cm="1">
        <f t="array" ref="T289">MMS_Dairy_Methane_Equations.VEERG_4_3_1_1__1_TotalAnnualMethaneFromManureManagementVariation(F$269,T236,R$274,0,0,0,0,0)</f>
        <v>7.6429574958986099E-2</v>
      </c>
      <c r="U289" s="55" cm="1">
        <f t="array" ref="U289">MMS_Dairy_Methane_Equations.VEERG_4_3_1_1__1_TotalAnnualMethaneFromManureManagementVariation(0,0,0,H$269,U236,S$274,H$279,S$284)</f>
        <v>0.20665202598044041</v>
      </c>
    </row>
    <row r="290" spans="4:21" x14ac:dyDescent="0.25">
      <c r="D290" s="55" t="str">
        <f>'Input - Dairy'!$D$66</f>
        <v>Milking shed</v>
      </c>
      <c r="E290" s="55" t="str">
        <f>'Input - Dairy'!$D$85</f>
        <v>Anaerobic lagoon</v>
      </c>
      <c r="F290" s="55" cm="1">
        <f t="array" ref="F290">MMS_Dairy_Methane_Equations.VEERG_4_3_1_1__1_TotalAnnualMethaneFromManureManagementVariation(D$269,F237,D$274,0,0,0,0,0)</f>
        <v>0.32169576762993179</v>
      </c>
      <c r="G290" s="55" cm="1">
        <f t="array" ref="G290">MMS_Dairy_Methane_Equations.VEERG_4_3_1_1__1_TotalAnnualMethaneFromManureManagementVariation(E$269,G237,E$274,0,0,0,0,0)</f>
        <v>0.1966752537703389</v>
      </c>
      <c r="H290" s="55" cm="1">
        <f t="array" ref="H290">MMS_Dairy_Methane_Equations.VEERG_4_3_1_1__1_TotalAnnualMethaneFromManureManagementVariation(0,0,0,F$269,H237,F$274,F$279,F$284)</f>
        <v>0.22994966071007236</v>
      </c>
      <c r="I290" s="55" cm="1">
        <f t="array" ref="I290">MMS_Dairy_Methane_Equations.VEERG_4_3_1_1__1_TotalAnnualMethaneFromManureManagementVariation(G$269,I237,G$274,0,0,0,0,0)</f>
        <v>0.23930758301764934</v>
      </c>
      <c r="J290" s="55" cm="1">
        <f t="array" ref="J290">MMS_Dairy_Methane_Equations.VEERG_4_3_1_1__1_TotalAnnualMethaneFromManureManagementVariation(0,0,0,H$269,J237,H$274,H$279,H$284)</f>
        <v>0.28186237348182841</v>
      </c>
      <c r="O290" s="55" t="str">
        <f>'Input - Dairy'!$D$66</f>
        <v>Milking shed</v>
      </c>
      <c r="P290" s="55" t="str">
        <f>'Input - Dairy'!$D$85</f>
        <v>Anaerobic lagoon</v>
      </c>
      <c r="Q290" s="55" cm="1">
        <f t="array" ref="Q290">MMS_Dairy_Methane_Equations.VEERG_4_3_1_1__1_TotalAnnualMethaneFromManureManagementVariation(D$269,Q237,O$274,0,0,0,0,0)</f>
        <v>0.32592860667769402</v>
      </c>
      <c r="R290" s="55" cm="1">
        <f t="array" ref="R290">MMS_Dairy_Methane_Equations.VEERG_4_3_1_1__1_TotalAnnualMethaneFromManureManagementVariation(D$269,R237,P$274,0,0,0,0,0)</f>
        <v>0.19926308605679074</v>
      </c>
      <c r="S290" s="55" cm="1">
        <f t="array" ref="S290">MMS_Dairy_Methane_Equations.VEERG_4_3_1_1__1_TotalAnnualMethaneFromManureManagementVariation(0,0,0,F$269,S237,Q$274,F$279,Q$284)</f>
        <v>0.23103005098257332</v>
      </c>
      <c r="T290" s="55" cm="1">
        <f t="array" ref="T290">MMS_Dairy_Methane_Equations.VEERG_4_3_1_1__1_TotalAnnualMethaneFromManureManagementVariation(F$269,T237,R$274,0,0,0,0,0)</f>
        <v>0.24245636700472373</v>
      </c>
      <c r="U290" s="55" cm="1">
        <f t="array" ref="U290">MMS_Dairy_Methane_Equations.VEERG_4_3_1_1__1_TotalAnnualMethaneFromManureManagementVariation(0,0,0,H$269,U237,S$274,H$279,S$284)</f>
        <v>0.2833163520802735</v>
      </c>
    </row>
    <row r="291" spans="4:21" x14ac:dyDescent="0.25">
      <c r="D291" s="55" t="str">
        <f>'Input - Dairy'!$D$66</f>
        <v>Milking shed</v>
      </c>
      <c r="E291" s="55" t="str">
        <f>'Input - Dairy'!$D$86</f>
        <v>Sump and dispersal system</v>
      </c>
      <c r="F291" s="55" cm="1">
        <f t="array" ref="F291">MMS_Dairy_Methane_Equations.VEERG_4_3_1_1__1_TotalAnnualMethaneFromManureManagementVariation(D$269,F238,D$274,0,0,0,0,0)</f>
        <v>2.1164195238811303E-3</v>
      </c>
      <c r="G291" s="55" cm="1">
        <f t="array" ref="G291">MMS_Dairy_Methane_Equations.VEERG_4_3_1_1__1_TotalAnnualMethaneFromManureManagementVariation(E$269,G238,E$274,0,0,0,0,0)</f>
        <v>1.293916143225914E-3</v>
      </c>
      <c r="H291" s="55" cm="1">
        <f t="array" ref="H291">MMS_Dairy_Methane_Equations.VEERG_4_3_1_1__1_TotalAnnualMethaneFromManureManagementVariation(0,0,0,F$269,H238,F$274,F$279,F$284)</f>
        <v>0.14838019513625048</v>
      </c>
      <c r="I291" s="55" cm="1">
        <f t="array" ref="I291">MMS_Dairy_Methane_Equations.VEERG_4_3_1_1__1_TotalAnnualMethaneFromManureManagementVariation(G$269,I238,G$274,0,0,0,0,0)</f>
        <v>1.5743919935371669E-3</v>
      </c>
      <c r="J291" s="55" cm="1">
        <f t="array" ref="J291">MMS_Dairy_Methane_Equations.VEERG_4_3_1_1__1_TotalAnnualMethaneFromManureManagementVariation(0,0,0,H$269,J238,H$274,H$279,H$284)</f>
        <v>0.17208698929922259</v>
      </c>
      <c r="O291" s="55" t="str">
        <f>'Input - Dairy'!$D$66</f>
        <v>Milking shed</v>
      </c>
      <c r="P291" s="55" t="str">
        <f>'Input - Dairy'!$D$86</f>
        <v>Sump and dispersal system</v>
      </c>
      <c r="Q291" s="55" cm="1">
        <f t="array" ref="Q291">MMS_Dairy_Methane_Equations.VEERG_4_3_1_1__1_TotalAnnualMethaneFromManureManagementVariation(D$269,Q238,O$274,0,0,0,0,0)</f>
        <v>2.1164195238811303E-3</v>
      </c>
      <c r="R291" s="55" cm="1">
        <f t="array" ref="R291">MMS_Dairy_Methane_Equations.VEERG_4_3_1_1__1_TotalAnnualMethaneFromManureManagementVariation(D$269,R238,P$274,0,0,0,0,0)</f>
        <v>1.293916143225914E-3</v>
      </c>
      <c r="S291" s="55" cm="1">
        <f t="array" ref="S291">MMS_Dairy_Methane_Equations.VEERG_4_3_1_1__1_TotalAnnualMethaneFromManureManagementVariation(0,0,0,F$269,S238,Q$274,F$279,Q$284)</f>
        <v>0.14838019513625048</v>
      </c>
      <c r="T291" s="55" cm="1">
        <f t="array" ref="T291">MMS_Dairy_Methane_Equations.VEERG_4_3_1_1__1_TotalAnnualMethaneFromManureManagementVariation(F$269,T238,R$274,0,0,0,0,0)</f>
        <v>1.5743919935371669E-3</v>
      </c>
      <c r="U291" s="55" cm="1">
        <f t="array" ref="U291">MMS_Dairy_Methane_Equations.VEERG_4_3_1_1__1_TotalAnnualMethaneFromManureManagementVariation(0,0,0,H$269,U238,S$274,H$279,S$284)</f>
        <v>0.17208698929922259</v>
      </c>
    </row>
    <row r="292" spans="4:21" x14ac:dyDescent="0.25">
      <c r="D292" s="55" t="str">
        <f>'Input - Dairy'!$D$66</f>
        <v>Milking shed</v>
      </c>
      <c r="E292" s="55" t="str">
        <f>'Input - Dairy'!$D$87</f>
        <v>Drains to paddock</v>
      </c>
      <c r="F292" s="55" cm="1">
        <f t="array" ref="F292">MMS_Dairy_Methane_Equations.VEERG_4_3_1_1__1_TotalAnnualMethaneFromManureManagementVariation(D$269,F239,D$274,0,0,0,0,0)</f>
        <v>7.619110285972068E-2</v>
      </c>
      <c r="G292" s="55" cm="1">
        <f t="array" ref="G292">MMS_Dairy_Methane_Equations.VEERG_4_3_1_1__1_TotalAnnualMethaneFromManureManagementVariation(E$269,G239,E$274,0,0,0,0,0)</f>
        <v>4.6580981156132899E-2</v>
      </c>
      <c r="H292" s="55" cm="1">
        <f t="array" ref="H292">MMS_Dairy_Methane_Equations.VEERG_4_3_1_1__1_TotalAnnualMethaneFromManureManagementVariation(0,0,0,F$269,H239,F$274,F$279,F$284)</f>
        <v>0.16728702490501715</v>
      </c>
      <c r="I292" s="55" cm="1">
        <f t="array" ref="I292">MMS_Dairy_Methane_Equations.VEERG_4_3_1_1__1_TotalAnnualMethaneFromManureManagementVariation(G$269,I239,G$274,0,0,0,0,0)</f>
        <v>5.6678111767338002E-2</v>
      </c>
      <c r="J292" s="55" cm="1">
        <f t="array" ref="J292">MMS_Dairy_Methane_Equations.VEERG_4_3_1_1__1_TotalAnnualMethaneFromManureManagementVariation(0,0,0,H$269,J239,H$274,H$279,H$284)</f>
        <v>0.197531614772012</v>
      </c>
      <c r="O292" s="55" t="str">
        <f>'Input - Dairy'!$D$66</f>
        <v>Milking shed</v>
      </c>
      <c r="P292" s="55" t="str">
        <f>'Input - Dairy'!$D$87</f>
        <v>Drains to paddock</v>
      </c>
      <c r="Q292" s="55" cm="1">
        <f t="array" ref="Q292">MMS_Dairy_Methane_Equations.VEERG_4_3_1_1__1_TotalAnnualMethaneFromManureManagementVariation(D$269,Q239,O$274,0,0,0,0,0)</f>
        <v>9.3122459050769713E-2</v>
      </c>
      <c r="R292" s="55" cm="1">
        <f t="array" ref="R292">MMS_Dairy_Methane_Equations.VEERG_4_3_1_1__1_TotalAnnualMethaneFromManureManagementVariation(D$269,R239,P$274,0,0,0,0,0)</f>
        <v>5.6932310301940216E-2</v>
      </c>
      <c r="S292" s="55" cm="1">
        <f t="array" ref="S292">MMS_Dairy_Methane_Equations.VEERG_4_3_1_1__1_TotalAnnualMethaneFromManureManagementVariation(0,0,0,F$269,S239,Q$274,F$279,Q$284)</f>
        <v>0.17160858599502096</v>
      </c>
      <c r="T292" s="55" cm="1">
        <f t="array" ref="T292">MMS_Dairy_Methane_Equations.VEERG_4_3_1_1__1_TotalAnnualMethaneFromManureManagementVariation(F$269,T239,R$274,0,0,0,0,0)</f>
        <v>6.9273247715635339E-2</v>
      </c>
      <c r="U292" s="55" cm="1">
        <f t="array" ref="U292">MMS_Dairy_Methane_Equations.VEERG_4_3_1_1__1_TotalAnnualMethaneFromManureManagementVariation(0,0,0,H$269,U239,S$274,H$279,S$284)</f>
        <v>0.20334752916579243</v>
      </c>
    </row>
    <row r="293" spans="4:21" x14ac:dyDescent="0.25">
      <c r="D293" s="55" t="str">
        <f>'Input - Dairy'!$D$66</f>
        <v>Milking shed</v>
      </c>
      <c r="E293" s="55" t="s">
        <v>412</v>
      </c>
      <c r="F293" s="55" cm="1">
        <f t="array" ref="F293">MMS_Dairy_Methane_Equations.VEERG_4_3_1_1__1_TotalAnnualMethaneFromManureManagementVariation(D$269,F240,D$274,0,0,0,0,0)</f>
        <v>1.6931356191049036E-2</v>
      </c>
      <c r="G293" s="55" cm="1">
        <f t="array" ref="G293">MMS_Dairy_Methane_Equations.VEERG_4_3_1_1__1_TotalAnnualMethaneFromManureManagementVariation(E$269,G240,E$274,0,0,0,0,0)</f>
        <v>1.0351329145807312E-2</v>
      </c>
      <c r="H293" s="55" cm="1">
        <f t="array" ref="H293">MMS_Dairy_Methane_Equations.VEERG_4_3_1_1__1_TotalAnnualMethaneFromManureManagementVariation(0,0,0,F$269,H240,F$274,F$279,F$284)</f>
        <v>0.15216156109000381</v>
      </c>
      <c r="I293" s="55" cm="1">
        <f t="array" ref="I293">MMS_Dairy_Methane_Equations.VEERG_4_3_1_1__1_TotalAnnualMethaneFromManureManagementVariation(G$269,I240,G$274,0,0,0,0,0)</f>
        <v>1.259513594829733E-2</v>
      </c>
      <c r="J293" s="55" cm="1">
        <f t="array" ref="J293">MMS_Dairy_Methane_Equations.VEERG_4_3_1_1__1_TotalAnnualMethaneFromManureManagementVariation(0,0,0,H$269,J240,H$274,H$279,H$284)</f>
        <v>0.17717591439378047</v>
      </c>
      <c r="O293" s="55" t="str">
        <f>'Input - Dairy'!$D$66</f>
        <v>Milking shed</v>
      </c>
      <c r="P293" s="55" t="s">
        <v>412</v>
      </c>
      <c r="Q293" s="55" cm="1">
        <f t="array" ref="Q293">MMS_Dairy_Methane_Equations.VEERG_4_3_1_1__1_TotalAnnualMethaneFromManureManagementVariation(D$269,Q240,O$274,0,0,0,0,0)</f>
        <v>1.6931356191049036E-2</v>
      </c>
      <c r="R293" s="55" cm="1">
        <f t="array" ref="R293">MMS_Dairy_Methane_Equations.VEERG_4_3_1_1__1_TotalAnnualMethaneFromManureManagementVariation(D$269,R240,P$274,0,0,0,0,0)</f>
        <v>1.0351329145807312E-2</v>
      </c>
      <c r="S293" s="55" cm="1">
        <f t="array" ref="S293">MMS_Dairy_Methane_Equations.VEERG_4_3_1_1__1_TotalAnnualMethaneFromManureManagementVariation(0,0,0,F$269,S240,Q$274,F$279,Q$284)</f>
        <v>0.15216156109000381</v>
      </c>
      <c r="T293" s="55" cm="1">
        <f t="array" ref="T293">MMS_Dairy_Methane_Equations.VEERG_4_3_1_1__1_TotalAnnualMethaneFromManureManagementVariation(F$269,T240,R$274,0,0,0,0,0)</f>
        <v>1.259513594829733E-2</v>
      </c>
      <c r="U293" s="55" cm="1">
        <f t="array" ref="U293">MMS_Dairy_Methane_Equations.VEERG_4_3_1_1__1_TotalAnnualMethaneFromManureManagementVariation(0,0,0,H$269,U240,S$274,H$279,S$284)</f>
        <v>0.17717591439378047</v>
      </c>
    </row>
    <row r="294" spans="4:21" x14ac:dyDescent="0.25">
      <c r="D294" s="55" t="str">
        <f>'Input - Dairy'!$D$67</f>
        <v>Feed pad</v>
      </c>
      <c r="E294" s="55" t="str">
        <f>'Input - Dairy'!$D$101</f>
        <v>Anaerobic lagoon</v>
      </c>
      <c r="F294" s="55" cm="1">
        <f t="array" ref="F294">MMS_Dairy_Methane_Equations.VEERG_4_3_1_1__1_TotalAnnualMethaneFromManureManagementVariation(D$269,F241,D$274,0,0,0,0,0)</f>
        <v>1.301405605411996</v>
      </c>
      <c r="G294" s="55" cm="1">
        <f t="array" ref="G294">MMS_Dairy_Methane_Equations.VEERG_4_3_1_1__1_TotalAnnualMethaneFromManureManagementVariation(E$269,G241,E$274,0,0,0,0,0)</f>
        <v>0.79564079934364373</v>
      </c>
      <c r="H294" s="55" cm="1">
        <f t="array" ref="H294">MMS_Dairy_Methane_Equations.VEERG_4_3_1_1__1_TotalAnnualMethaneFromManureManagementVariation(0,0,0,F$269,H241,F$274,F$279,F$284)</f>
        <v>0.48001090014529268</v>
      </c>
      <c r="I294" s="55" cm="1">
        <f t="array" ref="I294">MMS_Dairy_Methane_Equations.VEERG_4_3_1_1__1_TotalAnnualMethaneFromManureManagementVariation(G$269,I241,G$274,0,0,0,0,0)</f>
        <v>0.96810794948049028</v>
      </c>
      <c r="J294" s="55" cm="1">
        <f t="array" ref="J294">MMS_Dairy_Methane_Equations.VEERG_4_3_1_1__1_TotalAnnualMethaneFromManureManagementVariation(0,0,0,H$269,J241,H$274,H$279,H$284)</f>
        <v>0.6183923290855784</v>
      </c>
      <c r="O294" s="55" t="str">
        <f>'Input - Dairy'!$D$67</f>
        <v>Feed pad</v>
      </c>
      <c r="P294" s="55" t="str">
        <f>'Input - Dairy'!$D$101</f>
        <v>Anaerobic lagoon</v>
      </c>
      <c r="Q294" s="55" cm="1">
        <f t="array" ref="Q294">MMS_Dairy_Methane_Equations.VEERG_4_3_1_1__1_TotalAnnualMethaneFromManureManagementVariation(D$269,Q241,O$274,0,0,0,0,0)</f>
        <v>1.3185293633779436</v>
      </c>
      <c r="R294" s="55" cm="1">
        <f t="array" ref="R294">MMS_Dairy_Methane_Equations.VEERG_4_3_1_1__1_TotalAnnualMethaneFromManureManagementVariation(D$269,R241,P$274,0,0,0,0,0)</f>
        <v>0.80610975722974443</v>
      </c>
      <c r="S294" s="55" cm="1">
        <f t="array" ref="S294">MMS_Dairy_Methane_Equations.VEERG_4_3_1_1__1_TotalAnnualMethaneFromManureManagementVariation(0,0,0,F$269,S241,Q$274,F$279,Q$284)</f>
        <v>0.48438156988404663</v>
      </c>
      <c r="T294" s="55" cm="1">
        <f t="array" ref="T294">MMS_Dairy_Methane_Equations.VEERG_4_3_1_1__1_TotalAnnualMethaneFromManureManagementVariation(F$269,T241,R$274,0,0,0,0,0)</f>
        <v>0.98084621197365474</v>
      </c>
      <c r="U294" s="55" cm="1">
        <f t="array" ref="U294">MMS_Dairy_Methane_Equations.VEERG_4_3_1_1__1_TotalAnnualMethaneFromManureManagementVariation(0,0,0,H$269,U241,S$274,H$279,S$284)</f>
        <v>0.62427433341565175</v>
      </c>
    </row>
    <row r="295" spans="4:21" x14ac:dyDescent="0.25">
      <c r="D295" s="55" t="str">
        <f>'Input - Dairy'!$D$67</f>
        <v>Feed pad</v>
      </c>
      <c r="E295" s="55" t="str">
        <f>'Input - Dairy'!$D$102</f>
        <v>Sump and dispersal system</v>
      </c>
      <c r="F295" s="55" cm="1">
        <f t="array" ref="F295">MMS_Dairy_Methane_Equations.VEERG_4_3_1_1__1_TotalAnnualMethaneFromManureManagementVariation(D$269,F242,D$274,0,0,0,0,0)</f>
        <v>6.8495031863789286E-3</v>
      </c>
      <c r="G295" s="55" cm="1">
        <f t="array" ref="G295">MMS_Dairy_Methane_Equations.VEERG_4_3_1_1__1_TotalAnnualMethaneFromManureManagementVariation(E$269,G242,E$274,0,0,0,0,0)</f>
        <v>4.1875831544402296E-3</v>
      </c>
      <c r="H295" s="55" cm="1">
        <f t="array" ref="H295">MMS_Dairy_Methane_Equations.VEERG_4_3_1_1__1_TotalAnnualMethaneFromManureManagementVariation(0,0,0,F$269,H242,F$274,F$279,F$284)</f>
        <v>0.14958826789550153</v>
      </c>
      <c r="I295" s="55" cm="1">
        <f t="array" ref="I295">MMS_Dairy_Methane_Equations.VEERG_4_3_1_1__1_TotalAnnualMethaneFromManureManagementVariation(G$269,I242,G$274,0,0,0,0,0)</f>
        <v>5.095304997265738E-3</v>
      </c>
      <c r="J295" s="55" cm="1">
        <f t="array" ref="J295">MMS_Dairy_Methane_Equations.VEERG_4_3_1_1__1_TotalAnnualMethaneFromManureManagementVariation(0,0,0,H$269,J242,H$274,H$279,H$284)</f>
        <v>0.17371280173202935</v>
      </c>
      <c r="O295" s="55" t="str">
        <f>'Input - Dairy'!$D$67</f>
        <v>Feed pad</v>
      </c>
      <c r="P295" s="55" t="str">
        <f>'Input - Dairy'!$D$102</f>
        <v>Sump and dispersal system</v>
      </c>
      <c r="Q295" s="55" cm="1">
        <f t="array" ref="Q295">MMS_Dairy_Methane_Equations.VEERG_4_3_1_1__1_TotalAnnualMethaneFromManureManagementVariation(D$269,Q242,O$274,0,0,0,0,0)</f>
        <v>6.8495031863789286E-3</v>
      </c>
      <c r="R295" s="55" cm="1">
        <f t="array" ref="R295">MMS_Dairy_Methane_Equations.VEERG_4_3_1_1__1_TotalAnnualMethaneFromManureManagementVariation(D$269,R242,P$274,0,0,0,0,0)</f>
        <v>4.1875831544402296E-3</v>
      </c>
      <c r="S295" s="55" cm="1">
        <f t="array" ref="S295">MMS_Dairy_Methane_Equations.VEERG_4_3_1_1__1_TotalAnnualMethaneFromManureManagementVariation(0,0,0,F$269,S242,Q$274,F$279,Q$284)</f>
        <v>0.14958826789550153</v>
      </c>
      <c r="T295" s="55" cm="1">
        <f t="array" ref="T295">MMS_Dairy_Methane_Equations.VEERG_4_3_1_1__1_TotalAnnualMethaneFromManureManagementVariation(F$269,T242,R$274,0,0,0,0,0)</f>
        <v>5.095304997265738E-3</v>
      </c>
      <c r="U295" s="55" cm="1">
        <f t="array" ref="U295">MMS_Dairy_Methane_Equations.VEERG_4_3_1_1__1_TotalAnnualMethaneFromManureManagementVariation(0,0,0,H$269,U242,S$274,H$279,S$284)</f>
        <v>0.17371280173202935</v>
      </c>
    </row>
    <row r="296" spans="4:21" x14ac:dyDescent="0.25">
      <c r="D296" s="55" t="str">
        <f>'Input - Dairy'!$D$67</f>
        <v>Feed pad</v>
      </c>
      <c r="E296" s="55" t="str">
        <f>'Input - Dairy'!$D$103</f>
        <v>Drains to paddock</v>
      </c>
      <c r="F296" s="55" cm="1">
        <f t="array" ref="F296">MMS_Dairy_Methane_Equations.VEERG_4_3_1_1__1_TotalAnnualMethaneFromManureManagementVariation(D$269,F243,D$274,0,0,0,0,0)</f>
        <v>0.24658211470964142</v>
      </c>
      <c r="G296" s="55" cm="1">
        <f t="array" ref="G296">MMS_Dairy_Methane_Equations.VEERG_4_3_1_1__1_TotalAnnualMethaneFromManureManagementVariation(E$269,G243,E$274,0,0,0,0,0)</f>
        <v>0.15075299355984828</v>
      </c>
      <c r="H296" s="55" cm="1">
        <f t="array" ref="H296">MMS_Dairy_Methane_Equations.VEERG_4_3_1_1__1_TotalAnnualMethaneFromManureManagementVariation(0,0,0,F$269,H243,F$274,F$279,F$284)</f>
        <v>0.21077764423805545</v>
      </c>
      <c r="I296" s="55" cm="1">
        <f t="array" ref="I296">MMS_Dairy_Methane_Equations.VEERG_4_3_1_1__1_TotalAnnualMethaneFromManureManagementVariation(G$269,I243,G$274,0,0,0,0,0)</f>
        <v>0.18343097990156659</v>
      </c>
      <c r="J296" s="55" cm="1">
        <f t="array" ref="J296">MMS_Dairy_Methane_Equations.VEERG_4_3_1_1__1_TotalAnnualMethaneFromManureManagementVariation(0,0,0,H$269,J243,H$274,H$279,H$284)</f>
        <v>0.25606086235305697</v>
      </c>
      <c r="O296" s="55" t="str">
        <f>'Input - Dairy'!$D$67</f>
        <v>Feed pad</v>
      </c>
      <c r="P296" s="55" t="str">
        <f>'Input - Dairy'!$D$103</f>
        <v>Drains to paddock</v>
      </c>
      <c r="Q296" s="55" cm="1">
        <f t="array" ref="Q296">MMS_Dairy_Methane_Equations.VEERG_4_3_1_1__1_TotalAnnualMethaneFromManureManagementVariation(D$269,Q243,O$274,0,0,0,0,0)</f>
        <v>0.30137814020067288</v>
      </c>
      <c r="R296" s="55" cm="1">
        <f t="array" ref="R296">MMS_Dairy_Methane_Equations.VEERG_4_3_1_1__1_TotalAnnualMethaneFromManureManagementVariation(D$269,R243,P$274,0,0,0,0,0)</f>
        <v>0.18425365879537009</v>
      </c>
      <c r="S296" s="55" cm="1">
        <f t="array" ref="S296">MMS_Dairy_Methane_Equations.VEERG_4_3_1_1__1_TotalAnnualMethaneFromManureManagementVariation(0,0,0,F$269,S243,Q$274,F$279,Q$284)</f>
        <v>0.22476378740206779</v>
      </c>
      <c r="T296" s="55" cm="1">
        <f t="array" ref="T296">MMS_Dairy_Methane_Equations.VEERG_4_3_1_1__1_TotalAnnualMethaneFromManureManagementVariation(F$269,T243,R$274,0,0,0,0,0)</f>
        <v>0.22419341987969252</v>
      </c>
      <c r="U296" s="55" cm="1">
        <f t="array" ref="U296">MMS_Dairy_Methane_Equations.VEERG_4_3_1_1__1_TotalAnnualMethaneFromManureManagementVariation(0,0,0,H$269,U243,S$274,H$279,S$284)</f>
        <v>0.27488327620929182</v>
      </c>
    </row>
    <row r="297" spans="4:21" x14ac:dyDescent="0.25">
      <c r="D297" s="55" t="str">
        <f>'Input - Dairy'!$D$67</f>
        <v>Feed pad</v>
      </c>
      <c r="E297" s="55" t="s">
        <v>412</v>
      </c>
      <c r="F297" s="55" cm="1">
        <f t="array" ref="F297">MMS_Dairy_Methane_Equations.VEERG_4_3_1_1__1_TotalAnnualMethaneFromManureManagementVariation(D$269,F244,D$274,0,0,0,0,0)</f>
        <v>4.7946522304652489E-2</v>
      </c>
      <c r="G297" s="55" cm="1">
        <f t="array" ref="G297">MMS_Dairy_Methane_Equations.VEERG_4_3_1_1__1_TotalAnnualMethaneFromManureManagementVariation(E$269,G244,E$274,0,0,0,0,0)</f>
        <v>2.9313082081081607E-2</v>
      </c>
      <c r="H297" s="55" cm="1">
        <f t="array" ref="H297">MMS_Dairy_Methane_Equations.VEERG_4_3_1_1__1_TotalAnnualMethaneFromManureManagementVariation(0,0,0,F$269,H244,F$274,F$279,F$284)</f>
        <v>0.16007787526851078</v>
      </c>
      <c r="I297" s="55" cm="1">
        <f t="array" ref="I297">MMS_Dairy_Methane_Equations.VEERG_4_3_1_1__1_TotalAnnualMethaneFromManureManagementVariation(G$269,I244,G$274,0,0,0,0,0)</f>
        <v>3.5667134980860167E-2</v>
      </c>
      <c r="J297" s="55" cm="1">
        <f t="array" ref="J297">MMS_Dairy_Methane_Equations.VEERG_4_3_1_1__1_TotalAnnualMethaneFromManureManagementVariation(0,0,0,H$269,J244,H$274,H$279,H$284)</f>
        <v>0.18782961212420554</v>
      </c>
      <c r="O297" s="55" t="str">
        <f>'Input - Dairy'!$D$67</f>
        <v>Feed pad</v>
      </c>
      <c r="P297" s="55" t="s">
        <v>412</v>
      </c>
      <c r="Q297" s="55" cm="1">
        <f t="array" ref="Q297">MMS_Dairy_Methane_Equations.VEERG_4_3_1_1__1_TotalAnnualMethaneFromManureManagementVariation(D$269,Q244,O$274,0,0,0,0,0)</f>
        <v>4.7946522304652489E-2</v>
      </c>
      <c r="R297" s="55" cm="1">
        <f t="array" ref="R297">MMS_Dairy_Methane_Equations.VEERG_4_3_1_1__1_TotalAnnualMethaneFromManureManagementVariation(D$269,R244,P$274,0,0,0,0,0)</f>
        <v>2.9313082081081607E-2</v>
      </c>
      <c r="S297" s="55" cm="1">
        <f t="array" ref="S297">MMS_Dairy_Methane_Equations.VEERG_4_3_1_1__1_TotalAnnualMethaneFromManureManagementVariation(0,0,0,F$269,S244,Q$274,F$279,Q$284)</f>
        <v>0.16007787526851078</v>
      </c>
      <c r="T297" s="55" cm="1">
        <f t="array" ref="T297">MMS_Dairy_Methane_Equations.VEERG_4_3_1_1__1_TotalAnnualMethaneFromManureManagementVariation(F$269,T244,R$274,0,0,0,0,0)</f>
        <v>3.5667134980860167E-2</v>
      </c>
      <c r="U297" s="55" cm="1">
        <f t="array" ref="U297">MMS_Dairy_Methane_Equations.VEERG_4_3_1_1__1_TotalAnnualMethaneFromManureManagementVariation(0,0,0,H$269,U244,S$274,H$279,S$284)</f>
        <v>0.18782961212420554</v>
      </c>
    </row>
    <row r="299" spans="4:21" ht="20.25" x14ac:dyDescent="0.25">
      <c r="D299" s="108" t="s">
        <v>131</v>
      </c>
      <c r="E299" s="109">
        <f>SUM(F289:J297)</f>
        <v>9.1425584633734314</v>
      </c>
      <c r="F299" s="110" t="str">
        <f>$E$255</f>
        <v>t CH4</v>
      </c>
      <c r="O299" s="108" t="s">
        <v>427</v>
      </c>
      <c r="P299" s="109">
        <f>SUM(Q289:U297)</f>
        <v>9.4175289244735705</v>
      </c>
      <c r="Q299" s="110" t="str">
        <f>$E$255</f>
        <v>t CH4</v>
      </c>
    </row>
    <row r="301" spans="4:21" x14ac:dyDescent="0.25">
      <c r="D301" s="60" t="str" cm="1">
        <f t="array" ref="D301:E302">Common_Equations.Common_ConvertCH4ToCO2e_Arguments()</f>
        <v>ECH4</v>
      </c>
      <c r="E301" s="61" t="str">
        <v>Methane emissions (t CH4)</v>
      </c>
      <c r="F301" s="111"/>
      <c r="G301" s="55">
        <f>E299</f>
        <v>9.1425584633734314</v>
      </c>
      <c r="H301" s="2"/>
      <c r="O301" s="60" t="str" cm="1">
        <f t="array" ref="O301:P302">Common_Equations.Common_ConvertCH4ToCO2e_Arguments()</f>
        <v>ECH4</v>
      </c>
      <c r="P301" s="61" t="str">
        <v>Methane emissions (t CH4)</v>
      </c>
      <c r="Q301" s="111"/>
      <c r="R301" s="55">
        <f>P299</f>
        <v>9.4175289244735705</v>
      </c>
      <c r="S301" s="2" t="s">
        <v>276</v>
      </c>
    </row>
    <row r="302" spans="4:21" x14ac:dyDescent="0.25">
      <c r="D302" s="60" t="str">
        <v>GWPCH4</v>
      </c>
      <c r="E302" s="61" t="str">
        <v>Global warming potential for methane (t CO2-e / t CH4)</v>
      </c>
      <c r="F302" s="111"/>
      <c r="G302" s="55">
        <f>Common_InputFunctions.Utility_LookupValueInTableNumber("CH4",Table_GWPData[Gas],Table_GWPData[CO2-e factor])</f>
        <v>28</v>
      </c>
      <c r="O302" s="60" t="str">
        <v>GWPCH4</v>
      </c>
      <c r="P302" s="61" t="str">
        <v>Global warming potential for methane (t CO2-e / t CH4)</v>
      </c>
      <c r="Q302" s="111"/>
      <c r="R302" s="55">
        <f>Common_InputFunctions.Utility_LookupValueInTableNumber("CH4",Table_GWPData[Gas],Table_GWPData[CO2-e factor])</f>
        <v>28</v>
      </c>
    </row>
    <row r="304" spans="4:21" ht="18.75" x14ac:dyDescent="0.25">
      <c r="D304" s="48" t="s">
        <v>132</v>
      </c>
      <c r="E304" s="48" cm="1">
        <f t="array" ref="E304">Common_Equations.Common_ConvertCH4ToCO2e(G301,G302)</f>
        <v>255.99163697445607</v>
      </c>
      <c r="F304" s="112" t="str" cm="1">
        <f t="array" ref="F304">Common_Equations.Common_ConvertN2OToCO2e_Unit()</f>
        <v>t CO2e</v>
      </c>
      <c r="O304" s="48" t="s">
        <v>426</v>
      </c>
      <c r="P304" s="48" cm="1">
        <f t="array" ref="P304">Common_Equations.Common_ConvertCH4ToCO2e(R301,R302)</f>
        <v>263.69080988525997</v>
      </c>
      <c r="Q304" s="112" t="str" cm="1">
        <f t="array" ref="Q304">Common_Equations.Common_ConvertN2OToCO2e_Unit()</f>
        <v>t CO2e</v>
      </c>
    </row>
  </sheetData>
  <dataValidations disablePrompts="1" count="1">
    <dataValidation operator="equal" allowBlank="1" showInputMessage="1" showErrorMessage="1" sqref="F163:F167 Q152:U156 D186:F186 P89:R89 E151:J151 F152:J156 E162:F162 Q163:Q167 P162:Q162 P151:U151 E173:J173 F174:J178 P173:U173 Q174:U178 Q172:U172 F199:J199 P204:U205 P198:U198 Q199:U199 P297 E240 E237 E293 E290 E244 P237 E297 P290 I145 E145:F145 F172:J172 Q161 Q150:U150 E198:J198 P240 P244 P293 E204:J205"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292"/>
  <sheetViews>
    <sheetView showGridLines="0" topLeftCell="A218" zoomScaleNormal="100" workbookViewId="0">
      <selection activeCell="N103" sqref="N10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71" t="e" vm="1">
        <v>#VALUE!</v>
      </c>
      <c r="C1" s="8" t="s">
        <v>286</v>
      </c>
    </row>
    <row r="2" spans="1:21" s="9" customFormat="1" ht="20.100000000000001" customHeight="1" x14ac:dyDescent="0.25"/>
    <row r="3" spans="1:21" ht="20.100000000000001" customHeight="1" x14ac:dyDescent="0.25">
      <c r="A3" s="17" t="str">
        <f>HYPERLINK("#'Home'!A1", "Home")</f>
        <v>Home</v>
      </c>
      <c r="C3" s="4"/>
      <c r="D3" s="4" t="s">
        <v>121</v>
      </c>
      <c r="E3" s="4"/>
      <c r="F3" s="4"/>
      <c r="G3" s="4"/>
      <c r="H3" s="4"/>
      <c r="I3" s="4"/>
      <c r="J3" s="4"/>
      <c r="K3" s="4"/>
      <c r="M3" s="4"/>
      <c r="N3" s="4" t="s">
        <v>122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MMS_Dairy_N2ODirect_Equations.VEERG_4_3_1_3__8_RelativeSize_Title()</f>
        <v>Relative size</v>
      </c>
    </row>
    <row r="6" spans="1:21" ht="20.100000000000001" customHeight="1" x14ac:dyDescent="0.25">
      <c r="A6" s="16"/>
      <c r="D6" s="5" t="str" cm="1">
        <f t="array" ref="D6">MMS_Dairy_N2ODirect_Equations.VEERG_4_3_1_3__8_RelativeSize_Source()</f>
        <v>VEERG 2026: 4.3.1.3, Equation (8)</v>
      </c>
    </row>
    <row r="7" spans="1:21" ht="20.100000000000001" customHeight="1" x14ac:dyDescent="0.25">
      <c r="A7" s="20" t="s">
        <v>3</v>
      </c>
      <c r="D7" s="13" t="s">
        <v>28</v>
      </c>
      <c r="E7" s="13" t="str" cm="1">
        <f t="array" aca="1" ref="E7" ca="1">Common_InputFunctions.Utility_DisplayFunctionName(D29)</f>
        <v>=MMS_Dairy_N2ODirect_Equations.VEERG_4_3_1_3__8_RelativeSize</v>
      </c>
    </row>
    <row r="8" spans="1:21" ht="20.100000000000001" customHeight="1" x14ac:dyDescent="0.25">
      <c r="A8" s="17" t="str">
        <f>HYPERLINK("#'Input - Site'!A1", "Site")</f>
        <v>Site</v>
      </c>
    </row>
    <row r="9" spans="1:21" ht="20.100000000000001" customHeight="1" x14ac:dyDescent="0.25">
      <c r="A9" s="17" t="str">
        <f>HYPERLINK("#'Input - Dairy'!A1", "Dairy")</f>
        <v>Dairy</v>
      </c>
    </row>
    <row r="10" spans="1:21" ht="20.100000000000001" customHeight="1" x14ac:dyDescent="0.25">
      <c r="A10" s="17"/>
      <c r="D10" s="56" t="s">
        <v>31</v>
      </c>
      <c r="E10" s="1" t="str" cm="1">
        <f t="array" ref="E10">MMS_Dairy_N2ODirect_Equations.VEERG_4_3_1_3__8_RelativeSize_Variable()</f>
        <v>Z_j</v>
      </c>
    </row>
    <row r="11" spans="1:21" ht="20.100000000000001" customHeight="1" x14ac:dyDescent="0.25">
      <c r="A11" s="19" t="s">
        <v>78</v>
      </c>
      <c r="D11" s="56" t="s">
        <v>21</v>
      </c>
      <c r="E11" s="57" t="str" cm="1">
        <f t="array" ref="E11">MMS_Dairy_N2ODirect_Equations.VEERG_4_3_1_3__8_RelativeSize_Unit()</f>
        <v>ratio</v>
      </c>
    </row>
    <row r="12" spans="1:21" ht="20.100000000000001" customHeight="1" x14ac:dyDescent="0.25">
      <c r="A12" s="17" t="str">
        <f>HYPERLINK("#'4.3.1.1-2 Methane'!A1", "4.3.1.1-2 Methane")</f>
        <v>4.3.1.1-2 Methane</v>
      </c>
    </row>
    <row r="13" spans="1:21" ht="20.100000000000001" customHeight="1" x14ac:dyDescent="0.25">
      <c r="A13" s="22" t="str">
        <f>HYPERLINK("#'4.3.1.3-4 Direct N20'!A1", "4.3.1.3-4 Direct N2O")</f>
        <v>4.3.1.3-4 Direct N2O</v>
      </c>
      <c r="D13" s="137" t="str" cm="1">
        <f t="array" ref="D13:E14">_xlfn.CHOOSECOLS(MMS_Dairy_N2ODirect_Equations.VEERG_4_3_1_3__8_RelativeSize_Arguments(),1,2)</f>
        <v>W_j</v>
      </c>
      <c r="E13" s="137" t="str">
        <v>liveweight</v>
      </c>
      <c r="F13" s="137" t="str" cm="1">
        <f t="array" ref="F13:G14">_xlfn.CHOOSECOLS(MMS_Dairy_N2ODirect_Equations.VEERG_4_3_1_3__8_RelativeSize_Arguments(),3,4)</f>
        <v>kg/head</v>
      </c>
      <c r="G13" s="135" t="str">
        <v>Input</v>
      </c>
      <c r="H13" s="134" t="str" cm="1">
        <f t="array" aca="1" ref="H13" ca="1">HYPERLINK(Common_InputFunctions.Utility_SourceHyperlink($D$16),$D$16)</f>
        <v>M1_Table_W_j</v>
      </c>
    </row>
    <row r="14" spans="1:21" ht="20.100000000000001" customHeight="1" x14ac:dyDescent="0.25">
      <c r="A14" s="17" t="str">
        <f>HYPERLINK("#'4.3.1.5 Atmos Deposition'!A1", "4.3.1.5 Atmospheric deposition")</f>
        <v>4.3.1.5 Atmospheric deposition</v>
      </c>
      <c r="D14" s="137" t="str">
        <v>WR_j</v>
      </c>
      <c r="E14" s="137" t="str">
        <v>reference weight</v>
      </c>
      <c r="F14" s="137" t="str">
        <v>kg/head</v>
      </c>
      <c r="G14" s="133" t="str">
        <v>Constant</v>
      </c>
      <c r="H14" s="134" t="str" cm="1">
        <f t="array" aca="1" ref="H14" ca="1">HYPERLINK(Common_InputFunctions.Utility_SourceHyperlink($D$21),$D$21)</f>
        <v>Table_WR_j</v>
      </c>
    </row>
    <row r="15" spans="1:21" ht="20.100000000000001" customHeight="1" x14ac:dyDescent="0.25">
      <c r="A15" s="17" t="str">
        <f>HYPERLINK("#'4.3.1.6-7 Leaching and runoff'!A1", "4.3.1.6-7 Leaching and runoff")</f>
        <v>4.3.1.6-7 Leaching and runoff</v>
      </c>
    </row>
    <row r="16" spans="1:21" ht="20.100000000000001" customHeight="1" x14ac:dyDescent="0.25">
      <c r="A16" s="17" t="str">
        <f>HYPERLINK("#'4.3.1.8 Manure applied to soils'!A1", "4.3.1.8 Manure applied to soils")</f>
        <v>4.3.1.8 Manure applied to soils</v>
      </c>
      <c r="D16" s="104" t="s">
        <v>220</v>
      </c>
      <c r="N16" s="104" t="s">
        <v>222</v>
      </c>
    </row>
    <row r="17" spans="1:21" ht="20.100000000000001" customHeight="1" x14ac:dyDescent="0.25">
      <c r="A17" s="17" t="str">
        <f>HYPERLINK("#'4.3.1.9 Soil direct N2O'!A1", "4.3.1.9 Soil direct N2O")</f>
        <v>4.3.1.9 Soil direct N2O</v>
      </c>
      <c r="D17" s="103" t="s">
        <v>221</v>
      </c>
      <c r="N17" s="103" t="s">
        <v>223</v>
      </c>
    </row>
    <row r="18" spans="1:21" ht="20.100000000000001" customHeight="1" x14ac:dyDescent="0.25">
      <c r="A18" s="17" t="str">
        <f>HYPERLINK("#'4.3.1.10-11 Soil Atmos Dep'!A1", "4.3.1.10-11 Soil atm. deposition")</f>
        <v>4.3.1.10-11 Soil atm. deposition</v>
      </c>
      <c r="D18" s="41" t="s">
        <v>175</v>
      </c>
      <c r="E18" s="41" t="s">
        <v>192</v>
      </c>
      <c r="F18" s="41" t="s">
        <v>193</v>
      </c>
      <c r="G18" s="41" t="s">
        <v>194</v>
      </c>
      <c r="H18" s="41" t="s">
        <v>195</v>
      </c>
      <c r="N18" s="41" t="s">
        <v>175</v>
      </c>
      <c r="O18" s="41" t="s">
        <v>192</v>
      </c>
      <c r="P18" s="41" t="s">
        <v>193</v>
      </c>
      <c r="Q18" s="41" t="s">
        <v>194</v>
      </c>
      <c r="R18" s="41" t="s">
        <v>195</v>
      </c>
    </row>
    <row r="19" spans="1:21" ht="20.100000000000001" customHeight="1" x14ac:dyDescent="0.25">
      <c r="A19" s="17" t="str">
        <f>HYPERLINK("#'4.3.1.12-13 Soil leach runoff'!A1", "4.3.1.12-13 Soil leach &amp; runoff")</f>
        <v>4.3.1.12-13 Soil leach &amp; runoff</v>
      </c>
      <c r="D19" s="55">
        <f>'Input - Dairy'!$E$14</f>
        <v>550</v>
      </c>
      <c r="E19" s="55">
        <f>'Input - Dairy'!$F$14</f>
        <v>380</v>
      </c>
      <c r="F19" s="55">
        <f>'Input - Dairy'!$G$14</f>
        <v>155</v>
      </c>
      <c r="G19" s="55">
        <f>'Input - Dairy'!$H$14</f>
        <v>600</v>
      </c>
      <c r="H19" s="55">
        <f>'Input - Dairy'!$I$14</f>
        <v>225</v>
      </c>
      <c r="I19" s="2" t="s">
        <v>197</v>
      </c>
      <c r="N19" s="55">
        <f>'Input - Dairy'!$E$18</f>
        <v>550</v>
      </c>
      <c r="O19" s="55">
        <f>'Input - Dairy'!$F$18</f>
        <v>380</v>
      </c>
      <c r="P19" s="55">
        <f>'Input - Dairy'!$G$18</f>
        <v>155</v>
      </c>
      <c r="Q19" s="55">
        <f>'Input - Dairy'!$H$18</f>
        <v>600</v>
      </c>
      <c r="R19" s="55">
        <f>'Input - Dairy'!$I$18</f>
        <v>225</v>
      </c>
      <c r="S19" s="2" t="s">
        <v>197</v>
      </c>
    </row>
    <row r="20" spans="1:21" ht="20.100000000000001" customHeight="1" x14ac:dyDescent="0.25">
      <c r="A20" s="17"/>
    </row>
    <row r="21" spans="1:21" ht="20.100000000000001" customHeight="1" x14ac:dyDescent="0.25">
      <c r="A21" s="18" t="s">
        <v>4</v>
      </c>
      <c r="D21" s="104" t="s">
        <v>287</v>
      </c>
    </row>
    <row r="22" spans="1:21" ht="20.100000000000001" customHeight="1" x14ac:dyDescent="0.25">
      <c r="A22" s="17" t="str">
        <f>HYPERLINK("#'Constants - Dairy'!A1", "Constants - Dairy")</f>
        <v>Constants - Dairy</v>
      </c>
      <c r="D22" s="103" t="s">
        <v>288</v>
      </c>
    </row>
    <row r="23" spans="1:21" ht="20.100000000000001" customHeight="1" x14ac:dyDescent="0.25">
      <c r="A23" s="17" t="str">
        <f>HYPERLINK("#'Constants - Livestock'!A1", "Constants - Livestock")</f>
        <v>Constants - Livestock</v>
      </c>
      <c r="D23" s="54" t="s">
        <v>175</v>
      </c>
      <c r="E23" s="54" t="s">
        <v>192</v>
      </c>
      <c r="F23" s="54" t="s">
        <v>193</v>
      </c>
      <c r="G23" s="54" t="s">
        <v>194</v>
      </c>
      <c r="H23" s="54" t="s">
        <v>195</v>
      </c>
    </row>
    <row r="24" spans="1:21" ht="20.100000000000001" customHeight="1" x14ac:dyDescent="0.25">
      <c r="A24" s="17" t="str">
        <f>HYPERLINK("#'Constants - Common'!A1", "Constants - Common")</f>
        <v>Constants - Common</v>
      </c>
      <c r="D24" s="55" cm="1">
        <f t="array" ref="D24">Table_SourceData_Dairy_WRj[Milking cows]</f>
        <v>590</v>
      </c>
      <c r="E24" s="55" cm="1">
        <f t="array" ref="E24">Table_SourceData_Dairy_WRj[Heifers &gt; 1]</f>
        <v>590</v>
      </c>
      <c r="F24" s="55" cm="1">
        <f t="array" ref="F24">Table_SourceData_Dairy_WRj[Heifers &lt; 1 (weaned)]</f>
        <v>590</v>
      </c>
      <c r="G24" s="55" cm="1">
        <f t="array" ref="G24">Table_SourceData_Dairy_WRj[Bulls &gt; 1]</f>
        <v>770</v>
      </c>
      <c r="H24" s="55" cm="1">
        <f t="array" ref="H24">Table_SourceData_Dairy_WRj[Bulls &lt; 1 (weaned)]</f>
        <v>770</v>
      </c>
      <c r="I24" s="2" t="s">
        <v>197</v>
      </c>
    </row>
    <row r="25" spans="1:21" ht="20.100000000000001" customHeight="1" x14ac:dyDescent="0.25">
      <c r="A25" s="17" t="str">
        <f>HYPERLINK("#'Acknowledgements'!A1", "Acknowledgements")</f>
        <v>Acknowledgements</v>
      </c>
    </row>
    <row r="26" spans="1:21" ht="20.100000000000001" customHeight="1" x14ac:dyDescent="0.25">
      <c r="D26" s="104" t="s">
        <v>289</v>
      </c>
      <c r="N26" s="104" t="s">
        <v>289</v>
      </c>
    </row>
    <row r="27" spans="1:21" ht="20.100000000000001" customHeight="1" x14ac:dyDescent="0.25">
      <c r="D27" s="103" t="s">
        <v>290</v>
      </c>
      <c r="N27" s="103" t="s">
        <v>290</v>
      </c>
    </row>
    <row r="28" spans="1:21" ht="20.100000000000001" customHeight="1" x14ac:dyDescent="0.25">
      <c r="D28" s="54" t="s">
        <v>175</v>
      </c>
      <c r="E28" s="54" t="s">
        <v>192</v>
      </c>
      <c r="F28" s="54" t="s">
        <v>193</v>
      </c>
      <c r="G28" s="54" t="s">
        <v>194</v>
      </c>
      <c r="H28" s="54" t="s">
        <v>195</v>
      </c>
      <c r="N28" s="54" t="s">
        <v>175</v>
      </c>
      <c r="O28" s="54" t="s">
        <v>192</v>
      </c>
      <c r="P28" s="54" t="s">
        <v>193</v>
      </c>
      <c r="Q28" s="54" t="s">
        <v>194</v>
      </c>
      <c r="R28" s="54" t="s">
        <v>195</v>
      </c>
    </row>
    <row r="29" spans="1:21" ht="20.100000000000001" customHeight="1" x14ac:dyDescent="0.25">
      <c r="D29" s="55" cm="1">
        <f t="array" ref="D29">MMS_Dairy_N2ODirect_Equations.VEERG_4_3_1_3__8_RelativeSize(D19,D24)</f>
        <v>0.93220338983050843</v>
      </c>
      <c r="E29" s="55" cm="1">
        <f t="array" ref="E29">MMS_Dairy_N2ODirect_Equations.VEERG_4_3_1_3__8_RelativeSize(E19,E24)</f>
        <v>0.64406779661016944</v>
      </c>
      <c r="F29" s="55" cm="1">
        <f t="array" ref="F29">MMS_Dairy_N2ODirect_Equations.VEERG_4_3_1_3__8_RelativeSize(F19,F24)</f>
        <v>0.26271186440677968</v>
      </c>
      <c r="G29" s="55" cm="1">
        <f t="array" ref="G29">MMS_Dairy_N2ODirect_Equations.VEERG_4_3_1_3__8_RelativeSize(G19,G24)</f>
        <v>0.77922077922077926</v>
      </c>
      <c r="H29" s="55" cm="1">
        <f t="array" ref="H29">MMS_Dairy_N2ODirect_Equations.VEERG_4_3_1_3__8_RelativeSize(H19,H24)</f>
        <v>0.29220779220779219</v>
      </c>
      <c r="I29" s="2" t="str">
        <f>$E$11</f>
        <v>ratio</v>
      </c>
      <c r="N29" s="55" cm="1">
        <f t="array" ref="N29">MMS_Dairy_N2ODirect_Equations.VEERG_4_3_1_3__8_RelativeSize(N19,D24)</f>
        <v>0.93220338983050843</v>
      </c>
      <c r="O29" s="55" cm="1">
        <f t="array" ref="O29">MMS_Dairy_N2ODirect_Equations.VEERG_4_3_1_3__8_RelativeSize(O19,E24)</f>
        <v>0.64406779661016944</v>
      </c>
      <c r="P29" s="55" cm="1">
        <f t="array" ref="P29">MMS_Dairy_N2ODirect_Equations.VEERG_4_3_1_3__8_RelativeSize(P19,F24)</f>
        <v>0.26271186440677968</v>
      </c>
      <c r="Q29" s="55" cm="1">
        <f t="array" ref="Q29">MMS_Dairy_N2ODirect_Equations.VEERG_4_3_1_3__8_RelativeSize(Q19,G24)</f>
        <v>0.77922077922077926</v>
      </c>
      <c r="R29" s="55" cm="1">
        <f t="array" ref="R29">MMS_Dairy_N2ODirect_Equations.VEERG_4_3_1_3__8_RelativeSize(R19,H24)</f>
        <v>0.29220779220779219</v>
      </c>
      <c r="S29" s="2" t="str">
        <f>$E$11</f>
        <v>ratio</v>
      </c>
    </row>
    <row r="30" spans="1:21" ht="20.100000000000001" customHeight="1" x14ac:dyDescent="0.25"/>
    <row r="31" spans="1:21" ht="20.100000000000001" customHeight="1" x14ac:dyDescent="0.25"/>
    <row r="32" spans="1:21" ht="20.100000000000001" customHeight="1" x14ac:dyDescent="0.25">
      <c r="C32" s="48"/>
      <c r="D32" s="48"/>
      <c r="E32" s="48"/>
      <c r="F32" s="48"/>
      <c r="G32" s="48"/>
      <c r="H32" s="48"/>
      <c r="I32" s="48"/>
      <c r="J32" s="48"/>
      <c r="K32" s="48"/>
      <c r="M32" s="48"/>
      <c r="N32" s="48"/>
      <c r="O32" s="48"/>
      <c r="P32" s="48"/>
      <c r="Q32" s="48"/>
      <c r="R32" s="48"/>
      <c r="S32" s="48"/>
      <c r="T32" s="48"/>
      <c r="U32" s="48"/>
    </row>
    <row r="33" spans="4:14" ht="20.100000000000001" customHeight="1" x14ac:dyDescent="0.25">
      <c r="D33" s="6" t="str" cm="1">
        <f t="array" ref="D33">MMS_Dairy_N2ODirect_Equations.VEERG_4_3_1_3__7_IntakeRelativeToMaintenance_Title()</f>
        <v>Intake relative to maintenance</v>
      </c>
    </row>
    <row r="34" spans="4:14" ht="20.100000000000001" customHeight="1" x14ac:dyDescent="0.25">
      <c r="D34" s="5" t="str" cm="1">
        <f t="array" ref="D34">MMS_Dairy_N2ODirect_Equations.VEERG_4_3_1_3__7_IntakeRelativeToMaintenance_Source()</f>
        <v>VEERG 2026: 4.3.1.3, Equation (7)</v>
      </c>
    </row>
    <row r="35" spans="4:14" ht="20.100000000000001" customHeight="1" x14ac:dyDescent="0.25">
      <c r="D35" s="13" t="s">
        <v>28</v>
      </c>
      <c r="E35" s="13" t="str" cm="1">
        <f t="array" aca="1" ref="E35" ca="1">Common_InputFunctions.Utility_DisplayFunctionName(D65)</f>
        <v>=MMS_Dairy_N2ODirect_Equations.VEERG_4_3_1_3__7_IntakeRelativeToMaintenance</v>
      </c>
    </row>
    <row r="36" spans="4:14" ht="20.100000000000001" customHeight="1" x14ac:dyDescent="0.25"/>
    <row r="37" spans="4:14" ht="20.100000000000001" customHeight="1" x14ac:dyDescent="0.25">
      <c r="D37" s="6"/>
      <c r="F37" s="6"/>
    </row>
    <row r="38" spans="4:14" ht="20.100000000000001" customHeight="1" x14ac:dyDescent="0.25"/>
    <row r="39" spans="4:14" ht="20.100000000000001" customHeight="1" x14ac:dyDescent="0.25">
      <c r="D39" s="56" t="s">
        <v>31</v>
      </c>
      <c r="E39" s="1" t="str" cm="1">
        <f t="array" ref="E39">MMS_Dairy_N2ODirect_Equations.VEERG_4_3_1_3__7_IntakeRelativeToMaintenance_Variable()</f>
        <v>L_j</v>
      </c>
    </row>
    <row r="40" spans="4:14" ht="20.100000000000001" customHeight="1" x14ac:dyDescent="0.25">
      <c r="D40" s="56" t="s">
        <v>21</v>
      </c>
      <c r="E40" s="57" t="str" cm="1">
        <f t="array" ref="E40">MMS_Dairy_N2ODirect_Equations.VEERG_4_3_1_3__7_IntakeRelativeToMaintenance_Unit()</f>
        <v>ratio</v>
      </c>
    </row>
    <row r="41" spans="4:14" ht="20.100000000000001" customHeight="1" x14ac:dyDescent="0.25"/>
    <row r="42" spans="4:14" ht="20.100000000000001" customHeight="1" x14ac:dyDescent="0.25">
      <c r="D42" s="137" t="str" cm="1">
        <f t="array" ref="D42:E45">_xlfn.CHOOSECOLS(MMS_Dairy_N2ODirect_Equations.VEERG_4_3_1_3__7_IntakeRelativeToMaintenance_Arguments(),1,2)</f>
        <v>I_j</v>
      </c>
      <c r="E42" s="136" t="str">
        <v>dry matter intake</v>
      </c>
      <c r="F42" s="138"/>
      <c r="G42" s="137" t="str" cm="1">
        <f t="array" ref="G42:H45">_xlfn.CHOOSECOLS(MMS_Dairy_N2ODirect_Equations.VEERG_4_3_1_3__7_IntakeRelativeToMaintenance_Arguments(),3,4)</f>
        <v>kgDM/head/day</v>
      </c>
      <c r="H42" s="133" t="str">
        <v>Calculated from 3.3.1.1 (3)</v>
      </c>
      <c r="I42" s="134" t="str" cm="1">
        <f t="array" aca="1" ref="I42" ca="1">HYPERLINK(Common_InputFunctions.Utility_SourceHyperlink($D$47),$D$47)</f>
        <v>M1_Table_I_j</v>
      </c>
    </row>
    <row r="43" spans="4:14" ht="20.100000000000001" customHeight="1" x14ac:dyDescent="0.25">
      <c r="D43" s="137" t="str">
        <v>W_j</v>
      </c>
      <c r="E43" s="136" t="str">
        <v>liveweight</v>
      </c>
      <c r="F43" s="138"/>
      <c r="G43" s="137" t="str">
        <v>kg/head</v>
      </c>
      <c r="H43" s="135" t="str">
        <v>Input</v>
      </c>
      <c r="I43" s="134" t="str" cm="1">
        <f t="array" aca="1" ref="I43" ca="1">HYPERLINK(Common_InputFunctions.Utility_SourceHyperlink($D$16),$D$16)</f>
        <v>M1_Table_W_j</v>
      </c>
    </row>
    <row r="44" spans="4:14" ht="20.100000000000001" customHeight="1" x14ac:dyDescent="0.25">
      <c r="D44" s="137" t="str">
        <v>MR_j</v>
      </c>
      <c r="E44" s="136" t="str">
        <v>increase in metabolic rate when producing milk</v>
      </c>
      <c r="F44" s="138"/>
      <c r="G44" s="137" t="str">
        <v/>
      </c>
      <c r="H44" s="133" t="str">
        <v>Constant</v>
      </c>
      <c r="I44" s="134" t="str" cm="1">
        <f t="array" aca="1" ref="I44" ca="1">HYPERLINK(Common_InputFunctions.Utility_SourceHyperlink($D$52),$D$52)</f>
        <v>Table_MR_j</v>
      </c>
    </row>
    <row r="45" spans="4:14" ht="20.100000000000001" customHeight="1" x14ac:dyDescent="0.25">
      <c r="D45" s="137" t="str">
        <v>MI_j</v>
      </c>
      <c r="E45" s="136" t="str">
        <v>additional intake required for milk production</v>
      </c>
      <c r="F45" s="138"/>
      <c r="G45" s="137" t="str">
        <v>kgDM/head/day</v>
      </c>
      <c r="H45" s="133" t="str">
        <v>Calculated from 3.3.1.1 (4)</v>
      </c>
      <c r="I45" s="134" t="str" cm="1">
        <f t="array" aca="1" ref="I45" ca="1">HYPERLINK(Common_InputFunctions.Utility_SourceHyperlink($D$57),$D$57)</f>
        <v>M1_Table_MI_j</v>
      </c>
    </row>
    <row r="46" spans="4:14" ht="20.100000000000001" customHeight="1" x14ac:dyDescent="0.25"/>
    <row r="47" spans="4:14" ht="20.100000000000001" customHeight="1" x14ac:dyDescent="0.25">
      <c r="D47" s="104" t="s">
        <v>114</v>
      </c>
      <c r="N47" s="104" t="s">
        <v>116</v>
      </c>
    </row>
    <row r="48" spans="4:14" ht="20.100000000000001" customHeight="1" x14ac:dyDescent="0.25">
      <c r="D48" s="103" t="s">
        <v>243</v>
      </c>
      <c r="N48" s="103" t="s">
        <v>242</v>
      </c>
    </row>
    <row r="49" spans="4:19" ht="20.100000000000001" customHeight="1" x14ac:dyDescent="0.25">
      <c r="D49" s="54" t="s">
        <v>175</v>
      </c>
      <c r="E49" s="54" t="s">
        <v>192</v>
      </c>
      <c r="F49" s="54" t="s">
        <v>193</v>
      </c>
      <c r="G49" s="54" t="s">
        <v>194</v>
      </c>
      <c r="H49" s="54" t="s">
        <v>195</v>
      </c>
      <c r="N49" s="54" t="s">
        <v>175</v>
      </c>
      <c r="O49" s="54" t="s">
        <v>192</v>
      </c>
      <c r="P49" s="54" t="s">
        <v>193</v>
      </c>
      <c r="Q49" s="54" t="s">
        <v>194</v>
      </c>
      <c r="R49" s="54" t="s">
        <v>195</v>
      </c>
    </row>
    <row r="50" spans="4:19" ht="20.100000000000001" customHeight="1" x14ac:dyDescent="0.25">
      <c r="D50" s="55">
        <f>'4.3.1.1-2 Methane'!D113</f>
        <v>12.134819014575548</v>
      </c>
      <c r="E50" s="55">
        <f>'4.3.1.1-2 Methane'!E113</f>
        <v>7.4188685375999972</v>
      </c>
      <c r="F50" s="55">
        <f>'4.3.1.1-2 Methane'!F113</f>
        <v>4.0231734662249998</v>
      </c>
      <c r="G50" s="55">
        <f>'4.3.1.1-2 Methane'!G113</f>
        <v>9.0270202499999979</v>
      </c>
      <c r="H50" s="55">
        <f>'4.3.1.1-2 Methane'!H113</f>
        <v>5.4143472656250013</v>
      </c>
      <c r="I50" s="2" t="str">
        <f>G42</f>
        <v>kgDM/head/day</v>
      </c>
      <c r="N50" s="55">
        <f>'4.3.1.1-2 Methane'!O113</f>
        <v>12.134819014575548</v>
      </c>
      <c r="O50" s="55">
        <f>'4.3.1.1-2 Methane'!P113</f>
        <v>7.4188685375999972</v>
      </c>
      <c r="P50" s="55">
        <f>'4.3.1.1-2 Methane'!Q113</f>
        <v>4.0231734662249998</v>
      </c>
      <c r="Q50" s="55">
        <f>'4.3.1.1-2 Methane'!R113</f>
        <v>9.0270202499999979</v>
      </c>
      <c r="R50" s="55">
        <f>'4.3.1.1-2 Methane'!S113</f>
        <v>5.4143472656250013</v>
      </c>
      <c r="S50" s="2" t="str">
        <f>'4.3.1.1-2 Methane'!T113</f>
        <v>kg DM/head/day</v>
      </c>
    </row>
    <row r="51" spans="4:19" ht="20.100000000000001" customHeight="1" x14ac:dyDescent="0.25"/>
    <row r="52" spans="4:19" ht="20.100000000000001" customHeight="1" x14ac:dyDescent="0.25">
      <c r="D52" s="104" t="s">
        <v>228</v>
      </c>
    </row>
    <row r="53" spans="4:19" ht="20.100000000000001" customHeight="1" x14ac:dyDescent="0.25">
      <c r="D53" s="103" t="s">
        <v>229</v>
      </c>
    </row>
    <row r="54" spans="4:19" ht="20.100000000000001" customHeight="1" x14ac:dyDescent="0.25">
      <c r="D54" s="54" t="s">
        <v>175</v>
      </c>
      <c r="E54" s="54" t="s">
        <v>192</v>
      </c>
      <c r="F54" s="54" t="s">
        <v>193</v>
      </c>
      <c r="G54" s="54" t="s">
        <v>194</v>
      </c>
      <c r="H54" s="54" t="s">
        <v>195</v>
      </c>
    </row>
    <row r="55" spans="4:19" ht="20.100000000000001" customHeight="1" x14ac:dyDescent="0.25">
      <c r="D55" s="55">
        <f>'Constants - Dairy'!$E$108</f>
        <v>1.1000000000000001</v>
      </c>
      <c r="E55" s="55">
        <f>'Constants - Dairy'!$E$109</f>
        <v>1</v>
      </c>
      <c r="F55" s="55">
        <f>'Constants - Dairy'!$E$109</f>
        <v>1</v>
      </c>
      <c r="G55" s="55">
        <f>'Constants - Dairy'!$E$109</f>
        <v>1</v>
      </c>
      <c r="H55" s="55">
        <f>'Constants - Dairy'!$E$109</f>
        <v>1</v>
      </c>
      <c r="I55" s="2" t="str">
        <f>G44</f>
        <v/>
      </c>
    </row>
    <row r="56" spans="4:19" ht="20.100000000000001" customHeight="1" x14ac:dyDescent="0.25"/>
    <row r="57" spans="4:19" ht="20.100000000000001" customHeight="1" x14ac:dyDescent="0.25">
      <c r="D57" s="104" t="s">
        <v>235</v>
      </c>
    </row>
    <row r="58" spans="4:19" ht="20.100000000000001" customHeight="1" x14ac:dyDescent="0.25">
      <c r="D58" s="103" t="s">
        <v>236</v>
      </c>
    </row>
    <row r="59" spans="4:19" ht="20.100000000000001" customHeight="1" x14ac:dyDescent="0.25">
      <c r="D59" s="54" t="s">
        <v>175</v>
      </c>
      <c r="E59" s="54" t="s">
        <v>192</v>
      </c>
      <c r="F59" s="54" t="s">
        <v>193</v>
      </c>
      <c r="G59" s="54" t="s">
        <v>194</v>
      </c>
      <c r="H59" s="54" t="s">
        <v>195</v>
      </c>
    </row>
    <row r="60" spans="4:19" ht="20.100000000000001" customHeight="1" x14ac:dyDescent="0.25">
      <c r="D60" s="55">
        <f>'4.3.1.1-2 Methane'!D78</f>
        <v>2.8803734938155463</v>
      </c>
      <c r="E60" s="55">
        <f>'4.3.1.1-2 Methane'!E78</f>
        <v>0</v>
      </c>
      <c r="F60" s="55">
        <f>'4.3.1.1-2 Methane'!F78</f>
        <v>0</v>
      </c>
      <c r="G60" s="55">
        <f>'4.3.1.1-2 Methane'!G78</f>
        <v>0</v>
      </c>
      <c r="H60" s="55">
        <f>'4.3.1.1-2 Methane'!H78</f>
        <v>0</v>
      </c>
      <c r="I60" s="2" t="str">
        <f>'4.3.1.1-2 Methane'!I78</f>
        <v>kg DM/head/day</v>
      </c>
    </row>
    <row r="61" spans="4:19" ht="20.100000000000001" customHeight="1" x14ac:dyDescent="0.25"/>
    <row r="62" spans="4:19" ht="20.100000000000001" customHeight="1" x14ac:dyDescent="0.25">
      <c r="D62" s="104" t="s">
        <v>291</v>
      </c>
      <c r="N62" s="104" t="s">
        <v>293</v>
      </c>
    </row>
    <row r="63" spans="4:19" ht="20.100000000000001" customHeight="1" x14ac:dyDescent="0.25">
      <c r="D63" s="103" t="s">
        <v>292</v>
      </c>
      <c r="N63" s="103" t="s">
        <v>294</v>
      </c>
    </row>
    <row r="64" spans="4:19" ht="20.100000000000001" customHeight="1" x14ac:dyDescent="0.25">
      <c r="D64" s="54" t="s">
        <v>175</v>
      </c>
      <c r="E64" s="54" t="s">
        <v>192</v>
      </c>
      <c r="F64" s="54" t="s">
        <v>193</v>
      </c>
      <c r="G64" s="54" t="s">
        <v>194</v>
      </c>
      <c r="H64" s="54" t="s">
        <v>195</v>
      </c>
      <c r="N64" s="54" t="s">
        <v>175</v>
      </c>
      <c r="O64" s="54" t="s">
        <v>192</v>
      </c>
      <c r="P64" s="54" t="s">
        <v>193</v>
      </c>
      <c r="Q64" s="54" t="s">
        <v>194</v>
      </c>
      <c r="R64" s="54" t="s">
        <v>195</v>
      </c>
    </row>
    <row r="65" spans="1:21" ht="20.100000000000001" customHeight="1" x14ac:dyDescent="0.25">
      <c r="D65" s="55" cm="1">
        <f t="array" ref="D65">MMS_Dairy_N2ODirect_Equations.VEERG_4_3_1_3__7_IntakeRelativeToMaintenance(D50,D19,D55,D60)</f>
        <v>1.0026550508187857</v>
      </c>
      <c r="E65" s="55" cm="1">
        <f t="array" ref="E65">MMS_Dairy_N2ODirect_Equations.VEERG_4_3_1_3__7_IntakeRelativeToMaintenance(E50,E19,E55,E60)</f>
        <v>1.1546862260954116</v>
      </c>
      <c r="F65" s="55" cm="1">
        <f t="array" ref="F65">MMS_Dairy_N2ODirect_Equations.VEERG_4_3_1_3__7_IntakeRelativeToMaintenance(F50,F19,F55,F60)</f>
        <v>1.206300296845944</v>
      </c>
      <c r="G65" s="55" cm="1">
        <f t="array" ref="G65">MMS_Dairy_N2ODirect_Equations.VEERG_4_3_1_3__7_IntakeRelativeToMaintenance(G50,G19,G55,G60)</f>
        <v>1.0213029780639273</v>
      </c>
      <c r="H65" s="55" cm="1">
        <f t="array" ref="H65">MMS_Dairy_N2ODirect_Equations.VEERG_4_3_1_3__7_IntakeRelativeToMaintenance(H50,H19,H55,H60)</f>
        <v>1.2576570545672616</v>
      </c>
      <c r="I65" s="2" t="str">
        <f>$E$40</f>
        <v>ratio</v>
      </c>
      <c r="N65" s="55" cm="1">
        <f t="array" ref="N65">MMS_Dairy_N2ODirect_Equations.VEERG_4_3_1_3__7_IntakeRelativeToMaintenance(N50,N19,D55,D60)</f>
        <v>1.0026550508187857</v>
      </c>
      <c r="O65" s="55" cm="1">
        <f t="array" ref="O65">MMS_Dairy_N2ODirect_Equations.VEERG_4_3_1_3__7_IntakeRelativeToMaintenance(O50,O19,E55,E60)</f>
        <v>1.1546862260954116</v>
      </c>
      <c r="P65" s="55" cm="1">
        <f t="array" ref="P65">MMS_Dairy_N2ODirect_Equations.VEERG_4_3_1_3__7_IntakeRelativeToMaintenance(P50,P19,F55,F60)</f>
        <v>1.206300296845944</v>
      </c>
      <c r="Q65" s="55" cm="1">
        <f t="array" ref="Q65">MMS_Dairy_N2ODirect_Equations.VEERG_4_3_1_3__7_IntakeRelativeToMaintenance(Q50,Q19,G55,G60)</f>
        <v>1.0213029780639273</v>
      </c>
      <c r="R65" s="55" cm="1">
        <f t="array" ref="R65">MMS_Dairy_N2ODirect_Equations.VEERG_4_3_1_3__7_IntakeRelativeToMaintenance(R50,R19,H55,H60)</f>
        <v>1.2576570545672616</v>
      </c>
      <c r="S65" s="2" t="str">
        <f>$E$40</f>
        <v>ratio</v>
      </c>
    </row>
    <row r="66" spans="1:21" ht="20.100000000000001" customHeight="1" x14ac:dyDescent="0.25"/>
    <row r="67" spans="1:21" ht="20.100000000000001" customHeight="1" x14ac:dyDescent="0.25">
      <c r="A67" s="141" t="str">
        <f>HYPERLINK("#A1", "▲ Back to top")</f>
        <v>▲ Back to top</v>
      </c>
    </row>
    <row r="68" spans="1:21" ht="20.100000000000001" customHeight="1" x14ac:dyDescent="0.25">
      <c r="C68" s="48"/>
      <c r="D68" s="48"/>
      <c r="E68" s="48"/>
      <c r="F68" s="48"/>
      <c r="G68" s="48"/>
      <c r="H68" s="48"/>
      <c r="I68" s="48"/>
      <c r="J68" s="48"/>
      <c r="K68" s="48"/>
      <c r="M68" s="48"/>
      <c r="N68" s="48"/>
      <c r="O68" s="48"/>
      <c r="P68" s="48"/>
      <c r="Q68" s="48"/>
      <c r="R68" s="48"/>
      <c r="S68" s="48"/>
      <c r="T68" s="48"/>
      <c r="U68" s="48"/>
    </row>
    <row r="69" spans="1:21" ht="20.100000000000001" customHeight="1" x14ac:dyDescent="0.25">
      <c r="D69" s="6" t="str" cm="1">
        <f t="array" ref="D69">MMS_Dairy_N2ODirect_Equations.VEERG_4_3_1_3__6_NitrogenRetainedByBody_Title()</f>
        <v>Amount of nitrogen retained by the body</v>
      </c>
    </row>
    <row r="70" spans="1:21" ht="20.100000000000001" customHeight="1" x14ac:dyDescent="0.25">
      <c r="D70" s="5" t="str" cm="1">
        <f t="array" ref="D70">MMS_Dairy_N2ODirect_Equations.VEERG_4_3_1_3__6_NitrogenRetainedByBody_Source()</f>
        <v>VEERG 2026: 4.3.1.3, Equation (6)</v>
      </c>
    </row>
    <row r="71" spans="1:21" ht="20.100000000000001" customHeight="1" x14ac:dyDescent="0.25">
      <c r="D71" s="58" t="str" cm="1">
        <f t="array" ref="D71">MMS_Dairy_N2ODirect_Equations.VEERG_4_3_1_3__6_NitrogenRetainedByBody_Variation()</f>
        <v>VARIATION ON SOURCE: Added check for milk production input unit and choose corresponding MP_j value accordingly.</v>
      </c>
    </row>
    <row r="72" spans="1:21" ht="20.100000000000001" customHeight="1" x14ac:dyDescent="0.25">
      <c r="D72" s="13" t="s">
        <v>28</v>
      </c>
      <c r="E72" s="13" t="str" cm="1">
        <f t="array" aca="1" ref="E72" ca="1">Common_InputFunctions.Utility_DisplayFunctionName(D103)</f>
        <v>=MMS_Dairy_N2ODirect_Equations.VEERG_4_3_1_3__6_NitrogenRetainedByBody</v>
      </c>
    </row>
    <row r="73" spans="1:21" ht="20.100000000000001" customHeight="1" x14ac:dyDescent="0.25"/>
    <row r="74" spans="1:21" ht="20.100000000000001" customHeight="1" x14ac:dyDescent="0.25"/>
    <row r="75" spans="1:21" ht="20.100000000000001" customHeight="1" x14ac:dyDescent="0.25">
      <c r="D75" s="56" t="s">
        <v>31</v>
      </c>
      <c r="E75" s="1" t="str" cm="1">
        <f t="array" ref="E75">MMS_Dairy_N2ODirect_Equations.VEERG_4_3_1_3__6_NitrogenRetainedByBody_Variable()</f>
        <v>NR_j</v>
      </c>
    </row>
    <row r="76" spans="1:21" ht="20.100000000000001" customHeight="1" x14ac:dyDescent="0.25">
      <c r="D76" s="56" t="s">
        <v>21</v>
      </c>
      <c r="E76" s="57" t="str" cm="1">
        <f t="array" ref="E76">MMS_Dairy_N2ODirect_Equations.VEERG_4_3_1_3__6_NitrogenRetainedByBody_Unit()</f>
        <v>kg N/head/day</v>
      </c>
    </row>
    <row r="77" spans="1:21" ht="20.100000000000001" customHeight="1" x14ac:dyDescent="0.25"/>
    <row r="78" spans="1:21" ht="20.100000000000001" customHeight="1" x14ac:dyDescent="0.25">
      <c r="D78" s="137" t="str" cm="1">
        <f t="array" ref="D78:E83">_xlfn.CHOOSECOLS(MMS_Dairy_N2ODirect_Equations.VEERG_4_3_1_3__6_NitrogenRetainedByBody_Arguments(),1,2)</f>
        <v>MPU</v>
      </c>
      <c r="E78" s="136" t="str">
        <v>input milk production unit</v>
      </c>
      <c r="F78" s="138"/>
      <c r="G78" s="137" t="str" cm="1">
        <f t="array" ref="G78:H83">_xlfn.CHOOSECOLS(MMS_Dairy_N2ODirect_Equations.VEERG_4_3_1_3__6_NitrogenRetainedByBody_Arguments(),3,4)</f>
        <v/>
      </c>
      <c r="H78" s="135" t="str">
        <v>Input</v>
      </c>
      <c r="I78" s="137" t="str">
        <f>'Input - Dairy'!$E$49</f>
        <v>Milk solids</v>
      </c>
    </row>
    <row r="79" spans="1:21" ht="20.100000000000001" customHeight="1" x14ac:dyDescent="0.25">
      <c r="D79" s="137" t="str">
        <v>MP_j</v>
      </c>
      <c r="E79" s="136" t="str">
        <v>milk production (if input as litres of milk)</v>
      </c>
      <c r="F79" s="138"/>
      <c r="G79" s="137" t="str">
        <v>L/head/day</v>
      </c>
      <c r="H79" s="135" t="str">
        <v>Input</v>
      </c>
      <c r="I79" s="134" t="str" cm="1">
        <f t="array" aca="1" ref="I79" ca="1">HYPERLINK(Common_InputFunctions.Utility_SourceHyperlink($D$90),$D$90)</f>
        <v>Table_MP_j</v>
      </c>
    </row>
    <row r="80" spans="1:21" ht="20.100000000000001" customHeight="1" x14ac:dyDescent="0.25">
      <c r="D80" s="137" t="str">
        <v>MP_j</v>
      </c>
      <c r="E80" s="136" t="str">
        <v>milk production (if input as milk solids)</v>
      </c>
      <c r="F80" s="138"/>
      <c r="G80" s="137" t="str">
        <v>L/head/day</v>
      </c>
      <c r="H80" s="133" t="str">
        <v>Calculated from 3.3.1.1 (5)</v>
      </c>
      <c r="I80" s="134" t="str" cm="1">
        <f t="array" aca="1" ref="I80" ca="1">HYPERLINK(Common_InputFunctions.Utility_SourceHyperlink($D$85),$D$85)</f>
        <v>M1_Table_MP_j_from_solids</v>
      </c>
    </row>
    <row r="81" spans="4:19" ht="20.100000000000001" customHeight="1" x14ac:dyDescent="0.25">
      <c r="D81" s="137" t="str">
        <v>L_j</v>
      </c>
      <c r="E81" s="136" t="str">
        <v>intake relative to maintenance</v>
      </c>
      <c r="F81" s="138"/>
      <c r="G81" s="137" t="str">
        <v/>
      </c>
      <c r="H81" s="133" t="str">
        <v>Calculated from 4.3.1.3 (7)</v>
      </c>
      <c r="I81" s="134" t="str" cm="1">
        <f t="array" aca="1" ref="I81" ca="1">HYPERLINK(Common_InputFunctions.Utility_SourceHyperlink($D$62),$D$62)</f>
        <v>M1_Table_L_j</v>
      </c>
    </row>
    <row r="82" spans="4:19" ht="20.100000000000001" customHeight="1" x14ac:dyDescent="0.25">
      <c r="D82" s="137" t="str">
        <v>Z_j</v>
      </c>
      <c r="E82" s="136" t="str">
        <v>relative size</v>
      </c>
      <c r="F82" s="138"/>
      <c r="G82" s="137" t="str">
        <v/>
      </c>
      <c r="H82" s="133" t="str">
        <v>Calculated from 4.3.1.3 (8)</v>
      </c>
      <c r="I82" s="134" t="str" cm="1">
        <f t="array" aca="1" ref="I82" ca="1">HYPERLINK(Common_InputFunctions.Utility_SourceHyperlink($D$26),$D$26)</f>
        <v>M1_Table_Z_j</v>
      </c>
    </row>
    <row r="83" spans="4:19" ht="20.100000000000001" customHeight="1" x14ac:dyDescent="0.25">
      <c r="D83" s="137" t="str">
        <v>LWG_j</v>
      </c>
      <c r="E83" s="136" t="str">
        <v>liveweight gain</v>
      </c>
      <c r="F83" s="138"/>
      <c r="G83" s="137" t="str">
        <v>kg/head/day</v>
      </c>
      <c r="H83" s="135" t="str">
        <v>Input</v>
      </c>
      <c r="I83" s="134" t="str" cm="1">
        <f t="array" aca="1" ref="I83" ca="1">HYPERLINK(Common_InputFunctions.Utility_SourceHyperlink($D$95),$D$95)</f>
        <v>M1_Table_LWG_j</v>
      </c>
    </row>
    <row r="84" spans="4:19" ht="20.100000000000001" customHeight="1" x14ac:dyDescent="0.25"/>
    <row r="85" spans="4:19" ht="20.100000000000001" customHeight="1" x14ac:dyDescent="0.25">
      <c r="D85" s="104" t="s">
        <v>459</v>
      </c>
      <c r="N85" s="104" t="s">
        <v>461</v>
      </c>
    </row>
    <row r="86" spans="4:19" ht="20.100000000000001" customHeight="1" x14ac:dyDescent="0.25">
      <c r="D86" s="103" t="s">
        <v>460</v>
      </c>
      <c r="N86" s="103" t="s">
        <v>462</v>
      </c>
    </row>
    <row r="87" spans="4:19" ht="20.100000000000001" customHeight="1" x14ac:dyDescent="0.25">
      <c r="D87" s="54" t="s">
        <v>175</v>
      </c>
      <c r="E87" s="54" t="s">
        <v>192</v>
      </c>
      <c r="F87" s="54" t="s">
        <v>193</v>
      </c>
      <c r="G87" s="54" t="s">
        <v>194</v>
      </c>
      <c r="H87" s="54" t="s">
        <v>195</v>
      </c>
      <c r="N87" s="54" t="s">
        <v>175</v>
      </c>
      <c r="O87" s="54" t="s">
        <v>192</v>
      </c>
      <c r="P87" s="54" t="s">
        <v>193</v>
      </c>
      <c r="Q87" s="54" t="s">
        <v>194</v>
      </c>
      <c r="R87" s="54" t="s">
        <v>195</v>
      </c>
    </row>
    <row r="88" spans="4:19" ht="20.100000000000001" customHeight="1" x14ac:dyDescent="0.25">
      <c r="D88" s="55">
        <f>'4.3.1.1-2 Methane'!D49</f>
        <v>602.73972602739718</v>
      </c>
      <c r="E88" s="55">
        <v>0</v>
      </c>
      <c r="F88" s="55">
        <v>0</v>
      </c>
      <c r="G88" s="55">
        <v>0</v>
      </c>
      <c r="H88" s="55">
        <v>0</v>
      </c>
      <c r="I88" s="2" t="str">
        <f>$G$80</f>
        <v>L/head/day</v>
      </c>
      <c r="N88" s="55">
        <f>'4.3.1.1-2 Methane'!O49</f>
        <v>602.73972602739718</v>
      </c>
      <c r="O88" s="55">
        <v>0</v>
      </c>
      <c r="P88" s="55">
        <v>0</v>
      </c>
      <c r="Q88" s="55">
        <v>0</v>
      </c>
      <c r="R88" s="55">
        <v>0</v>
      </c>
      <c r="S88" s="2" t="str">
        <f>$G$80</f>
        <v>L/head/day</v>
      </c>
    </row>
    <row r="89" spans="4:19" ht="20.100000000000001" customHeight="1" x14ac:dyDescent="0.25"/>
    <row r="90" spans="4:19" ht="20.100000000000001" customHeight="1" x14ac:dyDescent="0.25">
      <c r="D90" s="104" t="s">
        <v>240</v>
      </c>
    </row>
    <row r="91" spans="4:19" ht="20.100000000000001" customHeight="1" x14ac:dyDescent="0.25">
      <c r="D91" s="103" t="s">
        <v>199</v>
      </c>
    </row>
    <row r="92" spans="4:19" ht="20.100000000000001" customHeight="1" x14ac:dyDescent="0.25">
      <c r="D92" s="41" t="s">
        <v>175</v>
      </c>
      <c r="E92" s="41" t="s">
        <v>192</v>
      </c>
      <c r="F92" s="41" t="s">
        <v>193</v>
      </c>
      <c r="G92" s="41" t="s">
        <v>194</v>
      </c>
      <c r="H92" s="41" t="s">
        <v>195</v>
      </c>
    </row>
    <row r="93" spans="4:19" ht="20.100000000000001" customHeight="1" x14ac:dyDescent="0.25">
      <c r="D93" s="55">
        <f>'4.3.1.1-2 Methane'!D73</f>
        <v>0</v>
      </c>
      <c r="E93" s="55">
        <v>0</v>
      </c>
      <c r="F93" s="55">
        <v>0</v>
      </c>
      <c r="G93" s="55">
        <v>0</v>
      </c>
      <c r="H93" s="55">
        <v>0</v>
      </c>
      <c r="I93" s="2" t="str">
        <f>$G$79</f>
        <v>L/head/day</v>
      </c>
    </row>
    <row r="94" spans="4:19" ht="20.100000000000001" customHeight="1" x14ac:dyDescent="0.25"/>
    <row r="95" spans="4:19" ht="20.100000000000001" customHeight="1" x14ac:dyDescent="0.25">
      <c r="D95" s="104" t="s">
        <v>224</v>
      </c>
      <c r="N95" s="104" t="s">
        <v>226</v>
      </c>
    </row>
    <row r="96" spans="4:19" ht="20.100000000000001" customHeight="1" x14ac:dyDescent="0.25">
      <c r="D96" s="103" t="s">
        <v>225</v>
      </c>
      <c r="N96" s="103" t="s">
        <v>227</v>
      </c>
    </row>
    <row r="97" spans="1:21" ht="20.100000000000001" customHeight="1" x14ac:dyDescent="0.25">
      <c r="D97" s="41" t="s">
        <v>175</v>
      </c>
      <c r="E97" s="41" t="s">
        <v>192</v>
      </c>
      <c r="F97" s="41" t="s">
        <v>193</v>
      </c>
      <c r="G97" s="41" t="s">
        <v>194</v>
      </c>
      <c r="H97" s="41" t="s">
        <v>195</v>
      </c>
      <c r="N97" s="41" t="s">
        <v>175</v>
      </c>
      <c r="O97" s="41" t="s">
        <v>192</v>
      </c>
      <c r="P97" s="41" t="s">
        <v>193</v>
      </c>
      <c r="Q97" s="41" t="s">
        <v>194</v>
      </c>
      <c r="R97" s="41" t="s">
        <v>195</v>
      </c>
    </row>
    <row r="98" spans="1:21" ht="20.100000000000001" customHeight="1" x14ac:dyDescent="0.25">
      <c r="A98" s="141" t="str">
        <f>HYPERLINK("#A1", "▲ Back to top")</f>
        <v>▲ Back to top</v>
      </c>
      <c r="D98" s="55">
        <f>'Input - Dairy'!$E$15</f>
        <v>1.6E-2</v>
      </c>
      <c r="E98" s="55">
        <f>'Input - Dairy'!$F$15</f>
        <v>0.6</v>
      </c>
      <c r="F98" s="55">
        <f>'Input - Dairy'!$G$15</f>
        <v>0.56999999999999995</v>
      </c>
      <c r="G98" s="55">
        <f>'Input - Dairy'!$H$15</f>
        <v>0.1</v>
      </c>
      <c r="H98" s="55">
        <f>'Input - Dairy'!$I$15</f>
        <v>0.8</v>
      </c>
      <c r="I98" s="2" t="str">
        <f>$G$83</f>
        <v>kg/head/day</v>
      </c>
      <c r="N98" s="55">
        <f>'Input - Dairy'!$E$19</f>
        <v>1.6E-2</v>
      </c>
      <c r="O98" s="55">
        <f>'Input - Dairy'!$F$19</f>
        <v>0.6</v>
      </c>
      <c r="P98" s="55">
        <f>'Input - Dairy'!$G$19</f>
        <v>0.56999999999999995</v>
      </c>
      <c r="Q98" s="55">
        <f>'Input - Dairy'!$H$19</f>
        <v>0.1</v>
      </c>
      <c r="R98" s="55">
        <f>'Input - Dairy'!$I$19</f>
        <v>0.8</v>
      </c>
      <c r="S98" s="2" t="str">
        <f>$G$83</f>
        <v>kg/head/day</v>
      </c>
    </row>
    <row r="99" spans="1:21" ht="20.100000000000001" customHeight="1" x14ac:dyDescent="0.25"/>
    <row r="100" spans="1:21" ht="20.100000000000001" customHeight="1" x14ac:dyDescent="0.25">
      <c r="D100" s="104" t="s">
        <v>117</v>
      </c>
      <c r="N100" s="104" t="s">
        <v>118</v>
      </c>
    </row>
    <row r="101" spans="1:21" ht="20.100000000000001" customHeight="1" x14ac:dyDescent="0.25">
      <c r="D101" s="103" t="s">
        <v>295</v>
      </c>
      <c r="N101" s="103" t="s">
        <v>296</v>
      </c>
    </row>
    <row r="102" spans="1:21" ht="20.100000000000001" customHeight="1" x14ac:dyDescent="0.25">
      <c r="D102" s="54" t="s">
        <v>175</v>
      </c>
      <c r="E102" s="54" t="s">
        <v>192</v>
      </c>
      <c r="F102" s="54" t="s">
        <v>193</v>
      </c>
      <c r="G102" s="54" t="s">
        <v>194</v>
      </c>
      <c r="H102" s="54" t="s">
        <v>195</v>
      </c>
      <c r="N102" s="54" t="s">
        <v>175</v>
      </c>
      <c r="O102" s="54" t="s">
        <v>192</v>
      </c>
      <c r="P102" s="54" t="s">
        <v>193</v>
      </c>
      <c r="Q102" s="54" t="s">
        <v>194</v>
      </c>
      <c r="R102" s="54" t="s">
        <v>195</v>
      </c>
    </row>
    <row r="103" spans="1:21" ht="20.100000000000001" customHeight="1" x14ac:dyDescent="0.25">
      <c r="D103" s="55" cm="1">
        <f t="array" ref="D103">MMS_Dairy_N2ODirect_Equations.VEERG_4_3_1_3__6_NitrogenRetainedByBody(IF($I$78="Milk solids", D88, D93),D65,D29,D98)</f>
        <v>0.4983977680340308</v>
      </c>
      <c r="E103" s="55" cm="1">
        <f t="array" ref="E103">MMS_Dairy_N2ODirect_Equations.VEERG_4_3_1_3__6_NitrogenRetainedByBody(IF($I$78="Milk solids", E88, E93),E65,E29,E98)</f>
        <v>8.7932411900846184E-3</v>
      </c>
      <c r="F103" s="55" cm="1">
        <f t="array" ref="F103">MMS_Dairy_N2ODirect_Equations.VEERG_4_3_1_3__6_NitrogenRetainedByBody(IF($I$78="Milk solids", F88, F93),F65,F29,F98)</f>
        <v>1.4575548166167214E-2</v>
      </c>
      <c r="G103" s="55" cm="1">
        <f t="array" ref="G103">MMS_Dairy_N2ODirect_Equations.VEERG_4_3_1_3__6_NitrogenRetainedByBody(IF($I$78="Milk solids", G88, G93),G65,G29,G98)</f>
        <v>1.2626203146474683E-3</v>
      </c>
      <c r="H103" s="55" cm="1">
        <f t="array" ref="H103">MMS_Dairy_N2ODirect_Equations.VEERG_4_3_1_3__6_NitrogenRetainedByBody(IF($I$78="Milk solids", H88, H93),H65,H29,H98)</f>
        <v>1.9757354894894087E-2</v>
      </c>
      <c r="I103" s="2" t="str">
        <f>$E$76</f>
        <v>kg N/head/day</v>
      </c>
      <c r="N103" s="55" cm="1">
        <f t="array" ref="N103">MMS_Dairy_N2ODirect_Equations.VEERG_4_3_1_3__6_NitrogenRetainedByBody(IF($I$78="Milk solids",N88,D93),N65,N29,N98)</f>
        <v>0.4983977680340308</v>
      </c>
      <c r="O103" s="55" cm="1">
        <f t="array" ref="O103">MMS_Dairy_N2ODirect_Equations.VEERG_4_3_1_3__6_NitrogenRetainedByBody(IF($I$78="Milk solids",O88,E93),O65,O29,O98)</f>
        <v>8.7932411900846184E-3</v>
      </c>
      <c r="P103" s="55" cm="1">
        <f t="array" ref="P103">MMS_Dairy_N2ODirect_Equations.VEERG_4_3_1_3__6_NitrogenRetainedByBody(IF($I$78="Milk solids",P88,F93),P65,P29,P98)</f>
        <v>1.4575548166167214E-2</v>
      </c>
      <c r="Q103" s="55" cm="1">
        <f t="array" ref="Q103">MMS_Dairy_N2ODirect_Equations.VEERG_4_3_1_3__6_NitrogenRetainedByBody(IF($I$78="Milk solids",Q88,G93),Q65,Q29,Q98)</f>
        <v>1.2626203146474683E-3</v>
      </c>
      <c r="R103" s="55" cm="1">
        <f t="array" ref="R103">MMS_Dairy_N2ODirect_Equations.VEERG_4_3_1_3__6_NitrogenRetainedByBody(IF($I$78="Milk solids",R88,H93),R65,R29,R98)</f>
        <v>1.9757354894894087E-2</v>
      </c>
      <c r="S103" s="2" t="str">
        <f>$E$76</f>
        <v>kg N/head/day</v>
      </c>
    </row>
    <row r="104" spans="1:21" ht="20.100000000000001" customHeight="1" x14ac:dyDescent="0.25"/>
    <row r="105" spans="1:21" ht="20.100000000000001" customHeight="1" x14ac:dyDescent="0.25"/>
    <row r="106" spans="1:21" ht="20.100000000000001" customHeight="1" x14ac:dyDescent="0.25">
      <c r="C106" s="48"/>
      <c r="D106" s="48"/>
      <c r="E106" s="48"/>
      <c r="F106" s="48"/>
      <c r="G106" s="48"/>
      <c r="H106" s="48"/>
      <c r="I106" s="48"/>
      <c r="J106" s="48"/>
      <c r="K106" s="48"/>
      <c r="M106" s="48"/>
      <c r="N106" s="48"/>
      <c r="O106" s="48"/>
      <c r="P106" s="48"/>
      <c r="Q106" s="48"/>
      <c r="R106" s="48"/>
      <c r="S106" s="48"/>
      <c r="T106" s="48"/>
      <c r="U106" s="48"/>
    </row>
    <row r="107" spans="1:21" ht="20.100000000000001" customHeight="1" x14ac:dyDescent="0.25">
      <c r="D107" s="6" t="str" cm="1">
        <f t="array" ref="D107">MMS_Dairy_N2ODirect_Equations.VEERG_4_3_1_3__5_CrudeProteinIntakeOfDairyCattle_Title()</f>
        <v>Crude protein intake of dairy cattle</v>
      </c>
    </row>
    <row r="108" spans="1:21" ht="20.100000000000001" customHeight="1" x14ac:dyDescent="0.25">
      <c r="D108" s="5" t="str" cm="1">
        <f t="array" ref="D108">MMS_Dairy_N2ODirect_Equations.VEERG_4_3_1_3__5_CrudeProteinIntakeOfDairyCattle_Source()</f>
        <v>VEERG 2026: 4.3.1.3, Equation (5)</v>
      </c>
    </row>
    <row r="109" spans="1:21" ht="20.100000000000001" customHeight="1" x14ac:dyDescent="0.25">
      <c r="D109" s="13" t="s">
        <v>28</v>
      </c>
      <c r="E109" s="13" t="str" cm="1">
        <f t="array" aca="1" ref="E109" ca="1">Common_InputFunctions.Utility_DisplayFunctionName(D126)</f>
        <v>=MMS_Dairy_N2ODirect_Equations.VEERG_4_3_1_3__5_CrudeProteinIntakeOfDairyCattle</v>
      </c>
    </row>
    <row r="110" spans="1:21" ht="20.100000000000001" customHeight="1" x14ac:dyDescent="0.25"/>
    <row r="111" spans="1:21" ht="20.100000000000001" customHeight="1" x14ac:dyDescent="0.25">
      <c r="D111" s="6"/>
    </row>
    <row r="112" spans="1:21" ht="20.100000000000001" customHeight="1" x14ac:dyDescent="0.25">
      <c r="D112" s="56" t="s">
        <v>31</v>
      </c>
      <c r="E112" s="1" t="str" cm="1">
        <f t="array" ref="E112">MMS_Dairy_N2ODirect_Equations.VEERG_4_3_1_3__5_CrudeProteinIntakeOfDairyCattle_Variable()</f>
        <v>CPI_j</v>
      </c>
    </row>
    <row r="113" spans="1:19" ht="20.100000000000001" customHeight="1" x14ac:dyDescent="0.25">
      <c r="D113" s="56" t="s">
        <v>21</v>
      </c>
      <c r="E113" s="57" t="str" cm="1">
        <f t="array" ref="E113">MMS_Dairy_N2ODirect_Equations.VEERG_4_3_1_3__5_CrudeProteinIntakeOfDairyCattle_Unit()</f>
        <v>kg/head/day</v>
      </c>
    </row>
    <row r="114" spans="1:19" ht="20.100000000000001" customHeight="1" x14ac:dyDescent="0.25"/>
    <row r="115" spans="1:19" ht="20.100000000000001" customHeight="1" x14ac:dyDescent="0.25">
      <c r="D115" s="137" t="str" cm="1">
        <f t="array" ref="D115:G116">MMS_Dairy_N2ODirect_Equations.VEERG_4_3_1_3__5_CrudeProteinIntakeOfDairyCattle_Arguments()</f>
        <v>I_j</v>
      </c>
      <c r="E115" s="137" t="str">
        <v>dry matter intake</v>
      </c>
      <c r="F115" s="137" t="str">
        <v>kgDM/head/day</v>
      </c>
      <c r="G115" s="133" t="str">
        <v>Calculated from 3.3.1.1 (3)</v>
      </c>
      <c r="H115" s="134" t="str" cm="1">
        <f t="array" aca="1" ref="H115" ca="1">HYPERLINK(Common_InputFunctions.Utility_SourceHyperlink($D$47),$D$47)</f>
        <v>M1_Table_I_j</v>
      </c>
    </row>
    <row r="116" spans="1:19" ht="20.100000000000001" customHeight="1" x14ac:dyDescent="0.25">
      <c r="D116" s="137" t="str">
        <v>CP_j</v>
      </c>
      <c r="E116" s="137" t="str">
        <v>crude protein content of feed intake</v>
      </c>
      <c r="F116" s="137" t="str">
        <v>fraction</v>
      </c>
      <c r="G116" s="135" t="str">
        <v>Input</v>
      </c>
      <c r="H116" s="134" t="str" cm="1">
        <f t="array" aca="1" ref="H116" ca="1">HYPERLINK(Common_InputFunctions.Utility_SourceHyperlink($D$118),$D$118)</f>
        <v>M1_Table_CP_j</v>
      </c>
    </row>
    <row r="117" spans="1:19" ht="20.100000000000001" customHeight="1" x14ac:dyDescent="0.25"/>
    <row r="118" spans="1:19" ht="20.100000000000001" customHeight="1" x14ac:dyDescent="0.25">
      <c r="D118" s="104" t="s">
        <v>115</v>
      </c>
      <c r="N118" s="104" t="s">
        <v>115</v>
      </c>
    </row>
    <row r="119" spans="1:19" ht="20.100000000000001" customHeight="1" x14ac:dyDescent="0.25">
      <c r="D119" s="103" t="s">
        <v>297</v>
      </c>
      <c r="N119" s="103" t="s">
        <v>297</v>
      </c>
    </row>
    <row r="120" spans="1:19" ht="20.100000000000001" customHeight="1" x14ac:dyDescent="0.25">
      <c r="D120" s="41" t="s">
        <v>175</v>
      </c>
      <c r="E120" s="41" t="s">
        <v>192</v>
      </c>
      <c r="F120" s="41" t="s">
        <v>193</v>
      </c>
      <c r="G120" s="41" t="s">
        <v>194</v>
      </c>
      <c r="H120" s="41" t="s">
        <v>195</v>
      </c>
      <c r="N120" s="41" t="s">
        <v>175</v>
      </c>
      <c r="O120" s="41" t="s">
        <v>192</v>
      </c>
      <c r="P120" s="41" t="s">
        <v>193</v>
      </c>
      <c r="Q120" s="41" t="s">
        <v>194</v>
      </c>
      <c r="R120" s="41" t="s">
        <v>195</v>
      </c>
    </row>
    <row r="121" spans="1:19" ht="20.100000000000001" customHeight="1" x14ac:dyDescent="0.25">
      <c r="A121" s="141" t="str">
        <f>HYPERLINK("#A1", "▲ Back to top")</f>
        <v>▲ Back to top</v>
      </c>
      <c r="D121" s="55">
        <f>'Input - Dairy'!E38</f>
        <v>0.2</v>
      </c>
      <c r="E121" s="55">
        <f>'Input - Dairy'!F38</f>
        <v>0.2</v>
      </c>
      <c r="F121" s="55">
        <f>'Input - Dairy'!G38</f>
        <v>0.2</v>
      </c>
      <c r="G121" s="55">
        <f>'Input - Dairy'!H38</f>
        <v>0.2</v>
      </c>
      <c r="H121" s="55">
        <f>'Input - Dairy'!I38</f>
        <v>0.2</v>
      </c>
      <c r="I121" s="2" t="str">
        <f>$F$116</f>
        <v>fraction</v>
      </c>
      <c r="N121" s="55">
        <f>'Input - Dairy'!E43</f>
        <v>0.2</v>
      </c>
      <c r="O121" s="55">
        <f>'Input - Dairy'!F43</f>
        <v>0.2</v>
      </c>
      <c r="P121" s="55">
        <f>'Input - Dairy'!G43</f>
        <v>0.2</v>
      </c>
      <c r="Q121" s="55">
        <f>'Input - Dairy'!H43</f>
        <v>0.2</v>
      </c>
      <c r="R121" s="55">
        <f>'Input - Dairy'!I43</f>
        <v>0.2</v>
      </c>
      <c r="S121" s="2" t="str">
        <f>$F$116</f>
        <v>fraction</v>
      </c>
    </row>
    <row r="122" spans="1:19" ht="20.100000000000001" customHeight="1" x14ac:dyDescent="0.25"/>
    <row r="123" spans="1:19" ht="20.100000000000001" customHeight="1" x14ac:dyDescent="0.25">
      <c r="D123" s="104" t="s">
        <v>298</v>
      </c>
      <c r="N123" s="104" t="s">
        <v>298</v>
      </c>
    </row>
    <row r="124" spans="1:19" ht="20.100000000000001" customHeight="1" x14ac:dyDescent="0.25">
      <c r="D124" s="103" t="s">
        <v>299</v>
      </c>
      <c r="N124" s="103" t="s">
        <v>299</v>
      </c>
    </row>
    <row r="125" spans="1:19" ht="20.100000000000001" customHeight="1" x14ac:dyDescent="0.25">
      <c r="D125" s="54" t="s">
        <v>175</v>
      </c>
      <c r="E125" s="54" t="s">
        <v>192</v>
      </c>
      <c r="F125" s="54" t="s">
        <v>193</v>
      </c>
      <c r="G125" s="54" t="s">
        <v>194</v>
      </c>
      <c r="H125" s="54" t="s">
        <v>195</v>
      </c>
      <c r="N125" s="54" t="s">
        <v>175</v>
      </c>
      <c r="O125" s="54" t="s">
        <v>192</v>
      </c>
      <c r="P125" s="54" t="s">
        <v>193</v>
      </c>
      <c r="Q125" s="54" t="s">
        <v>194</v>
      </c>
      <c r="R125" s="54" t="s">
        <v>195</v>
      </c>
    </row>
    <row r="126" spans="1:19" ht="20.100000000000001" customHeight="1" x14ac:dyDescent="0.25">
      <c r="D126" s="55" cm="1">
        <f t="array" ref="D126">MMS_Dairy_N2ODirect_Equations.VEERG_4_3_1_3__5_CrudeProteinIntakeOfDairyCattle(D50,D121)</f>
        <v>2.4269638029151097</v>
      </c>
      <c r="E126" s="55" cm="1">
        <f t="array" ref="E126">MMS_Dairy_N2ODirect_Equations.VEERG_4_3_1_3__5_CrudeProteinIntakeOfDairyCattle(E50,E121)</f>
        <v>1.4837737075199995</v>
      </c>
      <c r="F126" s="55" cm="1">
        <f t="array" ref="F126">MMS_Dairy_N2ODirect_Equations.VEERG_4_3_1_3__5_CrudeProteinIntakeOfDairyCattle(F50,F121)</f>
        <v>0.80463469324500003</v>
      </c>
      <c r="G126" s="55" cm="1">
        <f t="array" ref="G126">MMS_Dairy_N2ODirect_Equations.VEERG_4_3_1_3__5_CrudeProteinIntakeOfDairyCattle(G50,G121)</f>
        <v>1.8054040499999997</v>
      </c>
      <c r="H126" s="55" cm="1">
        <f t="array" ref="H126">MMS_Dairy_N2ODirect_Equations.VEERG_4_3_1_3__5_CrudeProteinIntakeOfDairyCattle(H50,H121)</f>
        <v>1.0828694531250003</v>
      </c>
      <c r="I126" s="2" t="str">
        <f>$E$113</f>
        <v>kg/head/day</v>
      </c>
      <c r="N126" s="55" cm="1">
        <f t="array" ref="N126">MMS_Dairy_N2ODirect_Equations.VEERG_4_3_1_3__5_CrudeProteinIntakeOfDairyCattle(N50,N121)</f>
        <v>2.4269638029151097</v>
      </c>
      <c r="O126" s="55" cm="1">
        <f t="array" ref="O126">MMS_Dairy_N2ODirect_Equations.VEERG_4_3_1_3__5_CrudeProteinIntakeOfDairyCattle(O50,O121)</f>
        <v>1.4837737075199995</v>
      </c>
      <c r="P126" s="55" cm="1">
        <f t="array" ref="P126">MMS_Dairy_N2ODirect_Equations.VEERG_4_3_1_3__5_CrudeProteinIntakeOfDairyCattle(P50,P121)</f>
        <v>0.80463469324500003</v>
      </c>
      <c r="Q126" s="55" cm="1">
        <f t="array" ref="Q126">MMS_Dairy_N2ODirect_Equations.VEERG_4_3_1_3__5_CrudeProteinIntakeOfDairyCattle(Q50,Q121)</f>
        <v>1.8054040499999997</v>
      </c>
      <c r="R126" s="55" cm="1">
        <f t="array" ref="R126">MMS_Dairy_N2ODirect_Equations.VEERG_4_3_1_3__5_CrudeProteinIntakeOfDairyCattle(R50,R121)</f>
        <v>1.0828694531250003</v>
      </c>
      <c r="S126" s="2" t="str">
        <f>$E$113</f>
        <v>kg/head/day</v>
      </c>
    </row>
    <row r="127" spans="1:19" ht="20.100000000000001" customHeight="1" x14ac:dyDescent="0.25"/>
    <row r="128" spans="1:19" ht="20.100000000000001" customHeight="1" x14ac:dyDescent="0.25"/>
    <row r="129" spans="1:21" ht="20.100000000000001" customHeight="1" x14ac:dyDescent="0.25">
      <c r="C129" s="48"/>
      <c r="D129" s="48"/>
      <c r="E129" s="48"/>
      <c r="F129" s="48"/>
      <c r="G129" s="48"/>
      <c r="H129" s="48"/>
      <c r="I129" s="48"/>
      <c r="J129" s="48"/>
      <c r="K129" s="48"/>
      <c r="M129" s="48"/>
      <c r="N129" s="48"/>
      <c r="O129" s="48"/>
      <c r="P129" s="48"/>
      <c r="Q129" s="48"/>
      <c r="R129" s="48"/>
      <c r="S129" s="48"/>
      <c r="T129" s="48"/>
      <c r="U129" s="48"/>
    </row>
    <row r="130" spans="1:21" ht="20.100000000000001" customHeight="1" x14ac:dyDescent="0.25">
      <c r="D130" s="6" t="str" cm="1">
        <f t="array" ref="D130">MMS_Dairy_N2ODirect_Equations.VEERG_4_3_1_3__4_NitrogenExcretedByDairyCattleGreaterThanOneYear_Title()</f>
        <v>Nitrogen excreted by dairy cattle greater than one year old</v>
      </c>
    </row>
    <row r="131" spans="1:21" ht="20.100000000000001" customHeight="1" x14ac:dyDescent="0.25">
      <c r="D131" s="5" t="str" cm="1">
        <f t="array" ref="D131">MMS_Dairy_N2ODirect_Equations.VEERG_4_3_1_3__4_NitrogenExcretedByDairyCattleGreaterThanOneYear_Source()</f>
        <v>VEERG 2026: 4.3.1.3, Equation (4)</v>
      </c>
    </row>
    <row r="132" spans="1:21" ht="20.100000000000001" customHeight="1" x14ac:dyDescent="0.25">
      <c r="D132" s="13" t="s">
        <v>28</v>
      </c>
      <c r="E132" s="13" t="str" cm="1">
        <f t="array" aca="1" ref="E132" ca="1">Common_InputFunctions.Utility_DisplayFunctionName(D146)</f>
        <v>=MMS_Dairy_N2ODirect_Equations.VEERG_4_3_1_3__4_NitrogenExcretedByDairyCattleGreaterThanOneYear</v>
      </c>
    </row>
    <row r="133" spans="1:21" ht="20.100000000000001" customHeight="1" x14ac:dyDescent="0.25"/>
    <row r="134" spans="1:21" ht="20.100000000000001" customHeight="1" x14ac:dyDescent="0.25">
      <c r="D134" s="6"/>
    </row>
    <row r="135" spans="1:21" ht="20.100000000000001" customHeight="1" x14ac:dyDescent="0.25"/>
    <row r="136" spans="1:21" ht="20.100000000000001" customHeight="1" x14ac:dyDescent="0.25">
      <c r="D136" s="56" t="s">
        <v>31</v>
      </c>
      <c r="E136" s="1" t="str" cm="1">
        <f t="array" ref="E136">MMS_Dairy_N2ODirect_Equations.VEERG_4_3_1_3__4_NitrogenExcretedByDairyCattleGreaterThanOneYear_Variable()</f>
        <v>NE_j</v>
      </c>
    </row>
    <row r="137" spans="1:21" ht="20.100000000000001" customHeight="1" x14ac:dyDescent="0.25">
      <c r="D137" s="56" t="s">
        <v>21</v>
      </c>
      <c r="E137" s="57" t="str" cm="1">
        <f t="array" ref="E137">MMS_Dairy_N2ODirect_Equations.VEERG_4_3_1_3__4_NitrogenExcretedByDairyCattleGreaterThanOneYear_Unit()</f>
        <v>kg N/head/day</v>
      </c>
    </row>
    <row r="138" spans="1:21" ht="20.100000000000001" customHeight="1" x14ac:dyDescent="0.25"/>
    <row r="139" spans="1:21" ht="20.100000000000001" customHeight="1" x14ac:dyDescent="0.25">
      <c r="D139" s="137" t="str" cm="1">
        <f t="array" ref="D139:E141">_xlfn.CHOOSECOLS(MMS_Dairy_N2ODirect_Equations.VEERG_4_3_1_3__4_NitrogenExcretedByDairyCattleGreaterThanOneYear_Arguments(),1,2)</f>
        <v>CPI_j</v>
      </c>
      <c r="E139" s="136" t="str">
        <v>crude protein intake (kg/head/day)</v>
      </c>
      <c r="F139" s="138"/>
      <c r="G139" s="137" t="str" cm="1">
        <f t="array" ref="G139:H141">_xlfn.CHOOSECOLS(MMS_Dairy_N2ODirect_Equations.VEERG_4_3_1_3__4_NitrogenExcretedByDairyCattleGreaterThanOneYear_Arguments(),3,4)</f>
        <v>kg/head/day</v>
      </c>
      <c r="H139" s="133" t="str">
        <v>Calculated from 4.3.1.3 (5)</v>
      </c>
      <c r="I139" s="134" t="str" cm="1">
        <f t="array" aca="1" ref="I139" ca="1">HYPERLINK(Common_InputFunctions.Utility_SourceHyperlink($D$123),$D$123)</f>
        <v>M1_Table_CPI_j</v>
      </c>
    </row>
    <row r="140" spans="1:21" ht="20.100000000000001" customHeight="1" x14ac:dyDescent="0.25">
      <c r="D140" s="137" t="str">
        <v>NR_j</v>
      </c>
      <c r="E140" s="136" t="str">
        <v>amount of nitrogen retained by the body</v>
      </c>
      <c r="F140" s="138"/>
      <c r="G140" s="137" t="str">
        <v>kg N/head/day</v>
      </c>
      <c r="H140" s="133" t="str">
        <v>Calculated from 4.3.1.3 (6)</v>
      </c>
      <c r="I140" s="134" t="str" cm="1">
        <f t="array" aca="1" ref="I140" ca="1">HYPERLINK(Common_InputFunctions.Utility_SourceHyperlink($D$100),$D$100)</f>
        <v>M1_Table_NR_j</v>
      </c>
    </row>
    <row r="141" spans="1:21" ht="20.100000000000001" customHeight="1" x14ac:dyDescent="0.25">
      <c r="A141" s="141" t="str">
        <f>HYPERLINK("#A1", "▲ Back to top")</f>
        <v>▲ Back to top</v>
      </c>
      <c r="D141" s="137" t="str">
        <v>W_j</v>
      </c>
      <c r="E141" s="136" t="str">
        <v>liveweight (kg)</v>
      </c>
      <c r="F141" s="138"/>
      <c r="G141" s="137" t="str">
        <v>kg</v>
      </c>
      <c r="H141" s="135" t="str">
        <v>Input</v>
      </c>
      <c r="I141" s="134" t="str" cm="1">
        <f t="array" aca="1" ref="I141" ca="1">HYPERLINK(Common_InputFunctions.Utility_SourceHyperlink($D$16),$D$16)</f>
        <v>M1_Table_W_j</v>
      </c>
    </row>
    <row r="142" spans="1:21" ht="20.100000000000001" customHeight="1" x14ac:dyDescent="0.25"/>
    <row r="143" spans="1:21" ht="20.100000000000001" customHeight="1" x14ac:dyDescent="0.25">
      <c r="D143" s="104" t="s">
        <v>119</v>
      </c>
      <c r="N143" s="104" t="s">
        <v>120</v>
      </c>
    </row>
    <row r="144" spans="1:21" ht="20.100000000000001" customHeight="1" x14ac:dyDescent="0.25">
      <c r="D144" s="103" t="s">
        <v>300</v>
      </c>
      <c r="N144" s="103" t="s">
        <v>301</v>
      </c>
    </row>
    <row r="145" spans="3:21" ht="20.100000000000001" customHeight="1" x14ac:dyDescent="0.25">
      <c r="D145" s="54" t="s">
        <v>175</v>
      </c>
      <c r="E145" s="54" t="s">
        <v>192</v>
      </c>
      <c r="F145" s="54" t="s">
        <v>193</v>
      </c>
      <c r="G145" s="54" t="s">
        <v>194</v>
      </c>
      <c r="H145" s="54" t="s">
        <v>195</v>
      </c>
      <c r="N145" s="54" t="s">
        <v>175</v>
      </c>
      <c r="O145" s="54" t="s">
        <v>192</v>
      </c>
      <c r="P145" s="54" t="s">
        <v>193</v>
      </c>
      <c r="Q145" s="54" t="s">
        <v>194</v>
      </c>
      <c r="R145" s="54" t="s">
        <v>195</v>
      </c>
    </row>
    <row r="146" spans="3:21" ht="20.100000000000001" customHeight="1" x14ac:dyDescent="0.25">
      <c r="D146" s="55" cm="1">
        <f t="array" ref="D146">MMS_Dairy_N2ODirect_Equations.VEERG_4_3_1_3__4_NitrogenExcretedByDairyCattleGreaterThanOneYear(D126,D103,D19)</f>
        <v>-0.11208243018895118</v>
      </c>
      <c r="E146" s="55" cm="1">
        <f t="array" ref="E146">MMS_Dairy_N2ODirect_Equations.VEERG_4_3_1_3__4_NitrogenExcretedByDairyCattleGreaterThanOneYear(E126,E103,E19)</f>
        <v>0.22709576921272823</v>
      </c>
      <c r="F146" s="55" cm="1">
        <f t="array" ref="F146">MMS_Dairy_N2ODirect_Equations.VEERG_4_3_1_3__4_NitrogenExcretedByDairyCattleGreaterThanOneYear(F126,F103,F19)</f>
        <v>0.1133928568810149</v>
      </c>
      <c r="G146" s="55" cm="1">
        <f t="array" ref="G146">MMS_Dairy_N2ODirect_Equations.VEERG_4_3_1_3__4_NitrogenExcretedByDairyCattleGreaterThanOneYear(G126,G103,G19)</f>
        <v>0.28546836331241399</v>
      </c>
      <c r="H146" s="55" cm="1">
        <f t="array" ref="H146">MMS_Dairy_N2ODirect_Equations.VEERG_4_3_1_3__4_NitrogenExcretedByDairyCattleGreaterThanOneYear(H126,H103,H19)</f>
        <v>0.15247929000170721</v>
      </c>
      <c r="I146" s="2" t="str">
        <f>$E$137</f>
        <v>kg N/head/day</v>
      </c>
      <c r="N146" s="55" cm="1">
        <f t="array" ref="N146">MMS_Dairy_N2ODirect_Equations.VEERG_4_3_1_3__4_NitrogenExcretedByDairyCattleGreaterThanOneYear(N126,N103,N19)</f>
        <v>-0.11208243018895118</v>
      </c>
      <c r="O146" s="55" cm="1">
        <f t="array" ref="O146">MMS_Dairy_N2ODirect_Equations.VEERG_4_3_1_3__4_NitrogenExcretedByDairyCattleGreaterThanOneYear(O126,O103,O19)</f>
        <v>0.22709576921272823</v>
      </c>
      <c r="P146" s="55" cm="1">
        <f t="array" ref="P146">MMS_Dairy_N2ODirect_Equations.VEERG_4_3_1_3__4_NitrogenExcretedByDairyCattleGreaterThanOneYear(P126,P103,P19)</f>
        <v>0.1133928568810149</v>
      </c>
      <c r="Q146" s="55" cm="1">
        <f t="array" ref="Q146">MMS_Dairy_N2ODirect_Equations.VEERG_4_3_1_3__4_NitrogenExcretedByDairyCattleGreaterThanOneYear(Q126,Q103,Q19)</f>
        <v>0.28546836331241399</v>
      </c>
      <c r="R146" s="55" cm="1">
        <f t="array" ref="R146">MMS_Dairy_N2ODirect_Equations.VEERG_4_3_1_3__4_NitrogenExcretedByDairyCattleGreaterThanOneYear(R126,R103,R19)</f>
        <v>0.15247929000170721</v>
      </c>
      <c r="S146" s="2" t="str">
        <f>$E$137</f>
        <v>kg N/head/day</v>
      </c>
    </row>
    <row r="147" spans="3:21" ht="20.100000000000001" customHeight="1" x14ac:dyDescent="0.25"/>
    <row r="148" spans="3:21" ht="20.100000000000001" customHeight="1" x14ac:dyDescent="0.25"/>
    <row r="149" spans="3:21" ht="20.100000000000001" customHeight="1" x14ac:dyDescent="0.25">
      <c r="C149" s="48"/>
      <c r="D149" s="48"/>
      <c r="E149" s="48"/>
      <c r="F149" s="48"/>
      <c r="G149" s="48"/>
      <c r="H149" s="48"/>
      <c r="I149" s="48"/>
      <c r="J149" s="48"/>
      <c r="K149" s="48"/>
      <c r="M149" s="48"/>
      <c r="N149" s="48"/>
      <c r="O149" s="48"/>
      <c r="P149" s="48"/>
      <c r="Q149" s="48"/>
      <c r="R149" s="48"/>
      <c r="S149" s="48"/>
      <c r="T149" s="48"/>
      <c r="U149" s="48"/>
    </row>
    <row r="150" spans="3:21" ht="20.100000000000001" customHeight="1" x14ac:dyDescent="0.25">
      <c r="D150" s="6" t="str" cm="1">
        <f t="array" ref="D150">MMS_Dairy_N2ODirect_Equations.VEERG_4_3_1_3__3a_TotalAnnualNitrogenExcretedGreaterThanOneYear_Title()</f>
        <v>Total annual nitrogen excreted by dairy cattle greater than one year old</v>
      </c>
    </row>
    <row r="151" spans="3:21" ht="20.100000000000001" customHeight="1" x14ac:dyDescent="0.25">
      <c r="D151" s="5" t="str" cm="1">
        <f t="array" ref="D151">MMS_Dairy_N2ODirect_Equations.VEERG_4_3_1_3__3a_TotalAnnualNitrogenExcretedGreaterThanOneYear_Source()</f>
        <v>VEERG 2026: 4.3.1.3, Equation (3a)</v>
      </c>
    </row>
    <row r="152" spans="3:21" ht="20.100000000000001" customHeight="1" x14ac:dyDescent="0.25">
      <c r="D152" s="58" t="str" cm="1">
        <f t="array" ref="D152">MMS_Dairy_N2ODirect_Equations.VEERG_4_3_1_3__3a_TotalAnnualNitrogenExcretedGreaterThanOneYear_Variation()</f>
        <v>VARIATION: Used Duration variables instead of hard-coded 365 value.</v>
      </c>
    </row>
    <row r="153" spans="3:21" ht="20.100000000000001" customHeight="1" x14ac:dyDescent="0.25">
      <c r="D153" s="13" t="s">
        <v>28</v>
      </c>
      <c r="E153" s="13" t="str" cm="1">
        <f t="array" aca="1" ref="E153" ca="1">Common_InputFunctions.Utility_DisplayFunctionName(D176)</f>
        <v>=MMS_Dairy_N2ODirect_Equations.VEERG_4_3_1_3__3a_TotalAnnualNitrogenExcretedGreaterThanOneYearVariation</v>
      </c>
    </row>
    <row r="154" spans="3:21" ht="20.100000000000001" customHeight="1" x14ac:dyDescent="0.25"/>
    <row r="155" spans="3:21" ht="20.100000000000001" customHeight="1" x14ac:dyDescent="0.25">
      <c r="D155" s="6"/>
    </row>
    <row r="156" spans="3:21" ht="20.100000000000001" customHeight="1" x14ac:dyDescent="0.25">
      <c r="D156" s="56" t="s">
        <v>31</v>
      </c>
      <c r="E156" s="1" t="str" cm="1">
        <f t="array" ref="E156">MMS_Dairy_N2ODirect_Equations.VEERG_4_3_1_3__3a_TotalAnnualNitrogenExcretedGreaterThanOneYear_Variable()</f>
        <v>AE_j124</v>
      </c>
    </row>
    <row r="157" spans="3:21" ht="20.100000000000001" customHeight="1" x14ac:dyDescent="0.25">
      <c r="D157" s="56" t="s">
        <v>21</v>
      </c>
      <c r="E157" s="57" t="str" cm="1">
        <f t="array" ref="E157">MMS_Dairy_N2ODirect_Equations.VEERG_4_3_1_3__3a_TotalAnnualNitrogenExcretedGreaterThanOneYear_Unit()</f>
        <v>kg N</v>
      </c>
    </row>
    <row r="158" spans="3:21" ht="20.100000000000001" customHeight="1" x14ac:dyDescent="0.25"/>
    <row r="159" spans="3:21" ht="20.100000000000001" customHeight="1" x14ac:dyDescent="0.25">
      <c r="D159" s="137" t="str" cm="1">
        <f t="array" ref="D159:E161">_xlfn.CHOOSECOLS(MMS_Dairy_N2ODirect_Equations.VEERG_4_3_1_3__3a_TotalAnnualNitrogenExcretedGreaterThanOneYear_Arguments(),1,2)</f>
        <v>N_j124</v>
      </c>
      <c r="E159" s="136" t="str">
        <v>number of dairy cattle in classes j=1,2,4</v>
      </c>
      <c r="F159" s="138"/>
      <c r="G159" s="137" t="str" cm="1">
        <f t="array" ref="G159:H161">_xlfn.CHOOSECOLS(MMS_Dairy_N2ODirect_Equations.VEERG_4_3_1_3__3a_TotalAnnualNitrogenExcretedGreaterThanOneYear_Arguments(),3,4)</f>
        <v>head</v>
      </c>
      <c r="H159" s="135" t="str">
        <v>Input</v>
      </c>
      <c r="I159" s="134" t="str" cm="1">
        <f t="array" aca="1" ref="I159" ca="1">HYPERLINK(Common_InputFunctions.Utility_SourceHyperlink($D$163),$D$163)</f>
        <v>Table_N_j</v>
      </c>
    </row>
    <row r="160" spans="3:21" ht="20.100000000000001" customHeight="1" x14ac:dyDescent="0.25">
      <c r="D160" s="137" t="str">
        <v>NE_j124</v>
      </c>
      <c r="E160" s="136" t="str">
        <v>nitrogen excreted by dairy cattle greater than one year old (kg N/head/day)</v>
      </c>
      <c r="F160" s="138"/>
      <c r="G160" s="137" t="str">
        <v>kg N/head/day</v>
      </c>
      <c r="H160" s="133" t="str">
        <v>Calculated from 4.3.1.3 (4)</v>
      </c>
      <c r="I160" s="134" t="str" cm="1">
        <f t="array" aca="1" ref="I160" ca="1">HYPERLINK(Common_InputFunctions.Utility_SourceHyperlink($D$143),$D$143)</f>
        <v>M1_Table_NE_j</v>
      </c>
    </row>
    <row r="161" spans="1:19" ht="20.100000000000001" customHeight="1" x14ac:dyDescent="0.25">
      <c r="D161" s="137" t="str">
        <v>D_j124</v>
      </c>
      <c r="E161" s="136" t="str">
        <v>duration of stay on farm for classes j=1,2,4 (days)</v>
      </c>
      <c r="F161" s="138"/>
      <c r="G161" s="137" t="str">
        <v>days</v>
      </c>
      <c r="H161" s="135" t="str">
        <v>Input</v>
      </c>
      <c r="I161" s="134" t="str" cm="1">
        <f t="array" aca="1" ref="I161" ca="1">HYPERLINK(Common_InputFunctions.Utility_SourceHyperlink($D$168),$D$168)</f>
        <v>M1_Table_D_j-1-2-4</v>
      </c>
    </row>
    <row r="162" spans="1:19" ht="20.100000000000001" customHeight="1" x14ac:dyDescent="0.25"/>
    <row r="163" spans="1:19" ht="20.100000000000001" customHeight="1" x14ac:dyDescent="0.25">
      <c r="D163" s="104" t="s">
        <v>109</v>
      </c>
    </row>
    <row r="164" spans="1:19" ht="20.100000000000001" customHeight="1" x14ac:dyDescent="0.25">
      <c r="D164" s="103" t="s">
        <v>268</v>
      </c>
    </row>
    <row r="165" spans="1:19" ht="20.100000000000001" customHeight="1" x14ac:dyDescent="0.25">
      <c r="D165" s="41" t="s">
        <v>175</v>
      </c>
      <c r="E165" s="41" t="s">
        <v>192</v>
      </c>
      <c r="F165" s="41" t="s">
        <v>193</v>
      </c>
      <c r="G165" s="41" t="s">
        <v>194</v>
      </c>
      <c r="H165" s="41" t="s">
        <v>195</v>
      </c>
    </row>
    <row r="166" spans="1:19" ht="20.100000000000001" customHeight="1" x14ac:dyDescent="0.25">
      <c r="D166" s="107">
        <f>'Input - Dairy'!$E$10</f>
        <v>100</v>
      </c>
      <c r="E166" s="107">
        <f>'Input - Dairy'!$F$10</f>
        <v>100</v>
      </c>
      <c r="F166" s="107">
        <f>'Input - Dairy'!$G$10</f>
        <v>100</v>
      </c>
      <c r="G166" s="107">
        <f>'Input - Dairy'!$H$10</f>
        <v>100</v>
      </c>
      <c r="H166" s="107">
        <f>'Input - Dairy'!$I$10</f>
        <v>100</v>
      </c>
      <c r="I166" s="2" t="str">
        <f>G159</f>
        <v>head</v>
      </c>
    </row>
    <row r="167" spans="1:19" ht="20.100000000000001" customHeight="1" x14ac:dyDescent="0.25"/>
    <row r="168" spans="1:19" ht="20.100000000000001" customHeight="1" x14ac:dyDescent="0.25">
      <c r="D168" s="104" t="s">
        <v>275</v>
      </c>
      <c r="N168" s="104" t="s">
        <v>275</v>
      </c>
    </row>
    <row r="169" spans="1:19" ht="20.100000000000001" customHeight="1" x14ac:dyDescent="0.25">
      <c r="D169" s="103" t="s">
        <v>304</v>
      </c>
      <c r="N169" s="103" t="s">
        <v>305</v>
      </c>
    </row>
    <row r="170" spans="1:19" ht="20.100000000000001" customHeight="1" x14ac:dyDescent="0.25">
      <c r="D170" s="41" t="s">
        <v>175</v>
      </c>
      <c r="E170" s="41" t="s">
        <v>192</v>
      </c>
      <c r="F170" s="41" t="s">
        <v>193</v>
      </c>
      <c r="G170" s="41" t="s">
        <v>194</v>
      </c>
      <c r="H170" s="41" t="s">
        <v>195</v>
      </c>
      <c r="N170" s="41" t="s">
        <v>175</v>
      </c>
      <c r="O170" s="41" t="s">
        <v>192</v>
      </c>
      <c r="P170" s="41" t="s">
        <v>193</v>
      </c>
      <c r="Q170" s="41" t="s">
        <v>194</v>
      </c>
      <c r="R170" s="41" t="s">
        <v>195</v>
      </c>
    </row>
    <row r="171" spans="1:19" ht="20.100000000000001" customHeight="1" x14ac:dyDescent="0.25">
      <c r="A171" s="141" t="str">
        <f>HYPERLINK("#A1", "▲ Back to top")</f>
        <v>▲ Back to top</v>
      </c>
      <c r="D171" s="55">
        <f>'Input - Dairy'!$E$24</f>
        <v>365</v>
      </c>
      <c r="E171" s="55">
        <f>'Input - Dairy'!$F$24</f>
        <v>365</v>
      </c>
      <c r="F171" s="55">
        <v>0</v>
      </c>
      <c r="G171" s="55">
        <f>'Input - Dairy'!$H$24</f>
        <v>365</v>
      </c>
      <c r="H171" s="55">
        <v>0</v>
      </c>
      <c r="I171" s="2" t="str">
        <f>G161</f>
        <v>days</v>
      </c>
      <c r="N171" s="55">
        <f>'Input - Dairy'!E28</f>
        <v>365</v>
      </c>
      <c r="O171" s="55">
        <f>'Input - Dairy'!F28</f>
        <v>365</v>
      </c>
      <c r="P171" s="55">
        <v>0</v>
      </c>
      <c r="Q171" s="55">
        <f>'Input - Dairy'!H28</f>
        <v>365</v>
      </c>
      <c r="R171" s="55">
        <v>0</v>
      </c>
      <c r="S171" s="2" t="s">
        <v>56</v>
      </c>
    </row>
    <row r="172" spans="1:19" ht="20.100000000000001" customHeight="1" x14ac:dyDescent="0.25"/>
    <row r="173" spans="1:19" ht="20.100000000000001" customHeight="1" x14ac:dyDescent="0.25">
      <c r="D173" s="104" t="s">
        <v>302</v>
      </c>
      <c r="N173" s="104" t="s">
        <v>302</v>
      </c>
    </row>
    <row r="174" spans="1:19" ht="20.100000000000001" customHeight="1" x14ac:dyDescent="0.25">
      <c r="D174" s="103" t="s">
        <v>311</v>
      </c>
      <c r="N174" s="103" t="s">
        <v>303</v>
      </c>
    </row>
    <row r="175" spans="1:19" ht="20.100000000000001" customHeight="1" x14ac:dyDescent="0.25">
      <c r="D175" s="54" t="s">
        <v>175</v>
      </c>
      <c r="E175" s="54" t="s">
        <v>192</v>
      </c>
      <c r="F175" s="54" t="s">
        <v>193</v>
      </c>
      <c r="G175" s="54" t="s">
        <v>194</v>
      </c>
      <c r="H175" s="54" t="s">
        <v>195</v>
      </c>
      <c r="N175" s="54" t="s">
        <v>175</v>
      </c>
      <c r="O175" s="54" t="s">
        <v>192</v>
      </c>
      <c r="P175" s="54" t="s">
        <v>193</v>
      </c>
      <c r="Q175" s="54" t="s">
        <v>194</v>
      </c>
      <c r="R175" s="54" t="s">
        <v>195</v>
      </c>
    </row>
    <row r="176" spans="1:19" ht="20.100000000000001" customHeight="1" x14ac:dyDescent="0.25">
      <c r="D176" s="55" cm="1">
        <f t="array" ref="D176">MMS_Dairy_N2ODirect_Equations.VEERG_4_3_1_3__3a_TotalAnnualNitrogenExcretedGreaterThanOneYearVariation(D166,D146,D171)</f>
        <v>-4091.0087018967179</v>
      </c>
      <c r="E176" s="55" cm="1">
        <f t="array" ref="E176">MMS_Dairy_N2ODirect_Equations.VEERG_4_3_1_3__3a_TotalAnnualNitrogenExcretedGreaterThanOneYearVariation(E166,E146,E171)</f>
        <v>8288.9955762645804</v>
      </c>
      <c r="F176" s="55" cm="1">
        <f t="array" ref="F176">MMS_Dairy_N2ODirect_Equations.VEERG_4_3_1_3__3a_TotalAnnualNitrogenExcretedGreaterThanOneYearVariation(F166,F146,F171)</f>
        <v>0</v>
      </c>
      <c r="G176" s="55" cm="1">
        <f t="array" ref="G176">MMS_Dairy_N2ODirect_Equations.VEERG_4_3_1_3__3a_TotalAnnualNitrogenExcretedGreaterThanOneYearVariation(G166,G146,G171)</f>
        <v>10419.59526090311</v>
      </c>
      <c r="H176" s="55" cm="1">
        <f t="array" ref="H176">MMS_Dairy_N2ODirect_Equations.VEERG_4_3_1_3__3a_TotalAnnualNitrogenExcretedGreaterThanOneYearVariation(H166,H146,H171)</f>
        <v>0</v>
      </c>
      <c r="I176" s="2" t="str">
        <f>$E$157</f>
        <v>kg N</v>
      </c>
      <c r="N176" s="55" cm="1">
        <f t="array" ref="N176">MMS_Dairy_N2ODirect_Equations.VEERG_4_3_1_3__3a_TotalAnnualNitrogenExcretedGreaterThanOneYearVariation(D166,N146,N171)</f>
        <v>-4091.0087018967179</v>
      </c>
      <c r="O176" s="55" cm="1">
        <f t="array" ref="O176">MMS_Dairy_N2ODirect_Equations.VEERG_4_3_1_3__3a_TotalAnnualNitrogenExcretedGreaterThanOneYearVariation(E166,O146,O171)</f>
        <v>8288.9955762645804</v>
      </c>
      <c r="P176" s="55" cm="1">
        <f t="array" ref="P176">MMS_Dairy_N2ODirect_Equations.VEERG_4_3_1_3__3a_TotalAnnualNitrogenExcretedGreaterThanOneYearVariation(F166,P146,P171)</f>
        <v>0</v>
      </c>
      <c r="Q176" s="55" cm="1">
        <f t="array" ref="Q176">MMS_Dairy_N2ODirect_Equations.VEERG_4_3_1_3__3a_TotalAnnualNitrogenExcretedGreaterThanOneYearVariation(G166,Q146,Q171)</f>
        <v>10419.59526090311</v>
      </c>
      <c r="R176" s="55" cm="1">
        <f t="array" ref="R176">MMS_Dairy_N2ODirect_Equations.VEERG_4_3_1_3__3a_TotalAnnualNitrogenExcretedGreaterThanOneYearVariation(H166,R146,R171)</f>
        <v>0</v>
      </c>
      <c r="S176" s="2" t="str">
        <f>$E$157</f>
        <v>kg N</v>
      </c>
    </row>
    <row r="177" spans="3:21" ht="20.100000000000001" customHeight="1" x14ac:dyDescent="0.25"/>
    <row r="178" spans="3:21" ht="20.100000000000001" customHeight="1" x14ac:dyDescent="0.25"/>
    <row r="179" spans="3:21" ht="20.100000000000001" customHeight="1" x14ac:dyDescent="0.25">
      <c r="C179" s="48"/>
      <c r="D179" s="48"/>
      <c r="E179" s="48"/>
      <c r="F179" s="48"/>
      <c r="G179" s="48"/>
      <c r="H179" s="48"/>
      <c r="I179" s="48"/>
      <c r="J179" s="48"/>
      <c r="K179" s="48"/>
      <c r="M179" s="48"/>
      <c r="N179" s="48"/>
      <c r="O179" s="48"/>
      <c r="P179" s="48"/>
      <c r="Q179" s="48"/>
      <c r="R179" s="48"/>
      <c r="S179" s="48"/>
      <c r="T179" s="48"/>
      <c r="U179" s="48"/>
    </row>
    <row r="180" spans="3:21" ht="20.100000000000001" customHeight="1" x14ac:dyDescent="0.25">
      <c r="D180" s="6" t="str" cm="1">
        <f t="array" ref="D180">MMS_Dairy_N2ODirect_Equations.VEERG_4_3_1_3__3b_TotalAnnualNitrogenExcretedLessThanOneYear_Title()</f>
        <v>Total annual nitrogen excreted by dairy cattle less than one year old</v>
      </c>
    </row>
    <row r="181" spans="3:21" ht="20.100000000000001" customHeight="1" x14ac:dyDescent="0.25">
      <c r="D181" s="5" t="str" cm="1">
        <f t="array" ref="D181">MMS_Dairy_N2ODirect_Equations.VEERG_4_3_1_3__3b_TotalAnnualNitrogenExcretedLessThanOneYear_Source()</f>
        <v>VEERG 2026: 4.3.1.3, Equation (3b)</v>
      </c>
    </row>
    <row r="182" spans="3:21" ht="20.100000000000001" customHeight="1" x14ac:dyDescent="0.25">
      <c r="D182" s="58" t="str" cm="1">
        <f t="array" ref="D182">MMS_Dairy_N2ODirect_Equations.VEERG_4_3_1_3__3b_TotalAnnualNitrogenExcretedLessThanOneYear_Variation()</f>
        <v>VARIATION: Used Duration variables instead of hard-coded 281 and 84 values.</v>
      </c>
    </row>
    <row r="183" spans="3:21" ht="20.100000000000001" customHeight="1" x14ac:dyDescent="0.25">
      <c r="D183" s="13" t="s">
        <v>28</v>
      </c>
      <c r="E183" s="13" t="str" cm="1">
        <f t="array" aca="1" ref="E183" ca="1">Common_InputFunctions.Utility_DisplayFunctionName(D213)</f>
        <v>=MMS_Dairy_N2ODirect_Equations.VEERG_4_3_1_3__3b_TotalAnnualNitrogenExcretedLessThanOneYearVariation</v>
      </c>
    </row>
    <row r="184" spans="3:21" ht="20.100000000000001" customHeight="1" x14ac:dyDescent="0.25">
      <c r="D184" s="6"/>
    </row>
    <row r="185" spans="3:21" ht="20.100000000000001" customHeight="1" x14ac:dyDescent="0.25">
      <c r="D185" s="6"/>
    </row>
    <row r="186" spans="3:21" ht="20.100000000000001" customHeight="1" x14ac:dyDescent="0.25">
      <c r="D186" s="56" t="s">
        <v>31</v>
      </c>
      <c r="E186" s="1" t="str" cm="1">
        <f t="array" ref="E186">MMS_Dairy_N2ODirect_Equations.VEERG_4_3_1_3__3b_TotalAnnualNitrogenExcretedLessThanOneYear_Variable()</f>
        <v>AE_j35</v>
      </c>
    </row>
    <row r="187" spans="3:21" ht="20.100000000000001" customHeight="1" x14ac:dyDescent="0.25">
      <c r="D187" s="56" t="s">
        <v>21</v>
      </c>
      <c r="E187" s="57" t="str" cm="1">
        <f t="array" ref="E187">MMS_Dairy_N2ODirect_Equations.VEERG_4_3_1_3__3b_TotalAnnualNitrogenExcretedLessThanOneYear_Unit()</f>
        <v>kg N</v>
      </c>
    </row>
    <row r="188" spans="3:21" ht="20.100000000000001" customHeight="1" x14ac:dyDescent="0.25"/>
    <row r="189" spans="3:21" ht="20.100000000000001" customHeight="1" x14ac:dyDescent="0.25">
      <c r="D189" s="137" t="str" cm="1">
        <f t="array" ref="D189:E193">_xlfn.CHOOSECOLS(MMS_Dairy_N2ODirect_Equations.VEERG_4_3_1_3__3b_TotalAnnualNitrogenExcretedLessThanOneYear_Arguments(),1,2)</f>
        <v>N_j35</v>
      </c>
      <c r="E189" s="136" t="str">
        <v>number of dairy cattle in classes j=3,5</v>
      </c>
      <c r="F189" s="138"/>
      <c r="G189" s="137" t="str" cm="1">
        <f t="array" ref="G189:H193">_xlfn.CHOOSECOLS(MMS_Dairy_N2ODirect_Equations.VEERG_4_3_1_3__3b_TotalAnnualNitrogenExcretedLessThanOneYear_Arguments(),3,4)</f>
        <v>head</v>
      </c>
      <c r="H189" s="135" t="str">
        <v>Input</v>
      </c>
      <c r="I189" s="134" t="str" cm="1">
        <f t="array" aca="1" ref="I189" ca="1">HYPERLINK(Common_InputFunctions.Utility_SourceHyperlink($D$163),$D$163)</f>
        <v>Table_N_j</v>
      </c>
    </row>
    <row r="190" spans="3:21" ht="20.100000000000001" customHeight="1" x14ac:dyDescent="0.25">
      <c r="D190" s="137" t="str">
        <v>NE_j35</v>
      </c>
      <c r="E190" s="136" t="str">
        <v>nitrogen excreted by weaned dairy cattle less than one year old (kg N/head/day)</v>
      </c>
      <c r="F190" s="138"/>
      <c r="G190" s="137" t="str">
        <v>kg N/head/day</v>
      </c>
      <c r="H190" s="133" t="str">
        <v>Calculated from 4.3.1.3 (4)</v>
      </c>
      <c r="I190" s="134" t="str" cm="1">
        <f t="array" aca="1" ref="I190" ca="1">HYPERLINK(Common_InputFunctions.Utility_SourceHyperlink($D$143),$D$143)</f>
        <v>M1_Table_NE_j</v>
      </c>
    </row>
    <row r="191" spans="3:21" ht="20.100000000000001" customHeight="1" x14ac:dyDescent="0.25">
      <c r="D191" s="137" t="str">
        <v>NPW_j35</v>
      </c>
      <c r="E191" s="136" t="str">
        <v>nitrogen excreted by pre-weaned calves (kg N/head/day)</v>
      </c>
      <c r="F191" s="138"/>
      <c r="G191" s="137" t="str">
        <v>kg N/head/day</v>
      </c>
      <c r="H191" s="133" t="str">
        <v>Constant</v>
      </c>
      <c r="I191" s="134" t="str" cm="1">
        <f t="array" aca="1" ref="I191" ca="1">HYPERLINK(Common_InputFunctions.Utility_SourceHyperlink($D$195),$D$195)</f>
        <v>Table_NPW_j-3-5</v>
      </c>
    </row>
    <row r="192" spans="3:21" ht="20.100000000000001" customHeight="1" x14ac:dyDescent="0.25">
      <c r="D192" s="137" t="str">
        <v>D_j35</v>
      </c>
      <c r="E192" s="136" t="str">
        <v>duration of stay on farm for weaned dairy cattle less than one year old (days)</v>
      </c>
      <c r="F192" s="138"/>
      <c r="G192" s="137" t="str">
        <v>days</v>
      </c>
      <c r="H192" s="135" t="str">
        <v>Input</v>
      </c>
      <c r="I192" s="134" t="str" cm="1">
        <f t="array" aca="1" ref="I192" ca="1">HYPERLINK(Common_InputFunctions.Utility_SourceHyperlink($D$200),$D$200)</f>
        <v>M1_Table_D_j-3-5</v>
      </c>
    </row>
    <row r="193" spans="1:19" ht="20.100000000000001" customHeight="1" x14ac:dyDescent="0.25">
      <c r="D193" s="137" t="str">
        <v>DPW_j35</v>
      </c>
      <c r="E193" s="136" t="str">
        <v>duration of stay on farm for pre-weaned calves (days)</v>
      </c>
      <c r="F193" s="138"/>
      <c r="G193" s="137" t="str">
        <v>days</v>
      </c>
      <c r="H193" s="135" t="str">
        <v>Input</v>
      </c>
      <c r="I193" s="134" t="str" cm="1">
        <f t="array" aca="1" ref="I193" ca="1">HYPERLINK(Common_InputFunctions.Utility_SourceHyperlink($D$205),$D$205)</f>
        <v>M1_Table_DPW_j</v>
      </c>
    </row>
    <row r="194" spans="1:19" ht="20.100000000000001" customHeight="1" x14ac:dyDescent="0.25"/>
    <row r="195" spans="1:19" ht="20.100000000000001" customHeight="1" x14ac:dyDescent="0.25">
      <c r="D195" s="104" t="s">
        <v>308</v>
      </c>
    </row>
    <row r="196" spans="1:19" ht="20.100000000000001" customHeight="1" x14ac:dyDescent="0.25">
      <c r="D196" s="103" t="s">
        <v>309</v>
      </c>
    </row>
    <row r="197" spans="1:19" ht="20.100000000000001" customHeight="1" x14ac:dyDescent="0.25">
      <c r="D197" s="54" t="s">
        <v>175</v>
      </c>
      <c r="E197" s="54" t="s">
        <v>192</v>
      </c>
      <c r="F197" s="54" t="s">
        <v>193</v>
      </c>
      <c r="G197" s="54" t="s">
        <v>194</v>
      </c>
      <c r="H197" s="54" t="s">
        <v>195</v>
      </c>
    </row>
    <row r="198" spans="1:19" ht="20.100000000000001" customHeight="1" x14ac:dyDescent="0.25">
      <c r="D198" s="55">
        <v>0</v>
      </c>
      <c r="E198" s="55">
        <v>0</v>
      </c>
      <c r="F198" s="55">
        <f>'Constants - Dairy'!$G$63</f>
        <v>1.37E-2</v>
      </c>
      <c r="G198" s="55">
        <v>0</v>
      </c>
      <c r="H198" s="55">
        <f>'Constants - Dairy'!$G$64</f>
        <v>9.1999999999999998E-3</v>
      </c>
      <c r="I198" s="2" t="str">
        <f>G191</f>
        <v>kg N/head/day</v>
      </c>
    </row>
    <row r="199" spans="1:19" ht="20.100000000000001" customHeight="1" x14ac:dyDescent="0.25"/>
    <row r="200" spans="1:19" ht="20.100000000000001" customHeight="1" x14ac:dyDescent="0.25">
      <c r="D200" s="104" t="s">
        <v>306</v>
      </c>
      <c r="N200" s="104" t="s">
        <v>306</v>
      </c>
    </row>
    <row r="201" spans="1:19" ht="20.100000000000001" customHeight="1" x14ac:dyDescent="0.25">
      <c r="D201" s="103" t="s">
        <v>307</v>
      </c>
      <c r="N201" s="103" t="s">
        <v>307</v>
      </c>
    </row>
    <row r="202" spans="1:19" ht="20.100000000000001" customHeight="1" x14ac:dyDescent="0.25">
      <c r="D202" s="41" t="s">
        <v>175</v>
      </c>
      <c r="E202" s="41" t="s">
        <v>192</v>
      </c>
      <c r="F202" s="41" t="s">
        <v>193</v>
      </c>
      <c r="G202" s="41" t="s">
        <v>194</v>
      </c>
      <c r="H202" s="41" t="s">
        <v>195</v>
      </c>
      <c r="N202" s="41" t="s">
        <v>175</v>
      </c>
      <c r="O202" s="41" t="s">
        <v>192</v>
      </c>
      <c r="P202" s="41" t="s">
        <v>193</v>
      </c>
      <c r="Q202" s="41" t="s">
        <v>194</v>
      </c>
      <c r="R202" s="41" t="s">
        <v>195</v>
      </c>
    </row>
    <row r="203" spans="1:19" ht="20.100000000000001" customHeight="1" x14ac:dyDescent="0.25">
      <c r="D203" s="55">
        <v>0</v>
      </c>
      <c r="E203" s="55">
        <v>0</v>
      </c>
      <c r="F203" s="55">
        <f>'Input - Dairy'!$G$24</f>
        <v>281</v>
      </c>
      <c r="G203" s="55">
        <v>0</v>
      </c>
      <c r="H203" s="55">
        <f>'Input - Dairy'!$I$24</f>
        <v>281</v>
      </c>
      <c r="I203" s="2" t="str">
        <f>$G$192</f>
        <v>days</v>
      </c>
      <c r="N203" s="55">
        <v>0</v>
      </c>
      <c r="O203" s="55">
        <v>0</v>
      </c>
      <c r="P203" s="55">
        <f>'Input - Dairy'!G28</f>
        <v>281</v>
      </c>
      <c r="Q203" s="55">
        <v>0</v>
      </c>
      <c r="R203" s="55">
        <f>'Input - Dairy'!I28</f>
        <v>281</v>
      </c>
      <c r="S203" s="2" t="str">
        <f>$G$192</f>
        <v>days</v>
      </c>
    </row>
    <row r="204" spans="1:19" ht="20.100000000000001" customHeight="1" x14ac:dyDescent="0.25"/>
    <row r="205" spans="1:19" ht="20.100000000000001" customHeight="1" x14ac:dyDescent="0.25">
      <c r="D205" s="104" t="s">
        <v>270</v>
      </c>
      <c r="N205" s="104" t="s">
        <v>270</v>
      </c>
    </row>
    <row r="206" spans="1:19" ht="20.100000000000001" customHeight="1" x14ac:dyDescent="0.25">
      <c r="D206" s="103" t="s">
        <v>278</v>
      </c>
      <c r="N206" s="103" t="s">
        <v>278</v>
      </c>
    </row>
    <row r="207" spans="1:19" ht="20.100000000000001" customHeight="1" x14ac:dyDescent="0.25">
      <c r="D207" s="41" t="s">
        <v>175</v>
      </c>
      <c r="E207" s="41" t="s">
        <v>192</v>
      </c>
      <c r="F207" s="41" t="s">
        <v>193</v>
      </c>
      <c r="G207" s="41" t="s">
        <v>194</v>
      </c>
      <c r="H207" s="41" t="s">
        <v>195</v>
      </c>
      <c r="N207" s="41" t="s">
        <v>175</v>
      </c>
      <c r="O207" s="41" t="s">
        <v>192</v>
      </c>
      <c r="P207" s="41" t="s">
        <v>193</v>
      </c>
      <c r="Q207" s="41" t="s">
        <v>194</v>
      </c>
      <c r="R207" s="41" t="s">
        <v>195</v>
      </c>
    </row>
    <row r="208" spans="1:19" ht="20.100000000000001" customHeight="1" x14ac:dyDescent="0.25">
      <c r="A208" s="141" t="str">
        <f>HYPERLINK("#A1", "▲ Back to top")</f>
        <v>▲ Back to top</v>
      </c>
      <c r="D208" s="55">
        <f>'Input - Dairy'!$E$25</f>
        <v>0</v>
      </c>
      <c r="E208" s="55">
        <f>'Input - Dairy'!$F$25</f>
        <v>0</v>
      </c>
      <c r="F208" s="55">
        <f>'Input - Dairy'!$G$25</f>
        <v>84</v>
      </c>
      <c r="G208" s="55">
        <f>'Input - Dairy'!$H$25</f>
        <v>0</v>
      </c>
      <c r="H208" s="55">
        <f>'Input - Dairy'!$I$25</f>
        <v>84</v>
      </c>
      <c r="I208" s="2" t="str">
        <f>$G$193</f>
        <v>days</v>
      </c>
      <c r="N208" s="55">
        <f>'Input - Dairy'!$E$25</f>
        <v>0</v>
      </c>
      <c r="O208" s="55">
        <f>'Input - Dairy'!$F$25</f>
        <v>0</v>
      </c>
      <c r="P208" s="55">
        <f>'Input - Dairy'!G29</f>
        <v>84</v>
      </c>
      <c r="Q208" s="55">
        <f>'Input - Dairy'!$H$25</f>
        <v>0</v>
      </c>
      <c r="R208" s="55">
        <f>'Input - Dairy'!I29</f>
        <v>84</v>
      </c>
      <c r="S208" s="2" t="str">
        <f>$G$193</f>
        <v>days</v>
      </c>
    </row>
    <row r="209" spans="3:21" ht="20.100000000000001" customHeight="1" x14ac:dyDescent="0.25"/>
    <row r="210" spans="3:21" ht="20.100000000000001" customHeight="1" x14ac:dyDescent="0.25">
      <c r="D210" s="104" t="s">
        <v>123</v>
      </c>
      <c r="N210" s="104" t="s">
        <v>123</v>
      </c>
    </row>
    <row r="211" spans="3:21" ht="20.100000000000001" customHeight="1" x14ac:dyDescent="0.25">
      <c r="D211" s="103" t="s">
        <v>310</v>
      </c>
      <c r="N211" s="103" t="s">
        <v>310</v>
      </c>
    </row>
    <row r="212" spans="3:21" ht="20.100000000000001" customHeight="1" x14ac:dyDescent="0.25">
      <c r="D212" s="54" t="s">
        <v>175</v>
      </c>
      <c r="E212" s="54" t="s">
        <v>192</v>
      </c>
      <c r="F212" s="54" t="s">
        <v>193</v>
      </c>
      <c r="G212" s="54" t="s">
        <v>194</v>
      </c>
      <c r="H212" s="54" t="s">
        <v>195</v>
      </c>
      <c r="N212" s="54" t="s">
        <v>175</v>
      </c>
      <c r="O212" s="54" t="s">
        <v>192</v>
      </c>
      <c r="P212" s="54" t="s">
        <v>193</v>
      </c>
      <c r="Q212" s="54" t="s">
        <v>194</v>
      </c>
      <c r="R212" s="54" t="s">
        <v>195</v>
      </c>
    </row>
    <row r="213" spans="3:21" ht="20.100000000000001" customHeight="1" x14ac:dyDescent="0.25">
      <c r="D213" s="55" cm="1">
        <f t="array" ref="D213">MMS_Dairy_N2ODirect_Equations.VEERG_4_3_1_3__3b_TotalAnnualNitrogenExcretedLessThanOneYearVariation(D166,D146,D198,D203,D208)</f>
        <v>0</v>
      </c>
      <c r="E213" s="55" cm="1">
        <f t="array" ref="E213">MMS_Dairy_N2ODirect_Equations.VEERG_4_3_1_3__3b_TotalAnnualNitrogenExcretedLessThanOneYearVariation(E166,E146,E198,E203,E208)</f>
        <v>0</v>
      </c>
      <c r="F213" s="55" cm="1">
        <f t="array" ref="F213">MMS_Dairy_N2ODirect_Equations.VEERG_4_3_1_3__3b_TotalAnnualNitrogenExcretedLessThanOneYearVariation(F166,F146,F198,F203,F208)</f>
        <v>3301.419278356519</v>
      </c>
      <c r="G213" s="55" cm="1">
        <f t="array" ref="G213">MMS_Dairy_N2ODirect_Equations.VEERG_4_3_1_3__3b_TotalAnnualNitrogenExcretedLessThanOneYearVariation(G166,G146,G198,G203,G208)</f>
        <v>0</v>
      </c>
      <c r="H213" s="55" cm="1">
        <f t="array" ref="H213">MMS_Dairy_N2ODirect_Equations.VEERG_4_3_1_3__3b_TotalAnnualNitrogenExcretedLessThanOneYearVariation(H166,H146,H198,H203,H208)</f>
        <v>4361.9480490479727</v>
      </c>
      <c r="I213" s="2" t="str">
        <f>$E$187</f>
        <v>kg N</v>
      </c>
      <c r="N213" s="55" cm="1">
        <f t="array" ref="N213">MMS_Dairy_N2ODirect_Equations.VEERG_4_3_1_3__3b_TotalAnnualNitrogenExcretedLessThanOneYearVariation(D166,N146,D198,N203,N208)</f>
        <v>0</v>
      </c>
      <c r="O213" s="55" cm="1">
        <f t="array" ref="O213">MMS_Dairy_N2ODirect_Equations.VEERG_4_3_1_3__3b_TotalAnnualNitrogenExcretedLessThanOneYearVariation(E166,O146,E198,O203,O208)</f>
        <v>0</v>
      </c>
      <c r="P213" s="55" cm="1">
        <f t="array" ref="P213">MMS_Dairy_N2ODirect_Equations.VEERG_4_3_1_3__3b_TotalAnnualNitrogenExcretedLessThanOneYearVariation(F166,P146,F198,P203,P208)</f>
        <v>3301.419278356519</v>
      </c>
      <c r="Q213" s="55" cm="1">
        <f t="array" ref="Q213">MMS_Dairy_N2ODirect_Equations.VEERG_4_3_1_3__3b_TotalAnnualNitrogenExcretedLessThanOneYearVariation(G166,Q146,G198,Q203,Q208)</f>
        <v>0</v>
      </c>
      <c r="R213" s="55" cm="1">
        <f t="array" ref="R213">MMS_Dairy_N2ODirect_Equations.VEERG_4_3_1_3__3b_TotalAnnualNitrogenExcretedLessThanOneYearVariation(H166,R146,H198,R203,R208)</f>
        <v>4361.9480490479727</v>
      </c>
      <c r="S213" s="2" t="str">
        <f>$E$187</f>
        <v>kg N</v>
      </c>
    </row>
    <row r="214" spans="3:21" ht="20.100000000000001" customHeight="1" x14ac:dyDescent="0.25"/>
    <row r="215" spans="3:21" ht="20.100000000000001" customHeight="1" x14ac:dyDescent="0.25"/>
    <row r="216" spans="3:21" ht="20.100000000000001" customHeight="1" x14ac:dyDescent="0.25">
      <c r="C216" s="48"/>
      <c r="D216" s="48"/>
      <c r="E216" s="48"/>
      <c r="F216" s="48"/>
      <c r="G216" s="48"/>
      <c r="H216" s="48"/>
      <c r="I216" s="48"/>
      <c r="J216" s="48"/>
      <c r="K216" s="48"/>
      <c r="M216" s="48"/>
      <c r="N216" s="48"/>
      <c r="O216" s="48"/>
      <c r="P216" s="48"/>
      <c r="Q216" s="48"/>
      <c r="R216" s="48"/>
      <c r="S216" s="48"/>
      <c r="T216" s="48"/>
      <c r="U216" s="48"/>
    </row>
    <row r="217" spans="3:21" ht="20.100000000000001" customHeight="1" x14ac:dyDescent="0.25">
      <c r="D217" s="6" t="str" cm="1">
        <f t="array" ref="D217">MMS_Dairy_N2ODirect_Equations.VEERG_4_3_1_3__2_TotalNitrogenInEachMMS_Title()</f>
        <v>Total nitrogen in each MMS</v>
      </c>
    </row>
    <row r="218" spans="3:21" ht="20.100000000000001" customHeight="1" x14ac:dyDescent="0.25">
      <c r="D218" s="5" t="str" cm="1">
        <f t="array" ref="D218">MMS_Dairy_N2ODirect_Equations.VEERG_4_3_1_3__2_TotalNitrogenInEachMMS_Source()</f>
        <v>VEERG 2026: 4.3.1.3, Equation (2)</v>
      </c>
    </row>
    <row r="219" spans="3:21" ht="20.100000000000001" customHeight="1" x14ac:dyDescent="0.25">
      <c r="D219" s="13" t="s">
        <v>28</v>
      </c>
      <c r="E219" s="13" t="str" cm="1">
        <f t="array" aca="1" ref="E219" ca="1">Common_InputFunctions.Utility_DisplayFunctionName(F243)</f>
        <v>=MMS_Dairy_N2ODirect_Equations.VEERG_4_3_1_3__2_TotalNitrogenInEachMMS</v>
      </c>
    </row>
    <row r="220" spans="3:21" ht="20.100000000000001" customHeight="1" x14ac:dyDescent="0.25"/>
    <row r="221" spans="3:21" ht="20.100000000000001" customHeight="1" x14ac:dyDescent="0.25">
      <c r="D221" s="6"/>
    </row>
    <row r="222" spans="3:21" ht="20.100000000000001" customHeight="1" x14ac:dyDescent="0.25">
      <c r="D222" s="56" t="s">
        <v>31</v>
      </c>
      <c r="E222" s="1" t="str" cm="1">
        <f t="array" ref="E222">MMS_Dairy_N2ODirect_Equations.VEERG_4_3_1_3__2_TotalNitrogenInEachMMS_Variable()</f>
        <v>MN_jm</v>
      </c>
    </row>
    <row r="223" spans="3:21" ht="20.100000000000001" customHeight="1" x14ac:dyDescent="0.25">
      <c r="D223" s="56" t="s">
        <v>21</v>
      </c>
      <c r="E223" s="57" t="str" cm="1">
        <f t="array" ref="E223">MMS_Dairy_N2ODirect_Equations.VEERG_4_3_1_3__2_TotalNitrogenInEachMMS_Unit()</f>
        <v>kg N</v>
      </c>
    </row>
    <row r="224" spans="3:21" ht="20.100000000000001" customHeight="1" x14ac:dyDescent="0.25"/>
    <row r="225" spans="4:20" ht="20.100000000000001" customHeight="1" x14ac:dyDescent="0.25">
      <c r="D225" s="137" t="str" cm="1">
        <f t="array" ref="D225:E226">_xlfn.CHOOSECOLS(MMS_Dairy_N2ODirect_Equations.VEERG_4_3_1_3__2_TotalNitrogenInEachMMS_Arguments(),1,2)</f>
        <v>AE_j</v>
      </c>
      <c r="E225" s="137" t="str">
        <v>total nitrogen excreted by each dairy class</v>
      </c>
      <c r="F225" s="137"/>
      <c r="G225" s="137" t="str" cm="1">
        <f t="array" ref="G225:H226">_xlfn.CHOOSECOLS(MMS_Dairy_N2ODirect_Equations.VEERG_4_3_1_3__2_TotalNitrogenInEachMMS_Arguments(),3,4)</f>
        <v>kg N</v>
      </c>
      <c r="H225" s="133" t="str">
        <v>Calculated from 4.3.1.3 (3a) and (3b)</v>
      </c>
      <c r="I225" s="134" t="str" cm="1">
        <f t="array" aca="1" ref="I225" ca="1">HYPERLINK(Common_InputFunctions.Utility_SourceHyperlink($D$173),$D$173)</f>
        <v>M1_Table_AE_j-1-2-4</v>
      </c>
      <c r="J225" s="134" t="str" cm="1">
        <f t="array" aca="1" ref="J225" ca="1">HYPERLINK(Common_InputFunctions.Utility_SourceHyperlink($D$210),$D$210)</f>
        <v>M1_Table_AE_j</v>
      </c>
    </row>
    <row r="226" spans="4:20" ht="20.100000000000001" customHeight="1" x14ac:dyDescent="0.25">
      <c r="D226" s="137" t="str">
        <v>MMS_jm</v>
      </c>
      <c r="E226" s="137" t="str">
        <v>manure management system fraction for class j and system m</v>
      </c>
      <c r="F226" s="137"/>
      <c r="G226" s="137" t="str">
        <v>fraction</v>
      </c>
      <c r="H226" s="135" t="str">
        <v>Input</v>
      </c>
      <c r="I226" s="134" t="str" cm="1">
        <f t="array" aca="1" ref="I226" ca="1">HYPERLINK(Common_InputFunctions.Utility_SourceHyperlink($D$228),$D$228)</f>
        <v>M1_Table_MMS_j_m</v>
      </c>
      <c r="J226" s="134"/>
    </row>
    <row r="227" spans="4:20" ht="20.100000000000001" customHeight="1" x14ac:dyDescent="0.25"/>
    <row r="228" spans="4:20" ht="20.100000000000001" customHeight="1" x14ac:dyDescent="0.25">
      <c r="D228" s="104" t="s">
        <v>250</v>
      </c>
      <c r="N228" s="104" t="s">
        <v>252</v>
      </c>
    </row>
    <row r="229" spans="4:20" ht="20.100000000000001" customHeight="1" x14ac:dyDescent="0.25">
      <c r="D229" s="103" t="s">
        <v>312</v>
      </c>
      <c r="N229" s="103" t="s">
        <v>313</v>
      </c>
    </row>
    <row r="230" spans="4:20" ht="20.100000000000001" customHeight="1" x14ac:dyDescent="0.25">
      <c r="D230" s="41" t="s">
        <v>149</v>
      </c>
      <c r="E230" s="41" t="s">
        <v>69</v>
      </c>
      <c r="F230" s="41" t="s">
        <v>175</v>
      </c>
      <c r="G230" s="41" t="s">
        <v>192</v>
      </c>
      <c r="H230" s="41" t="s">
        <v>193</v>
      </c>
      <c r="I230" s="41" t="s">
        <v>194</v>
      </c>
      <c r="J230" s="41" t="s">
        <v>195</v>
      </c>
      <c r="N230" s="41" t="s">
        <v>149</v>
      </c>
      <c r="O230" s="41" t="s">
        <v>69</v>
      </c>
      <c r="P230" s="41" t="s">
        <v>175</v>
      </c>
      <c r="Q230" s="41" t="s">
        <v>192</v>
      </c>
      <c r="R230" s="41" t="s">
        <v>193</v>
      </c>
      <c r="S230" s="41" t="s">
        <v>194</v>
      </c>
      <c r="T230" s="41" t="s">
        <v>195</v>
      </c>
    </row>
    <row r="231" spans="4:20" ht="20.100000000000001" customHeight="1" x14ac:dyDescent="0.25">
      <c r="D231" s="55" t="str">
        <f>'Input - Dairy'!$D$66</f>
        <v>Milking shed</v>
      </c>
      <c r="E231" s="55" t="str">
        <f>'Input - Dairy'!$D$85</f>
        <v>Anaerobic lagoon</v>
      </c>
      <c r="F231" s="55" cm="1">
        <f t="array" ref="F231">InputFunctions_Dairy.CalculateFractionInMMSAfterSolidSeparation('Input - Dairy'!E66,'Input - Dairy'!E85,'Input - Dairy'!$F$79)</f>
        <v>2.2000000000000002E-2</v>
      </c>
      <c r="G231" s="55" cm="1">
        <f t="array" ref="G231">InputFunctions_Dairy.CalculateFractionInMMSAfterSolidSeparation('Input - Dairy'!F66,'Input - Dairy'!F85,'Input - Dairy'!$F$79)</f>
        <v>2.2000000000000002E-2</v>
      </c>
      <c r="H231" s="55" cm="1">
        <f t="array" ref="H231">InputFunctions_Dairy.CalculateFractionInMMSAfterSolidSeparation('Input - Dairy'!G66,'Input - Dairy'!G85,'Input - Dairy'!$F$79)</f>
        <v>2.2000000000000002E-2</v>
      </c>
      <c r="I231" s="55" cm="1">
        <f t="array" ref="I231">InputFunctions_Dairy.CalculateFractionInMMSAfterSolidSeparation('Input - Dairy'!H66,'Input - Dairy'!H85,'Input - Dairy'!$F$79)</f>
        <v>2.2000000000000002E-2</v>
      </c>
      <c r="J231" s="55" cm="1">
        <f t="array" ref="J231">InputFunctions_Dairy.CalculateFractionInMMSAfterSolidSeparation('Input - Dairy'!I66,'Input - Dairy'!I85,'Input - Dairy'!$F$79)</f>
        <v>2.2000000000000002E-2</v>
      </c>
      <c r="N231" s="55" t="str">
        <f>'Input - Dairy'!$D$66</f>
        <v>Milking shed</v>
      </c>
      <c r="O231" s="55" t="str">
        <f>'Input - Dairy'!$D$85</f>
        <v>Anaerobic lagoon</v>
      </c>
      <c r="P231" s="55" cm="1">
        <f t="array" ref="P231">InputFunctions_Dairy.CalculateFractionInMMSAfterSolidSeparation('Input - Dairy'!E71,'Input - Dairy'!E85,'Input - Dairy'!$G$79)</f>
        <v>2.2000000000000002E-2</v>
      </c>
      <c r="Q231" s="55" cm="1">
        <f t="array" ref="Q231">InputFunctions_Dairy.CalculateFractionInMMSAfterSolidSeparation('Input - Dairy'!F71,'Input - Dairy'!F85,'Input - Dairy'!$G$79)</f>
        <v>2.2000000000000002E-2</v>
      </c>
      <c r="R231" s="55" cm="1">
        <f t="array" ref="R231">InputFunctions_Dairy.CalculateFractionInMMSAfterSolidSeparation('Input - Dairy'!G71,'Input - Dairy'!G85,'Input - Dairy'!$G$79)</f>
        <v>2.2000000000000002E-2</v>
      </c>
      <c r="S231" s="55" cm="1">
        <f t="array" ref="S231">InputFunctions_Dairy.CalculateFractionInMMSAfterSolidSeparation('Input - Dairy'!H71,'Input - Dairy'!H85,'Input - Dairy'!$G$79)</f>
        <v>2.2000000000000002E-2</v>
      </c>
      <c r="T231" s="55" cm="1">
        <f t="array" ref="T231">InputFunctions_Dairy.CalculateFractionInMMSAfterSolidSeparation('Input - Dairy'!I71,'Input - Dairy'!I85,'Input - Dairy'!$G$79)</f>
        <v>2.2000000000000002E-2</v>
      </c>
    </row>
    <row r="232" spans="4:20" ht="20.100000000000001" customHeight="1" x14ac:dyDescent="0.25">
      <c r="D232" s="55" t="str">
        <f>'Input - Dairy'!$D$66</f>
        <v>Milking shed</v>
      </c>
      <c r="E232" s="55" t="str">
        <f>'Input - Dairy'!$D$86</f>
        <v>Sump and dispersal system</v>
      </c>
      <c r="F232" s="55" cm="1">
        <f t="array" ref="F232">InputFunctions_Dairy.CalculateFractionInMMSAfterSolidSeparation('Input - Dairy'!E66,'Input - Dairy'!E86,'Input - Dairy'!$F$80)</f>
        <v>2.2000000000000002E-2</v>
      </c>
      <c r="G232" s="55" cm="1">
        <f t="array" ref="G232">InputFunctions_Dairy.CalculateFractionInMMSAfterSolidSeparation('Input - Dairy'!F66,'Input - Dairy'!F86,'Input - Dairy'!$F$80)</f>
        <v>2.2000000000000002E-2</v>
      </c>
      <c r="H232" s="55" cm="1">
        <f t="array" ref="H232">InputFunctions_Dairy.CalculateFractionInMMSAfterSolidSeparation('Input - Dairy'!G66,'Input - Dairy'!G86,'Input - Dairy'!$F$80)</f>
        <v>2.2000000000000002E-2</v>
      </c>
      <c r="I232" s="55" cm="1">
        <f t="array" ref="I232">InputFunctions_Dairy.CalculateFractionInMMSAfterSolidSeparation('Input - Dairy'!H66,'Input - Dairy'!H86,'Input - Dairy'!$F$80)</f>
        <v>2.2000000000000002E-2</v>
      </c>
      <c r="J232" s="55" cm="1">
        <f t="array" ref="J232">InputFunctions_Dairy.CalculateFractionInMMSAfterSolidSeparation('Input - Dairy'!I66,'Input - Dairy'!I86,'Input - Dairy'!$F$80)</f>
        <v>2.2000000000000002E-2</v>
      </c>
      <c r="N232" s="55" t="str">
        <f>'Input - Dairy'!$D$66</f>
        <v>Milking shed</v>
      </c>
      <c r="O232" s="55" t="str">
        <f>'Input - Dairy'!$D$86</f>
        <v>Sump and dispersal system</v>
      </c>
      <c r="P232" s="55" cm="1">
        <f t="array" ref="P232">InputFunctions_Dairy.CalculateFractionInMMSAfterSolidSeparation('Input - Dairy'!E71,'Input - Dairy'!E86,'Input - Dairy'!$G$80)</f>
        <v>2.2000000000000002E-2</v>
      </c>
      <c r="Q232" s="55" cm="1">
        <f t="array" ref="Q232">InputFunctions_Dairy.CalculateFractionInMMSAfterSolidSeparation('Input - Dairy'!F71,'Input - Dairy'!F86,'Input - Dairy'!$G$80)</f>
        <v>2.2000000000000002E-2</v>
      </c>
      <c r="R232" s="55" cm="1">
        <f t="array" ref="R232">InputFunctions_Dairy.CalculateFractionInMMSAfterSolidSeparation('Input - Dairy'!G71,'Input - Dairy'!G86,'Input - Dairy'!$G$80)</f>
        <v>2.2000000000000002E-2</v>
      </c>
      <c r="S232" s="55" cm="1">
        <f t="array" ref="S232">InputFunctions_Dairy.CalculateFractionInMMSAfterSolidSeparation('Input - Dairy'!H71,'Input - Dairy'!H86,'Input - Dairy'!$G$80)</f>
        <v>2.2000000000000002E-2</v>
      </c>
      <c r="T232" s="55" cm="1">
        <f t="array" ref="T232">InputFunctions_Dairy.CalculateFractionInMMSAfterSolidSeparation('Input - Dairy'!I71,'Input - Dairy'!I86,'Input - Dairy'!$G$80)</f>
        <v>2.2000000000000002E-2</v>
      </c>
    </row>
    <row r="233" spans="4:20" ht="20.100000000000001" customHeight="1" x14ac:dyDescent="0.25">
      <c r="D233" s="55" t="str">
        <f>'Input - Dairy'!$D$66</f>
        <v>Milking shed</v>
      </c>
      <c r="E233" s="55" t="str">
        <f>'Input - Dairy'!$D$87</f>
        <v>Drains to paddock</v>
      </c>
      <c r="F233" s="55" cm="1">
        <f t="array" ref="F233">InputFunctions_Dairy.CalculateFractionInMMSAfterSolidSeparation('Input - Dairy'!E66,'Input - Dairy'!E87,'Input - Dairy'!$F$81)</f>
        <v>2.2000000000000002E-2</v>
      </c>
      <c r="G233" s="55" cm="1">
        <f t="array" ref="G233">InputFunctions_Dairy.CalculateFractionInMMSAfterSolidSeparation('Input - Dairy'!F66,'Input - Dairy'!F87,'Input - Dairy'!$F$81)</f>
        <v>2.2000000000000002E-2</v>
      </c>
      <c r="H233" s="55" cm="1">
        <f t="array" ref="H233">InputFunctions_Dairy.CalculateFractionInMMSAfterSolidSeparation('Input - Dairy'!G66,'Input - Dairy'!G87,'Input - Dairy'!$F$81)</f>
        <v>2.2000000000000002E-2</v>
      </c>
      <c r="I233" s="55" cm="1">
        <f t="array" ref="I233">InputFunctions_Dairy.CalculateFractionInMMSAfterSolidSeparation('Input - Dairy'!H66,'Input - Dairy'!H87,'Input - Dairy'!$F$81)</f>
        <v>2.2000000000000002E-2</v>
      </c>
      <c r="J233" s="55" cm="1">
        <f t="array" ref="J233">InputFunctions_Dairy.CalculateFractionInMMSAfterSolidSeparation('Input - Dairy'!I66,'Input - Dairy'!I87,'Input - Dairy'!$F$81)</f>
        <v>2.2000000000000002E-2</v>
      </c>
      <c r="N233" s="55" t="str">
        <f>'Input - Dairy'!$D$66</f>
        <v>Milking shed</v>
      </c>
      <c r="O233" s="55" t="str">
        <f>'Input - Dairy'!$D$87</f>
        <v>Drains to paddock</v>
      </c>
      <c r="P233" s="55" cm="1">
        <f t="array" ref="P233">InputFunctions_Dairy.CalculateFractionInMMSAfterSolidSeparation('Input - Dairy'!E71,'Input - Dairy'!E87,'Input - Dairy'!$G$81)</f>
        <v>2.2000000000000002E-2</v>
      </c>
      <c r="Q233" s="55" cm="1">
        <f t="array" ref="Q233">InputFunctions_Dairy.CalculateFractionInMMSAfterSolidSeparation('Input - Dairy'!F71,'Input - Dairy'!F87,'Input - Dairy'!$G$81)</f>
        <v>2.2000000000000002E-2</v>
      </c>
      <c r="R233" s="55" cm="1">
        <f t="array" ref="R233">InputFunctions_Dairy.CalculateFractionInMMSAfterSolidSeparation('Input - Dairy'!G71,'Input - Dairy'!G87,'Input - Dairy'!$G$81)</f>
        <v>2.2000000000000002E-2</v>
      </c>
      <c r="S233" s="55" cm="1">
        <f t="array" ref="S233">InputFunctions_Dairy.CalculateFractionInMMSAfterSolidSeparation('Input - Dairy'!H71,'Input - Dairy'!H87,'Input - Dairy'!$G$81)</f>
        <v>2.2000000000000002E-2</v>
      </c>
      <c r="T233" s="55" cm="1">
        <f t="array" ref="T233">InputFunctions_Dairy.CalculateFractionInMMSAfterSolidSeparation('Input - Dairy'!I71,'Input - Dairy'!I87,'Input - Dairy'!$G$81)</f>
        <v>2.2000000000000002E-2</v>
      </c>
    </row>
    <row r="234" spans="4:20" ht="20.100000000000001" customHeight="1" x14ac:dyDescent="0.25">
      <c r="D234" s="55" t="str">
        <f>'Input - Dairy'!$D$66</f>
        <v>Milking shed</v>
      </c>
      <c r="E234" s="55" t="s">
        <v>412</v>
      </c>
      <c r="F234" s="55" cm="1">
        <f t="array" ref="F234">InputFunctions_Dairy.CalculateFractionInSolidStorage('Input - Dairy'!E66,'Input - Dairy'!E88,'Input - Dairy'!E85,'Input - Dairy'!$F$79,'Input - Dairy'!E86,'Input - Dairy'!$F$80,'Input - Dairy'!E87,'Input - Dairy'!$F$81)</f>
        <v>4.3999999999999997E-2</v>
      </c>
      <c r="G234" s="55" cm="1">
        <f t="array" ref="G234">InputFunctions_Dairy.CalculateFractionInSolidStorage('Input - Dairy'!F66,'Input - Dairy'!F88,'Input - Dairy'!F85,'Input - Dairy'!$F$79,'Input - Dairy'!F86,'Input - Dairy'!$F$80,'Input - Dairy'!F87,'Input - Dairy'!$F$81)</f>
        <v>4.3999999999999997E-2</v>
      </c>
      <c r="H234" s="55" cm="1">
        <f t="array" ref="H234">InputFunctions_Dairy.CalculateFractionInSolidStorage('Input - Dairy'!G66,'Input - Dairy'!G88,'Input - Dairy'!G85,'Input - Dairy'!$F$79,'Input - Dairy'!G86,'Input - Dairy'!$F$80,'Input - Dairy'!G87,'Input - Dairy'!$F$81)</f>
        <v>4.3999999999999997E-2</v>
      </c>
      <c r="I234" s="55" cm="1">
        <f t="array" ref="I234">InputFunctions_Dairy.CalculateFractionInSolidStorage('Input - Dairy'!H66,'Input - Dairy'!H88,'Input - Dairy'!H85,'Input - Dairy'!$F$79,'Input - Dairy'!H86,'Input - Dairy'!$F$80,'Input - Dairy'!H87,'Input - Dairy'!$F$81)</f>
        <v>4.3999999999999997E-2</v>
      </c>
      <c r="J234" s="55" cm="1">
        <f t="array" ref="J234">InputFunctions_Dairy.CalculateFractionInSolidStorage('Input - Dairy'!I66,'Input - Dairy'!I88,'Input - Dairy'!I85,'Input - Dairy'!$F$79,'Input - Dairy'!I86,'Input - Dairy'!$F$80,'Input - Dairy'!I87,'Input - Dairy'!$F$81)</f>
        <v>4.3999999999999997E-2</v>
      </c>
      <c r="N234" s="55" t="str">
        <f>'Input - Dairy'!$D$66</f>
        <v>Milking shed</v>
      </c>
      <c r="O234" s="55" t="s">
        <v>412</v>
      </c>
      <c r="P234" s="55" cm="1">
        <f t="array" ref="P234">InputFunctions_Dairy.CalculateFractionInSolidStorage('Input - Dairy'!E71,'Input - Dairy'!E88,'Input - Dairy'!E85,'Input - Dairy'!$G$79,'Input - Dairy'!E86,'Input - Dairy'!$G$80,'Input - Dairy'!E87,'Input - Dairy'!$G$81)</f>
        <v>4.3999999999999997E-2</v>
      </c>
      <c r="Q234" s="55" cm="1">
        <f t="array" ref="Q234">InputFunctions_Dairy.CalculateFractionInSolidStorage('Input - Dairy'!F71,'Input - Dairy'!F88,'Input - Dairy'!F85,'Input - Dairy'!$G$79,'Input - Dairy'!F86,'Input - Dairy'!$G$80,'Input - Dairy'!F87,'Input - Dairy'!$G$81)</f>
        <v>4.3999999999999997E-2</v>
      </c>
      <c r="R234" s="55" cm="1">
        <f t="array" ref="R234">InputFunctions_Dairy.CalculateFractionInSolidStorage('Input - Dairy'!G71,'Input - Dairy'!G88,'Input - Dairy'!G85,'Input - Dairy'!$G$79,'Input - Dairy'!G86,'Input - Dairy'!$G$80,'Input - Dairy'!G87,'Input - Dairy'!$G$81)</f>
        <v>4.3999999999999997E-2</v>
      </c>
      <c r="S234" s="55" cm="1">
        <f t="array" ref="S234">InputFunctions_Dairy.CalculateFractionInSolidStorage('Input - Dairy'!H71,'Input - Dairy'!H88,'Input - Dairy'!H85,'Input - Dairy'!$G$79,'Input - Dairy'!H86,'Input - Dairy'!$G$80,'Input - Dairy'!H87,'Input - Dairy'!$G$81)</f>
        <v>4.3999999999999997E-2</v>
      </c>
      <c r="T234" s="55" cm="1">
        <f t="array" ref="T234">InputFunctions_Dairy.CalculateFractionInSolidStorage('Input - Dairy'!I71,'Input - Dairy'!I88,'Input - Dairy'!I85,'Input - Dairy'!$G$79,'Input - Dairy'!I86,'Input - Dairy'!$G$80,'Input - Dairy'!I87,'Input - Dairy'!$G$81)</f>
        <v>4.3999999999999997E-2</v>
      </c>
    </row>
    <row r="235" spans="4:20" ht="20.100000000000001" customHeight="1" x14ac:dyDescent="0.25">
      <c r="D235" s="55" t="str">
        <f>'Input - Dairy'!$D$67</f>
        <v>Feed pad</v>
      </c>
      <c r="E235" s="55" t="str">
        <f>'Input - Dairy'!$D$101</f>
        <v>Anaerobic lagoon</v>
      </c>
      <c r="F235" s="55" cm="1">
        <f t="array" ref="F235">InputFunctions_Dairy.CalculateFractionInMMSAfterSolidSeparation('Input - Dairy'!E67,'Input - Dairy'!E101,'Input - Dairy'!$F$95)</f>
        <v>8.8999999999999996E-2</v>
      </c>
      <c r="G235" s="55" cm="1">
        <f t="array" ref="G235">InputFunctions_Dairy.CalculateFractionInMMSAfterSolidSeparation('Input - Dairy'!F67,'Input - Dairy'!F101,'Input - Dairy'!$F$95)</f>
        <v>8.8999999999999996E-2</v>
      </c>
      <c r="H235" s="55" cm="1">
        <f t="array" ref="H235">InputFunctions_Dairy.CalculateFractionInMMSAfterSolidSeparation('Input - Dairy'!G67,'Input - Dairy'!G101,'Input - Dairy'!$F$95)</f>
        <v>8.8999999999999996E-2</v>
      </c>
      <c r="I235" s="55" cm="1">
        <f t="array" ref="I235">InputFunctions_Dairy.CalculateFractionInMMSAfterSolidSeparation('Input - Dairy'!H67,'Input - Dairy'!H101,'Input - Dairy'!$F$95)</f>
        <v>8.8999999999999996E-2</v>
      </c>
      <c r="J235" s="55" cm="1">
        <f t="array" ref="J235">InputFunctions_Dairy.CalculateFractionInMMSAfterSolidSeparation('Input - Dairy'!I67,'Input - Dairy'!I101,'Input - Dairy'!$F$95)</f>
        <v>8.8999999999999996E-2</v>
      </c>
      <c r="N235" s="55" t="str">
        <f>'Input - Dairy'!$D$67</f>
        <v>Feed pad</v>
      </c>
      <c r="O235" s="55" t="str">
        <f>'Input - Dairy'!$D$101</f>
        <v>Anaerobic lagoon</v>
      </c>
      <c r="P235" s="55" cm="1">
        <f t="array" ref="P235">InputFunctions_Dairy.CalculateFractionInMMSAfterSolidSeparation('Input - Dairy'!E72,'Input - Dairy'!E101,'Input - Dairy'!$G$95)</f>
        <v>8.8999999999999996E-2</v>
      </c>
      <c r="Q235" s="55" cm="1">
        <f t="array" ref="Q235">InputFunctions_Dairy.CalculateFractionInMMSAfterSolidSeparation('Input - Dairy'!F72,'Input - Dairy'!F101,'Input - Dairy'!$G$95)</f>
        <v>8.8999999999999996E-2</v>
      </c>
      <c r="R235" s="55" cm="1">
        <f t="array" ref="R235">InputFunctions_Dairy.CalculateFractionInMMSAfterSolidSeparation('Input - Dairy'!G72,'Input - Dairy'!G101,'Input - Dairy'!$G$95)</f>
        <v>8.8999999999999996E-2</v>
      </c>
      <c r="S235" s="55" cm="1">
        <f t="array" ref="S235">InputFunctions_Dairy.CalculateFractionInMMSAfterSolidSeparation('Input - Dairy'!H72,'Input - Dairy'!H101,'Input - Dairy'!$G$95)</f>
        <v>8.8999999999999996E-2</v>
      </c>
      <c r="T235" s="55" cm="1">
        <f t="array" ref="T235">InputFunctions_Dairy.CalculateFractionInMMSAfterSolidSeparation('Input - Dairy'!I72,'Input - Dairy'!I101,'Input - Dairy'!$G$95)</f>
        <v>8.8999999999999996E-2</v>
      </c>
    </row>
    <row r="236" spans="4:20" ht="20.100000000000001" customHeight="1" x14ac:dyDescent="0.25">
      <c r="D236" s="55" t="str">
        <f>'Input - Dairy'!$D$67</f>
        <v>Feed pad</v>
      </c>
      <c r="E236" s="55" t="str">
        <f>'Input - Dairy'!$D$102</f>
        <v>Sump and dispersal system</v>
      </c>
      <c r="F236" s="55" cm="1">
        <f t="array" ref="F236">InputFunctions_Dairy.CalculateFractionInMMSAfterSolidSeparation('Input - Dairy'!E67,'Input - Dairy'!E102,'Input - Dairy'!$F$96)</f>
        <v>7.1199999999999999E-2</v>
      </c>
      <c r="G236" s="55" cm="1">
        <f t="array" ref="G236">InputFunctions_Dairy.CalculateFractionInMMSAfterSolidSeparation('Input - Dairy'!F67,'Input - Dairy'!F102,'Input - Dairy'!$F$96)</f>
        <v>7.1199999999999999E-2</v>
      </c>
      <c r="H236" s="55" cm="1">
        <f t="array" ref="H236">InputFunctions_Dairy.CalculateFractionInMMSAfterSolidSeparation('Input - Dairy'!G67,'Input - Dairy'!G102,'Input - Dairy'!$F$96)</f>
        <v>7.1199999999999999E-2</v>
      </c>
      <c r="I236" s="55" cm="1">
        <f t="array" ref="I236">InputFunctions_Dairy.CalculateFractionInMMSAfterSolidSeparation('Input - Dairy'!H67,'Input - Dairy'!H102,'Input - Dairy'!$F$96)</f>
        <v>7.1199999999999999E-2</v>
      </c>
      <c r="J236" s="55" cm="1">
        <f t="array" ref="J236">InputFunctions_Dairy.CalculateFractionInMMSAfterSolidSeparation('Input - Dairy'!I67,'Input - Dairy'!I102,'Input - Dairy'!$F$96)</f>
        <v>7.1199999999999999E-2</v>
      </c>
      <c r="N236" s="55" t="str">
        <f>'Input - Dairy'!$D$67</f>
        <v>Feed pad</v>
      </c>
      <c r="O236" s="55" t="str">
        <f>'Input - Dairy'!$D$102</f>
        <v>Sump and dispersal system</v>
      </c>
      <c r="P236" s="55" cm="1">
        <f t="array" ref="P236">InputFunctions_Dairy.CalculateFractionInMMSAfterSolidSeparation('Input - Dairy'!E72,'Input - Dairy'!E102,'Input - Dairy'!$G$96)</f>
        <v>7.1199999999999999E-2</v>
      </c>
      <c r="Q236" s="55" cm="1">
        <f t="array" ref="Q236">InputFunctions_Dairy.CalculateFractionInMMSAfterSolidSeparation('Input - Dairy'!F72,'Input - Dairy'!F102,'Input - Dairy'!$G$96)</f>
        <v>7.1199999999999999E-2</v>
      </c>
      <c r="R236" s="55" cm="1">
        <f t="array" ref="R236">InputFunctions_Dairy.CalculateFractionInMMSAfterSolidSeparation('Input - Dairy'!G72,'Input - Dairy'!G102,'Input - Dairy'!$G$96)</f>
        <v>7.1199999999999999E-2</v>
      </c>
      <c r="S236" s="55" cm="1">
        <f t="array" ref="S236">InputFunctions_Dairy.CalculateFractionInMMSAfterSolidSeparation('Input - Dairy'!H72,'Input - Dairy'!H102,'Input - Dairy'!$G$96)</f>
        <v>7.1199999999999999E-2</v>
      </c>
      <c r="T236" s="55" cm="1">
        <f t="array" ref="T236">InputFunctions_Dairy.CalculateFractionInMMSAfterSolidSeparation('Input - Dairy'!I72,'Input - Dairy'!I102,'Input - Dairy'!$G$96)</f>
        <v>7.1199999999999999E-2</v>
      </c>
    </row>
    <row r="237" spans="4:20" ht="20.100000000000001" customHeight="1" x14ac:dyDescent="0.25">
      <c r="D237" s="55" t="str">
        <f>'Input - Dairy'!$D$67</f>
        <v>Feed pad</v>
      </c>
      <c r="E237" s="55" t="str">
        <f>'Input - Dairy'!$D$103</f>
        <v>Drains to paddock</v>
      </c>
      <c r="F237" s="55" cm="1">
        <f t="array" ref="F237">InputFunctions_Dairy.CalculateFractionInMMSAfterSolidSeparation('Input - Dairy'!E67,'Input - Dairy'!E103,'Input - Dairy'!$F$97)</f>
        <v>7.1199999999999999E-2</v>
      </c>
      <c r="G237" s="55" cm="1">
        <f t="array" ref="G237">InputFunctions_Dairy.CalculateFractionInMMSAfterSolidSeparation('Input - Dairy'!F67,'Input - Dairy'!F103,'Input - Dairy'!$F$97)</f>
        <v>7.1199999999999999E-2</v>
      </c>
      <c r="H237" s="55" cm="1">
        <f t="array" ref="H237">InputFunctions_Dairy.CalculateFractionInMMSAfterSolidSeparation('Input - Dairy'!G67,'Input - Dairy'!G103,'Input - Dairy'!$F$97)</f>
        <v>7.1199999999999999E-2</v>
      </c>
      <c r="I237" s="55" cm="1">
        <f t="array" ref="I237">InputFunctions_Dairy.CalculateFractionInMMSAfterSolidSeparation('Input - Dairy'!H67,'Input - Dairy'!H103,'Input - Dairy'!$F$97)</f>
        <v>7.1199999999999999E-2</v>
      </c>
      <c r="J237" s="55" cm="1">
        <f t="array" ref="J237">InputFunctions_Dairy.CalculateFractionInMMSAfterSolidSeparation('Input - Dairy'!I67,'Input - Dairy'!I103,'Input - Dairy'!$F$97)</f>
        <v>7.1199999999999999E-2</v>
      </c>
      <c r="N237" s="55" t="str">
        <f>'Input - Dairy'!$D$67</f>
        <v>Feed pad</v>
      </c>
      <c r="O237" s="55" t="str">
        <f>'Input - Dairy'!$D$103</f>
        <v>Drains to paddock</v>
      </c>
      <c r="P237" s="55" cm="1">
        <f t="array" ref="P237">InputFunctions_Dairy.CalculateFractionInMMSAfterSolidSeparation('Input - Dairy'!E72,'Input - Dairy'!E103,'Input - Dairy'!$G$97)</f>
        <v>7.1199999999999999E-2</v>
      </c>
      <c r="Q237" s="55" cm="1">
        <f t="array" ref="Q237">InputFunctions_Dairy.CalculateFractionInMMSAfterSolidSeparation('Input - Dairy'!F72,'Input - Dairy'!F103,'Input - Dairy'!$G$97)</f>
        <v>7.1199999999999999E-2</v>
      </c>
      <c r="R237" s="55" cm="1">
        <f t="array" ref="R237">InputFunctions_Dairy.CalculateFractionInMMSAfterSolidSeparation('Input - Dairy'!G72,'Input - Dairy'!G103,'Input - Dairy'!$G$97)</f>
        <v>7.1199999999999999E-2</v>
      </c>
      <c r="S237" s="55" cm="1">
        <f t="array" ref="S237">InputFunctions_Dairy.CalculateFractionInMMSAfterSolidSeparation('Input - Dairy'!H72,'Input - Dairy'!H103,'Input - Dairy'!$G$97)</f>
        <v>7.1199999999999999E-2</v>
      </c>
      <c r="T237" s="55" cm="1">
        <f t="array" ref="T237">InputFunctions_Dairy.CalculateFractionInMMSAfterSolidSeparation('Input - Dairy'!I72,'Input - Dairy'!I103,'Input - Dairy'!$G$97)</f>
        <v>7.1199999999999999E-2</v>
      </c>
    </row>
    <row r="238" spans="4:20" ht="20.100000000000001" customHeight="1" x14ac:dyDescent="0.25">
      <c r="D238" s="55" t="str">
        <f>'Input - Dairy'!$D$67</f>
        <v>Feed pad</v>
      </c>
      <c r="E238" s="55" t="s">
        <v>412</v>
      </c>
      <c r="F238" s="55" cm="1">
        <f t="array" ref="F238">InputFunctions_Dairy.CalculateFractionInSolidStorage('Input - Dairy'!E67,'Input - Dairy'!E104,'Input - Dairy'!E101,'Input - Dairy'!$F$95,'Input - Dairy'!E102,'Input - Dairy'!$F$96,'Input - Dairy'!E103,'Input - Dairy'!$F$97)</f>
        <v>0.12459999999999999</v>
      </c>
      <c r="G238" s="55" cm="1">
        <f t="array" ref="G238">InputFunctions_Dairy.CalculateFractionInSolidStorage('Input - Dairy'!F67,'Input - Dairy'!F104,'Input - Dairy'!F101,'Input - Dairy'!$F$95,'Input - Dairy'!F102,'Input - Dairy'!$F$96,'Input - Dairy'!F103,'Input - Dairy'!$F$97)</f>
        <v>0.12459999999999999</v>
      </c>
      <c r="H238" s="55" cm="1">
        <f t="array" ref="H238">InputFunctions_Dairy.CalculateFractionInSolidStorage('Input - Dairy'!G67,'Input - Dairy'!G104,'Input - Dairy'!G101,'Input - Dairy'!$F$95,'Input - Dairy'!G102,'Input - Dairy'!$F$96,'Input - Dairy'!G103,'Input - Dairy'!$F$97)</f>
        <v>0.12459999999999999</v>
      </c>
      <c r="I238" s="55" cm="1">
        <f t="array" ref="I238">InputFunctions_Dairy.CalculateFractionInSolidStorage('Input - Dairy'!H67,'Input - Dairy'!H104,'Input - Dairy'!H101,'Input - Dairy'!$F$95,'Input - Dairy'!H102,'Input - Dairy'!$F$96,'Input - Dairy'!H103,'Input - Dairy'!$F$97)</f>
        <v>0.12459999999999999</v>
      </c>
      <c r="J238" s="55" cm="1">
        <f t="array" ref="J238">InputFunctions_Dairy.CalculateFractionInSolidStorage('Input - Dairy'!I67,'Input - Dairy'!I104,'Input - Dairy'!I101,'Input - Dairy'!$F$95,'Input - Dairy'!I102,'Input - Dairy'!$F$96,'Input - Dairy'!I103,'Input - Dairy'!$F$97)</f>
        <v>0.12459999999999999</v>
      </c>
      <c r="N238" s="55" t="str">
        <f>'Input - Dairy'!$D$67</f>
        <v>Feed pad</v>
      </c>
      <c r="O238" s="55" t="str">
        <f>'Input - Dairy'!$D$104</f>
        <v>Solid storage (before solid separation)</v>
      </c>
      <c r="P238" s="55" cm="1">
        <f t="array" ref="P238">InputFunctions_Dairy.CalculateFractionInSolidStorage('Input - Dairy'!E72,'Input - Dairy'!E104,'Input - Dairy'!E101,'Input - Dairy'!$G$95, 'Input - Dairy'!E102,'Input - Dairy'!$G$96,'Input - Dairy'!E103,'Input - Dairy'!$G$97)</f>
        <v>0.12459999999999999</v>
      </c>
      <c r="Q238" s="55" cm="1">
        <f t="array" ref="Q238">InputFunctions_Dairy.CalculateFractionInSolidStorage('Input - Dairy'!F72,'Input - Dairy'!F104,'Input - Dairy'!F101,'Input - Dairy'!$G$95, 'Input - Dairy'!F102,'Input - Dairy'!$G$96,'Input - Dairy'!F103,'Input - Dairy'!$G$97)</f>
        <v>0.12459999999999999</v>
      </c>
      <c r="R238" s="55" cm="1">
        <f t="array" ref="R238">InputFunctions_Dairy.CalculateFractionInSolidStorage('Input - Dairy'!G72,'Input - Dairy'!G104,'Input - Dairy'!G101,'Input - Dairy'!$G$95, 'Input - Dairy'!G102,'Input - Dairy'!$G$96,'Input - Dairy'!G103,'Input - Dairy'!$G$97)</f>
        <v>0.12459999999999999</v>
      </c>
      <c r="S238" s="55" cm="1">
        <f t="array" ref="S238">InputFunctions_Dairy.CalculateFractionInSolidStorage('Input - Dairy'!H72,'Input - Dairy'!H104,'Input - Dairy'!H101,'Input - Dairy'!$G$95, 'Input - Dairy'!H102,'Input - Dairy'!$G$96,'Input - Dairy'!H103,'Input - Dairy'!$G$97)</f>
        <v>0.12459999999999999</v>
      </c>
      <c r="T238" s="55" cm="1">
        <f t="array" ref="T238">InputFunctions_Dairy.CalculateFractionInSolidStorage('Input - Dairy'!I72,'Input - Dairy'!I104,'Input - Dairy'!I101,'Input - Dairy'!$G$95, 'Input - Dairy'!I102,'Input - Dairy'!$G$96,'Input - Dairy'!I103,'Input - Dairy'!$G$97)</f>
        <v>0.12459999999999999</v>
      </c>
    </row>
    <row r="239" spans="4:20" ht="20.100000000000001" customHeight="1" x14ac:dyDescent="0.25">
      <c r="Q239" s="131"/>
    </row>
    <row r="240" spans="4:20" ht="20.100000000000001" customHeight="1" x14ac:dyDescent="0.25">
      <c r="D240" s="104" t="s">
        <v>314</v>
      </c>
      <c r="N240" s="104" t="s">
        <v>317</v>
      </c>
    </row>
    <row r="241" spans="1:21" ht="20.100000000000001" customHeight="1" x14ac:dyDescent="0.25">
      <c r="D241" s="103" t="s">
        <v>315</v>
      </c>
      <c r="N241" s="103" t="s">
        <v>316</v>
      </c>
    </row>
    <row r="242" spans="1:21" ht="20.100000000000001" customHeight="1" x14ac:dyDescent="0.25">
      <c r="D242" s="54" t="s">
        <v>149</v>
      </c>
      <c r="E242" s="54" t="s">
        <v>69</v>
      </c>
      <c r="F242" s="54" t="s">
        <v>175</v>
      </c>
      <c r="G242" s="54" t="s">
        <v>192</v>
      </c>
      <c r="H242" s="54" t="s">
        <v>193</v>
      </c>
      <c r="I242" s="54" t="s">
        <v>194</v>
      </c>
      <c r="J242" s="54" t="s">
        <v>195</v>
      </c>
      <c r="N242" s="54" t="s">
        <v>149</v>
      </c>
      <c r="O242" s="54" t="s">
        <v>69</v>
      </c>
      <c r="P242" s="54" t="s">
        <v>175</v>
      </c>
      <c r="Q242" s="54" t="s">
        <v>192</v>
      </c>
      <c r="R242" s="54" t="s">
        <v>193</v>
      </c>
      <c r="S242" s="54" t="s">
        <v>194</v>
      </c>
      <c r="T242" s="54" t="s">
        <v>195</v>
      </c>
    </row>
    <row r="243" spans="1:21" ht="20.100000000000001" customHeight="1" x14ac:dyDescent="0.25">
      <c r="D243" s="55" t="str">
        <f>'Input - Dairy'!$D$66</f>
        <v>Milking shed</v>
      </c>
      <c r="E243" s="55" t="str">
        <f>'Input - Dairy'!$D$85</f>
        <v>Anaerobic lagoon</v>
      </c>
      <c r="F243" s="55" cm="1">
        <f t="array" ref="F243">MMS_Dairy_N2ODirect_Equations.VEERG_4_3_1_3__2_TotalNitrogenInEachMMS(D$176,F231)</f>
        <v>-90.002191441727803</v>
      </c>
      <c r="G243" s="55" cm="1">
        <f t="array" ref="G243">MMS_Dairy_N2ODirect_Equations.VEERG_4_3_1_3__2_TotalNitrogenInEachMMS(E$176,G231)</f>
        <v>182.35790267782079</v>
      </c>
      <c r="H243" s="55" cm="1">
        <f t="array" ref="H243">MMS_Dairy_N2ODirect_Equations.VEERG_4_3_1_3__2_TotalNitrogenInEachMMS(F$213,H231)</f>
        <v>72.631224123843424</v>
      </c>
      <c r="I243" s="55" cm="1">
        <f t="array" ref="I243">MMS_Dairy_N2ODirect_Equations.VEERG_4_3_1_3__2_TotalNitrogenInEachMMS(G$176,I231)</f>
        <v>229.23109573986844</v>
      </c>
      <c r="J243" s="55" cm="1">
        <f t="array" ref="J243">MMS_Dairy_N2ODirect_Equations.VEERG_4_3_1_3__2_TotalNitrogenInEachMMS(H$213,J231)</f>
        <v>95.962857079055411</v>
      </c>
      <c r="N243" s="55" t="str">
        <f>'Input - Dairy'!$D$66</f>
        <v>Milking shed</v>
      </c>
      <c r="O243" s="55" t="str">
        <f>'Input - Dairy'!$D$85</f>
        <v>Anaerobic lagoon</v>
      </c>
      <c r="P243" s="55" cm="1">
        <f t="array" ref="P243">MMS_Dairy_N2ODirect_Equations.VEERG_4_3_1_3__2_TotalNitrogenInEachMMS(N$176,P231)</f>
        <v>-90.002191441727803</v>
      </c>
      <c r="Q243" s="55" cm="1">
        <f t="array" ref="Q243">MMS_Dairy_N2ODirect_Equations.VEERG_4_3_1_3__2_TotalNitrogenInEachMMS(O$176,Q231)</f>
        <v>182.35790267782079</v>
      </c>
      <c r="R243" s="55" cm="1">
        <f t="array" ref="R243">MMS_Dairy_N2ODirect_Equations.VEERG_4_3_1_3__2_TotalNitrogenInEachMMS(P$213,R231)</f>
        <v>72.631224123843424</v>
      </c>
      <c r="S243" s="55" cm="1">
        <f t="array" ref="S243">MMS_Dairy_N2ODirect_Equations.VEERG_4_3_1_3__2_TotalNitrogenInEachMMS(Q$176,S231)</f>
        <v>229.23109573986844</v>
      </c>
      <c r="T243" s="55" cm="1">
        <f t="array" ref="T243">MMS_Dairy_N2ODirect_Equations.VEERG_4_3_1_3__2_TotalNitrogenInEachMMS(R$213,T231)</f>
        <v>95.962857079055411</v>
      </c>
    </row>
    <row r="244" spans="1:21" ht="20.100000000000001" customHeight="1" x14ac:dyDescent="0.25">
      <c r="D244" s="55" t="str">
        <f>'Input - Dairy'!$D$66</f>
        <v>Milking shed</v>
      </c>
      <c r="E244" s="55" t="str">
        <f>'Input - Dairy'!$D$86</f>
        <v>Sump and dispersal system</v>
      </c>
      <c r="F244" s="55" cm="1">
        <f t="array" ref="F244">MMS_Dairy_N2ODirect_Equations.VEERG_4_3_1_3__2_TotalNitrogenInEachMMS(D$176,F232)</f>
        <v>-90.002191441727803</v>
      </c>
      <c r="G244" s="55" cm="1">
        <f t="array" ref="G244">MMS_Dairy_N2ODirect_Equations.VEERG_4_3_1_3__2_TotalNitrogenInEachMMS(E$176,G232)</f>
        <v>182.35790267782079</v>
      </c>
      <c r="H244" s="55" cm="1">
        <f t="array" ref="H244">MMS_Dairy_N2ODirect_Equations.VEERG_4_3_1_3__2_TotalNitrogenInEachMMS(F$213,H232)</f>
        <v>72.631224123843424</v>
      </c>
      <c r="I244" s="55" cm="1">
        <f t="array" ref="I244">MMS_Dairy_N2ODirect_Equations.VEERG_4_3_1_3__2_TotalNitrogenInEachMMS(G$176,I232)</f>
        <v>229.23109573986844</v>
      </c>
      <c r="J244" s="55" cm="1">
        <f t="array" ref="J244">MMS_Dairy_N2ODirect_Equations.VEERG_4_3_1_3__2_TotalNitrogenInEachMMS(H$213,J232)</f>
        <v>95.962857079055411</v>
      </c>
      <c r="N244" s="55" t="str">
        <f>'Input - Dairy'!$D$66</f>
        <v>Milking shed</v>
      </c>
      <c r="O244" s="55" t="str">
        <f>'Input - Dairy'!$D$86</f>
        <v>Sump and dispersal system</v>
      </c>
      <c r="P244" s="55" cm="1">
        <f t="array" ref="P244">MMS_Dairy_N2ODirect_Equations.VEERG_4_3_1_3__2_TotalNitrogenInEachMMS(N$176,P232)</f>
        <v>-90.002191441727803</v>
      </c>
      <c r="Q244" s="55" cm="1">
        <f t="array" ref="Q244">MMS_Dairy_N2ODirect_Equations.VEERG_4_3_1_3__2_TotalNitrogenInEachMMS(O$176,Q232)</f>
        <v>182.35790267782079</v>
      </c>
      <c r="R244" s="55" cm="1">
        <f t="array" ref="R244">MMS_Dairy_N2ODirect_Equations.VEERG_4_3_1_3__2_TotalNitrogenInEachMMS(P$213,R232)</f>
        <v>72.631224123843424</v>
      </c>
      <c r="S244" s="55" cm="1">
        <f t="array" ref="S244">MMS_Dairy_N2ODirect_Equations.VEERG_4_3_1_3__2_TotalNitrogenInEachMMS(Q$176,S232)</f>
        <v>229.23109573986844</v>
      </c>
      <c r="T244" s="55" cm="1">
        <f t="array" ref="T244">MMS_Dairy_N2ODirect_Equations.VEERG_4_3_1_3__2_TotalNitrogenInEachMMS(R$213,T232)</f>
        <v>95.962857079055411</v>
      </c>
    </row>
    <row r="245" spans="1:21" ht="20.100000000000001" customHeight="1" x14ac:dyDescent="0.25">
      <c r="A245" s="141" t="str">
        <f>HYPERLINK("#A1", "▲ Back to top")</f>
        <v>▲ Back to top</v>
      </c>
      <c r="D245" s="55" t="str">
        <f>'Input - Dairy'!$D$66</f>
        <v>Milking shed</v>
      </c>
      <c r="E245" s="55" t="str">
        <f>'Input - Dairy'!$D$87</f>
        <v>Drains to paddock</v>
      </c>
      <c r="F245" s="55" cm="1">
        <f t="array" ref="F245">MMS_Dairy_N2ODirect_Equations.VEERG_4_3_1_3__2_TotalNitrogenInEachMMS(D$176,F233)</f>
        <v>-90.002191441727803</v>
      </c>
      <c r="G245" s="55" cm="1">
        <f t="array" ref="G245">MMS_Dairy_N2ODirect_Equations.VEERG_4_3_1_3__2_TotalNitrogenInEachMMS(E$176,G233)</f>
        <v>182.35790267782079</v>
      </c>
      <c r="H245" s="55" cm="1">
        <f t="array" ref="H245">MMS_Dairy_N2ODirect_Equations.VEERG_4_3_1_3__2_TotalNitrogenInEachMMS(F$213,H233)</f>
        <v>72.631224123843424</v>
      </c>
      <c r="I245" s="55" cm="1">
        <f t="array" ref="I245">MMS_Dairy_N2ODirect_Equations.VEERG_4_3_1_3__2_TotalNitrogenInEachMMS(G$176,I233)</f>
        <v>229.23109573986844</v>
      </c>
      <c r="J245" s="55" cm="1">
        <f t="array" ref="J245">MMS_Dairy_N2ODirect_Equations.VEERG_4_3_1_3__2_TotalNitrogenInEachMMS(H$213,J233)</f>
        <v>95.962857079055411</v>
      </c>
      <c r="N245" s="55" t="str">
        <f>'Input - Dairy'!$D$66</f>
        <v>Milking shed</v>
      </c>
      <c r="O245" s="55" t="str">
        <f>'Input - Dairy'!$D$87</f>
        <v>Drains to paddock</v>
      </c>
      <c r="P245" s="55" cm="1">
        <f t="array" ref="P245">MMS_Dairy_N2ODirect_Equations.VEERG_4_3_1_3__2_TotalNitrogenInEachMMS(N$176,P233)</f>
        <v>-90.002191441727803</v>
      </c>
      <c r="Q245" s="55" cm="1">
        <f t="array" ref="Q245">MMS_Dairy_N2ODirect_Equations.VEERG_4_3_1_3__2_TotalNitrogenInEachMMS(O$176,Q233)</f>
        <v>182.35790267782079</v>
      </c>
      <c r="R245" s="55" cm="1">
        <f t="array" ref="R245">MMS_Dairy_N2ODirect_Equations.VEERG_4_3_1_3__2_TotalNitrogenInEachMMS(P$213,R233)</f>
        <v>72.631224123843424</v>
      </c>
      <c r="S245" s="55" cm="1">
        <f t="array" ref="S245">MMS_Dairy_N2ODirect_Equations.VEERG_4_3_1_3__2_TotalNitrogenInEachMMS(Q$176,S233)</f>
        <v>229.23109573986844</v>
      </c>
      <c r="T245" s="55" cm="1">
        <f t="array" ref="T245">MMS_Dairy_N2ODirect_Equations.VEERG_4_3_1_3__2_TotalNitrogenInEachMMS(R$213,T233)</f>
        <v>95.962857079055411</v>
      </c>
    </row>
    <row r="246" spans="1:21" ht="20.100000000000001" customHeight="1" x14ac:dyDescent="0.25">
      <c r="D246" s="55" t="str">
        <f>'Input - Dairy'!$D$66</f>
        <v>Milking shed</v>
      </c>
      <c r="E246" s="55" t="s">
        <v>412</v>
      </c>
      <c r="F246" s="55" cm="1">
        <f t="array" ref="F246">MMS_Dairy_N2ODirect_Equations.VEERG_4_3_1_3__2_TotalNitrogenInEachMMS(D$176,F234)</f>
        <v>-180.00438288345558</v>
      </c>
      <c r="G246" s="55" cm="1">
        <f t="array" ref="G246">MMS_Dairy_N2ODirect_Equations.VEERG_4_3_1_3__2_TotalNitrogenInEachMMS(E$176,G234)</f>
        <v>364.71580535564152</v>
      </c>
      <c r="H246" s="55" cm="1">
        <f t="array" ref="H246">MMS_Dairy_N2ODirect_Equations.VEERG_4_3_1_3__2_TotalNitrogenInEachMMS(F$213,H234)</f>
        <v>145.26244824768682</v>
      </c>
      <c r="I246" s="55" cm="1">
        <f t="array" ref="I246">MMS_Dairy_N2ODirect_Equations.VEERG_4_3_1_3__2_TotalNitrogenInEachMMS(G$176,I234)</f>
        <v>458.46219147973682</v>
      </c>
      <c r="J246" s="55" cm="1">
        <f t="array" ref="J246">MMS_Dairy_N2ODirect_Equations.VEERG_4_3_1_3__2_TotalNitrogenInEachMMS(H$213,J234)</f>
        <v>191.92571415811079</v>
      </c>
      <c r="N246" s="55" t="str">
        <f>'Input - Dairy'!$D$66</f>
        <v>Milking shed</v>
      </c>
      <c r="O246" s="55" t="s">
        <v>412</v>
      </c>
      <c r="P246" s="55" cm="1">
        <f t="array" ref="P246">MMS_Dairy_N2ODirect_Equations.VEERG_4_3_1_3__2_TotalNitrogenInEachMMS(N$176,P234)</f>
        <v>-180.00438288345558</v>
      </c>
      <c r="Q246" s="55" cm="1">
        <f t="array" ref="Q246">MMS_Dairy_N2ODirect_Equations.VEERG_4_3_1_3__2_TotalNitrogenInEachMMS(O$176,Q234)</f>
        <v>364.71580535564152</v>
      </c>
      <c r="R246" s="55" cm="1">
        <f t="array" ref="R246">MMS_Dairy_N2ODirect_Equations.VEERG_4_3_1_3__2_TotalNitrogenInEachMMS(P$213,R234)</f>
        <v>145.26244824768682</v>
      </c>
      <c r="S246" s="55" cm="1">
        <f t="array" ref="S246">MMS_Dairy_N2ODirect_Equations.VEERG_4_3_1_3__2_TotalNitrogenInEachMMS(Q$176,S234)</f>
        <v>458.46219147973682</v>
      </c>
      <c r="T246" s="55" cm="1">
        <f t="array" ref="T246">MMS_Dairy_N2ODirect_Equations.VEERG_4_3_1_3__2_TotalNitrogenInEachMMS(R$213,T234)</f>
        <v>191.92571415811079</v>
      </c>
    </row>
    <row r="247" spans="1:21" ht="20.100000000000001" customHeight="1" x14ac:dyDescent="0.25">
      <c r="D247" s="55" t="str">
        <f>'Input - Dairy'!$D$67</f>
        <v>Feed pad</v>
      </c>
      <c r="E247" s="55" t="str">
        <f>'Input - Dairy'!$D$101</f>
        <v>Anaerobic lagoon</v>
      </c>
      <c r="F247" s="55" cm="1">
        <f t="array" ref="F247">MMS_Dairy_N2ODirect_Equations.VEERG_4_3_1_3__2_TotalNitrogenInEachMMS(D$176,F235)</f>
        <v>-364.09977446880788</v>
      </c>
      <c r="G247" s="55" cm="1">
        <f t="array" ref="G247">MMS_Dairy_N2ODirect_Equations.VEERG_4_3_1_3__2_TotalNitrogenInEachMMS(E$176,G235)</f>
        <v>737.72060628754764</v>
      </c>
      <c r="H247" s="55" cm="1">
        <f t="array" ref="H247">MMS_Dairy_N2ODirect_Equations.VEERG_4_3_1_3__2_TotalNitrogenInEachMMS(F$213,H235)</f>
        <v>293.82631577373019</v>
      </c>
      <c r="I247" s="55" cm="1">
        <f t="array" ref="I247">MMS_Dairy_N2ODirect_Equations.VEERG_4_3_1_3__2_TotalNitrogenInEachMMS(G$176,I235)</f>
        <v>927.34397822037681</v>
      </c>
      <c r="J247" s="55" cm="1">
        <f t="array" ref="J247">MMS_Dairy_N2ODirect_Equations.VEERG_4_3_1_3__2_TotalNitrogenInEachMMS(H$213,J235)</f>
        <v>388.21337636526954</v>
      </c>
      <c r="N247" s="55" t="str">
        <f>'Input - Dairy'!$D$67</f>
        <v>Feed pad</v>
      </c>
      <c r="O247" s="55" t="str">
        <f>'Input - Dairy'!$D$101</f>
        <v>Anaerobic lagoon</v>
      </c>
      <c r="P247" s="55" cm="1">
        <f t="array" ref="P247">MMS_Dairy_N2ODirect_Equations.VEERG_4_3_1_3__2_TotalNitrogenInEachMMS(N$176,P235)</f>
        <v>-364.09977446880788</v>
      </c>
      <c r="Q247" s="55" cm="1">
        <f t="array" ref="Q247">MMS_Dairy_N2ODirect_Equations.VEERG_4_3_1_3__2_TotalNitrogenInEachMMS(O$176,Q235)</f>
        <v>737.72060628754764</v>
      </c>
      <c r="R247" s="55" cm="1">
        <f t="array" ref="R247">MMS_Dairy_N2ODirect_Equations.VEERG_4_3_1_3__2_TotalNitrogenInEachMMS(P$213,R235)</f>
        <v>293.82631577373019</v>
      </c>
      <c r="S247" s="55" cm="1">
        <f t="array" ref="S247">MMS_Dairy_N2ODirect_Equations.VEERG_4_3_1_3__2_TotalNitrogenInEachMMS(Q$176,S235)</f>
        <v>927.34397822037681</v>
      </c>
      <c r="T247" s="55" cm="1">
        <f t="array" ref="T247">MMS_Dairy_N2ODirect_Equations.VEERG_4_3_1_3__2_TotalNitrogenInEachMMS(R$213,T235)</f>
        <v>388.21337636526954</v>
      </c>
    </row>
    <row r="248" spans="1:21" ht="20.100000000000001" customHeight="1" x14ac:dyDescent="0.25">
      <c r="D248" s="55" t="str">
        <f>'Input - Dairy'!$D$67</f>
        <v>Feed pad</v>
      </c>
      <c r="E248" s="55" t="str">
        <f>'Input - Dairy'!$D$102</f>
        <v>Sump and dispersal system</v>
      </c>
      <c r="F248" s="55" cm="1">
        <f t="array" ref="F248">MMS_Dairy_N2ODirect_Equations.VEERG_4_3_1_3__2_TotalNitrogenInEachMMS(D$176,F236)</f>
        <v>-291.2798195750463</v>
      </c>
      <c r="G248" s="55" cm="1">
        <f t="array" ref="G248">MMS_Dairy_N2ODirect_Equations.VEERG_4_3_1_3__2_TotalNitrogenInEachMMS(E$176,G236)</f>
        <v>590.17648503003818</v>
      </c>
      <c r="H248" s="55" cm="1">
        <f t="array" ref="H248">MMS_Dairy_N2ODirect_Equations.VEERG_4_3_1_3__2_TotalNitrogenInEachMMS(F$213,H236)</f>
        <v>235.06105261898415</v>
      </c>
      <c r="I248" s="55" cm="1">
        <f t="array" ref="I248">MMS_Dairy_N2ODirect_Equations.VEERG_4_3_1_3__2_TotalNitrogenInEachMMS(G$176,I236)</f>
        <v>741.87518257630143</v>
      </c>
      <c r="J248" s="55" cm="1">
        <f t="array" ref="J248">MMS_Dairy_N2ODirect_Equations.VEERG_4_3_1_3__2_TotalNitrogenInEachMMS(H$213,J236)</f>
        <v>310.57070109221564</v>
      </c>
      <c r="N248" s="55" t="str">
        <f>'Input - Dairy'!$D$67</f>
        <v>Feed pad</v>
      </c>
      <c r="O248" s="55" t="str">
        <f>'Input - Dairy'!$D$102</f>
        <v>Sump and dispersal system</v>
      </c>
      <c r="P248" s="55" cm="1">
        <f t="array" ref="P248">MMS_Dairy_N2ODirect_Equations.VEERG_4_3_1_3__2_TotalNitrogenInEachMMS(N$176,P236)</f>
        <v>-291.2798195750463</v>
      </c>
      <c r="Q248" s="55" cm="1">
        <f t="array" ref="Q248">MMS_Dairy_N2ODirect_Equations.VEERG_4_3_1_3__2_TotalNitrogenInEachMMS(O$176,Q236)</f>
        <v>590.17648503003818</v>
      </c>
      <c r="R248" s="55" cm="1">
        <f t="array" ref="R248">MMS_Dairy_N2ODirect_Equations.VEERG_4_3_1_3__2_TotalNitrogenInEachMMS(P$213,R236)</f>
        <v>235.06105261898415</v>
      </c>
      <c r="S248" s="55" cm="1">
        <f t="array" ref="S248">MMS_Dairy_N2ODirect_Equations.VEERG_4_3_1_3__2_TotalNitrogenInEachMMS(Q$176,S236)</f>
        <v>741.87518257630143</v>
      </c>
      <c r="T248" s="55" cm="1">
        <f t="array" ref="T248">MMS_Dairy_N2ODirect_Equations.VEERG_4_3_1_3__2_TotalNitrogenInEachMMS(R$213,T236)</f>
        <v>310.57070109221564</v>
      </c>
    </row>
    <row r="249" spans="1:21" ht="20.100000000000001" customHeight="1" x14ac:dyDescent="0.25">
      <c r="D249" s="55" t="str">
        <f>'Input - Dairy'!$D$67</f>
        <v>Feed pad</v>
      </c>
      <c r="E249" s="55" t="str">
        <f>'Input - Dairy'!$D$103</f>
        <v>Drains to paddock</v>
      </c>
      <c r="F249" s="55" cm="1">
        <f t="array" ref="F249">MMS_Dairy_N2ODirect_Equations.VEERG_4_3_1_3__2_TotalNitrogenInEachMMS(D$176,F237)</f>
        <v>-291.2798195750463</v>
      </c>
      <c r="G249" s="55" cm="1">
        <f t="array" ref="G249">MMS_Dairy_N2ODirect_Equations.VEERG_4_3_1_3__2_TotalNitrogenInEachMMS(E$176,G237)</f>
        <v>590.17648503003818</v>
      </c>
      <c r="H249" s="55" cm="1">
        <f t="array" ref="H249">MMS_Dairy_N2ODirect_Equations.VEERG_4_3_1_3__2_TotalNitrogenInEachMMS(F$213,H237)</f>
        <v>235.06105261898415</v>
      </c>
      <c r="I249" s="55" cm="1">
        <f t="array" ref="I249">MMS_Dairy_N2ODirect_Equations.VEERG_4_3_1_3__2_TotalNitrogenInEachMMS(G$176,I237)</f>
        <v>741.87518257630143</v>
      </c>
      <c r="J249" s="55" cm="1">
        <f t="array" ref="J249">MMS_Dairy_N2ODirect_Equations.VEERG_4_3_1_3__2_TotalNitrogenInEachMMS(H$213,J237)</f>
        <v>310.57070109221564</v>
      </c>
      <c r="N249" s="55" t="str">
        <f>'Input - Dairy'!$D$67</f>
        <v>Feed pad</v>
      </c>
      <c r="O249" s="55" t="str">
        <f>'Input - Dairy'!$D$103</f>
        <v>Drains to paddock</v>
      </c>
      <c r="P249" s="55" cm="1">
        <f t="array" ref="P249">MMS_Dairy_N2ODirect_Equations.VEERG_4_3_1_3__2_TotalNitrogenInEachMMS(N$176,P237)</f>
        <v>-291.2798195750463</v>
      </c>
      <c r="Q249" s="55" cm="1">
        <f t="array" ref="Q249">MMS_Dairy_N2ODirect_Equations.VEERG_4_3_1_3__2_TotalNitrogenInEachMMS(O$176,Q237)</f>
        <v>590.17648503003818</v>
      </c>
      <c r="R249" s="55" cm="1">
        <f t="array" ref="R249">MMS_Dairy_N2ODirect_Equations.VEERG_4_3_1_3__2_TotalNitrogenInEachMMS(P$213,R237)</f>
        <v>235.06105261898415</v>
      </c>
      <c r="S249" s="55" cm="1">
        <f t="array" ref="S249">MMS_Dairy_N2ODirect_Equations.VEERG_4_3_1_3__2_TotalNitrogenInEachMMS(Q$176,S237)</f>
        <v>741.87518257630143</v>
      </c>
      <c r="T249" s="55" cm="1">
        <f t="array" ref="T249">MMS_Dairy_N2ODirect_Equations.VEERG_4_3_1_3__2_TotalNitrogenInEachMMS(R$213,T237)</f>
        <v>310.57070109221564</v>
      </c>
    </row>
    <row r="250" spans="1:21" ht="20.100000000000001" customHeight="1" x14ac:dyDescent="0.25">
      <c r="D250" s="55" t="str">
        <f>'Input - Dairy'!$D$67</f>
        <v>Feed pad</v>
      </c>
      <c r="E250" s="55" t="s">
        <v>412</v>
      </c>
      <c r="F250" s="55" cm="1">
        <f t="array" ref="F250">MMS_Dairy_N2ODirect_Equations.VEERG_4_3_1_3__2_TotalNitrogenInEachMMS(D$176,F238)</f>
        <v>-509.73968425633097</v>
      </c>
      <c r="G250" s="55" cm="1">
        <f t="array" ref="G250">MMS_Dairy_N2ODirect_Equations.VEERG_4_3_1_3__2_TotalNitrogenInEachMMS(E$176,G238)</f>
        <v>1032.8088488025667</v>
      </c>
      <c r="H250" s="55" cm="1">
        <f t="array" ref="H250">MMS_Dairy_N2ODirect_Equations.VEERG_4_3_1_3__2_TotalNitrogenInEachMMS(F$213,H238)</f>
        <v>411.35684208322226</v>
      </c>
      <c r="I250" s="55" cm="1">
        <f t="array" ref="I250">MMS_Dairy_N2ODirect_Equations.VEERG_4_3_1_3__2_TotalNitrogenInEachMMS(G$176,I238)</f>
        <v>1298.2815695085274</v>
      </c>
      <c r="J250" s="55" cm="1">
        <f t="array" ref="J250">MMS_Dairy_N2ODirect_Equations.VEERG_4_3_1_3__2_TotalNitrogenInEachMMS(H$213,J238)</f>
        <v>543.49872691137739</v>
      </c>
      <c r="N250" s="55" t="str">
        <f>'Input - Dairy'!$D$67</f>
        <v>Feed pad</v>
      </c>
      <c r="O250" s="55" t="s">
        <v>412</v>
      </c>
      <c r="P250" s="55" cm="1">
        <f t="array" ref="P250">MMS_Dairy_N2ODirect_Equations.VEERG_4_3_1_3__2_TotalNitrogenInEachMMS(N$176,P238)</f>
        <v>-509.73968425633097</v>
      </c>
      <c r="Q250" s="55" cm="1">
        <f t="array" ref="Q250">MMS_Dairy_N2ODirect_Equations.VEERG_4_3_1_3__2_TotalNitrogenInEachMMS(O$176,Q238)</f>
        <v>1032.8088488025667</v>
      </c>
      <c r="R250" s="55" cm="1">
        <f t="array" ref="R250">MMS_Dairy_N2ODirect_Equations.VEERG_4_3_1_3__2_TotalNitrogenInEachMMS(P$213,R238)</f>
        <v>411.35684208322226</v>
      </c>
      <c r="S250" s="55" cm="1">
        <f t="array" ref="S250">MMS_Dairy_N2ODirect_Equations.VEERG_4_3_1_3__2_TotalNitrogenInEachMMS(Q$176,S238)</f>
        <v>1298.2815695085274</v>
      </c>
      <c r="T250" s="55" cm="1">
        <f t="array" ref="T250">MMS_Dairy_N2ODirect_Equations.VEERG_4_3_1_3__2_TotalNitrogenInEachMMS(R$213,T238)</f>
        <v>543.49872691137739</v>
      </c>
    </row>
    <row r="251" spans="1:21" ht="20.100000000000001" customHeight="1" x14ac:dyDescent="0.25"/>
    <row r="252" spans="1:21" ht="20.100000000000001" customHeight="1" x14ac:dyDescent="0.25"/>
    <row r="253" spans="1:21" ht="20.100000000000001" customHeight="1" x14ac:dyDescent="0.25">
      <c r="C253" s="48"/>
      <c r="D253" s="48"/>
      <c r="E253" s="48"/>
      <c r="F253" s="48"/>
      <c r="G253" s="48"/>
      <c r="H253" s="48"/>
      <c r="I253" s="48"/>
      <c r="J253" s="48"/>
      <c r="K253" s="48"/>
      <c r="M253" s="48"/>
      <c r="N253" s="48"/>
      <c r="O253" s="48"/>
      <c r="P253" s="48"/>
      <c r="Q253" s="48"/>
      <c r="R253" s="48"/>
      <c r="S253" s="48"/>
      <c r="T253" s="48"/>
      <c r="U253" s="48"/>
    </row>
    <row r="254" spans="1:21" ht="20.100000000000001" customHeight="1" x14ac:dyDescent="0.25">
      <c r="D254" s="6" t="str" cm="1">
        <f t="array" ref="D254">MMS_Dairy_N2ODirect_Equations.VEERG_4_3_1_3__1_TotalAnnualDirectNitrousOxideEmissionsFromMMS_Title()</f>
        <v>Total annual direct nitrous oxide emissions from manure management systems</v>
      </c>
    </row>
    <row r="255" spans="1:21" ht="20.100000000000001" customHeight="1" x14ac:dyDescent="0.25">
      <c r="D255" s="5" t="str" cm="1">
        <f t="array" ref="D255">MMS_Dairy_N2ODirect_Equations.VEERG_4_3_1_3__1_TotalAnnualDirectNitrousOxideEmissionsFromMMS_Source()</f>
        <v>VEERG 2026: 4.3.1.3, Equation (1)</v>
      </c>
    </row>
    <row r="256" spans="1:21" ht="20.100000000000001" customHeight="1" x14ac:dyDescent="0.25">
      <c r="D256" s="13" t="s">
        <v>28</v>
      </c>
      <c r="E256" s="13" t="str" cm="1">
        <f t="array" aca="1" ref="E256" ca="1">Common_InputFunctions.Utility_DisplayFunctionName(F280)</f>
        <v>=MMS_Dairy_N2ODirect_Equations.VEERG_4_3_1_3__1_TotalAnnualDirectNitrousOxideEmissionsFromMMS</v>
      </c>
    </row>
    <row r="257" spans="4:9" ht="20.100000000000001" customHeight="1" x14ac:dyDescent="0.25"/>
    <row r="258" spans="4:9" ht="20.100000000000001" customHeight="1" x14ac:dyDescent="0.25">
      <c r="D258" s="6"/>
    </row>
    <row r="259" spans="4:9" ht="20.100000000000001" customHeight="1" x14ac:dyDescent="0.25">
      <c r="D259" s="56" t="s">
        <v>31</v>
      </c>
      <c r="E259" s="1" t="str" cm="1">
        <f t="array" ref="E259">MMS_Dairy_N2ODirect_Equations.VEERG_4_3_1_3__1_TotalAnnualDirectNitrousOxideEmissionsFromMMS_Variable()</f>
        <v>E_N2Odir</v>
      </c>
    </row>
    <row r="260" spans="4:9" ht="20.100000000000001" customHeight="1" x14ac:dyDescent="0.25">
      <c r="D260" s="56" t="s">
        <v>21</v>
      </c>
      <c r="E260" s="57" t="str" cm="1">
        <f t="array" ref="E260">MMS_Dairy_N2ODirect_Equations.VEERG_4_3_1_3__1_TotalAnnualDirectNitrousOxideEmissionsFromMMS_Unit()</f>
        <v>t N2O</v>
      </c>
    </row>
    <row r="261" spans="4:9" ht="20.100000000000001" customHeight="1" x14ac:dyDescent="0.25"/>
    <row r="262" spans="4:9" ht="20.100000000000001" customHeight="1" x14ac:dyDescent="0.25">
      <c r="D262" s="137" t="str" cm="1">
        <f t="array" ref="D262:E264">_xlfn.CHOOSECOLS(MMS_Dairy_N2ODirect_Equations.VEERG_4_3_1_3__1_TotalAnnualDirectNitrousOxideEmissionsFromMMS_Arguments(),1,2)</f>
        <v>MN_jm</v>
      </c>
      <c r="E262" s="137" t="str">
        <v>total nitrogen in each MMS for dairy cattle classes</v>
      </c>
      <c r="F262" s="137"/>
      <c r="G262" s="137" t="str" cm="1">
        <f t="array" ref="G262:H264">_xlfn.CHOOSECOLS(MMS_Dairy_N2ODirect_Equations.VEERG_4_3_1_3__1_TotalAnnualDirectNitrousOxideEmissionsFromMMS_Arguments(),3,4)</f>
        <v>kg N</v>
      </c>
      <c r="H262" s="133" t="str">
        <v>Calculated from 4.3.1.3 (2)</v>
      </c>
      <c r="I262" s="134" t="str" cm="1">
        <f t="array" aca="1" ref="I262" ca="1">HYPERLINK(Common_InputFunctions.Utility_SourceHyperlink($D$240),$D$240)</f>
        <v>M1_Table_MN_j_m</v>
      </c>
    </row>
    <row r="263" spans="4:9" ht="20.100000000000001" customHeight="1" x14ac:dyDescent="0.25">
      <c r="D263" s="137" t="str">
        <v>EF_m</v>
      </c>
      <c r="E263" s="137" t="str">
        <v>nitrous oxide emission factor for each MMS (kg N2O-N/kg N deposited)</v>
      </c>
      <c r="F263" s="137"/>
      <c r="G263" s="137" t="str">
        <v>kg N2O-N/kg N</v>
      </c>
      <c r="H263" s="133" t="str">
        <v>Constant</v>
      </c>
      <c r="I263" s="134" t="str" cm="1">
        <f t="array" aca="1" ref="I263" ca="1">HYPERLINK(Common_InputFunctions.Utility_SourceHyperlink($D$266),$D$266)</f>
        <v>Table_EF_m</v>
      </c>
    </row>
    <row r="264" spans="4:9" ht="20.100000000000001" customHeight="1" x14ac:dyDescent="0.25">
      <c r="D264" s="137" t="str">
        <v>C_N2O</v>
      </c>
      <c r="E264" s="137" t="str">
        <v>factor to convert elemental mass of N2O to molecular mass</v>
      </c>
      <c r="F264" s="137"/>
      <c r="G264" s="137" t="str">
        <v>fraction</v>
      </c>
      <c r="H264" s="133" t="str">
        <v>Constant</v>
      </c>
      <c r="I264" s="137">
        <f>Common_InputFunctions.Utility_LookupValueInTableNumber("N2O",Table_GasToMolecularConversionFactor[Gas],Table_GasToMolecularConversionFactor[Conversion factor combined])</f>
        <v>1.5714285714285714</v>
      </c>
    </row>
    <row r="265" spans="4:9" ht="20.100000000000001" customHeight="1" x14ac:dyDescent="0.25"/>
    <row r="266" spans="4:9" ht="20.100000000000001" customHeight="1" x14ac:dyDescent="0.25">
      <c r="D266" s="104" t="s">
        <v>318</v>
      </c>
    </row>
    <row r="267" spans="4:9" ht="20.100000000000001" customHeight="1" x14ac:dyDescent="0.25">
      <c r="D267" s="103" t="s">
        <v>319</v>
      </c>
    </row>
    <row r="268" spans="4:9" ht="20.100000000000001" customHeight="1" x14ac:dyDescent="0.25">
      <c r="D268" s="54" t="s">
        <v>69</v>
      </c>
      <c r="E268" s="54" t="s">
        <v>320</v>
      </c>
    </row>
    <row r="269" spans="4:9" ht="20.100000000000001" customHeight="1" x14ac:dyDescent="0.25">
      <c r="D269" s="55" t="str" cm="1">
        <f t="array" ref="D269:D273">Table_SourceData_Dairy_EFmFracGASM[NIR reference]</f>
        <v>Pasture range and paddock</v>
      </c>
      <c r="E269" s="55" cm="1">
        <f t="array" ref="E269:E273">Table_SourceData_Dairy_EFmFracGASM[EFm]</f>
        <v>0</v>
      </c>
    </row>
    <row r="270" spans="4:9" ht="20.100000000000001" customHeight="1" x14ac:dyDescent="0.25">
      <c r="D270" s="55" t="str">
        <v>Anaerobic lagoon</v>
      </c>
      <c r="E270" s="55">
        <v>0</v>
      </c>
    </row>
    <row r="271" spans="4:9" ht="20.100000000000001" customHeight="1" x14ac:dyDescent="0.25">
      <c r="D271" s="55" t="str">
        <v>Sump and dispersal system</v>
      </c>
      <c r="E271" s="55">
        <v>0</v>
      </c>
    </row>
    <row r="272" spans="4:9" ht="20.100000000000001" customHeight="1" x14ac:dyDescent="0.25">
      <c r="D272" s="55" t="str">
        <v>Drains to paddock</v>
      </c>
      <c r="E272" s="55">
        <v>0</v>
      </c>
    </row>
    <row r="273" spans="1:20" ht="20.100000000000001" customHeight="1" x14ac:dyDescent="0.25">
      <c r="D273" s="55" t="str">
        <v>Solid storage</v>
      </c>
      <c r="E273" s="55">
        <v>5.0000000000000001E-3</v>
      </c>
    </row>
    <row r="274" spans="1:20" ht="20.100000000000001" customHeight="1" x14ac:dyDescent="0.25"/>
    <row r="275" spans="1:20" ht="20.100000000000001" customHeight="1" x14ac:dyDescent="0.25">
      <c r="D275" s="104" t="s">
        <v>125</v>
      </c>
      <c r="N275" s="104" t="s">
        <v>125</v>
      </c>
    </row>
    <row r="276" spans="1:20" ht="20.100000000000001" customHeight="1" x14ac:dyDescent="0.25">
      <c r="D276" s="103" t="s">
        <v>321</v>
      </c>
      <c r="N276" s="103" t="s">
        <v>321</v>
      </c>
    </row>
    <row r="277" spans="1:20" ht="20.100000000000001" customHeight="1" x14ac:dyDescent="0.25">
      <c r="D277" s="54" t="s">
        <v>149</v>
      </c>
      <c r="E277" s="54" t="s">
        <v>69</v>
      </c>
      <c r="F277" s="54" t="s">
        <v>175</v>
      </c>
      <c r="G277" s="54" t="s">
        <v>192</v>
      </c>
      <c r="H277" s="54" t="s">
        <v>193</v>
      </c>
      <c r="I277" s="54" t="s">
        <v>194</v>
      </c>
      <c r="J277" s="54" t="s">
        <v>195</v>
      </c>
      <c r="N277" s="54" t="s">
        <v>149</v>
      </c>
      <c r="O277" s="54" t="s">
        <v>69</v>
      </c>
      <c r="P277" s="54" t="s">
        <v>175</v>
      </c>
      <c r="Q277" s="54" t="s">
        <v>192</v>
      </c>
      <c r="R277" s="54" t="s">
        <v>193</v>
      </c>
      <c r="S277" s="54" t="s">
        <v>194</v>
      </c>
      <c r="T277" s="54" t="s">
        <v>195</v>
      </c>
    </row>
    <row r="278" spans="1:20" ht="20.100000000000001" customHeight="1" x14ac:dyDescent="0.25">
      <c r="D278" s="55" t="str">
        <f>'Input - Dairy'!$D$66</f>
        <v>Milking shed</v>
      </c>
      <c r="E278" s="55" t="str">
        <f>'Input - Dairy'!$D$85</f>
        <v>Anaerobic lagoon</v>
      </c>
      <c r="F278" s="55" cm="1">
        <f t="array" ref="F278">MMS_Dairy_N2ODirect_Equations.VEERG_4_3_1_3__1_TotalAnnualDirectNitrousOxideEmissionsFromMMS(F243,$E270,$I$264)</f>
        <v>0</v>
      </c>
      <c r="G278" s="55" cm="1">
        <f t="array" ref="G278">MMS_Dairy_N2ODirect_Equations.VEERG_4_3_1_3__1_TotalAnnualDirectNitrousOxideEmissionsFromMMS(G243,$E270,$I$264)</f>
        <v>0</v>
      </c>
      <c r="H278" s="55" cm="1">
        <f t="array" ref="H278">MMS_Dairy_N2ODirect_Equations.VEERG_4_3_1_3__1_TotalAnnualDirectNitrousOxideEmissionsFromMMS(H243,$E270,$I$264)</f>
        <v>0</v>
      </c>
      <c r="I278" s="55" cm="1">
        <f t="array" ref="I278">MMS_Dairy_N2ODirect_Equations.VEERG_4_3_1_3__1_TotalAnnualDirectNitrousOxideEmissionsFromMMS(I243,$E270,$I$264)</f>
        <v>0</v>
      </c>
      <c r="J278" s="55" cm="1">
        <f t="array" ref="J278">MMS_Dairy_N2ODirect_Equations.VEERG_4_3_1_3__1_TotalAnnualDirectNitrousOxideEmissionsFromMMS(J243,$E270,$I$264)</f>
        <v>0</v>
      </c>
      <c r="N278" s="55" t="str">
        <f>'Input - Dairy'!$D$66</f>
        <v>Milking shed</v>
      </c>
      <c r="O278" s="55" t="str">
        <f>'Input - Dairy'!$D$85</f>
        <v>Anaerobic lagoon</v>
      </c>
      <c r="P278" s="55" cm="1">
        <f t="array" ref="P278">MMS_Dairy_N2ODirect_Equations.VEERG_4_3_1_3__1_TotalAnnualDirectNitrousOxideEmissionsFromMMS(P243,$E270,$I$264)</f>
        <v>0</v>
      </c>
      <c r="Q278" s="55" cm="1">
        <f t="array" ref="Q278">MMS_Dairy_N2ODirect_Equations.VEERG_4_3_1_3__1_TotalAnnualDirectNitrousOxideEmissionsFromMMS(Q243,$E270,$I$264)</f>
        <v>0</v>
      </c>
      <c r="R278" s="55" cm="1">
        <f t="array" ref="R278">MMS_Dairy_N2ODirect_Equations.VEERG_4_3_1_3__1_TotalAnnualDirectNitrousOxideEmissionsFromMMS(R243,$E270,$I$264)</f>
        <v>0</v>
      </c>
      <c r="S278" s="55" cm="1">
        <f t="array" ref="S278">MMS_Dairy_N2ODirect_Equations.VEERG_4_3_1_3__1_TotalAnnualDirectNitrousOxideEmissionsFromMMS(S243,$E270,$I$264)</f>
        <v>0</v>
      </c>
      <c r="T278" s="55" cm="1">
        <f t="array" ref="T278">MMS_Dairy_N2ODirect_Equations.VEERG_4_3_1_3__1_TotalAnnualDirectNitrousOxideEmissionsFromMMS(T243,$E270,$I$264)</f>
        <v>0</v>
      </c>
    </row>
    <row r="279" spans="1:20" ht="20.100000000000001" customHeight="1" x14ac:dyDescent="0.25">
      <c r="D279" s="55" t="str">
        <f>'Input - Dairy'!$D$66</f>
        <v>Milking shed</v>
      </c>
      <c r="E279" s="55" t="str">
        <f>'Input - Dairy'!$D$86</f>
        <v>Sump and dispersal system</v>
      </c>
      <c r="F279" s="55" cm="1">
        <f t="array" ref="F279">MMS_Dairy_N2ODirect_Equations.VEERG_4_3_1_3__1_TotalAnnualDirectNitrousOxideEmissionsFromMMS(F244,$E271,$I$264)</f>
        <v>0</v>
      </c>
      <c r="G279" s="55" cm="1">
        <f t="array" ref="G279">MMS_Dairy_N2ODirect_Equations.VEERG_4_3_1_3__1_TotalAnnualDirectNitrousOxideEmissionsFromMMS(G244,$E271,$I$264)</f>
        <v>0</v>
      </c>
      <c r="H279" s="55" cm="1">
        <f t="array" ref="H279">MMS_Dairy_N2ODirect_Equations.VEERG_4_3_1_3__1_TotalAnnualDirectNitrousOxideEmissionsFromMMS(H244,$E271,$I$264)</f>
        <v>0</v>
      </c>
      <c r="I279" s="55" cm="1">
        <f t="array" ref="I279">MMS_Dairy_N2ODirect_Equations.VEERG_4_3_1_3__1_TotalAnnualDirectNitrousOxideEmissionsFromMMS(I244,$E271,$I$264)</f>
        <v>0</v>
      </c>
      <c r="J279" s="55" cm="1">
        <f t="array" ref="J279">MMS_Dairy_N2ODirect_Equations.VEERG_4_3_1_3__1_TotalAnnualDirectNitrousOxideEmissionsFromMMS(J244,$E271,$I$264)</f>
        <v>0</v>
      </c>
      <c r="N279" s="55" t="str">
        <f>'Input - Dairy'!$D$66</f>
        <v>Milking shed</v>
      </c>
      <c r="O279" s="55" t="str">
        <f>'Input - Dairy'!$D$86</f>
        <v>Sump and dispersal system</v>
      </c>
      <c r="P279" s="55" cm="1">
        <f t="array" ref="P279">MMS_Dairy_N2ODirect_Equations.VEERG_4_3_1_3__1_TotalAnnualDirectNitrousOxideEmissionsFromMMS(P244,$E271,$I$264)</f>
        <v>0</v>
      </c>
      <c r="Q279" s="55" cm="1">
        <f t="array" ref="Q279">MMS_Dairy_N2ODirect_Equations.VEERG_4_3_1_3__1_TotalAnnualDirectNitrousOxideEmissionsFromMMS(Q244,$E271,$I$264)</f>
        <v>0</v>
      </c>
      <c r="R279" s="55" cm="1">
        <f t="array" ref="R279">MMS_Dairy_N2ODirect_Equations.VEERG_4_3_1_3__1_TotalAnnualDirectNitrousOxideEmissionsFromMMS(R244,$E271,$I$264)</f>
        <v>0</v>
      </c>
      <c r="S279" s="55" cm="1">
        <f t="array" ref="S279">MMS_Dairy_N2ODirect_Equations.VEERG_4_3_1_3__1_TotalAnnualDirectNitrousOxideEmissionsFromMMS(S244,$E271,$I$264)</f>
        <v>0</v>
      </c>
      <c r="T279" s="55" cm="1">
        <f t="array" ref="T279">MMS_Dairy_N2ODirect_Equations.VEERG_4_3_1_3__1_TotalAnnualDirectNitrousOxideEmissionsFromMMS(T244,$E271,$I$264)</f>
        <v>0</v>
      </c>
    </row>
    <row r="280" spans="1:20" ht="20.100000000000001" customHeight="1" x14ac:dyDescent="0.25">
      <c r="D280" s="55" t="str">
        <f>'Input - Dairy'!$D$66</f>
        <v>Milking shed</v>
      </c>
      <c r="E280" s="55" t="str">
        <f>'Input - Dairy'!$D$87</f>
        <v>Drains to paddock</v>
      </c>
      <c r="F280" s="55" cm="1">
        <f t="array" ref="F280">MMS_Dairy_N2ODirect_Equations.VEERG_4_3_1_3__1_TotalAnnualDirectNitrousOxideEmissionsFromMMS(F245,$E272,$I$264)</f>
        <v>0</v>
      </c>
      <c r="G280" s="55" cm="1">
        <f t="array" ref="G280">MMS_Dairy_N2ODirect_Equations.VEERG_4_3_1_3__1_TotalAnnualDirectNitrousOxideEmissionsFromMMS(G245,$E272,$I$264)</f>
        <v>0</v>
      </c>
      <c r="H280" s="55" cm="1">
        <f t="array" ref="H280">MMS_Dairy_N2ODirect_Equations.VEERG_4_3_1_3__1_TotalAnnualDirectNitrousOxideEmissionsFromMMS(H245,$E272,$I$264)</f>
        <v>0</v>
      </c>
      <c r="I280" s="55" cm="1">
        <f t="array" ref="I280">MMS_Dairy_N2ODirect_Equations.VEERG_4_3_1_3__1_TotalAnnualDirectNitrousOxideEmissionsFromMMS(I245,$E272,$I$264)</f>
        <v>0</v>
      </c>
      <c r="J280" s="55" cm="1">
        <f t="array" ref="J280">MMS_Dairy_N2ODirect_Equations.VEERG_4_3_1_3__1_TotalAnnualDirectNitrousOxideEmissionsFromMMS(J245,$E272,$I$264)</f>
        <v>0</v>
      </c>
      <c r="N280" s="55" t="str">
        <f>'Input - Dairy'!$D$66</f>
        <v>Milking shed</v>
      </c>
      <c r="O280" s="55" t="str">
        <f>'Input - Dairy'!$D$87</f>
        <v>Drains to paddock</v>
      </c>
      <c r="P280" s="55" cm="1">
        <f t="array" ref="P280">MMS_Dairy_N2ODirect_Equations.VEERG_4_3_1_3__1_TotalAnnualDirectNitrousOxideEmissionsFromMMS(P245,$E272,$I$264)</f>
        <v>0</v>
      </c>
      <c r="Q280" s="55" cm="1">
        <f t="array" ref="Q280">MMS_Dairy_N2ODirect_Equations.VEERG_4_3_1_3__1_TotalAnnualDirectNitrousOxideEmissionsFromMMS(Q245,$E272,$I$264)</f>
        <v>0</v>
      </c>
      <c r="R280" s="55" cm="1">
        <f t="array" ref="R280">MMS_Dairy_N2ODirect_Equations.VEERG_4_3_1_3__1_TotalAnnualDirectNitrousOxideEmissionsFromMMS(R245,$E272,$I$264)</f>
        <v>0</v>
      </c>
      <c r="S280" s="55" cm="1">
        <f t="array" ref="S280">MMS_Dairy_N2ODirect_Equations.VEERG_4_3_1_3__1_TotalAnnualDirectNitrousOxideEmissionsFromMMS(S245,$E272,$I$264)</f>
        <v>0</v>
      </c>
      <c r="T280" s="55" cm="1">
        <f t="array" ref="T280">MMS_Dairy_N2ODirect_Equations.VEERG_4_3_1_3__1_TotalAnnualDirectNitrousOxideEmissionsFromMMS(T245,$E272,$I$264)</f>
        <v>0</v>
      </c>
    </row>
    <row r="281" spans="1:20" ht="20.100000000000001" customHeight="1" x14ac:dyDescent="0.25">
      <c r="D281" s="55" t="str">
        <f>'Input - Dairy'!$D$66</f>
        <v>Milking shed</v>
      </c>
      <c r="E281" s="55" t="s">
        <v>412</v>
      </c>
      <c r="F281" s="55" cm="1">
        <f t="array" ref="F281">MMS_Dairy_N2ODirect_Equations.VEERG_4_3_1_3__1_TotalAnnualDirectNitrousOxideEmissionsFromMMS(F246,$E273,$I$264)</f>
        <v>-1.4143201512271508E-3</v>
      </c>
      <c r="G281" s="55" cm="1">
        <f t="array" ref="G281">MMS_Dairy_N2ODirect_Equations.VEERG_4_3_1_3__1_TotalAnnualDirectNitrousOxideEmissionsFromMMS(G246,$E273,$I$264)</f>
        <v>2.8656241849371834E-3</v>
      </c>
      <c r="H281" s="55" cm="1">
        <f t="array" ref="H281">MMS_Dairy_N2ODirect_Equations.VEERG_4_3_1_3__1_TotalAnnualDirectNitrousOxideEmissionsFromMMS(H246,$E273,$I$264)</f>
        <v>1.1413478076603965E-3</v>
      </c>
      <c r="I281" s="55" cm="1">
        <f t="array" ref="I281">MMS_Dairy_N2ODirect_Equations.VEERG_4_3_1_3__1_TotalAnnualDirectNitrousOxideEmissionsFromMMS(I246,$E273,$I$264)</f>
        <v>3.6022029330550747E-3</v>
      </c>
      <c r="J281" s="55" cm="1">
        <f t="array" ref="J281">MMS_Dairy_N2ODirect_Equations.VEERG_4_3_1_3__1_TotalAnnualDirectNitrousOxideEmissionsFromMMS(J246,$E273,$I$264)</f>
        <v>1.5079877540994421E-3</v>
      </c>
      <c r="N281" s="55" t="str">
        <f>'Input - Dairy'!$D$66</f>
        <v>Milking shed</v>
      </c>
      <c r="O281" s="55" t="s">
        <v>412</v>
      </c>
      <c r="P281" s="55" cm="1">
        <f t="array" ref="P281">MMS_Dairy_N2ODirect_Equations.VEERG_4_3_1_3__1_TotalAnnualDirectNitrousOxideEmissionsFromMMS(P246,$E273,$I$264)</f>
        <v>-1.4143201512271508E-3</v>
      </c>
      <c r="Q281" s="55" cm="1">
        <f t="array" ref="Q281">MMS_Dairy_N2ODirect_Equations.VEERG_4_3_1_3__1_TotalAnnualDirectNitrousOxideEmissionsFromMMS(Q246,$E273,$I$264)</f>
        <v>2.8656241849371834E-3</v>
      </c>
      <c r="R281" s="55" cm="1">
        <f t="array" ref="R281">MMS_Dairy_N2ODirect_Equations.VEERG_4_3_1_3__1_TotalAnnualDirectNitrousOxideEmissionsFromMMS(R246,$E273,$I$264)</f>
        <v>1.1413478076603965E-3</v>
      </c>
      <c r="S281" s="55" cm="1">
        <f t="array" ref="S281">MMS_Dairy_N2ODirect_Equations.VEERG_4_3_1_3__1_TotalAnnualDirectNitrousOxideEmissionsFromMMS(S246,$E273,$I$264)</f>
        <v>3.6022029330550747E-3</v>
      </c>
      <c r="T281" s="55" cm="1">
        <f t="array" ref="T281">MMS_Dairy_N2ODirect_Equations.VEERG_4_3_1_3__1_TotalAnnualDirectNitrousOxideEmissionsFromMMS(T246,$E273,$I$264)</f>
        <v>1.5079877540994421E-3</v>
      </c>
    </row>
    <row r="282" spans="1:20" ht="20.100000000000001" customHeight="1" x14ac:dyDescent="0.25">
      <c r="D282" s="55" t="str">
        <f>'Input - Dairy'!$D$67</f>
        <v>Feed pad</v>
      </c>
      <c r="E282" s="55" t="str">
        <f>'Input - Dairy'!$D$101</f>
        <v>Anaerobic lagoon</v>
      </c>
      <c r="F282" s="55" cm="1">
        <f t="array" ref="F282">MMS_Dairy_N2ODirect_Equations.VEERG_4_3_1_3__1_TotalAnnualDirectNitrousOxideEmissionsFromMMS(F247,$E270,$I$264)</f>
        <v>0</v>
      </c>
      <c r="G282" s="55" cm="1">
        <f t="array" ref="G282">MMS_Dairy_N2ODirect_Equations.VEERG_4_3_1_3__1_TotalAnnualDirectNitrousOxideEmissionsFromMMS(G247,$E270,$I$264)</f>
        <v>0</v>
      </c>
      <c r="H282" s="55" cm="1">
        <f t="array" ref="H282">MMS_Dairy_N2ODirect_Equations.VEERG_4_3_1_3__1_TotalAnnualDirectNitrousOxideEmissionsFromMMS(H247,$E270,$I$264)</f>
        <v>0</v>
      </c>
      <c r="I282" s="55" cm="1">
        <f t="array" ref="I282">MMS_Dairy_N2ODirect_Equations.VEERG_4_3_1_3__1_TotalAnnualDirectNitrousOxideEmissionsFromMMS(I247,$E270,$I$264)</f>
        <v>0</v>
      </c>
      <c r="J282" s="55" cm="1">
        <f t="array" ref="J282">MMS_Dairy_N2ODirect_Equations.VEERG_4_3_1_3__1_TotalAnnualDirectNitrousOxideEmissionsFromMMS(J247,$E270,$I$264)</f>
        <v>0</v>
      </c>
      <c r="N282" s="55" t="str">
        <f>'Input - Dairy'!$D$67</f>
        <v>Feed pad</v>
      </c>
      <c r="O282" s="55" t="str">
        <f>'Input - Dairy'!$D$101</f>
        <v>Anaerobic lagoon</v>
      </c>
      <c r="P282" s="55" cm="1">
        <f t="array" ref="P282">MMS_Dairy_N2ODirect_Equations.VEERG_4_3_1_3__1_TotalAnnualDirectNitrousOxideEmissionsFromMMS(P247,$E270,$I$264)</f>
        <v>0</v>
      </c>
      <c r="Q282" s="55" cm="1">
        <f t="array" ref="Q282">MMS_Dairy_N2ODirect_Equations.VEERG_4_3_1_3__1_TotalAnnualDirectNitrousOxideEmissionsFromMMS(Q247,$E270,$I$264)</f>
        <v>0</v>
      </c>
      <c r="R282" s="55" cm="1">
        <f t="array" ref="R282">MMS_Dairy_N2ODirect_Equations.VEERG_4_3_1_3__1_TotalAnnualDirectNitrousOxideEmissionsFromMMS(R247,$E270,$I$264)</f>
        <v>0</v>
      </c>
      <c r="S282" s="55" cm="1">
        <f t="array" ref="S282">MMS_Dairy_N2ODirect_Equations.VEERG_4_3_1_3__1_TotalAnnualDirectNitrousOxideEmissionsFromMMS(S247,$E270,$I$264)</f>
        <v>0</v>
      </c>
      <c r="T282" s="55" cm="1">
        <f t="array" ref="T282">MMS_Dairy_N2ODirect_Equations.VEERG_4_3_1_3__1_TotalAnnualDirectNitrousOxideEmissionsFromMMS(T247,$E270,$I$264)</f>
        <v>0</v>
      </c>
    </row>
    <row r="283" spans="1:20" ht="20.100000000000001" customHeight="1" x14ac:dyDescent="0.25">
      <c r="D283" s="55" t="str">
        <f>'Input - Dairy'!$D$67</f>
        <v>Feed pad</v>
      </c>
      <c r="E283" s="55" t="str">
        <f>'Input - Dairy'!$D$102</f>
        <v>Sump and dispersal system</v>
      </c>
      <c r="F283" s="55" cm="1">
        <f t="array" ref="F283">MMS_Dairy_N2ODirect_Equations.VEERG_4_3_1_3__1_TotalAnnualDirectNitrousOxideEmissionsFromMMS(F248,$E271,$I$264)</f>
        <v>0</v>
      </c>
      <c r="G283" s="55" cm="1">
        <f t="array" ref="G283">MMS_Dairy_N2ODirect_Equations.VEERG_4_3_1_3__1_TotalAnnualDirectNitrousOxideEmissionsFromMMS(G248,$E271,$I$264)</f>
        <v>0</v>
      </c>
      <c r="H283" s="55" cm="1">
        <f t="array" ref="H283">MMS_Dairy_N2ODirect_Equations.VEERG_4_3_1_3__1_TotalAnnualDirectNitrousOxideEmissionsFromMMS(H248,$E271,$I$264)</f>
        <v>0</v>
      </c>
      <c r="I283" s="55" cm="1">
        <f t="array" ref="I283">MMS_Dairy_N2ODirect_Equations.VEERG_4_3_1_3__1_TotalAnnualDirectNitrousOxideEmissionsFromMMS(I248,$E271,$I$264)</f>
        <v>0</v>
      </c>
      <c r="J283" s="55" cm="1">
        <f t="array" ref="J283">MMS_Dairy_N2ODirect_Equations.VEERG_4_3_1_3__1_TotalAnnualDirectNitrousOxideEmissionsFromMMS(J248,$E271,$I$264)</f>
        <v>0</v>
      </c>
      <c r="N283" s="55" t="str">
        <f>'Input - Dairy'!$D$67</f>
        <v>Feed pad</v>
      </c>
      <c r="O283" s="55" t="str">
        <f>'Input - Dairy'!$D$102</f>
        <v>Sump and dispersal system</v>
      </c>
      <c r="P283" s="55" cm="1">
        <f t="array" ref="P283">MMS_Dairy_N2ODirect_Equations.VEERG_4_3_1_3__1_TotalAnnualDirectNitrousOxideEmissionsFromMMS(P248,$E271,$I$264)</f>
        <v>0</v>
      </c>
      <c r="Q283" s="55" cm="1">
        <f t="array" ref="Q283">MMS_Dairy_N2ODirect_Equations.VEERG_4_3_1_3__1_TotalAnnualDirectNitrousOxideEmissionsFromMMS(Q248,$E271,$I$264)</f>
        <v>0</v>
      </c>
      <c r="R283" s="55" cm="1">
        <f t="array" ref="R283">MMS_Dairy_N2ODirect_Equations.VEERG_4_3_1_3__1_TotalAnnualDirectNitrousOxideEmissionsFromMMS(R248,$E271,$I$264)</f>
        <v>0</v>
      </c>
      <c r="S283" s="55" cm="1">
        <f t="array" ref="S283">MMS_Dairy_N2ODirect_Equations.VEERG_4_3_1_3__1_TotalAnnualDirectNitrousOxideEmissionsFromMMS(S248,$E271,$I$264)</f>
        <v>0</v>
      </c>
      <c r="T283" s="55" cm="1">
        <f t="array" ref="T283">MMS_Dairy_N2ODirect_Equations.VEERG_4_3_1_3__1_TotalAnnualDirectNitrousOxideEmissionsFromMMS(T248,$E271,$I$264)</f>
        <v>0</v>
      </c>
    </row>
    <row r="284" spans="1:20" ht="20.100000000000001" customHeight="1" x14ac:dyDescent="0.25">
      <c r="D284" s="55" t="str">
        <f>'Input - Dairy'!$D$67</f>
        <v>Feed pad</v>
      </c>
      <c r="E284" s="55" t="str">
        <f>'Input - Dairy'!$D$103</f>
        <v>Drains to paddock</v>
      </c>
      <c r="F284" s="55" cm="1">
        <f t="array" ref="F284">MMS_Dairy_N2ODirect_Equations.VEERG_4_3_1_3__1_TotalAnnualDirectNitrousOxideEmissionsFromMMS(F249,$E272,$I$264)</f>
        <v>0</v>
      </c>
      <c r="G284" s="55" cm="1">
        <f t="array" ref="G284">MMS_Dairy_N2ODirect_Equations.VEERG_4_3_1_3__1_TotalAnnualDirectNitrousOxideEmissionsFromMMS(G249,$E272,$I$264)</f>
        <v>0</v>
      </c>
      <c r="H284" s="55" cm="1">
        <f t="array" ref="H284">MMS_Dairy_N2ODirect_Equations.VEERG_4_3_1_3__1_TotalAnnualDirectNitrousOxideEmissionsFromMMS(H249,$E272,$I$264)</f>
        <v>0</v>
      </c>
      <c r="I284" s="55" cm="1">
        <f t="array" ref="I284">MMS_Dairy_N2ODirect_Equations.VEERG_4_3_1_3__1_TotalAnnualDirectNitrousOxideEmissionsFromMMS(I249,$E272,$I$264)</f>
        <v>0</v>
      </c>
      <c r="J284" s="55" cm="1">
        <f t="array" ref="J284">MMS_Dairy_N2ODirect_Equations.VEERG_4_3_1_3__1_TotalAnnualDirectNitrousOxideEmissionsFromMMS(J249,$E272,$I$264)</f>
        <v>0</v>
      </c>
      <c r="N284" s="55" t="str">
        <f>'Input - Dairy'!$D$67</f>
        <v>Feed pad</v>
      </c>
      <c r="O284" s="55" t="str">
        <f>'Input - Dairy'!$D$103</f>
        <v>Drains to paddock</v>
      </c>
      <c r="P284" s="55" cm="1">
        <f t="array" ref="P284">MMS_Dairy_N2ODirect_Equations.VEERG_4_3_1_3__1_TotalAnnualDirectNitrousOxideEmissionsFromMMS(P249,$E272,$I$264)</f>
        <v>0</v>
      </c>
      <c r="Q284" s="55" cm="1">
        <f t="array" ref="Q284">MMS_Dairy_N2ODirect_Equations.VEERG_4_3_1_3__1_TotalAnnualDirectNitrousOxideEmissionsFromMMS(Q249,$E272,$I$264)</f>
        <v>0</v>
      </c>
      <c r="R284" s="55" cm="1">
        <f t="array" ref="R284">MMS_Dairy_N2ODirect_Equations.VEERG_4_3_1_3__1_TotalAnnualDirectNitrousOxideEmissionsFromMMS(R249,$E272,$I$264)</f>
        <v>0</v>
      </c>
      <c r="S284" s="55" cm="1">
        <f t="array" ref="S284">MMS_Dairy_N2ODirect_Equations.VEERG_4_3_1_3__1_TotalAnnualDirectNitrousOxideEmissionsFromMMS(S249,$E272,$I$264)</f>
        <v>0</v>
      </c>
      <c r="T284" s="55" cm="1">
        <f t="array" ref="T284">MMS_Dairy_N2ODirect_Equations.VEERG_4_3_1_3__1_TotalAnnualDirectNitrousOxideEmissionsFromMMS(T249,$E272,$I$264)</f>
        <v>0</v>
      </c>
    </row>
    <row r="285" spans="1:20" ht="20.100000000000001" customHeight="1" x14ac:dyDescent="0.25">
      <c r="A285" s="141" t="str">
        <f>HYPERLINK("#A1", "▲ Back to top")</f>
        <v>▲ Back to top</v>
      </c>
      <c r="D285" s="55" t="str">
        <f>'Input - Dairy'!$D$67</f>
        <v>Feed pad</v>
      </c>
      <c r="E285" s="55" t="s">
        <v>412</v>
      </c>
      <c r="F285" s="55" cm="1">
        <f t="array" ref="F285">MMS_Dairy_N2ODirect_Equations.VEERG_4_3_1_3__1_TotalAnnualDirectNitrousOxideEmissionsFromMMS(F250,$E273,$I$264)</f>
        <v>-4.0050975191568859E-3</v>
      </c>
      <c r="G285" s="55" cm="1">
        <f t="array" ref="G285">MMS_Dairy_N2ODirect_Equations.VEERG_4_3_1_3__1_TotalAnnualDirectNitrousOxideEmissionsFromMMS(G250,$E273,$I$264)</f>
        <v>8.1149266691630251E-3</v>
      </c>
      <c r="H285" s="55" cm="1">
        <f t="array" ref="H285">MMS_Dairy_N2ODirect_Equations.VEERG_4_3_1_3__1_TotalAnnualDirectNitrousOxideEmissionsFromMMS(H250,$E273,$I$264)</f>
        <v>3.2320894735110321E-3</v>
      </c>
      <c r="I285" s="55" cm="1">
        <f t="array" ref="I285">MMS_Dairy_N2ODirect_Equations.VEERG_4_3_1_3__1_TotalAnnualDirectNitrousOxideEmissionsFromMMS(I250,$E273,$I$264)</f>
        <v>1.0200783760424144E-2</v>
      </c>
      <c r="J285" s="55" cm="1">
        <f t="array" ref="J285">MMS_Dairy_N2ODirect_Equations.VEERG_4_3_1_3__1_TotalAnnualDirectNitrousOxideEmissionsFromMMS(J250,$E273,$I$264)</f>
        <v>4.2703471400179658E-3</v>
      </c>
      <c r="N285" s="55" t="str">
        <f>'Input - Dairy'!$D$67</f>
        <v>Feed pad</v>
      </c>
      <c r="O285" s="55" t="s">
        <v>412</v>
      </c>
      <c r="P285" s="55" cm="1">
        <f t="array" ref="P285">MMS_Dairy_N2ODirect_Equations.VEERG_4_3_1_3__1_TotalAnnualDirectNitrousOxideEmissionsFromMMS(P250,$E273,$I$264)</f>
        <v>-4.0050975191568859E-3</v>
      </c>
      <c r="Q285" s="55" cm="1">
        <f t="array" ref="Q285">MMS_Dairy_N2ODirect_Equations.VEERG_4_3_1_3__1_TotalAnnualDirectNitrousOxideEmissionsFromMMS(Q250,$E273,$I$264)</f>
        <v>8.1149266691630251E-3</v>
      </c>
      <c r="R285" s="55" cm="1">
        <f t="array" ref="R285">MMS_Dairy_N2ODirect_Equations.VEERG_4_3_1_3__1_TotalAnnualDirectNitrousOxideEmissionsFromMMS(R250,$E273,$I$264)</f>
        <v>3.2320894735110321E-3</v>
      </c>
      <c r="S285" s="55" cm="1">
        <f t="array" ref="S285">MMS_Dairy_N2ODirect_Equations.VEERG_4_3_1_3__1_TotalAnnualDirectNitrousOxideEmissionsFromMMS(S250,$E273,$I$264)</f>
        <v>1.0200783760424144E-2</v>
      </c>
      <c r="T285" s="55" cm="1">
        <f t="array" ref="T285">MMS_Dairy_N2ODirect_Equations.VEERG_4_3_1_3__1_TotalAnnualDirectNitrousOxideEmissionsFromMMS(T250,$E273,$I$264)</f>
        <v>4.2703471400179658E-3</v>
      </c>
    </row>
    <row r="286" spans="1:20" ht="20.100000000000001" customHeight="1" x14ac:dyDescent="0.25"/>
    <row r="287" spans="1:20" ht="20.100000000000001" customHeight="1" x14ac:dyDescent="0.25">
      <c r="D287" s="108" t="s">
        <v>124</v>
      </c>
      <c r="E287" s="109">
        <f>SUM(E282:G285)</f>
        <v>4.1098291500061392E-3</v>
      </c>
      <c r="F287" s="110" t="str">
        <f>$E$260</f>
        <v>t N2O</v>
      </c>
      <c r="N287" s="108" t="s">
        <v>124</v>
      </c>
      <c r="O287" s="109">
        <f>SUM(O282:Q285)</f>
        <v>4.1098291500061392E-3</v>
      </c>
      <c r="P287" s="110" t="str">
        <f>$E$260</f>
        <v>t N2O</v>
      </c>
    </row>
    <row r="288" spans="1:20" ht="20.100000000000001" customHeight="1" x14ac:dyDescent="0.25"/>
    <row r="289" spans="4:17" ht="20.100000000000001" customHeight="1" x14ac:dyDescent="0.25">
      <c r="D289" s="60" t="str" cm="1">
        <f t="array" ref="D289:E290">Common_Equations.Common_ConvertN2OToCO2e_Arguments()</f>
        <v>EN2O</v>
      </c>
      <c r="E289" s="61" t="str">
        <v>Nitrous oxide emissions (t N2O)</v>
      </c>
      <c r="F289" s="111"/>
      <c r="G289" s="55">
        <f>$E$287</f>
        <v>4.1098291500061392E-3</v>
      </c>
      <c r="N289" s="60" t="str" cm="1">
        <f t="array" ref="N289:O290">Common_Equations.Common_ConvertN2OToCO2e_Arguments()</f>
        <v>EN2O</v>
      </c>
      <c r="O289" s="61" t="str">
        <v>Nitrous oxide emissions (t N2O)</v>
      </c>
      <c r="P289" s="111"/>
      <c r="Q289" s="55">
        <f>$E$287</f>
        <v>4.1098291500061392E-3</v>
      </c>
    </row>
    <row r="290" spans="4:17" ht="20.100000000000001" customHeight="1" x14ac:dyDescent="0.25">
      <c r="D290" s="60" t="str">
        <v>GWPN2O</v>
      </c>
      <c r="E290" s="61" t="str">
        <v>Global warming potential for nitrous oxide (t CO2-e / t N2O)</v>
      </c>
      <c r="F290" s="111"/>
      <c r="G290" s="55">
        <f>Common_InputFunctions.Utility_LookupValueInTableNumber("N2O",Table_GWPData[Gas],Table_GWPData[CO2-e factor])</f>
        <v>265</v>
      </c>
      <c r="N290" s="60" t="str">
        <v>GWPN2O</v>
      </c>
      <c r="O290" s="61" t="str">
        <v>Global warming potential for nitrous oxide (t CO2-e / t N2O)</v>
      </c>
      <c r="P290" s="111"/>
      <c r="Q290" s="55">
        <f>Common_InputFunctions.Utility_LookupValueInTableNumber("N2O",Table_GWPData[Gas],Table_GWPData[CO2-e factor])</f>
        <v>265</v>
      </c>
    </row>
    <row r="291" spans="4:17" ht="20.100000000000001" customHeight="1" x14ac:dyDescent="0.25"/>
    <row r="292" spans="4:17" ht="18.75" x14ac:dyDescent="0.25">
      <c r="D292" s="48" t="s">
        <v>111</v>
      </c>
      <c r="E292" s="48" cm="1">
        <f t="array" ref="E292">Common_Equations.Common_ConvertN2OToCO2e(G289,G290)</f>
        <v>1.0891047247516268</v>
      </c>
      <c r="F292" s="112" t="str" cm="1">
        <f t="array" ref="F292">Common_Equations.Common_ConvertN2OToCO2e_Unit()</f>
        <v>t CO2e</v>
      </c>
      <c r="N292" s="48" t="s">
        <v>111</v>
      </c>
      <c r="O292" s="48" cm="1">
        <f t="array" ref="O292">Common_Equations.Common_ConvertN2OToCO2e(Q289,Q290)</f>
        <v>1.0891047247516268</v>
      </c>
      <c r="P292" s="112" t="str" cm="1">
        <f t="array" ref="P292">Common_Equations.Common_ConvertN2OToCO2e_Unit()</f>
        <v>t CO2e</v>
      </c>
    </row>
  </sheetData>
  <dataValidations disablePrompts="1" count="1">
    <dataValidation operator="equal" allowBlank="1" showInputMessage="1" showErrorMessage="1" sqref="O113:T113 O285 N90:P90 D79:E79 E108:J108 E73:F73 F113:J113 O278 E231 E250 O231 E238 E243 O234 O243 E272 E269 O250 E278 E285 E234 E246 O246 E281 O281"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W165"/>
  <sheetViews>
    <sheetView showGridLines="0" topLeftCell="I51" workbookViewId="0">
      <selection activeCell="P47" sqref="P47"/>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323</v>
      </c>
    </row>
    <row r="2" spans="1:23" s="9" customFormat="1" ht="20.100000000000001" customHeight="1" x14ac:dyDescent="0.25"/>
    <row r="3" spans="1:23" ht="20.100000000000001" customHeight="1" x14ac:dyDescent="0.25">
      <c r="A3" s="17" t="str">
        <f>HYPERLINK("#'Home'!A1", "Home")</f>
        <v>Home</v>
      </c>
      <c r="C3" s="4"/>
      <c r="D3" s="4" t="s">
        <v>121</v>
      </c>
      <c r="E3" s="4"/>
      <c r="F3" s="4"/>
      <c r="G3" s="4"/>
      <c r="H3" s="4"/>
      <c r="I3" s="4"/>
      <c r="J3" s="4"/>
      <c r="K3" s="4"/>
      <c r="L3" s="4"/>
      <c r="N3" s="4"/>
      <c r="O3" s="4" t="s">
        <v>122</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MMS_Dairy_AtmosphericDeposition_Equations.VEERG_4_3_1_5__2_TotalNitrogenVolatilisedFromMMS_Title()</f>
        <v>Total nitrogen volatilised from MMS</v>
      </c>
    </row>
    <row r="6" spans="1:23" ht="20.100000000000001" customHeight="1" x14ac:dyDescent="0.25">
      <c r="A6" s="16"/>
      <c r="D6" s="5" t="str" cm="1">
        <f t="array" ref="D6">MMS_Dairy_AtmosphericDeposition_Equations.VEERG_4_3_1_5__2_TotalNitrogenVolatilisedFromMMS_Source()</f>
        <v>VEERG 2026: 4.3.1.5, Equation (2)</v>
      </c>
    </row>
    <row r="7" spans="1:23" ht="20.100000000000001" customHeight="1" x14ac:dyDescent="0.25">
      <c r="A7" s="20" t="s">
        <v>3</v>
      </c>
      <c r="D7" s="13" t="s">
        <v>28</v>
      </c>
      <c r="E7" s="13" t="str" cm="1">
        <f t="array" aca="1" ref="E7" ca="1">Common_InputFunctions.Utility_DisplayFunctionName(F40)</f>
        <v>=MMS_Dairy_AtmosphericDeposition_Equations.VEERG_4_3_1_5__2_TotalNitrogenVolatilisedFromMMS</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MMS_Dairy_AtmosphericDeposition_Equations.VEERG_4_3_1_5__2_TotalNitrogenVolatilisedFromMMS_Variable()</f>
        <v>MN_ATMOS</v>
      </c>
    </row>
    <row r="11" spans="1:23" ht="20.100000000000001" customHeight="1" x14ac:dyDescent="0.25">
      <c r="A11" s="19" t="s">
        <v>78</v>
      </c>
      <c r="D11" s="56" t="s">
        <v>21</v>
      </c>
      <c r="E11" s="57" t="str" cm="1">
        <f t="array" ref="E11">MMS_Dairy_AtmosphericDeposition_Equations.VEERG_4_3_1_5__2_TotalNitrogenVolatilisedFromMMS_Unit()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_xlfn.CHOOSECOLS(MMS_Dairy_AtmosphericDeposition_Equations.VEERG_4_3_1_5__2_TotalNitrogenVolatilisedFromMMS_Arguments(),1,2)</f>
        <v>MN_jm</v>
      </c>
      <c r="E13" s="136" t="str">
        <v>total nitrogen in each MMS for dairy cattle classes</v>
      </c>
      <c r="F13" s="138"/>
      <c r="G13" s="137" t="str" cm="1">
        <f t="array" ref="G13:H14">_xlfn.CHOOSECOLS(MMS_Dairy_AtmosphericDeposition_Equations.VEERG_4_3_1_5__2_TotalNitrogenVolatilisedFromMMS_Arguments(),3,4)</f>
        <v>kg N</v>
      </c>
      <c r="H13" s="133" t="str">
        <v>Calculated from 4.3.1.3 (2)</v>
      </c>
      <c r="I13" s="134" t="str" cm="1">
        <f t="array" aca="1" ref="I13" ca="1">HYPERLINK(Common_InputFunctions.Utility_SourceHyperlink(D$16),D$16)</f>
        <v>M1_Table_MN_j_m</v>
      </c>
    </row>
    <row r="14" spans="1:23" ht="20.100000000000001" customHeight="1" x14ac:dyDescent="0.25">
      <c r="A14" s="22" t="str">
        <f>HYPERLINK("#'4.3.1.5 Atmos Deposition'!A1", "4.3.1.5 Atmospheric deposition")</f>
        <v>4.3.1.5 Atmospheric deposition</v>
      </c>
      <c r="D14" s="137" t="str">
        <v>FracGASM_m</v>
      </c>
      <c r="E14" s="136" t="str">
        <v>fraction of N volatilised from MMS</v>
      </c>
      <c r="F14" s="138"/>
      <c r="G14" s="137" t="str">
        <v>fraction</v>
      </c>
      <c r="H14" s="133" t="str">
        <v>Constant</v>
      </c>
      <c r="I14" s="134" t="str" cm="1">
        <f t="array" aca="1" ref="I14" ca="1">HYPERLINK(Common_InputFunctions.Utility_SourceHyperlink($D$28),$D$28)</f>
        <v>Table_FracGASM_m</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314</v>
      </c>
      <c r="O16" s="104" t="s">
        <v>317</v>
      </c>
    </row>
    <row r="17" spans="1:22" ht="20.100000000000001" customHeight="1" x14ac:dyDescent="0.25">
      <c r="A17" s="17" t="str">
        <f>HYPERLINK("#'4.3.1.9 Soil direct N2O'!A1", "4.3.1.9 Soil direct N2O")</f>
        <v>4.3.1.9 Soil direct N2O</v>
      </c>
      <c r="D17" s="103" t="s">
        <v>315</v>
      </c>
      <c r="O17" s="103" t="s">
        <v>316</v>
      </c>
    </row>
    <row r="18" spans="1:22" ht="20.100000000000001" customHeight="1" x14ac:dyDescent="0.25">
      <c r="A18" s="17" t="str">
        <f>HYPERLINK("#'4.3.1.10-11 Soil Atmos Dep'!A1", "4.3.1.10-11 Soil atm. deposition")</f>
        <v>4.3.1.10-11 Soil atm. deposition</v>
      </c>
      <c r="D18" s="54" t="s">
        <v>149</v>
      </c>
      <c r="E18" s="54" t="s">
        <v>69</v>
      </c>
      <c r="F18" s="54" t="s">
        <v>175</v>
      </c>
      <c r="G18" s="54" t="s">
        <v>192</v>
      </c>
      <c r="H18" s="54" t="s">
        <v>193</v>
      </c>
      <c r="I18" s="54" t="s">
        <v>194</v>
      </c>
      <c r="J18" s="54" t="s">
        <v>195</v>
      </c>
      <c r="O18" s="54" t="s">
        <v>149</v>
      </c>
      <c r="P18" s="54" t="s">
        <v>69</v>
      </c>
      <c r="Q18" s="54" t="s">
        <v>175</v>
      </c>
      <c r="R18" s="54" t="s">
        <v>192</v>
      </c>
      <c r="S18" s="54" t="s">
        <v>193</v>
      </c>
      <c r="T18" s="54" t="s">
        <v>194</v>
      </c>
      <c r="U18" s="54" t="s">
        <v>195</v>
      </c>
    </row>
    <row r="19" spans="1:22" ht="20.100000000000001" customHeight="1" x14ac:dyDescent="0.25">
      <c r="A19" s="17" t="str">
        <f>HYPERLINK("#'4.3.1.12-13 Soil leach runoff'!A1", "4.3.1.12-13 Soil leach &amp; runoff")</f>
        <v>4.3.1.12-13 Soil leach &amp; runoff</v>
      </c>
      <c r="D19" s="55" t="str">
        <f>'Input - Dairy'!$D$66</f>
        <v>Milking shed</v>
      </c>
      <c r="E19" s="55" t="str">
        <f>'Input - Dairy'!$D$85</f>
        <v>Anaerobic lagoon</v>
      </c>
      <c r="F19" s="55">
        <f>'4.3.1.3-4 Direct N20'!$F$243</f>
        <v>-90.002191441727803</v>
      </c>
      <c r="G19" s="55">
        <f>'4.3.1.3-4 Direct N20'!$G$243</f>
        <v>182.35790267782079</v>
      </c>
      <c r="H19" s="55">
        <f>'4.3.1.3-4 Direct N20'!$H$243</f>
        <v>72.631224123843424</v>
      </c>
      <c r="I19" s="55">
        <f>'4.3.1.3-4 Direct N20'!$I$243</f>
        <v>229.23109573986844</v>
      </c>
      <c r="J19" s="55">
        <f>'4.3.1.3-4 Direct N20'!$J$243</f>
        <v>95.962857079055411</v>
      </c>
      <c r="K19" s="2" t="str">
        <f>$G$13</f>
        <v>kg N</v>
      </c>
      <c r="O19" s="55" t="str">
        <f>'Input - Dairy'!$D$66</f>
        <v>Milking shed</v>
      </c>
      <c r="P19" s="55" t="str">
        <f>'Input - Dairy'!$D$85</f>
        <v>Anaerobic lagoon</v>
      </c>
      <c r="Q19" s="55">
        <f>'4.3.1.3-4 Direct N20'!$P$243</f>
        <v>-90.002191441727803</v>
      </c>
      <c r="R19" s="55">
        <f>'4.3.1.3-4 Direct N20'!$Q$243</f>
        <v>182.35790267782079</v>
      </c>
      <c r="S19" s="55">
        <f>'4.3.1.3-4 Direct N20'!$R$243</f>
        <v>72.631224123843424</v>
      </c>
      <c r="T19" s="55">
        <f>'4.3.1.3-4 Direct N20'!$S$243</f>
        <v>229.23109573986844</v>
      </c>
      <c r="U19" s="55">
        <f>'4.3.1.3-4 Direct N20'!$T$243</f>
        <v>95.962857079055411</v>
      </c>
      <c r="V19" s="2" t="str">
        <f>$G$13</f>
        <v>kg N</v>
      </c>
    </row>
    <row r="20" spans="1:22" ht="20.100000000000001" customHeight="1" x14ac:dyDescent="0.25">
      <c r="A20" s="17"/>
      <c r="D20" s="55" t="str">
        <f>'Input - Dairy'!$D$66</f>
        <v>Milking shed</v>
      </c>
      <c r="E20" s="55" t="str">
        <f>'Input - Dairy'!$D$86</f>
        <v>Sump and dispersal system</v>
      </c>
      <c r="F20" s="55">
        <f>'4.3.1.3-4 Direct N20'!$F$244</f>
        <v>-90.002191441727803</v>
      </c>
      <c r="G20" s="55">
        <f>'4.3.1.3-4 Direct N20'!$G$244</f>
        <v>182.35790267782079</v>
      </c>
      <c r="H20" s="55">
        <f>'4.3.1.3-4 Direct N20'!$H$244</f>
        <v>72.631224123843424</v>
      </c>
      <c r="I20" s="55">
        <f>'4.3.1.3-4 Direct N20'!$I$244</f>
        <v>229.23109573986844</v>
      </c>
      <c r="J20" s="55">
        <f>'4.3.1.3-4 Direct N20'!$J$244</f>
        <v>95.962857079055411</v>
      </c>
      <c r="K20" s="2"/>
      <c r="O20" s="55" t="str">
        <f>'Input - Dairy'!$D$66</f>
        <v>Milking shed</v>
      </c>
      <c r="P20" s="55" t="str">
        <f>'Input - Dairy'!$D$86</f>
        <v>Sump and dispersal system</v>
      </c>
      <c r="Q20" s="55">
        <f>'4.3.1.3-4 Direct N20'!$P$244</f>
        <v>-90.002191441727803</v>
      </c>
      <c r="R20" s="55">
        <f>'4.3.1.3-4 Direct N20'!$Q$244</f>
        <v>182.35790267782079</v>
      </c>
      <c r="S20" s="55">
        <f>'4.3.1.3-4 Direct N20'!$R$244</f>
        <v>72.631224123843424</v>
      </c>
      <c r="T20" s="55">
        <f>'4.3.1.3-4 Direct N20'!$S$244</f>
        <v>229.23109573986844</v>
      </c>
      <c r="U20" s="55">
        <f>'4.3.1.3-4 Direct N20'!$T$244</f>
        <v>95.962857079055411</v>
      </c>
      <c r="V20" s="2"/>
    </row>
    <row r="21" spans="1:22" ht="20.100000000000001" customHeight="1" x14ac:dyDescent="0.25">
      <c r="A21" s="18" t="s">
        <v>4</v>
      </c>
      <c r="D21" s="55" t="str">
        <f>'Input - Dairy'!$D$66</f>
        <v>Milking shed</v>
      </c>
      <c r="E21" s="55" t="str">
        <f>'Input - Dairy'!$D$87</f>
        <v>Drains to paddock</v>
      </c>
      <c r="F21" s="55">
        <f>'4.3.1.3-4 Direct N20'!$F$245</f>
        <v>-90.002191441727803</v>
      </c>
      <c r="G21" s="55">
        <f>'4.3.1.3-4 Direct N20'!$G$245</f>
        <v>182.35790267782079</v>
      </c>
      <c r="H21" s="55">
        <f>'4.3.1.3-4 Direct N20'!$H$245</f>
        <v>72.631224123843424</v>
      </c>
      <c r="I21" s="55">
        <f>'4.3.1.3-4 Direct N20'!$I$245</f>
        <v>229.23109573986844</v>
      </c>
      <c r="J21" s="55">
        <f>'4.3.1.3-4 Direct N20'!$J$245</f>
        <v>95.962857079055411</v>
      </c>
      <c r="K21" s="2"/>
      <c r="O21" s="55" t="str">
        <f>'Input - Dairy'!$D$66</f>
        <v>Milking shed</v>
      </c>
      <c r="P21" s="55" t="str">
        <f>'Input - Dairy'!$D$87</f>
        <v>Drains to paddock</v>
      </c>
      <c r="Q21" s="55">
        <f>'4.3.1.3-4 Direct N20'!$P$245</f>
        <v>-90.002191441727803</v>
      </c>
      <c r="R21" s="55">
        <f>'4.3.1.3-4 Direct N20'!$Q$245</f>
        <v>182.35790267782079</v>
      </c>
      <c r="S21" s="55">
        <f>'4.3.1.3-4 Direct N20'!$R$245</f>
        <v>72.631224123843424</v>
      </c>
      <c r="T21" s="55">
        <f>'4.3.1.3-4 Direct N20'!$S$245</f>
        <v>229.23109573986844</v>
      </c>
      <c r="U21" s="55">
        <f>'4.3.1.3-4 Direct N20'!$T$245</f>
        <v>95.962857079055411</v>
      </c>
      <c r="V21" s="2"/>
    </row>
    <row r="22" spans="1:22" ht="20.100000000000001" customHeight="1" x14ac:dyDescent="0.25">
      <c r="A22" s="17" t="str">
        <f>HYPERLINK("#'Constants - Dairy'!A1", "Constants - Dairy")</f>
        <v>Constants - Dairy</v>
      </c>
      <c r="D22" s="55" t="str">
        <f>'Input - Dairy'!$D$66</f>
        <v>Milking shed</v>
      </c>
      <c r="E22" s="55" t="s">
        <v>412</v>
      </c>
      <c r="F22" s="55">
        <f>'4.3.1.3-4 Direct N20'!$F$246</f>
        <v>-180.00438288345558</v>
      </c>
      <c r="G22" s="55">
        <f>'4.3.1.3-4 Direct N20'!$G$246</f>
        <v>364.71580535564152</v>
      </c>
      <c r="H22" s="55">
        <f>'4.3.1.3-4 Direct N20'!$H$246</f>
        <v>145.26244824768682</v>
      </c>
      <c r="I22" s="55">
        <f>'4.3.1.3-4 Direct N20'!$I$246</f>
        <v>458.46219147973682</v>
      </c>
      <c r="J22" s="55">
        <f>'4.3.1.3-4 Direct N20'!$J$246</f>
        <v>191.92571415811079</v>
      </c>
      <c r="K22" s="2"/>
      <c r="O22" s="55" t="str">
        <f>'Input - Dairy'!$D$66</f>
        <v>Milking shed</v>
      </c>
      <c r="P22" s="55" t="s">
        <v>412</v>
      </c>
      <c r="Q22" s="55">
        <f>'4.3.1.3-4 Direct N20'!$P$246</f>
        <v>-180.00438288345558</v>
      </c>
      <c r="R22" s="55">
        <f>'4.3.1.3-4 Direct N20'!$Q$246</f>
        <v>364.71580535564152</v>
      </c>
      <c r="S22" s="55">
        <f>'4.3.1.3-4 Direct N20'!$R$246</f>
        <v>145.26244824768682</v>
      </c>
      <c r="T22" s="55">
        <f>'4.3.1.3-4 Direct N20'!$S$246</f>
        <v>458.46219147973682</v>
      </c>
      <c r="U22" s="55">
        <f>'4.3.1.3-4 Direct N20'!$T$246</f>
        <v>191.92571415811079</v>
      </c>
      <c r="V22" s="2"/>
    </row>
    <row r="23" spans="1:22" ht="20.100000000000001" customHeight="1" x14ac:dyDescent="0.25">
      <c r="A23" s="17" t="str">
        <f>HYPERLINK("#'Constants - Livestock'!A1", "Constants - Livestock")</f>
        <v>Constants - Livestock</v>
      </c>
      <c r="D23" s="55" t="str">
        <f>'Input - Dairy'!$D$67</f>
        <v>Feed pad</v>
      </c>
      <c r="E23" s="55" t="str">
        <f>'Input - Dairy'!$D$101</f>
        <v>Anaerobic lagoon</v>
      </c>
      <c r="F23" s="55">
        <f>'4.3.1.3-4 Direct N20'!$F$247</f>
        <v>-364.09977446880788</v>
      </c>
      <c r="G23" s="55">
        <f>'4.3.1.3-4 Direct N20'!$G$247</f>
        <v>737.72060628754764</v>
      </c>
      <c r="H23" s="55">
        <f>'4.3.1.3-4 Direct N20'!$H$247</f>
        <v>293.82631577373019</v>
      </c>
      <c r="I23" s="55">
        <f>'4.3.1.3-4 Direct N20'!$I$247</f>
        <v>927.34397822037681</v>
      </c>
      <c r="J23" s="55">
        <f>'4.3.1.3-4 Direct N20'!$J$247</f>
        <v>388.21337636526954</v>
      </c>
      <c r="K23" s="2"/>
      <c r="O23" s="55" t="str">
        <f>'Input - Dairy'!$D$67</f>
        <v>Feed pad</v>
      </c>
      <c r="P23" s="55" t="str">
        <f>'Input - Dairy'!$D$101</f>
        <v>Anaerobic lagoon</v>
      </c>
      <c r="Q23" s="55">
        <f>'4.3.1.3-4 Direct N20'!$P$247</f>
        <v>-364.09977446880788</v>
      </c>
      <c r="R23" s="55">
        <f>'4.3.1.3-4 Direct N20'!$Q$247</f>
        <v>737.72060628754764</v>
      </c>
      <c r="S23" s="55">
        <f>'4.3.1.3-4 Direct N20'!$R$247</f>
        <v>293.82631577373019</v>
      </c>
      <c r="T23" s="55">
        <f>'4.3.1.3-4 Direct N20'!$S$247</f>
        <v>927.34397822037681</v>
      </c>
      <c r="U23" s="55">
        <f>'4.3.1.3-4 Direct N20'!$T$247</f>
        <v>388.21337636526954</v>
      </c>
      <c r="V23" s="2"/>
    </row>
    <row r="24" spans="1:22" ht="20.100000000000001" customHeight="1" x14ac:dyDescent="0.25">
      <c r="A24" s="17" t="str">
        <f>HYPERLINK("#'Constants - Common'!A1", "Constants - Common")</f>
        <v>Constants - Common</v>
      </c>
      <c r="D24" s="55" t="str">
        <f>'Input - Dairy'!$D$67</f>
        <v>Feed pad</v>
      </c>
      <c r="E24" s="55" t="str">
        <f>'Input - Dairy'!$D$102</f>
        <v>Sump and dispersal system</v>
      </c>
      <c r="F24" s="55">
        <f>'4.3.1.3-4 Direct N20'!$F$248</f>
        <v>-291.2798195750463</v>
      </c>
      <c r="G24" s="55">
        <f>'4.3.1.3-4 Direct N20'!$G$248</f>
        <v>590.17648503003818</v>
      </c>
      <c r="H24" s="55">
        <f>'4.3.1.3-4 Direct N20'!$H$248</f>
        <v>235.06105261898415</v>
      </c>
      <c r="I24" s="55">
        <f>'4.3.1.3-4 Direct N20'!$I$248</f>
        <v>741.87518257630143</v>
      </c>
      <c r="J24" s="55">
        <f>'4.3.1.3-4 Direct N20'!$J$248</f>
        <v>310.57070109221564</v>
      </c>
      <c r="K24" s="2"/>
      <c r="O24" s="55" t="str">
        <f>'Input - Dairy'!$D$67</f>
        <v>Feed pad</v>
      </c>
      <c r="P24" s="55" t="str">
        <f>'Input - Dairy'!$D$102</f>
        <v>Sump and dispersal system</v>
      </c>
      <c r="Q24" s="55">
        <f>'4.3.1.3-4 Direct N20'!$P$248</f>
        <v>-291.2798195750463</v>
      </c>
      <c r="R24" s="55">
        <f>'4.3.1.3-4 Direct N20'!$Q$248</f>
        <v>590.17648503003818</v>
      </c>
      <c r="S24" s="55">
        <f>'4.3.1.3-4 Direct N20'!$R$248</f>
        <v>235.06105261898415</v>
      </c>
      <c r="T24" s="55">
        <f>'4.3.1.3-4 Direct N20'!$S$248</f>
        <v>741.87518257630143</v>
      </c>
      <c r="U24" s="55">
        <f>'4.3.1.3-4 Direct N20'!$T$248</f>
        <v>310.57070109221564</v>
      </c>
      <c r="V24" s="2"/>
    </row>
    <row r="25" spans="1:22" ht="20.100000000000001" customHeight="1" x14ac:dyDescent="0.25">
      <c r="A25" s="17" t="str">
        <f>HYPERLINK("#'Acknowledgements'!A1", "Acknowledgements")</f>
        <v>Acknowledgements</v>
      </c>
      <c r="D25" s="55" t="str">
        <f>'Input - Dairy'!$D$67</f>
        <v>Feed pad</v>
      </c>
      <c r="E25" s="55" t="str">
        <f>'Input - Dairy'!$D$103</f>
        <v>Drains to paddock</v>
      </c>
      <c r="F25" s="55">
        <f>'4.3.1.3-4 Direct N20'!$F$249</f>
        <v>-291.2798195750463</v>
      </c>
      <c r="G25" s="55">
        <f>'4.3.1.3-4 Direct N20'!$G$249</f>
        <v>590.17648503003818</v>
      </c>
      <c r="H25" s="55">
        <f>'4.3.1.3-4 Direct N20'!$H$249</f>
        <v>235.06105261898415</v>
      </c>
      <c r="I25" s="55">
        <f>'4.3.1.3-4 Direct N20'!$I$249</f>
        <v>741.87518257630143</v>
      </c>
      <c r="J25" s="55">
        <f>'4.3.1.3-4 Direct N20'!$J$249</f>
        <v>310.57070109221564</v>
      </c>
      <c r="K25" s="2"/>
      <c r="O25" s="55" t="str">
        <f>'Input - Dairy'!$D$67</f>
        <v>Feed pad</v>
      </c>
      <c r="P25" s="55" t="str">
        <f>'Input - Dairy'!$D$103</f>
        <v>Drains to paddock</v>
      </c>
      <c r="Q25" s="55">
        <f>'4.3.1.3-4 Direct N20'!$P$249</f>
        <v>-291.2798195750463</v>
      </c>
      <c r="R25" s="55">
        <f>'4.3.1.3-4 Direct N20'!$Q$249</f>
        <v>590.17648503003818</v>
      </c>
      <c r="S25" s="55">
        <f>'4.3.1.3-4 Direct N20'!$R$249</f>
        <v>235.06105261898415</v>
      </c>
      <c r="T25" s="55">
        <f>'4.3.1.3-4 Direct N20'!$S$249</f>
        <v>741.87518257630143</v>
      </c>
      <c r="U25" s="55">
        <f>'4.3.1.3-4 Direct N20'!$T$249</f>
        <v>310.57070109221564</v>
      </c>
      <c r="V25" s="2"/>
    </row>
    <row r="26" spans="1:22" ht="20.100000000000001" customHeight="1" x14ac:dyDescent="0.25">
      <c r="D26" s="55" t="str">
        <f>'Input - Dairy'!$D$67</f>
        <v>Feed pad</v>
      </c>
      <c r="E26" s="55" t="s">
        <v>412</v>
      </c>
      <c r="F26" s="55">
        <f>'4.3.1.3-4 Direct N20'!$F$250</f>
        <v>-509.73968425633097</v>
      </c>
      <c r="G26" s="55">
        <f>'4.3.1.3-4 Direct N20'!$G$250</f>
        <v>1032.8088488025667</v>
      </c>
      <c r="H26" s="55">
        <f>'4.3.1.3-4 Direct N20'!$H$250</f>
        <v>411.35684208322226</v>
      </c>
      <c r="I26" s="55">
        <f>'4.3.1.3-4 Direct N20'!$I$250</f>
        <v>1298.2815695085274</v>
      </c>
      <c r="J26" s="55">
        <f>'4.3.1.3-4 Direct N20'!$J$250</f>
        <v>543.49872691137739</v>
      </c>
      <c r="K26" s="2"/>
      <c r="O26" s="55" t="str">
        <f>'Input - Dairy'!$D$67</f>
        <v>Feed pad</v>
      </c>
      <c r="P26" s="55" t="s">
        <v>412</v>
      </c>
      <c r="Q26" s="55">
        <f>'4.3.1.3-4 Direct N20'!$P$250</f>
        <v>-509.73968425633097</v>
      </c>
      <c r="R26" s="55">
        <f>'4.3.1.3-4 Direct N20'!$Q$250</f>
        <v>1032.8088488025667</v>
      </c>
      <c r="S26" s="55">
        <f>'4.3.1.3-4 Direct N20'!$R$250</f>
        <v>411.35684208322226</v>
      </c>
      <c r="T26" s="55">
        <f>'4.3.1.3-4 Direct N20'!$S$250</f>
        <v>1298.2815695085274</v>
      </c>
      <c r="U26" s="55">
        <f>'4.3.1.3-4 Direct N20'!$T$250</f>
        <v>543.49872691137739</v>
      </c>
      <c r="V26" s="2"/>
    </row>
    <row r="27" spans="1:22" ht="20.100000000000001" customHeight="1" x14ac:dyDescent="0.25"/>
    <row r="28" spans="1:22" ht="20.100000000000001" customHeight="1" x14ac:dyDescent="0.25">
      <c r="D28" s="104" t="s">
        <v>324</v>
      </c>
    </row>
    <row r="29" spans="1:22" ht="20.100000000000001" customHeight="1" x14ac:dyDescent="0.25">
      <c r="D29" s="103" t="s">
        <v>326</v>
      </c>
    </row>
    <row r="30" spans="1:22" ht="20.100000000000001" customHeight="1" x14ac:dyDescent="0.25">
      <c r="D30" s="54" t="s">
        <v>69</v>
      </c>
      <c r="E30" s="54" t="s">
        <v>325</v>
      </c>
    </row>
    <row r="31" spans="1:22" ht="20.100000000000001" customHeight="1" x14ac:dyDescent="0.25">
      <c r="D31" s="55" t="str" cm="1">
        <f t="array" ref="D31:D35">Table_SourceData_Dairy_EFmFracGASM[NIR reference]</f>
        <v>Pasture range and paddock</v>
      </c>
      <c r="E31" s="55" cm="1">
        <f t="array" ref="E31:E35">Table_SourceData_Dairy_EFmFracGASM[FracGASMm]</f>
        <v>0</v>
      </c>
      <c r="F31" s="2" t="str">
        <f>G14</f>
        <v>fraction</v>
      </c>
    </row>
    <row r="32" spans="1:22" ht="20.100000000000001" customHeight="1" x14ac:dyDescent="0.25">
      <c r="D32" s="55" t="str">
        <v>Anaerobic lagoon</v>
      </c>
      <c r="E32" s="55">
        <v>0.35</v>
      </c>
      <c r="F32" s="2"/>
    </row>
    <row r="33" spans="4:22" ht="20.100000000000001" customHeight="1" x14ac:dyDescent="0.25">
      <c r="D33" s="55" t="str">
        <v>Sump and dispersal system</v>
      </c>
      <c r="E33" s="55">
        <v>7.0000000000000007E-2</v>
      </c>
      <c r="F33" s="2"/>
    </row>
    <row r="34" spans="4:22" ht="20.100000000000001" customHeight="1" x14ac:dyDescent="0.25">
      <c r="D34" s="55" t="str">
        <v>Drains to paddock</v>
      </c>
      <c r="E34" s="55">
        <v>0.2</v>
      </c>
      <c r="F34" s="2"/>
    </row>
    <row r="35" spans="4:22" ht="20.100000000000001" customHeight="1" x14ac:dyDescent="0.25">
      <c r="D35" s="55" t="str">
        <v>Solid storage</v>
      </c>
      <c r="E35" s="55">
        <v>0.3</v>
      </c>
      <c r="F35" s="2"/>
    </row>
    <row r="36" spans="4:22" ht="20.100000000000001" customHeight="1" x14ac:dyDescent="0.25"/>
    <row r="37" spans="4:22" ht="20.100000000000001" customHeight="1" x14ac:dyDescent="0.25">
      <c r="D37" s="104" t="s">
        <v>327</v>
      </c>
      <c r="O37" s="104" t="s">
        <v>329</v>
      </c>
    </row>
    <row r="38" spans="4:22" ht="20.100000000000001" customHeight="1" x14ac:dyDescent="0.25">
      <c r="D38" s="103" t="s">
        <v>328</v>
      </c>
      <c r="O38" s="103" t="s">
        <v>330</v>
      </c>
    </row>
    <row r="39" spans="4:22" ht="20.100000000000001" customHeight="1" x14ac:dyDescent="0.25">
      <c r="D39" s="54" t="s">
        <v>149</v>
      </c>
      <c r="E39" s="54" t="s">
        <v>69</v>
      </c>
      <c r="F39" s="54" t="s">
        <v>175</v>
      </c>
      <c r="G39" s="54" t="s">
        <v>192</v>
      </c>
      <c r="H39" s="54" t="s">
        <v>193</v>
      </c>
      <c r="I39" s="54" t="s">
        <v>194</v>
      </c>
      <c r="J39" s="54" t="s">
        <v>195</v>
      </c>
      <c r="O39" s="54" t="s">
        <v>149</v>
      </c>
      <c r="P39" s="54" t="s">
        <v>69</v>
      </c>
      <c r="Q39" s="54" t="s">
        <v>175</v>
      </c>
      <c r="R39" s="54" t="s">
        <v>192</v>
      </c>
      <c r="S39" s="54" t="s">
        <v>193</v>
      </c>
      <c r="T39" s="54" t="s">
        <v>194</v>
      </c>
      <c r="U39" s="54" t="s">
        <v>195</v>
      </c>
    </row>
    <row r="40" spans="4:22" ht="20.100000000000001" customHeight="1" x14ac:dyDescent="0.25">
      <c r="D40" s="55" t="str">
        <f>'Input - Dairy'!$D$66</f>
        <v>Milking shed</v>
      </c>
      <c r="E40" s="55" t="str">
        <f>'Input - Dairy'!$D$85</f>
        <v>Anaerobic lagoon</v>
      </c>
      <c r="F40" s="55" cm="1">
        <f t="array" ref="F40">MMS_Dairy_AtmosphericDeposition_Equations.VEERG_4_3_1_5__2_TotalNitrogenVolatilisedFromMMS(F19,$E32)</f>
        <v>-31.500767004604729</v>
      </c>
      <c r="G40" s="55" cm="1">
        <f t="array" ref="G40">MMS_Dairy_AtmosphericDeposition_Equations.VEERG_4_3_1_5__2_TotalNitrogenVolatilisedFromMMS(G19,$E32)</f>
        <v>63.825265937237269</v>
      </c>
      <c r="H40" s="55" cm="1">
        <f t="array" ref="H40">MMS_Dairy_AtmosphericDeposition_Equations.VEERG_4_3_1_5__2_TotalNitrogenVolatilisedFromMMS(H19,$E32)</f>
        <v>25.420928443345197</v>
      </c>
      <c r="I40" s="55" cm="1">
        <f t="array" ref="I40">MMS_Dairy_AtmosphericDeposition_Equations.VEERG_4_3_1_5__2_TotalNitrogenVolatilisedFromMMS(I19,$E32)</f>
        <v>80.230883508953951</v>
      </c>
      <c r="J40" s="55" cm="1">
        <f t="array" ref="J40">MMS_Dairy_AtmosphericDeposition_Equations.VEERG_4_3_1_5__2_TotalNitrogenVolatilisedFromMMS(J19,$E32)</f>
        <v>33.586999977669393</v>
      </c>
      <c r="K40" s="2" t="str">
        <f>$E$11</f>
        <v>kg N</v>
      </c>
      <c r="O40" s="55" t="str">
        <f>'Input - Dairy'!$D$66</f>
        <v>Milking shed</v>
      </c>
      <c r="P40" s="55" t="str">
        <f>'Input - Dairy'!$D$85</f>
        <v>Anaerobic lagoon</v>
      </c>
      <c r="Q40" s="55" cm="1">
        <f t="array" ref="Q40">MMS_Dairy_AtmosphericDeposition_Equations.VEERG_4_3_1_5__2_TotalNitrogenVolatilisedFromMMS(Q19,$E32)</f>
        <v>-31.500767004604729</v>
      </c>
      <c r="R40" s="55" cm="1">
        <f t="array" ref="R40">MMS_Dairy_AtmosphericDeposition_Equations.VEERG_4_3_1_5__2_TotalNitrogenVolatilisedFromMMS(R19,$E32)</f>
        <v>63.825265937237269</v>
      </c>
      <c r="S40" s="55" cm="1">
        <f t="array" ref="S40">MMS_Dairy_AtmosphericDeposition_Equations.VEERG_4_3_1_5__2_TotalNitrogenVolatilisedFromMMS(S19,$E32)</f>
        <v>25.420928443345197</v>
      </c>
      <c r="T40" s="55" cm="1">
        <f t="array" ref="T40">MMS_Dairy_AtmosphericDeposition_Equations.VEERG_4_3_1_5__2_TotalNitrogenVolatilisedFromMMS(T19,$E32)</f>
        <v>80.230883508953951</v>
      </c>
      <c r="U40" s="55" cm="1">
        <f t="array" ref="U40">MMS_Dairy_AtmosphericDeposition_Equations.VEERG_4_3_1_5__2_TotalNitrogenVolatilisedFromMMS(U19,$E32)</f>
        <v>33.586999977669393</v>
      </c>
      <c r="V40" s="2" t="str">
        <f>$E$11</f>
        <v>kg N</v>
      </c>
    </row>
    <row r="41" spans="4:22" ht="20.100000000000001" customHeight="1" x14ac:dyDescent="0.25">
      <c r="D41" s="55" t="str">
        <f>'Input - Dairy'!$D$66</f>
        <v>Milking shed</v>
      </c>
      <c r="E41" s="55" t="str">
        <f>'Input - Dairy'!$D$86</f>
        <v>Sump and dispersal system</v>
      </c>
      <c r="F41" s="55" cm="1">
        <f t="array" ref="F41">MMS_Dairy_AtmosphericDeposition_Equations.VEERG_4_3_1_5__2_TotalNitrogenVolatilisedFromMMS(F20,$E33)</f>
        <v>-6.300153400920947</v>
      </c>
      <c r="G41" s="55" cm="1">
        <f t="array" ref="G41">MMS_Dairy_AtmosphericDeposition_Equations.VEERG_4_3_1_5__2_TotalNitrogenVolatilisedFromMMS(G20,$E33)</f>
        <v>12.765053187447457</v>
      </c>
      <c r="H41" s="55" cm="1">
        <f t="array" ref="H41">MMS_Dairy_AtmosphericDeposition_Equations.VEERG_4_3_1_5__2_TotalNitrogenVolatilisedFromMMS(H20,$E33)</f>
        <v>5.0841856886690397</v>
      </c>
      <c r="I41" s="55" cm="1">
        <f t="array" ref="I41">MMS_Dairy_AtmosphericDeposition_Equations.VEERG_4_3_1_5__2_TotalNitrogenVolatilisedFromMMS(I20,$E33)</f>
        <v>16.046176701790792</v>
      </c>
      <c r="J41" s="55" cm="1">
        <f t="array" ref="J41">MMS_Dairy_AtmosphericDeposition_Equations.VEERG_4_3_1_5__2_TotalNitrogenVolatilisedFromMMS(J20,$E33)</f>
        <v>6.7173999955338797</v>
      </c>
      <c r="K41" s="2"/>
      <c r="O41" s="55" t="str">
        <f>'Input - Dairy'!$D$66</f>
        <v>Milking shed</v>
      </c>
      <c r="P41" s="55" t="str">
        <f>'Input - Dairy'!$D$86</f>
        <v>Sump and dispersal system</v>
      </c>
      <c r="Q41" s="55" cm="1">
        <f t="array" ref="Q41">MMS_Dairy_AtmosphericDeposition_Equations.VEERG_4_3_1_5__2_TotalNitrogenVolatilisedFromMMS(Q20,$E33)</f>
        <v>-6.300153400920947</v>
      </c>
      <c r="R41" s="55" cm="1">
        <f t="array" ref="R41">MMS_Dairy_AtmosphericDeposition_Equations.VEERG_4_3_1_5__2_TotalNitrogenVolatilisedFromMMS(R20,$E33)</f>
        <v>12.765053187447457</v>
      </c>
      <c r="S41" s="55" cm="1">
        <f t="array" ref="S41">MMS_Dairy_AtmosphericDeposition_Equations.VEERG_4_3_1_5__2_TotalNitrogenVolatilisedFromMMS(S20,$E33)</f>
        <v>5.0841856886690397</v>
      </c>
      <c r="T41" s="55" cm="1">
        <f t="array" ref="T41">MMS_Dairy_AtmosphericDeposition_Equations.VEERG_4_3_1_5__2_TotalNitrogenVolatilisedFromMMS(T20,$E33)</f>
        <v>16.046176701790792</v>
      </c>
      <c r="U41" s="55" cm="1">
        <f t="array" ref="U41">MMS_Dairy_AtmosphericDeposition_Equations.VEERG_4_3_1_5__2_TotalNitrogenVolatilisedFromMMS(U20,$E33)</f>
        <v>6.7173999955338797</v>
      </c>
      <c r="V41" s="2"/>
    </row>
    <row r="42" spans="4:22" ht="20.100000000000001" customHeight="1" x14ac:dyDescent="0.25">
      <c r="D42" s="55" t="str">
        <f>'Input - Dairy'!$D$66</f>
        <v>Milking shed</v>
      </c>
      <c r="E42" s="55" t="str">
        <f>'Input - Dairy'!$D$87</f>
        <v>Drains to paddock</v>
      </c>
      <c r="F42" s="55" cm="1">
        <f t="array" ref="F42">MMS_Dairy_AtmosphericDeposition_Equations.VEERG_4_3_1_5__2_TotalNitrogenVolatilisedFromMMS(F21,$E34)</f>
        <v>-18.00043828834556</v>
      </c>
      <c r="G42" s="55" cm="1">
        <f t="array" ref="G42">MMS_Dairy_AtmosphericDeposition_Equations.VEERG_4_3_1_5__2_TotalNitrogenVolatilisedFromMMS(G21,$E34)</f>
        <v>36.471580535564158</v>
      </c>
      <c r="H42" s="55" cm="1">
        <f t="array" ref="H42">MMS_Dairy_AtmosphericDeposition_Equations.VEERG_4_3_1_5__2_TotalNitrogenVolatilisedFromMMS(H21,$E34)</f>
        <v>14.526244824768686</v>
      </c>
      <c r="I42" s="55" cm="1">
        <f t="array" ref="I42">MMS_Dairy_AtmosphericDeposition_Equations.VEERG_4_3_1_5__2_TotalNitrogenVolatilisedFromMMS(I21,$E34)</f>
        <v>45.846219147973692</v>
      </c>
      <c r="J42" s="55" cm="1">
        <f t="array" ref="J42">MMS_Dairy_AtmosphericDeposition_Equations.VEERG_4_3_1_5__2_TotalNitrogenVolatilisedFromMMS(J21,$E34)</f>
        <v>19.192571415811084</v>
      </c>
      <c r="K42" s="2"/>
      <c r="O42" s="55" t="str">
        <f>'Input - Dairy'!$D$66</f>
        <v>Milking shed</v>
      </c>
      <c r="P42" s="55" t="str">
        <f>'Input - Dairy'!$D$87</f>
        <v>Drains to paddock</v>
      </c>
      <c r="Q42" s="55" cm="1">
        <f t="array" ref="Q42">MMS_Dairy_AtmosphericDeposition_Equations.VEERG_4_3_1_5__2_TotalNitrogenVolatilisedFromMMS(Q21,$E34)</f>
        <v>-18.00043828834556</v>
      </c>
      <c r="R42" s="55" cm="1">
        <f t="array" ref="R42">MMS_Dairy_AtmosphericDeposition_Equations.VEERG_4_3_1_5__2_TotalNitrogenVolatilisedFromMMS(R21,$E34)</f>
        <v>36.471580535564158</v>
      </c>
      <c r="S42" s="55" cm="1">
        <f t="array" ref="S42">MMS_Dairy_AtmosphericDeposition_Equations.VEERG_4_3_1_5__2_TotalNitrogenVolatilisedFromMMS(S21,$E34)</f>
        <v>14.526244824768686</v>
      </c>
      <c r="T42" s="55" cm="1">
        <f t="array" ref="T42">MMS_Dairy_AtmosphericDeposition_Equations.VEERG_4_3_1_5__2_TotalNitrogenVolatilisedFromMMS(T21,$E34)</f>
        <v>45.846219147973692</v>
      </c>
      <c r="U42" s="55" cm="1">
        <f t="array" ref="U42">MMS_Dairy_AtmosphericDeposition_Equations.VEERG_4_3_1_5__2_TotalNitrogenVolatilisedFromMMS(U21,$E34)</f>
        <v>19.192571415811084</v>
      </c>
      <c r="V42" s="2"/>
    </row>
    <row r="43" spans="4:22" ht="20.100000000000001" customHeight="1" x14ac:dyDescent="0.25">
      <c r="D43" s="55" t="str">
        <f>'Input - Dairy'!$D$66</f>
        <v>Milking shed</v>
      </c>
      <c r="E43" s="55" t="s">
        <v>412</v>
      </c>
      <c r="F43" s="55" cm="1">
        <f t="array" ref="F43">MMS_Dairy_AtmosphericDeposition_Equations.VEERG_4_3_1_5__2_TotalNitrogenVolatilisedFromMMS(F22,$E35)</f>
        <v>-54.001314865036669</v>
      </c>
      <c r="G43" s="55" cm="1">
        <f t="array" ref="G43">MMS_Dairy_AtmosphericDeposition_Equations.VEERG_4_3_1_5__2_TotalNitrogenVolatilisedFromMMS(G22,$E35)</f>
        <v>109.41474160669246</v>
      </c>
      <c r="H43" s="55" cm="1">
        <f t="array" ref="H43">MMS_Dairy_AtmosphericDeposition_Equations.VEERG_4_3_1_5__2_TotalNitrogenVolatilisedFromMMS(H22,$E35)</f>
        <v>43.578734474306046</v>
      </c>
      <c r="I43" s="55" cm="1">
        <f t="array" ref="I43">MMS_Dairy_AtmosphericDeposition_Equations.VEERG_4_3_1_5__2_TotalNitrogenVolatilisedFromMMS(I22,$E35)</f>
        <v>137.53865744392104</v>
      </c>
      <c r="J43" s="55" cm="1">
        <f t="array" ref="J43">MMS_Dairy_AtmosphericDeposition_Equations.VEERG_4_3_1_5__2_TotalNitrogenVolatilisedFromMMS(J22,$E35)</f>
        <v>57.577714247433235</v>
      </c>
      <c r="K43" s="2"/>
      <c r="O43" s="55" t="str">
        <f>'Input - Dairy'!$D$66</f>
        <v>Milking shed</v>
      </c>
      <c r="P43" s="55" t="s">
        <v>412</v>
      </c>
      <c r="Q43" s="55" cm="1">
        <f t="array" ref="Q43">MMS_Dairy_AtmosphericDeposition_Equations.VEERG_4_3_1_5__2_TotalNitrogenVolatilisedFromMMS(Q22,$E35)</f>
        <v>-54.001314865036669</v>
      </c>
      <c r="R43" s="55" cm="1">
        <f t="array" ref="R43">MMS_Dairy_AtmosphericDeposition_Equations.VEERG_4_3_1_5__2_TotalNitrogenVolatilisedFromMMS(R22,$E35)</f>
        <v>109.41474160669246</v>
      </c>
      <c r="S43" s="55" cm="1">
        <f t="array" ref="S43">MMS_Dairy_AtmosphericDeposition_Equations.VEERG_4_3_1_5__2_TotalNitrogenVolatilisedFromMMS(S22,$E35)</f>
        <v>43.578734474306046</v>
      </c>
      <c r="T43" s="55" cm="1">
        <f t="array" ref="T43">MMS_Dairy_AtmosphericDeposition_Equations.VEERG_4_3_1_5__2_TotalNitrogenVolatilisedFromMMS(T22,$E35)</f>
        <v>137.53865744392104</v>
      </c>
      <c r="U43" s="55" cm="1">
        <f t="array" ref="U43">MMS_Dairy_AtmosphericDeposition_Equations.VEERG_4_3_1_5__2_TotalNitrogenVolatilisedFromMMS(U22,$E35)</f>
        <v>57.577714247433235</v>
      </c>
      <c r="V43" s="2"/>
    </row>
    <row r="44" spans="4:22" ht="20.100000000000001" customHeight="1" x14ac:dyDescent="0.25">
      <c r="D44" s="55" t="str">
        <f>'Input - Dairy'!$D$67</f>
        <v>Feed pad</v>
      </c>
      <c r="E44" s="55" t="str">
        <f>'Input - Dairy'!$D$101</f>
        <v>Anaerobic lagoon</v>
      </c>
      <c r="F44" s="55" cm="1">
        <f t="array" ref="F44">MMS_Dairy_AtmosphericDeposition_Equations.VEERG_4_3_1_5__2_TotalNitrogenVolatilisedFromMMS(F23, $E32)</f>
        <v>-127.43492106408274</v>
      </c>
      <c r="G44" s="55" cm="1">
        <f t="array" ref="G44">MMS_Dairy_AtmosphericDeposition_Equations.VEERG_4_3_1_5__2_TotalNitrogenVolatilisedFromMMS(G23, $E32)</f>
        <v>258.20221220064167</v>
      </c>
      <c r="H44" s="55" cm="1">
        <f t="array" ref="H44">MMS_Dairy_AtmosphericDeposition_Equations.VEERG_4_3_1_5__2_TotalNitrogenVolatilisedFromMMS(H23, $E32)</f>
        <v>102.83921052080557</v>
      </c>
      <c r="I44" s="55" cm="1">
        <f t="array" ref="I44">MMS_Dairy_AtmosphericDeposition_Equations.VEERG_4_3_1_5__2_TotalNitrogenVolatilisedFromMMS(I23, $E32)</f>
        <v>324.57039237713184</v>
      </c>
      <c r="J44" s="55" cm="1">
        <f t="array" ref="J44">MMS_Dairy_AtmosphericDeposition_Equations.VEERG_4_3_1_5__2_TotalNitrogenVolatilisedFromMMS(J23, $E32)</f>
        <v>135.87468172784432</v>
      </c>
      <c r="K44" s="2"/>
      <c r="O44" s="55" t="str">
        <f>'Input - Dairy'!$D$67</f>
        <v>Feed pad</v>
      </c>
      <c r="P44" s="55" t="str">
        <f>'Input - Dairy'!$D$101</f>
        <v>Anaerobic lagoon</v>
      </c>
      <c r="Q44" s="55" cm="1">
        <f t="array" ref="Q44">MMS_Dairy_AtmosphericDeposition_Equations.VEERG_4_3_1_5__2_TotalNitrogenVolatilisedFromMMS(Q23, $E32)</f>
        <v>-127.43492106408274</v>
      </c>
      <c r="R44" s="55" cm="1">
        <f t="array" ref="R44">MMS_Dairy_AtmosphericDeposition_Equations.VEERG_4_3_1_5__2_TotalNitrogenVolatilisedFromMMS(R23, $E32)</f>
        <v>258.20221220064167</v>
      </c>
      <c r="S44" s="55" cm="1">
        <f t="array" ref="S44">MMS_Dairy_AtmosphericDeposition_Equations.VEERG_4_3_1_5__2_TotalNitrogenVolatilisedFromMMS(S23, $E32)</f>
        <v>102.83921052080557</v>
      </c>
      <c r="T44" s="55" cm="1">
        <f t="array" ref="T44">MMS_Dairy_AtmosphericDeposition_Equations.VEERG_4_3_1_5__2_TotalNitrogenVolatilisedFromMMS(T23, $E32)</f>
        <v>324.57039237713184</v>
      </c>
      <c r="U44" s="55" cm="1">
        <f t="array" ref="U44">MMS_Dairy_AtmosphericDeposition_Equations.VEERG_4_3_1_5__2_TotalNitrogenVolatilisedFromMMS(U23, $E32)</f>
        <v>135.87468172784432</v>
      </c>
      <c r="V44" s="2"/>
    </row>
    <row r="45" spans="4:22" ht="20.100000000000001" customHeight="1" x14ac:dyDescent="0.25">
      <c r="D45" s="55" t="str">
        <f>'Input - Dairy'!$D$67</f>
        <v>Feed pad</v>
      </c>
      <c r="E45" s="55" t="str">
        <f>'Input - Dairy'!$D$102</f>
        <v>Sump and dispersal system</v>
      </c>
      <c r="F45" s="55" cm="1">
        <f t="array" ref="F45">MMS_Dairy_AtmosphericDeposition_Equations.VEERG_4_3_1_5__2_TotalNitrogenVolatilisedFromMMS(F24, $E33)</f>
        <v>-20.389587370253242</v>
      </c>
      <c r="G45" s="55" cm="1">
        <f t="array" ref="G45">MMS_Dairy_AtmosphericDeposition_Equations.VEERG_4_3_1_5__2_TotalNitrogenVolatilisedFromMMS(G24, $E33)</f>
        <v>41.312353952102676</v>
      </c>
      <c r="H45" s="55" cm="1">
        <f t="array" ref="H45">MMS_Dairy_AtmosphericDeposition_Equations.VEERG_4_3_1_5__2_TotalNitrogenVolatilisedFromMMS(H24, $E33)</f>
        <v>16.454273683328893</v>
      </c>
      <c r="I45" s="55" cm="1">
        <f t="array" ref="I45">MMS_Dairy_AtmosphericDeposition_Equations.VEERG_4_3_1_5__2_TotalNitrogenVolatilisedFromMMS(I24, $E33)</f>
        <v>51.931262780341108</v>
      </c>
      <c r="J45" s="55" cm="1">
        <f t="array" ref="J45">MMS_Dairy_AtmosphericDeposition_Equations.VEERG_4_3_1_5__2_TotalNitrogenVolatilisedFromMMS(J24, $E33)</f>
        <v>21.739949076455098</v>
      </c>
      <c r="K45" s="2"/>
      <c r="O45" s="55" t="str">
        <f>'Input - Dairy'!$D$67</f>
        <v>Feed pad</v>
      </c>
      <c r="P45" s="55" t="str">
        <f>'Input - Dairy'!$D$102</f>
        <v>Sump and dispersal system</v>
      </c>
      <c r="Q45" s="55" cm="1">
        <f t="array" ref="Q45">MMS_Dairy_AtmosphericDeposition_Equations.VEERG_4_3_1_5__2_TotalNitrogenVolatilisedFromMMS(Q24, $E33)</f>
        <v>-20.389587370253242</v>
      </c>
      <c r="R45" s="55" cm="1">
        <f t="array" ref="R45">MMS_Dairy_AtmosphericDeposition_Equations.VEERG_4_3_1_5__2_TotalNitrogenVolatilisedFromMMS(R24, $E33)</f>
        <v>41.312353952102676</v>
      </c>
      <c r="S45" s="55" cm="1">
        <f t="array" ref="S45">MMS_Dairy_AtmosphericDeposition_Equations.VEERG_4_3_1_5__2_TotalNitrogenVolatilisedFromMMS(S24, $E33)</f>
        <v>16.454273683328893</v>
      </c>
      <c r="T45" s="55" cm="1">
        <f t="array" ref="T45">MMS_Dairy_AtmosphericDeposition_Equations.VEERG_4_3_1_5__2_TotalNitrogenVolatilisedFromMMS(T24, $E33)</f>
        <v>51.931262780341108</v>
      </c>
      <c r="U45" s="55" cm="1">
        <f t="array" ref="U45">MMS_Dairy_AtmosphericDeposition_Equations.VEERG_4_3_1_5__2_TotalNitrogenVolatilisedFromMMS(U24, $E33)</f>
        <v>21.739949076455098</v>
      </c>
      <c r="V45" s="2"/>
    </row>
    <row r="46" spans="4:22" ht="20.100000000000001" customHeight="1" x14ac:dyDescent="0.25">
      <c r="D46" s="55" t="str">
        <f>'Input - Dairy'!$D$67</f>
        <v>Feed pad</v>
      </c>
      <c r="E46" s="55" t="str">
        <f>'Input - Dairy'!$D$103</f>
        <v>Drains to paddock</v>
      </c>
      <c r="F46" s="55" cm="1">
        <f t="array" ref="F46">MMS_Dairy_AtmosphericDeposition_Equations.VEERG_4_3_1_5__2_TotalNitrogenVolatilisedFromMMS(F25, $E34)</f>
        <v>-58.255963915009261</v>
      </c>
      <c r="G46" s="55" cm="1">
        <f t="array" ref="G46">MMS_Dairy_AtmosphericDeposition_Equations.VEERG_4_3_1_5__2_TotalNitrogenVolatilisedFromMMS(G25, $E34)</f>
        <v>118.03529700600764</v>
      </c>
      <c r="H46" s="55" cm="1">
        <f t="array" ref="H46">MMS_Dairy_AtmosphericDeposition_Equations.VEERG_4_3_1_5__2_TotalNitrogenVolatilisedFromMMS(H25, $E34)</f>
        <v>47.012210523796831</v>
      </c>
      <c r="I46" s="55" cm="1">
        <f t="array" ref="I46">MMS_Dairy_AtmosphericDeposition_Equations.VEERG_4_3_1_5__2_TotalNitrogenVolatilisedFromMMS(I25, $E34)</f>
        <v>148.37503651526029</v>
      </c>
      <c r="J46" s="55" cm="1">
        <f t="array" ref="J46">MMS_Dairy_AtmosphericDeposition_Equations.VEERG_4_3_1_5__2_TotalNitrogenVolatilisedFromMMS(J25, $E34)</f>
        <v>62.114140218443133</v>
      </c>
      <c r="K46" s="2"/>
      <c r="O46" s="55" t="str">
        <f>'Input - Dairy'!$D$67</f>
        <v>Feed pad</v>
      </c>
      <c r="P46" s="55" t="str">
        <f>'Input - Dairy'!$D$103</f>
        <v>Drains to paddock</v>
      </c>
      <c r="Q46" s="55" cm="1">
        <f t="array" ref="Q46">MMS_Dairy_AtmosphericDeposition_Equations.VEERG_4_3_1_5__2_TotalNitrogenVolatilisedFromMMS(Q25, $E34)</f>
        <v>-58.255963915009261</v>
      </c>
      <c r="R46" s="55" cm="1">
        <f t="array" ref="R46">MMS_Dairy_AtmosphericDeposition_Equations.VEERG_4_3_1_5__2_TotalNitrogenVolatilisedFromMMS(R25, $E34)</f>
        <v>118.03529700600764</v>
      </c>
      <c r="S46" s="55" cm="1">
        <f t="array" ref="S46">MMS_Dairy_AtmosphericDeposition_Equations.VEERG_4_3_1_5__2_TotalNitrogenVolatilisedFromMMS(S25, $E34)</f>
        <v>47.012210523796831</v>
      </c>
      <c r="T46" s="55" cm="1">
        <f t="array" ref="T46">MMS_Dairy_AtmosphericDeposition_Equations.VEERG_4_3_1_5__2_TotalNitrogenVolatilisedFromMMS(T25, $E34)</f>
        <v>148.37503651526029</v>
      </c>
      <c r="U46" s="55" cm="1">
        <f t="array" ref="U46">MMS_Dairy_AtmosphericDeposition_Equations.VEERG_4_3_1_5__2_TotalNitrogenVolatilisedFromMMS(U25, $E34)</f>
        <v>62.114140218443133</v>
      </c>
      <c r="V46" s="2"/>
    </row>
    <row r="47" spans="4:22" ht="20.100000000000001" customHeight="1" x14ac:dyDescent="0.25">
      <c r="D47" s="55" t="str">
        <f>'Input - Dairy'!$D$67</f>
        <v>Feed pad</v>
      </c>
      <c r="E47" s="55" t="s">
        <v>412</v>
      </c>
      <c r="F47" s="55" cm="1">
        <f t="array" ref="F47">MMS_Dairy_AtmosphericDeposition_Equations.VEERG_4_3_1_5__2_TotalNitrogenVolatilisedFromMMS(F26, $E35)</f>
        <v>-152.92190527689928</v>
      </c>
      <c r="G47" s="55" cm="1">
        <f t="array" ref="G47">MMS_Dairy_AtmosphericDeposition_Equations.VEERG_4_3_1_5__2_TotalNitrogenVolatilisedFromMMS(G26, $E35)</f>
        <v>309.84265464076998</v>
      </c>
      <c r="H47" s="55" cm="1">
        <f t="array" ref="H47">MMS_Dairy_AtmosphericDeposition_Equations.VEERG_4_3_1_5__2_TotalNitrogenVolatilisedFromMMS(H26, $E35)</f>
        <v>123.40705262496667</v>
      </c>
      <c r="I47" s="55" cm="1">
        <f t="array" ref="I47">MMS_Dairy_AtmosphericDeposition_Equations.VEERG_4_3_1_5__2_TotalNitrogenVolatilisedFromMMS(I26, $E35)</f>
        <v>389.48447085255822</v>
      </c>
      <c r="J47" s="55" cm="1">
        <f t="array" ref="J47">MMS_Dairy_AtmosphericDeposition_Equations.VEERG_4_3_1_5__2_TotalNitrogenVolatilisedFromMMS(J26, $E35)</f>
        <v>163.0496180734132</v>
      </c>
      <c r="K47" s="2"/>
      <c r="O47" s="55" t="str">
        <f>'Input - Dairy'!$D$67</f>
        <v>Feed pad</v>
      </c>
      <c r="P47" s="55" t="s">
        <v>412</v>
      </c>
      <c r="Q47" s="55" cm="1">
        <f t="array" ref="Q47">MMS_Dairy_AtmosphericDeposition_Equations.VEERG_4_3_1_5__2_TotalNitrogenVolatilisedFromMMS(Q26, $E35)</f>
        <v>-152.92190527689928</v>
      </c>
      <c r="R47" s="55" cm="1">
        <f t="array" ref="R47">MMS_Dairy_AtmosphericDeposition_Equations.VEERG_4_3_1_5__2_TotalNitrogenVolatilisedFromMMS(R26, $E35)</f>
        <v>309.84265464076998</v>
      </c>
      <c r="S47" s="55" cm="1">
        <f t="array" ref="S47">MMS_Dairy_AtmosphericDeposition_Equations.VEERG_4_3_1_5__2_TotalNitrogenVolatilisedFromMMS(S26, $E35)</f>
        <v>123.40705262496667</v>
      </c>
      <c r="T47" s="55" cm="1">
        <f t="array" ref="T47">MMS_Dairy_AtmosphericDeposition_Equations.VEERG_4_3_1_5__2_TotalNitrogenVolatilisedFromMMS(T26, $E35)</f>
        <v>389.48447085255822</v>
      </c>
      <c r="U47" s="55" cm="1">
        <f t="array" ref="U47">MMS_Dairy_AtmosphericDeposition_Equations.VEERG_4_3_1_5__2_TotalNitrogenVolatilisedFromMMS(U26, $E35)</f>
        <v>163.0496180734132</v>
      </c>
      <c r="V47" s="2"/>
    </row>
    <row r="48" spans="4:22" ht="20.100000000000001" customHeight="1" x14ac:dyDescent="0.25"/>
    <row r="49" spans="1:23" ht="20.100000000000001" customHeight="1" x14ac:dyDescent="0.25">
      <c r="D49" s="118" t="s">
        <v>386</v>
      </c>
      <c r="E49" s="48">
        <f>SUM(F40:J47)</f>
        <v>2553.2631227258316</v>
      </c>
      <c r="F49" s="112" t="str">
        <f>$E$11</f>
        <v>kg N</v>
      </c>
      <c r="O49" s="118" t="s">
        <v>386</v>
      </c>
      <c r="P49" s="48">
        <f>SUM(Q40:U47)</f>
        <v>2553.2631227258316</v>
      </c>
      <c r="Q49" s="112" t="str">
        <f>$E$11</f>
        <v>kg N</v>
      </c>
    </row>
    <row r="50" spans="1:23" ht="20.100000000000001" customHeight="1" x14ac:dyDescent="0.25"/>
    <row r="51" spans="1:23" ht="20.100000000000001" customHeight="1" x14ac:dyDescent="0.25">
      <c r="A51" s="141" t="str">
        <f>HYPERLINK("#A1", "▲ Back to top")</f>
        <v>▲ Back to top</v>
      </c>
    </row>
    <row r="52" spans="1:23" ht="20.100000000000001" customHeight="1" x14ac:dyDescent="0.25">
      <c r="C52" s="48"/>
      <c r="D52" s="48"/>
      <c r="E52" s="48"/>
      <c r="F52" s="48"/>
      <c r="G52" s="48"/>
      <c r="H52" s="48"/>
      <c r="I52" s="48"/>
      <c r="J52" s="48"/>
      <c r="K52" s="48"/>
      <c r="L52" s="48"/>
      <c r="N52" s="48"/>
      <c r="O52" s="48"/>
      <c r="P52" s="48"/>
      <c r="Q52" s="48"/>
      <c r="R52" s="48"/>
      <c r="S52" s="48"/>
      <c r="T52" s="48"/>
      <c r="U52" s="48"/>
      <c r="V52" s="48"/>
      <c r="W52" s="48"/>
    </row>
    <row r="53" spans="1:23" ht="20.100000000000001" customHeight="1" x14ac:dyDescent="0.25">
      <c r="D53" s="6" t="str" cm="1">
        <f t="array" ref="D53">MMS_Dairy_AtmosphericDeposition_Equations.VEERG_4_3_1_5__1_AnnualAtmosphericDepositionEmissionsFromMMS_Title()</f>
        <v>Annual atmospheric deposition emissions from MMS</v>
      </c>
    </row>
    <row r="54" spans="1:23" ht="20.100000000000001" customHeight="1" x14ac:dyDescent="0.25">
      <c r="D54" s="5" t="str" cm="1">
        <f t="array" ref="D54">MMS_Dairy_AtmosphericDeposition_Equations.VEERG_4_3_1_5__1_AnnualAtmosphericDepositionEmissionsFromMMS_Source()</f>
        <v>VEERG 2026: 4.3.1.5, Equation (1)</v>
      </c>
    </row>
    <row r="55" spans="1:23" ht="20.100000000000001" customHeight="1" x14ac:dyDescent="0.25">
      <c r="D55" s="13" t="s">
        <v>28</v>
      </c>
      <c r="E55" s="13" t="str" cm="1">
        <f t="array" aca="1" ref="E55" ca="1">Common_InputFunctions.Utility_DisplayFunctionName($E$68)</f>
        <v>=MMS_Dairy_AtmosphericDeposition_Equations.VEERG_4_3_1_5__1_AnnualAtmosphericDepositionEmissionsFromMMS</v>
      </c>
    </row>
    <row r="56" spans="1:23" ht="20.100000000000001" customHeight="1" x14ac:dyDescent="0.25"/>
    <row r="57" spans="1:23" ht="20.100000000000001" customHeight="1" x14ac:dyDescent="0.25">
      <c r="D57" s="6"/>
      <c r="H57" s="1" t="s">
        <v>428</v>
      </c>
    </row>
    <row r="58" spans="1:23" ht="20.100000000000001" customHeight="1" x14ac:dyDescent="0.25">
      <c r="D58" s="56" t="s">
        <v>31</v>
      </c>
      <c r="E58" s="1" t="str" cm="1">
        <f t="array" ref="E58">MMS_Dairy_AtmosphericDeposition_Equations.VEERG_4_3_1_5__1_AnnualAtmosphericDepositionEmissionsFromMMS_Variable()</f>
        <v>E_N2OMMSad</v>
      </c>
    </row>
    <row r="59" spans="1:23" ht="20.100000000000001" customHeight="1" x14ac:dyDescent="0.25">
      <c r="D59" s="56" t="s">
        <v>21</v>
      </c>
      <c r="E59" s="57" t="str" cm="1">
        <f t="array" ref="E59">MMS_Dairy_AtmosphericDeposition_Equations.VEERG_4_3_1_5__1_AnnualAtmosphericDepositionEmissionsFromMMS_Unit()</f>
        <v>t N2O</v>
      </c>
    </row>
    <row r="60" spans="1:23" ht="20.100000000000001" customHeight="1" x14ac:dyDescent="0.25"/>
    <row r="61" spans="1:23" ht="20.100000000000001" customHeight="1" x14ac:dyDescent="0.25">
      <c r="D61" s="137" t="str" cm="1">
        <f t="array" ref="D61:E66">_xlfn.CHOOSECOLS(MMS_Dairy_AtmosphericDeposition_Equations.VEERG_4_3_1_5__1_AnnualAtmosphericDepositionEmissionsFromMMS_Arguments(),1,2)</f>
        <v>MN_ATMOS</v>
      </c>
      <c r="E61" s="136" t="str">
        <v>mass of N volatilised from MMS</v>
      </c>
      <c r="F61" s="138"/>
      <c r="G61" s="137" t="str" cm="1">
        <f t="array" ref="G61:H66">_xlfn.CHOOSECOLS(MMS_Dairy_AtmosphericDeposition_Equations.VEERG_4_3_1_5__1_AnnualAtmosphericDepositionEmissionsFromMMS_Arguments(),3,4)</f>
        <v>kg N</v>
      </c>
      <c r="H61" s="133" t="str">
        <v>Calculated from 4.3.1.5 (2)</v>
      </c>
      <c r="I61" s="137">
        <f>$E$49</f>
        <v>2553.2631227258316</v>
      </c>
      <c r="O61" s="60" t="str">
        <f>D61</f>
        <v>MN_ATMOS</v>
      </c>
      <c r="P61" s="61" t="str">
        <f>E61</f>
        <v>mass of N volatilised from MMS</v>
      </c>
      <c r="Q61" s="62"/>
      <c r="R61" s="60">
        <f>$P$49</f>
        <v>2553.2631227258316</v>
      </c>
    </row>
    <row r="62" spans="1:23" ht="20.100000000000001" customHeight="1" x14ac:dyDescent="0.25">
      <c r="D62" s="137" t="str">
        <v>EF_N2O</v>
      </c>
      <c r="E62" s="136" t="str">
        <v>nitrous oxide emission factor for atmospheric deposition</v>
      </c>
      <c r="F62" s="138"/>
      <c r="G62" s="137" t="str">
        <v>kg N2O-N/kg N</v>
      </c>
      <c r="H62" s="133" t="str">
        <v>Constant</v>
      </c>
      <c r="I62" s="137">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60"/>
      <c r="P62" s="61"/>
      <c r="Q62" s="62"/>
      <c r="R62" s="60"/>
    </row>
    <row r="63" spans="1:23" ht="20.100000000000001" customHeight="1" x14ac:dyDescent="0.25">
      <c r="D63" s="137" t="str">
        <v>C_N2O</v>
      </c>
      <c r="E63" s="136" t="str">
        <v>factor to convert elemental mass of N2O to molecular mass</v>
      </c>
      <c r="F63" s="138"/>
      <c r="G63" s="137" t="str">
        <v/>
      </c>
      <c r="H63" s="133" t="str">
        <v>Constant</v>
      </c>
      <c r="I63" s="137">
        <f>Common_InputFunctions.Utility_LookupValueInTableNumber("N2O",Table_GasToMolecularConversionFactor[Gas],Table_GasToMolecularConversionFactor[Conversion factor combined])</f>
        <v>1.5714285714285714</v>
      </c>
      <c r="O63" s="60"/>
      <c r="P63" s="61"/>
      <c r="Q63" s="62"/>
      <c r="R63" s="60"/>
    </row>
    <row r="64" spans="1:23" ht="20.100000000000001" customHeight="1" x14ac:dyDescent="0.25">
      <c r="D64" s="137" t="str">
        <v>j</v>
      </c>
      <c r="E64" s="136" t="str">
        <v>production system</v>
      </c>
      <c r="F64" s="138"/>
      <c r="G64" s="137" t="str">
        <v/>
      </c>
      <c r="H64" s="135" t="str">
        <v>Input</v>
      </c>
      <c r="I64" s="137" t="str">
        <f>'Input - Dairy'!$E$109</f>
        <v>Pasture</v>
      </c>
      <c r="O64" s="60"/>
      <c r="P64" s="61"/>
      <c r="Q64" s="62"/>
      <c r="R64" s="60"/>
    </row>
    <row r="65" spans="1:18" ht="20.100000000000001" customHeight="1" x14ac:dyDescent="0.25">
      <c r="D65" s="137" t="str">
        <v>ir</v>
      </c>
      <c r="E65" s="136" t="str">
        <v>irrigation method</v>
      </c>
      <c r="F65" s="138"/>
      <c r="G65" s="137" t="str">
        <v/>
      </c>
      <c r="H65" s="135" t="str">
        <v>Input</v>
      </c>
      <c r="I65" s="137" t="str">
        <f>'Input - Dairy'!$E$110</f>
        <v>Sprinkler irrigation</v>
      </c>
      <c r="O65" s="60"/>
      <c r="P65" s="61"/>
      <c r="Q65" s="62"/>
      <c r="R65" s="60"/>
    </row>
    <row r="66" spans="1:18" ht="20.100000000000001" customHeight="1" x14ac:dyDescent="0.25">
      <c r="D66" s="137" t="str">
        <v>r</v>
      </c>
      <c r="E66" s="136" t="str">
        <v>rainfall region</v>
      </c>
      <c r="F66" s="138"/>
      <c r="G66" s="137" t="str">
        <v/>
      </c>
      <c r="H66" s="135" t="str">
        <v>Input</v>
      </c>
      <c r="I66" s="137" t="str">
        <f>'Input - Site'!$E$30</f>
        <v>High rainfall</v>
      </c>
      <c r="O66" s="60"/>
      <c r="P66" s="61"/>
      <c r="Q66" s="62"/>
      <c r="R66" s="60"/>
    </row>
    <row r="67" spans="1:18" ht="20.100000000000001" customHeight="1" x14ac:dyDescent="0.25"/>
    <row r="68" spans="1:18" ht="20.100000000000001" customHeight="1" x14ac:dyDescent="0.25">
      <c r="D68" s="108" t="s">
        <v>331</v>
      </c>
      <c r="E68" s="109" cm="1">
        <f t="array" ref="E68">MMS_Dairy_AtmosphericDeposition_Equations.VEERG_4_3_1_5__1_AnnualAtmosphericDepositionEmissionsFromMMS($I$61,$I$62,$I$63)</f>
        <v>2.367239666641521E-2</v>
      </c>
      <c r="F68" s="110" t="str">
        <f>$E$59</f>
        <v>t N2O</v>
      </c>
      <c r="O68" s="108" t="s">
        <v>331</v>
      </c>
      <c r="P68" s="109" cm="1">
        <f t="array" ref="P68">MMS_Dairy_AtmosphericDeposition_Equations.VEERG_4_3_1_5__1_AnnualAtmosphericDepositionEmissionsFromMMS($R$61,$I$62,$I$63)</f>
        <v>2.367239666641521E-2</v>
      </c>
      <c r="Q68" s="110" t="str">
        <f>$E$59</f>
        <v>t N2O</v>
      </c>
    </row>
    <row r="69" spans="1:18" ht="20.100000000000001" customHeight="1" x14ac:dyDescent="0.25"/>
    <row r="70" spans="1:18" ht="20.100000000000001" customHeight="1" x14ac:dyDescent="0.25">
      <c r="D70" s="60" t="str" cm="1">
        <f t="array" ref="D70:E71">Common_Equations.Common_ConvertN2OToCO2e_Arguments()</f>
        <v>EN2O</v>
      </c>
      <c r="E70" s="61" t="str">
        <v>Nitrous oxide emissions (t N2O)</v>
      </c>
      <c r="F70" s="111"/>
      <c r="G70" s="55">
        <f>$E$68</f>
        <v>2.367239666641521E-2</v>
      </c>
      <c r="O70" s="60" t="str" cm="1">
        <f t="array" ref="O70:P71">Common_Equations.Common_ConvertN2OToCO2e_Arguments()</f>
        <v>EN2O</v>
      </c>
      <c r="P70" s="61" t="str">
        <v>Nitrous oxide emissions (t N2O)</v>
      </c>
      <c r="Q70" s="111"/>
      <c r="R70" s="55">
        <f>P68</f>
        <v>2.367239666641521E-2</v>
      </c>
    </row>
    <row r="71" spans="1:18" ht="20.100000000000001" customHeight="1" x14ac:dyDescent="0.25">
      <c r="D71" s="60" t="str">
        <v>GWPN2O</v>
      </c>
      <c r="E71" s="61" t="str">
        <v>Global warming potential for nitrous oxide (t CO2-e / t N2O)</v>
      </c>
      <c r="F71" s="111"/>
      <c r="G71" s="55">
        <f>Common_InputFunctions.Utility_LookupValueInTableNumber("N2O",Table_GWPData[Gas],Table_GWPData[CO2-e factor])</f>
        <v>265</v>
      </c>
      <c r="O71" s="60" t="str">
        <v>GWPN2O</v>
      </c>
      <c r="P71" s="61" t="str">
        <v>Global warming potential for nitrous oxide (t CO2-e / t N2O)</v>
      </c>
      <c r="Q71" s="111"/>
      <c r="R71" s="55">
        <f>Common_InputFunctions.Utility_LookupValueInTableNumber("N2O",Table_GWPData[Gas],Table_GWPData[CO2-e factor])</f>
        <v>265</v>
      </c>
    </row>
    <row r="72" spans="1:18" ht="20.100000000000001" customHeight="1" x14ac:dyDescent="0.25"/>
    <row r="73" spans="1:18" ht="20.100000000000001" customHeight="1" x14ac:dyDescent="0.25">
      <c r="A73" s="141" t="str">
        <f>HYPERLINK("#A1", "▲ Back to top")</f>
        <v>▲ Back to top</v>
      </c>
      <c r="D73" s="48" t="s">
        <v>111</v>
      </c>
      <c r="E73" s="48" cm="1">
        <f t="array" ref="E73">Common_Equations.Common_ConvertN2OToCO2e(G70,G71)</f>
        <v>6.2731851166000308</v>
      </c>
      <c r="F73" s="112" t="str" cm="1">
        <f t="array" ref="F73">Common_Equations.Common_ConvertN2OToCO2e_Unit()</f>
        <v>t CO2e</v>
      </c>
      <c r="O73" s="48" t="s">
        <v>111</v>
      </c>
      <c r="P73" s="48" cm="1">
        <f t="array" ref="P73">Common_Equations.Common_ConvertN2OToCO2e(R70,R71)</f>
        <v>6.2731851166000308</v>
      </c>
      <c r="Q73" s="112" t="str" cm="1">
        <f t="array" ref="Q73">Common_Equations.Common_ConvertN2OToCO2e_Unit()</f>
        <v>t CO2e</v>
      </c>
    </row>
    <row r="74" spans="1:18" ht="20.100000000000001" customHeight="1" x14ac:dyDescent="0.25"/>
    <row r="75" spans="1:18" ht="20.100000000000001" customHeight="1" x14ac:dyDescent="0.25"/>
    <row r="76" spans="1:18" ht="20.100000000000001" customHeight="1" x14ac:dyDescent="0.25"/>
    <row r="77" spans="1:18" ht="20.100000000000001" customHeight="1" x14ac:dyDescent="0.25"/>
    <row r="78" spans="1:18" ht="20.100000000000001" customHeight="1" x14ac:dyDescent="0.25"/>
    <row r="79" spans="1:18" ht="20.100000000000001" customHeight="1" x14ac:dyDescent="0.25"/>
    <row r="80" spans="1: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34 E31 E22 E19 E26 P19 P26 E40 E47 P40 E74 P74 P22 E43 P43 P47" xr:uid="{7FA3C31B-BFCF-4AA3-9A1C-D3DF345CD246}"/>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FF1F9-358B-4D16-8622-0A1620082E5C}">
  <dimension ref="A1:W165"/>
  <sheetViews>
    <sheetView showGridLines="0" topLeftCell="A5" workbookViewId="0">
      <selection activeCell="D5" sqref="D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358</v>
      </c>
    </row>
    <row r="2" spans="1:23" s="9" customFormat="1" ht="20.100000000000001" customHeight="1" x14ac:dyDescent="0.25"/>
    <row r="3" spans="1:23" ht="20.100000000000001" customHeight="1" x14ac:dyDescent="0.25">
      <c r="A3" s="17" t="str">
        <f>HYPERLINK("#'Home'!A1", "Home")</f>
        <v>Home</v>
      </c>
      <c r="C3" s="4"/>
      <c r="D3" s="4" t="s">
        <v>121</v>
      </c>
      <c r="E3" s="4"/>
      <c r="F3" s="4"/>
      <c r="G3" s="4"/>
      <c r="H3" s="4"/>
      <c r="I3" s="4"/>
      <c r="J3" s="4"/>
      <c r="K3" s="4"/>
      <c r="L3" s="4"/>
      <c r="N3" s="4"/>
      <c r="O3" s="4" t="s">
        <v>122</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A6" s="16"/>
      <c r="D6" s="5" t="str" cm="1">
        <f t="array" ref="D6">MMS_Dairy_LeachingAndRunoff_Equations.VEERG_4_3_1_6__2_MassOfNitrogenLostToLeachingAndRunoffFromSolidStorage_Source()</f>
        <v>VEERG 2026: 4.3.1.6, Equation (2)</v>
      </c>
    </row>
    <row r="7" spans="1:23" ht="20.100000000000001" customHeight="1" x14ac:dyDescent="0.25">
      <c r="A7" s="20" t="s">
        <v>3</v>
      </c>
      <c r="D7" s="13" t="s">
        <v>28</v>
      </c>
      <c r="E7" s="13" t="str" cm="1">
        <f t="array" aca="1" ref="E7" ca="1">Common_InputFunctions.Utility_DisplayFunctionName($F$29)</f>
        <v>=MMS_Dairy_LeachingAndRunoff_Equations.VEERG_4_3_1_6__2_MassOfNitrogenLostToLeachingAndRunoffFromSolidStorage</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MMS_Dairy_LeachingAndRunoff_Equations.VEERG_4_3_1_6__2_MassOfNitrogenLostToLeachingAndRunoffFromSolidStorage_Variable()</f>
        <v>MNLeach_jm4</v>
      </c>
    </row>
    <row r="11" spans="1:23" ht="20.100000000000001" customHeight="1" x14ac:dyDescent="0.25">
      <c r="A11" s="19" t="s">
        <v>78</v>
      </c>
      <c r="D11" s="56" t="s">
        <v>21</v>
      </c>
      <c r="E11" s="57" t="str" cm="1">
        <f t="array" ref="E11">MMS_Dairy_LeachingAndRunoff_Equations.VEERG_4_3_1_6__2_MassOfNitrogenLostToLeachingAndRunoffFromSolidStorage_Unit()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8">_xlfn.CHOOSECOLS(MMS_Dairy_LeachingAndRunoff_Equations.VEERG_4_3_1_6__2_MassOfNitrogenLostToLeachingAndRunoffFromSolidStorage_Arguments(),1,2)</f>
        <v>MN_jm4</v>
      </c>
      <c r="E13" s="136" t="str">
        <v>total nitrogen in solid storage system m=4 (kg N)</v>
      </c>
      <c r="F13" s="142"/>
      <c r="G13" s="138"/>
      <c r="H13" s="137" t="str" cm="1">
        <f t="array" ref="H13:I18">_xlfn.CHOOSECOLS(MMS_Dairy_LeachingAndRunoff_Equations.VEERG_4_3_1_6__2_MassOfNitrogenLostToLeachingAndRunoffFromSolidStorage_Arguments(),3,4)</f>
        <v>kg N</v>
      </c>
      <c r="I13" s="133" t="str">
        <v>Calculated from 4.3.1.3 (2)</v>
      </c>
      <c r="J13" s="134" t="str" cm="1">
        <f t="array" aca="1" ref="J13" ca="1">HYPERLINK(Common_InputFunctions.Utility_SourceHyperlink($D$20),$D$20)</f>
        <v>M1_Table_MN_j_m-4</v>
      </c>
    </row>
    <row r="14" spans="1:23" ht="20.100000000000001" customHeight="1" x14ac:dyDescent="0.25">
      <c r="A14" s="17" t="str">
        <f>HYPERLINK("#'4.3.1.5 Atmos Deposition'!A1", "4.3.1.5 Atmospheric deposition")</f>
        <v>4.3.1.5 Atmospheric deposition</v>
      </c>
      <c r="D14" s="137" t="str">
        <v>FracWET_i</v>
      </c>
      <c r="E14" s="136" t="str">
        <v>fraction of N that is available for leaching and runoff from the leaching zone z and irrigation type ir</v>
      </c>
      <c r="F14" s="142"/>
      <c r="G14" s="138"/>
      <c r="H14" s="137" t="str">
        <v>fraction</v>
      </c>
      <c r="I14" s="133" t="str">
        <v>Constant</v>
      </c>
      <c r="J14" s="137">
        <f>Common_InputFunctions.CommonCropping_GetFracWET(J16,J18,#REF!,#REF!,Table_SourceData_FracWETIrrigation[Irrigation type i],Table_SourceData_FracWETIrrigation[FracWET])</f>
        <v>1</v>
      </c>
    </row>
    <row r="15" spans="1:23" ht="20.100000000000001" customHeight="1" x14ac:dyDescent="0.25">
      <c r="A15" s="22" t="str">
        <f>HYPERLINK("#'4.3.1.6-7 Leaching and runoff'!A1", "4.3.1.6-7 Leaching and runoff")</f>
        <v>4.3.1.6-7 Leaching and runoff</v>
      </c>
      <c r="D15" s="137" t="str">
        <v>FracLEACH_MS</v>
      </c>
      <c r="E15" s="136" t="str">
        <v>fraction of N that is lost through leaching and runoff</v>
      </c>
      <c r="F15" s="142"/>
      <c r="G15" s="138"/>
      <c r="H15" s="137" t="str">
        <v>fraction</v>
      </c>
      <c r="I15" s="133" t="str">
        <v>Constant</v>
      </c>
      <c r="J15" s="137">
        <f>'Constants - Dairy'!$D$209</f>
        <v>0.02</v>
      </c>
    </row>
    <row r="16" spans="1:23" ht="20.100000000000001" customHeight="1" x14ac:dyDescent="0.25">
      <c r="A16" s="17" t="str">
        <f>HYPERLINK("#'4.3.1.8 Manure applied to soils'!A1", "4.3.1.8 Manure applied to soils")</f>
        <v>4.3.1.8 Manure applied to soils</v>
      </c>
      <c r="D16" s="137" t="str">
        <v>z</v>
      </c>
      <c r="E16" s="136" t="str">
        <v>location in leaching zone</v>
      </c>
      <c r="F16" s="142"/>
      <c r="G16" s="138"/>
      <c r="H16" s="137" t="str">
        <v/>
      </c>
      <c r="I16" s="135" t="str">
        <v>Input</v>
      </c>
      <c r="J16" s="137" t="str">
        <f>'Input - Site'!$E$23</f>
        <v>NO - Not in leaching zone</v>
      </c>
    </row>
    <row r="17" spans="1:22" ht="20.100000000000001" customHeight="1" x14ac:dyDescent="0.25">
      <c r="A17" s="17" t="str">
        <f>HYPERLINK("#'4.3.1.9 Soil direct N2O'!A1", "4.3.1.9 Soil direct N2O")</f>
        <v>4.3.1.9 Soil direct N2O</v>
      </c>
      <c r="D17" s="137" t="str">
        <v>j</v>
      </c>
      <c r="E17" s="136" t="str">
        <v>production system</v>
      </c>
      <c r="F17" s="142"/>
      <c r="G17" s="138"/>
      <c r="H17" s="137" t="str">
        <v/>
      </c>
      <c r="I17" s="135" t="str">
        <v>Input</v>
      </c>
      <c r="J17" s="137" t="str">
        <f>'Input - Dairy'!$E$109</f>
        <v>Pasture</v>
      </c>
    </row>
    <row r="18" spans="1:22" ht="20.100000000000001" customHeight="1" x14ac:dyDescent="0.25">
      <c r="A18" s="17" t="str">
        <f>HYPERLINK("#'4.3.1.10-11 Soil Atmos Dep'!A1", "4.3.1.10-11 Soil atm. deposition")</f>
        <v>4.3.1.10-11 Soil atm. deposition</v>
      </c>
      <c r="D18" s="137" t="str">
        <v>ir</v>
      </c>
      <c r="E18" s="136" t="str">
        <v>irrigation method</v>
      </c>
      <c r="F18" s="142"/>
      <c r="G18" s="138"/>
      <c r="H18" s="137" t="str">
        <v/>
      </c>
      <c r="I18" s="135" t="str">
        <v>Input</v>
      </c>
      <c r="J18" s="137" t="str">
        <f>'Input - Dairy'!$E$110</f>
        <v>Sprinkler irrigation</v>
      </c>
    </row>
    <row r="19" spans="1:22" ht="20.100000000000001" customHeight="1" x14ac:dyDescent="0.25">
      <c r="A19" s="17" t="str">
        <f>HYPERLINK("#'4.3.1.12-13 Soil leach runoff'!A1", "4.3.1.12-13 Soil leach &amp; runoff")</f>
        <v>4.3.1.12-13 Soil leach &amp; runoff</v>
      </c>
    </row>
    <row r="20" spans="1:22" ht="20.100000000000001" customHeight="1" x14ac:dyDescent="0.25">
      <c r="A20" s="17"/>
      <c r="D20" s="104" t="s">
        <v>333</v>
      </c>
      <c r="O20" s="104" t="s">
        <v>335</v>
      </c>
    </row>
    <row r="21" spans="1:22" ht="20.100000000000001" customHeight="1" x14ac:dyDescent="0.25">
      <c r="A21" s="18" t="s">
        <v>4</v>
      </c>
      <c r="D21" s="103" t="s">
        <v>334</v>
      </c>
      <c r="O21" s="103" t="s">
        <v>336</v>
      </c>
    </row>
    <row r="22" spans="1:22" ht="20.100000000000001" customHeight="1" x14ac:dyDescent="0.25">
      <c r="A22" s="17" t="str">
        <f>HYPERLINK("#'Constants - Dairy'!A1", "Constants - Dairy")</f>
        <v>Constants - Dairy</v>
      </c>
      <c r="D22" s="54" t="s">
        <v>149</v>
      </c>
      <c r="E22" s="54" t="s">
        <v>69</v>
      </c>
      <c r="F22" s="54" t="s">
        <v>175</v>
      </c>
      <c r="G22" s="54" t="s">
        <v>192</v>
      </c>
      <c r="H22" s="54" t="s">
        <v>193</v>
      </c>
      <c r="I22" s="54" t="s">
        <v>194</v>
      </c>
      <c r="J22" s="54" t="s">
        <v>195</v>
      </c>
      <c r="O22" s="54" t="s">
        <v>149</v>
      </c>
      <c r="P22" s="54" t="s">
        <v>69</v>
      </c>
      <c r="Q22" s="54" t="s">
        <v>175</v>
      </c>
      <c r="R22" s="54" t="s">
        <v>192</v>
      </c>
      <c r="S22" s="54" t="s">
        <v>193</v>
      </c>
      <c r="T22" s="54" t="s">
        <v>194</v>
      </c>
      <c r="U22" s="54" t="s">
        <v>195</v>
      </c>
    </row>
    <row r="23" spans="1:22" ht="20.100000000000001" customHeight="1" x14ac:dyDescent="0.25">
      <c r="A23" s="17" t="str">
        <f>HYPERLINK("#'Constants - Livestock'!A1", "Constants - Livestock")</f>
        <v>Constants - Livestock</v>
      </c>
      <c r="D23" s="55" t="str">
        <f>'Input - Dairy'!$D$66</f>
        <v>Milking shed</v>
      </c>
      <c r="E23" s="55" t="s">
        <v>412</v>
      </c>
      <c r="F23" s="55">
        <f>'4.3.1.3-4 Direct N20'!F246</f>
        <v>-180.00438288345558</v>
      </c>
      <c r="G23" s="55">
        <f>'4.3.1.3-4 Direct N20'!G246</f>
        <v>364.71580535564152</v>
      </c>
      <c r="H23" s="55">
        <f>'4.3.1.3-4 Direct N20'!H246</f>
        <v>145.26244824768682</v>
      </c>
      <c r="I23" s="55">
        <f>'4.3.1.3-4 Direct N20'!I246</f>
        <v>458.46219147973682</v>
      </c>
      <c r="J23" s="55">
        <f>'4.3.1.3-4 Direct N20'!J246</f>
        <v>191.92571415811079</v>
      </c>
      <c r="K23" s="2" t="str">
        <f>$H$13</f>
        <v>kg N</v>
      </c>
      <c r="O23" s="55" t="str">
        <f>'Input - Dairy'!$D$66</f>
        <v>Milking shed</v>
      </c>
      <c r="P23" s="55" t="s">
        <v>412</v>
      </c>
      <c r="Q23" s="55">
        <f>'4.3.1.3-4 Direct N20'!P246</f>
        <v>-180.00438288345558</v>
      </c>
      <c r="R23" s="55">
        <f>'4.3.1.3-4 Direct N20'!Q246</f>
        <v>364.71580535564152</v>
      </c>
      <c r="S23" s="55">
        <f>'4.3.1.3-4 Direct N20'!R246</f>
        <v>145.26244824768682</v>
      </c>
      <c r="T23" s="55">
        <f>'4.3.1.3-4 Direct N20'!S246</f>
        <v>458.46219147973682</v>
      </c>
      <c r="U23" s="55">
        <f>'4.3.1.3-4 Direct N20'!T246</f>
        <v>191.92571415811079</v>
      </c>
      <c r="V23" s="2" t="str">
        <f>$H$13</f>
        <v>kg N</v>
      </c>
    </row>
    <row r="24" spans="1:22" ht="20.100000000000001" customHeight="1" x14ac:dyDescent="0.25">
      <c r="A24" s="17" t="str">
        <f>HYPERLINK("#'Constants - Common'!A1", "Constants - Common")</f>
        <v>Constants - Common</v>
      </c>
      <c r="D24" s="55" t="str">
        <f>'Input - Dairy'!$D$67</f>
        <v>Feed pad</v>
      </c>
      <c r="E24" s="55" t="s">
        <v>412</v>
      </c>
      <c r="F24" s="55">
        <f>'4.3.1.3-4 Direct N20'!F250</f>
        <v>-509.73968425633097</v>
      </c>
      <c r="G24" s="55">
        <f>'4.3.1.3-4 Direct N20'!G250</f>
        <v>1032.8088488025667</v>
      </c>
      <c r="H24" s="55">
        <f>'4.3.1.3-4 Direct N20'!H250</f>
        <v>411.35684208322226</v>
      </c>
      <c r="I24" s="55">
        <f>'4.3.1.3-4 Direct N20'!I250</f>
        <v>1298.2815695085274</v>
      </c>
      <c r="J24" s="55">
        <f>'4.3.1.3-4 Direct N20'!J250</f>
        <v>543.49872691137739</v>
      </c>
      <c r="K24" s="2"/>
      <c r="O24" s="55" t="str">
        <f>'Input - Dairy'!$D$67</f>
        <v>Feed pad</v>
      </c>
      <c r="P24" s="55" t="s">
        <v>412</v>
      </c>
      <c r="Q24" s="55">
        <f>'4.3.1.3-4 Direct N20'!P250</f>
        <v>-509.73968425633097</v>
      </c>
      <c r="R24" s="55">
        <f>'4.3.1.3-4 Direct N20'!Q250</f>
        <v>1032.8088488025667</v>
      </c>
      <c r="S24" s="55">
        <f>'4.3.1.3-4 Direct N20'!R250</f>
        <v>411.35684208322226</v>
      </c>
      <c r="T24" s="55">
        <f>'4.3.1.3-4 Direct N20'!S250</f>
        <v>1298.2815695085274</v>
      </c>
      <c r="U24" s="55">
        <f>'4.3.1.3-4 Direct N20'!T250</f>
        <v>543.49872691137739</v>
      </c>
      <c r="V24" s="2"/>
    </row>
    <row r="25" spans="1:22" ht="20.100000000000001" customHeight="1" x14ac:dyDescent="0.25">
      <c r="A25" s="17" t="str">
        <f>HYPERLINK("#'Acknowledgements'!A1", "Acknowledgements")</f>
        <v>Acknowledgements</v>
      </c>
    </row>
    <row r="26" spans="1:22" ht="20.100000000000001" customHeight="1" x14ac:dyDescent="0.25">
      <c r="D26" s="104" t="s">
        <v>338</v>
      </c>
      <c r="O26" s="104" t="s">
        <v>339</v>
      </c>
    </row>
    <row r="27" spans="1:22" ht="20.100000000000001" customHeight="1" x14ac:dyDescent="0.25">
      <c r="D27" s="103" t="s">
        <v>337</v>
      </c>
      <c r="O27" s="103" t="s">
        <v>340</v>
      </c>
    </row>
    <row r="28" spans="1:22" ht="20.100000000000001" customHeight="1" x14ac:dyDescent="0.25">
      <c r="D28" s="54" t="s">
        <v>149</v>
      </c>
      <c r="E28" s="54" t="s">
        <v>69</v>
      </c>
      <c r="F28" s="54" t="s">
        <v>175</v>
      </c>
      <c r="G28" s="54" t="s">
        <v>192</v>
      </c>
      <c r="H28" s="54" t="s">
        <v>193</v>
      </c>
      <c r="I28" s="54" t="s">
        <v>194</v>
      </c>
      <c r="J28" s="54" t="s">
        <v>195</v>
      </c>
      <c r="O28" s="54" t="s">
        <v>149</v>
      </c>
      <c r="P28" s="54" t="s">
        <v>69</v>
      </c>
      <c r="Q28" s="54" t="s">
        <v>175</v>
      </c>
      <c r="R28" s="54" t="s">
        <v>192</v>
      </c>
      <c r="S28" s="54" t="s">
        <v>193</v>
      </c>
      <c r="T28" s="54" t="s">
        <v>194</v>
      </c>
      <c r="U28" s="54" t="s">
        <v>195</v>
      </c>
    </row>
    <row r="29" spans="1:22" ht="20.100000000000001" customHeight="1" x14ac:dyDescent="0.25">
      <c r="D29" s="55" t="str">
        <f>'Input - Dairy'!$D$66</f>
        <v>Milking shed</v>
      </c>
      <c r="E29" s="55" t="s">
        <v>412</v>
      </c>
      <c r="F29" s="55" cm="1">
        <f t="array" ref="F29">MMS_Dairy_LeachingAndRunoff_Equations.VEERG_4_3_1_6__2_MassOfNitrogenLostToLeachingAndRunoffFromSolidStorage(F23,$J$14,$J$15)</f>
        <v>-3.6000876576691114</v>
      </c>
      <c r="G29" s="55" cm="1">
        <f t="array" ref="G29">MMS_Dairy_LeachingAndRunoff_Equations.VEERG_4_3_1_6__2_MassOfNitrogenLostToLeachingAndRunoffFromSolidStorage(G23,$J$14,$J$15)</f>
        <v>7.2943161071128308</v>
      </c>
      <c r="H29" s="55" cm="1">
        <f t="array" ref="H29">MMS_Dairy_LeachingAndRunoff_Equations.VEERG_4_3_1_6__2_MassOfNitrogenLostToLeachingAndRunoffFromSolidStorage(H23,$J$14,$J$15)</f>
        <v>2.9052489649537363</v>
      </c>
      <c r="I29" s="55" cm="1">
        <f t="array" ref="I29">MMS_Dairy_LeachingAndRunoff_Equations.VEERG_4_3_1_6__2_MassOfNitrogenLostToLeachingAndRunoffFromSolidStorage(I23,$J$14,$J$15)</f>
        <v>9.1692438295947358</v>
      </c>
      <c r="J29" s="55" cm="1">
        <f t="array" ref="J29">MMS_Dairy_LeachingAndRunoff_Equations.VEERG_4_3_1_6__2_MassOfNitrogenLostToLeachingAndRunoffFromSolidStorage(J23,$J$14,$J$15)</f>
        <v>3.8385142831622159</v>
      </c>
      <c r="K29" s="2" t="str">
        <f>$E$11</f>
        <v>kg N</v>
      </c>
      <c r="O29" s="55" t="str">
        <f>'Input - Dairy'!$D$66</f>
        <v>Milking shed</v>
      </c>
      <c r="P29" s="55" t="s">
        <v>412</v>
      </c>
      <c r="Q29" s="55" cm="1">
        <f t="array" ref="Q29">MMS_Dairy_LeachingAndRunoff_Equations.VEERG_4_3_1_6__2_MassOfNitrogenLostToLeachingAndRunoffFromSolidStorage(Q23,$J$14,$J$15)</f>
        <v>-3.6000876576691114</v>
      </c>
      <c r="R29" s="55" cm="1">
        <f t="array" ref="R29">MMS_Dairy_LeachingAndRunoff_Equations.VEERG_4_3_1_6__2_MassOfNitrogenLostToLeachingAndRunoffFromSolidStorage(R23,$J$14,$J$15)</f>
        <v>7.2943161071128308</v>
      </c>
      <c r="S29" s="55" cm="1">
        <f t="array" ref="S29">MMS_Dairy_LeachingAndRunoff_Equations.VEERG_4_3_1_6__2_MassOfNitrogenLostToLeachingAndRunoffFromSolidStorage(S23,$J$14,$J$15)</f>
        <v>2.9052489649537363</v>
      </c>
      <c r="T29" s="55" cm="1">
        <f t="array" ref="T29">MMS_Dairy_LeachingAndRunoff_Equations.VEERG_4_3_1_6__2_MassOfNitrogenLostToLeachingAndRunoffFromSolidStorage(T23,$J$14,$J$15)</f>
        <v>9.1692438295947358</v>
      </c>
      <c r="U29" s="55" cm="1">
        <f t="array" ref="U29">MMS_Dairy_LeachingAndRunoff_Equations.VEERG_4_3_1_6__2_MassOfNitrogenLostToLeachingAndRunoffFromSolidStorage(U23,$J$14,$J$15)</f>
        <v>3.8385142831622159</v>
      </c>
      <c r="V29" s="2" t="str">
        <f>$E$11</f>
        <v>kg N</v>
      </c>
    </row>
    <row r="30" spans="1:22" ht="20.100000000000001" customHeight="1" x14ac:dyDescent="0.25">
      <c r="D30" s="55" t="str">
        <f>'Input - Dairy'!$D$67</f>
        <v>Feed pad</v>
      </c>
      <c r="E30" s="55" t="s">
        <v>412</v>
      </c>
      <c r="F30" s="55" cm="1">
        <f t="array" ref="F30">MMS_Dairy_LeachingAndRunoff_Equations.VEERG_4_3_1_6__2_MassOfNitrogenLostToLeachingAndRunoffFromSolidStorage(F24,$J$14,$J$15)</f>
        <v>-10.194793685126619</v>
      </c>
      <c r="G30" s="55" cm="1">
        <f t="array" ref="G30">MMS_Dairy_LeachingAndRunoff_Equations.VEERG_4_3_1_6__2_MassOfNitrogenLostToLeachingAndRunoffFromSolidStorage(G24,$J$14,$J$15)</f>
        <v>20.656176976051334</v>
      </c>
      <c r="H30" s="55" cm="1">
        <f t="array" ref="H30">MMS_Dairy_LeachingAndRunoff_Equations.VEERG_4_3_1_6__2_MassOfNitrogenLostToLeachingAndRunoffFromSolidStorage(H24,$J$14,$J$15)</f>
        <v>8.2271368416644446</v>
      </c>
      <c r="I30" s="55" cm="1">
        <f t="array" ref="I30">MMS_Dairy_LeachingAndRunoff_Equations.VEERG_4_3_1_6__2_MassOfNitrogenLostToLeachingAndRunoffFromSolidStorage(I24,$J$14,$J$15)</f>
        <v>25.965631390170547</v>
      </c>
      <c r="J30" s="55" cm="1">
        <f t="array" ref="J30">MMS_Dairy_LeachingAndRunoff_Equations.VEERG_4_3_1_6__2_MassOfNitrogenLostToLeachingAndRunoffFromSolidStorage(J24,$J$14,$J$15)</f>
        <v>10.869974538227549</v>
      </c>
      <c r="K30" s="2"/>
      <c r="O30" s="55" t="str">
        <f>'Input - Dairy'!$D$67</f>
        <v>Feed pad</v>
      </c>
      <c r="P30" s="55" t="s">
        <v>412</v>
      </c>
      <c r="Q30" s="55" cm="1">
        <f t="array" ref="Q30">MMS_Dairy_LeachingAndRunoff_Equations.VEERG_4_3_1_6__2_MassOfNitrogenLostToLeachingAndRunoffFromSolidStorage(Q24,$J$14,$J$15)</f>
        <v>-10.194793685126619</v>
      </c>
      <c r="R30" s="55" cm="1">
        <f t="array" ref="R30">MMS_Dairy_LeachingAndRunoff_Equations.VEERG_4_3_1_6__2_MassOfNitrogenLostToLeachingAndRunoffFromSolidStorage(R24,$J$14,$J$15)</f>
        <v>20.656176976051334</v>
      </c>
      <c r="S30" s="55" cm="1">
        <f t="array" ref="S30">MMS_Dairy_LeachingAndRunoff_Equations.VEERG_4_3_1_6__2_MassOfNitrogenLostToLeachingAndRunoffFromSolidStorage(S24,$J$14,$J$15)</f>
        <v>8.2271368416644446</v>
      </c>
      <c r="T30" s="55" cm="1">
        <f t="array" ref="T30">MMS_Dairy_LeachingAndRunoff_Equations.VEERG_4_3_1_6__2_MassOfNitrogenLostToLeachingAndRunoffFromSolidStorage(T24,$J$14,$J$15)</f>
        <v>25.965631390170547</v>
      </c>
      <c r="U30" s="55" cm="1">
        <f t="array" ref="U30">MMS_Dairy_LeachingAndRunoff_Equations.VEERG_4_3_1_6__2_MassOfNitrogenLostToLeachingAndRunoffFromSolidStorage(U24,$J$14,$J$15)</f>
        <v>10.869974538227549</v>
      </c>
      <c r="V30" s="2"/>
    </row>
    <row r="31" spans="1:22" ht="20.100000000000001" customHeight="1" x14ac:dyDescent="0.25"/>
    <row r="32" spans="1:22" ht="20.100000000000001" customHeight="1" x14ac:dyDescent="0.25"/>
    <row r="33" spans="3:23" ht="20.100000000000001" customHeight="1" x14ac:dyDescent="0.25">
      <c r="C33" s="48"/>
      <c r="D33" s="48"/>
      <c r="E33" s="48"/>
      <c r="F33" s="48"/>
      <c r="G33" s="48"/>
      <c r="H33" s="48"/>
      <c r="I33" s="48"/>
      <c r="J33" s="48"/>
      <c r="K33" s="48"/>
      <c r="L33" s="48"/>
      <c r="N33" s="48"/>
      <c r="O33" s="48"/>
      <c r="P33" s="48"/>
      <c r="Q33" s="48"/>
      <c r="R33" s="48"/>
      <c r="S33" s="48"/>
      <c r="T33" s="48"/>
      <c r="U33" s="48"/>
      <c r="V33" s="48"/>
      <c r="W33" s="48"/>
    </row>
    <row r="34" spans="3:23" ht="20.100000000000001" customHeight="1" x14ac:dyDescent="0.25">
      <c r="D34" s="6" t="str" cm="1">
        <f t="array" ref="D34">MMS_Dairy_LeachingAndRunoff_Equations.VEERG_4_3_1_6__1_AnnualEmissionsFromLeachingAndRunoffFromMMS_Title()</f>
        <v>Annual emissions from leaching and runoff from each MMS</v>
      </c>
    </row>
    <row r="35" spans="3:23" ht="20.100000000000001" customHeight="1" x14ac:dyDescent="0.25">
      <c r="D35" s="5" t="str" cm="1">
        <f t="array" ref="D35">MMS_Dairy_LeachingAndRunoff_Equations.VEERG_4_3_1_6__1_AnnualEmissionsFromLeachingAndRunoffFromMMS_Source()</f>
        <v>VEERG 2026: 4.3.1.6, Equation (1)</v>
      </c>
    </row>
    <row r="36" spans="3:23" ht="20.100000000000001" customHeight="1" x14ac:dyDescent="0.25">
      <c r="D36" s="13" t="s">
        <v>28</v>
      </c>
      <c r="E36" s="13" t="str" cm="1">
        <f t="array" aca="1" ref="E36" ca="1">Common_InputFunctions.Utility_DisplayFunctionName($F$29)</f>
        <v>=MMS_Dairy_LeachingAndRunoff_Equations.VEERG_4_3_1_6__2_MassOfNitrogenLostToLeachingAndRunoffFromSolidStorage</v>
      </c>
    </row>
    <row r="37" spans="3:23" ht="20.100000000000001" customHeight="1" x14ac:dyDescent="0.25"/>
    <row r="38" spans="3:23" ht="20.100000000000001" customHeight="1" x14ac:dyDescent="0.25">
      <c r="D38" s="6"/>
    </row>
    <row r="39" spans="3:23" ht="20.100000000000001" customHeight="1" x14ac:dyDescent="0.25">
      <c r="D39" s="56" t="s">
        <v>31</v>
      </c>
      <c r="E39" s="1" t="str" cm="1">
        <f t="array" ref="E39">MMS_Dairy_LeachingAndRunoff_Equations.VEERG_4_3_1_6__1_AnnualEmissionsFromLeachingAndRunoffFromMMS_Variable()</f>
        <v>E_N2Oleach</v>
      </c>
    </row>
    <row r="40" spans="3:23" ht="20.100000000000001" customHeight="1" x14ac:dyDescent="0.25">
      <c r="D40" s="56" t="s">
        <v>21</v>
      </c>
      <c r="E40" s="57" t="str" cm="1">
        <f t="array" ref="E40">MMS_Dairy_LeachingAndRunoff_Equations.VEERG_4_3_1_6__1_AnnualEmissionsFromLeachingAndRunoffFromMMS_Unit()</f>
        <v>t N2O</v>
      </c>
    </row>
    <row r="41" spans="3:23" ht="20.100000000000001" customHeight="1" x14ac:dyDescent="0.25"/>
    <row r="42" spans="3:23" ht="20.100000000000001" customHeight="1" x14ac:dyDescent="0.25">
      <c r="D42" s="137" t="str" cm="1">
        <f t="array" ref="D42:E44">_xlfn.CHOOSECOLS(MMS_Dairy_LeachingAndRunoff_Equations.VEERG_4_3_1_6__1_AnnualEmissionsFromLeachingAndRunoffFromMMS_Arguments(),1,2)</f>
        <v>MNLeach_jm</v>
      </c>
      <c r="E42" s="136" t="str">
        <v>mass of N lost through leaching and runoff</v>
      </c>
      <c r="F42" s="138"/>
      <c r="G42" s="137" t="str" cm="1">
        <f t="array" ref="G42:H44">_xlfn.CHOOSECOLS(MMS_Dairy_LeachingAndRunoff_Equations.VEERG_4_3_1_6__1_AnnualEmissionsFromLeachingAndRunoffFromMMS_Arguments(),3,4)</f>
        <v>kg N</v>
      </c>
      <c r="H42" s="133" t="str">
        <v>Calculated from 4.3.1.6 (2)</v>
      </c>
      <c r="I42" s="134" t="str" cm="1">
        <f t="array" aca="1" ref="I42" ca="1">HYPERLINK(Common_InputFunctions.Utility_SourceHyperlink($D$26),$D$26)</f>
        <v>M1_Table_MN_leach_j_m-4</v>
      </c>
    </row>
    <row r="43" spans="3:23" ht="20.100000000000001" customHeight="1" x14ac:dyDescent="0.25">
      <c r="D43" s="137" t="str">
        <v>EF_leach</v>
      </c>
      <c r="E43" s="136" t="str">
        <v>nitrous oxide emission factor for leaching and runoff</v>
      </c>
      <c r="F43" s="138"/>
      <c r="G43" s="137" t="str">
        <v>kg N2O-N/kg N</v>
      </c>
      <c r="H43" s="133" t="str">
        <v>Constant</v>
      </c>
      <c r="I43" s="137">
        <f>'Constants - Dairy'!$D$202</f>
        <v>1.0999999999999999E-2</v>
      </c>
    </row>
    <row r="44" spans="3:23" ht="20.100000000000001" customHeight="1" x14ac:dyDescent="0.25">
      <c r="D44" s="137" t="str">
        <v>C_N2O</v>
      </c>
      <c r="E44" s="136" t="str">
        <v>factor to convert elemental mass of N2O to molecular mass</v>
      </c>
      <c r="F44" s="138"/>
      <c r="G44" s="137" t="str">
        <v/>
      </c>
      <c r="H44" s="133" t="str">
        <v>Constant</v>
      </c>
      <c r="I44" s="137">
        <f>Common_InputFunctions.Utility_LookupValueInTableNumber("N2O",Table_GasToMolecularConversionFactor[Gas],Table_GasToMolecularConversionFactor[Conversion factor combined])</f>
        <v>1.5714285714285714</v>
      </c>
    </row>
    <row r="45" spans="3:23" ht="20.100000000000001" customHeight="1" x14ac:dyDescent="0.25"/>
    <row r="46" spans="3:23" ht="20.100000000000001" customHeight="1" x14ac:dyDescent="0.25">
      <c r="D46" s="104" t="s">
        <v>341</v>
      </c>
      <c r="O46" s="104" t="s">
        <v>343</v>
      </c>
    </row>
    <row r="47" spans="3:23" ht="20.100000000000001" customHeight="1" x14ac:dyDescent="0.25">
      <c r="D47" s="103" t="s">
        <v>342</v>
      </c>
      <c r="O47" s="103" t="s">
        <v>344</v>
      </c>
    </row>
    <row r="48" spans="3:23" ht="20.100000000000001" customHeight="1" x14ac:dyDescent="0.25">
      <c r="D48" s="54" t="s">
        <v>149</v>
      </c>
      <c r="E48" s="54" t="s">
        <v>69</v>
      </c>
      <c r="F48" s="54" t="s">
        <v>175</v>
      </c>
      <c r="G48" s="54" t="s">
        <v>192</v>
      </c>
      <c r="H48" s="54" t="s">
        <v>193</v>
      </c>
      <c r="I48" s="54" t="s">
        <v>194</v>
      </c>
      <c r="J48" s="54" t="s">
        <v>195</v>
      </c>
      <c r="O48" s="54" t="s">
        <v>149</v>
      </c>
      <c r="P48" s="54" t="s">
        <v>69</v>
      </c>
      <c r="Q48" s="54" t="s">
        <v>175</v>
      </c>
      <c r="R48" s="54" t="s">
        <v>192</v>
      </c>
      <c r="S48" s="54" t="s">
        <v>193</v>
      </c>
      <c r="T48" s="54" t="s">
        <v>194</v>
      </c>
      <c r="U48" s="54" t="s">
        <v>195</v>
      </c>
    </row>
    <row r="49" spans="1:22" ht="20.100000000000001" customHeight="1" x14ac:dyDescent="0.25">
      <c r="D49" s="55" t="str">
        <f>'Input - Dairy'!$D$66</f>
        <v>Milking shed</v>
      </c>
      <c r="E49" s="55" t="s">
        <v>412</v>
      </c>
      <c r="F49" s="55" cm="1">
        <f t="array" ref="F49">MMS_Dairy_LeachingAndRunoff_Equations.VEERG_4_3_1_6__1_AnnualEmissionsFromLeachingAndRunoffFromMMS(F29,$I$43,$I$44)</f>
        <v>-6.2230086653994641E-5</v>
      </c>
      <c r="G49" s="55" cm="1">
        <f t="array" ref="G49">MMS_Dairy_LeachingAndRunoff_Equations.VEERG_4_3_1_6__1_AnnualEmissionsFromLeachingAndRunoffFromMMS(G29,$I$43,$I$44)</f>
        <v>1.2608746413723606E-4</v>
      </c>
      <c r="H49" s="55" cm="1">
        <f t="array" ref="H49">MMS_Dairy_LeachingAndRunoff_Equations.VEERG_4_3_1_6__1_AnnualEmissionsFromLeachingAndRunoffFromMMS(H29,$I$43,$I$44)</f>
        <v>5.0219303537057436E-5</v>
      </c>
      <c r="I49" s="55" cm="1">
        <f t="array" ref="I49">MMS_Dairy_LeachingAndRunoff_Equations.VEERG_4_3_1_6__1_AnnualEmissionsFromLeachingAndRunoffFromMMS(I29,$I$43,$I$44)</f>
        <v>1.5849692905442329E-4</v>
      </c>
      <c r="J49" s="55" cm="1">
        <f t="array" ref="J49">MMS_Dairy_LeachingAndRunoff_Equations.VEERG_4_3_1_6__1_AnnualEmissionsFromLeachingAndRunoffFromMMS(J29,$I$43,$I$44)</f>
        <v>6.6351461180375439E-5</v>
      </c>
      <c r="K49" s="2" t="str">
        <f>$E$40</f>
        <v>t N2O</v>
      </c>
      <c r="O49" s="55" t="str">
        <f>'Input - Dairy'!$D$66</f>
        <v>Milking shed</v>
      </c>
      <c r="P49" s="55" t="s">
        <v>412</v>
      </c>
      <c r="Q49" s="55" cm="1">
        <f t="array" ref="Q49">MMS_Dairy_LeachingAndRunoff_Equations.VEERG_4_3_1_6__1_AnnualEmissionsFromLeachingAndRunoffFromMMS(Q29,$I$43,$I$44)</f>
        <v>-6.2230086653994641E-5</v>
      </c>
      <c r="R49" s="55" cm="1">
        <f t="array" ref="R49">MMS_Dairy_LeachingAndRunoff_Equations.VEERG_4_3_1_6__1_AnnualEmissionsFromLeachingAndRunoffFromMMS(R29,$I$43,$I$44)</f>
        <v>1.2608746413723606E-4</v>
      </c>
      <c r="S49" s="55" cm="1">
        <f t="array" ref="S49">MMS_Dairy_LeachingAndRunoff_Equations.VEERG_4_3_1_6__1_AnnualEmissionsFromLeachingAndRunoffFromMMS(S29,$I$43,$I$44)</f>
        <v>5.0219303537057436E-5</v>
      </c>
      <c r="T49" s="55" cm="1">
        <f t="array" ref="T49">MMS_Dairy_LeachingAndRunoff_Equations.VEERG_4_3_1_6__1_AnnualEmissionsFromLeachingAndRunoffFromMMS(T29,$I$43,$I$44)</f>
        <v>1.5849692905442329E-4</v>
      </c>
      <c r="U49" s="55" cm="1">
        <f t="array" ref="U49">MMS_Dairy_LeachingAndRunoff_Equations.VEERG_4_3_1_6__1_AnnualEmissionsFromLeachingAndRunoffFromMMS(U29,$I$43,$I$44)</f>
        <v>6.6351461180375439E-5</v>
      </c>
      <c r="V49" s="2" t="str">
        <f>$E$40</f>
        <v>t N2O</v>
      </c>
    </row>
    <row r="50" spans="1:22" ht="20.100000000000001" customHeight="1" x14ac:dyDescent="0.25">
      <c r="D50" s="55" t="str">
        <f>'Input - Dairy'!$D$67</f>
        <v>Feed pad</v>
      </c>
      <c r="E50" s="55" t="s">
        <v>412</v>
      </c>
      <c r="F50" s="55" cm="1">
        <f t="array" ref="F50">MMS_Dairy_LeachingAndRunoff_Equations.VEERG_4_3_1_6__1_AnnualEmissionsFromLeachingAndRunoffFromMMS(F30,$I$43,$I$44)</f>
        <v>-1.7622429084290298E-4</v>
      </c>
      <c r="G50" s="55" cm="1">
        <f t="array" ref="G50">MMS_Dairy_LeachingAndRunoff_Equations.VEERG_4_3_1_6__1_AnnualEmissionsFromLeachingAndRunoffFromMMS(G30,$I$43,$I$44)</f>
        <v>3.5705677344317308E-4</v>
      </c>
      <c r="H50" s="55" cm="1">
        <f t="array" ref="H50">MMS_Dairy_LeachingAndRunoff_Equations.VEERG_4_3_1_6__1_AnnualEmissionsFromLeachingAndRunoffFromMMS(H30,$I$43,$I$44)</f>
        <v>1.4221193683448539E-4</v>
      </c>
      <c r="I50" s="55" cm="1">
        <f t="array" ref="I50">MMS_Dairy_LeachingAndRunoff_Equations.VEERG_4_3_1_6__1_AnnualEmissionsFromLeachingAndRunoffFromMMS(I30,$I$43,$I$44)</f>
        <v>4.4883448545866232E-4</v>
      </c>
      <c r="J50" s="55" cm="1">
        <f t="array" ref="J50">MMS_Dairy_LeachingAndRunoff_Equations.VEERG_4_3_1_6__1_AnnualEmissionsFromLeachingAndRunoffFromMMS(J30,$I$43,$I$44)</f>
        <v>1.8789527416079047E-4</v>
      </c>
      <c r="K50" s="2"/>
      <c r="O50" s="55" t="str">
        <f>'Input - Dairy'!$D$67</f>
        <v>Feed pad</v>
      </c>
      <c r="P50" s="55" t="s">
        <v>412</v>
      </c>
      <c r="Q50" s="55" cm="1">
        <f t="array" ref="Q50">MMS_Dairy_LeachingAndRunoff_Equations.VEERG_4_3_1_6__1_AnnualEmissionsFromLeachingAndRunoffFromMMS(Q30,$I$43,$I$44)</f>
        <v>-1.7622429084290298E-4</v>
      </c>
      <c r="R50" s="55" cm="1">
        <f t="array" ref="R50">MMS_Dairy_LeachingAndRunoff_Equations.VEERG_4_3_1_6__1_AnnualEmissionsFromLeachingAndRunoffFromMMS(R30,$I$43,$I$44)</f>
        <v>3.5705677344317308E-4</v>
      </c>
      <c r="S50" s="55" cm="1">
        <f t="array" ref="S50">MMS_Dairy_LeachingAndRunoff_Equations.VEERG_4_3_1_6__1_AnnualEmissionsFromLeachingAndRunoffFromMMS(S30,$I$43,$I$44)</f>
        <v>1.4221193683448539E-4</v>
      </c>
      <c r="T50" s="55" cm="1">
        <f t="array" ref="T50">MMS_Dairy_LeachingAndRunoff_Equations.VEERG_4_3_1_6__1_AnnualEmissionsFromLeachingAndRunoffFromMMS(T30,$I$43,$I$44)</f>
        <v>4.4883448545866232E-4</v>
      </c>
      <c r="U50" s="55" cm="1">
        <f t="array" ref="U50">MMS_Dairy_LeachingAndRunoff_Equations.VEERG_4_3_1_6__1_AnnualEmissionsFromLeachingAndRunoffFromMMS(U30,$I$43,$I$44)</f>
        <v>1.8789527416079047E-4</v>
      </c>
      <c r="V50" s="2"/>
    </row>
    <row r="51" spans="1:22" ht="20.100000000000001" customHeight="1" x14ac:dyDescent="0.25"/>
    <row r="52" spans="1:22" ht="20.100000000000001" customHeight="1" x14ac:dyDescent="0.25">
      <c r="D52" s="108" t="s">
        <v>331</v>
      </c>
      <c r="E52" s="109">
        <f>SUM(F49:J50)</f>
        <v>1.2986992503093058E-3</v>
      </c>
      <c r="F52" s="110" t="str">
        <f>$E$40</f>
        <v>t N2O</v>
      </c>
      <c r="O52" s="108" t="s">
        <v>331</v>
      </c>
      <c r="P52" s="109">
        <f>SUM(Q49:U50)</f>
        <v>1.2986992503093058E-3</v>
      </c>
      <c r="Q52" s="110" t="str">
        <f>$E$40</f>
        <v>t N2O</v>
      </c>
    </row>
    <row r="53" spans="1:22" ht="20.100000000000001" customHeight="1" x14ac:dyDescent="0.25"/>
    <row r="54" spans="1:22" ht="20.100000000000001" customHeight="1" x14ac:dyDescent="0.25">
      <c r="D54" s="60" t="str" cm="1">
        <f t="array" ref="D54:E55">Common_Equations.Common_ConvertN2OToCO2e_Arguments()</f>
        <v>EN2O</v>
      </c>
      <c r="E54" s="61" t="str">
        <v>Nitrous oxide emissions (t N2O)</v>
      </c>
      <c r="F54" s="111"/>
      <c r="G54" s="55">
        <f>E$52</f>
        <v>1.2986992503093058E-3</v>
      </c>
      <c r="O54" s="60" t="str" cm="1">
        <f t="array" ref="O54:P55">Common_Equations.Common_ConvertN2OToCO2e_Arguments()</f>
        <v>EN2O</v>
      </c>
      <c r="P54" s="61" t="str">
        <v>Nitrous oxide emissions (t N2O)</v>
      </c>
      <c r="Q54" s="111"/>
      <c r="R54" s="55">
        <f>P$52</f>
        <v>1.2986992503093058E-3</v>
      </c>
    </row>
    <row r="55" spans="1:22" ht="20.100000000000001" customHeight="1" x14ac:dyDescent="0.25">
      <c r="D55" s="60" t="str">
        <v>GWPN2O</v>
      </c>
      <c r="E55" s="61" t="str">
        <v>Global warming potential for nitrous oxide (t CO2-e / t N2O)</v>
      </c>
      <c r="F55" s="111"/>
      <c r="G55" s="55">
        <f>Common_InputFunctions.Utility_LookupValueInTableNumber("N2O",Table_GWPData[Gas],Table_GWPData[CO2-e factor])</f>
        <v>265</v>
      </c>
      <c r="O55" s="60" t="str">
        <v>GWPN2O</v>
      </c>
      <c r="P55" s="61" t="str">
        <v>Global warming potential for nitrous oxide (t CO2-e / t N2O)</v>
      </c>
      <c r="Q55" s="111"/>
      <c r="R55" s="55">
        <f>Common_InputFunctions.Utility_LookupValueInTableNumber("N2O",Table_GWPData[Gas],Table_GWPData[CO2-e factor])</f>
        <v>265</v>
      </c>
    </row>
    <row r="56" spans="1:22" ht="20.100000000000001" customHeight="1" x14ac:dyDescent="0.25"/>
    <row r="57" spans="1:22" ht="20.100000000000001" customHeight="1" x14ac:dyDescent="0.25">
      <c r="A57" s="141" t="str">
        <f>HYPERLINK("#A1", "▲ Back to top")</f>
        <v>▲ Back to top</v>
      </c>
      <c r="D57" s="48" t="s">
        <v>111</v>
      </c>
      <c r="E57" s="48" cm="1">
        <f t="array" ref="E57">Common_Equations.Common_ConvertN2OToCO2e(G54,G55)</f>
        <v>0.34415530133196603</v>
      </c>
      <c r="F57" s="112" t="str" cm="1">
        <f t="array" ref="F57">Common_Equations.Common_ConvertN2OToCO2e_Unit()</f>
        <v>t CO2e</v>
      </c>
      <c r="O57" s="48" t="s">
        <v>111</v>
      </c>
      <c r="P57" s="48" cm="1">
        <f t="array" ref="P57">Common_Equations.Common_ConvertN2OToCO2e(R54,R55)</f>
        <v>0.34415530133196603</v>
      </c>
      <c r="Q57" s="112" t="str" cm="1">
        <f t="array" ref="Q57">Common_Equations.Common_ConvertN2OToCO2e_Unit()</f>
        <v>t CO2e</v>
      </c>
    </row>
    <row r="58" spans="1:22" ht="20.100000000000001" customHeight="1" x14ac:dyDescent="0.25"/>
    <row r="59" spans="1:22" ht="20.100000000000001" customHeight="1" x14ac:dyDescent="0.25"/>
    <row r="60" spans="1:22" ht="20.100000000000001" customHeight="1" x14ac:dyDescent="0.25"/>
    <row r="61" spans="1:22" ht="20.100000000000001" customHeight="1" x14ac:dyDescent="0.25"/>
    <row r="62" spans="1:22" ht="20.100000000000001" customHeight="1" x14ac:dyDescent="0.25"/>
    <row r="63" spans="1:22" ht="20.100000000000001" customHeight="1" x14ac:dyDescent="0.25"/>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E24 P29:P30 E29:E30 P23:P24 P49:P50 E49:E50" xr:uid="{41AE1C4A-D10F-453D-9EBD-FABAB69A8FB2}"/>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W207"/>
  <sheetViews>
    <sheetView showGridLines="0" topLeftCell="H119" zoomScaleNormal="100" workbookViewId="0">
      <selection activeCell="P146" sqref="P1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132"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345</v>
      </c>
      <c r="M1" s="132"/>
    </row>
    <row r="2" spans="1:23" s="9" customFormat="1" ht="20.100000000000001" customHeight="1" x14ac:dyDescent="0.25">
      <c r="M2" s="132"/>
    </row>
    <row r="3" spans="1:23" ht="20.100000000000001" customHeight="1" x14ac:dyDescent="0.25">
      <c r="A3" s="17" t="str">
        <f>HYPERLINK("#'Home'!A1", "Home")</f>
        <v>Home</v>
      </c>
      <c r="C3" s="4"/>
      <c r="D3" s="4" t="s">
        <v>121</v>
      </c>
      <c r="E3" s="4"/>
      <c r="F3" s="4"/>
      <c r="G3" s="4"/>
      <c r="H3" s="4"/>
      <c r="I3" s="4"/>
      <c r="J3" s="4"/>
      <c r="K3" s="4"/>
      <c r="L3" s="4"/>
      <c r="N3" s="4"/>
      <c r="O3" s="4" t="s">
        <v>122</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MMS_Dairy_ManureAppliedToSoils_Equations.VEERG_4_3_1_8__1_MassOfNitrogenAppliedToSoilsScope1_Title()</f>
        <v>Mass of nitrogen from manure applied to soils for scope 1 emissions</v>
      </c>
    </row>
    <row r="6" spans="1:23" ht="20.100000000000001" customHeight="1" x14ac:dyDescent="0.25">
      <c r="A6" s="16"/>
      <c r="D6" s="5" t="str" cm="1">
        <f t="array" ref="D6">MMS_Dairy_ManureAppliedToSoils_Equations.VEERG_4_3_1_8__1_MassOfNitrogenAppliedToSoilsScope1_Source()</f>
        <v>VEERG 2026: 4.3.1.8, Equation (1)</v>
      </c>
    </row>
    <row r="7" spans="1:23" ht="20.100000000000001" customHeight="1" x14ac:dyDescent="0.25">
      <c r="A7" s="20" t="s">
        <v>3</v>
      </c>
      <c r="D7" s="13" t="s">
        <v>28</v>
      </c>
      <c r="E7" s="13" t="str" cm="1">
        <f t="array" aca="1" ref="E7" ca="1">Common_InputFunctions.Utility_DisplayFunctionName($F$76)</f>
        <v>=MMS_Dairy_ManureAppliedToSoils_Equations.VEERG_4_3_1_8__1_MassOfNitrogenAppliedToSoilsScope1</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MMS_Dairy_ManureAppliedToSoils_Equations.VEERG_4_3_1_8__1_MassOfNitrogenAppliedToSoilsScope1_Variable()</f>
        <v>MNSoil_scope1</v>
      </c>
    </row>
    <row r="11" spans="1:23" ht="20.100000000000001" customHeight="1" x14ac:dyDescent="0.25">
      <c r="A11" s="19" t="s">
        <v>78</v>
      </c>
      <c r="D11" s="56" t="s">
        <v>21</v>
      </c>
      <c r="E11" s="57" t="str" cm="1">
        <f t="array" ref="E11">MMS_Dairy_ManureAppliedToSoils_Equations.VEERG_4_3_1_8__1_MassOfNitrogenAppliedToSoilsScope1_Unit()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7">_xlfn.CHOOSECOLS(MMS_Dairy_ManureAppliedToSoils_Equations.VEERG_4_3_1_8__1_MassOfNitrogenAppliedToSoilsScope1_Arguments(),1,2)</f>
        <v>MN_jm</v>
      </c>
      <c r="E13" s="136" t="str">
        <v>total nitrogen in each MMS for dairy cattle classes</v>
      </c>
      <c r="F13" s="138"/>
      <c r="G13" s="137" t="str" cm="1">
        <f t="array" ref="G13:H17">_xlfn.CHOOSECOLS(MMS_Dairy_ManureAppliedToSoils_Equations.VEERG_4_3_1_8__1_MassOfNitrogenAppliedToSoilsScope1_Arguments(),3,4)</f>
        <v>kg N</v>
      </c>
      <c r="H13" s="133" t="str">
        <v>Calculated from 4.3.1.3 (2)</v>
      </c>
      <c r="I13" s="134" t="str" cm="1">
        <f t="array" aca="1" ref="I13" ca="1">HYPERLINK(Common_InputFunctions.Utility_SourceHyperlink($D$37),$D$37)</f>
        <v>M1_Table_MN_j_m</v>
      </c>
    </row>
    <row r="14" spans="1:23" ht="20.100000000000001" customHeight="1" x14ac:dyDescent="0.25">
      <c r="A14" s="17" t="str">
        <f>HYPERLINK("#'4.3.1.5 Atmos Deposition'!A1", "4.3.1.5 Atmospheric deposition")</f>
        <v>4.3.1.5 Atmospheric deposition</v>
      </c>
      <c r="D14" s="137" t="str">
        <v>EF_m</v>
      </c>
      <c r="E14" s="136" t="str">
        <v>emission factor for nitrous oxide emissions per MMS</v>
      </c>
      <c r="F14" s="138"/>
      <c r="G14" s="137" t="str">
        <v>kg N2O-N/kg N</v>
      </c>
      <c r="H14" s="133" t="str">
        <v>Constant</v>
      </c>
      <c r="I14" s="134" t="str" cm="1">
        <f t="array" aca="1" ref="I14" ca="1">HYPERLINK(Common_InputFunctions.Utility_SourceHyperlink($D$19),$D$19)</f>
        <v>Table_EF_m</v>
      </c>
    </row>
    <row r="15" spans="1:23" ht="20.100000000000001" customHeight="1" x14ac:dyDescent="0.25">
      <c r="A15" s="17" t="str">
        <f>HYPERLINK("#'4.3.1.6-7 Leaching and runoff'!A1", "4.3.1.6-7 Leaching and runoff")</f>
        <v>4.3.1.6-7 Leaching and runoff</v>
      </c>
      <c r="D15" s="137" t="str">
        <v>FracGASM_m</v>
      </c>
      <c r="E15" s="136" t="str">
        <v>fraction of N volatilised from MMS</v>
      </c>
      <c r="F15" s="138"/>
      <c r="G15" s="137" t="str">
        <v>fraction</v>
      </c>
      <c r="H15" s="133" t="str">
        <v>Constant</v>
      </c>
      <c r="I15" s="134" t="str" cm="1">
        <f t="array" aca="1" ref="I15" ca="1">HYPERLINK(Common_InputFunctions.Utility_SourceHyperlink($D$28),$D$28)</f>
        <v>Table_FracGASM_m</v>
      </c>
    </row>
    <row r="16" spans="1:23" ht="20.100000000000001" customHeight="1" x14ac:dyDescent="0.25">
      <c r="A16" s="22" t="str">
        <f>HYPERLINK("#'4.3.1.8 Manure applied to soils'!A1", "4.3.1.8 Manure applied to soils")</f>
        <v>4.3.1.8 Manure applied to soils</v>
      </c>
      <c r="D16" s="137" t="str">
        <v>MNLeach_jm</v>
      </c>
      <c r="E16" s="136" t="str">
        <v>mass of N lost through leaching and runoff from each MMS</v>
      </c>
      <c r="F16" s="138"/>
      <c r="G16" s="137" t="str">
        <v>kg N</v>
      </c>
      <c r="H16" s="133" t="str">
        <v>Calculated from 4.3.1.6 (2)</v>
      </c>
      <c r="I16" s="134" t="str" cm="1">
        <f t="array" aca="1" ref="I16" ca="1">HYPERLINK(Common_InputFunctions.Utility_SourceHyperlink($D$49),$D$49)</f>
        <v>M1_Table_MN_leach_j_m</v>
      </c>
    </row>
    <row r="17" spans="1:9" ht="20.100000000000001" customHeight="1" x14ac:dyDescent="0.25">
      <c r="A17" s="17" t="str">
        <f>HYPERLINK("#'4.3.1.9 Soil direct N2O'!A1", "4.3.1.9 Soil direct N2O")</f>
        <v>4.3.1.9 Soil direct N2O</v>
      </c>
      <c r="D17" s="137" t="str">
        <v>PF_scope</v>
      </c>
      <c r="E17" s="136" t="str">
        <v>fraction of manure applied to soil within farm boundary</v>
      </c>
      <c r="F17" s="138"/>
      <c r="G17" s="137" t="str">
        <v>fraction</v>
      </c>
      <c r="H17" s="135" t="str">
        <v>Input</v>
      </c>
      <c r="I17" s="134" t="str" cm="1">
        <f t="array" aca="1" ref="I17" ca="1">HYPERLINK(Common_InputFunctions.Utility_SourceHyperlink($D$61),$D$61)</f>
        <v>Table_PF_scope</v>
      </c>
    </row>
    <row r="18" spans="1:9" ht="20.100000000000001" customHeight="1" x14ac:dyDescent="0.25">
      <c r="A18" s="17" t="str">
        <f>HYPERLINK("#'4.3.1.10-11 Soil Atmos Dep'!A1", "4.3.1.10-11 Soil atm. deposition")</f>
        <v>4.3.1.10-11 Soil atm. deposition</v>
      </c>
    </row>
    <row r="19" spans="1:9" ht="20.100000000000001" customHeight="1" x14ac:dyDescent="0.25">
      <c r="A19" s="17" t="str">
        <f>HYPERLINK("#'4.3.1.12-13 Soil leach runoff'!A1", "4.3.1.12-13 Soil leach &amp; runoff")</f>
        <v>4.3.1.12-13 Soil leach &amp; runoff</v>
      </c>
      <c r="D19" s="104" t="s">
        <v>318</v>
      </c>
    </row>
    <row r="20" spans="1:9" ht="20.100000000000001" customHeight="1" x14ac:dyDescent="0.25">
      <c r="A20" s="17"/>
      <c r="D20" s="103" t="s">
        <v>319</v>
      </c>
    </row>
    <row r="21" spans="1:9" ht="20.100000000000001" customHeight="1" x14ac:dyDescent="0.25">
      <c r="A21" s="18" t="s">
        <v>4</v>
      </c>
      <c r="D21" s="54" t="s">
        <v>69</v>
      </c>
      <c r="E21" s="54" t="s">
        <v>320</v>
      </c>
    </row>
    <row r="22" spans="1:9" ht="20.100000000000001" customHeight="1" x14ac:dyDescent="0.25">
      <c r="A22" s="17" t="str">
        <f>HYPERLINK("#'Constants - Dairy'!A1", "Constants - Dairy")</f>
        <v>Constants - Dairy</v>
      </c>
      <c r="D22" s="55" t="str" cm="1">
        <f t="array" ref="D22:D26">Table_SourceData_Dairy_EFmFracGASM[NIR reference]</f>
        <v>Pasture range and paddock</v>
      </c>
      <c r="E22" s="55" cm="1">
        <f t="array" ref="E22:E26">Table_SourceData_Dairy_EFmFracGASM[EFm]</f>
        <v>0</v>
      </c>
    </row>
    <row r="23" spans="1:9" ht="20.100000000000001" customHeight="1" x14ac:dyDescent="0.25">
      <c r="A23" s="17" t="str">
        <f>HYPERLINK("#'Constants - Livestock'!A1", "Constants - Livestock")</f>
        <v>Constants - Livestock</v>
      </c>
      <c r="D23" s="55" t="str">
        <v>Anaerobic lagoon</v>
      </c>
      <c r="E23" s="55">
        <v>0</v>
      </c>
    </row>
    <row r="24" spans="1:9" ht="20.100000000000001" customHeight="1" x14ac:dyDescent="0.25">
      <c r="A24" s="17" t="str">
        <f>HYPERLINK("#'Constants - Common'!A1", "Constants - Common")</f>
        <v>Constants - Common</v>
      </c>
      <c r="D24" s="55" t="str">
        <v>Sump and dispersal system</v>
      </c>
      <c r="E24" s="55">
        <v>0</v>
      </c>
    </row>
    <row r="25" spans="1:9" ht="20.100000000000001" customHeight="1" x14ac:dyDescent="0.25">
      <c r="A25" s="17" t="str">
        <f>HYPERLINK("#'Acknowledgements'!A1", "Acknowledgements")</f>
        <v>Acknowledgements</v>
      </c>
      <c r="D25" s="55" t="str">
        <v>Drains to paddock</v>
      </c>
      <c r="E25" s="55">
        <v>0</v>
      </c>
    </row>
    <row r="26" spans="1:9" ht="20.100000000000001" customHeight="1" x14ac:dyDescent="0.25">
      <c r="D26" s="55" t="str">
        <v>Solid storage</v>
      </c>
      <c r="E26" s="55">
        <v>5.0000000000000001E-3</v>
      </c>
    </row>
    <row r="27" spans="1:9" ht="20.100000000000001" customHeight="1" x14ac:dyDescent="0.25"/>
    <row r="28" spans="1:9" ht="20.100000000000001" customHeight="1" x14ac:dyDescent="0.25">
      <c r="D28" s="104" t="s">
        <v>324</v>
      </c>
    </row>
    <row r="29" spans="1:9" ht="20.100000000000001" customHeight="1" x14ac:dyDescent="0.25">
      <c r="D29" s="103" t="s">
        <v>326</v>
      </c>
    </row>
    <row r="30" spans="1:9" ht="20.100000000000001" customHeight="1" x14ac:dyDescent="0.25">
      <c r="D30" s="54" t="s">
        <v>69</v>
      </c>
      <c r="E30" s="54" t="s">
        <v>325</v>
      </c>
    </row>
    <row r="31" spans="1:9" ht="20.100000000000001" customHeight="1" x14ac:dyDescent="0.25">
      <c r="D31" s="55" t="str" cm="1">
        <f t="array" ref="D31:D35">Table_SourceData_Dairy_EFmFracGASM[NIR reference]</f>
        <v>Pasture range and paddock</v>
      </c>
      <c r="E31" s="55" cm="1">
        <f t="array" ref="E31:E35">Table_SourceData_Dairy_EFmFracGASM[FracGASMm]</f>
        <v>0</v>
      </c>
      <c r="F31" s="2" t="str">
        <f>'Constants - Dairy'!$D$84</f>
        <v>kg N2O-N/kg N excreted</v>
      </c>
    </row>
    <row r="32" spans="1:9" ht="20.100000000000001" customHeight="1" x14ac:dyDescent="0.25">
      <c r="D32" s="55" t="str">
        <v>Anaerobic lagoon</v>
      </c>
      <c r="E32" s="55">
        <v>0.35</v>
      </c>
      <c r="F32" s="2" t="str">
        <f>'Constants - Dairy'!$D$84</f>
        <v>kg N2O-N/kg N excreted</v>
      </c>
    </row>
    <row r="33" spans="1:22" ht="20.100000000000001" customHeight="1" x14ac:dyDescent="0.25">
      <c r="D33" s="55" t="str">
        <v>Sump and dispersal system</v>
      </c>
      <c r="E33" s="55">
        <v>7.0000000000000007E-2</v>
      </c>
      <c r="F33" s="2" t="str">
        <f>'Constants - Dairy'!$D$84</f>
        <v>kg N2O-N/kg N excreted</v>
      </c>
    </row>
    <row r="34" spans="1:22" ht="20.100000000000001" customHeight="1" x14ac:dyDescent="0.25">
      <c r="D34" s="55" t="str">
        <v>Drains to paddock</v>
      </c>
      <c r="E34" s="55">
        <v>0.2</v>
      </c>
      <c r="F34" s="2" t="str">
        <f>'Constants - Dairy'!$D$84</f>
        <v>kg N2O-N/kg N excreted</v>
      </c>
    </row>
    <row r="35" spans="1:22" ht="20.100000000000001" customHeight="1" x14ac:dyDescent="0.25">
      <c r="D35" s="55" t="str">
        <v>Solid storage</v>
      </c>
      <c r="E35" s="55">
        <v>0.3</v>
      </c>
      <c r="F35" s="2" t="str">
        <f>'Constants - Dairy'!$D$84</f>
        <v>kg N2O-N/kg N excreted</v>
      </c>
    </row>
    <row r="36" spans="1:22" ht="20.100000000000001" customHeight="1" x14ac:dyDescent="0.25"/>
    <row r="37" spans="1:22" ht="20.100000000000001" customHeight="1" x14ac:dyDescent="0.25">
      <c r="D37" s="104" t="s">
        <v>314</v>
      </c>
      <c r="M37"/>
      <c r="O37" s="104" t="s">
        <v>317</v>
      </c>
    </row>
    <row r="38" spans="1:22" ht="20.100000000000001" customHeight="1" x14ac:dyDescent="0.25">
      <c r="D38" s="103" t="s">
        <v>315</v>
      </c>
      <c r="M38"/>
      <c r="O38" s="103" t="s">
        <v>316</v>
      </c>
    </row>
    <row r="39" spans="1:22" ht="20.100000000000001" customHeight="1" x14ac:dyDescent="0.25">
      <c r="A39" s="141" t="str">
        <f>HYPERLINK("#A1", "▲ Back to top")</f>
        <v>▲ Back to top</v>
      </c>
      <c r="D39" s="54" t="s">
        <v>149</v>
      </c>
      <c r="E39" s="54" t="s">
        <v>69</v>
      </c>
      <c r="F39" s="54" t="s">
        <v>175</v>
      </c>
      <c r="G39" s="54" t="s">
        <v>192</v>
      </c>
      <c r="H39" s="54" t="s">
        <v>193</v>
      </c>
      <c r="I39" s="54" t="s">
        <v>194</v>
      </c>
      <c r="J39" s="54" t="s">
        <v>195</v>
      </c>
      <c r="M39"/>
      <c r="O39" s="54" t="s">
        <v>149</v>
      </c>
      <c r="P39" s="54" t="s">
        <v>69</v>
      </c>
      <c r="Q39" s="54" t="s">
        <v>175</v>
      </c>
      <c r="R39" s="54" t="s">
        <v>192</v>
      </c>
      <c r="S39" s="54" t="s">
        <v>193</v>
      </c>
      <c r="T39" s="54" t="s">
        <v>194</v>
      </c>
      <c r="U39" s="54" t="s">
        <v>195</v>
      </c>
    </row>
    <row r="40" spans="1:22" ht="20.100000000000001" customHeight="1" x14ac:dyDescent="0.25">
      <c r="D40" s="55" t="str">
        <f>'Input - Dairy'!$D$66</f>
        <v>Milking shed</v>
      </c>
      <c r="E40" s="55" t="str">
        <f>'Input - Dairy'!$D$85</f>
        <v>Anaerobic lagoon</v>
      </c>
      <c r="F40" s="55">
        <f>'4.3.1.3-4 Direct N20'!F243</f>
        <v>-90.002191441727803</v>
      </c>
      <c r="G40" s="55">
        <f>'4.3.1.3-4 Direct N20'!G243</f>
        <v>182.35790267782079</v>
      </c>
      <c r="H40" s="55">
        <f>'4.3.1.3-4 Direct N20'!H243</f>
        <v>72.631224123843424</v>
      </c>
      <c r="I40" s="55">
        <f>'4.3.1.3-4 Direct N20'!I243</f>
        <v>229.23109573986844</v>
      </c>
      <c r="J40" s="55">
        <f>'4.3.1.3-4 Direct N20'!J243</f>
        <v>95.962857079055411</v>
      </c>
      <c r="K40" s="2" t="str">
        <f>$G$13</f>
        <v>kg N</v>
      </c>
      <c r="M40"/>
      <c r="O40" s="55" t="str">
        <f>'Input - Dairy'!$D$66</f>
        <v>Milking shed</v>
      </c>
      <c r="P40" s="55" t="str">
        <f>'Input - Dairy'!$D$85</f>
        <v>Anaerobic lagoon</v>
      </c>
      <c r="Q40" s="55">
        <f>'4.3.1.3-4 Direct N20'!P243</f>
        <v>-90.002191441727803</v>
      </c>
      <c r="R40" s="55">
        <f>'4.3.1.3-4 Direct N20'!Q243</f>
        <v>182.35790267782079</v>
      </c>
      <c r="S40" s="55">
        <f>'4.3.1.3-4 Direct N20'!R243</f>
        <v>72.631224123843424</v>
      </c>
      <c r="T40" s="55">
        <f>'4.3.1.3-4 Direct N20'!S243</f>
        <v>229.23109573986844</v>
      </c>
      <c r="U40" s="55">
        <f>'4.3.1.3-4 Direct N20'!T243</f>
        <v>95.962857079055411</v>
      </c>
      <c r="V40" s="2" t="str">
        <f>$G$13</f>
        <v>kg N</v>
      </c>
    </row>
    <row r="41" spans="1:22" ht="20.100000000000001" customHeight="1" x14ac:dyDescent="0.25">
      <c r="D41" s="55" t="str">
        <f>'Input - Dairy'!$D$66</f>
        <v>Milking shed</v>
      </c>
      <c r="E41" s="55" t="str">
        <f>'Input - Dairy'!$D$86</f>
        <v>Sump and dispersal system</v>
      </c>
      <c r="F41" s="55">
        <f>'4.3.1.3-4 Direct N20'!F244</f>
        <v>-90.002191441727803</v>
      </c>
      <c r="G41" s="55">
        <f>'4.3.1.3-4 Direct N20'!G244</f>
        <v>182.35790267782079</v>
      </c>
      <c r="H41" s="55">
        <f>'4.3.1.3-4 Direct N20'!H244</f>
        <v>72.631224123843424</v>
      </c>
      <c r="I41" s="55">
        <f>'4.3.1.3-4 Direct N20'!I244</f>
        <v>229.23109573986844</v>
      </c>
      <c r="J41" s="55">
        <f>'4.3.1.3-4 Direct N20'!J244</f>
        <v>95.962857079055411</v>
      </c>
      <c r="K41" s="2"/>
      <c r="M41"/>
      <c r="O41" s="55" t="str">
        <f>'Input - Dairy'!$D$66</f>
        <v>Milking shed</v>
      </c>
      <c r="P41" s="55" t="str">
        <f>'Input - Dairy'!$D$86</f>
        <v>Sump and dispersal system</v>
      </c>
      <c r="Q41" s="55">
        <f>'4.3.1.3-4 Direct N20'!P244</f>
        <v>-90.002191441727803</v>
      </c>
      <c r="R41" s="55">
        <f>'4.3.1.3-4 Direct N20'!Q244</f>
        <v>182.35790267782079</v>
      </c>
      <c r="S41" s="55">
        <f>'4.3.1.3-4 Direct N20'!R244</f>
        <v>72.631224123843424</v>
      </c>
      <c r="T41" s="55">
        <f>'4.3.1.3-4 Direct N20'!S244</f>
        <v>229.23109573986844</v>
      </c>
      <c r="U41" s="55">
        <f>'4.3.1.3-4 Direct N20'!T244</f>
        <v>95.962857079055411</v>
      </c>
      <c r="V41" s="2"/>
    </row>
    <row r="42" spans="1:22" ht="20.100000000000001" customHeight="1" x14ac:dyDescent="0.25">
      <c r="D42" s="55" t="str">
        <f>'Input - Dairy'!$D$66</f>
        <v>Milking shed</v>
      </c>
      <c r="E42" s="55" t="str">
        <f>'Input - Dairy'!$D$87</f>
        <v>Drains to paddock</v>
      </c>
      <c r="F42" s="55">
        <f>'4.3.1.3-4 Direct N20'!F245</f>
        <v>-90.002191441727803</v>
      </c>
      <c r="G42" s="55">
        <f>'4.3.1.3-4 Direct N20'!G245</f>
        <v>182.35790267782079</v>
      </c>
      <c r="H42" s="55">
        <f>'4.3.1.3-4 Direct N20'!H245</f>
        <v>72.631224123843424</v>
      </c>
      <c r="I42" s="55">
        <f>'4.3.1.3-4 Direct N20'!I245</f>
        <v>229.23109573986844</v>
      </c>
      <c r="J42" s="55">
        <f>'4.3.1.3-4 Direct N20'!J245</f>
        <v>95.962857079055411</v>
      </c>
      <c r="K42" s="2"/>
      <c r="M42"/>
      <c r="O42" s="55" t="str">
        <f>'Input - Dairy'!$D$66</f>
        <v>Milking shed</v>
      </c>
      <c r="P42" s="55" t="str">
        <f>'Input - Dairy'!$D$87</f>
        <v>Drains to paddock</v>
      </c>
      <c r="Q42" s="55">
        <f>'4.3.1.3-4 Direct N20'!P245</f>
        <v>-90.002191441727803</v>
      </c>
      <c r="R42" s="55">
        <f>'4.3.1.3-4 Direct N20'!Q245</f>
        <v>182.35790267782079</v>
      </c>
      <c r="S42" s="55">
        <f>'4.3.1.3-4 Direct N20'!R245</f>
        <v>72.631224123843424</v>
      </c>
      <c r="T42" s="55">
        <f>'4.3.1.3-4 Direct N20'!S245</f>
        <v>229.23109573986844</v>
      </c>
      <c r="U42" s="55">
        <f>'4.3.1.3-4 Direct N20'!T245</f>
        <v>95.962857079055411</v>
      </c>
      <c r="V42" s="2"/>
    </row>
    <row r="43" spans="1:22" ht="20.100000000000001" customHeight="1" x14ac:dyDescent="0.25">
      <c r="D43" s="55" t="str">
        <f>'Input - Dairy'!$D$66</f>
        <v>Milking shed</v>
      </c>
      <c r="E43" s="55" t="s">
        <v>412</v>
      </c>
      <c r="F43" s="55">
        <f>'4.3.1.3-4 Direct N20'!F246</f>
        <v>-180.00438288345558</v>
      </c>
      <c r="G43" s="55">
        <f>'4.3.1.3-4 Direct N20'!G246</f>
        <v>364.71580535564152</v>
      </c>
      <c r="H43" s="55">
        <f>'4.3.1.3-4 Direct N20'!H246</f>
        <v>145.26244824768682</v>
      </c>
      <c r="I43" s="55">
        <f>'4.3.1.3-4 Direct N20'!I246</f>
        <v>458.46219147973682</v>
      </c>
      <c r="J43" s="55">
        <f>'4.3.1.3-4 Direct N20'!J246</f>
        <v>191.92571415811079</v>
      </c>
      <c r="K43" s="2"/>
      <c r="M43"/>
      <c r="O43" s="55" t="str">
        <f>'Input - Dairy'!$D$66</f>
        <v>Milking shed</v>
      </c>
      <c r="P43" s="55" t="s">
        <v>412</v>
      </c>
      <c r="Q43" s="55">
        <f>'4.3.1.3-4 Direct N20'!P246</f>
        <v>-180.00438288345558</v>
      </c>
      <c r="R43" s="55">
        <f>'4.3.1.3-4 Direct N20'!Q246</f>
        <v>364.71580535564152</v>
      </c>
      <c r="S43" s="55">
        <f>'4.3.1.3-4 Direct N20'!R246</f>
        <v>145.26244824768682</v>
      </c>
      <c r="T43" s="55">
        <f>'4.3.1.3-4 Direct N20'!S246</f>
        <v>458.46219147973682</v>
      </c>
      <c r="U43" s="55">
        <f>'4.3.1.3-4 Direct N20'!T246</f>
        <v>191.92571415811079</v>
      </c>
      <c r="V43" s="2"/>
    </row>
    <row r="44" spans="1:22" ht="20.100000000000001" customHeight="1" x14ac:dyDescent="0.25">
      <c r="D44" s="55" t="str">
        <f>'Input - Dairy'!$D$67</f>
        <v>Feed pad</v>
      </c>
      <c r="E44" s="55" t="str">
        <f>'Input - Dairy'!$D$101</f>
        <v>Anaerobic lagoon</v>
      </c>
      <c r="F44" s="55">
        <f>'4.3.1.3-4 Direct N20'!F247</f>
        <v>-364.09977446880788</v>
      </c>
      <c r="G44" s="55">
        <f>'4.3.1.3-4 Direct N20'!G247</f>
        <v>737.72060628754764</v>
      </c>
      <c r="H44" s="55">
        <f>'4.3.1.3-4 Direct N20'!H247</f>
        <v>293.82631577373019</v>
      </c>
      <c r="I44" s="55">
        <f>'4.3.1.3-4 Direct N20'!I247</f>
        <v>927.34397822037681</v>
      </c>
      <c r="J44" s="55">
        <f>'4.3.1.3-4 Direct N20'!J247</f>
        <v>388.21337636526954</v>
      </c>
      <c r="K44" s="2"/>
      <c r="M44"/>
      <c r="O44" s="55" t="str">
        <f>'Input - Dairy'!$D$67</f>
        <v>Feed pad</v>
      </c>
      <c r="P44" s="55" t="str">
        <f>'Input - Dairy'!$D$101</f>
        <v>Anaerobic lagoon</v>
      </c>
      <c r="Q44" s="55">
        <f>'4.3.1.3-4 Direct N20'!P247</f>
        <v>-364.09977446880788</v>
      </c>
      <c r="R44" s="55">
        <f>'4.3.1.3-4 Direct N20'!Q247</f>
        <v>737.72060628754764</v>
      </c>
      <c r="S44" s="55">
        <f>'4.3.1.3-4 Direct N20'!R247</f>
        <v>293.82631577373019</v>
      </c>
      <c r="T44" s="55">
        <f>'4.3.1.3-4 Direct N20'!S247</f>
        <v>927.34397822037681</v>
      </c>
      <c r="U44" s="55">
        <f>'4.3.1.3-4 Direct N20'!T247</f>
        <v>388.21337636526954</v>
      </c>
      <c r="V44" s="2"/>
    </row>
    <row r="45" spans="1:22" ht="20.100000000000001" customHeight="1" x14ac:dyDescent="0.25">
      <c r="D45" s="55" t="str">
        <f>'Input - Dairy'!$D$67</f>
        <v>Feed pad</v>
      </c>
      <c r="E45" s="55" t="str">
        <f>'Input - Dairy'!$D$102</f>
        <v>Sump and dispersal system</v>
      </c>
      <c r="F45" s="55">
        <f>'4.3.1.3-4 Direct N20'!F248</f>
        <v>-291.2798195750463</v>
      </c>
      <c r="G45" s="55">
        <f>'4.3.1.3-4 Direct N20'!G248</f>
        <v>590.17648503003818</v>
      </c>
      <c r="H45" s="55">
        <f>'4.3.1.3-4 Direct N20'!H248</f>
        <v>235.06105261898415</v>
      </c>
      <c r="I45" s="55">
        <f>'4.3.1.3-4 Direct N20'!I248</f>
        <v>741.87518257630143</v>
      </c>
      <c r="J45" s="55">
        <f>'4.3.1.3-4 Direct N20'!J248</f>
        <v>310.57070109221564</v>
      </c>
      <c r="K45" s="2"/>
      <c r="M45"/>
      <c r="O45" s="55" t="str">
        <f>'Input - Dairy'!$D$67</f>
        <v>Feed pad</v>
      </c>
      <c r="P45" s="55" t="str">
        <f>'Input - Dairy'!$D$102</f>
        <v>Sump and dispersal system</v>
      </c>
      <c r="Q45" s="55">
        <f>'4.3.1.3-4 Direct N20'!P248</f>
        <v>-291.2798195750463</v>
      </c>
      <c r="R45" s="55">
        <f>'4.3.1.3-4 Direct N20'!Q248</f>
        <v>590.17648503003818</v>
      </c>
      <c r="S45" s="55">
        <f>'4.3.1.3-4 Direct N20'!R248</f>
        <v>235.06105261898415</v>
      </c>
      <c r="T45" s="55">
        <f>'4.3.1.3-4 Direct N20'!S248</f>
        <v>741.87518257630143</v>
      </c>
      <c r="U45" s="55">
        <f>'4.3.1.3-4 Direct N20'!T248</f>
        <v>310.57070109221564</v>
      </c>
      <c r="V45" s="2"/>
    </row>
    <row r="46" spans="1:22" ht="20.100000000000001" customHeight="1" x14ac:dyDescent="0.25">
      <c r="D46" s="55" t="str">
        <f>'Input - Dairy'!$D$67</f>
        <v>Feed pad</v>
      </c>
      <c r="E46" s="55" t="str">
        <f>'Input - Dairy'!$D$103</f>
        <v>Drains to paddock</v>
      </c>
      <c r="F46" s="55">
        <f>'4.3.1.3-4 Direct N20'!F249</f>
        <v>-291.2798195750463</v>
      </c>
      <c r="G46" s="55">
        <f>'4.3.1.3-4 Direct N20'!G249</f>
        <v>590.17648503003818</v>
      </c>
      <c r="H46" s="55">
        <f>'4.3.1.3-4 Direct N20'!H249</f>
        <v>235.06105261898415</v>
      </c>
      <c r="I46" s="55">
        <f>'4.3.1.3-4 Direct N20'!I249</f>
        <v>741.87518257630143</v>
      </c>
      <c r="J46" s="55">
        <f>'4.3.1.3-4 Direct N20'!J249</f>
        <v>310.57070109221564</v>
      </c>
      <c r="K46" s="2"/>
      <c r="M46"/>
      <c r="O46" s="55" t="str">
        <f>'Input - Dairy'!$D$67</f>
        <v>Feed pad</v>
      </c>
      <c r="P46" s="55" t="str">
        <f>'Input - Dairy'!$D$103</f>
        <v>Drains to paddock</v>
      </c>
      <c r="Q46" s="55">
        <f>'4.3.1.3-4 Direct N20'!P249</f>
        <v>-291.2798195750463</v>
      </c>
      <c r="R46" s="55">
        <f>'4.3.1.3-4 Direct N20'!Q249</f>
        <v>590.17648503003818</v>
      </c>
      <c r="S46" s="55">
        <f>'4.3.1.3-4 Direct N20'!R249</f>
        <v>235.06105261898415</v>
      </c>
      <c r="T46" s="55">
        <f>'4.3.1.3-4 Direct N20'!S249</f>
        <v>741.87518257630143</v>
      </c>
      <c r="U46" s="55">
        <f>'4.3.1.3-4 Direct N20'!T249</f>
        <v>310.57070109221564</v>
      </c>
      <c r="V46" s="2"/>
    </row>
    <row r="47" spans="1:22" ht="20.100000000000001" customHeight="1" x14ac:dyDescent="0.25">
      <c r="D47" s="55" t="str">
        <f>'Input - Dairy'!$D$67</f>
        <v>Feed pad</v>
      </c>
      <c r="E47" s="55" t="s">
        <v>412</v>
      </c>
      <c r="F47" s="55">
        <f>'4.3.1.3-4 Direct N20'!F250</f>
        <v>-509.73968425633097</v>
      </c>
      <c r="G47" s="55">
        <f>'4.3.1.3-4 Direct N20'!G250</f>
        <v>1032.8088488025667</v>
      </c>
      <c r="H47" s="55">
        <f>'4.3.1.3-4 Direct N20'!H250</f>
        <v>411.35684208322226</v>
      </c>
      <c r="I47" s="55">
        <f>'4.3.1.3-4 Direct N20'!I250</f>
        <v>1298.2815695085274</v>
      </c>
      <c r="J47" s="55">
        <f>'4.3.1.3-4 Direct N20'!J250</f>
        <v>543.49872691137739</v>
      </c>
      <c r="K47" s="2"/>
      <c r="M47"/>
      <c r="O47" s="55" t="str">
        <f>'Input - Dairy'!$D$67</f>
        <v>Feed pad</v>
      </c>
      <c r="P47" s="55" t="s">
        <v>412</v>
      </c>
      <c r="Q47" s="55">
        <f>'4.3.1.3-4 Direct N20'!P250</f>
        <v>-509.73968425633097</v>
      </c>
      <c r="R47" s="55">
        <f>'4.3.1.3-4 Direct N20'!Q250</f>
        <v>1032.8088488025667</v>
      </c>
      <c r="S47" s="55">
        <f>'4.3.1.3-4 Direct N20'!R250</f>
        <v>411.35684208322226</v>
      </c>
      <c r="T47" s="55">
        <f>'4.3.1.3-4 Direct N20'!S250</f>
        <v>1298.2815695085274</v>
      </c>
      <c r="U47" s="55">
        <f>'4.3.1.3-4 Direct N20'!T250</f>
        <v>543.49872691137739</v>
      </c>
      <c r="V47" s="2"/>
    </row>
    <row r="48" spans="1:22" ht="20.100000000000001" customHeight="1" x14ac:dyDescent="0.25"/>
    <row r="49" spans="4:22" ht="20.100000000000001" customHeight="1" x14ac:dyDescent="0.25">
      <c r="D49" s="104" t="s">
        <v>404</v>
      </c>
      <c r="O49" s="104" t="s">
        <v>402</v>
      </c>
    </row>
    <row r="50" spans="4:22" ht="20.100000000000001" customHeight="1" x14ac:dyDescent="0.25">
      <c r="D50" s="103" t="s">
        <v>405</v>
      </c>
      <c r="O50" s="103" t="s">
        <v>403</v>
      </c>
    </row>
    <row r="51" spans="4:22" ht="20.100000000000001" customHeight="1" x14ac:dyDescent="0.25">
      <c r="D51" s="54" t="s">
        <v>149</v>
      </c>
      <c r="E51" s="54" t="s">
        <v>69</v>
      </c>
      <c r="F51" s="54" t="s">
        <v>175</v>
      </c>
      <c r="G51" s="54" t="s">
        <v>192</v>
      </c>
      <c r="H51" s="54" t="s">
        <v>193</v>
      </c>
      <c r="I51" s="54" t="s">
        <v>194</v>
      </c>
      <c r="J51" s="54" t="s">
        <v>195</v>
      </c>
      <c r="O51" s="54" t="s">
        <v>149</v>
      </c>
      <c r="P51" s="54" t="s">
        <v>69</v>
      </c>
      <c r="Q51" s="54" t="s">
        <v>175</v>
      </c>
      <c r="R51" s="54" t="s">
        <v>192</v>
      </c>
      <c r="S51" s="54" t="s">
        <v>193</v>
      </c>
      <c r="T51" s="54" t="s">
        <v>194</v>
      </c>
      <c r="U51" s="54" t="s">
        <v>195</v>
      </c>
    </row>
    <row r="52" spans="4:22" ht="20.100000000000001" customHeight="1" x14ac:dyDescent="0.25">
      <c r="D52" s="55" t="str">
        <f>'Input - Dairy'!$D$66</f>
        <v>Milking shed</v>
      </c>
      <c r="E52" s="55" t="str">
        <f>'Input - Dairy'!$D$85</f>
        <v>Anaerobic lagoon</v>
      </c>
      <c r="F52" s="55">
        <v>0</v>
      </c>
      <c r="G52" s="55">
        <v>0</v>
      </c>
      <c r="H52" s="55">
        <v>0</v>
      </c>
      <c r="I52" s="55">
        <v>0</v>
      </c>
      <c r="J52" s="55">
        <v>0</v>
      </c>
      <c r="K52" s="2" t="str">
        <f>$G$16</f>
        <v>kg N</v>
      </c>
      <c r="O52" s="55" t="str">
        <f>'Input - Dairy'!$D$66</f>
        <v>Milking shed</v>
      </c>
      <c r="P52" s="55" t="str">
        <f>'Input - Dairy'!$D$85</f>
        <v>Anaerobic lagoon</v>
      </c>
      <c r="Q52" s="55">
        <v>0</v>
      </c>
      <c r="R52" s="55">
        <v>0</v>
      </c>
      <c r="S52" s="55">
        <v>0</v>
      </c>
      <c r="T52" s="55">
        <v>0</v>
      </c>
      <c r="U52" s="55">
        <v>0</v>
      </c>
      <c r="V52" s="2" t="str">
        <f>$G$16</f>
        <v>kg N</v>
      </c>
    </row>
    <row r="53" spans="4:22" ht="20.100000000000001" customHeight="1" x14ac:dyDescent="0.25">
      <c r="D53" s="55" t="str">
        <f>'Input - Dairy'!$D$66</f>
        <v>Milking shed</v>
      </c>
      <c r="E53" s="55" t="str">
        <f>'Input - Dairy'!$D$86</f>
        <v>Sump and dispersal system</v>
      </c>
      <c r="F53" s="55">
        <v>0</v>
      </c>
      <c r="G53" s="55">
        <v>0</v>
      </c>
      <c r="H53" s="55">
        <v>0</v>
      </c>
      <c r="I53" s="55">
        <v>0</v>
      </c>
      <c r="J53" s="55">
        <v>0</v>
      </c>
      <c r="K53" s="2"/>
      <c r="O53" s="55" t="str">
        <f>'Input - Dairy'!$D$66</f>
        <v>Milking shed</v>
      </c>
      <c r="P53" s="55" t="str">
        <f>'Input - Dairy'!$D$86</f>
        <v>Sump and dispersal system</v>
      </c>
      <c r="Q53" s="55">
        <v>0</v>
      </c>
      <c r="R53" s="55">
        <v>0</v>
      </c>
      <c r="S53" s="55">
        <v>0</v>
      </c>
      <c r="T53" s="55">
        <v>0</v>
      </c>
      <c r="U53" s="55">
        <v>0</v>
      </c>
      <c r="V53" s="2"/>
    </row>
    <row r="54" spans="4:22" ht="20.100000000000001" customHeight="1" x14ac:dyDescent="0.25">
      <c r="D54" s="55" t="str">
        <f>'Input - Dairy'!$D$66</f>
        <v>Milking shed</v>
      </c>
      <c r="E54" s="55" t="str">
        <f>'Input - Dairy'!$D$87</f>
        <v>Drains to paddock</v>
      </c>
      <c r="F54" s="55">
        <v>0</v>
      </c>
      <c r="G54" s="55">
        <v>0</v>
      </c>
      <c r="H54" s="55">
        <v>0</v>
      </c>
      <c r="I54" s="55">
        <v>0</v>
      </c>
      <c r="J54" s="55">
        <v>0</v>
      </c>
      <c r="K54" s="2"/>
      <c r="O54" s="55" t="str">
        <f>'Input - Dairy'!$D$66</f>
        <v>Milking shed</v>
      </c>
      <c r="P54" s="55" t="str">
        <f>'Input - Dairy'!$D$87</f>
        <v>Drains to paddock</v>
      </c>
      <c r="Q54" s="55">
        <v>0</v>
      </c>
      <c r="R54" s="55">
        <v>0</v>
      </c>
      <c r="S54" s="55">
        <v>0</v>
      </c>
      <c r="T54" s="55">
        <v>0</v>
      </c>
      <c r="U54" s="55">
        <v>0</v>
      </c>
      <c r="V54" s="2"/>
    </row>
    <row r="55" spans="4:22" ht="20.100000000000001" customHeight="1" x14ac:dyDescent="0.25">
      <c r="D55" s="55" t="str">
        <f>'Input - Dairy'!$D$66</f>
        <v>Milking shed</v>
      </c>
      <c r="E55" s="55" t="s">
        <v>412</v>
      </c>
      <c r="F55" s="55">
        <f>'4.3.1.6-7 Leaching and runoff'!F29</f>
        <v>-3.6000876576691114</v>
      </c>
      <c r="G55" s="55">
        <f>'4.3.1.6-7 Leaching and runoff'!G29</f>
        <v>7.2943161071128308</v>
      </c>
      <c r="H55" s="55">
        <f>'4.3.1.6-7 Leaching and runoff'!H29</f>
        <v>2.9052489649537363</v>
      </c>
      <c r="I55" s="55">
        <f>'4.3.1.6-7 Leaching and runoff'!I29</f>
        <v>9.1692438295947358</v>
      </c>
      <c r="J55" s="55">
        <f>'4.3.1.6-7 Leaching and runoff'!J29</f>
        <v>3.8385142831622159</v>
      </c>
      <c r="K55" s="2"/>
      <c r="O55" s="55" t="str">
        <f>'Input - Dairy'!$D$66</f>
        <v>Milking shed</v>
      </c>
      <c r="P55" s="55" t="s">
        <v>412</v>
      </c>
      <c r="Q55" s="55">
        <f>'4.3.1.6-7 Leaching and runoff'!Q29</f>
        <v>-3.6000876576691114</v>
      </c>
      <c r="R55" s="55">
        <f>'4.3.1.6-7 Leaching and runoff'!R29</f>
        <v>7.2943161071128308</v>
      </c>
      <c r="S55" s="55">
        <f>'4.3.1.6-7 Leaching and runoff'!S29</f>
        <v>2.9052489649537363</v>
      </c>
      <c r="T55" s="55">
        <f>'4.3.1.6-7 Leaching and runoff'!T29</f>
        <v>9.1692438295947358</v>
      </c>
      <c r="U55" s="55">
        <f>'4.3.1.6-7 Leaching and runoff'!U29</f>
        <v>3.8385142831622159</v>
      </c>
      <c r="V55" s="2"/>
    </row>
    <row r="56" spans="4:22" ht="20.100000000000001" customHeight="1" x14ac:dyDescent="0.25">
      <c r="D56" s="55" t="str">
        <f>'Input - Dairy'!$D$67</f>
        <v>Feed pad</v>
      </c>
      <c r="E56" s="55" t="str">
        <f>'Input - Dairy'!$D$101</f>
        <v>Anaerobic lagoon</v>
      </c>
      <c r="F56" s="55">
        <v>0</v>
      </c>
      <c r="G56" s="55">
        <v>0</v>
      </c>
      <c r="H56" s="55">
        <v>0</v>
      </c>
      <c r="I56" s="55">
        <v>0</v>
      </c>
      <c r="J56" s="55">
        <v>0</v>
      </c>
      <c r="K56" s="2"/>
      <c r="O56" s="55" t="str">
        <f>'Input - Dairy'!$D$67</f>
        <v>Feed pad</v>
      </c>
      <c r="P56" s="55" t="str">
        <f>'Input - Dairy'!$D$101</f>
        <v>Anaerobic lagoon</v>
      </c>
      <c r="Q56" s="55">
        <v>0</v>
      </c>
      <c r="R56" s="55">
        <v>0</v>
      </c>
      <c r="S56" s="55">
        <v>0</v>
      </c>
      <c r="T56" s="55">
        <v>0</v>
      </c>
      <c r="U56" s="55">
        <v>0</v>
      </c>
      <c r="V56" s="2"/>
    </row>
    <row r="57" spans="4:22" ht="20.100000000000001" customHeight="1" x14ac:dyDescent="0.25">
      <c r="D57" s="55" t="str">
        <f>'Input - Dairy'!$D$67</f>
        <v>Feed pad</v>
      </c>
      <c r="E57" s="55" t="str">
        <f>'Input - Dairy'!$D$102</f>
        <v>Sump and dispersal system</v>
      </c>
      <c r="F57" s="55">
        <v>0</v>
      </c>
      <c r="G57" s="55">
        <v>0</v>
      </c>
      <c r="H57" s="55">
        <v>0</v>
      </c>
      <c r="I57" s="55">
        <v>0</v>
      </c>
      <c r="J57" s="55">
        <v>0</v>
      </c>
      <c r="K57" s="2"/>
      <c r="O57" s="55" t="str">
        <f>'Input - Dairy'!$D$67</f>
        <v>Feed pad</v>
      </c>
      <c r="P57" s="55" t="str">
        <f>'Input - Dairy'!$D$102</f>
        <v>Sump and dispersal system</v>
      </c>
      <c r="Q57" s="55">
        <v>0</v>
      </c>
      <c r="R57" s="55">
        <v>0</v>
      </c>
      <c r="S57" s="55">
        <v>0</v>
      </c>
      <c r="T57" s="55">
        <v>0</v>
      </c>
      <c r="U57" s="55">
        <v>0</v>
      </c>
      <c r="V57" s="2"/>
    </row>
    <row r="58" spans="4:22" ht="20.100000000000001" customHeight="1" x14ac:dyDescent="0.25">
      <c r="D58" s="55" t="str">
        <f>'Input - Dairy'!$D$67</f>
        <v>Feed pad</v>
      </c>
      <c r="E58" s="55" t="str">
        <f>'Input - Dairy'!$D$103</f>
        <v>Drains to paddock</v>
      </c>
      <c r="F58" s="55">
        <v>0</v>
      </c>
      <c r="G58" s="55">
        <v>0</v>
      </c>
      <c r="H58" s="55">
        <v>0</v>
      </c>
      <c r="I58" s="55">
        <v>0</v>
      </c>
      <c r="J58" s="55">
        <v>0</v>
      </c>
      <c r="K58" s="2"/>
      <c r="O58" s="55" t="str">
        <f>'Input - Dairy'!$D$67</f>
        <v>Feed pad</v>
      </c>
      <c r="P58" s="55" t="str">
        <f>'Input - Dairy'!$D$103</f>
        <v>Drains to paddock</v>
      </c>
      <c r="Q58" s="55">
        <v>0</v>
      </c>
      <c r="R58" s="55">
        <v>0</v>
      </c>
      <c r="S58" s="55">
        <v>0</v>
      </c>
      <c r="T58" s="55">
        <v>0</v>
      </c>
      <c r="U58" s="55">
        <v>0</v>
      </c>
      <c r="V58" s="2"/>
    </row>
    <row r="59" spans="4:22" ht="20.100000000000001" customHeight="1" x14ac:dyDescent="0.25">
      <c r="D59" s="55" t="str">
        <f>'Input - Dairy'!$D$67</f>
        <v>Feed pad</v>
      </c>
      <c r="E59" s="55" t="s">
        <v>412</v>
      </c>
      <c r="F59" s="55">
        <f>'4.3.1.6-7 Leaching and runoff'!F30</f>
        <v>-10.194793685126619</v>
      </c>
      <c r="G59" s="55">
        <f>'4.3.1.6-7 Leaching and runoff'!G30</f>
        <v>20.656176976051334</v>
      </c>
      <c r="H59" s="55">
        <f>'4.3.1.6-7 Leaching and runoff'!H30</f>
        <v>8.2271368416644446</v>
      </c>
      <c r="I59" s="55">
        <f>'4.3.1.6-7 Leaching and runoff'!I30</f>
        <v>25.965631390170547</v>
      </c>
      <c r="J59" s="55">
        <f>'4.3.1.6-7 Leaching and runoff'!J30</f>
        <v>10.869974538227549</v>
      </c>
      <c r="K59" s="2"/>
      <c r="O59" s="55" t="str">
        <f>'Input - Dairy'!$D$67</f>
        <v>Feed pad</v>
      </c>
      <c r="P59" s="55" t="s">
        <v>412</v>
      </c>
      <c r="Q59" s="55">
        <f>'4.3.1.6-7 Leaching and runoff'!Q30</f>
        <v>-10.194793685126619</v>
      </c>
      <c r="R59" s="55">
        <f>'4.3.1.6-7 Leaching and runoff'!R30</f>
        <v>20.656176976051334</v>
      </c>
      <c r="S59" s="55">
        <f>'4.3.1.6-7 Leaching and runoff'!S30</f>
        <v>8.2271368416644446</v>
      </c>
      <c r="T59" s="55">
        <f>'4.3.1.6-7 Leaching and runoff'!T30</f>
        <v>25.965631390170547</v>
      </c>
      <c r="U59" s="55">
        <f>'4.3.1.6-7 Leaching and runoff'!U30</f>
        <v>10.869974538227549</v>
      </c>
      <c r="V59" s="2"/>
    </row>
    <row r="60" spans="4:22" ht="20.100000000000001" customHeight="1" x14ac:dyDescent="0.25"/>
    <row r="61" spans="4:22" ht="20.100000000000001" customHeight="1" x14ac:dyDescent="0.25">
      <c r="D61" s="104" t="s">
        <v>346</v>
      </c>
    </row>
    <row r="62" spans="4:22" ht="20.100000000000001" customHeight="1" x14ac:dyDescent="0.25">
      <c r="D62" s="103" t="s">
        <v>347</v>
      </c>
    </row>
    <row r="63" spans="4:22" ht="20.100000000000001" customHeight="1" x14ac:dyDescent="0.25">
      <c r="D63" s="41" t="s">
        <v>149</v>
      </c>
      <c r="E63" s="41" t="s">
        <v>69</v>
      </c>
      <c r="F63" s="41" t="s">
        <v>443</v>
      </c>
    </row>
    <row r="64" spans="4:22" ht="20.100000000000001" customHeight="1" x14ac:dyDescent="0.25">
      <c r="D64" s="55" t="str">
        <f>'Input - Dairy'!$D$66</f>
        <v>Milking shed</v>
      </c>
      <c r="E64" s="55" t="str">
        <f>'Input - Dairy'!$D$85</f>
        <v>Anaerobic lagoon</v>
      </c>
      <c r="F64" s="55">
        <f>'Input - Dairy'!L85+'Input - Dairy'!M85</f>
        <v>0.75</v>
      </c>
      <c r="G64" s="2" t="str">
        <f>$G$17</f>
        <v>fraction</v>
      </c>
    </row>
    <row r="65" spans="4:22" ht="20.100000000000001" customHeight="1" x14ac:dyDescent="0.25">
      <c r="D65" s="55" t="str">
        <f>'Input - Dairy'!$D$66</f>
        <v>Milking shed</v>
      </c>
      <c r="E65" s="55" t="str">
        <f>'Input - Dairy'!$D$86</f>
        <v>Sump and dispersal system</v>
      </c>
      <c r="F65" s="55">
        <f>'Input - Dairy'!L86+'Input - Dairy'!M86</f>
        <v>0.75</v>
      </c>
      <c r="G65" s="2"/>
    </row>
    <row r="66" spans="4:22" ht="20.100000000000001" customHeight="1" x14ac:dyDescent="0.25">
      <c r="D66" s="55" t="str">
        <f>'Input - Dairy'!$D$66</f>
        <v>Milking shed</v>
      </c>
      <c r="E66" s="55" t="str">
        <f>'Input - Dairy'!$D$87</f>
        <v>Drains to paddock</v>
      </c>
      <c r="F66" s="55">
        <f>'Input - Dairy'!L87+'Input - Dairy'!M87</f>
        <v>0.75</v>
      </c>
      <c r="G66" s="2"/>
    </row>
    <row r="67" spans="4:22" ht="20.100000000000001" customHeight="1" x14ac:dyDescent="0.25">
      <c r="D67" s="55" t="str">
        <f>'Input - Dairy'!$D$66</f>
        <v>Milking shed</v>
      </c>
      <c r="E67" s="55" t="str">
        <f>'Input - Dairy'!$D$88</f>
        <v>Solid storage (before solid separation)</v>
      </c>
      <c r="F67" s="55">
        <f>'Input - Dairy'!L88+'Input - Dairy'!M88</f>
        <v>0.75</v>
      </c>
      <c r="G67" s="2"/>
    </row>
    <row r="68" spans="4:22" ht="20.100000000000001" customHeight="1" x14ac:dyDescent="0.25">
      <c r="D68" s="55" t="str">
        <f>'Input - Dairy'!$D$67</f>
        <v>Feed pad</v>
      </c>
      <c r="E68" s="55" t="str">
        <f>'Input - Dairy'!$D$101</f>
        <v>Anaerobic lagoon</v>
      </c>
      <c r="F68" s="55">
        <f>'Input - Dairy'!L101+'Input - Dairy'!M101</f>
        <v>0.75</v>
      </c>
      <c r="G68" s="2"/>
    </row>
    <row r="69" spans="4:22" ht="20.100000000000001" customHeight="1" x14ac:dyDescent="0.25">
      <c r="D69" s="55" t="str">
        <f>'Input - Dairy'!$D$67</f>
        <v>Feed pad</v>
      </c>
      <c r="E69" s="55" t="str">
        <f>'Input - Dairy'!$D$102</f>
        <v>Sump and dispersal system</v>
      </c>
      <c r="F69" s="55">
        <f>'Input - Dairy'!L102+'Input - Dairy'!M102</f>
        <v>0.75</v>
      </c>
      <c r="G69" s="2"/>
    </row>
    <row r="70" spans="4:22" ht="20.100000000000001" customHeight="1" x14ac:dyDescent="0.25">
      <c r="D70" s="55" t="str">
        <f>'Input - Dairy'!$D$67</f>
        <v>Feed pad</v>
      </c>
      <c r="E70" s="55" t="str">
        <f>'Input - Dairy'!$D$103</f>
        <v>Drains to paddock</v>
      </c>
      <c r="F70" s="55">
        <f>'Input - Dairy'!L103+'Input - Dairy'!M103</f>
        <v>0.75</v>
      </c>
      <c r="G70" s="2"/>
    </row>
    <row r="71" spans="4:22" ht="20.100000000000001" customHeight="1" x14ac:dyDescent="0.25">
      <c r="D71" s="55" t="str">
        <f>'Input - Dairy'!$D$67</f>
        <v>Feed pad</v>
      </c>
      <c r="E71" s="55" t="str">
        <f>'Input - Dairy'!$D$104</f>
        <v>Solid storage (before solid separation)</v>
      </c>
      <c r="F71" s="55">
        <f>'Input - Dairy'!L104+'Input - Dairy'!M104</f>
        <v>0.75</v>
      </c>
      <c r="G71" s="2"/>
    </row>
    <row r="72" spans="4:22" ht="20.100000000000001" customHeight="1" x14ac:dyDescent="0.25"/>
    <row r="73" spans="4:22" ht="20.100000000000001" customHeight="1" x14ac:dyDescent="0.25">
      <c r="D73" s="104" t="s">
        <v>348</v>
      </c>
      <c r="O73" s="104" t="s">
        <v>352</v>
      </c>
    </row>
    <row r="74" spans="4:22" ht="20.100000000000001" customHeight="1" x14ac:dyDescent="0.25">
      <c r="D74" s="103" t="s">
        <v>351</v>
      </c>
      <c r="O74" s="103" t="s">
        <v>353</v>
      </c>
    </row>
    <row r="75" spans="4:22" ht="20.100000000000001" customHeight="1" x14ac:dyDescent="0.25">
      <c r="D75" s="54" t="s">
        <v>149</v>
      </c>
      <c r="E75" s="54" t="s">
        <v>69</v>
      </c>
      <c r="F75" s="54" t="s">
        <v>175</v>
      </c>
      <c r="G75" s="54" t="s">
        <v>192</v>
      </c>
      <c r="H75" s="54" t="s">
        <v>193</v>
      </c>
      <c r="I75" s="54" t="s">
        <v>194</v>
      </c>
      <c r="J75" s="54" t="s">
        <v>195</v>
      </c>
      <c r="O75" s="54" t="s">
        <v>149</v>
      </c>
      <c r="P75" s="54" t="s">
        <v>69</v>
      </c>
      <c r="Q75" s="54" t="s">
        <v>175</v>
      </c>
      <c r="R75" s="54" t="s">
        <v>192</v>
      </c>
      <c r="S75" s="54" t="s">
        <v>193</v>
      </c>
      <c r="T75" s="54" t="s">
        <v>194</v>
      </c>
      <c r="U75" s="54" t="s">
        <v>195</v>
      </c>
    </row>
    <row r="76" spans="4:22" ht="20.100000000000001" customHeight="1" x14ac:dyDescent="0.25">
      <c r="D76" s="55" t="str">
        <f>'Input - Dairy'!$D$66</f>
        <v>Milking shed</v>
      </c>
      <c r="E76" s="55" t="str">
        <f>'Input - Dairy'!$D$85</f>
        <v>Anaerobic lagoon</v>
      </c>
      <c r="F76" s="55" cm="1">
        <f t="array" ref="F76">MMS_Dairy_ManureAppliedToSoils_Equations.VEERG_4_3_1_8__1_MassOfNitrogenAppliedToSoilsScope1(F40,_xlfn.XLOOKUP($E76,$D$22:$D$26,$E$22:$E$26),_xlfn.XLOOKUP($E76, $D$31:$D$35,$E$31:$E$35),F52,$F64)</f>
        <v>-43.876068327842304</v>
      </c>
      <c r="G76" s="55" cm="1">
        <f t="array" ref="G76">MMS_Dairy_ManureAppliedToSoils_Equations.VEERG_4_3_1_8__1_MassOfNitrogenAppliedToSoilsScope1(G40,_xlfn.XLOOKUP($E76,$D$22:$D$26,$E$22:$E$26),_xlfn.XLOOKUP($E76, $D$31:$D$35,$E$31:$E$35),G52,$F64)</f>
        <v>88.899477555437642</v>
      </c>
      <c r="H76" s="55" cm="1">
        <f t="array" ref="H76">MMS_Dairy_ManureAppliedToSoils_Equations.VEERG_4_3_1_8__1_MassOfNitrogenAppliedToSoilsScope1(H40,_xlfn.XLOOKUP($E76,$D$22:$D$26,$E$22:$E$26),_xlfn.XLOOKUP($E76, $D$31:$D$35,$E$31:$E$35),H52,$F64)</f>
        <v>35.407721760373668</v>
      </c>
      <c r="I76" s="55" cm="1">
        <f t="array" ref="I76">MMS_Dairy_ManureAppliedToSoils_Equations.VEERG_4_3_1_8__1_MassOfNitrogenAppliedToSoilsScope1(I40,_xlfn.XLOOKUP($E76,$D$22:$D$26,$E$22:$E$26),_xlfn.XLOOKUP($E76, $D$31:$D$35,$E$31:$E$35),I52,$F64)</f>
        <v>111.75015917318586</v>
      </c>
      <c r="J76" s="55" cm="1">
        <f t="array" ref="J76">MMS_Dairy_ManureAppliedToSoils_Equations.VEERG_4_3_1_8__1_MassOfNitrogenAppliedToSoilsScope1(J40,_xlfn.XLOOKUP($E76,$D$22:$D$26,$E$22:$E$26),_xlfn.XLOOKUP($E76, $D$31:$D$35,$E$31:$E$35),J52,$F64)</f>
        <v>46.78189282603951</v>
      </c>
      <c r="K76" s="2" t="str">
        <f t="shared" ref="K76" si="0">$E$11</f>
        <v>kg N</v>
      </c>
      <c r="O76" s="55" t="str">
        <f>'Input - Dairy'!$D$66</f>
        <v>Milking shed</v>
      </c>
      <c r="P76" s="55" t="str">
        <f>'Input - Dairy'!$D$85</f>
        <v>Anaerobic lagoon</v>
      </c>
      <c r="Q76" s="55" cm="1">
        <f t="array" ref="Q76">MMS_Dairy_ManureAppliedToSoils_Equations.VEERG_4_3_1_8__1_MassOfNitrogenAppliedToSoilsScope1(Q40,_xlfn.XLOOKUP($P76,$D$22:$D$26,$E$22:$E$26),_xlfn.XLOOKUP($P76, $D$31:$D$35,$E$31:$E$35),Q52,$F64)</f>
        <v>-43.876068327842304</v>
      </c>
      <c r="R76" s="55" cm="1">
        <f t="array" ref="R76">MMS_Dairy_ManureAppliedToSoils_Equations.VEERG_4_3_1_8__1_MassOfNitrogenAppliedToSoilsScope1(R40,_xlfn.XLOOKUP($P76,$D$22:$D$26,$E$22:$E$26),_xlfn.XLOOKUP($P76, $D$31:$D$35,$E$31:$E$35),R52,$F64)</f>
        <v>88.899477555437642</v>
      </c>
      <c r="S76" s="55" cm="1">
        <f t="array" ref="S76">MMS_Dairy_ManureAppliedToSoils_Equations.VEERG_4_3_1_8__1_MassOfNitrogenAppliedToSoilsScope1(S40,_xlfn.XLOOKUP($P76,$D$22:$D$26,$E$22:$E$26),_xlfn.XLOOKUP($P76, $D$31:$D$35,$E$31:$E$35),S52,$F64)</f>
        <v>35.407721760373668</v>
      </c>
      <c r="T76" s="55" cm="1">
        <f t="array" ref="T76">MMS_Dairy_ManureAppliedToSoils_Equations.VEERG_4_3_1_8__1_MassOfNitrogenAppliedToSoilsScope1(T40,_xlfn.XLOOKUP($P76,$D$22:$D$26,$E$22:$E$26),_xlfn.XLOOKUP($P76, $D$31:$D$35,$E$31:$E$35),T52,$F64)</f>
        <v>111.75015917318586</v>
      </c>
      <c r="U76" s="55" cm="1">
        <f t="array" ref="U76">MMS_Dairy_ManureAppliedToSoils_Equations.VEERG_4_3_1_8__1_MassOfNitrogenAppliedToSoilsScope1(U40,_xlfn.XLOOKUP($P76,$D$22:$D$26,$E$22:$E$26),_xlfn.XLOOKUP($P76, $D$31:$D$35,$E$31:$E$35),U52,$F64)</f>
        <v>46.78189282603951</v>
      </c>
      <c r="V76" s="2" t="str">
        <f t="shared" ref="V76" si="1">$E$11</f>
        <v>kg N</v>
      </c>
    </row>
    <row r="77" spans="4:22" ht="20.100000000000001" customHeight="1" x14ac:dyDescent="0.25">
      <c r="D77" s="55" t="str">
        <f>'Input - Dairy'!$D$66</f>
        <v>Milking shed</v>
      </c>
      <c r="E77" s="55" t="str">
        <f>'Input - Dairy'!$D$86</f>
        <v>Sump and dispersal system</v>
      </c>
      <c r="F77" s="55" cm="1">
        <f t="array" ref="F77">MMS_Dairy_ManureAppliedToSoils_Equations.VEERG_4_3_1_8__1_MassOfNitrogenAppliedToSoilsScope1(F41,_xlfn.XLOOKUP($E77,$D$22:$D$26,$E$22:$E$26),_xlfn.XLOOKUP($E77, $D$31:$D$35,$E$31:$E$35),F53,$F65)</f>
        <v>-62.776528530605141</v>
      </c>
      <c r="G77" s="55" cm="1">
        <f t="array" ref="G77">MMS_Dairy_ManureAppliedToSoils_Equations.VEERG_4_3_1_8__1_MassOfNitrogenAppliedToSoilsScope1(G41,_xlfn.XLOOKUP($E77,$D$22:$D$26,$E$22:$E$26),_xlfn.XLOOKUP($E77, $D$31:$D$35,$E$31:$E$35),G53,$F65)</f>
        <v>127.19463711777999</v>
      </c>
      <c r="H77" s="55" cm="1">
        <f t="array" ref="H77">MMS_Dairy_ManureAppliedToSoils_Equations.VEERG_4_3_1_8__1_MassOfNitrogenAppliedToSoilsScope1(H41,_xlfn.XLOOKUP($E77,$D$22:$D$26,$E$22:$E$26),_xlfn.XLOOKUP($E77, $D$31:$D$35,$E$31:$E$35),H53,$F65)</f>
        <v>50.660278826380789</v>
      </c>
      <c r="I77" s="55" cm="1">
        <f t="array" ref="I77">MMS_Dairy_ManureAppliedToSoils_Equations.VEERG_4_3_1_8__1_MassOfNitrogenAppliedToSoilsScope1(I41,_xlfn.XLOOKUP($E77,$D$22:$D$26,$E$22:$E$26),_xlfn.XLOOKUP($E77, $D$31:$D$35,$E$31:$E$35),I53,$F65)</f>
        <v>159.88868927855822</v>
      </c>
      <c r="J77" s="55" cm="1">
        <f t="array" ref="J77">MMS_Dairy_ManureAppliedToSoils_Equations.VEERG_4_3_1_8__1_MassOfNitrogenAppliedToSoilsScope1(J41,_xlfn.XLOOKUP($E77,$D$22:$D$26,$E$22:$E$26),_xlfn.XLOOKUP($E77, $D$31:$D$35,$E$31:$E$35),J53,$F65)</f>
        <v>66.934092812641154</v>
      </c>
      <c r="K77" s="2"/>
      <c r="O77" s="55" t="str">
        <f>'Input - Dairy'!$D$66</f>
        <v>Milking shed</v>
      </c>
      <c r="P77" s="55" t="str">
        <f>'Input - Dairy'!$D$86</f>
        <v>Sump and dispersal system</v>
      </c>
      <c r="Q77" s="55" cm="1">
        <f t="array" ref="Q77">MMS_Dairy_ManureAppliedToSoils_Equations.VEERG_4_3_1_8__1_MassOfNitrogenAppliedToSoilsScope1(Q41,_xlfn.XLOOKUP($P77,$D$22:$D$26,$E$22:$E$26),_xlfn.XLOOKUP($P77, $D$31:$D$35,$E$31:$E$35),Q53,$F65)</f>
        <v>-62.776528530605141</v>
      </c>
      <c r="R77" s="55" cm="1">
        <f t="array" ref="R77">MMS_Dairy_ManureAppliedToSoils_Equations.VEERG_4_3_1_8__1_MassOfNitrogenAppliedToSoilsScope1(R41,_xlfn.XLOOKUP($P77,$D$22:$D$26,$E$22:$E$26),_xlfn.XLOOKUP($P77, $D$31:$D$35,$E$31:$E$35),R53,$F65)</f>
        <v>127.19463711777999</v>
      </c>
      <c r="S77" s="55" cm="1">
        <f t="array" ref="S77">MMS_Dairy_ManureAppliedToSoils_Equations.VEERG_4_3_1_8__1_MassOfNitrogenAppliedToSoilsScope1(S41,_xlfn.XLOOKUP($P77,$D$22:$D$26,$E$22:$E$26),_xlfn.XLOOKUP($P77, $D$31:$D$35,$E$31:$E$35),S53,$F65)</f>
        <v>50.660278826380789</v>
      </c>
      <c r="T77" s="55" cm="1">
        <f t="array" ref="T77">MMS_Dairy_ManureAppliedToSoils_Equations.VEERG_4_3_1_8__1_MassOfNitrogenAppliedToSoilsScope1(T41,_xlfn.XLOOKUP($P77,$D$22:$D$26,$E$22:$E$26),_xlfn.XLOOKUP($P77, $D$31:$D$35,$E$31:$E$35),T53,$F65)</f>
        <v>159.88868927855822</v>
      </c>
      <c r="U77" s="55" cm="1">
        <f t="array" ref="U77">MMS_Dairy_ManureAppliedToSoils_Equations.VEERG_4_3_1_8__1_MassOfNitrogenAppliedToSoilsScope1(U41,_xlfn.XLOOKUP($P77,$D$22:$D$26,$E$22:$E$26),_xlfn.XLOOKUP($P77, $D$31:$D$35,$E$31:$E$35),U53,$F65)</f>
        <v>66.934092812641154</v>
      </c>
      <c r="V77" s="2"/>
    </row>
    <row r="78" spans="4:22" ht="20.100000000000001" customHeight="1" x14ac:dyDescent="0.25">
      <c r="D78" s="55" t="str">
        <f>'Input - Dairy'!$D$66</f>
        <v>Milking shed</v>
      </c>
      <c r="E78" s="55" t="str">
        <f>'Input - Dairy'!$D$87</f>
        <v>Drains to paddock</v>
      </c>
      <c r="F78" s="55" cm="1">
        <f t="array" ref="F78">MMS_Dairy_ManureAppliedToSoils_Equations.VEERG_4_3_1_8__1_MassOfNitrogenAppliedToSoilsScope1(F42,_xlfn.XLOOKUP($E78,$D$22:$D$26,$E$22:$E$26),_xlfn.XLOOKUP($E78, $D$31:$D$35,$E$31:$E$35),F54,$F66)</f>
        <v>-54.001314865036676</v>
      </c>
      <c r="G78" s="55" cm="1">
        <f t="array" ref="G78">MMS_Dairy_ManureAppliedToSoils_Equations.VEERG_4_3_1_8__1_MassOfNitrogenAppliedToSoilsScope1(G42,_xlfn.XLOOKUP($E78,$D$22:$D$26,$E$22:$E$26),_xlfn.XLOOKUP($E78, $D$31:$D$35,$E$31:$E$35),G54,$F66)</f>
        <v>109.41474160669247</v>
      </c>
      <c r="H78" s="55" cm="1">
        <f t="array" ref="H78">MMS_Dairy_ManureAppliedToSoils_Equations.VEERG_4_3_1_8__1_MassOfNitrogenAppliedToSoilsScope1(H42,_xlfn.XLOOKUP($E78,$D$22:$D$26,$E$22:$E$26),_xlfn.XLOOKUP($E78, $D$31:$D$35,$E$31:$E$35),H54,$F66)</f>
        <v>43.57873447430606</v>
      </c>
      <c r="I78" s="55" cm="1">
        <f t="array" ref="I78">MMS_Dairy_ManureAppliedToSoils_Equations.VEERG_4_3_1_8__1_MassOfNitrogenAppliedToSoilsScope1(I42,_xlfn.XLOOKUP($E78,$D$22:$D$26,$E$22:$E$26),_xlfn.XLOOKUP($E78, $D$31:$D$35,$E$31:$E$35),I54,$F66)</f>
        <v>137.53865744392107</v>
      </c>
      <c r="J78" s="55" cm="1">
        <f t="array" ref="J78">MMS_Dairy_ManureAppliedToSoils_Equations.VEERG_4_3_1_8__1_MassOfNitrogenAppliedToSoilsScope1(J42,_xlfn.XLOOKUP($E78,$D$22:$D$26,$E$22:$E$26),_xlfn.XLOOKUP($E78, $D$31:$D$35,$E$31:$E$35),J54,$F66)</f>
        <v>57.577714247433249</v>
      </c>
      <c r="K78" s="2"/>
      <c r="O78" s="55" t="str">
        <f>'Input - Dairy'!$D$66</f>
        <v>Milking shed</v>
      </c>
      <c r="P78" s="55" t="str">
        <f>'Input - Dairy'!$D$87</f>
        <v>Drains to paddock</v>
      </c>
      <c r="Q78" s="55" cm="1">
        <f t="array" ref="Q78">MMS_Dairy_ManureAppliedToSoils_Equations.VEERG_4_3_1_8__1_MassOfNitrogenAppliedToSoilsScope1(Q42,_xlfn.XLOOKUP($P78,$D$22:$D$26,$E$22:$E$26),_xlfn.XLOOKUP($P78, $D$31:$D$35,$E$31:$E$35),Q54,$F66)</f>
        <v>-54.001314865036676</v>
      </c>
      <c r="R78" s="55" cm="1">
        <f t="array" ref="R78">MMS_Dairy_ManureAppliedToSoils_Equations.VEERG_4_3_1_8__1_MassOfNitrogenAppliedToSoilsScope1(R42,_xlfn.XLOOKUP($P78,$D$22:$D$26,$E$22:$E$26),_xlfn.XLOOKUP($P78, $D$31:$D$35,$E$31:$E$35),R54,$F66)</f>
        <v>109.41474160669247</v>
      </c>
      <c r="S78" s="55" cm="1">
        <f t="array" ref="S78">MMS_Dairy_ManureAppliedToSoils_Equations.VEERG_4_3_1_8__1_MassOfNitrogenAppliedToSoilsScope1(S42,_xlfn.XLOOKUP($P78,$D$22:$D$26,$E$22:$E$26),_xlfn.XLOOKUP($P78, $D$31:$D$35,$E$31:$E$35),S54,$F66)</f>
        <v>43.57873447430606</v>
      </c>
      <c r="T78" s="55" cm="1">
        <f t="array" ref="T78">MMS_Dairy_ManureAppliedToSoils_Equations.VEERG_4_3_1_8__1_MassOfNitrogenAppliedToSoilsScope1(T42,_xlfn.XLOOKUP($P78,$D$22:$D$26,$E$22:$E$26),_xlfn.XLOOKUP($P78, $D$31:$D$35,$E$31:$E$35),T54,$F66)</f>
        <v>137.53865744392107</v>
      </c>
      <c r="U78" s="55" cm="1">
        <f t="array" ref="U78">MMS_Dairy_ManureAppliedToSoils_Equations.VEERG_4_3_1_8__1_MassOfNitrogenAppliedToSoilsScope1(U42,_xlfn.XLOOKUP($P78,$D$22:$D$26,$E$22:$E$26),_xlfn.XLOOKUP($P78, $D$31:$D$35,$E$31:$E$35),U54,$F66)</f>
        <v>57.577714247433249</v>
      </c>
      <c r="V78" s="2"/>
    </row>
    <row r="79" spans="4:22" ht="20.100000000000001" customHeight="1" x14ac:dyDescent="0.25">
      <c r="D79" s="55" t="str">
        <f>'Input - Dairy'!$D$66</f>
        <v>Milking shed</v>
      </c>
      <c r="E79" s="55" t="s">
        <v>412</v>
      </c>
      <c r="F79" s="55" cm="1">
        <f t="array" ref="F79">MMS_Dairy_ManureAppliedToSoils_Equations.VEERG_4_3_1_8__1_MassOfNitrogenAppliedToSoilsScope1(F43,_xlfn.XLOOKUP($E79,$D$22:$D$26,$E$22:$E$26),_xlfn.XLOOKUP($E79, $D$31:$D$35,$E$31:$E$35),F55,$F67)</f>
        <v>-91.127218834749399</v>
      </c>
      <c r="G79" s="55" cm="1">
        <f t="array" ref="G79">MMS_Dairy_ManureAppliedToSoils_Equations.VEERG_4_3_1_8__1_MassOfNitrogenAppliedToSoilsScope1(G43,_xlfn.XLOOKUP($E79,$D$22:$D$26,$E$22:$E$26),_xlfn.XLOOKUP($E79, $D$31:$D$35,$E$31:$E$35),G55,$F67)</f>
        <v>184.63737646129354</v>
      </c>
      <c r="H79" s="55" cm="1">
        <f t="array" ref="H79">MMS_Dairy_ManureAppliedToSoils_Equations.VEERG_4_3_1_8__1_MassOfNitrogenAppliedToSoilsScope1(H43,_xlfn.XLOOKUP($E79,$D$22:$D$26,$E$22:$E$26),_xlfn.XLOOKUP($E79, $D$31:$D$35,$E$31:$E$35),H55,$F67)</f>
        <v>73.539114425391446</v>
      </c>
      <c r="I79" s="55" cm="1">
        <f t="array" ref="I79">MMS_Dairy_ManureAppliedToSoils_Equations.VEERG_4_3_1_8__1_MassOfNitrogenAppliedToSoilsScope1(I43,_xlfn.XLOOKUP($E79,$D$22:$D$26,$E$22:$E$26),_xlfn.XLOOKUP($E79, $D$31:$D$35,$E$31:$E$35),I55,$F67)</f>
        <v>232.09648443661678</v>
      </c>
      <c r="J79" s="55" cm="1">
        <f t="array" ref="J79">MMS_Dairy_ManureAppliedToSoils_Equations.VEERG_4_3_1_8__1_MassOfNitrogenAppliedToSoilsScope1(J43,_xlfn.XLOOKUP($E79,$D$22:$D$26,$E$22:$E$26),_xlfn.XLOOKUP($E79, $D$31:$D$35,$E$31:$E$35),J55,$F67)</f>
        <v>97.162392792543585</v>
      </c>
      <c r="K79" s="2"/>
      <c r="O79" s="55" t="str">
        <f>'Input - Dairy'!$D$66</f>
        <v>Milking shed</v>
      </c>
      <c r="P79" s="55" t="s">
        <v>412</v>
      </c>
      <c r="Q79" s="55" cm="1">
        <f t="array" ref="Q79">MMS_Dairy_ManureAppliedToSoils_Equations.VEERG_4_3_1_8__1_MassOfNitrogenAppliedToSoilsScope1(Q43,_xlfn.XLOOKUP($P79,$D$22:$D$26,$E$22:$E$26),_xlfn.XLOOKUP($P79, $D$31:$D$35,$E$31:$E$35),Q55,$F67)</f>
        <v>-91.127218834749399</v>
      </c>
      <c r="R79" s="55" cm="1">
        <f t="array" ref="R79">MMS_Dairy_ManureAppliedToSoils_Equations.VEERG_4_3_1_8__1_MassOfNitrogenAppliedToSoilsScope1(R43,_xlfn.XLOOKUP($P79,$D$22:$D$26,$E$22:$E$26),_xlfn.XLOOKUP($P79, $D$31:$D$35,$E$31:$E$35),R55,$F67)</f>
        <v>184.63737646129354</v>
      </c>
      <c r="S79" s="55" cm="1">
        <f t="array" ref="S79">MMS_Dairy_ManureAppliedToSoils_Equations.VEERG_4_3_1_8__1_MassOfNitrogenAppliedToSoilsScope1(S43,_xlfn.XLOOKUP($P79,$D$22:$D$26,$E$22:$E$26),_xlfn.XLOOKUP($P79, $D$31:$D$35,$E$31:$E$35),S55,$F67)</f>
        <v>73.539114425391446</v>
      </c>
      <c r="T79" s="55" cm="1">
        <f t="array" ref="T79">MMS_Dairy_ManureAppliedToSoils_Equations.VEERG_4_3_1_8__1_MassOfNitrogenAppliedToSoilsScope1(T43,_xlfn.XLOOKUP($P79,$D$22:$D$26,$E$22:$E$26),_xlfn.XLOOKUP($P79, $D$31:$D$35,$E$31:$E$35),T55,$F67)</f>
        <v>232.09648443661678</v>
      </c>
      <c r="U79" s="55" cm="1">
        <f t="array" ref="U79">MMS_Dairy_ManureAppliedToSoils_Equations.VEERG_4_3_1_8__1_MassOfNitrogenAppliedToSoilsScope1(U43,_xlfn.XLOOKUP($P79,$D$22:$D$26,$E$22:$E$26),_xlfn.XLOOKUP($P79, $D$31:$D$35,$E$31:$E$35),U55,$F67)</f>
        <v>97.162392792543585</v>
      </c>
      <c r="V79" s="2"/>
    </row>
    <row r="80" spans="4:22" ht="20.100000000000001" customHeight="1" x14ac:dyDescent="0.25">
      <c r="D80" s="55" t="str">
        <f>'Input - Dairy'!$D$67</f>
        <v>Feed pad</v>
      </c>
      <c r="E80" s="55" t="str">
        <f>'Input - Dairy'!$D$101</f>
        <v>Anaerobic lagoon</v>
      </c>
      <c r="F80" s="55" cm="1">
        <f t="array" ref="F80">MMS_Dairy_ManureAppliedToSoils_Equations.VEERG_4_3_1_8__1_MassOfNitrogenAppliedToSoilsScope1(F44,_xlfn.XLOOKUP($E80,$D$22:$D$26,$E$22:$E$26),_xlfn.XLOOKUP($E80, $D$31:$D$35,$E$31:$E$35),F56,$F68)</f>
        <v>-177.49864005354385</v>
      </c>
      <c r="G80" s="55" cm="1">
        <f t="array" ref="G80">MMS_Dairy_ManureAppliedToSoils_Equations.VEERG_4_3_1_8__1_MassOfNitrogenAppliedToSoilsScope1(G44,_xlfn.XLOOKUP($E80,$D$22:$D$26,$E$22:$E$26),_xlfn.XLOOKUP($E80, $D$31:$D$35,$E$31:$E$35),G56,$F68)</f>
        <v>359.63879556517946</v>
      </c>
      <c r="H80" s="55" cm="1">
        <f t="array" ref="H80">MMS_Dairy_ManureAppliedToSoils_Equations.VEERG_4_3_1_8__1_MassOfNitrogenAppliedToSoilsScope1(H44,_xlfn.XLOOKUP($E80,$D$22:$D$26,$E$22:$E$26),_xlfn.XLOOKUP($E80, $D$31:$D$35,$E$31:$E$35),H56,$F68)</f>
        <v>143.24032893969348</v>
      </c>
      <c r="I80" s="55" cm="1">
        <f t="array" ref="I80">MMS_Dairy_ManureAppliedToSoils_Equations.VEERG_4_3_1_8__1_MassOfNitrogenAppliedToSoilsScope1(I44,_xlfn.XLOOKUP($E80,$D$22:$D$26,$E$22:$E$26),_xlfn.XLOOKUP($E80, $D$31:$D$35,$E$31:$E$35),I56,$F68)</f>
        <v>452.08018938243373</v>
      </c>
      <c r="J80" s="55" cm="1">
        <f t="array" ref="J80">MMS_Dairy_ManureAppliedToSoils_Equations.VEERG_4_3_1_8__1_MassOfNitrogenAppliedToSoilsScope1(J44,_xlfn.XLOOKUP($E80,$D$22:$D$26,$E$22:$E$26),_xlfn.XLOOKUP($E80, $D$31:$D$35,$E$31:$E$35),J56,$F68)</f>
        <v>189.25402097806892</v>
      </c>
      <c r="K80" s="2"/>
      <c r="O80" s="55" t="str">
        <f>'Input - Dairy'!$D$67</f>
        <v>Feed pad</v>
      </c>
      <c r="P80" s="55" t="str">
        <f>'Input - Dairy'!$D$101</f>
        <v>Anaerobic lagoon</v>
      </c>
      <c r="Q80" s="55" cm="1">
        <f t="array" ref="Q80">MMS_Dairy_ManureAppliedToSoils_Equations.VEERG_4_3_1_8__1_MassOfNitrogenAppliedToSoilsScope1(Q44,_xlfn.XLOOKUP($P80,$D$22:$D$26,$E$22:$E$26),_xlfn.XLOOKUP($P80, $D$31:$D$35,$E$31:$E$35),Q56,$F68)</f>
        <v>-177.49864005354385</v>
      </c>
      <c r="R80" s="55" cm="1">
        <f t="array" ref="R80">MMS_Dairy_ManureAppliedToSoils_Equations.VEERG_4_3_1_8__1_MassOfNitrogenAppliedToSoilsScope1(R44,_xlfn.XLOOKUP($P80,$D$22:$D$26,$E$22:$E$26),_xlfn.XLOOKUP($P80, $D$31:$D$35,$E$31:$E$35),R56,$F68)</f>
        <v>359.63879556517946</v>
      </c>
      <c r="S80" s="55" cm="1">
        <f t="array" ref="S80">MMS_Dairy_ManureAppliedToSoils_Equations.VEERG_4_3_1_8__1_MassOfNitrogenAppliedToSoilsScope1(S44,_xlfn.XLOOKUP($P80,$D$22:$D$26,$E$22:$E$26),_xlfn.XLOOKUP($P80, $D$31:$D$35,$E$31:$E$35),S56,$F68)</f>
        <v>143.24032893969348</v>
      </c>
      <c r="T80" s="55" cm="1">
        <f t="array" ref="T80">MMS_Dairy_ManureAppliedToSoils_Equations.VEERG_4_3_1_8__1_MassOfNitrogenAppliedToSoilsScope1(T44,_xlfn.XLOOKUP($P80,$D$22:$D$26,$E$22:$E$26),_xlfn.XLOOKUP($P80, $D$31:$D$35,$E$31:$E$35),T56,$F68)</f>
        <v>452.08018938243373</v>
      </c>
      <c r="U80" s="55" cm="1">
        <f t="array" ref="U80">MMS_Dairy_ManureAppliedToSoils_Equations.VEERG_4_3_1_8__1_MassOfNitrogenAppliedToSoilsScope1(U44,_xlfn.XLOOKUP($P80,$D$22:$D$26,$E$22:$E$26),_xlfn.XLOOKUP($P80, $D$31:$D$35,$E$31:$E$35),U56,$F68)</f>
        <v>189.25402097806892</v>
      </c>
      <c r="V80" s="2"/>
    </row>
    <row r="81" spans="1:23" ht="20.100000000000001" customHeight="1" x14ac:dyDescent="0.25">
      <c r="D81" s="55" t="str">
        <f>'Input - Dairy'!$D$67</f>
        <v>Feed pad</v>
      </c>
      <c r="E81" s="55" t="str">
        <f>'Input - Dairy'!$D$102</f>
        <v>Sump and dispersal system</v>
      </c>
      <c r="F81" s="55" cm="1">
        <f t="array" ref="F81">MMS_Dairy_ManureAppliedToSoils_Equations.VEERG_4_3_1_8__1_MassOfNitrogenAppliedToSoilsScope1(F45,_xlfn.XLOOKUP($E81,$D$22:$D$26,$E$22:$E$26),_xlfn.XLOOKUP($E81, $D$31:$D$35,$E$31:$E$35),F57,$F69)</f>
        <v>-203.16767415359479</v>
      </c>
      <c r="G81" s="55" cm="1">
        <f t="array" ref="G81">MMS_Dairy_ManureAppliedToSoils_Equations.VEERG_4_3_1_8__1_MassOfNitrogenAppliedToSoilsScope1(G45,_xlfn.XLOOKUP($E81,$D$22:$D$26,$E$22:$E$26),_xlfn.XLOOKUP($E81, $D$31:$D$35,$E$31:$E$35),G57,$F69)</f>
        <v>411.64809830845161</v>
      </c>
      <c r="H81" s="55" cm="1">
        <f t="array" ref="H81">MMS_Dairy_ManureAppliedToSoils_Equations.VEERG_4_3_1_8__1_MassOfNitrogenAppliedToSoilsScope1(H45,_xlfn.XLOOKUP($E81,$D$22:$D$26,$E$22:$E$26),_xlfn.XLOOKUP($E81, $D$31:$D$35,$E$31:$E$35),H57,$F69)</f>
        <v>163.95508420174144</v>
      </c>
      <c r="I81" s="55" cm="1">
        <f t="array" ref="I81">MMS_Dairy_ManureAppliedToSoils_Equations.VEERG_4_3_1_8__1_MassOfNitrogenAppliedToSoilsScope1(I45,_xlfn.XLOOKUP($E81,$D$22:$D$26,$E$22:$E$26),_xlfn.XLOOKUP($E81, $D$31:$D$35,$E$31:$E$35),I57,$F69)</f>
        <v>517.45793984697025</v>
      </c>
      <c r="J81" s="55" cm="1">
        <f t="array" ref="J81">MMS_Dairy_ManureAppliedToSoils_Equations.VEERG_4_3_1_8__1_MassOfNitrogenAppliedToSoilsScope1(J45,_xlfn.XLOOKUP($E81,$D$22:$D$26,$E$22:$E$26),_xlfn.XLOOKUP($E81, $D$31:$D$35,$E$31:$E$35),J57,$F69)</f>
        <v>216.62306401182042</v>
      </c>
      <c r="K81" s="2"/>
      <c r="O81" s="55" t="str">
        <f>'Input - Dairy'!$D$67</f>
        <v>Feed pad</v>
      </c>
      <c r="P81" s="55" t="str">
        <f>'Input - Dairy'!$D$102</f>
        <v>Sump and dispersal system</v>
      </c>
      <c r="Q81" s="55" cm="1">
        <f t="array" ref="Q81">MMS_Dairy_ManureAppliedToSoils_Equations.VEERG_4_3_1_8__1_MassOfNitrogenAppliedToSoilsScope1(Q45,_xlfn.XLOOKUP($P81,$D$22:$D$26,$E$22:$E$26),_xlfn.XLOOKUP($P81, $D$31:$D$35,$E$31:$E$35),Q57,$F69)</f>
        <v>-203.16767415359479</v>
      </c>
      <c r="R81" s="55" cm="1">
        <f t="array" ref="R81">MMS_Dairy_ManureAppliedToSoils_Equations.VEERG_4_3_1_8__1_MassOfNitrogenAppliedToSoilsScope1(R45,_xlfn.XLOOKUP($P81,$D$22:$D$26,$E$22:$E$26),_xlfn.XLOOKUP($P81, $D$31:$D$35,$E$31:$E$35),R57,$F69)</f>
        <v>411.64809830845161</v>
      </c>
      <c r="S81" s="55" cm="1">
        <f t="array" ref="S81">MMS_Dairy_ManureAppliedToSoils_Equations.VEERG_4_3_1_8__1_MassOfNitrogenAppliedToSoilsScope1(S45,_xlfn.XLOOKUP($P81,$D$22:$D$26,$E$22:$E$26),_xlfn.XLOOKUP($P81, $D$31:$D$35,$E$31:$E$35),S57,$F69)</f>
        <v>163.95508420174144</v>
      </c>
      <c r="T81" s="55" cm="1">
        <f t="array" ref="T81">MMS_Dairy_ManureAppliedToSoils_Equations.VEERG_4_3_1_8__1_MassOfNitrogenAppliedToSoilsScope1(T45,_xlfn.XLOOKUP($P81,$D$22:$D$26,$E$22:$E$26),_xlfn.XLOOKUP($P81, $D$31:$D$35,$E$31:$E$35),T57,$F69)</f>
        <v>517.45793984697025</v>
      </c>
      <c r="U81" s="55" cm="1">
        <f t="array" ref="U81">MMS_Dairy_ManureAppliedToSoils_Equations.VEERG_4_3_1_8__1_MassOfNitrogenAppliedToSoilsScope1(U45,_xlfn.XLOOKUP($P81,$D$22:$D$26,$E$22:$E$26),_xlfn.XLOOKUP($P81, $D$31:$D$35,$E$31:$E$35),U57,$F69)</f>
        <v>216.62306401182042</v>
      </c>
      <c r="V81" s="2"/>
    </row>
    <row r="82" spans="1:23" ht="20.100000000000001" customHeight="1" x14ac:dyDescent="0.25">
      <c r="D82" s="55" t="str">
        <f>'Input - Dairy'!$D$67</f>
        <v>Feed pad</v>
      </c>
      <c r="E82" s="55" t="str">
        <f>'Input - Dairy'!$D$103</f>
        <v>Drains to paddock</v>
      </c>
      <c r="F82" s="55" cm="1">
        <f t="array" ref="F82">MMS_Dairy_ManureAppliedToSoils_Equations.VEERG_4_3_1_8__1_MassOfNitrogenAppliedToSoilsScope1(F46,_xlfn.XLOOKUP($E82,$D$22:$D$26,$E$22:$E$26),_xlfn.XLOOKUP($E82, $D$31:$D$35,$E$31:$E$35),F58,$F70)</f>
        <v>-174.76789174502778</v>
      </c>
      <c r="G82" s="55" cm="1">
        <f t="array" ref="G82">MMS_Dairy_ManureAppliedToSoils_Equations.VEERG_4_3_1_8__1_MassOfNitrogenAppliedToSoilsScope1(G46,_xlfn.XLOOKUP($E82,$D$22:$D$26,$E$22:$E$26),_xlfn.XLOOKUP($E82, $D$31:$D$35,$E$31:$E$35),G58,$F70)</f>
        <v>354.10589101802293</v>
      </c>
      <c r="H82" s="55" cm="1">
        <f t="array" ref="H82">MMS_Dairy_ManureAppliedToSoils_Equations.VEERG_4_3_1_8__1_MassOfNitrogenAppliedToSoilsScope1(H46,_xlfn.XLOOKUP($E82,$D$22:$D$26,$E$22:$E$26),_xlfn.XLOOKUP($E82, $D$31:$D$35,$E$31:$E$35),H58,$F70)</f>
        <v>141.0366315713905</v>
      </c>
      <c r="I82" s="55" cm="1">
        <f t="array" ref="I82">MMS_Dairy_ManureAppliedToSoils_Equations.VEERG_4_3_1_8__1_MassOfNitrogenAppliedToSoilsScope1(I46,_xlfn.XLOOKUP($E82,$D$22:$D$26,$E$22:$E$26),_xlfn.XLOOKUP($E82, $D$31:$D$35,$E$31:$E$35),I58,$F70)</f>
        <v>445.1251095457809</v>
      </c>
      <c r="J82" s="55" cm="1">
        <f t="array" ref="J82">MMS_Dairy_ManureAppliedToSoils_Equations.VEERG_4_3_1_8__1_MassOfNitrogenAppliedToSoilsScope1(J46,_xlfn.XLOOKUP($E82,$D$22:$D$26,$E$22:$E$26),_xlfn.XLOOKUP($E82, $D$31:$D$35,$E$31:$E$35),J58,$F70)</f>
        <v>186.34242065532939</v>
      </c>
      <c r="K82" s="2"/>
      <c r="O82" s="55" t="str">
        <f>'Input - Dairy'!$D$67</f>
        <v>Feed pad</v>
      </c>
      <c r="P82" s="55" t="str">
        <f>'Input - Dairy'!$D$103</f>
        <v>Drains to paddock</v>
      </c>
      <c r="Q82" s="55" cm="1">
        <f t="array" ref="Q82">MMS_Dairy_ManureAppliedToSoils_Equations.VEERG_4_3_1_8__1_MassOfNitrogenAppliedToSoilsScope1(Q46,_xlfn.XLOOKUP($P82,$D$22:$D$26,$E$22:$E$26),_xlfn.XLOOKUP($P82, $D$31:$D$35,$E$31:$E$35),Q58,$F70)</f>
        <v>-174.76789174502778</v>
      </c>
      <c r="R82" s="55" cm="1">
        <f t="array" ref="R82">MMS_Dairy_ManureAppliedToSoils_Equations.VEERG_4_3_1_8__1_MassOfNitrogenAppliedToSoilsScope1(R46,_xlfn.XLOOKUP($P82,$D$22:$D$26,$E$22:$E$26),_xlfn.XLOOKUP($P82, $D$31:$D$35,$E$31:$E$35),R58,$F70)</f>
        <v>354.10589101802293</v>
      </c>
      <c r="S82" s="55" cm="1">
        <f t="array" ref="S82">MMS_Dairy_ManureAppliedToSoils_Equations.VEERG_4_3_1_8__1_MassOfNitrogenAppliedToSoilsScope1(S46,_xlfn.XLOOKUP($P82,$D$22:$D$26,$E$22:$E$26),_xlfn.XLOOKUP($P82, $D$31:$D$35,$E$31:$E$35),S58,$F70)</f>
        <v>141.0366315713905</v>
      </c>
      <c r="T82" s="55" cm="1">
        <f t="array" ref="T82">MMS_Dairy_ManureAppliedToSoils_Equations.VEERG_4_3_1_8__1_MassOfNitrogenAppliedToSoilsScope1(T46,_xlfn.XLOOKUP($P82,$D$22:$D$26,$E$22:$E$26),_xlfn.XLOOKUP($P82, $D$31:$D$35,$E$31:$E$35),T58,$F70)</f>
        <v>445.1251095457809</v>
      </c>
      <c r="U82" s="55" cm="1">
        <f t="array" ref="U82">MMS_Dairy_ManureAppliedToSoils_Equations.VEERG_4_3_1_8__1_MassOfNitrogenAppliedToSoilsScope1(U46,_xlfn.XLOOKUP($P82,$D$22:$D$26,$E$22:$E$26),_xlfn.XLOOKUP($P82, $D$31:$D$35,$E$31:$E$35),U58,$F70)</f>
        <v>186.34242065532939</v>
      </c>
      <c r="V82" s="2"/>
    </row>
    <row r="83" spans="1:23" ht="20.100000000000001" customHeight="1" x14ac:dyDescent="0.25">
      <c r="D83" s="55" t="str">
        <f>'Input - Dairy'!$D$67</f>
        <v>Feed pad</v>
      </c>
      <c r="E83" s="55" t="s">
        <v>412</v>
      </c>
      <c r="F83" s="55" cm="1">
        <f t="array" ref="F83">MMS_Dairy_ManureAppliedToSoils_Equations.VEERG_4_3_1_8__1_MassOfNitrogenAppliedToSoilsScope1(F47,_xlfn.XLOOKUP($E83,$D$22:$D$26,$E$22:$E$26),_xlfn.XLOOKUP($E83, $D$31:$D$35,$E$31:$E$35),F59,$F71)</f>
        <v>-258.05571515476754</v>
      </c>
      <c r="G83" s="55" cm="1">
        <f t="array" ref="G83">MMS_Dairy_ManureAppliedToSoils_Equations.VEERG_4_3_1_8__1_MassOfNitrogenAppliedToSoilsScope1(G47,_xlfn.XLOOKUP($E83,$D$22:$D$26,$E$22:$E$26),_xlfn.XLOOKUP($E83, $D$31:$D$35,$E$31:$E$35),G59,$F71)</f>
        <v>522.85947970629945</v>
      </c>
      <c r="H83" s="55" cm="1">
        <f t="array" ref="H83">MMS_Dairy_ManureAppliedToSoils_Equations.VEERG_4_3_1_8__1_MassOfNitrogenAppliedToSoilsScope1(H47,_xlfn.XLOOKUP($E83,$D$22:$D$26,$E$22:$E$26),_xlfn.XLOOKUP($E83, $D$31:$D$35,$E$31:$E$35),H59,$F71)</f>
        <v>208.24940130463128</v>
      </c>
      <c r="I83" s="55" cm="1">
        <f t="array" ref="I83">MMS_Dairy_ManureAppliedToSoils_Equations.VEERG_4_3_1_8__1_MassOfNitrogenAppliedToSoilsScope1(I47,_xlfn.XLOOKUP($E83,$D$22:$D$26,$E$22:$E$26),_xlfn.XLOOKUP($E83, $D$31:$D$35,$E$31:$E$35),I59,$F71)</f>
        <v>657.25504456369208</v>
      </c>
      <c r="J83" s="55" cm="1">
        <f t="array" ref="J83">MMS_Dairy_ManureAppliedToSoils_Equations.VEERG_4_3_1_8__1_MassOfNitrogenAppliedToSoilsScope1(J47,_xlfn.XLOOKUP($E83,$D$22:$D$26,$E$22:$E$26),_xlfn.XLOOKUP($E83, $D$31:$D$35,$E$31:$E$35),J59,$F71)</f>
        <v>275.14623049888485</v>
      </c>
      <c r="K83" s="2"/>
      <c r="O83" s="55" t="str">
        <f>'Input - Dairy'!$D$67</f>
        <v>Feed pad</v>
      </c>
      <c r="P83" s="55" t="s">
        <v>412</v>
      </c>
      <c r="Q83" s="55" cm="1">
        <f t="array" ref="Q83">MMS_Dairy_ManureAppliedToSoils_Equations.VEERG_4_3_1_8__1_MassOfNitrogenAppliedToSoilsScope1(Q47,_xlfn.XLOOKUP($P83,$D$22:$D$26,$E$22:$E$26),_xlfn.XLOOKUP($P83, $D$31:$D$35,$E$31:$E$35),Q59,$F71)</f>
        <v>-258.05571515476754</v>
      </c>
      <c r="R83" s="55" cm="1">
        <f t="array" ref="R83">MMS_Dairy_ManureAppliedToSoils_Equations.VEERG_4_3_1_8__1_MassOfNitrogenAppliedToSoilsScope1(R47,_xlfn.XLOOKUP($P83,$D$22:$D$26,$E$22:$E$26),_xlfn.XLOOKUP($P83, $D$31:$D$35,$E$31:$E$35),R59,$F71)</f>
        <v>522.85947970629945</v>
      </c>
      <c r="S83" s="55" cm="1">
        <f t="array" ref="S83">MMS_Dairy_ManureAppliedToSoils_Equations.VEERG_4_3_1_8__1_MassOfNitrogenAppliedToSoilsScope1(S47,_xlfn.XLOOKUP($P83,$D$22:$D$26,$E$22:$E$26),_xlfn.XLOOKUP($P83, $D$31:$D$35,$E$31:$E$35),S59,$F71)</f>
        <v>208.24940130463128</v>
      </c>
      <c r="T83" s="55" cm="1">
        <f t="array" ref="T83">MMS_Dairy_ManureAppliedToSoils_Equations.VEERG_4_3_1_8__1_MassOfNitrogenAppliedToSoilsScope1(T47,_xlfn.XLOOKUP($P83,$D$22:$D$26,$E$22:$E$26),_xlfn.XLOOKUP($P83, $D$31:$D$35,$E$31:$E$35),T59,$F71)</f>
        <v>657.25504456369208</v>
      </c>
      <c r="U83" s="55" cm="1">
        <f t="array" ref="U83">MMS_Dairy_ManureAppliedToSoils_Equations.VEERG_4_3_1_8__1_MassOfNitrogenAppliedToSoilsScope1(U47,_xlfn.XLOOKUP($P83,$D$22:$D$26,$E$22:$E$26),_xlfn.XLOOKUP($P83, $D$31:$D$35,$E$31:$E$35),U59,$F71)</f>
        <v>275.14623049888485</v>
      </c>
      <c r="V83" s="2"/>
    </row>
    <row r="84" spans="1:23" ht="20.100000000000001" customHeight="1" x14ac:dyDescent="0.25"/>
    <row r="85" spans="1:23" ht="20.100000000000001" customHeight="1" x14ac:dyDescent="0.25">
      <c r="D85" s="108" t="s">
        <v>134</v>
      </c>
      <c r="E85" s="109">
        <f>SUM(F76:J83)</f>
        <v>5801.8088436718181</v>
      </c>
      <c r="F85" s="110" t="str">
        <f>$E$11</f>
        <v>kg N</v>
      </c>
    </row>
    <row r="86" spans="1:23" ht="20.100000000000001" customHeight="1" x14ac:dyDescent="0.25"/>
    <row r="87" spans="1:23" ht="20.100000000000001" customHeight="1" x14ac:dyDescent="0.25">
      <c r="A87" s="141" t="str">
        <f>HYPERLINK("#A1", "▲ Back to top")</f>
        <v>▲ Back to top</v>
      </c>
    </row>
    <row r="88" spans="1:23" ht="20.100000000000001" customHeight="1" x14ac:dyDescent="0.25">
      <c r="C88" s="48"/>
      <c r="D88" s="48"/>
      <c r="E88" s="48"/>
      <c r="F88" s="48"/>
      <c r="G88" s="48"/>
      <c r="H88" s="48"/>
      <c r="I88" s="48"/>
      <c r="J88" s="48"/>
      <c r="K88" s="48"/>
      <c r="L88" s="48"/>
      <c r="N88" s="48"/>
      <c r="O88" s="48"/>
      <c r="P88" s="48"/>
      <c r="Q88" s="48"/>
      <c r="R88" s="48"/>
      <c r="S88" s="48"/>
      <c r="T88" s="48"/>
      <c r="U88" s="48"/>
      <c r="V88" s="48"/>
      <c r="W88" s="48"/>
    </row>
    <row r="89" spans="1:23" ht="20.100000000000001" customHeight="1" x14ac:dyDescent="0.25">
      <c r="D89" s="6" t="str" cm="1">
        <f t="array" ref="D89">MMS_Dairy_ManureAppliedToSoils_Equations.VEERG_4_3_1_8__2_MassOfNitrogenAppliedToSoilsScope3_Title()</f>
        <v>Mass of nitrogen from manure applied to soils for scope 3 emissions</v>
      </c>
    </row>
    <row r="90" spans="1:23" ht="20.100000000000001" customHeight="1" x14ac:dyDescent="0.25">
      <c r="D90" s="5" t="str" cm="1">
        <f t="array" ref="D90">MMS_Dairy_ManureAppliedToSoils_Equations.VEERG_4_3_1_8__2_MassOfNitrogenAppliedToSoilsScope3_Source()</f>
        <v>VEERG 2026: 4.3.1.8, Equation (2)</v>
      </c>
    </row>
    <row r="91" spans="1:23" ht="20.100000000000001" customHeight="1" x14ac:dyDescent="0.25">
      <c r="D91" s="13" t="s">
        <v>28</v>
      </c>
      <c r="E91" s="13" t="str" cm="1">
        <f t="array" aca="1" ref="E91" ca="1">Common_InputFunctions.Utility_DisplayFunctionName($F$106)</f>
        <v>=MMS_Dairy_ManureAppliedToSoils_Equations.VEERG_4_3_1_8__2_MassOfNitrogenAppliedToSoilsScope3</v>
      </c>
    </row>
    <row r="92" spans="1:23" ht="20.100000000000001" customHeight="1" x14ac:dyDescent="0.25"/>
    <row r="93" spans="1:23" ht="20.100000000000001" customHeight="1" x14ac:dyDescent="0.25"/>
    <row r="94" spans="1:23" ht="20.100000000000001" customHeight="1" x14ac:dyDescent="0.25">
      <c r="D94" s="56" t="s">
        <v>31</v>
      </c>
      <c r="E94" s="1" t="str" cm="1">
        <f t="array" ref="E94">MMS_Dairy_ManureAppliedToSoils_Equations.VEERG_4_3_1_8__2_MassOfNitrogenAppliedToSoilsScope3_Variable()</f>
        <v>MNSoil_scope3</v>
      </c>
    </row>
    <row r="95" spans="1:23" ht="20.100000000000001" customHeight="1" x14ac:dyDescent="0.25">
      <c r="D95" s="56" t="s">
        <v>21</v>
      </c>
      <c r="E95" s="57" t="str" cm="1">
        <f t="array" ref="E95">MMS_Dairy_ManureAppliedToSoils_Equations.VEERG_4_3_1_8__2_MassOfNitrogenAppliedToSoilsScope3_Unit()</f>
        <v>kg N</v>
      </c>
    </row>
    <row r="96" spans="1:23" ht="20.100000000000001" customHeight="1" x14ac:dyDescent="0.25"/>
    <row r="97" spans="4:22" ht="20.100000000000001" customHeight="1" x14ac:dyDescent="0.25">
      <c r="D97" s="137" t="str" cm="1">
        <f t="array" ref="D97:E101">_xlfn.CHOOSECOLS(MMS_Dairy_ManureAppliedToSoils_Equations.VEERG_4_3_1_8__2_MassOfNitrogenAppliedToSoilsScope3_Arguments(),1,2)</f>
        <v>MN_jm</v>
      </c>
      <c r="E97" s="136" t="str">
        <v>total nitrogen in each MMS for dairy cattle classes</v>
      </c>
      <c r="F97" s="138"/>
      <c r="G97" s="137" t="str" cm="1">
        <f t="array" ref="G97:H101">_xlfn.CHOOSECOLS(MMS_Dairy_ManureAppliedToSoils_Equations.VEERG_4_3_1_8__2_MassOfNitrogenAppliedToSoilsScope3_Arguments(),3,4)</f>
        <v>kg N</v>
      </c>
      <c r="H97" s="133" t="str">
        <v>Calculated from 4.3.1.3 (2)</v>
      </c>
      <c r="I97" s="134" t="str" cm="1">
        <f t="array" aca="1" ref="I97" ca="1">HYPERLINK(Common_InputFunctions.Utility_SourceHyperlink($D$37),$D$37)</f>
        <v>M1_Table_MN_j_m</v>
      </c>
    </row>
    <row r="98" spans="4:22" ht="20.100000000000001" customHeight="1" x14ac:dyDescent="0.25">
      <c r="D98" s="137" t="str">
        <v>EF_m</v>
      </c>
      <c r="E98" s="136" t="str">
        <v>emission factor for nitrous oxide emissions per MMS</v>
      </c>
      <c r="F98" s="138"/>
      <c r="G98" s="137" t="str">
        <v>kg N2O-N/kg N</v>
      </c>
      <c r="H98" s="133" t="str">
        <v>Constant</v>
      </c>
      <c r="I98" s="134" t="str" cm="1">
        <f t="array" aca="1" ref="I98" ca="1">HYPERLINK(Common_InputFunctions.Utility_SourceHyperlink($D$19),$D$19)</f>
        <v>Table_EF_m</v>
      </c>
    </row>
    <row r="99" spans="4:22" ht="20.100000000000001" customHeight="1" x14ac:dyDescent="0.25">
      <c r="D99" s="137" t="str">
        <v>FracGASM_m</v>
      </c>
      <c r="E99" s="136" t="str">
        <v>fraction of N volatilised from MMS</v>
      </c>
      <c r="F99" s="138"/>
      <c r="G99" s="137" t="str">
        <v>fraction</v>
      </c>
      <c r="H99" s="133" t="str">
        <v>Constant</v>
      </c>
      <c r="I99" s="134" t="str" cm="1">
        <f t="array" aca="1" ref="I99" ca="1">HYPERLINK(Common_InputFunctions.Utility_SourceHyperlink($D$28),$D$28)</f>
        <v>Table_FracGASM_m</v>
      </c>
    </row>
    <row r="100" spans="4:22" ht="20.100000000000001" customHeight="1" x14ac:dyDescent="0.25">
      <c r="D100" s="137" t="str">
        <v>MNLeach_jm</v>
      </c>
      <c r="E100" s="136" t="str">
        <v>mass of N lost through leaching and runoff from each MMS</v>
      </c>
      <c r="F100" s="138"/>
      <c r="G100" s="137" t="str">
        <v>kg N</v>
      </c>
      <c r="H100" s="133" t="str">
        <v>Calculated from 4.3.1.6 (2)</v>
      </c>
      <c r="I100" s="134" t="str" cm="1">
        <f t="array" aca="1" ref="I100" ca="1">HYPERLINK(Common_InputFunctions.Utility_SourceHyperlink($D$49),$D$49)</f>
        <v>M1_Table_MN_leach_j_m</v>
      </c>
    </row>
    <row r="101" spans="4:22" ht="20.100000000000001" customHeight="1" x14ac:dyDescent="0.25">
      <c r="D101" s="137" t="str">
        <v>PF</v>
      </c>
      <c r="E101" s="136" t="str">
        <v>fraction of manure applied to soil within farm boundary</v>
      </c>
      <c r="F101" s="138"/>
      <c r="G101" s="137" t="str">
        <v>fraction</v>
      </c>
      <c r="H101" s="135" t="str">
        <v>Input</v>
      </c>
      <c r="I101" s="134" t="str" cm="1">
        <f t="array" aca="1" ref="I101" ca="1">HYPERLINK(Common_InputFunctions.Utility_SourceHyperlink($D$61),$D$61)</f>
        <v>Table_PF_scope</v>
      </c>
    </row>
    <row r="102" spans="4:22" ht="20.100000000000001" customHeight="1" x14ac:dyDescent="0.25"/>
    <row r="103" spans="4:22" ht="20.100000000000001" customHeight="1" x14ac:dyDescent="0.25">
      <c r="D103" s="104" t="s">
        <v>349</v>
      </c>
      <c r="O103" s="104" t="s">
        <v>355</v>
      </c>
    </row>
    <row r="104" spans="4:22" ht="20.100000000000001" customHeight="1" x14ac:dyDescent="0.25">
      <c r="D104" s="103" t="s">
        <v>350</v>
      </c>
      <c r="O104" s="103" t="s">
        <v>356</v>
      </c>
    </row>
    <row r="105" spans="4:22" ht="20.100000000000001" customHeight="1" x14ac:dyDescent="0.25">
      <c r="D105" s="54" t="s">
        <v>149</v>
      </c>
      <c r="E105" s="54" t="s">
        <v>69</v>
      </c>
      <c r="F105" s="54" t="s">
        <v>175</v>
      </c>
      <c r="G105" s="54" t="s">
        <v>192</v>
      </c>
      <c r="H105" s="54" t="s">
        <v>193</v>
      </c>
      <c r="I105" s="54" t="s">
        <v>194</v>
      </c>
      <c r="J105" s="54" t="s">
        <v>195</v>
      </c>
      <c r="O105" s="54" t="s">
        <v>149</v>
      </c>
      <c r="P105" s="54" t="s">
        <v>69</v>
      </c>
      <c r="Q105" s="54" t="s">
        <v>175</v>
      </c>
      <c r="R105" s="54" t="s">
        <v>192</v>
      </c>
      <c r="S105" s="54" t="s">
        <v>193</v>
      </c>
      <c r="T105" s="54" t="s">
        <v>194</v>
      </c>
      <c r="U105" s="54" t="s">
        <v>195</v>
      </c>
    </row>
    <row r="106" spans="4:22" ht="20.100000000000001" customHeight="1" x14ac:dyDescent="0.25">
      <c r="D106" s="55" t="str">
        <f>'Input - Dairy'!$D$66</f>
        <v>Milking shed</v>
      </c>
      <c r="E106" s="55" t="str">
        <f>'Input - Dairy'!$D$85</f>
        <v>Anaerobic lagoon</v>
      </c>
      <c r="F106" s="55" cm="1">
        <f t="array" ref="F106">MMS_Dairy_ManureAppliedToSoils_Equations.VEERG_4_3_1_8__2_MassOfNitrogenAppliedToSoilsScope3(F40, _xlfn.XLOOKUP($E106, $D$22:$D$26,$E$22:$E$26), _xlfn.XLOOKUP($E106,$D$31:$D$35,$E$31:$E$35),F52, $F64)</f>
        <v>-14.625356109280768</v>
      </c>
      <c r="G106" s="55" cm="1">
        <f t="array" ref="G106">MMS_Dairy_ManureAppliedToSoils_Equations.VEERG_4_3_1_8__2_MassOfNitrogenAppliedToSoilsScope3(G40, _xlfn.XLOOKUP($E106, $D$22:$D$26,$E$22:$E$26), _xlfn.XLOOKUP($E106,$D$31:$D$35,$E$31:$E$35),G52, $F64)</f>
        <v>29.633159185145878</v>
      </c>
      <c r="H106" s="55" cm="1">
        <f t="array" ref="H106">MMS_Dairy_ManureAppliedToSoils_Equations.VEERG_4_3_1_8__2_MassOfNitrogenAppliedToSoilsScope3(H40, _xlfn.XLOOKUP($E106, $D$22:$D$26,$E$22:$E$26), _xlfn.XLOOKUP($E106,$D$31:$D$35,$E$31:$E$35),H52, $F64)</f>
        <v>11.802573920124557</v>
      </c>
      <c r="I106" s="55" cm="1">
        <f t="array" ref="I106">MMS_Dairy_ManureAppliedToSoils_Equations.VEERG_4_3_1_8__2_MassOfNitrogenAppliedToSoilsScope3(I40, _xlfn.XLOOKUP($E106, $D$22:$D$26,$E$22:$E$26), _xlfn.XLOOKUP($E106,$D$31:$D$35,$E$31:$E$35),I52, $F64)</f>
        <v>37.250053057728621</v>
      </c>
      <c r="J106" s="55" cm="1">
        <f t="array" ref="J106">MMS_Dairy_ManureAppliedToSoils_Equations.VEERG_4_3_1_8__2_MassOfNitrogenAppliedToSoilsScope3(J40, _xlfn.XLOOKUP($E106, $D$22:$D$26,$E$22:$E$26), _xlfn.XLOOKUP($E106,$D$31:$D$35,$E$31:$E$35),J52, $F64)</f>
        <v>15.593964275346504</v>
      </c>
      <c r="K106" s="2" t="str">
        <f t="shared" ref="K106" si="2">$E$95</f>
        <v>kg N</v>
      </c>
      <c r="O106" s="55" t="str">
        <f>'Input - Dairy'!$D$66</f>
        <v>Milking shed</v>
      </c>
      <c r="P106" s="55" t="str">
        <f>'Input - Dairy'!$D$85</f>
        <v>Anaerobic lagoon</v>
      </c>
      <c r="Q106" s="55" cm="1">
        <f t="array" ref="Q106">MMS_Dairy_ManureAppliedToSoils_Equations.VEERG_4_3_1_8__2_MassOfNitrogenAppliedToSoilsScope3(Q40, _xlfn.XLOOKUP($P106, $D$22:$D$26,$E$22:$E$26), _xlfn.XLOOKUP($P106,$D$31:$D$35,$E$31:$E$35),Q52, $F64)</f>
        <v>-14.625356109280768</v>
      </c>
      <c r="R106" s="55" cm="1">
        <f t="array" ref="R106">MMS_Dairy_ManureAppliedToSoils_Equations.VEERG_4_3_1_8__2_MassOfNitrogenAppliedToSoilsScope3(R40, _xlfn.XLOOKUP($P106, $D$22:$D$26,$E$22:$E$26), _xlfn.XLOOKUP($P106,$D$31:$D$35,$E$31:$E$35),R52, $F64)</f>
        <v>29.633159185145878</v>
      </c>
      <c r="S106" s="55" cm="1">
        <f t="array" ref="S106">MMS_Dairy_ManureAppliedToSoils_Equations.VEERG_4_3_1_8__2_MassOfNitrogenAppliedToSoilsScope3(S40, _xlfn.XLOOKUP($P106, $D$22:$D$26,$E$22:$E$26), _xlfn.XLOOKUP($P106,$D$31:$D$35,$E$31:$E$35),S52, $F64)</f>
        <v>11.802573920124557</v>
      </c>
      <c r="T106" s="55" cm="1">
        <f t="array" ref="T106">MMS_Dairy_ManureAppliedToSoils_Equations.VEERG_4_3_1_8__2_MassOfNitrogenAppliedToSoilsScope3(T40, _xlfn.XLOOKUP($P106, $D$22:$D$26,$E$22:$E$26), _xlfn.XLOOKUP($P106,$D$31:$D$35,$E$31:$E$35),T52, $F64)</f>
        <v>37.250053057728621</v>
      </c>
      <c r="U106" s="55" cm="1">
        <f t="array" ref="U106">MMS_Dairy_ManureAppliedToSoils_Equations.VEERG_4_3_1_8__2_MassOfNitrogenAppliedToSoilsScope3(U40, _xlfn.XLOOKUP($P106, $D$22:$D$26,$E$22:$E$26), _xlfn.XLOOKUP($P106,$D$31:$D$35,$E$31:$E$35),U52, $F64)</f>
        <v>15.593964275346504</v>
      </c>
      <c r="V106" s="2" t="str">
        <f t="shared" ref="V106" si="3">$E$95</f>
        <v>kg N</v>
      </c>
    </row>
    <row r="107" spans="4:22" ht="20.100000000000001" customHeight="1" x14ac:dyDescent="0.25">
      <c r="D107" s="55" t="str">
        <f>'Input - Dairy'!$D$66</f>
        <v>Milking shed</v>
      </c>
      <c r="E107" s="55" t="str">
        <f>'Input - Dairy'!$D$86</f>
        <v>Sump and dispersal system</v>
      </c>
      <c r="F107" s="55" cm="1">
        <f t="array" ref="F107">MMS_Dairy_ManureAppliedToSoils_Equations.VEERG_4_3_1_8__2_MassOfNitrogenAppliedToSoilsScope3(F41, _xlfn.XLOOKUP($E107, $D$22:$D$26,$E$22:$E$26), _xlfn.XLOOKUP($E107,$D$31:$D$35,$E$31:$E$35),F53, $F65)</f>
        <v>-20.925509510201714</v>
      </c>
      <c r="G107" s="55" cm="1">
        <f t="array" ref="G107">MMS_Dairy_ManureAppliedToSoils_Equations.VEERG_4_3_1_8__2_MassOfNitrogenAppliedToSoilsScope3(G41, _xlfn.XLOOKUP($E107, $D$22:$D$26,$E$22:$E$26), _xlfn.XLOOKUP($E107,$D$31:$D$35,$E$31:$E$35),G53, $F65)</f>
        <v>42.398212372593328</v>
      </c>
      <c r="H107" s="55" cm="1">
        <f t="array" ref="H107">MMS_Dairy_ManureAppliedToSoils_Equations.VEERG_4_3_1_8__2_MassOfNitrogenAppliedToSoilsScope3(H41, _xlfn.XLOOKUP($E107, $D$22:$D$26,$E$22:$E$26), _xlfn.XLOOKUP($E107,$D$31:$D$35,$E$31:$E$35),H53, $F65)</f>
        <v>16.886759608793596</v>
      </c>
      <c r="I107" s="55" cm="1">
        <f t="array" ref="I107">MMS_Dairy_ManureAppliedToSoils_Equations.VEERG_4_3_1_8__2_MassOfNitrogenAppliedToSoilsScope3(I41, _xlfn.XLOOKUP($E107, $D$22:$D$26,$E$22:$E$26), _xlfn.XLOOKUP($E107,$D$31:$D$35,$E$31:$E$35),I53, $F65)</f>
        <v>53.296229759519406</v>
      </c>
      <c r="J107" s="55" cm="1">
        <f t="array" ref="J107">MMS_Dairy_ManureAppliedToSoils_Equations.VEERG_4_3_1_8__2_MassOfNitrogenAppliedToSoilsScope3(J41, _xlfn.XLOOKUP($E107, $D$22:$D$26,$E$22:$E$26), _xlfn.XLOOKUP($E107,$D$31:$D$35,$E$31:$E$35),J53, $F65)</f>
        <v>22.311364270880382</v>
      </c>
      <c r="K107" s="2"/>
      <c r="O107" s="55" t="str">
        <f>'Input - Dairy'!$D$66</f>
        <v>Milking shed</v>
      </c>
      <c r="P107" s="55" t="str">
        <f>'Input - Dairy'!$D$86</f>
        <v>Sump and dispersal system</v>
      </c>
      <c r="Q107" s="55" cm="1">
        <f t="array" ref="Q107">MMS_Dairy_ManureAppliedToSoils_Equations.VEERG_4_3_1_8__2_MassOfNitrogenAppliedToSoilsScope3(Q41, _xlfn.XLOOKUP($P107, $D$22:$D$26,$E$22:$E$26), _xlfn.XLOOKUP($P107,$D$31:$D$35,$E$31:$E$35),Q53, $F65)</f>
        <v>-20.925509510201714</v>
      </c>
      <c r="R107" s="55" cm="1">
        <f t="array" ref="R107">MMS_Dairy_ManureAppliedToSoils_Equations.VEERG_4_3_1_8__2_MassOfNitrogenAppliedToSoilsScope3(R41, _xlfn.XLOOKUP($P107, $D$22:$D$26,$E$22:$E$26), _xlfn.XLOOKUP($P107,$D$31:$D$35,$E$31:$E$35),R53, $F65)</f>
        <v>42.398212372593328</v>
      </c>
      <c r="S107" s="55" cm="1">
        <f t="array" ref="S107">MMS_Dairy_ManureAppliedToSoils_Equations.VEERG_4_3_1_8__2_MassOfNitrogenAppliedToSoilsScope3(S41, _xlfn.XLOOKUP($P107, $D$22:$D$26,$E$22:$E$26), _xlfn.XLOOKUP($P107,$D$31:$D$35,$E$31:$E$35),S53, $F65)</f>
        <v>16.886759608793596</v>
      </c>
      <c r="T107" s="55" cm="1">
        <f t="array" ref="T107">MMS_Dairy_ManureAppliedToSoils_Equations.VEERG_4_3_1_8__2_MassOfNitrogenAppliedToSoilsScope3(T41, _xlfn.XLOOKUP($P107, $D$22:$D$26,$E$22:$E$26), _xlfn.XLOOKUP($P107,$D$31:$D$35,$E$31:$E$35),T53, $F65)</f>
        <v>53.296229759519406</v>
      </c>
      <c r="U107" s="55" cm="1">
        <f t="array" ref="U107">MMS_Dairy_ManureAppliedToSoils_Equations.VEERG_4_3_1_8__2_MassOfNitrogenAppliedToSoilsScope3(U41, _xlfn.XLOOKUP($P107, $D$22:$D$26,$E$22:$E$26), _xlfn.XLOOKUP($P107,$D$31:$D$35,$E$31:$E$35),U53, $F65)</f>
        <v>22.311364270880382</v>
      </c>
      <c r="V107" s="2"/>
    </row>
    <row r="108" spans="4:22" ht="20.100000000000001" customHeight="1" x14ac:dyDescent="0.25">
      <c r="D108" s="55" t="str">
        <f>'Input - Dairy'!$D$66</f>
        <v>Milking shed</v>
      </c>
      <c r="E108" s="55" t="str">
        <f>'Input - Dairy'!$D$87</f>
        <v>Drains to paddock</v>
      </c>
      <c r="F108" s="55" cm="1">
        <f t="array" ref="F108">MMS_Dairy_ManureAppliedToSoils_Equations.VEERG_4_3_1_8__2_MassOfNitrogenAppliedToSoilsScope3(F42, _xlfn.XLOOKUP($E108, $D$22:$D$26,$E$22:$E$26), _xlfn.XLOOKUP($E108,$D$31:$D$35,$E$31:$E$35),F54, $F66)</f>
        <v>-18.00043828834556</v>
      </c>
      <c r="G108" s="55" cm="1">
        <f t="array" ref="G108">MMS_Dairy_ManureAppliedToSoils_Equations.VEERG_4_3_1_8__2_MassOfNitrogenAppliedToSoilsScope3(G42, _xlfn.XLOOKUP($E108, $D$22:$D$26,$E$22:$E$26), _xlfn.XLOOKUP($E108,$D$31:$D$35,$E$31:$E$35),G54, $F66)</f>
        <v>36.471580535564158</v>
      </c>
      <c r="H108" s="55" cm="1">
        <f t="array" ref="H108">MMS_Dairy_ManureAppliedToSoils_Equations.VEERG_4_3_1_8__2_MassOfNitrogenAppliedToSoilsScope3(H42, _xlfn.XLOOKUP($E108, $D$22:$D$26,$E$22:$E$26), _xlfn.XLOOKUP($E108,$D$31:$D$35,$E$31:$E$35),H54, $F66)</f>
        <v>14.526244824768686</v>
      </c>
      <c r="I108" s="55" cm="1">
        <f t="array" ref="I108">MMS_Dairy_ManureAppliedToSoils_Equations.VEERG_4_3_1_8__2_MassOfNitrogenAppliedToSoilsScope3(I42, _xlfn.XLOOKUP($E108, $D$22:$D$26,$E$22:$E$26), _xlfn.XLOOKUP($E108,$D$31:$D$35,$E$31:$E$35),I54, $F66)</f>
        <v>45.846219147973692</v>
      </c>
      <c r="J108" s="55" cm="1">
        <f t="array" ref="J108">MMS_Dairy_ManureAppliedToSoils_Equations.VEERG_4_3_1_8__2_MassOfNitrogenAppliedToSoilsScope3(J42, _xlfn.XLOOKUP($E108, $D$22:$D$26,$E$22:$E$26), _xlfn.XLOOKUP($E108,$D$31:$D$35,$E$31:$E$35),J54, $F66)</f>
        <v>19.192571415811084</v>
      </c>
      <c r="K108" s="2"/>
      <c r="O108" s="55" t="str">
        <f>'Input - Dairy'!$D$66</f>
        <v>Milking shed</v>
      </c>
      <c r="P108" s="55" t="str">
        <f>'Input - Dairy'!$D$87</f>
        <v>Drains to paddock</v>
      </c>
      <c r="Q108" s="55" cm="1">
        <f t="array" ref="Q108">MMS_Dairy_ManureAppliedToSoils_Equations.VEERG_4_3_1_8__2_MassOfNitrogenAppliedToSoilsScope3(Q42, _xlfn.XLOOKUP($P108, $D$22:$D$26,$E$22:$E$26), _xlfn.XLOOKUP($P108,$D$31:$D$35,$E$31:$E$35),Q54, $F66)</f>
        <v>-18.00043828834556</v>
      </c>
      <c r="R108" s="55" cm="1">
        <f t="array" ref="R108">MMS_Dairy_ManureAppliedToSoils_Equations.VEERG_4_3_1_8__2_MassOfNitrogenAppliedToSoilsScope3(R42, _xlfn.XLOOKUP($P108, $D$22:$D$26,$E$22:$E$26), _xlfn.XLOOKUP($P108,$D$31:$D$35,$E$31:$E$35),R54, $F66)</f>
        <v>36.471580535564158</v>
      </c>
      <c r="S108" s="55" cm="1">
        <f t="array" ref="S108">MMS_Dairy_ManureAppliedToSoils_Equations.VEERG_4_3_1_8__2_MassOfNitrogenAppliedToSoilsScope3(S42, _xlfn.XLOOKUP($P108, $D$22:$D$26,$E$22:$E$26), _xlfn.XLOOKUP($P108,$D$31:$D$35,$E$31:$E$35),S54, $F66)</f>
        <v>14.526244824768686</v>
      </c>
      <c r="T108" s="55" cm="1">
        <f t="array" ref="T108">MMS_Dairy_ManureAppliedToSoils_Equations.VEERG_4_3_1_8__2_MassOfNitrogenAppliedToSoilsScope3(T42, _xlfn.XLOOKUP($P108, $D$22:$D$26,$E$22:$E$26), _xlfn.XLOOKUP($P108,$D$31:$D$35,$E$31:$E$35),T54, $F66)</f>
        <v>45.846219147973692</v>
      </c>
      <c r="U108" s="55" cm="1">
        <f t="array" ref="U108">MMS_Dairy_ManureAppliedToSoils_Equations.VEERG_4_3_1_8__2_MassOfNitrogenAppliedToSoilsScope3(U42, _xlfn.XLOOKUP($P108, $D$22:$D$26,$E$22:$E$26), _xlfn.XLOOKUP($P108,$D$31:$D$35,$E$31:$E$35),U54, $F66)</f>
        <v>19.192571415811084</v>
      </c>
      <c r="V108" s="2"/>
    </row>
    <row r="109" spans="4:22" ht="20.100000000000001" customHeight="1" x14ac:dyDescent="0.25">
      <c r="D109" s="55" t="str">
        <f>'Input - Dairy'!$D$66</f>
        <v>Milking shed</v>
      </c>
      <c r="E109" s="55" t="s">
        <v>412</v>
      </c>
      <c r="F109" s="55" cm="1">
        <f t="array" ref="F109">MMS_Dairy_ManureAppliedToSoils_Equations.VEERG_4_3_1_8__2_MassOfNitrogenAppliedToSoilsScope3(F43, _xlfn.XLOOKUP($E109, $D$22:$D$26,$E$22:$E$26), _xlfn.XLOOKUP($E109,$D$31:$D$35,$E$31:$E$35),F55, $F67)</f>
        <v>-30.375739611583132</v>
      </c>
      <c r="G109" s="55" cm="1">
        <f t="array" ref="G109">MMS_Dairy_ManureAppliedToSoils_Equations.VEERG_4_3_1_8__2_MassOfNitrogenAppliedToSoilsScope3(G43, _xlfn.XLOOKUP($E109, $D$22:$D$26,$E$22:$E$26), _xlfn.XLOOKUP($E109,$D$31:$D$35,$E$31:$E$35),G55, $F67)</f>
        <v>61.545792153764516</v>
      </c>
      <c r="H109" s="55" cm="1">
        <f t="array" ref="H109">MMS_Dairy_ManureAppliedToSoils_Equations.VEERG_4_3_1_8__2_MassOfNitrogenAppliedToSoilsScope3(H43, _xlfn.XLOOKUP($E109, $D$22:$D$26,$E$22:$E$26), _xlfn.XLOOKUP($E109,$D$31:$D$35,$E$31:$E$35),H55, $F67)</f>
        <v>24.51303814179715</v>
      </c>
      <c r="I109" s="55" cm="1">
        <f t="array" ref="I109">MMS_Dairy_ManureAppliedToSoils_Equations.VEERG_4_3_1_8__2_MassOfNitrogenAppliedToSoilsScope3(I43, _xlfn.XLOOKUP($E109, $D$22:$D$26,$E$22:$E$26), _xlfn.XLOOKUP($E109,$D$31:$D$35,$E$31:$E$35),I55, $F67)</f>
        <v>77.365494812205597</v>
      </c>
      <c r="J109" s="55" cm="1">
        <f t="array" ref="J109">MMS_Dairy_ManureAppliedToSoils_Equations.VEERG_4_3_1_8__2_MassOfNitrogenAppliedToSoilsScope3(J43, _xlfn.XLOOKUP($E109, $D$22:$D$26,$E$22:$E$26), _xlfn.XLOOKUP($E109,$D$31:$D$35,$E$31:$E$35),J55, $F67)</f>
        <v>32.387464264181197</v>
      </c>
      <c r="K109" s="2"/>
      <c r="O109" s="55" t="str">
        <f>'Input - Dairy'!$D$66</f>
        <v>Milking shed</v>
      </c>
      <c r="P109" s="55" t="s">
        <v>412</v>
      </c>
      <c r="Q109" s="55" cm="1">
        <f t="array" ref="Q109">MMS_Dairy_ManureAppliedToSoils_Equations.VEERG_4_3_1_8__2_MassOfNitrogenAppliedToSoilsScope3(Q43, _xlfn.XLOOKUP($P109, $D$22:$D$26,$E$22:$E$26), _xlfn.XLOOKUP($P109,$D$31:$D$35,$E$31:$E$35),Q55, $F67)</f>
        <v>-30.375739611583132</v>
      </c>
      <c r="R109" s="55" cm="1">
        <f t="array" ref="R109">MMS_Dairy_ManureAppliedToSoils_Equations.VEERG_4_3_1_8__2_MassOfNitrogenAppliedToSoilsScope3(R43, _xlfn.XLOOKUP($P109, $D$22:$D$26,$E$22:$E$26), _xlfn.XLOOKUP($P109,$D$31:$D$35,$E$31:$E$35),R55, $F67)</f>
        <v>61.545792153764516</v>
      </c>
      <c r="S109" s="55" cm="1">
        <f t="array" ref="S109">MMS_Dairy_ManureAppliedToSoils_Equations.VEERG_4_3_1_8__2_MassOfNitrogenAppliedToSoilsScope3(S43, _xlfn.XLOOKUP($P109, $D$22:$D$26,$E$22:$E$26), _xlfn.XLOOKUP($P109,$D$31:$D$35,$E$31:$E$35),S55, $F67)</f>
        <v>24.51303814179715</v>
      </c>
      <c r="T109" s="55" cm="1">
        <f t="array" ref="T109">MMS_Dairy_ManureAppliedToSoils_Equations.VEERG_4_3_1_8__2_MassOfNitrogenAppliedToSoilsScope3(T43, _xlfn.XLOOKUP($P109, $D$22:$D$26,$E$22:$E$26), _xlfn.XLOOKUP($P109,$D$31:$D$35,$E$31:$E$35),T55, $F67)</f>
        <v>77.365494812205597</v>
      </c>
      <c r="U109" s="55" cm="1">
        <f t="array" ref="U109">MMS_Dairy_ManureAppliedToSoils_Equations.VEERG_4_3_1_8__2_MassOfNitrogenAppliedToSoilsScope3(U43, _xlfn.XLOOKUP($P109, $D$22:$D$26,$E$22:$E$26), _xlfn.XLOOKUP($P109,$D$31:$D$35,$E$31:$E$35),U55, $F67)</f>
        <v>32.387464264181197</v>
      </c>
      <c r="V109" s="2"/>
    </row>
    <row r="110" spans="4:22" ht="20.100000000000001" customHeight="1" x14ac:dyDescent="0.25">
      <c r="D110" s="55" t="str">
        <f>'Input - Dairy'!$D$67</f>
        <v>Feed pad</v>
      </c>
      <c r="E110" s="55" t="str">
        <f>'Input - Dairy'!$D$101</f>
        <v>Anaerobic lagoon</v>
      </c>
      <c r="F110" s="55" cm="1">
        <f t="array" ref="F110">MMS_Dairy_ManureAppliedToSoils_Equations.VEERG_4_3_1_8__2_MassOfNitrogenAppliedToSoilsScope3(F44, _xlfn.XLOOKUP($E110, $D$22:$D$26,$E$22:$E$26), _xlfn.XLOOKUP($E110,$D$31:$D$35,$E$31:$E$35),F56, $F68)</f>
        <v>-59.166213351181284</v>
      </c>
      <c r="G110" s="55" cm="1">
        <f t="array" ref="G110">MMS_Dairy_ManureAppliedToSoils_Equations.VEERG_4_3_1_8__2_MassOfNitrogenAppliedToSoilsScope3(G44, _xlfn.XLOOKUP($E110, $D$22:$D$26,$E$22:$E$26), _xlfn.XLOOKUP($E110,$D$31:$D$35,$E$31:$E$35),G56, $F68)</f>
        <v>119.87959852172649</v>
      </c>
      <c r="H110" s="55" cm="1">
        <f t="array" ref="H110">MMS_Dairy_ManureAppliedToSoils_Equations.VEERG_4_3_1_8__2_MassOfNitrogenAppliedToSoilsScope3(H44, _xlfn.XLOOKUP($E110, $D$22:$D$26,$E$22:$E$26), _xlfn.XLOOKUP($E110,$D$31:$D$35,$E$31:$E$35),H56, $F68)</f>
        <v>47.746776313231159</v>
      </c>
      <c r="I110" s="55" cm="1">
        <f t="array" ref="I110">MMS_Dairy_ManureAppliedToSoils_Equations.VEERG_4_3_1_8__2_MassOfNitrogenAppliedToSoilsScope3(I44, _xlfn.XLOOKUP($E110, $D$22:$D$26,$E$22:$E$26), _xlfn.XLOOKUP($E110,$D$31:$D$35,$E$31:$E$35),I56, $F68)</f>
        <v>150.69339646081124</v>
      </c>
      <c r="J110" s="55" cm="1">
        <f t="array" ref="J110">MMS_Dairy_ManureAppliedToSoils_Equations.VEERG_4_3_1_8__2_MassOfNitrogenAppliedToSoilsScope3(J44, _xlfn.XLOOKUP($E110, $D$22:$D$26,$E$22:$E$26), _xlfn.XLOOKUP($E110,$D$31:$D$35,$E$31:$E$35),J56, $F68)</f>
        <v>63.084673659356305</v>
      </c>
      <c r="K110" s="2"/>
      <c r="O110" s="55" t="str">
        <f>'Input - Dairy'!$D$67</f>
        <v>Feed pad</v>
      </c>
      <c r="P110" s="55" t="str">
        <f>'Input - Dairy'!$D$101</f>
        <v>Anaerobic lagoon</v>
      </c>
      <c r="Q110" s="55" cm="1">
        <f t="array" ref="Q110">MMS_Dairy_ManureAppliedToSoils_Equations.VEERG_4_3_1_8__2_MassOfNitrogenAppliedToSoilsScope3(Q44, _xlfn.XLOOKUP($P110, $D$22:$D$26,$E$22:$E$26), _xlfn.XLOOKUP($P110,$D$31:$D$35,$E$31:$E$35),Q56, $F68)</f>
        <v>-59.166213351181284</v>
      </c>
      <c r="R110" s="55" cm="1">
        <f t="array" ref="R110">MMS_Dairy_ManureAppliedToSoils_Equations.VEERG_4_3_1_8__2_MassOfNitrogenAppliedToSoilsScope3(R44, _xlfn.XLOOKUP($P110, $D$22:$D$26,$E$22:$E$26), _xlfn.XLOOKUP($P110,$D$31:$D$35,$E$31:$E$35),R56, $F68)</f>
        <v>119.87959852172649</v>
      </c>
      <c r="S110" s="55" cm="1">
        <f t="array" ref="S110">MMS_Dairy_ManureAppliedToSoils_Equations.VEERG_4_3_1_8__2_MassOfNitrogenAppliedToSoilsScope3(S44, _xlfn.XLOOKUP($P110, $D$22:$D$26,$E$22:$E$26), _xlfn.XLOOKUP($P110,$D$31:$D$35,$E$31:$E$35),S56, $F68)</f>
        <v>47.746776313231159</v>
      </c>
      <c r="T110" s="55" cm="1">
        <f t="array" ref="T110">MMS_Dairy_ManureAppliedToSoils_Equations.VEERG_4_3_1_8__2_MassOfNitrogenAppliedToSoilsScope3(T44, _xlfn.XLOOKUP($P110, $D$22:$D$26,$E$22:$E$26), _xlfn.XLOOKUP($P110,$D$31:$D$35,$E$31:$E$35),T56, $F68)</f>
        <v>150.69339646081124</v>
      </c>
      <c r="U110" s="55" cm="1">
        <f t="array" ref="U110">MMS_Dairy_ManureAppliedToSoils_Equations.VEERG_4_3_1_8__2_MassOfNitrogenAppliedToSoilsScope3(U44, _xlfn.XLOOKUP($P110, $D$22:$D$26,$E$22:$E$26), _xlfn.XLOOKUP($P110,$D$31:$D$35,$E$31:$E$35),U56, $F68)</f>
        <v>63.084673659356305</v>
      </c>
      <c r="V110" s="2"/>
    </row>
    <row r="111" spans="4:22" ht="20.100000000000001" customHeight="1" x14ac:dyDescent="0.25">
      <c r="D111" s="55" t="str">
        <f>'Input - Dairy'!$D$67</f>
        <v>Feed pad</v>
      </c>
      <c r="E111" s="55" t="str">
        <f>'Input - Dairy'!$D$102</f>
        <v>Sump and dispersal system</v>
      </c>
      <c r="F111" s="55" cm="1">
        <f t="array" ref="F111">MMS_Dairy_ManureAppliedToSoils_Equations.VEERG_4_3_1_8__2_MassOfNitrogenAppliedToSoilsScope3(F45, _xlfn.XLOOKUP($E111, $D$22:$D$26,$E$22:$E$26), _xlfn.XLOOKUP($E111,$D$31:$D$35,$E$31:$E$35),F57, $F69)</f>
        <v>-67.722558051198263</v>
      </c>
      <c r="G111" s="55" cm="1">
        <f t="array" ref="G111">MMS_Dairy_ManureAppliedToSoils_Equations.VEERG_4_3_1_8__2_MassOfNitrogenAppliedToSoilsScope3(G45, _xlfn.XLOOKUP($E111, $D$22:$D$26,$E$22:$E$26), _xlfn.XLOOKUP($E111,$D$31:$D$35,$E$31:$E$35),G57, $F69)</f>
        <v>137.21603276948386</v>
      </c>
      <c r="H111" s="55" cm="1">
        <f t="array" ref="H111">MMS_Dairy_ManureAppliedToSoils_Equations.VEERG_4_3_1_8__2_MassOfNitrogenAppliedToSoilsScope3(H45, _xlfn.XLOOKUP($E111, $D$22:$D$26,$E$22:$E$26), _xlfn.XLOOKUP($E111,$D$31:$D$35,$E$31:$E$35),H57, $F69)</f>
        <v>54.651694733913814</v>
      </c>
      <c r="I111" s="55" cm="1">
        <f t="array" ref="I111">MMS_Dairy_ManureAppliedToSoils_Equations.VEERG_4_3_1_8__2_MassOfNitrogenAppliedToSoilsScope3(I45, _xlfn.XLOOKUP($E111, $D$22:$D$26,$E$22:$E$26), _xlfn.XLOOKUP($E111,$D$31:$D$35,$E$31:$E$35),I57, $F69)</f>
        <v>172.48597994899006</v>
      </c>
      <c r="J111" s="55" cm="1">
        <f t="array" ref="J111">MMS_Dairy_ManureAppliedToSoils_Equations.VEERG_4_3_1_8__2_MassOfNitrogenAppliedToSoilsScope3(J45, _xlfn.XLOOKUP($E111, $D$22:$D$26,$E$22:$E$26), _xlfn.XLOOKUP($E111,$D$31:$D$35,$E$31:$E$35),J57, $F69)</f>
        <v>72.207688003940135</v>
      </c>
      <c r="K111" s="2"/>
      <c r="O111" s="55" t="str">
        <f>'Input - Dairy'!$D$67</f>
        <v>Feed pad</v>
      </c>
      <c r="P111" s="55" t="str">
        <f>'Input - Dairy'!$D$102</f>
        <v>Sump and dispersal system</v>
      </c>
      <c r="Q111" s="55" cm="1">
        <f t="array" ref="Q111">MMS_Dairy_ManureAppliedToSoils_Equations.VEERG_4_3_1_8__2_MassOfNitrogenAppliedToSoilsScope3(Q45, _xlfn.XLOOKUP($P111, $D$22:$D$26,$E$22:$E$26), _xlfn.XLOOKUP($P111,$D$31:$D$35,$E$31:$E$35),Q57, $F69)</f>
        <v>-67.722558051198263</v>
      </c>
      <c r="R111" s="55" cm="1">
        <f t="array" ref="R111">MMS_Dairy_ManureAppliedToSoils_Equations.VEERG_4_3_1_8__2_MassOfNitrogenAppliedToSoilsScope3(R45, _xlfn.XLOOKUP($P111, $D$22:$D$26,$E$22:$E$26), _xlfn.XLOOKUP($P111,$D$31:$D$35,$E$31:$E$35),R57, $F69)</f>
        <v>137.21603276948386</v>
      </c>
      <c r="S111" s="55" cm="1">
        <f t="array" ref="S111">MMS_Dairy_ManureAppliedToSoils_Equations.VEERG_4_3_1_8__2_MassOfNitrogenAppliedToSoilsScope3(S45, _xlfn.XLOOKUP($P111, $D$22:$D$26,$E$22:$E$26), _xlfn.XLOOKUP($P111,$D$31:$D$35,$E$31:$E$35),S57, $F69)</f>
        <v>54.651694733913814</v>
      </c>
      <c r="T111" s="55" cm="1">
        <f t="array" ref="T111">MMS_Dairy_ManureAppliedToSoils_Equations.VEERG_4_3_1_8__2_MassOfNitrogenAppliedToSoilsScope3(T45, _xlfn.XLOOKUP($P111, $D$22:$D$26,$E$22:$E$26), _xlfn.XLOOKUP($P111,$D$31:$D$35,$E$31:$E$35),T57, $F69)</f>
        <v>172.48597994899006</v>
      </c>
      <c r="U111" s="55" cm="1">
        <f t="array" ref="U111">MMS_Dairy_ManureAppliedToSoils_Equations.VEERG_4_3_1_8__2_MassOfNitrogenAppliedToSoilsScope3(U45, _xlfn.XLOOKUP($P111, $D$22:$D$26,$E$22:$E$26), _xlfn.XLOOKUP($P111,$D$31:$D$35,$E$31:$E$35),U57, $F69)</f>
        <v>72.207688003940135</v>
      </c>
      <c r="V111" s="2"/>
    </row>
    <row r="112" spans="4:22" ht="20.100000000000001" customHeight="1" x14ac:dyDescent="0.25">
      <c r="D112" s="55" t="str">
        <f>'Input - Dairy'!$D$67</f>
        <v>Feed pad</v>
      </c>
      <c r="E112" s="55" t="str">
        <f>'Input - Dairy'!$D$103</f>
        <v>Drains to paddock</v>
      </c>
      <c r="F112" s="55" cm="1">
        <f t="array" ref="F112">MMS_Dairy_ManureAppliedToSoils_Equations.VEERG_4_3_1_8__2_MassOfNitrogenAppliedToSoilsScope3(F46, _xlfn.XLOOKUP($E112, $D$22:$D$26,$E$22:$E$26), _xlfn.XLOOKUP($E112,$D$31:$D$35,$E$31:$E$35),F58, $F70)</f>
        <v>-58.255963915009261</v>
      </c>
      <c r="G112" s="55" cm="1">
        <f t="array" ref="G112">MMS_Dairy_ManureAppliedToSoils_Equations.VEERG_4_3_1_8__2_MassOfNitrogenAppliedToSoilsScope3(G46, _xlfn.XLOOKUP($E112, $D$22:$D$26,$E$22:$E$26), _xlfn.XLOOKUP($E112,$D$31:$D$35,$E$31:$E$35),G58, $F70)</f>
        <v>118.03529700600764</v>
      </c>
      <c r="H112" s="55" cm="1">
        <f t="array" ref="H112">MMS_Dairy_ManureAppliedToSoils_Equations.VEERG_4_3_1_8__2_MassOfNitrogenAppliedToSoilsScope3(H46, _xlfn.XLOOKUP($E112, $D$22:$D$26,$E$22:$E$26), _xlfn.XLOOKUP($E112,$D$31:$D$35,$E$31:$E$35),H58, $F70)</f>
        <v>47.012210523796831</v>
      </c>
      <c r="I112" s="55" cm="1">
        <f t="array" ref="I112">MMS_Dairy_ManureAppliedToSoils_Equations.VEERG_4_3_1_8__2_MassOfNitrogenAppliedToSoilsScope3(I46, _xlfn.XLOOKUP($E112, $D$22:$D$26,$E$22:$E$26), _xlfn.XLOOKUP($E112,$D$31:$D$35,$E$31:$E$35),I58, $F70)</f>
        <v>148.37503651526029</v>
      </c>
      <c r="J112" s="55" cm="1">
        <f t="array" ref="J112">MMS_Dairy_ManureAppliedToSoils_Equations.VEERG_4_3_1_8__2_MassOfNitrogenAppliedToSoilsScope3(J46, _xlfn.XLOOKUP($E112, $D$22:$D$26,$E$22:$E$26), _xlfn.XLOOKUP($E112,$D$31:$D$35,$E$31:$E$35),J58, $F70)</f>
        <v>62.114140218443133</v>
      </c>
      <c r="K112" s="2"/>
      <c r="O112" s="55" t="str">
        <f>'Input - Dairy'!$D$67</f>
        <v>Feed pad</v>
      </c>
      <c r="P112" s="55" t="str">
        <f>'Input - Dairy'!$D$103</f>
        <v>Drains to paddock</v>
      </c>
      <c r="Q112" s="55" cm="1">
        <f t="array" ref="Q112">MMS_Dairy_ManureAppliedToSoils_Equations.VEERG_4_3_1_8__2_MassOfNitrogenAppliedToSoilsScope3(Q46, _xlfn.XLOOKUP($P112, $D$22:$D$26,$E$22:$E$26), _xlfn.XLOOKUP($P112,$D$31:$D$35,$E$31:$E$35),Q58, $F70)</f>
        <v>-58.255963915009261</v>
      </c>
      <c r="R112" s="55" cm="1">
        <f t="array" ref="R112">MMS_Dairy_ManureAppliedToSoils_Equations.VEERG_4_3_1_8__2_MassOfNitrogenAppliedToSoilsScope3(R46, _xlfn.XLOOKUP($P112, $D$22:$D$26,$E$22:$E$26), _xlfn.XLOOKUP($P112,$D$31:$D$35,$E$31:$E$35),R58, $F70)</f>
        <v>118.03529700600764</v>
      </c>
      <c r="S112" s="55" cm="1">
        <f t="array" ref="S112">MMS_Dairy_ManureAppliedToSoils_Equations.VEERG_4_3_1_8__2_MassOfNitrogenAppliedToSoilsScope3(S46, _xlfn.XLOOKUP($P112, $D$22:$D$26,$E$22:$E$26), _xlfn.XLOOKUP($P112,$D$31:$D$35,$E$31:$E$35),S58, $F70)</f>
        <v>47.012210523796831</v>
      </c>
      <c r="T112" s="55" cm="1">
        <f t="array" ref="T112">MMS_Dairy_ManureAppliedToSoils_Equations.VEERG_4_3_1_8__2_MassOfNitrogenAppliedToSoilsScope3(T46, _xlfn.XLOOKUP($P112, $D$22:$D$26,$E$22:$E$26), _xlfn.XLOOKUP($P112,$D$31:$D$35,$E$31:$E$35),T58, $F70)</f>
        <v>148.37503651526029</v>
      </c>
      <c r="U112" s="55" cm="1">
        <f t="array" ref="U112">MMS_Dairy_ManureAppliedToSoils_Equations.VEERG_4_3_1_8__2_MassOfNitrogenAppliedToSoilsScope3(U46, _xlfn.XLOOKUP($P112, $D$22:$D$26,$E$22:$E$26), _xlfn.XLOOKUP($P112,$D$31:$D$35,$E$31:$E$35),U58, $F70)</f>
        <v>62.114140218443133</v>
      </c>
      <c r="V112" s="2"/>
    </row>
    <row r="113" spans="1:23" ht="20.100000000000001" customHeight="1" x14ac:dyDescent="0.25">
      <c r="D113" s="55" t="str">
        <f>'Input - Dairy'!$D$67</f>
        <v>Feed pad</v>
      </c>
      <c r="E113" s="55" t="s">
        <v>412</v>
      </c>
      <c r="F113" s="55" cm="1">
        <f t="array" ref="F113">MMS_Dairy_ManureAppliedToSoils_Equations.VEERG_4_3_1_8__2_MassOfNitrogenAppliedToSoilsScope3(F47, _xlfn.XLOOKUP($E113, $D$22:$D$26,$E$22:$E$26), _xlfn.XLOOKUP($E113,$D$31:$D$35,$E$31:$E$35),F59, $F71)</f>
        <v>-86.018571718255856</v>
      </c>
      <c r="G113" s="55" cm="1">
        <f t="array" ref="G113">MMS_Dairy_ManureAppliedToSoils_Equations.VEERG_4_3_1_8__2_MassOfNitrogenAppliedToSoilsScope3(G47, _xlfn.XLOOKUP($E113, $D$22:$D$26,$E$22:$E$26), _xlfn.XLOOKUP($E113,$D$31:$D$35,$E$31:$E$35),G59, $F71)</f>
        <v>174.28649323543314</v>
      </c>
      <c r="H113" s="55" cm="1">
        <f t="array" ref="H113">MMS_Dairy_ManureAppliedToSoils_Equations.VEERG_4_3_1_8__2_MassOfNitrogenAppliedToSoilsScope3(H47, _xlfn.XLOOKUP($E113, $D$22:$D$26,$E$22:$E$26), _xlfn.XLOOKUP($E113,$D$31:$D$35,$E$31:$E$35),H59, $F71)</f>
        <v>69.416467101543759</v>
      </c>
      <c r="I113" s="55" cm="1">
        <f t="array" ref="I113">MMS_Dairy_ManureAppliedToSoils_Equations.VEERG_4_3_1_8__2_MassOfNitrogenAppliedToSoilsScope3(I47, _xlfn.XLOOKUP($E113, $D$22:$D$26,$E$22:$E$26), _xlfn.XLOOKUP($E113,$D$31:$D$35,$E$31:$E$35),I59, $F71)</f>
        <v>219.08501485456401</v>
      </c>
      <c r="J113" s="55" cm="1">
        <f t="array" ref="J113">MMS_Dairy_ManureAppliedToSoils_Equations.VEERG_4_3_1_8__2_MassOfNitrogenAppliedToSoilsScope3(J47, _xlfn.XLOOKUP($E113, $D$22:$D$26,$E$22:$E$26), _xlfn.XLOOKUP($E113,$D$31:$D$35,$E$31:$E$35),J59, $F71)</f>
        <v>91.715410166294944</v>
      </c>
      <c r="K113" s="2"/>
      <c r="O113" s="55" t="str">
        <f>'Input - Dairy'!$D$67</f>
        <v>Feed pad</v>
      </c>
      <c r="P113" s="55" t="s">
        <v>412</v>
      </c>
      <c r="Q113" s="55" cm="1">
        <f t="array" ref="Q113">MMS_Dairy_ManureAppliedToSoils_Equations.VEERG_4_3_1_8__2_MassOfNitrogenAppliedToSoilsScope3(Q47, _xlfn.XLOOKUP($P113, $D$22:$D$26,$E$22:$E$26), _xlfn.XLOOKUP($P113,$D$31:$D$35,$E$31:$E$35),Q59, $F71)</f>
        <v>-86.018571718255856</v>
      </c>
      <c r="R113" s="55" cm="1">
        <f t="array" ref="R113">MMS_Dairy_ManureAppliedToSoils_Equations.VEERG_4_3_1_8__2_MassOfNitrogenAppliedToSoilsScope3(R47, _xlfn.XLOOKUP($P113, $D$22:$D$26,$E$22:$E$26), _xlfn.XLOOKUP($P113,$D$31:$D$35,$E$31:$E$35),R59, $F71)</f>
        <v>174.28649323543314</v>
      </c>
      <c r="S113" s="55" cm="1">
        <f t="array" ref="S113">MMS_Dairy_ManureAppliedToSoils_Equations.VEERG_4_3_1_8__2_MassOfNitrogenAppliedToSoilsScope3(S47, _xlfn.XLOOKUP($P113, $D$22:$D$26,$E$22:$E$26), _xlfn.XLOOKUP($P113,$D$31:$D$35,$E$31:$E$35),S59, $F71)</f>
        <v>69.416467101543759</v>
      </c>
      <c r="T113" s="55" cm="1">
        <f t="array" ref="T113">MMS_Dairy_ManureAppliedToSoils_Equations.VEERG_4_3_1_8__2_MassOfNitrogenAppliedToSoilsScope3(T47, _xlfn.XLOOKUP($P113, $D$22:$D$26,$E$22:$E$26), _xlfn.XLOOKUP($P113,$D$31:$D$35,$E$31:$E$35),T59, $F71)</f>
        <v>219.08501485456401</v>
      </c>
      <c r="U113" s="55" cm="1">
        <f t="array" ref="U113">MMS_Dairy_ManureAppliedToSoils_Equations.VEERG_4_3_1_8__2_MassOfNitrogenAppliedToSoilsScope3(U47, _xlfn.XLOOKUP($P113, $D$22:$D$26,$E$22:$E$26), _xlfn.XLOOKUP($P113,$D$31:$D$35,$E$31:$E$35),U59, $F71)</f>
        <v>91.715410166294944</v>
      </c>
      <c r="V113" s="2"/>
    </row>
    <row r="114" spans="1:23" ht="20.100000000000001" customHeight="1" x14ac:dyDescent="0.25"/>
    <row r="115" spans="1:23" ht="20.100000000000001" customHeight="1" x14ac:dyDescent="0.25">
      <c r="D115" s="108" t="s">
        <v>354</v>
      </c>
      <c r="E115" s="109">
        <f>SUM(F106:J113)</f>
        <v>1933.9362812239392</v>
      </c>
      <c r="F115" s="110" t="str">
        <f>$E$11</f>
        <v>kg N</v>
      </c>
      <c r="O115" s="108" t="s">
        <v>354</v>
      </c>
      <c r="P115" s="109">
        <f>SUM(Q106:U113)</f>
        <v>1933.9362812239392</v>
      </c>
      <c r="Q115" s="110" t="str">
        <f>$E$11</f>
        <v>kg N</v>
      </c>
    </row>
    <row r="116" spans="1:23" ht="20.100000000000001" customHeight="1" x14ac:dyDescent="0.25"/>
    <row r="117" spans="1:23" ht="20.100000000000001" customHeight="1" x14ac:dyDescent="0.25">
      <c r="A117" s="141" t="str">
        <f>HYPERLINK("#A1", "▲ Back to top")</f>
        <v>▲ Back to top</v>
      </c>
    </row>
    <row r="118" spans="1:23" ht="20.100000000000001" customHeight="1" x14ac:dyDescent="0.25">
      <c r="C118" s="48"/>
      <c r="D118" s="48"/>
      <c r="E118" s="48"/>
      <c r="F118" s="48"/>
      <c r="G118" s="48"/>
      <c r="H118" s="48"/>
      <c r="I118" s="48"/>
      <c r="J118" s="48"/>
      <c r="K118" s="48"/>
      <c r="L118" s="48"/>
      <c r="N118" s="48"/>
      <c r="O118" s="48"/>
      <c r="P118" s="48"/>
      <c r="Q118" s="48"/>
      <c r="R118" s="48"/>
      <c r="S118" s="48"/>
      <c r="T118" s="48"/>
      <c r="U118" s="48"/>
      <c r="V118" s="48"/>
      <c r="W118" s="48"/>
    </row>
    <row r="119" spans="1:23" ht="20.100000000000001" customHeight="1" x14ac:dyDescent="0.25">
      <c r="D119" s="115" t="str">
        <f>"Below are applications of " &amp; D6 &amp; " that are applied to the following contexts:"</f>
        <v>Below are applications of VEERG 2026: 4.3.1.8, Equation (1) that are applied to the following contexts:</v>
      </c>
      <c r="E119" s="95"/>
      <c r="F119" s="95"/>
      <c r="G119" s="95"/>
      <c r="H119" s="91"/>
    </row>
    <row r="120" spans="1:23" ht="20.100000000000001" customHeight="1" x14ac:dyDescent="0.25">
      <c r="D120" s="97" t="s">
        <v>400</v>
      </c>
      <c r="E120" s="94"/>
      <c r="F120" s="94"/>
      <c r="G120" s="94"/>
      <c r="H120" s="92"/>
    </row>
    <row r="121" spans="1:23" ht="20.100000000000001" customHeight="1" x14ac:dyDescent="0.25"/>
    <row r="122" spans="1:23" ht="20.100000000000001" customHeight="1" x14ac:dyDescent="0.25">
      <c r="D122" s="6" t="s">
        <v>399</v>
      </c>
    </row>
    <row r="123" spans="1:23" ht="20.100000000000001" customHeight="1" x14ac:dyDescent="0.25"/>
    <row r="124" spans="1:23" ht="20.100000000000001" customHeight="1" x14ac:dyDescent="0.25">
      <c r="D124" s="104" t="s">
        <v>135</v>
      </c>
    </row>
    <row r="125" spans="1:23" ht="20.100000000000001" customHeight="1" x14ac:dyDescent="0.25">
      <c r="D125" s="103" t="s">
        <v>136</v>
      </c>
    </row>
    <row r="126" spans="1:23" ht="20.100000000000001" customHeight="1" x14ac:dyDescent="0.25">
      <c r="D126" s="54" t="s">
        <v>149</v>
      </c>
      <c r="E126" s="54" t="s">
        <v>69</v>
      </c>
      <c r="F126" s="54" t="s">
        <v>444</v>
      </c>
    </row>
    <row r="127" spans="1:23" ht="20.100000000000001" customHeight="1" x14ac:dyDescent="0.25">
      <c r="D127" s="55" t="str">
        <f>'Input - Dairy'!$D$66</f>
        <v>Milking shed</v>
      </c>
      <c r="E127" s="55" t="str">
        <f>'Input - Dairy'!$D$85</f>
        <v>Anaerobic lagoon</v>
      </c>
      <c r="F127" s="55">
        <f>'Input - Dairy'!L85</f>
        <v>0.25</v>
      </c>
      <c r="G127" s="2" t="str">
        <f>G101</f>
        <v>fraction</v>
      </c>
    </row>
    <row r="128" spans="1:23" ht="20.100000000000001" customHeight="1" x14ac:dyDescent="0.25">
      <c r="D128" s="55" t="str">
        <f>'Input - Dairy'!$D$66</f>
        <v>Milking shed</v>
      </c>
      <c r="E128" s="55" t="str">
        <f>'Input - Dairy'!$D$86</f>
        <v>Sump and dispersal system</v>
      </c>
      <c r="F128" s="55">
        <f>'Input - Dairy'!L86</f>
        <v>0.25</v>
      </c>
      <c r="G128" s="2"/>
    </row>
    <row r="129" spans="4:22" ht="20.100000000000001" customHeight="1" x14ac:dyDescent="0.25">
      <c r="D129" s="55" t="str">
        <f>'Input - Dairy'!$D$66</f>
        <v>Milking shed</v>
      </c>
      <c r="E129" s="55" t="str">
        <f>'Input - Dairy'!$D$87</f>
        <v>Drains to paddock</v>
      </c>
      <c r="F129" s="55">
        <f>'Input - Dairy'!L87</f>
        <v>0.25</v>
      </c>
      <c r="G129" s="2"/>
    </row>
    <row r="130" spans="4:22" ht="20.100000000000001" customHeight="1" x14ac:dyDescent="0.25">
      <c r="D130" s="55" t="str">
        <f>'Input - Dairy'!$D$66</f>
        <v>Milking shed</v>
      </c>
      <c r="E130" s="55" t="s">
        <v>412</v>
      </c>
      <c r="F130" s="55">
        <f>'Input - Dairy'!L88</f>
        <v>0.25</v>
      </c>
      <c r="G130" s="2"/>
    </row>
    <row r="131" spans="4:22" ht="20.100000000000001" customHeight="1" x14ac:dyDescent="0.25">
      <c r="D131" s="55" t="str">
        <f>'Input - Dairy'!$D$67</f>
        <v>Feed pad</v>
      </c>
      <c r="E131" s="55" t="str">
        <f>'Input - Dairy'!$D$101</f>
        <v>Anaerobic lagoon</v>
      </c>
      <c r="F131" s="55">
        <f>'Input - Dairy'!L101</f>
        <v>0.25</v>
      </c>
      <c r="G131" s="2"/>
    </row>
    <row r="132" spans="4:22" ht="20.100000000000001" customHeight="1" x14ac:dyDescent="0.25">
      <c r="D132" s="55" t="str">
        <f>'Input - Dairy'!$D$67</f>
        <v>Feed pad</v>
      </c>
      <c r="E132" s="55" t="str">
        <f>'Input - Dairy'!$D$102</f>
        <v>Sump and dispersal system</v>
      </c>
      <c r="F132" s="55">
        <f>'Input - Dairy'!L102</f>
        <v>0.25</v>
      </c>
      <c r="G132" s="2"/>
    </row>
    <row r="133" spans="4:22" ht="20.100000000000001" customHeight="1" x14ac:dyDescent="0.25">
      <c r="D133" s="55" t="str">
        <f>'Input - Dairy'!$D$67</f>
        <v>Feed pad</v>
      </c>
      <c r="E133" s="55" t="str">
        <f>'Input - Dairy'!$D$103</f>
        <v>Drains to paddock</v>
      </c>
      <c r="F133" s="55">
        <f>'Input - Dairy'!L103</f>
        <v>0.25</v>
      </c>
      <c r="G133" s="2"/>
    </row>
    <row r="134" spans="4:22" ht="20.100000000000001" customHeight="1" x14ac:dyDescent="0.25">
      <c r="D134" s="55" t="str">
        <f>'Input - Dairy'!$D$67</f>
        <v>Feed pad</v>
      </c>
      <c r="E134" s="55" t="s">
        <v>412</v>
      </c>
      <c r="F134" s="55">
        <f>'Input - Dairy'!L104</f>
        <v>0.25</v>
      </c>
      <c r="G134" s="2"/>
    </row>
    <row r="135" spans="4:22" ht="20.100000000000001" customHeight="1" x14ac:dyDescent="0.25"/>
    <row r="136" spans="4:22" ht="20.100000000000001" customHeight="1" x14ac:dyDescent="0.25">
      <c r="D136" s="104" t="s">
        <v>137</v>
      </c>
      <c r="O136" s="104" t="s">
        <v>138</v>
      </c>
    </row>
    <row r="137" spans="4:22" ht="20.100000000000001" customHeight="1" x14ac:dyDescent="0.25">
      <c r="D137" s="103" t="s">
        <v>140</v>
      </c>
      <c r="O137" s="103" t="s">
        <v>139</v>
      </c>
    </row>
    <row r="138" spans="4:22" ht="20.100000000000001" customHeight="1" x14ac:dyDescent="0.25">
      <c r="D138" s="54" t="s">
        <v>149</v>
      </c>
      <c r="E138" s="54" t="s">
        <v>69</v>
      </c>
      <c r="F138" s="54" t="s">
        <v>175</v>
      </c>
      <c r="G138" s="54" t="s">
        <v>192</v>
      </c>
      <c r="H138" s="54" t="s">
        <v>193</v>
      </c>
      <c r="I138" s="54" t="s">
        <v>194</v>
      </c>
      <c r="J138" s="54" t="s">
        <v>195</v>
      </c>
      <c r="O138" s="54" t="s">
        <v>149</v>
      </c>
      <c r="P138" s="54" t="s">
        <v>69</v>
      </c>
      <c r="Q138" s="54" t="s">
        <v>175</v>
      </c>
      <c r="R138" s="54" t="s">
        <v>192</v>
      </c>
      <c r="S138" s="54" t="s">
        <v>193</v>
      </c>
      <c r="T138" s="54" t="s">
        <v>194</v>
      </c>
      <c r="U138" s="54" t="s">
        <v>195</v>
      </c>
    </row>
    <row r="139" spans="4:22" ht="20.100000000000001" customHeight="1" x14ac:dyDescent="0.25">
      <c r="D139" s="55" t="str">
        <f>'Input - Dairy'!$D$66</f>
        <v>Milking shed</v>
      </c>
      <c r="E139" s="55" t="str">
        <f>'Input - Dairy'!$D$85</f>
        <v>Anaerobic lagoon</v>
      </c>
      <c r="F139" s="55" cm="1">
        <f t="array" ref="F139">MMS_Dairy_ManureAppliedToSoils_Equations.VEERG_4_3_1_8__1_MassOfNitrogenAppliedToSoilsScope1(F40,_xlfn.XLOOKUP($E139,$D$22:$D$26,$E$22:$E$26),_xlfn.XLOOKUP($E139,$D$31:$D$35,$E$31:$E$35),F52,$F127)</f>
        <v>-14.625356109280768</v>
      </c>
      <c r="G139" s="55" cm="1">
        <f t="array" ref="G139">MMS_Dairy_ManureAppliedToSoils_Equations.VEERG_4_3_1_8__1_MassOfNitrogenAppliedToSoilsScope1(G40,_xlfn.XLOOKUP($E139,$D$22:$D$26,$E$22:$E$26),_xlfn.XLOOKUP($E139,$D$31:$D$35,$E$31:$E$35),G52,$F127)</f>
        <v>29.633159185145878</v>
      </c>
      <c r="H139" s="55" cm="1">
        <f t="array" ref="H139">MMS_Dairy_ManureAppliedToSoils_Equations.VEERG_4_3_1_8__1_MassOfNitrogenAppliedToSoilsScope1(H40,_xlfn.XLOOKUP($E139,$D$22:$D$26,$E$22:$E$26),_xlfn.XLOOKUP($E139,$D$31:$D$35,$E$31:$E$35),H52,$F127)</f>
        <v>11.802573920124557</v>
      </c>
      <c r="I139" s="55" cm="1">
        <f t="array" ref="I139">MMS_Dairy_ManureAppliedToSoils_Equations.VEERG_4_3_1_8__1_MassOfNitrogenAppliedToSoilsScope1(I40,_xlfn.XLOOKUP($E139,$D$22:$D$26,$E$22:$E$26),_xlfn.XLOOKUP($E139,$D$31:$D$35,$E$31:$E$35),I52,$F127)</f>
        <v>37.250053057728621</v>
      </c>
      <c r="J139" s="55" cm="1">
        <f t="array" ref="J139">MMS_Dairy_ManureAppliedToSoils_Equations.VEERG_4_3_1_8__1_MassOfNitrogenAppliedToSoilsScope1(J40,_xlfn.XLOOKUP($E139,$D$22:$D$26,$E$22:$E$26),_xlfn.XLOOKUP($E139,$D$31:$D$35,$E$31:$E$35),J52,$F127)</f>
        <v>15.593964275346504</v>
      </c>
      <c r="K139" s="2" t="str">
        <f t="shared" ref="K139:K146" si="4">$E$95</f>
        <v>kg N</v>
      </c>
      <c r="O139" s="55" t="str">
        <f>'Input - Dairy'!$D$66</f>
        <v>Milking shed</v>
      </c>
      <c r="P139" s="55" t="str">
        <f>'Input - Dairy'!$D$85</f>
        <v>Anaerobic lagoon</v>
      </c>
      <c r="Q139" s="55" cm="1">
        <f t="array" ref="Q139">MMS_Dairy_ManureAppliedToSoils_Equations.VEERG_4_3_1_8__1_MassOfNitrogenAppliedToSoilsScope1(Q40,_xlfn.XLOOKUP($P139,$D$22:$D$26,$E$22:$E$26),_xlfn.XLOOKUP($P139,$D$31:$D$35,$E$31:$E$35),Q52,$F127)</f>
        <v>-14.625356109280768</v>
      </c>
      <c r="R139" s="55" cm="1">
        <f t="array" ref="R139">MMS_Dairy_ManureAppliedToSoils_Equations.VEERG_4_3_1_8__1_MassOfNitrogenAppliedToSoilsScope1(R40,_xlfn.XLOOKUP($P139,$D$22:$D$26,$E$22:$E$26),_xlfn.XLOOKUP($P139,$D$31:$D$35,$E$31:$E$35),R52,$F127)</f>
        <v>29.633159185145878</v>
      </c>
      <c r="S139" s="55" cm="1">
        <f t="array" ref="S139">MMS_Dairy_ManureAppliedToSoils_Equations.VEERG_4_3_1_8__1_MassOfNitrogenAppliedToSoilsScope1(S40,_xlfn.XLOOKUP($P139,$D$22:$D$26,$E$22:$E$26),_xlfn.XLOOKUP($P139,$D$31:$D$35,$E$31:$E$35),S52,$F127)</f>
        <v>11.802573920124557</v>
      </c>
      <c r="T139" s="55" cm="1">
        <f t="array" ref="T139">MMS_Dairy_ManureAppliedToSoils_Equations.VEERG_4_3_1_8__1_MassOfNitrogenAppliedToSoilsScope1(T40,_xlfn.XLOOKUP($P139,$D$22:$D$26,$E$22:$E$26),_xlfn.XLOOKUP($P139,$D$31:$D$35,$E$31:$E$35),T52,$F127)</f>
        <v>37.250053057728621</v>
      </c>
      <c r="U139" s="55" cm="1">
        <f t="array" ref="U139">MMS_Dairy_ManureAppliedToSoils_Equations.VEERG_4_3_1_8__1_MassOfNitrogenAppliedToSoilsScope1(U40,_xlfn.XLOOKUP($P139,$D$22:$D$26,$E$22:$E$26),_xlfn.XLOOKUP($P139,$D$31:$D$35,$E$31:$E$35),U52,$F127)</f>
        <v>15.593964275346504</v>
      </c>
      <c r="V139" s="2" t="str">
        <f t="shared" ref="V139" si="5">$E$95</f>
        <v>kg N</v>
      </c>
    </row>
    <row r="140" spans="4:22" ht="20.100000000000001" customHeight="1" x14ac:dyDescent="0.25">
      <c r="D140" s="55" t="str">
        <f>'Input - Dairy'!$D$66</f>
        <v>Milking shed</v>
      </c>
      <c r="E140" s="55" t="str">
        <f>'Input - Dairy'!$D$86</f>
        <v>Sump and dispersal system</v>
      </c>
      <c r="F140" s="55" cm="1">
        <f t="array" ref="F140">MMS_Dairy_ManureAppliedToSoils_Equations.VEERG_4_3_1_8__1_MassOfNitrogenAppliedToSoilsScope1(F41,_xlfn.XLOOKUP($E140,$D$22:$D$26,$E$22:$E$26),_xlfn.XLOOKUP($E140,$D$31:$D$35,$E$31:$E$35),F53,$F128)</f>
        <v>-20.925509510201714</v>
      </c>
      <c r="G140" s="55" cm="1">
        <f t="array" ref="G140">MMS_Dairy_ManureAppliedToSoils_Equations.VEERG_4_3_1_8__1_MassOfNitrogenAppliedToSoilsScope1(G41,_xlfn.XLOOKUP($E140,$D$22:$D$26,$E$22:$E$26),_xlfn.XLOOKUP($E140,$D$31:$D$35,$E$31:$E$35),G53,$F128)</f>
        <v>42.398212372593328</v>
      </c>
      <c r="H140" s="55" cm="1">
        <f t="array" ref="H140">MMS_Dairy_ManureAppliedToSoils_Equations.VEERG_4_3_1_8__1_MassOfNitrogenAppliedToSoilsScope1(H41,_xlfn.XLOOKUP($E140,$D$22:$D$26,$E$22:$E$26),_xlfn.XLOOKUP($E140,$D$31:$D$35,$E$31:$E$35),H53,$F128)</f>
        <v>16.886759608793596</v>
      </c>
      <c r="I140" s="55" cm="1">
        <f t="array" ref="I140">MMS_Dairy_ManureAppliedToSoils_Equations.VEERG_4_3_1_8__1_MassOfNitrogenAppliedToSoilsScope1(I41,_xlfn.XLOOKUP($E140,$D$22:$D$26,$E$22:$E$26),_xlfn.XLOOKUP($E140,$D$31:$D$35,$E$31:$E$35),I53,$F128)</f>
        <v>53.296229759519406</v>
      </c>
      <c r="J140" s="55" cm="1">
        <f t="array" ref="J140">MMS_Dairy_ManureAppliedToSoils_Equations.VEERG_4_3_1_8__1_MassOfNitrogenAppliedToSoilsScope1(J41,_xlfn.XLOOKUP($E140,$D$22:$D$26,$E$22:$E$26),_xlfn.XLOOKUP($E140,$D$31:$D$35,$E$31:$E$35),J53,$F128)</f>
        <v>22.311364270880382</v>
      </c>
      <c r="K140" s="2" t="str">
        <f t="shared" si="4"/>
        <v>kg N</v>
      </c>
      <c r="O140" s="55" t="str">
        <f>'Input - Dairy'!$D$66</f>
        <v>Milking shed</v>
      </c>
      <c r="P140" s="55" t="str">
        <f>'Input - Dairy'!$D$86</f>
        <v>Sump and dispersal system</v>
      </c>
      <c r="Q140" s="55" cm="1">
        <f t="array" ref="Q140">MMS_Dairy_ManureAppliedToSoils_Equations.VEERG_4_3_1_8__1_MassOfNitrogenAppliedToSoilsScope1(Q41,_xlfn.XLOOKUP($P140,$D$22:$D$26,$E$22:$E$26),_xlfn.XLOOKUP($P140,$D$31:$D$35,$E$31:$E$35),Q53,$F128)</f>
        <v>-20.925509510201714</v>
      </c>
      <c r="R140" s="55" cm="1">
        <f t="array" ref="R140">MMS_Dairy_ManureAppliedToSoils_Equations.VEERG_4_3_1_8__1_MassOfNitrogenAppliedToSoilsScope1(R41,_xlfn.XLOOKUP($P140,$D$22:$D$26,$E$22:$E$26),_xlfn.XLOOKUP($P140,$D$31:$D$35,$E$31:$E$35),R53,$F128)</f>
        <v>42.398212372593328</v>
      </c>
      <c r="S140" s="55" cm="1">
        <f t="array" ref="S140">MMS_Dairy_ManureAppliedToSoils_Equations.VEERG_4_3_1_8__1_MassOfNitrogenAppliedToSoilsScope1(S41,_xlfn.XLOOKUP($P140,$D$22:$D$26,$E$22:$E$26),_xlfn.XLOOKUP($P140,$D$31:$D$35,$E$31:$E$35),S53,$F128)</f>
        <v>16.886759608793596</v>
      </c>
      <c r="T140" s="55" cm="1">
        <f t="array" ref="T140">MMS_Dairy_ManureAppliedToSoils_Equations.VEERG_4_3_1_8__1_MassOfNitrogenAppliedToSoilsScope1(T41,_xlfn.XLOOKUP($P140,$D$22:$D$26,$E$22:$E$26),_xlfn.XLOOKUP($P140,$D$31:$D$35,$E$31:$E$35),T53,$F128)</f>
        <v>53.296229759519406</v>
      </c>
      <c r="U140" s="55" cm="1">
        <f t="array" ref="U140">MMS_Dairy_ManureAppliedToSoils_Equations.VEERG_4_3_1_8__1_MassOfNitrogenAppliedToSoilsScope1(U41,_xlfn.XLOOKUP($P140,$D$22:$D$26,$E$22:$E$26),_xlfn.XLOOKUP($P140,$D$31:$D$35,$E$31:$E$35),U53,$F128)</f>
        <v>22.311364270880382</v>
      </c>
      <c r="V140" s="2"/>
    </row>
    <row r="141" spans="4:22" ht="20.100000000000001" customHeight="1" x14ac:dyDescent="0.25">
      <c r="D141" s="55" t="str">
        <f>'Input - Dairy'!$D$66</f>
        <v>Milking shed</v>
      </c>
      <c r="E141" s="55" t="str">
        <f>'Input - Dairy'!$D$87</f>
        <v>Drains to paddock</v>
      </c>
      <c r="F141" s="55" cm="1">
        <f t="array" ref="F141">MMS_Dairy_ManureAppliedToSoils_Equations.VEERG_4_3_1_8__1_MassOfNitrogenAppliedToSoilsScope1(F42,_xlfn.XLOOKUP($E141,$D$22:$D$26,$E$22:$E$26),_xlfn.XLOOKUP($E141,$D$31:$D$35,$E$31:$E$35),F54,$F129)</f>
        <v>-18.00043828834556</v>
      </c>
      <c r="G141" s="55" cm="1">
        <f t="array" ref="G141">MMS_Dairy_ManureAppliedToSoils_Equations.VEERG_4_3_1_8__1_MassOfNitrogenAppliedToSoilsScope1(G42,_xlfn.XLOOKUP($E141,$D$22:$D$26,$E$22:$E$26),_xlfn.XLOOKUP($E141,$D$31:$D$35,$E$31:$E$35),G54,$F129)</f>
        <v>36.471580535564158</v>
      </c>
      <c r="H141" s="55" cm="1">
        <f t="array" ref="H141">MMS_Dairy_ManureAppliedToSoils_Equations.VEERG_4_3_1_8__1_MassOfNitrogenAppliedToSoilsScope1(H42,_xlfn.XLOOKUP($E141,$D$22:$D$26,$E$22:$E$26),_xlfn.XLOOKUP($E141,$D$31:$D$35,$E$31:$E$35),H54,$F129)</f>
        <v>14.526244824768686</v>
      </c>
      <c r="I141" s="55" cm="1">
        <f t="array" ref="I141">MMS_Dairy_ManureAppliedToSoils_Equations.VEERG_4_3_1_8__1_MassOfNitrogenAppliedToSoilsScope1(I42,_xlfn.XLOOKUP($E141,$D$22:$D$26,$E$22:$E$26),_xlfn.XLOOKUP($E141,$D$31:$D$35,$E$31:$E$35),I54,$F129)</f>
        <v>45.846219147973692</v>
      </c>
      <c r="J141" s="55" cm="1">
        <f t="array" ref="J141">MMS_Dairy_ManureAppliedToSoils_Equations.VEERG_4_3_1_8__1_MassOfNitrogenAppliedToSoilsScope1(J42,_xlfn.XLOOKUP($E141,$D$22:$D$26,$E$22:$E$26),_xlfn.XLOOKUP($E141,$D$31:$D$35,$E$31:$E$35),J54,$F129)</f>
        <v>19.192571415811084</v>
      </c>
      <c r="K141" s="2" t="str">
        <f t="shared" si="4"/>
        <v>kg N</v>
      </c>
      <c r="O141" s="55" t="str">
        <f>'Input - Dairy'!$D$66</f>
        <v>Milking shed</v>
      </c>
      <c r="P141" s="55" t="str">
        <f>'Input - Dairy'!$D$87</f>
        <v>Drains to paddock</v>
      </c>
      <c r="Q141" s="55" cm="1">
        <f t="array" ref="Q141">MMS_Dairy_ManureAppliedToSoils_Equations.VEERG_4_3_1_8__1_MassOfNitrogenAppliedToSoilsScope1(Q42,_xlfn.XLOOKUP($P141,$D$22:$D$26,$E$22:$E$26),_xlfn.XLOOKUP($P141,$D$31:$D$35,$E$31:$E$35),Q54,$F129)</f>
        <v>-18.00043828834556</v>
      </c>
      <c r="R141" s="55" cm="1">
        <f t="array" ref="R141">MMS_Dairy_ManureAppliedToSoils_Equations.VEERG_4_3_1_8__1_MassOfNitrogenAppliedToSoilsScope1(R42,_xlfn.XLOOKUP($P141,$D$22:$D$26,$E$22:$E$26),_xlfn.XLOOKUP($P141,$D$31:$D$35,$E$31:$E$35),R54,$F129)</f>
        <v>36.471580535564158</v>
      </c>
      <c r="S141" s="55" cm="1">
        <f t="array" ref="S141">MMS_Dairy_ManureAppliedToSoils_Equations.VEERG_4_3_1_8__1_MassOfNitrogenAppliedToSoilsScope1(S42,_xlfn.XLOOKUP($P141,$D$22:$D$26,$E$22:$E$26),_xlfn.XLOOKUP($P141,$D$31:$D$35,$E$31:$E$35),S54,$F129)</f>
        <v>14.526244824768686</v>
      </c>
      <c r="T141" s="55" cm="1">
        <f t="array" ref="T141">MMS_Dairy_ManureAppliedToSoils_Equations.VEERG_4_3_1_8__1_MassOfNitrogenAppliedToSoilsScope1(T42,_xlfn.XLOOKUP($P141,$D$22:$D$26,$E$22:$E$26),_xlfn.XLOOKUP($P141,$D$31:$D$35,$E$31:$E$35),T54,$F129)</f>
        <v>45.846219147973692</v>
      </c>
      <c r="U141" s="55" cm="1">
        <f t="array" ref="U141">MMS_Dairy_ManureAppliedToSoils_Equations.VEERG_4_3_1_8__1_MassOfNitrogenAppliedToSoilsScope1(U42,_xlfn.XLOOKUP($P141,$D$22:$D$26,$E$22:$E$26),_xlfn.XLOOKUP($P141,$D$31:$D$35,$E$31:$E$35),U54,$F129)</f>
        <v>19.192571415811084</v>
      </c>
      <c r="V141" s="2"/>
    </row>
    <row r="142" spans="4:22" ht="20.100000000000001" customHeight="1" x14ac:dyDescent="0.25">
      <c r="D142" s="55" t="str">
        <f>'Input - Dairy'!$D$66</f>
        <v>Milking shed</v>
      </c>
      <c r="E142" s="55" t="s">
        <v>412</v>
      </c>
      <c r="F142" s="55" cm="1">
        <f t="array" ref="F142">MMS_Dairy_ManureAppliedToSoils_Equations.VEERG_4_3_1_8__1_MassOfNitrogenAppliedToSoilsScope1(F43,_xlfn.XLOOKUP($E142,$D$22:$D$26,$E$22:$E$26),_xlfn.XLOOKUP($E142,$D$31:$D$35,$E$31:$E$35),F55,$F130)</f>
        <v>-30.375739611583132</v>
      </c>
      <c r="G142" s="55" cm="1">
        <f t="array" ref="G142">MMS_Dairy_ManureAppliedToSoils_Equations.VEERG_4_3_1_8__1_MassOfNitrogenAppliedToSoilsScope1(G43,_xlfn.XLOOKUP($E142,$D$22:$D$26,$E$22:$E$26),_xlfn.XLOOKUP($E142,$D$31:$D$35,$E$31:$E$35),G55,$F130)</f>
        <v>61.545792153764516</v>
      </c>
      <c r="H142" s="55" cm="1">
        <f t="array" ref="H142">MMS_Dairy_ManureAppliedToSoils_Equations.VEERG_4_3_1_8__1_MassOfNitrogenAppliedToSoilsScope1(H43,_xlfn.XLOOKUP($E142,$D$22:$D$26,$E$22:$E$26),_xlfn.XLOOKUP($E142,$D$31:$D$35,$E$31:$E$35),H55,$F130)</f>
        <v>24.51303814179715</v>
      </c>
      <c r="I142" s="55" cm="1">
        <f t="array" ref="I142">MMS_Dairy_ManureAppliedToSoils_Equations.VEERG_4_3_1_8__1_MassOfNitrogenAppliedToSoilsScope1(I43,_xlfn.XLOOKUP($E142,$D$22:$D$26,$E$22:$E$26),_xlfn.XLOOKUP($E142,$D$31:$D$35,$E$31:$E$35),I55,$F130)</f>
        <v>77.365494812205597</v>
      </c>
      <c r="J142" s="55" cm="1">
        <f t="array" ref="J142">MMS_Dairy_ManureAppliedToSoils_Equations.VEERG_4_3_1_8__1_MassOfNitrogenAppliedToSoilsScope1(J43,_xlfn.XLOOKUP($E142,$D$22:$D$26,$E$22:$E$26),_xlfn.XLOOKUP($E142,$D$31:$D$35,$E$31:$E$35),J55,$F130)</f>
        <v>32.387464264181197</v>
      </c>
      <c r="K142" s="2" t="str">
        <f t="shared" si="4"/>
        <v>kg N</v>
      </c>
      <c r="O142" s="55" t="str">
        <f>'Input - Dairy'!$D$66</f>
        <v>Milking shed</v>
      </c>
      <c r="P142" s="55" t="s">
        <v>412</v>
      </c>
      <c r="Q142" s="55" cm="1">
        <f t="array" ref="Q142">MMS_Dairy_ManureAppliedToSoils_Equations.VEERG_4_3_1_8__1_MassOfNitrogenAppliedToSoilsScope1(Q43,_xlfn.XLOOKUP($P142,$D$22:$D$26,$E$22:$E$26),_xlfn.XLOOKUP($P142,$D$31:$D$35,$E$31:$E$35),Q55,$F130)</f>
        <v>-30.375739611583132</v>
      </c>
      <c r="R142" s="55" cm="1">
        <f t="array" ref="R142">MMS_Dairy_ManureAppliedToSoils_Equations.VEERG_4_3_1_8__1_MassOfNitrogenAppliedToSoilsScope1(R43,_xlfn.XLOOKUP($P142,$D$22:$D$26,$E$22:$E$26),_xlfn.XLOOKUP($P142,$D$31:$D$35,$E$31:$E$35),R55,$F130)</f>
        <v>61.545792153764516</v>
      </c>
      <c r="S142" s="55" cm="1">
        <f t="array" ref="S142">MMS_Dairy_ManureAppliedToSoils_Equations.VEERG_4_3_1_8__1_MassOfNitrogenAppliedToSoilsScope1(S43,_xlfn.XLOOKUP($P142,$D$22:$D$26,$E$22:$E$26),_xlfn.XLOOKUP($P142,$D$31:$D$35,$E$31:$E$35),S55,$F130)</f>
        <v>24.51303814179715</v>
      </c>
      <c r="T142" s="55" cm="1">
        <f t="array" ref="T142">MMS_Dairy_ManureAppliedToSoils_Equations.VEERG_4_3_1_8__1_MassOfNitrogenAppliedToSoilsScope1(T43,_xlfn.XLOOKUP($P142,$D$22:$D$26,$E$22:$E$26),_xlfn.XLOOKUP($P142,$D$31:$D$35,$E$31:$E$35),T55,$F130)</f>
        <v>77.365494812205597</v>
      </c>
      <c r="U142" s="55" cm="1">
        <f t="array" ref="U142">MMS_Dairy_ManureAppliedToSoils_Equations.VEERG_4_3_1_8__1_MassOfNitrogenAppliedToSoilsScope1(U43,_xlfn.XLOOKUP($P142,$D$22:$D$26,$E$22:$E$26),_xlfn.XLOOKUP($P142,$D$31:$D$35,$E$31:$E$35),U55,$F130)</f>
        <v>32.387464264181197</v>
      </c>
      <c r="V142" s="2"/>
    </row>
    <row r="143" spans="4:22" ht="20.100000000000001" customHeight="1" x14ac:dyDescent="0.25">
      <c r="D143" s="55" t="str">
        <f>'Input - Dairy'!$D$67</f>
        <v>Feed pad</v>
      </c>
      <c r="E143" s="55" t="str">
        <f>'Input - Dairy'!$D$101</f>
        <v>Anaerobic lagoon</v>
      </c>
      <c r="F143" s="55" cm="1">
        <f t="array" ref="F143">MMS_Dairy_ManureAppliedToSoils_Equations.VEERG_4_3_1_8__1_MassOfNitrogenAppliedToSoilsScope1(F44,_xlfn.XLOOKUP($E143,$D$22:$D$26,$E$22:$E$26),_xlfn.XLOOKUP($E143,$D$31:$D$35,$E$31:$E$35),F56,$F131)</f>
        <v>-59.166213351181284</v>
      </c>
      <c r="G143" s="55" cm="1">
        <f t="array" ref="G143">MMS_Dairy_ManureAppliedToSoils_Equations.VEERG_4_3_1_8__1_MassOfNitrogenAppliedToSoilsScope1(G44,_xlfn.XLOOKUP($E143,$D$22:$D$26,$E$22:$E$26),_xlfn.XLOOKUP($E143,$D$31:$D$35,$E$31:$E$35),G56,$F131)</f>
        <v>119.87959852172649</v>
      </c>
      <c r="H143" s="55" cm="1">
        <f t="array" ref="H143">MMS_Dairy_ManureAppliedToSoils_Equations.VEERG_4_3_1_8__1_MassOfNitrogenAppliedToSoilsScope1(H44,_xlfn.XLOOKUP($E143,$D$22:$D$26,$E$22:$E$26),_xlfn.XLOOKUP($E143,$D$31:$D$35,$E$31:$E$35),H56,$F131)</f>
        <v>47.746776313231159</v>
      </c>
      <c r="I143" s="55" cm="1">
        <f t="array" ref="I143">MMS_Dairy_ManureAppliedToSoils_Equations.VEERG_4_3_1_8__1_MassOfNitrogenAppliedToSoilsScope1(I44,_xlfn.XLOOKUP($E143,$D$22:$D$26,$E$22:$E$26),_xlfn.XLOOKUP($E143,$D$31:$D$35,$E$31:$E$35),I56,$F131)</f>
        <v>150.69339646081124</v>
      </c>
      <c r="J143" s="55" cm="1">
        <f t="array" ref="J143">MMS_Dairy_ManureAppliedToSoils_Equations.VEERG_4_3_1_8__1_MassOfNitrogenAppliedToSoilsScope1(J44,_xlfn.XLOOKUP($E143,$D$22:$D$26,$E$22:$E$26),_xlfn.XLOOKUP($E143,$D$31:$D$35,$E$31:$E$35),J56,$F131)</f>
        <v>63.084673659356305</v>
      </c>
      <c r="K143" s="2" t="str">
        <f t="shared" si="4"/>
        <v>kg N</v>
      </c>
      <c r="O143" s="55" t="str">
        <f>'Input - Dairy'!$D$67</f>
        <v>Feed pad</v>
      </c>
      <c r="P143" s="55" t="str">
        <f>'Input - Dairy'!$D$101</f>
        <v>Anaerobic lagoon</v>
      </c>
      <c r="Q143" s="55" cm="1">
        <f t="array" ref="Q143">MMS_Dairy_ManureAppliedToSoils_Equations.VEERG_4_3_1_8__1_MassOfNitrogenAppliedToSoilsScope1(Q44,_xlfn.XLOOKUP($P143,$D$22:$D$26,$E$22:$E$26),_xlfn.XLOOKUP($P143,$D$31:$D$35,$E$31:$E$35),Q56,$F131)</f>
        <v>-59.166213351181284</v>
      </c>
      <c r="R143" s="55" cm="1">
        <f t="array" ref="R143">MMS_Dairy_ManureAppliedToSoils_Equations.VEERG_4_3_1_8__1_MassOfNitrogenAppliedToSoilsScope1(R44,_xlfn.XLOOKUP($P143,$D$22:$D$26,$E$22:$E$26),_xlfn.XLOOKUP($P143,$D$31:$D$35,$E$31:$E$35),R56,$F131)</f>
        <v>119.87959852172649</v>
      </c>
      <c r="S143" s="55" cm="1">
        <f t="array" ref="S143">MMS_Dairy_ManureAppliedToSoils_Equations.VEERG_4_3_1_8__1_MassOfNitrogenAppliedToSoilsScope1(S44,_xlfn.XLOOKUP($P143,$D$22:$D$26,$E$22:$E$26),_xlfn.XLOOKUP($P143,$D$31:$D$35,$E$31:$E$35),S56,$F131)</f>
        <v>47.746776313231159</v>
      </c>
      <c r="T143" s="55" cm="1">
        <f t="array" ref="T143">MMS_Dairy_ManureAppliedToSoils_Equations.VEERG_4_3_1_8__1_MassOfNitrogenAppliedToSoilsScope1(T44,_xlfn.XLOOKUP($P143,$D$22:$D$26,$E$22:$E$26),_xlfn.XLOOKUP($P143,$D$31:$D$35,$E$31:$E$35),T56,$F131)</f>
        <v>150.69339646081124</v>
      </c>
      <c r="U143" s="55" cm="1">
        <f t="array" ref="U143">MMS_Dairy_ManureAppliedToSoils_Equations.VEERG_4_3_1_8__1_MassOfNitrogenAppliedToSoilsScope1(U44,_xlfn.XLOOKUP($P143,$D$22:$D$26,$E$22:$E$26),_xlfn.XLOOKUP($P143,$D$31:$D$35,$E$31:$E$35),U56,$F131)</f>
        <v>63.084673659356305</v>
      </c>
      <c r="V143" s="2"/>
    </row>
    <row r="144" spans="4:22" ht="20.100000000000001" customHeight="1" x14ac:dyDescent="0.25">
      <c r="D144" s="55" t="str">
        <f>'Input - Dairy'!$D$67</f>
        <v>Feed pad</v>
      </c>
      <c r="E144" s="55" t="str">
        <f>'Input - Dairy'!$D$102</f>
        <v>Sump and dispersal system</v>
      </c>
      <c r="F144" s="55" cm="1">
        <f t="array" ref="F144">MMS_Dairy_ManureAppliedToSoils_Equations.VEERG_4_3_1_8__1_MassOfNitrogenAppliedToSoilsScope1(F45,_xlfn.XLOOKUP($E144,$D$22:$D$26,$E$22:$E$26),_xlfn.XLOOKUP($E144,$D$31:$D$35,$E$31:$E$35),F57,$F132)</f>
        <v>-67.722558051198263</v>
      </c>
      <c r="G144" s="55" cm="1">
        <f t="array" ref="G144">MMS_Dairy_ManureAppliedToSoils_Equations.VEERG_4_3_1_8__1_MassOfNitrogenAppliedToSoilsScope1(G45,_xlfn.XLOOKUP($E144,$D$22:$D$26,$E$22:$E$26),_xlfn.XLOOKUP($E144,$D$31:$D$35,$E$31:$E$35),G57,$F132)</f>
        <v>137.21603276948386</v>
      </c>
      <c r="H144" s="55" cm="1">
        <f t="array" ref="H144">MMS_Dairy_ManureAppliedToSoils_Equations.VEERG_4_3_1_8__1_MassOfNitrogenAppliedToSoilsScope1(H45,_xlfn.XLOOKUP($E144,$D$22:$D$26,$E$22:$E$26),_xlfn.XLOOKUP($E144,$D$31:$D$35,$E$31:$E$35),H57,$F132)</f>
        <v>54.651694733913814</v>
      </c>
      <c r="I144" s="55" cm="1">
        <f t="array" ref="I144">MMS_Dairy_ManureAppliedToSoils_Equations.VEERG_4_3_1_8__1_MassOfNitrogenAppliedToSoilsScope1(I45,_xlfn.XLOOKUP($E144,$D$22:$D$26,$E$22:$E$26),_xlfn.XLOOKUP($E144,$D$31:$D$35,$E$31:$E$35),I57,$F132)</f>
        <v>172.48597994899006</v>
      </c>
      <c r="J144" s="55" cm="1">
        <f t="array" ref="J144">MMS_Dairy_ManureAppliedToSoils_Equations.VEERG_4_3_1_8__1_MassOfNitrogenAppliedToSoilsScope1(J45,_xlfn.XLOOKUP($E144,$D$22:$D$26,$E$22:$E$26),_xlfn.XLOOKUP($E144,$D$31:$D$35,$E$31:$E$35),J57,$F132)</f>
        <v>72.207688003940135</v>
      </c>
      <c r="K144" s="2" t="str">
        <f t="shared" si="4"/>
        <v>kg N</v>
      </c>
      <c r="O144" s="55" t="str">
        <f>'Input - Dairy'!$D$67</f>
        <v>Feed pad</v>
      </c>
      <c r="P144" s="55" t="str">
        <f>'Input - Dairy'!$D$102</f>
        <v>Sump and dispersal system</v>
      </c>
      <c r="Q144" s="55" cm="1">
        <f t="array" ref="Q144">MMS_Dairy_ManureAppliedToSoils_Equations.VEERG_4_3_1_8__1_MassOfNitrogenAppliedToSoilsScope1(Q45,_xlfn.XLOOKUP($P144,$D$22:$D$26,$E$22:$E$26),_xlfn.XLOOKUP($P144,$D$31:$D$35,$E$31:$E$35),Q57,$F132)</f>
        <v>-67.722558051198263</v>
      </c>
      <c r="R144" s="55" cm="1">
        <f t="array" ref="R144">MMS_Dairy_ManureAppliedToSoils_Equations.VEERG_4_3_1_8__1_MassOfNitrogenAppliedToSoilsScope1(R45,_xlfn.XLOOKUP($P144,$D$22:$D$26,$E$22:$E$26),_xlfn.XLOOKUP($P144,$D$31:$D$35,$E$31:$E$35),R57,$F132)</f>
        <v>137.21603276948386</v>
      </c>
      <c r="S144" s="55" cm="1">
        <f t="array" ref="S144">MMS_Dairy_ManureAppliedToSoils_Equations.VEERG_4_3_1_8__1_MassOfNitrogenAppliedToSoilsScope1(S45,_xlfn.XLOOKUP($P144,$D$22:$D$26,$E$22:$E$26),_xlfn.XLOOKUP($P144,$D$31:$D$35,$E$31:$E$35),S57,$F132)</f>
        <v>54.651694733913814</v>
      </c>
      <c r="T144" s="55" cm="1">
        <f t="array" ref="T144">MMS_Dairy_ManureAppliedToSoils_Equations.VEERG_4_3_1_8__1_MassOfNitrogenAppliedToSoilsScope1(T45,_xlfn.XLOOKUP($P144,$D$22:$D$26,$E$22:$E$26),_xlfn.XLOOKUP($P144,$D$31:$D$35,$E$31:$E$35),T57,$F132)</f>
        <v>172.48597994899006</v>
      </c>
      <c r="U144" s="55" cm="1">
        <f t="array" ref="U144">MMS_Dairy_ManureAppliedToSoils_Equations.VEERG_4_3_1_8__1_MassOfNitrogenAppliedToSoilsScope1(U45,_xlfn.XLOOKUP($P144,$D$22:$D$26,$E$22:$E$26),_xlfn.XLOOKUP($P144,$D$31:$D$35,$E$31:$E$35),U57,$F132)</f>
        <v>72.207688003940135</v>
      </c>
      <c r="V144" s="2"/>
    </row>
    <row r="145" spans="1:22" ht="20.100000000000001" customHeight="1" x14ac:dyDescent="0.25">
      <c r="D145" s="55" t="str">
        <f>'Input - Dairy'!$D$67</f>
        <v>Feed pad</v>
      </c>
      <c r="E145" s="55" t="str">
        <f>'Input - Dairy'!$D$103</f>
        <v>Drains to paddock</v>
      </c>
      <c r="F145" s="55" cm="1">
        <f t="array" ref="F145">MMS_Dairy_ManureAppliedToSoils_Equations.VEERG_4_3_1_8__1_MassOfNitrogenAppliedToSoilsScope1(F46,_xlfn.XLOOKUP($E145,$D$22:$D$26,$E$22:$E$26),_xlfn.XLOOKUP($E145,$D$31:$D$35,$E$31:$E$35),F58,$F133)</f>
        <v>-58.255963915009261</v>
      </c>
      <c r="G145" s="55" cm="1">
        <f t="array" ref="G145">MMS_Dairy_ManureAppliedToSoils_Equations.VEERG_4_3_1_8__1_MassOfNitrogenAppliedToSoilsScope1(G46,_xlfn.XLOOKUP($E145,$D$22:$D$26,$E$22:$E$26),_xlfn.XLOOKUP($E145,$D$31:$D$35,$E$31:$E$35),G58,$F133)</f>
        <v>118.03529700600764</v>
      </c>
      <c r="H145" s="55" cm="1">
        <f t="array" ref="H145">MMS_Dairy_ManureAppliedToSoils_Equations.VEERG_4_3_1_8__1_MassOfNitrogenAppliedToSoilsScope1(H46,_xlfn.XLOOKUP($E145,$D$22:$D$26,$E$22:$E$26),_xlfn.XLOOKUP($E145,$D$31:$D$35,$E$31:$E$35),H58,$F133)</f>
        <v>47.012210523796831</v>
      </c>
      <c r="I145" s="55" cm="1">
        <f t="array" ref="I145">MMS_Dairy_ManureAppliedToSoils_Equations.VEERG_4_3_1_8__1_MassOfNitrogenAppliedToSoilsScope1(I46,_xlfn.XLOOKUP($E145,$D$22:$D$26,$E$22:$E$26),_xlfn.XLOOKUP($E145,$D$31:$D$35,$E$31:$E$35),I58,$F133)</f>
        <v>148.37503651526029</v>
      </c>
      <c r="J145" s="55" cm="1">
        <f t="array" ref="J145">MMS_Dairy_ManureAppliedToSoils_Equations.VEERG_4_3_1_8__1_MassOfNitrogenAppliedToSoilsScope1(J46,_xlfn.XLOOKUP($E145,$D$22:$D$26,$E$22:$E$26),_xlfn.XLOOKUP($E145,$D$31:$D$35,$E$31:$E$35),J58,$F133)</f>
        <v>62.114140218443133</v>
      </c>
      <c r="K145" s="2" t="str">
        <f t="shared" si="4"/>
        <v>kg N</v>
      </c>
      <c r="O145" s="55" t="str">
        <f>'Input - Dairy'!$D$67</f>
        <v>Feed pad</v>
      </c>
      <c r="P145" s="55" t="str">
        <f>'Input - Dairy'!$D$103</f>
        <v>Drains to paddock</v>
      </c>
      <c r="Q145" s="55" cm="1">
        <f t="array" ref="Q145">MMS_Dairy_ManureAppliedToSoils_Equations.VEERG_4_3_1_8__1_MassOfNitrogenAppliedToSoilsScope1(Q46,_xlfn.XLOOKUP($P145,$D$22:$D$26,$E$22:$E$26),_xlfn.XLOOKUP($P145,$D$31:$D$35,$E$31:$E$35),Q58,$F133)</f>
        <v>-58.255963915009261</v>
      </c>
      <c r="R145" s="55" cm="1">
        <f t="array" ref="R145">MMS_Dairy_ManureAppliedToSoils_Equations.VEERG_4_3_1_8__1_MassOfNitrogenAppliedToSoilsScope1(R46,_xlfn.XLOOKUP($P145,$D$22:$D$26,$E$22:$E$26),_xlfn.XLOOKUP($P145,$D$31:$D$35,$E$31:$E$35),R58,$F133)</f>
        <v>118.03529700600764</v>
      </c>
      <c r="S145" s="55" cm="1">
        <f t="array" ref="S145">MMS_Dairy_ManureAppliedToSoils_Equations.VEERG_4_3_1_8__1_MassOfNitrogenAppliedToSoilsScope1(S46,_xlfn.XLOOKUP($P145,$D$22:$D$26,$E$22:$E$26),_xlfn.XLOOKUP($P145,$D$31:$D$35,$E$31:$E$35),S58,$F133)</f>
        <v>47.012210523796831</v>
      </c>
      <c r="T145" s="55" cm="1">
        <f t="array" ref="T145">MMS_Dairy_ManureAppliedToSoils_Equations.VEERG_4_3_1_8__1_MassOfNitrogenAppliedToSoilsScope1(T46,_xlfn.XLOOKUP($P145,$D$22:$D$26,$E$22:$E$26),_xlfn.XLOOKUP($P145,$D$31:$D$35,$E$31:$E$35),T58,$F133)</f>
        <v>148.37503651526029</v>
      </c>
      <c r="U145" s="55" cm="1">
        <f t="array" ref="U145">MMS_Dairy_ManureAppliedToSoils_Equations.VEERG_4_3_1_8__1_MassOfNitrogenAppliedToSoilsScope1(U46,_xlfn.XLOOKUP($P145,$D$22:$D$26,$E$22:$E$26),_xlfn.XLOOKUP($P145,$D$31:$D$35,$E$31:$E$35),U58,$F133)</f>
        <v>62.114140218443133</v>
      </c>
      <c r="V145" s="2"/>
    </row>
    <row r="146" spans="1:22" ht="20.100000000000001" customHeight="1" x14ac:dyDescent="0.25">
      <c r="D146" s="55" t="str">
        <f>'Input - Dairy'!$D$67</f>
        <v>Feed pad</v>
      </c>
      <c r="E146" s="55" t="s">
        <v>412</v>
      </c>
      <c r="F146" s="55" cm="1">
        <f t="array" ref="F146">MMS_Dairy_ManureAppliedToSoils_Equations.VEERG_4_3_1_8__1_MassOfNitrogenAppliedToSoilsScope1(F47,_xlfn.XLOOKUP($E146,$D$22:$D$26,$E$22:$E$26),_xlfn.XLOOKUP($E146,$D$31:$D$35,$E$31:$E$35),F59,$F134)</f>
        <v>-86.018571718255856</v>
      </c>
      <c r="G146" s="55" cm="1">
        <f t="array" ref="G146">MMS_Dairy_ManureAppliedToSoils_Equations.VEERG_4_3_1_8__1_MassOfNitrogenAppliedToSoilsScope1(G47,_xlfn.XLOOKUP($E146,$D$22:$D$26,$E$22:$E$26),_xlfn.XLOOKUP($E146,$D$31:$D$35,$E$31:$E$35),G59,$F134)</f>
        <v>174.28649323543314</v>
      </c>
      <c r="H146" s="55" cm="1">
        <f t="array" ref="H146">MMS_Dairy_ManureAppliedToSoils_Equations.VEERG_4_3_1_8__1_MassOfNitrogenAppliedToSoilsScope1(H47,_xlfn.XLOOKUP($E146,$D$22:$D$26,$E$22:$E$26),_xlfn.XLOOKUP($E146,$D$31:$D$35,$E$31:$E$35),H59,$F134)</f>
        <v>69.416467101543759</v>
      </c>
      <c r="I146" s="55" cm="1">
        <f t="array" ref="I146">MMS_Dairy_ManureAppliedToSoils_Equations.VEERG_4_3_1_8__1_MassOfNitrogenAppliedToSoilsScope1(I47,_xlfn.XLOOKUP($E146,$D$22:$D$26,$E$22:$E$26),_xlfn.XLOOKUP($E146,$D$31:$D$35,$E$31:$E$35),I59,$F134)</f>
        <v>219.08501485456401</v>
      </c>
      <c r="J146" s="55" cm="1">
        <f t="array" ref="J146">MMS_Dairy_ManureAppliedToSoils_Equations.VEERG_4_3_1_8__1_MassOfNitrogenAppliedToSoilsScope1(J47,_xlfn.XLOOKUP($E146,$D$22:$D$26,$E$22:$E$26),_xlfn.XLOOKUP($E146,$D$31:$D$35,$E$31:$E$35),J59,$F134)</f>
        <v>91.715410166294944</v>
      </c>
      <c r="K146" s="2" t="str">
        <f t="shared" si="4"/>
        <v>kg N</v>
      </c>
      <c r="O146" s="55" t="str">
        <f>'Input - Dairy'!$D$67</f>
        <v>Feed pad</v>
      </c>
      <c r="P146" s="55" t="s">
        <v>412</v>
      </c>
      <c r="Q146" s="55" cm="1">
        <f t="array" ref="Q146">MMS_Dairy_ManureAppliedToSoils_Equations.VEERG_4_3_1_8__1_MassOfNitrogenAppliedToSoilsScope1(Q47,_xlfn.XLOOKUP($P146,$D$22:$D$26,$E$22:$E$26),_xlfn.XLOOKUP($P146,$D$31:$D$35,$E$31:$E$35),Q59,$F134)</f>
        <v>-86.018571718255856</v>
      </c>
      <c r="R146" s="55" cm="1">
        <f t="array" ref="R146">MMS_Dairy_ManureAppliedToSoils_Equations.VEERG_4_3_1_8__1_MassOfNitrogenAppliedToSoilsScope1(R47,_xlfn.XLOOKUP($P146,$D$22:$D$26,$E$22:$E$26),_xlfn.XLOOKUP($P146,$D$31:$D$35,$E$31:$E$35),R59,$F134)</f>
        <v>174.28649323543314</v>
      </c>
      <c r="S146" s="55" cm="1">
        <f t="array" ref="S146">MMS_Dairy_ManureAppliedToSoils_Equations.VEERG_4_3_1_8__1_MassOfNitrogenAppliedToSoilsScope1(S47,_xlfn.XLOOKUP($P146,$D$22:$D$26,$E$22:$E$26),_xlfn.XLOOKUP($P146,$D$31:$D$35,$E$31:$E$35),S59,$F134)</f>
        <v>69.416467101543759</v>
      </c>
      <c r="T146" s="55" cm="1">
        <f t="array" ref="T146">MMS_Dairy_ManureAppliedToSoils_Equations.VEERG_4_3_1_8__1_MassOfNitrogenAppliedToSoilsScope1(T47,_xlfn.XLOOKUP($P146,$D$22:$D$26,$E$22:$E$26),_xlfn.XLOOKUP($P146,$D$31:$D$35,$E$31:$E$35),T59,$F134)</f>
        <v>219.08501485456401</v>
      </c>
      <c r="U146" s="55" cm="1">
        <f t="array" ref="U146">MMS_Dairy_ManureAppliedToSoils_Equations.VEERG_4_3_1_8__1_MassOfNitrogenAppliedToSoilsScope1(U47,_xlfn.XLOOKUP($P146,$D$22:$D$26,$E$22:$E$26),_xlfn.XLOOKUP($P146,$D$31:$D$35,$E$31:$E$35),U59,$F134)</f>
        <v>91.715410166294944</v>
      </c>
      <c r="V146" s="2"/>
    </row>
    <row r="147" spans="1:22" ht="20.100000000000001" customHeight="1" x14ac:dyDescent="0.25"/>
    <row r="148" spans="1:22" ht="20.100000000000001" customHeight="1" x14ac:dyDescent="0.25">
      <c r="A148" s="141" t="str">
        <f>HYPERLINK("#A1", "▲ Back to top")</f>
        <v>▲ Back to top</v>
      </c>
      <c r="D148" s="108" t="s">
        <v>141</v>
      </c>
      <c r="E148" s="109">
        <f>SUM(F139:J146)</f>
        <v>1933.9362812239392</v>
      </c>
      <c r="F148" s="110" t="str">
        <f>$E$95</f>
        <v>kg N</v>
      </c>
      <c r="O148" s="108" t="s">
        <v>141</v>
      </c>
      <c r="P148" s="109">
        <f>SUM(Q139:U146)</f>
        <v>1933.9362812239392</v>
      </c>
      <c r="Q148" s="110" t="str">
        <f>$E$95</f>
        <v>kg N</v>
      </c>
    </row>
    <row r="149" spans="1:22" ht="20.100000000000001" customHeight="1" x14ac:dyDescent="0.25"/>
    <row r="150" spans="1:22" ht="20.100000000000001" customHeight="1" x14ac:dyDescent="0.25"/>
    <row r="151" spans="1:22" ht="20.100000000000001" customHeight="1" x14ac:dyDescent="0.25"/>
    <row r="152" spans="1:22" ht="20.100000000000001" customHeight="1" x14ac:dyDescent="0.25"/>
    <row r="153" spans="1:22" ht="20.100000000000001" customHeight="1" x14ac:dyDescent="0.25"/>
    <row r="154" spans="1:22" ht="20.100000000000001" customHeight="1" x14ac:dyDescent="0.25"/>
    <row r="155" spans="1:22" ht="20.100000000000001" customHeight="1" x14ac:dyDescent="0.25"/>
    <row r="156" spans="1:22" ht="20.100000000000001" customHeight="1" x14ac:dyDescent="0.25"/>
    <row r="157" spans="1:22" ht="20.100000000000001" customHeight="1" x14ac:dyDescent="0.25"/>
    <row r="158" spans="1:22" ht="20.100000000000001" customHeight="1" x14ac:dyDescent="0.25"/>
    <row r="159" spans="1:22" ht="20.100000000000001" customHeight="1" x14ac:dyDescent="0.25"/>
    <row r="160" spans="1:22"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3CE1B7AD-39BD-4423-96DF-3D6853CFDB0B}"/>
  </dataValidation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D4E5F-2570-481F-B379-68CEB1558D7A}">
  <dimension ref="A1:W165"/>
  <sheetViews>
    <sheetView showGridLines="0" topLeftCell="G27" workbookViewId="0">
      <selection activeCell="A16" sqref="A1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59"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359</v>
      </c>
      <c r="M1" s="59"/>
    </row>
    <row r="2" spans="1:23" s="9" customFormat="1" ht="20.100000000000001" customHeight="1" x14ac:dyDescent="0.25">
      <c r="M2" s="59"/>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MMS_Dairy_N2ODirect_Equations.VEERG_4_3_1_3__2_TotalNitrogenInEachMMS_Title()</f>
        <v>Total nitrogen in each MMS</v>
      </c>
    </row>
    <row r="6" spans="1:23" ht="20.100000000000001" customHeight="1" x14ac:dyDescent="0.25">
      <c r="A6" s="16"/>
      <c r="D6" s="5" t="str" cm="1">
        <f t="array" ref="D6">MMS_Dairy_N2ODirect_Equations.VEERG_4_3_1_3__2_TotalNitrogenInEachMMS_Source()</f>
        <v>VEERG 2026: 4.3.1.3, Equation (2)</v>
      </c>
    </row>
    <row r="7" spans="1:23" ht="20.100000000000001" customHeight="1" x14ac:dyDescent="0.25">
      <c r="A7" s="20" t="s">
        <v>3</v>
      </c>
      <c r="D7" s="13" t="s">
        <v>28</v>
      </c>
      <c r="E7" s="13" t="str" cm="1">
        <f t="array" aca="1" ref="E7" ca="1">Common_InputFunctions.Utility_DisplayFunctionName(F31)</f>
        <v>=MMS_Dairy_N2ODirect_Equations.VEERG_4_3_1_3__2_TotalNitrogenInEachMMS</v>
      </c>
    </row>
    <row r="8" spans="1:23" ht="20.100000000000001" customHeight="1" x14ac:dyDescent="0.25">
      <c r="A8" s="17" t="str">
        <f>HYPERLINK("#'Input - Site'!A1", "Site")</f>
        <v>Site</v>
      </c>
    </row>
    <row r="9" spans="1:23" ht="20.100000000000001" customHeight="1" x14ac:dyDescent="0.25">
      <c r="A9" s="17" t="str">
        <f>HYPERLINK("#'Input - Dairy'!A1", "Dairy")</f>
        <v>Dairy</v>
      </c>
      <c r="D9" s="6"/>
    </row>
    <row r="10" spans="1:23" ht="20.100000000000001" customHeight="1" x14ac:dyDescent="0.25">
      <c r="A10" s="17"/>
      <c r="D10" s="56" t="s">
        <v>31</v>
      </c>
      <c r="E10" s="1" t="str" cm="1">
        <f t="array" ref="E10">MMS_Dairy_N2ODirect_Equations.VEERG_4_3_1_3__2_TotalNitrogenInEachMMS_Variable()</f>
        <v>MN_jm</v>
      </c>
    </row>
    <row r="11" spans="1:23" ht="20.100000000000001" customHeight="1" x14ac:dyDescent="0.25">
      <c r="A11" s="19" t="s">
        <v>78</v>
      </c>
      <c r="D11" s="56" t="s">
        <v>21</v>
      </c>
      <c r="E11" s="57" t="str" cm="1">
        <f t="array" ref="E11">MMS_Dairy_N2ODirect_Equations.VEERG_4_3_1_3__2_TotalNitrogenInEachMMS_Unit()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_xlfn.CHOOSECOLS(MMS_Dairy_N2ODirect_Equations.VEERG_4_3_1_3__2_TotalNitrogenInEachMMS_Arguments(),1,2)</f>
        <v>AE_j</v>
      </c>
      <c r="E13" s="136" t="str">
        <v>total nitrogen excreted by each dairy class</v>
      </c>
      <c r="F13" s="138"/>
      <c r="G13" s="137" t="str" cm="1">
        <f t="array" ref="G13:H14">_xlfn.CHOOSECOLS(MMS_Dairy_N2ODirect_Equations.VEERG_4_3_1_3__2_TotalNitrogenInEachMMS_Arguments(),3,4)</f>
        <v>kg N</v>
      </c>
      <c r="H13" s="133" t="str">
        <v>Calculated from 4.3.1.3 (3a) and (3b)</v>
      </c>
      <c r="I13" s="134" t="str" cm="1">
        <f t="array" aca="1" ref="I13" ca="1">HYPERLINK(Common_InputFunctions.Utility_SourceHyperlink($D$16),$D$16)</f>
        <v>M1_Table_AE_j</v>
      </c>
    </row>
    <row r="14" spans="1:23" ht="20.100000000000001" customHeight="1" x14ac:dyDescent="0.25">
      <c r="A14" s="17" t="str">
        <f>HYPERLINK("#'4.3.1.5 Atmos Deposition'!A1", "4.3.1.5 Atmospheric deposition")</f>
        <v>4.3.1.5 Atmospheric deposition</v>
      </c>
      <c r="D14" s="137" t="str">
        <v>MMS_jm</v>
      </c>
      <c r="E14" s="136" t="str">
        <v>manure management system fraction for class j and system m</v>
      </c>
      <c r="F14" s="138"/>
      <c r="G14" s="137" t="str">
        <v>fraction</v>
      </c>
      <c r="H14" s="135" t="str">
        <v>Input</v>
      </c>
      <c r="I14" s="134" t="str" cm="1">
        <f t="array" aca="1" ref="I14" ca="1">HYPERLINK(Common_InputFunctions.Utility_SourceHyperlink($D$22),$D$22)</f>
        <v>M1_Table_MMS_j_m-14</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123</v>
      </c>
      <c r="O16" s="104" t="s">
        <v>123</v>
      </c>
    </row>
    <row r="17" spans="1:22" ht="20.100000000000001" customHeight="1" x14ac:dyDescent="0.25">
      <c r="A17" s="22" t="str">
        <f>HYPERLINK("#'4.3.1.9 Soil direct N2O'!A1", "4.3.1.9 Soil direct N2O")</f>
        <v>4.3.1.9 Soil direct N2O</v>
      </c>
      <c r="D17" s="103" t="s">
        <v>362</v>
      </c>
      <c r="O17" s="103" t="s">
        <v>362</v>
      </c>
    </row>
    <row r="18" spans="1:22" ht="20.100000000000001" customHeight="1" x14ac:dyDescent="0.25">
      <c r="A18" s="17" t="str">
        <f>HYPERLINK("#'4.3.1.10-11 Soil Atmos Dep'!A1", "4.3.1.10-11 Soil atm. deposition")</f>
        <v>4.3.1.10-11 Soil atm. deposition</v>
      </c>
      <c r="D18" s="54" t="s">
        <v>175</v>
      </c>
      <c r="E18" s="54" t="s">
        <v>192</v>
      </c>
      <c r="F18" s="54" t="s">
        <v>193</v>
      </c>
      <c r="G18" s="54" t="s">
        <v>194</v>
      </c>
      <c r="H18" s="54" t="s">
        <v>195</v>
      </c>
      <c r="O18" s="54" t="s">
        <v>175</v>
      </c>
      <c r="P18" s="54" t="s">
        <v>192</v>
      </c>
      <c r="Q18" s="54" t="s">
        <v>193</v>
      </c>
      <c r="R18" s="54" t="s">
        <v>194</v>
      </c>
      <c r="S18" s="54" t="s">
        <v>195</v>
      </c>
    </row>
    <row r="19" spans="1:22" ht="20.100000000000001" customHeight="1" x14ac:dyDescent="0.25">
      <c r="A19" s="17" t="str">
        <f>HYPERLINK("#'4.3.1.12-13 Soil leach runoff'!A1", "4.3.1.12-13 Soil leach &amp; runoff")</f>
        <v>4.3.1.12-13 Soil leach &amp; runoff</v>
      </c>
      <c r="D19" s="55">
        <f>'4.3.1.3-4 Direct N20'!D176</f>
        <v>-4091.0087018967179</v>
      </c>
      <c r="E19" s="55">
        <f>'4.3.1.3-4 Direct N20'!E176</f>
        <v>8288.9955762645804</v>
      </c>
      <c r="F19" s="55">
        <f>'4.3.1.3-4 Direct N20'!F213</f>
        <v>3301.419278356519</v>
      </c>
      <c r="G19" s="55">
        <f>'4.3.1.3-4 Direct N20'!G176</f>
        <v>10419.59526090311</v>
      </c>
      <c r="H19" s="55">
        <f>'4.3.1.3-4 Direct N20'!H213</f>
        <v>4361.9480490479727</v>
      </c>
      <c r="I19" s="2" t="str">
        <f>$G$13</f>
        <v>kg N</v>
      </c>
      <c r="O19" s="55">
        <f>'4.3.1.3-4 Direct N20'!N176</f>
        <v>-4091.0087018967179</v>
      </c>
      <c r="P19" s="55">
        <f>'4.3.1.3-4 Direct N20'!O176</f>
        <v>8288.9955762645804</v>
      </c>
      <c r="Q19" s="55">
        <f>'4.3.1.3-4 Direct N20'!P213</f>
        <v>3301.419278356519</v>
      </c>
      <c r="R19" s="55">
        <f>'4.3.1.3-4 Direct N20'!Q176</f>
        <v>10419.59526090311</v>
      </c>
      <c r="S19" s="55">
        <f>'4.3.1.3-4 Direct N20'!R213</f>
        <v>4361.9480490479727</v>
      </c>
      <c r="T19" s="2" t="str">
        <f>$G$13</f>
        <v>kg N</v>
      </c>
    </row>
    <row r="20" spans="1:22" ht="20.100000000000001" customHeight="1" x14ac:dyDescent="0.25">
      <c r="A20" s="17"/>
    </row>
    <row r="21" spans="1:22" ht="20.100000000000001" customHeight="1" x14ac:dyDescent="0.25">
      <c r="A21" s="18" t="s">
        <v>4</v>
      </c>
    </row>
    <row r="22" spans="1:22" ht="20.100000000000001" customHeight="1" x14ac:dyDescent="0.25">
      <c r="A22" s="17" t="str">
        <f>HYPERLINK("#'Constants - Dairy'!A1", "Constants - Dairy")</f>
        <v>Constants - Dairy</v>
      </c>
      <c r="D22" s="104" t="s">
        <v>360</v>
      </c>
      <c r="O22" s="104" t="s">
        <v>429</v>
      </c>
    </row>
    <row r="23" spans="1:22" ht="20.100000000000001" customHeight="1" x14ac:dyDescent="0.25">
      <c r="A23" s="17" t="str">
        <f>HYPERLINK("#'Constants - Livestock'!A1", "Constants - Livestock")</f>
        <v>Constants - Livestock</v>
      </c>
      <c r="D23" s="103" t="s">
        <v>361</v>
      </c>
      <c r="O23" s="103" t="s">
        <v>430</v>
      </c>
    </row>
    <row r="24" spans="1:22" ht="20.100000000000001" customHeight="1" x14ac:dyDescent="0.25">
      <c r="A24" s="17" t="str">
        <f>HYPERLINK("#'Constants - Common'!A1", "Constants - Common")</f>
        <v>Constants - Common</v>
      </c>
      <c r="D24" s="41" t="s">
        <v>149</v>
      </c>
      <c r="E24" s="41" t="s">
        <v>69</v>
      </c>
      <c r="F24" s="41" t="s">
        <v>175</v>
      </c>
      <c r="G24" s="41" t="s">
        <v>192</v>
      </c>
      <c r="H24" s="41" t="s">
        <v>193</v>
      </c>
      <c r="I24" s="41" t="s">
        <v>194</v>
      </c>
      <c r="J24" s="41" t="s">
        <v>195</v>
      </c>
      <c r="O24" s="41" t="s">
        <v>149</v>
      </c>
      <c r="P24" s="41" t="s">
        <v>69</v>
      </c>
      <c r="Q24" s="41" t="s">
        <v>175</v>
      </c>
      <c r="R24" s="41" t="s">
        <v>192</v>
      </c>
      <c r="S24" s="41" t="s">
        <v>193</v>
      </c>
      <c r="T24" s="41" t="s">
        <v>194</v>
      </c>
      <c r="U24" s="41" t="s">
        <v>195</v>
      </c>
    </row>
    <row r="25" spans="1:22" ht="20.100000000000001" customHeight="1" x14ac:dyDescent="0.25">
      <c r="A25" s="17" t="str">
        <f>HYPERLINK("#'Acknowledgements'!A1", "Acknowledgements")</f>
        <v>Acknowledgements</v>
      </c>
      <c r="D25" s="55" t="str">
        <f>'Input - Dairy'!$D$65</f>
        <v>Pasture</v>
      </c>
      <c r="E25" s="55" t="str">
        <f>'Constants - Livestock'!$E$27</f>
        <v>Pasture range and paddock</v>
      </c>
      <c r="F25" s="55">
        <f>'Input - Dairy'!E65</f>
        <v>0.53400000000000003</v>
      </c>
      <c r="G25" s="55">
        <f>'Input - Dairy'!F65</f>
        <v>0.53400000000000003</v>
      </c>
      <c r="H25" s="55">
        <f>'Input - Dairy'!G65</f>
        <v>0.53400000000000003</v>
      </c>
      <c r="I25" s="55">
        <f>'Input - Dairy'!H65</f>
        <v>0.53400000000000003</v>
      </c>
      <c r="J25" s="55">
        <f>'Input - Dairy'!I65</f>
        <v>0.53400000000000003</v>
      </c>
      <c r="K25" s="2" t="str">
        <f>$G$14</f>
        <v>fraction</v>
      </c>
      <c r="O25" s="55" t="str">
        <f>'Input - Dairy'!$D$65</f>
        <v>Pasture</v>
      </c>
      <c r="P25" s="55" t="str">
        <f>'Constants - Livestock'!$E$27</f>
        <v>Pasture range and paddock</v>
      </c>
      <c r="Q25" s="55">
        <f>'Input - Dairy'!E70</f>
        <v>0.53400000000000003</v>
      </c>
      <c r="R25" s="55">
        <f>'Input - Dairy'!F70</f>
        <v>0.53400000000000003</v>
      </c>
      <c r="S25" s="55">
        <f>'Input - Dairy'!G70</f>
        <v>0.53400000000000003</v>
      </c>
      <c r="T25" s="55">
        <f>'Input - Dairy'!H70</f>
        <v>0.53400000000000003</v>
      </c>
      <c r="U25" s="55">
        <f>'Input - Dairy'!I70</f>
        <v>0.53400000000000003</v>
      </c>
      <c r="V25" s="2" t="str">
        <f>$G$14</f>
        <v>fraction</v>
      </c>
    </row>
    <row r="26" spans="1:22" ht="20.100000000000001" customHeight="1" x14ac:dyDescent="0.25"/>
    <row r="27" spans="1:22" ht="20.100000000000001" customHeight="1" x14ac:dyDescent="0.25">
      <c r="Q27" s="131"/>
    </row>
    <row r="28" spans="1:22" ht="20.100000000000001" customHeight="1" x14ac:dyDescent="0.25">
      <c r="D28" s="104" t="s">
        <v>363</v>
      </c>
      <c r="O28" s="104" t="s">
        <v>365</v>
      </c>
    </row>
    <row r="29" spans="1:22" ht="20.100000000000001" customHeight="1" x14ac:dyDescent="0.25">
      <c r="D29" s="103" t="s">
        <v>364</v>
      </c>
      <c r="O29" s="103" t="s">
        <v>366</v>
      </c>
    </row>
    <row r="30" spans="1:22" ht="20.100000000000001" customHeight="1" x14ac:dyDescent="0.25">
      <c r="D30" s="54" t="s">
        <v>149</v>
      </c>
      <c r="E30" s="54" t="s">
        <v>69</v>
      </c>
      <c r="F30" s="54" t="s">
        <v>175</v>
      </c>
      <c r="G30" s="54" t="s">
        <v>192</v>
      </c>
      <c r="H30" s="54" t="s">
        <v>193</v>
      </c>
      <c r="I30" s="54" t="s">
        <v>194</v>
      </c>
      <c r="J30" s="54" t="s">
        <v>195</v>
      </c>
      <c r="O30" s="54" t="s">
        <v>149</v>
      </c>
      <c r="P30" s="54" t="s">
        <v>69</v>
      </c>
      <c r="Q30" s="54" t="s">
        <v>175</v>
      </c>
      <c r="R30" s="54" t="s">
        <v>192</v>
      </c>
      <c r="S30" s="54" t="s">
        <v>193</v>
      </c>
      <c r="T30" s="54" t="s">
        <v>194</v>
      </c>
      <c r="U30" s="54" t="s">
        <v>195</v>
      </c>
    </row>
    <row r="31" spans="1:22" ht="20.100000000000001" customHeight="1" x14ac:dyDescent="0.25">
      <c r="D31" s="55" t="str">
        <f>'Input - Dairy'!$D$65</f>
        <v>Pasture</v>
      </c>
      <c r="E31" s="55" t="str">
        <f>'Constants - Livestock'!$E$27</f>
        <v>Pasture range and paddock</v>
      </c>
      <c r="F31" s="55" cm="1">
        <f t="array" ref="F31">MMS_Dairy_N2ODirect_Equations.VEERG_4_3_1_3__2_TotalNitrogenInEachMMS(D19,F25)</f>
        <v>-2184.5986468128476</v>
      </c>
      <c r="G31" s="55" cm="1">
        <f t="array" ref="G31">MMS_Dairy_N2ODirect_Equations.VEERG_4_3_1_3__2_TotalNitrogenInEachMMS(E19,G25)</f>
        <v>4426.3236377252861</v>
      </c>
      <c r="H31" s="55" cm="1">
        <f t="array" ref="H31">MMS_Dairy_N2ODirect_Equations.VEERG_4_3_1_3__2_TotalNitrogenInEachMMS(F19,H25)</f>
        <v>1762.9578946423812</v>
      </c>
      <c r="I31" s="55" cm="1">
        <f t="array" ref="I31">MMS_Dairy_N2ODirect_Equations.VEERG_4_3_1_3__2_TotalNitrogenInEachMMS(G19,I25)</f>
        <v>5564.0638693222609</v>
      </c>
      <c r="J31" s="55" cm="1">
        <f t="array" ref="J31">MMS_Dairy_N2ODirect_Equations.VEERG_4_3_1_3__2_TotalNitrogenInEachMMS(H19,J25)</f>
        <v>2329.2802581916176</v>
      </c>
      <c r="K31" s="2" t="str">
        <f>$E$11</f>
        <v>kg N</v>
      </c>
      <c r="O31" s="55" t="str">
        <f>'Input - Dairy'!$D$65</f>
        <v>Pasture</v>
      </c>
      <c r="P31" s="55" t="str">
        <f>'Constants - Livestock'!$E$27</f>
        <v>Pasture range and paddock</v>
      </c>
      <c r="Q31" s="55" cm="1">
        <f t="array" ref="Q31">MMS_Dairy_N2ODirect_Equations.VEERG_4_3_1_3__2_TotalNitrogenInEachMMS(D19,Q25)</f>
        <v>-2184.5986468128476</v>
      </c>
      <c r="R31" s="55" cm="1">
        <f t="array" ref="R31">MMS_Dairy_N2ODirect_Equations.VEERG_4_3_1_3__2_TotalNitrogenInEachMMS(E19,R25)</f>
        <v>4426.3236377252861</v>
      </c>
      <c r="S31" s="55" cm="1">
        <f t="array" ref="S31">MMS_Dairy_N2ODirect_Equations.VEERG_4_3_1_3__2_TotalNitrogenInEachMMS(F19,S25)</f>
        <v>1762.9578946423812</v>
      </c>
      <c r="T31" s="55" cm="1">
        <f t="array" ref="T31">MMS_Dairy_N2ODirect_Equations.VEERG_4_3_1_3__2_TotalNitrogenInEachMMS(G19,T25)</f>
        <v>5564.0638693222609</v>
      </c>
      <c r="U31" s="55" cm="1">
        <f t="array" ref="U31">MMS_Dairy_N2ODirect_Equations.VEERG_4_3_1_3__2_TotalNitrogenInEachMMS(H19,U25)</f>
        <v>2329.2802581916176</v>
      </c>
      <c r="V31" s="2" t="str">
        <f>$E$11</f>
        <v>kg N</v>
      </c>
    </row>
    <row r="32" spans="1:22" ht="20.100000000000001" customHeight="1" x14ac:dyDescent="0.25"/>
    <row r="33" spans="3:23" ht="20.100000000000001" customHeight="1" x14ac:dyDescent="0.25"/>
    <row r="34" spans="3:23" ht="20.100000000000001" customHeight="1" x14ac:dyDescent="0.25">
      <c r="C34" s="48"/>
      <c r="D34" s="48"/>
      <c r="E34" s="48"/>
      <c r="F34" s="48"/>
      <c r="G34" s="48"/>
      <c r="H34" s="48"/>
      <c r="I34" s="48"/>
      <c r="J34" s="48"/>
      <c r="K34" s="48"/>
      <c r="L34" s="48"/>
      <c r="N34" s="48"/>
      <c r="O34" s="48"/>
      <c r="P34" s="48"/>
      <c r="Q34" s="48"/>
      <c r="R34" s="48"/>
      <c r="S34" s="48"/>
      <c r="T34" s="48"/>
      <c r="U34" s="48"/>
      <c r="V34" s="48"/>
      <c r="W34" s="48"/>
    </row>
    <row r="35" spans="3:23" ht="20.100000000000001" customHeight="1" x14ac:dyDescent="0.25">
      <c r="D35" s="6" t="str" cm="1">
        <f t="array" ref="D35">MMS_Dairy_Soil_N2ODirect_Equations.VEERG_4_3_1_9__1_DirectNitrousOxideEmissionsOnPasture_Title()</f>
        <v>Direct nitrous oxide emissions on pasture</v>
      </c>
    </row>
    <row r="36" spans="3:23" ht="20.100000000000001" customHeight="1" x14ac:dyDescent="0.25">
      <c r="D36" s="5" t="str" cm="1">
        <f t="array" ref="D36">MMS_Dairy_Soil_N2ODirect_Equations.VEERG_4_3_1_9__1_DirectNitrousOxideEmissionsOnPasture_Source()</f>
        <v>VEERG 2026: 4.3.1.9, Equation (1)</v>
      </c>
    </row>
    <row r="37" spans="3:23" ht="20.100000000000001" customHeight="1" x14ac:dyDescent="0.25">
      <c r="D37" s="13" t="s">
        <v>112</v>
      </c>
      <c r="E37" s="13" t="str" cm="1">
        <f t="array" aca="1" ref="E37" ca="1">Common_InputFunctions.Utility_DisplayFunctionName($F$51)</f>
        <v>=MMS_Dairy_Soil_N2ODirect_Equations.VEERG_4_3_1_9__1_DirectNitrousOxideEmissionsOnPasture</v>
      </c>
    </row>
    <row r="38" spans="3:23" ht="20.100000000000001" customHeight="1" x14ac:dyDescent="0.25"/>
    <row r="39" spans="3:23" ht="20.100000000000001" customHeight="1" x14ac:dyDescent="0.25"/>
    <row r="40" spans="3:23" ht="20.100000000000001" customHeight="1" x14ac:dyDescent="0.25">
      <c r="D40" s="56" t="s">
        <v>31</v>
      </c>
      <c r="E40" s="1" t="str" cm="1">
        <f t="array" ref="E40">MMS_Dairy_Soil_N2ODirect_Equations.VEERG_4_3_1_9__1_DirectNitrousOxideEmissionsOnPasture_Variable()</f>
        <v>E_N2Odir</v>
      </c>
    </row>
    <row r="41" spans="3:23" ht="20.100000000000001" customHeight="1" x14ac:dyDescent="0.25">
      <c r="D41" s="56" t="s">
        <v>21</v>
      </c>
      <c r="E41" s="57" t="str" cm="1">
        <f t="array" ref="E41">MMS_Dairy_Soil_N2ODirect_Equations.VEERG_4_3_1_9__1_DirectNitrousOxideEmissionsOnPasture_Unit()</f>
        <v>t N2O</v>
      </c>
    </row>
    <row r="42" spans="3:23" ht="20.100000000000001" customHeight="1" x14ac:dyDescent="0.25"/>
    <row r="43" spans="3:23" ht="20.100000000000001" customHeight="1" x14ac:dyDescent="0.25">
      <c r="D43" s="137" t="str" cm="1">
        <f t="array" ref="D43:E46">_xlfn.CHOOSECOLS(MMS_Dairy_Soil_N2ODirect_Equations.VEERG_4_3_1_9__1_DirectNitrousOxideEmissionsOnPasture_Arguments(),1,2)</f>
        <v>MN_jm14</v>
      </c>
      <c r="E43" s="136" t="str">
        <v>mass of nitrogen excreted on pasture, range, and paddock for each dairy cattle class</v>
      </c>
      <c r="F43" s="142"/>
      <c r="G43" s="138"/>
      <c r="H43" s="137" t="str" cm="1">
        <f t="array" ref="H43:I46">_xlfn.CHOOSECOLS(MMS_Dairy_Soil_N2ODirect_Equations.VEERG_4_3_1_9__1_DirectNitrousOxideEmissionsOnPasture_Arguments(),3,4)</f>
        <v>kg N</v>
      </c>
      <c r="I43" s="133" t="str">
        <v>Calculated from 4.3.1.3 (2)</v>
      </c>
      <c r="J43" s="134" t="str" cm="1">
        <f t="array" aca="1" ref="J43" ca="1">HYPERLINK(Common_InputFunctions.Utility_SourceHyperlink($D$28),$D$28)</f>
        <v>M1_Table_MN_j_m-14</v>
      </c>
    </row>
    <row r="44" spans="3:23" ht="20.100000000000001" customHeight="1" x14ac:dyDescent="0.25">
      <c r="D44" s="137" t="str">
        <v>EF_PRP</v>
      </c>
      <c r="E44" s="136" t="str">
        <v>emission factor for nitrous oxide emissions for urine and dung deposited on PRP</v>
      </c>
      <c r="F44" s="142"/>
      <c r="G44" s="138"/>
      <c r="H44" s="137" t="str">
        <v>kg N2O-N/kg N deposited</v>
      </c>
      <c r="I44" s="133" t="str">
        <v>Constant</v>
      </c>
      <c r="J44" s="137">
        <f>Common_InputFunctions.Utility_LookupValueInTable(J46, Table_SourceData_EFPastureRangeAndPaddock[Climate zone],Table_SourceData_EFPastureRangeAndPaddock[EFPRP])</f>
        <v>2E-3</v>
      </c>
    </row>
    <row r="45" spans="3:23" ht="20.100000000000001" customHeight="1" x14ac:dyDescent="0.25">
      <c r="D45" s="137" t="str">
        <v>C_N2O</v>
      </c>
      <c r="E45" s="136" t="str">
        <v>factor to convert elemental mass of N2O to molecular mass</v>
      </c>
      <c r="F45" s="142"/>
      <c r="G45" s="138"/>
      <c r="H45" s="137" t="str">
        <v/>
      </c>
      <c r="I45" s="133" t="str">
        <v>Constant</v>
      </c>
      <c r="J45" s="137">
        <f>Common_InputFunctions.Utility_LookupValueInTableNumber("N2O",Table_GasToMolecularConversionFactor[Gas],Table_GasToMolecularConversionFactor[Conversion factor combined])</f>
        <v>1.5714285714285714</v>
      </c>
    </row>
    <row r="46" spans="3:23" ht="20.100000000000001" customHeight="1" x14ac:dyDescent="0.25">
      <c r="D46" s="137" t="str">
        <v>z</v>
      </c>
      <c r="E46" s="136" t="str">
        <v>Wet or dry climate zone</v>
      </c>
      <c r="F46" s="142"/>
      <c r="G46" s="138"/>
      <c r="H46" s="137" t="str">
        <v/>
      </c>
      <c r="I46" s="135" t="str">
        <v>Input</v>
      </c>
      <c r="J46" s="137" t="str">
        <f>'Input - Site'!$E$32</f>
        <v>Dry climate zone</v>
      </c>
    </row>
    <row r="47" spans="3:23" ht="20.100000000000001" customHeight="1" x14ac:dyDescent="0.25"/>
    <row r="48" spans="3:23" ht="20.100000000000001" customHeight="1" x14ac:dyDescent="0.25">
      <c r="D48" s="104" t="s">
        <v>125</v>
      </c>
      <c r="O48" s="104" t="s">
        <v>369</v>
      </c>
    </row>
    <row r="49" spans="1:22" ht="20.100000000000001" customHeight="1" x14ac:dyDescent="0.25">
      <c r="D49" s="103" t="s">
        <v>368</v>
      </c>
      <c r="O49" s="103" t="s">
        <v>370</v>
      </c>
    </row>
    <row r="50" spans="1:22" ht="20.100000000000001" customHeight="1" x14ac:dyDescent="0.25">
      <c r="D50" s="54" t="s">
        <v>149</v>
      </c>
      <c r="E50" s="54" t="s">
        <v>69</v>
      </c>
      <c r="F50" s="54" t="s">
        <v>175</v>
      </c>
      <c r="G50" s="54" t="s">
        <v>192</v>
      </c>
      <c r="H50" s="54" t="s">
        <v>193</v>
      </c>
      <c r="I50" s="54" t="s">
        <v>194</v>
      </c>
      <c r="J50" s="54" t="s">
        <v>195</v>
      </c>
      <c r="O50" s="54" t="s">
        <v>149</v>
      </c>
      <c r="P50" s="54" t="s">
        <v>69</v>
      </c>
      <c r="Q50" s="54" t="s">
        <v>175</v>
      </c>
      <c r="R50" s="54" t="s">
        <v>192</v>
      </c>
      <c r="S50" s="54" t="s">
        <v>193</v>
      </c>
      <c r="T50" s="54" t="s">
        <v>194</v>
      </c>
      <c r="U50" s="54" t="s">
        <v>195</v>
      </c>
    </row>
    <row r="51" spans="1:22" ht="20.100000000000001" customHeight="1" x14ac:dyDescent="0.25">
      <c r="D51" s="55" t="str">
        <f>'Input - Dairy'!$D$65</f>
        <v>Pasture</v>
      </c>
      <c r="E51" s="55" t="str">
        <f>'Constants - Livestock'!$E$27</f>
        <v>Pasture range and paddock</v>
      </c>
      <c r="F51" s="55" cm="1">
        <f t="array" ref="F51">MMS_Dairy_Soil_N2ODirect_Equations.VEERG_4_3_1_9__1_DirectNitrousOxideEmissionsOnPasture(F31,$J$44,$J$45)</f>
        <v>-6.8658814614118062E-3</v>
      </c>
      <c r="G51" s="55" cm="1">
        <f t="array" ref="G51">MMS_Dairy_Soil_N2ODirect_Equations.VEERG_4_3_1_9__1_DirectNitrousOxideEmissionsOnPasture(G31,$J$44,$J$45)</f>
        <v>1.3911302861422326E-2</v>
      </c>
      <c r="H51" s="55" cm="1">
        <f t="array" ref="H51">MMS_Dairy_Soil_N2ODirect_Equations.VEERG_4_3_1_9__1_DirectNitrousOxideEmissionsOnPasture(H31,$J$44,$J$45)</f>
        <v>5.5407248117331984E-3</v>
      </c>
      <c r="I51" s="55" cm="1">
        <f t="array" ref="I51">MMS_Dairy_Soil_N2ODirect_Equations.VEERG_4_3_1_9__1_DirectNitrousOxideEmissionsOnPasture(I31,$J$44,$J$45)</f>
        <v>1.7487057875012819E-2</v>
      </c>
      <c r="J51" s="55" cm="1">
        <f t="array" ref="J51">MMS_Dairy_Soil_N2ODirect_Equations.VEERG_4_3_1_9__1_DirectNitrousOxideEmissionsOnPasture(J31,$J$44,$J$45)</f>
        <v>7.3205950971736563E-3</v>
      </c>
      <c r="K51" s="2" t="str">
        <f>$E$41</f>
        <v>t N2O</v>
      </c>
      <c r="O51" s="55" t="str">
        <f>'Input - Dairy'!$D$65</f>
        <v>Pasture</v>
      </c>
      <c r="P51" s="55" t="str">
        <f>'Constants - Livestock'!$E$27</f>
        <v>Pasture range and paddock</v>
      </c>
      <c r="Q51" s="55" cm="1">
        <f t="array" ref="Q51">MMS_Dairy_Soil_N2ODirect_Equations.VEERG_4_3_1_9__1_DirectNitrousOxideEmissionsOnPasture(Q31,$J$44,$J$45)</f>
        <v>-6.8658814614118062E-3</v>
      </c>
      <c r="R51" s="55" cm="1">
        <f t="array" ref="R51">MMS_Dairy_Soil_N2ODirect_Equations.VEERG_4_3_1_9__1_DirectNitrousOxideEmissionsOnPasture(R31,$J$44,$J$45)</f>
        <v>1.3911302861422326E-2</v>
      </c>
      <c r="S51" s="55" cm="1">
        <f t="array" ref="S51">MMS_Dairy_Soil_N2ODirect_Equations.VEERG_4_3_1_9__1_DirectNitrousOxideEmissionsOnPasture(S31,$J$44,$J$45)</f>
        <v>5.5407248117331984E-3</v>
      </c>
      <c r="T51" s="55" cm="1">
        <f t="array" ref="T51">MMS_Dairy_Soil_N2ODirect_Equations.VEERG_4_3_1_9__1_DirectNitrousOxideEmissionsOnPasture(T31,$J$44,$J$45)</f>
        <v>1.7487057875012819E-2</v>
      </c>
      <c r="U51" s="55" cm="1">
        <f t="array" ref="U51">MMS_Dairy_Soil_N2ODirect_Equations.VEERG_4_3_1_9__1_DirectNitrousOxideEmissionsOnPasture(U31,$J$44,$J$45)</f>
        <v>7.3205950971736563E-3</v>
      </c>
      <c r="V51" s="2" t="str">
        <f>$E$41</f>
        <v>t N2O</v>
      </c>
    </row>
    <row r="52" spans="1:22" ht="20.100000000000001" customHeight="1" x14ac:dyDescent="0.25"/>
    <row r="53" spans="1:22" ht="20.100000000000001" customHeight="1" x14ac:dyDescent="0.25">
      <c r="D53" s="108" t="s">
        <v>124</v>
      </c>
      <c r="E53" s="109">
        <f>SUM(F51:J51)</f>
        <v>3.7393799183930196E-2</v>
      </c>
      <c r="F53" s="110" t="str">
        <f>$E$41</f>
        <v>t N2O</v>
      </c>
      <c r="O53" s="108" t="s">
        <v>124</v>
      </c>
      <c r="P53" s="109">
        <f>SUM(Q51:U51)</f>
        <v>3.7393799183930196E-2</v>
      </c>
      <c r="Q53" s="110" t="str">
        <f>$E$41</f>
        <v>t N2O</v>
      </c>
    </row>
    <row r="54" spans="1:22" ht="20.100000000000001" customHeight="1" x14ac:dyDescent="0.25"/>
    <row r="55" spans="1:22" ht="20.100000000000001" customHeight="1" x14ac:dyDescent="0.25">
      <c r="D55" s="60" t="str" cm="1">
        <f t="array" ref="D55:E56">Common_Equations.Common_ConvertN2OToCO2e_Arguments()</f>
        <v>EN2O</v>
      </c>
      <c r="E55" s="61" t="str">
        <v>Nitrous oxide emissions (t N2O)</v>
      </c>
      <c r="F55" s="111"/>
      <c r="G55" s="55">
        <f>E53</f>
        <v>3.7393799183930196E-2</v>
      </c>
      <c r="O55" s="60" t="str" cm="1">
        <f t="array" ref="O55:P56">Common_Equations.Common_ConvertN2OToCO2e_Arguments()</f>
        <v>EN2O</v>
      </c>
      <c r="P55" s="61" t="str">
        <v>Nitrous oxide emissions (t N2O)</v>
      </c>
      <c r="Q55" s="111"/>
      <c r="R55" s="55">
        <f>P53</f>
        <v>3.7393799183930196E-2</v>
      </c>
    </row>
    <row r="56" spans="1:22" ht="20.100000000000001" customHeight="1" x14ac:dyDescent="0.25">
      <c r="D56" s="60" t="str">
        <v>GWPN2O</v>
      </c>
      <c r="E56" s="61" t="str">
        <v>Global warming potential for nitrous oxide (t CO2-e / t N2O)</v>
      </c>
      <c r="F56" s="111"/>
      <c r="G56" s="55">
        <f>Common_InputFunctions.Utility_LookupValueInTableNumber("N2O",Table_GWPData[Gas],Table_GWPData[CO2-e factor])</f>
        <v>265</v>
      </c>
      <c r="O56" s="60" t="str">
        <v>GWPN2O</v>
      </c>
      <c r="P56" s="61" t="str">
        <v>Global warming potential for nitrous oxide (t CO2-e / t N2O)</v>
      </c>
      <c r="Q56" s="111"/>
      <c r="R56" s="55">
        <f>Common_InputFunctions.Utility_LookupValueInTableNumber("N2O",Table_GWPData[Gas],Table_GWPData[CO2-e factor])</f>
        <v>265</v>
      </c>
    </row>
    <row r="57" spans="1:22" ht="20.100000000000001" customHeight="1" x14ac:dyDescent="0.25"/>
    <row r="58" spans="1:22" ht="20.100000000000001" customHeight="1" x14ac:dyDescent="0.25">
      <c r="A58" s="141" t="str">
        <f>HYPERLINK("#A1", "▲ Back to top")</f>
        <v>▲ Back to top</v>
      </c>
      <c r="D58" s="48" t="s">
        <v>111</v>
      </c>
      <c r="E58" s="48" cm="1">
        <f t="array" ref="E58">Common_Equations.Common_ConvertN2OToCO2e(G55,G56)</f>
        <v>9.9093567837415026</v>
      </c>
      <c r="F58" s="112" t="str" cm="1">
        <f t="array" ref="F58">Common_Equations.Common_ConvertN2OToCO2e_Unit()</f>
        <v>t CO2e</v>
      </c>
      <c r="O58" s="48" t="s">
        <v>111</v>
      </c>
      <c r="P58" s="48" cm="1">
        <f t="array" ref="P58">Common_Equations.Common_ConvertN2OToCO2e(R55,R56)</f>
        <v>9.9093567837415026</v>
      </c>
      <c r="Q58" s="112" t="str" cm="1">
        <f t="array" ref="Q58">Common_Equations.Common_ConvertN2OToCO2e_Unit()</f>
        <v>t CO2e</v>
      </c>
    </row>
    <row r="59" spans="1:22" ht="20.100000000000001" customHeight="1" x14ac:dyDescent="0.25"/>
    <row r="60" spans="1:22" ht="20.100000000000001" customHeight="1" x14ac:dyDescent="0.25"/>
    <row r="61" spans="1:22" ht="20.100000000000001" customHeight="1" x14ac:dyDescent="0.25"/>
    <row r="62" spans="1:22" ht="20.100000000000001" customHeight="1" x14ac:dyDescent="0.25"/>
    <row r="63" spans="1:22" ht="20.100000000000001" customHeight="1" x14ac:dyDescent="0.25"/>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5 E31 E34 P25 O34 P31 E51 P51" xr:uid="{C586A3D4-D021-4BB9-B9FF-F435DD98EA39}"/>
  </dataValidation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W165"/>
  <sheetViews>
    <sheetView showGridLines="0" topLeftCell="A31" workbookViewId="0">
      <selection activeCell="A17" sqref="A17"/>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378</v>
      </c>
    </row>
    <row r="2" spans="1:23" s="9" customFormat="1" ht="20.100000000000001" customHeight="1" x14ac:dyDescent="0.25"/>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MMS_Dairy_Soil_AtmosphericDeposition_Equations.VEERG_4_3_1_10__2_MassOfNitrogenVolatilisedOnPasture_Title()</f>
        <v>Mass of nitrogen volatilised from urine and faeces deposited on pasture</v>
      </c>
    </row>
    <row r="6" spans="1:23" ht="20.100000000000001" customHeight="1" x14ac:dyDescent="0.25">
      <c r="A6" s="16"/>
      <c r="D6" s="5" t="str" cm="1">
        <f t="array" ref="D6">MMS_Dairy_Soil_AtmosphericDeposition_Equations.VEERG_4_3_1_10__2_MassOfNitrogenVolatilisedOnPasture_Source()</f>
        <v>VEERG 2026: 4.3.1.10, Equation (2)</v>
      </c>
    </row>
    <row r="7" spans="1:23" ht="20.100000000000001" customHeight="1" x14ac:dyDescent="0.25">
      <c r="A7" s="20" t="s">
        <v>3</v>
      </c>
      <c r="D7" s="13" t="s">
        <v>28</v>
      </c>
      <c r="E7" s="13" t="str" cm="1">
        <f t="array" aca="1" ref="E7" ca="1">Common_InputFunctions.Utility_DisplayFunctionName(F24)</f>
        <v>=MMS_Dairy_Soil_AtmosphericDeposition_Equations.VEERG_4_3_1_10__2_MassOfNitrogenVolatilisedOnPasture</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MMS_Dairy_Soil_AtmosphericDeposition_Equations.VEERG_4_3_1_10__2_MassOfNitrogenVolatilisedOnPasture_Variable()</f>
        <v>M_vol_m14</v>
      </c>
    </row>
    <row r="11" spans="1:23" ht="20.100000000000001" customHeight="1" x14ac:dyDescent="0.25">
      <c r="A11" s="19" t="s">
        <v>78</v>
      </c>
      <c r="D11" s="56" t="s">
        <v>21</v>
      </c>
      <c r="E11" s="57" t="str" cm="1">
        <f t="array" ref="E11">MMS_Dairy_Soil_AtmosphericDeposition_Equations.VEERG_4_3_1_10__2_MassOfNitrogenVolatilisedOnPasture_Unit()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_xlfn.CHOOSECOLS(MMS_Dairy_Soil_AtmosphericDeposition_Equations.VEERG_4_3_1_10__2_MassOfNitrogenVolatilisedOnPasture_Arguments(),1,2)</f>
        <v>MN_jm14</v>
      </c>
      <c r="E13" s="137" t="str">
        <v>mass of nitrogen excreted on pasture, range and paddock for each dairy class</v>
      </c>
      <c r="F13" s="137"/>
      <c r="G13" s="137" t="str" cm="1">
        <f t="array" ref="G13:H14">_xlfn.CHOOSECOLS(MMS_Dairy_Soil_AtmosphericDeposition_Equations.VEERG_4_3_1_10__2_MassOfNitrogenVolatilisedOnPasture_Arguments(),3,4)</f>
        <v>kg N</v>
      </c>
      <c r="H13" s="133" t="str">
        <v>Calculated from 4.3.1.3 (2)</v>
      </c>
      <c r="I13" s="134" t="str" cm="1">
        <f t="array" aca="1" ref="I13" ca="1">HYPERLINK(Common_InputFunctions.Utility_SourceHyperlink($D$16),$D$16)</f>
        <v>M1_Table_MN_j_m-14</v>
      </c>
    </row>
    <row r="14" spans="1:23" ht="20.100000000000001" customHeight="1" x14ac:dyDescent="0.25">
      <c r="A14" s="17" t="str">
        <f>HYPERLINK("#'4.3.1.5 Atmos Deposition'!A1", "4.3.1.5 Atmospheric deposition")</f>
        <v>4.3.1.5 Atmospheric deposition</v>
      </c>
      <c r="D14" s="137" t="str">
        <v>FracGASMsoil</v>
      </c>
      <c r="E14" s="137" t="str">
        <v>fraction of nitrogen volatilised from urine and faeces deposited on pasture</v>
      </c>
      <c r="F14" s="137"/>
      <c r="G14" s="137" t="str">
        <v>(kg NH3-N + NOx-N)/kg N)</v>
      </c>
      <c r="H14" s="133" t="str">
        <v>Constant</v>
      </c>
      <c r="I14" s="137">
        <f>'Constants - Dairy'!$D$215</f>
        <v>0.21</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363</v>
      </c>
      <c r="M16" s="59"/>
      <c r="O16" s="104" t="s">
        <v>365</v>
      </c>
    </row>
    <row r="17" spans="1:23" ht="20.100000000000001" customHeight="1" x14ac:dyDescent="0.25">
      <c r="A17" s="17" t="str">
        <f>HYPERLINK("#'4.3.1.9 Soil direct N2O'!A1", "4.3.1.9 Soil direct N2O")</f>
        <v>4.3.1.9 Soil direct N2O</v>
      </c>
      <c r="D17" s="103" t="s">
        <v>364</v>
      </c>
      <c r="M17" s="59"/>
      <c r="O17" s="103" t="s">
        <v>366</v>
      </c>
    </row>
    <row r="18" spans="1:23" ht="20.100000000000001" customHeight="1" x14ac:dyDescent="0.25">
      <c r="A18" s="22" t="str">
        <f>HYPERLINK("#'4.3.1.10-11 Soil Atmos Dep'!A1", "4.3.1.10-11 Soil atm. deposition")</f>
        <v>4.3.1.10-11 Soil atm. deposition</v>
      </c>
      <c r="D18" s="54" t="s">
        <v>149</v>
      </c>
      <c r="E18" s="54" t="s">
        <v>69</v>
      </c>
      <c r="F18" s="54" t="s">
        <v>175</v>
      </c>
      <c r="G18" s="54" t="s">
        <v>192</v>
      </c>
      <c r="H18" s="54" t="s">
        <v>193</v>
      </c>
      <c r="I18" s="54" t="s">
        <v>194</v>
      </c>
      <c r="J18" s="54" t="s">
        <v>195</v>
      </c>
      <c r="M18" s="59"/>
      <c r="O18" s="54" t="s">
        <v>149</v>
      </c>
      <c r="P18" s="54" t="s">
        <v>69</v>
      </c>
      <c r="Q18" s="54" t="s">
        <v>175</v>
      </c>
      <c r="R18" s="54" t="s">
        <v>192</v>
      </c>
      <c r="S18" s="54" t="s">
        <v>193</v>
      </c>
      <c r="T18" s="54" t="s">
        <v>194</v>
      </c>
      <c r="U18" s="54" t="s">
        <v>195</v>
      </c>
    </row>
    <row r="19" spans="1:23" ht="20.100000000000001" customHeight="1" x14ac:dyDescent="0.25">
      <c r="A19" s="17" t="str">
        <f>HYPERLINK("#'4.3.1.12-13 Soil leach runoff'!A1", "4.3.1.12-13 Soil leach &amp; runoff")</f>
        <v>4.3.1.12-13 Soil leach &amp; runoff</v>
      </c>
      <c r="D19" s="55" t="str">
        <f>'Input - Dairy'!$D$65</f>
        <v>Pasture</v>
      </c>
      <c r="E19" s="55" t="str">
        <f>'Constants - Livestock'!$E$27</f>
        <v>Pasture range and paddock</v>
      </c>
      <c r="F19" s="55">
        <f>'4.3.1.9 Soil direct N2O'!$F$31</f>
        <v>-2184.5986468128476</v>
      </c>
      <c r="G19" s="55">
        <f>'4.3.1.9 Soil direct N2O'!$G$31</f>
        <v>4426.3236377252861</v>
      </c>
      <c r="H19" s="55">
        <f>'4.3.1.9 Soil direct N2O'!$H$31</f>
        <v>1762.9578946423812</v>
      </c>
      <c r="I19" s="55">
        <f>'4.3.1.9 Soil direct N2O'!$I$31</f>
        <v>5564.0638693222609</v>
      </c>
      <c r="J19" s="55">
        <f>'4.3.1.9 Soil direct N2O'!$J$31</f>
        <v>2329.2802581916176</v>
      </c>
      <c r="K19" s="2" t="str">
        <f>$E$11</f>
        <v>kg N</v>
      </c>
      <c r="M19" s="59"/>
      <c r="O19" s="55" t="str">
        <f>'Input - Dairy'!$D$65</f>
        <v>Pasture</v>
      </c>
      <c r="P19" s="55" t="str">
        <f>'Constants - Livestock'!$E$27</f>
        <v>Pasture range and paddock</v>
      </c>
      <c r="Q19" s="55">
        <f>'4.3.1.9 Soil direct N2O'!$Q$31</f>
        <v>-2184.5986468128476</v>
      </c>
      <c r="R19" s="55">
        <f>'4.3.1.9 Soil direct N2O'!$R$31</f>
        <v>4426.3236377252861</v>
      </c>
      <c r="S19" s="55">
        <f>'4.3.1.9 Soil direct N2O'!$S$31</f>
        <v>1762.9578946423812</v>
      </c>
      <c r="T19" s="55">
        <f>'4.3.1.9 Soil direct N2O'!$T$31</f>
        <v>5564.0638693222609</v>
      </c>
      <c r="U19" s="55">
        <f>'4.3.1.9 Soil direct N2O'!$U$31</f>
        <v>2329.2802581916176</v>
      </c>
      <c r="V19" s="2" t="str">
        <f>$E$11</f>
        <v>kg N</v>
      </c>
    </row>
    <row r="20" spans="1:23" ht="20.100000000000001" customHeight="1" x14ac:dyDescent="0.25">
      <c r="A20" s="17"/>
    </row>
    <row r="21" spans="1:23" ht="20.100000000000001" customHeight="1" x14ac:dyDescent="0.25">
      <c r="A21" s="18" t="s">
        <v>4</v>
      </c>
      <c r="D21" s="104" t="s">
        <v>371</v>
      </c>
      <c r="O21" s="104" t="s">
        <v>373</v>
      </c>
    </row>
    <row r="22" spans="1:23" ht="20.100000000000001" customHeight="1" x14ac:dyDescent="0.25">
      <c r="A22" s="17" t="str">
        <f>HYPERLINK("#'Constants - Dairy'!A1", "Constants - Dairy")</f>
        <v>Constants - Dairy</v>
      </c>
      <c r="D22" s="103" t="s">
        <v>372</v>
      </c>
      <c r="O22" s="103" t="s">
        <v>374</v>
      </c>
    </row>
    <row r="23" spans="1:23" ht="20.100000000000001" customHeight="1" x14ac:dyDescent="0.25">
      <c r="A23" s="17" t="str">
        <f>HYPERLINK("#'Constants - Livestock'!A1", "Constants - Livestock")</f>
        <v>Constants - Livestock</v>
      </c>
      <c r="D23" s="54" t="s">
        <v>149</v>
      </c>
      <c r="E23" s="54" t="s">
        <v>69</v>
      </c>
      <c r="F23" s="54" t="s">
        <v>175</v>
      </c>
      <c r="G23" s="54" t="s">
        <v>192</v>
      </c>
      <c r="H23" s="54" t="s">
        <v>193</v>
      </c>
      <c r="I23" s="54" t="s">
        <v>194</v>
      </c>
      <c r="J23" s="54" t="s">
        <v>195</v>
      </c>
      <c r="O23" s="54" t="s">
        <v>149</v>
      </c>
      <c r="P23" s="54" t="s">
        <v>69</v>
      </c>
      <c r="Q23" s="54" t="s">
        <v>175</v>
      </c>
      <c r="R23" s="54" t="s">
        <v>192</v>
      </c>
      <c r="S23" s="54" t="s">
        <v>193</v>
      </c>
      <c r="T23" s="54" t="s">
        <v>194</v>
      </c>
      <c r="U23" s="54" t="s">
        <v>195</v>
      </c>
    </row>
    <row r="24" spans="1:23" ht="20.100000000000001" customHeight="1" x14ac:dyDescent="0.25">
      <c r="A24" s="17" t="str">
        <f>HYPERLINK("#'Constants - Common'!A1", "Constants - Common")</f>
        <v>Constants - Common</v>
      </c>
      <c r="D24" s="55" t="str">
        <f>'Input - Dairy'!$D$65</f>
        <v>Pasture</v>
      </c>
      <c r="E24" s="55" t="str">
        <f>'Constants - Livestock'!$E$27</f>
        <v>Pasture range and paddock</v>
      </c>
      <c r="F24" s="55" cm="1">
        <f t="array" ref="F24">MMS_Dairy_Soil_AtmosphericDeposition_Equations.VEERG_4_3_1_10__2_MassOfNitrogenVolatilisedOnPasture(F19,$I$14)</f>
        <v>-458.76571583069796</v>
      </c>
      <c r="G24" s="55" cm="1">
        <f t="array" ref="G24">MMS_Dairy_Soil_AtmosphericDeposition_Equations.VEERG_4_3_1_10__2_MassOfNitrogenVolatilisedOnPasture(G19,$I$14)</f>
        <v>929.52796392231005</v>
      </c>
      <c r="H24" s="55" cm="1">
        <f t="array" ref="H24">MMS_Dairy_Soil_AtmosphericDeposition_Equations.VEERG_4_3_1_10__2_MassOfNitrogenVolatilisedOnPasture(H19,$I$14)</f>
        <v>370.22115787490003</v>
      </c>
      <c r="I24" s="55" cm="1">
        <f t="array" ref="I24">MMS_Dairy_Soil_AtmosphericDeposition_Equations.VEERG_4_3_1_10__2_MassOfNitrogenVolatilisedOnPasture(I19,$I$14)</f>
        <v>1168.4534125576747</v>
      </c>
      <c r="J24" s="55" cm="1">
        <f t="array" ref="J24">MMS_Dairy_Soil_AtmosphericDeposition_Equations.VEERG_4_3_1_10__2_MassOfNitrogenVolatilisedOnPasture(J19,$I$14)</f>
        <v>489.14885422023968</v>
      </c>
      <c r="K24" s="2" t="str">
        <f>$E$11</f>
        <v>kg N</v>
      </c>
      <c r="O24" s="55" t="str">
        <f>'Input - Dairy'!$D$65</f>
        <v>Pasture</v>
      </c>
      <c r="P24" s="55" t="str">
        <f>'Constants - Livestock'!$E$27</f>
        <v>Pasture range and paddock</v>
      </c>
      <c r="Q24" s="55" cm="1">
        <f t="array" ref="Q24">MMS_Dairy_Soil_AtmosphericDeposition_Equations.VEERG_4_3_1_10__2_MassOfNitrogenVolatilisedOnPasture(Q19,$I$14)</f>
        <v>-458.76571583069796</v>
      </c>
      <c r="R24" s="55" cm="1">
        <f t="array" ref="R24">MMS_Dairy_Soil_AtmosphericDeposition_Equations.VEERG_4_3_1_10__2_MassOfNitrogenVolatilisedOnPasture(R19,$I$14)</f>
        <v>929.52796392231005</v>
      </c>
      <c r="S24" s="55" cm="1">
        <f t="array" ref="S24">MMS_Dairy_Soil_AtmosphericDeposition_Equations.VEERG_4_3_1_10__2_MassOfNitrogenVolatilisedOnPasture(S19,$I$14)</f>
        <v>370.22115787490003</v>
      </c>
      <c r="T24" s="55" cm="1">
        <f t="array" ref="T24">MMS_Dairy_Soil_AtmosphericDeposition_Equations.VEERG_4_3_1_10__2_MassOfNitrogenVolatilisedOnPasture(T19,$I$14)</f>
        <v>1168.4534125576747</v>
      </c>
      <c r="U24" s="55" cm="1">
        <f t="array" ref="U24">MMS_Dairy_Soil_AtmosphericDeposition_Equations.VEERG_4_3_1_10__2_MassOfNitrogenVolatilisedOnPasture(U19,$I$14)</f>
        <v>489.14885422023968</v>
      </c>
      <c r="V24" s="2" t="str">
        <f>$E$11</f>
        <v>kg N</v>
      </c>
    </row>
    <row r="25" spans="1:23" ht="20.100000000000001" customHeight="1" x14ac:dyDescent="0.25">
      <c r="A25" s="17" t="str">
        <f>HYPERLINK("#'Acknowledgements'!A1", "Acknowledgements")</f>
        <v>Acknowledgements</v>
      </c>
    </row>
    <row r="26" spans="1:23" ht="20.100000000000001" customHeight="1" x14ac:dyDescent="0.25">
      <c r="D26" s="118" t="s">
        <v>385</v>
      </c>
      <c r="E26" s="48">
        <f>SUM(F24:J24)</f>
        <v>2498.5856727444266</v>
      </c>
      <c r="F26" s="112" t="str">
        <f>$E$11</f>
        <v>kg N</v>
      </c>
      <c r="O26" s="118" t="s">
        <v>385</v>
      </c>
      <c r="P26" s="48">
        <f>SUM(Q24:U24)</f>
        <v>2498.5856727444266</v>
      </c>
      <c r="Q26" s="112" t="str">
        <f>$E$11</f>
        <v>kg N</v>
      </c>
    </row>
    <row r="27" spans="1:23" ht="20.100000000000001" customHeight="1" x14ac:dyDescent="0.25"/>
    <row r="28" spans="1:23" ht="20.100000000000001" customHeight="1" x14ac:dyDescent="0.25"/>
    <row r="29" spans="1:23" ht="20.100000000000001" customHeight="1" x14ac:dyDescent="0.25">
      <c r="C29" s="48"/>
      <c r="D29" s="48"/>
      <c r="E29" s="48"/>
      <c r="F29" s="48"/>
      <c r="G29" s="48"/>
      <c r="H29" s="48"/>
      <c r="I29" s="48"/>
      <c r="J29" s="48"/>
      <c r="K29" s="48"/>
      <c r="L29" s="48"/>
      <c r="N29" s="48"/>
      <c r="O29" s="48"/>
      <c r="P29" s="48"/>
      <c r="Q29" s="48"/>
      <c r="R29" s="48"/>
      <c r="S29" s="48"/>
      <c r="T29" s="48"/>
      <c r="U29" s="48"/>
      <c r="V29" s="48"/>
      <c r="W29" s="48"/>
    </row>
    <row r="30" spans="1:23" ht="20.100000000000001" customHeight="1" x14ac:dyDescent="0.25">
      <c r="D30" s="6"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5">
      <c r="D31" s="5" t="str" cm="1">
        <f t="array" ref="D31">MMS_Dairy_Soil_AtmosphericDeposition_Equations.VEERG_4_3_1_10__1_AtmosphericDepositionEmissionsFromUrineAndDungOnPasture_Source()</f>
        <v>VEERG 2026: 4.3.1.10, Equation (1)</v>
      </c>
    </row>
    <row r="32" spans="1:23" ht="20.100000000000001" customHeight="1" x14ac:dyDescent="0.25">
      <c r="D32" s="13" t="s">
        <v>28</v>
      </c>
      <c r="E32" s="13" t="str" cm="1">
        <f t="array" aca="1" ref="E32" ca="1">Common_InputFunctions.Utility_DisplayFunctionName(E45)</f>
        <v>=MMS_Dairy_Soil_AtmosphericDeposition_Equations.VEERG_4_3_1_10__1_AtmosphericDepositionEmissionsFromUrineAndDungOnPasture</v>
      </c>
    </row>
    <row r="33" spans="4:19" ht="20.100000000000001" customHeight="1" x14ac:dyDescent="0.25"/>
    <row r="34" spans="4:19" ht="20.100000000000001" customHeight="1" x14ac:dyDescent="0.25"/>
    <row r="35" spans="4:19" ht="20.100000000000001" customHeight="1" x14ac:dyDescent="0.25">
      <c r="D35" s="56" t="s">
        <v>31</v>
      </c>
      <c r="E35" s="1" t="str" cm="1">
        <f t="array" ref="E35">MMS_Dairy_Soil_AtmosphericDeposition_Equations.VEERG_4_3_1_10__1_AtmosphericDepositionEmissionsFromUrineAndDungOnPasture_Variable()</f>
        <v>E_N2Oad</v>
      </c>
    </row>
    <row r="36" spans="4:19" ht="20.100000000000001" customHeight="1" x14ac:dyDescent="0.25">
      <c r="D36" s="56" t="s">
        <v>21</v>
      </c>
      <c r="E36" s="57" t="str" cm="1">
        <f t="array" ref="E36">MMS_Dairy_Soil_AtmosphericDeposition_Equations.VEERG_4_3_1_10__1_AtmosphericDepositionEmissionsFromUrineAndDungOnPasture_Unit()</f>
        <v>t N2O</v>
      </c>
    </row>
    <row r="37" spans="4:19" ht="20.100000000000001" customHeight="1" x14ac:dyDescent="0.25"/>
    <row r="38" spans="4:19" ht="20.100000000000001" customHeight="1" x14ac:dyDescent="0.25">
      <c r="D38" s="137" t="str" cm="1">
        <f t="array" ref="D38:E43">_xlfn.CHOOSECOLS(MMS_Dairy_Soil_AtmosphericDeposition_Equations.VEERG_4_3_1_10__1_AtmosphericDepositionEmissionsFromUrineAndDungOnPasture_Arguments(),1,2)</f>
        <v>M_vol_m14</v>
      </c>
      <c r="E38" s="136" t="str">
        <v>mass of nitrogen volatilised from urine and faeces deposited on pasture</v>
      </c>
      <c r="F38" s="138"/>
      <c r="G38" s="137" t="str" cm="1">
        <f t="array" ref="G38:H43">_xlfn.CHOOSECOLS(MMS_Dairy_Soil_AtmosphericDeposition_Equations.VEERG_4_3_1_10__1_AtmosphericDepositionEmissionsFromUrineAndDungOnPasture_Arguments(),3,4)</f>
        <v>kg N</v>
      </c>
      <c r="H38" s="133" t="str">
        <v>Calculated from 4.3.1.10 (2)</v>
      </c>
      <c r="I38" s="137">
        <f>$E$26</f>
        <v>2498.5856727444266</v>
      </c>
      <c r="O38" s="60" t="str">
        <f>D38</f>
        <v>M_vol_m14</v>
      </c>
      <c r="P38" s="60" t="str">
        <f>E38</f>
        <v>mass of nitrogen volatilised from urine and faeces deposited on pasture</v>
      </c>
      <c r="Q38" s="61"/>
      <c r="R38" s="62"/>
      <c r="S38" s="60">
        <f>$P$26</f>
        <v>2498.5856727444266</v>
      </c>
    </row>
    <row r="39" spans="4:19" ht="20.100000000000001" customHeight="1" x14ac:dyDescent="0.25">
      <c r="D39" s="137" t="str">
        <v>EF_N2O</v>
      </c>
      <c r="E39" s="136" t="str">
        <v>nitrous oxide emission factor for atmospheric deposition</v>
      </c>
      <c r="F39" s="138"/>
      <c r="G39" s="137" t="str">
        <v>kg N2O-N/kg N</v>
      </c>
      <c r="H39" s="133" t="str">
        <v>Constant</v>
      </c>
      <c r="I39" s="137">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60"/>
      <c r="P39" s="61"/>
      <c r="Q39" s="105"/>
      <c r="R39" s="62"/>
      <c r="S39" s="60"/>
    </row>
    <row r="40" spans="4:19" ht="20.100000000000001" customHeight="1" x14ac:dyDescent="0.25">
      <c r="D40" s="137" t="str">
        <v>C_N2O</v>
      </c>
      <c r="E40" s="136" t="str">
        <v>factor to convert elemental mass of N2O to molecular mass</v>
      </c>
      <c r="F40" s="138"/>
      <c r="G40" s="137" t="str">
        <v/>
      </c>
      <c r="H40" s="133" t="str">
        <v>Constant</v>
      </c>
      <c r="I40" s="137">
        <f>Common_InputFunctions.Utility_LookupValueInTableNumber("N2O",Table_GasToMolecularConversionFactor[Gas],Table_GasToMolecularConversionFactor[Conversion factor combined])</f>
        <v>1.5714285714285714</v>
      </c>
      <c r="O40" s="60"/>
      <c r="P40" s="61"/>
      <c r="Q40" s="105"/>
      <c r="R40" s="62"/>
      <c r="S40" s="60"/>
    </row>
    <row r="41" spans="4:19" ht="20.100000000000001" customHeight="1" x14ac:dyDescent="0.25">
      <c r="D41" s="137" t="str">
        <v>j</v>
      </c>
      <c r="E41" s="136" t="str">
        <v>production system</v>
      </c>
      <c r="F41" s="138"/>
      <c r="G41" s="137" t="str">
        <v/>
      </c>
      <c r="H41" s="135" t="str">
        <v>Input</v>
      </c>
      <c r="I41" s="137" t="str">
        <f>'Input - Dairy'!$E$109</f>
        <v>Pasture</v>
      </c>
      <c r="O41" s="60"/>
      <c r="P41" s="61"/>
      <c r="Q41" s="105"/>
      <c r="R41" s="62"/>
      <c r="S41" s="60"/>
    </row>
    <row r="42" spans="4:19" ht="20.100000000000001" customHeight="1" x14ac:dyDescent="0.25">
      <c r="D42" s="137" t="str">
        <v>ir</v>
      </c>
      <c r="E42" s="136" t="str">
        <v>irrigation method</v>
      </c>
      <c r="F42" s="138"/>
      <c r="G42" s="137" t="str">
        <v/>
      </c>
      <c r="H42" s="135" t="str">
        <v>Input</v>
      </c>
      <c r="I42" s="137" t="str">
        <f>'Input - Dairy'!$E$110</f>
        <v>Sprinkler irrigation</v>
      </c>
      <c r="O42" s="60"/>
      <c r="P42" s="61"/>
      <c r="Q42" s="105"/>
      <c r="R42" s="62"/>
      <c r="S42" s="60"/>
    </row>
    <row r="43" spans="4:19" ht="20.100000000000001" customHeight="1" x14ac:dyDescent="0.25">
      <c r="D43" s="137" t="str">
        <v>r</v>
      </c>
      <c r="E43" s="136" t="str">
        <v>rainfall region</v>
      </c>
      <c r="F43" s="138"/>
      <c r="G43" s="137" t="str">
        <v/>
      </c>
      <c r="H43" s="135" t="str">
        <v>Input</v>
      </c>
      <c r="I43" s="137" t="str">
        <f>'Input - Site'!$E$30</f>
        <v>High rainfall</v>
      </c>
      <c r="O43" s="60"/>
      <c r="P43" s="61"/>
      <c r="Q43" s="105"/>
      <c r="R43" s="62"/>
      <c r="S43" s="60"/>
    </row>
    <row r="44" spans="4:19" ht="20.100000000000001" customHeight="1" x14ac:dyDescent="0.25"/>
    <row r="45" spans="4:19" ht="20.100000000000001" customHeight="1" x14ac:dyDescent="0.25">
      <c r="D45" s="108" t="s">
        <v>156</v>
      </c>
      <c r="E45" s="109" cm="1">
        <f t="array" ref="E45">MMS_Dairy_Soil_AtmosphericDeposition_Equations.VEERG_4_3_1_10__1_AtmosphericDepositionEmissionsFromUrineAndDungOnPasture($I$38,$I$39,$I$40)</f>
        <v>2.3165458594444754E-2</v>
      </c>
      <c r="F45" s="110" t="str">
        <f>$E$36</f>
        <v>t N2O</v>
      </c>
      <c r="O45" s="108" t="s">
        <v>156</v>
      </c>
      <c r="P45" s="109" cm="1">
        <f t="array" ref="P45">MMS_Dairy_Soil_AtmosphericDeposition_Equations.VEERG_4_3_1_10__1_AtmosphericDepositionEmissionsFromUrineAndDungOnPasture($S$38,$I$39,$I$40)</f>
        <v>2.3165458594444754E-2</v>
      </c>
      <c r="Q45" s="110" t="str">
        <f>$E$36</f>
        <v>t N2O</v>
      </c>
    </row>
    <row r="46" spans="4:19" ht="20.100000000000001" customHeight="1" x14ac:dyDescent="0.25"/>
    <row r="47" spans="4:19" ht="20.100000000000001" customHeight="1" x14ac:dyDescent="0.25">
      <c r="D47" s="60" t="str" cm="1">
        <f t="array" ref="D47:E48">Common_Equations.Common_ConvertN2OToCO2e_Arguments()</f>
        <v>EN2O</v>
      </c>
      <c r="E47" s="61" t="str">
        <v>Nitrous oxide emissions (t N2O)</v>
      </c>
      <c r="F47" s="111"/>
      <c r="G47" s="55">
        <f>E45</f>
        <v>2.3165458594444754E-2</v>
      </c>
      <c r="O47" s="60" t="str" cm="1">
        <f t="array" ref="O47:P48">Common_Equations.Common_ConvertN2OToCO2e_Arguments()</f>
        <v>EN2O</v>
      </c>
      <c r="P47" s="61" t="str">
        <v>Nitrous oxide emissions (t N2O)</v>
      </c>
      <c r="Q47" s="111"/>
      <c r="R47" s="55">
        <f>P45</f>
        <v>2.3165458594444754E-2</v>
      </c>
    </row>
    <row r="48" spans="4:19" ht="20.100000000000001" customHeight="1" x14ac:dyDescent="0.25">
      <c r="D48" s="60" t="str">
        <v>GWPN2O</v>
      </c>
      <c r="E48" s="61" t="str">
        <v>Global warming potential for nitrous oxide (t CO2-e / t N2O)</v>
      </c>
      <c r="F48" s="111"/>
      <c r="G48" s="55">
        <f>Common_InputFunctions.Utility_LookupValueInTableNumber("N2O",Table_GWPData[Gas],Table_GWPData[CO2-e factor])</f>
        <v>265</v>
      </c>
      <c r="O48" s="60" t="str">
        <v>GWPN2O</v>
      </c>
      <c r="P48" s="61" t="str">
        <v>Global warming potential for nitrous oxide (t CO2-e / t N2O)</v>
      </c>
      <c r="Q48" s="111"/>
      <c r="R48" s="55">
        <f>Common_InputFunctions.Utility_LookupValueInTableNumber("N2O",Table_GWPData[Gas],Table_GWPData[CO2-e factor])</f>
        <v>265</v>
      </c>
    </row>
    <row r="49" spans="1:17" ht="20.100000000000001" customHeight="1" x14ac:dyDescent="0.25"/>
    <row r="50" spans="1:17" ht="20.100000000000001" customHeight="1" x14ac:dyDescent="0.25">
      <c r="A50" s="141" t="str">
        <f>HYPERLINK("#A1", "▲ Back to top")</f>
        <v>▲ Back to top</v>
      </c>
      <c r="D50" s="48" t="s">
        <v>111</v>
      </c>
      <c r="E50" s="48" cm="1">
        <f t="array" ref="E50">Common_Equations.Common_ConvertN2OToCO2e(G47,G48)</f>
        <v>6.1388465275278596</v>
      </c>
      <c r="F50" s="112" t="str" cm="1">
        <f t="array" ref="F50">Common_Equations.Common_ConvertN2OToCO2e_Unit()</f>
        <v>t CO2e</v>
      </c>
      <c r="O50" s="48" t="s">
        <v>111</v>
      </c>
      <c r="P50" s="48" cm="1">
        <f t="array" ref="P50">Common_Equations.Common_ConvertN2OToCO2e(R47,R48)</f>
        <v>6.1388465275278596</v>
      </c>
      <c r="Q50" s="112" t="str" cm="1">
        <f t="array" ref="Q50">Common_Equations.Common_ConvertN2OToCO2e_Unit()</f>
        <v>t CO2e</v>
      </c>
    </row>
    <row r="51" spans="1:17" ht="20.100000000000001" customHeight="1" x14ac:dyDescent="0.25"/>
    <row r="52" spans="1:17" ht="20.100000000000001" customHeight="1" x14ac:dyDescent="0.25"/>
    <row r="53" spans="1:17" ht="20.100000000000001" customHeight="1" x14ac:dyDescent="0.25"/>
    <row r="54" spans="1:17" ht="20.100000000000001" customHeight="1" x14ac:dyDescent="0.25"/>
    <row r="55" spans="1:17" ht="20.100000000000001" customHeight="1" x14ac:dyDescent="0.25"/>
    <row r="56" spans="1:17" ht="20.100000000000001" customHeight="1" x14ac:dyDescent="0.25"/>
    <row r="57" spans="1:17" ht="20.100000000000001" customHeight="1" x14ac:dyDescent="0.25"/>
    <row r="58" spans="1:17" ht="20.100000000000001" customHeight="1" x14ac:dyDescent="0.25"/>
    <row r="59" spans="1:17" ht="20.100000000000001" customHeight="1" x14ac:dyDescent="0.25"/>
    <row r="60" spans="1:17" ht="20.100000000000001" customHeight="1" x14ac:dyDescent="0.25"/>
    <row r="61" spans="1:17" ht="20.100000000000001" customHeight="1" x14ac:dyDescent="0.25"/>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P19 E24 P24" xr:uid="{27894986-D8F7-4ECC-BDC3-495A6C274A89}"/>
  </dataValidation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W165"/>
  <sheetViews>
    <sheetView showGridLines="0" topLeftCell="A39" workbookViewId="0">
      <selection activeCell="A18" sqref="A1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377</v>
      </c>
    </row>
    <row r="2" spans="1:23" s="9" customFormat="1" ht="20.100000000000001" customHeight="1" x14ac:dyDescent="0.25"/>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5">
      <c r="A6" s="16"/>
      <c r="D6" s="5" t="str" cm="1">
        <f t="array" ref="D6">MMS_Dairy_Soil_LeachingAndRunoff.VEERG_4_3_1_12__2_MassOfNitrogenLostToLeachingAndRunoffOnPasture_Source()</f>
        <v>VEERG 2026: 4.3.1.12, Equation (2)</v>
      </c>
    </row>
    <row r="7" spans="1:23" ht="20.100000000000001" customHeight="1" x14ac:dyDescent="0.25">
      <c r="A7" s="20" t="s">
        <v>3</v>
      </c>
      <c r="D7" s="13" t="s">
        <v>28</v>
      </c>
      <c r="E7" s="13" t="str" cm="1">
        <f t="array" aca="1" ref="E7" ca="1">Common_InputFunctions.Utility_DisplayFunctionName($F$28)</f>
        <v>=MMS_Dairy_Soil_LeachingAndRunoff.VEERG_4_3_1_12__2_MassOfNitrogenLostToLeachingAndRunoffOnPasture</v>
      </c>
    </row>
    <row r="8" spans="1:23" ht="20.100000000000001" customHeight="1" x14ac:dyDescent="0.25">
      <c r="A8" s="17" t="str">
        <f>HYPERLINK("#'Input - Site'!A1", "Site")</f>
        <v>Site</v>
      </c>
      <c r="E8" s="1" t="s">
        <v>18</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MMS_Dairy_Soil_LeachingAndRunoff.VEERG_4_3_1_12__2_MassOfNitrogenLostToLeachingAndRunoffOnPasture_Variable()</f>
        <v>M_leach_m14</v>
      </c>
    </row>
    <row r="11" spans="1:23" ht="20.100000000000001" customHeight="1" x14ac:dyDescent="0.25">
      <c r="A11" s="19" t="s">
        <v>78</v>
      </c>
      <c r="D11" s="56" t="s">
        <v>21</v>
      </c>
      <c r="E11" s="57" t="str" cm="1">
        <f t="array" ref="E11">MMS_Dairy_Soil_LeachingAndRunoff.VEERG_4_3_1_12__2_MassOfNitrogenLostToLeachingAndRunoffOnPasture_Unit()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8">_xlfn.CHOOSECOLS(MMS_Dairy_Soil_LeachingAndRunoff.VEERG_4_3_1_12__2_MassOfNitrogenLostToLeachingAndRunoffOnPasture_Arguments(),1,2)</f>
        <v>MN_jm14</v>
      </c>
      <c r="E13" s="136" t="str">
        <v>mass of nitrogen excreted on pasture, range and paddock for each dairy class</v>
      </c>
      <c r="F13" s="138"/>
      <c r="G13" s="137" t="str" cm="1">
        <f t="array" ref="G13:H18">_xlfn.CHOOSECOLS(MMS_Dairy_Soil_LeachingAndRunoff.VEERG_4_3_1_12__2_MassOfNitrogenLostToLeachingAndRunoffOnPasture_Arguments(),3,4)</f>
        <v>kg N</v>
      </c>
      <c r="H13" s="133" t="str">
        <v>Calculated from 4.3.1.3 (2)</v>
      </c>
      <c r="I13" s="134" t="str" cm="1">
        <f t="array" aca="1" ref="I13" ca="1">HYPERLINK(Common_InputFunctions.Utility_SourceHyperlink($D$20),$D$20)</f>
        <v>M1_Table_MN_j_m-14</v>
      </c>
    </row>
    <row r="14" spans="1:23" ht="20.100000000000001" customHeight="1" x14ac:dyDescent="0.25">
      <c r="A14" s="17" t="str">
        <f>HYPERLINK("#'4.3.1.5 Atmos Deposition'!A1", "4.3.1.5 Atmospheric deposition")</f>
        <v>4.3.1.5 Atmospheric deposition</v>
      </c>
      <c r="D14" s="137" t="str">
        <v>FracWet</v>
      </c>
      <c r="E14" s="136" t="str">
        <v>fraction of N available for leaching and runoff</v>
      </c>
      <c r="F14" s="138"/>
      <c r="G14" s="137" t="str">
        <v/>
      </c>
      <c r="H14" s="133" t="str">
        <v>Constant</v>
      </c>
      <c r="I14" s="137">
        <f>Common_InputFunctions.CommonCropping_GetFracWET(I16,I18,#REF!,#REF!,Table_SourceData_FracWETIrrigation[Irrigation type i],Table_SourceData_FracWETIrrigation[FracWET])</f>
        <v>1</v>
      </c>
    </row>
    <row r="15" spans="1:23" ht="20.100000000000001" customHeight="1" x14ac:dyDescent="0.25">
      <c r="A15" s="17" t="str">
        <f>HYPERLINK("#'4.3.1.6-7 Leaching and runoff'!A1", "4.3.1.6-7 Leaching and runoff")</f>
        <v>4.3.1.6-7 Leaching and runoff</v>
      </c>
      <c r="D15" s="137" t="str">
        <v>FracLEACH</v>
      </c>
      <c r="E15" s="136" t="str">
        <v>fraction of N lost through leaching and runoff</v>
      </c>
      <c r="F15" s="138"/>
      <c r="G15" s="137" t="str">
        <v/>
      </c>
      <c r="H15" s="133" t="str">
        <v>Constant</v>
      </c>
      <c r="I15" s="137">
        <f>'Constants - Dairy'!$D$209</f>
        <v>0.02</v>
      </c>
    </row>
    <row r="16" spans="1:23" ht="20.100000000000001" customHeight="1" x14ac:dyDescent="0.25">
      <c r="A16" s="17" t="str">
        <f>HYPERLINK("#'4.3.1.8 Manure applied to soils'!A1", "4.3.1.8 Manure applied to soils")</f>
        <v>4.3.1.8 Manure applied to soils</v>
      </c>
      <c r="D16" s="137" t="str">
        <v>z</v>
      </c>
      <c r="E16" s="136" t="str">
        <v>location in leaching zone</v>
      </c>
      <c r="F16" s="138"/>
      <c r="G16" s="137" t="str">
        <v/>
      </c>
      <c r="H16" s="135" t="str">
        <v>Input</v>
      </c>
      <c r="I16" s="137" t="str">
        <f>'Input - Site'!$E$23</f>
        <v>NO - Not in leaching zone</v>
      </c>
    </row>
    <row r="17" spans="1:22" ht="20.100000000000001" customHeight="1" x14ac:dyDescent="0.25">
      <c r="A17" s="17" t="str">
        <f>HYPERLINK("#'4.3.1.9 Soil direct N2O'!A1", "4.3.1.9 Soil direct N2O")</f>
        <v>4.3.1.9 Soil direct N2O</v>
      </c>
      <c r="D17" s="137" t="str">
        <v>j</v>
      </c>
      <c r="E17" s="136" t="str">
        <v>production system</v>
      </c>
      <c r="F17" s="138"/>
      <c r="G17" s="137" t="str">
        <v/>
      </c>
      <c r="H17" s="135" t="str">
        <v>Input</v>
      </c>
      <c r="I17" s="137" t="str">
        <f>'Input - Dairy'!$E$109</f>
        <v>Pasture</v>
      </c>
    </row>
    <row r="18" spans="1:22" ht="20.100000000000001" customHeight="1" x14ac:dyDescent="0.25">
      <c r="A18" s="17" t="str">
        <f>HYPERLINK("#'4.3.1.10-11 Soil Atmos Dep'!A1", "4.3.1.10-11 Soil atm. deposition")</f>
        <v>4.3.1.10-11 Soil atm. deposition</v>
      </c>
      <c r="D18" s="137" t="str">
        <v>ir</v>
      </c>
      <c r="E18" s="136" t="str">
        <v>irrigation method</v>
      </c>
      <c r="F18" s="138"/>
      <c r="G18" s="137" t="str">
        <v/>
      </c>
      <c r="H18" s="135" t="str">
        <v>Input</v>
      </c>
      <c r="I18" s="137" t="str">
        <f>'Input - Dairy'!$E$110</f>
        <v>Sprinkler irrigation</v>
      </c>
    </row>
    <row r="19" spans="1:22" ht="20.100000000000001" customHeight="1" x14ac:dyDescent="0.25">
      <c r="A19" s="22" t="str">
        <f>HYPERLINK("#'4.3.1.12-13 Soil leach runoff'!A1", "4.3.1.12-13 Soil leach &amp; runoff")</f>
        <v>4.3.1.12-13 Soil leach &amp; runoff</v>
      </c>
    </row>
    <row r="20" spans="1:22" ht="20.100000000000001" customHeight="1" x14ac:dyDescent="0.25">
      <c r="A20" s="17"/>
      <c r="D20" s="104" t="s">
        <v>363</v>
      </c>
      <c r="M20" s="59"/>
      <c r="O20" s="104" t="s">
        <v>365</v>
      </c>
    </row>
    <row r="21" spans="1:22" ht="20.100000000000001" customHeight="1" x14ac:dyDescent="0.25">
      <c r="A21" s="18" t="s">
        <v>4</v>
      </c>
      <c r="D21" s="103" t="s">
        <v>364</v>
      </c>
      <c r="M21" s="59"/>
      <c r="O21" s="103" t="s">
        <v>366</v>
      </c>
    </row>
    <row r="22" spans="1:22" ht="20.100000000000001" customHeight="1" x14ac:dyDescent="0.25">
      <c r="A22" s="17" t="str">
        <f>HYPERLINK("#'Constants - Dairy'!A1", "Constants - Dairy")</f>
        <v>Constants - Dairy</v>
      </c>
      <c r="D22" s="54" t="s">
        <v>149</v>
      </c>
      <c r="E22" s="54" t="s">
        <v>69</v>
      </c>
      <c r="F22" s="54" t="s">
        <v>175</v>
      </c>
      <c r="G22" s="54" t="s">
        <v>192</v>
      </c>
      <c r="H22" s="54" t="s">
        <v>193</v>
      </c>
      <c r="I22" s="54" t="s">
        <v>194</v>
      </c>
      <c r="J22" s="54" t="s">
        <v>195</v>
      </c>
      <c r="M22" s="59"/>
      <c r="O22" s="54" t="s">
        <v>149</v>
      </c>
      <c r="P22" s="54" t="s">
        <v>69</v>
      </c>
      <c r="Q22" s="54" t="s">
        <v>175</v>
      </c>
      <c r="R22" s="54" t="s">
        <v>192</v>
      </c>
      <c r="S22" s="54" t="s">
        <v>193</v>
      </c>
      <c r="T22" s="54" t="s">
        <v>194</v>
      </c>
      <c r="U22" s="54" t="s">
        <v>195</v>
      </c>
    </row>
    <row r="23" spans="1:22" ht="20.100000000000001" customHeight="1" x14ac:dyDescent="0.25">
      <c r="A23" s="17" t="str">
        <f>HYPERLINK("#'Constants - Livestock'!A1", "Constants - Livestock")</f>
        <v>Constants - Livestock</v>
      </c>
      <c r="D23" s="55" t="str">
        <f>'Input - Dairy'!$D$65</f>
        <v>Pasture</v>
      </c>
      <c r="E23" s="55" t="str">
        <f>'Constants - Livestock'!$E$27</f>
        <v>Pasture range and paddock</v>
      </c>
      <c r="F23" s="55">
        <f>'4.3.1.9 Soil direct N2O'!$F$31</f>
        <v>-2184.5986468128476</v>
      </c>
      <c r="G23" s="55">
        <f>'4.3.1.9 Soil direct N2O'!$G$31</f>
        <v>4426.3236377252861</v>
      </c>
      <c r="H23" s="55">
        <f>'4.3.1.9 Soil direct N2O'!$H$31</f>
        <v>1762.9578946423812</v>
      </c>
      <c r="I23" s="55">
        <f>'4.3.1.9 Soil direct N2O'!$I$31</f>
        <v>5564.0638693222609</v>
      </c>
      <c r="J23" s="55">
        <f>'4.3.1.9 Soil direct N2O'!$J$31</f>
        <v>2329.2802581916176</v>
      </c>
      <c r="K23" s="2" t="str">
        <f>$E$11</f>
        <v>kg N</v>
      </c>
      <c r="M23" s="59"/>
      <c r="O23" s="55" t="str">
        <f>'Input - Dairy'!$D$65</f>
        <v>Pasture</v>
      </c>
      <c r="P23" s="55" t="str">
        <f>'Constants - Livestock'!$E$27</f>
        <v>Pasture range and paddock</v>
      </c>
      <c r="Q23" s="55">
        <f>'4.3.1.9 Soil direct N2O'!$Q$31</f>
        <v>-2184.5986468128476</v>
      </c>
      <c r="R23" s="55">
        <f>'4.3.1.9 Soil direct N2O'!$R$31</f>
        <v>4426.3236377252861</v>
      </c>
      <c r="S23" s="55">
        <f>'4.3.1.9 Soil direct N2O'!$S$31</f>
        <v>1762.9578946423812</v>
      </c>
      <c r="T23" s="55">
        <f>'4.3.1.9 Soil direct N2O'!$T$31</f>
        <v>5564.0638693222609</v>
      </c>
      <c r="U23" s="55">
        <f>'4.3.1.9 Soil direct N2O'!$U$31</f>
        <v>2329.2802581916176</v>
      </c>
      <c r="V23" s="2" t="str">
        <f>$E$11</f>
        <v>kg N</v>
      </c>
    </row>
    <row r="24" spans="1:22" ht="20.100000000000001" customHeight="1" x14ac:dyDescent="0.25">
      <c r="A24" s="17" t="str">
        <f>HYPERLINK("#'Constants - Common'!A1", "Constants - Common")</f>
        <v>Constants - Common</v>
      </c>
    </row>
    <row r="25" spans="1:22" ht="20.100000000000001" customHeight="1" x14ac:dyDescent="0.25">
      <c r="A25" s="17" t="str">
        <f>HYPERLINK("#'Acknowledgements'!A1", "Acknowledgements")</f>
        <v>Acknowledgements</v>
      </c>
      <c r="D25" s="104" t="s">
        <v>379</v>
      </c>
      <c r="O25" s="104" t="s">
        <v>381</v>
      </c>
    </row>
    <row r="26" spans="1:22" ht="20.100000000000001" customHeight="1" x14ac:dyDescent="0.25">
      <c r="D26" s="103" t="s">
        <v>380</v>
      </c>
      <c r="O26" s="103" t="s">
        <v>382</v>
      </c>
    </row>
    <row r="27" spans="1:22" ht="20.100000000000001" customHeight="1" x14ac:dyDescent="0.25">
      <c r="D27" s="54" t="s">
        <v>149</v>
      </c>
      <c r="E27" s="54" t="s">
        <v>69</v>
      </c>
      <c r="F27" s="54" t="s">
        <v>175</v>
      </c>
      <c r="G27" s="54" t="s">
        <v>192</v>
      </c>
      <c r="H27" s="54" t="s">
        <v>193</v>
      </c>
      <c r="I27" s="54" t="s">
        <v>194</v>
      </c>
      <c r="J27" s="54" t="s">
        <v>195</v>
      </c>
      <c r="O27" s="54" t="s">
        <v>149</v>
      </c>
      <c r="P27" s="54" t="s">
        <v>69</v>
      </c>
      <c r="Q27" s="54" t="s">
        <v>175</v>
      </c>
      <c r="R27" s="54" t="s">
        <v>192</v>
      </c>
      <c r="S27" s="54" t="s">
        <v>193</v>
      </c>
      <c r="T27" s="54" t="s">
        <v>194</v>
      </c>
      <c r="U27" s="54" t="s">
        <v>195</v>
      </c>
    </row>
    <row r="28" spans="1:22" ht="20.100000000000001" customHeight="1" x14ac:dyDescent="0.25">
      <c r="D28" s="55" t="str">
        <f>'Input - Dairy'!$D$65</f>
        <v>Pasture</v>
      </c>
      <c r="E28" s="55" t="str">
        <f>'Constants - Livestock'!$E$27</f>
        <v>Pasture range and paddock</v>
      </c>
      <c r="F28" s="55" cm="1">
        <f t="array" ref="F28">MMS_Dairy_Soil_LeachingAndRunoff.VEERG_4_3_1_12__2_MassOfNitrogenLostToLeachingAndRunoffOnPasture(F23,$I$14,$I$15)</f>
        <v>-43.691972936256953</v>
      </c>
      <c r="G28" s="55" cm="1">
        <f t="array" ref="G28">MMS_Dairy_Soil_LeachingAndRunoff.VEERG_4_3_1_12__2_MassOfNitrogenLostToLeachingAndRunoffOnPasture(G23,$I$14,$I$15)</f>
        <v>88.526472754505718</v>
      </c>
      <c r="H28" s="55" cm="1">
        <f t="array" ref="H28">MMS_Dairy_Soil_LeachingAndRunoff.VEERG_4_3_1_12__2_MassOfNitrogenLostToLeachingAndRunoffOnPasture(H23,$I$14,$I$15)</f>
        <v>35.259157892847625</v>
      </c>
      <c r="I28" s="55" cm="1">
        <f t="array" ref="I28">MMS_Dairy_Soil_LeachingAndRunoff.VEERG_4_3_1_12__2_MassOfNitrogenLostToLeachingAndRunoffOnPasture(I23,$I$14,$I$15)</f>
        <v>111.28127738644523</v>
      </c>
      <c r="J28" s="55" cm="1">
        <f t="array" ref="J28">MMS_Dairy_Soil_LeachingAndRunoff.VEERG_4_3_1_12__2_MassOfNitrogenLostToLeachingAndRunoffOnPasture(J23,$I$14,$I$15)</f>
        <v>46.585605163832355</v>
      </c>
      <c r="K28" s="2" t="str">
        <f>$E$11</f>
        <v>kg N</v>
      </c>
      <c r="O28" s="55" t="str">
        <f>'Input - Dairy'!$D$65</f>
        <v>Pasture</v>
      </c>
      <c r="P28" s="55" t="str">
        <f>'Constants - Livestock'!$E$27</f>
        <v>Pasture range and paddock</v>
      </c>
      <c r="Q28" s="55" cm="1">
        <f t="array" ref="Q28">MMS_Dairy_Soil_LeachingAndRunoff.VEERG_4_3_1_12__2_MassOfNitrogenLostToLeachingAndRunoffOnPasture(Q23,$I$14,$I$15)</f>
        <v>-43.691972936256953</v>
      </c>
      <c r="R28" s="55" cm="1">
        <f t="array" ref="R28">MMS_Dairy_Soil_LeachingAndRunoff.VEERG_4_3_1_12__2_MassOfNitrogenLostToLeachingAndRunoffOnPasture(R23,$I$14,$I$15)</f>
        <v>88.526472754505718</v>
      </c>
      <c r="S28" s="55" cm="1">
        <f t="array" ref="S28">MMS_Dairy_Soil_LeachingAndRunoff.VEERG_4_3_1_12__2_MassOfNitrogenLostToLeachingAndRunoffOnPasture(S23,$I$14,$I$15)</f>
        <v>35.259157892847625</v>
      </c>
      <c r="T28" s="55" cm="1">
        <f t="array" ref="T28">MMS_Dairy_Soil_LeachingAndRunoff.VEERG_4_3_1_12__2_MassOfNitrogenLostToLeachingAndRunoffOnPasture(T23,$I$14,$I$15)</f>
        <v>111.28127738644523</v>
      </c>
      <c r="U28" s="55" cm="1">
        <f t="array" ref="U28">MMS_Dairy_Soil_LeachingAndRunoff.VEERG_4_3_1_12__2_MassOfNitrogenLostToLeachingAndRunoffOnPasture(U23,$I$14,$I$15)</f>
        <v>46.585605163832355</v>
      </c>
      <c r="V28" s="2" t="str">
        <f>$E$11</f>
        <v>kg N</v>
      </c>
    </row>
    <row r="29" spans="1:22" ht="20.100000000000001" customHeight="1" x14ac:dyDescent="0.25"/>
    <row r="30" spans="1:22" ht="20.100000000000001" customHeight="1" x14ac:dyDescent="0.25">
      <c r="D30" s="118" t="s">
        <v>384</v>
      </c>
      <c r="E30" s="48">
        <f>SUM(F28:J28)</f>
        <v>237.96054026137398</v>
      </c>
      <c r="F30" s="112" t="str">
        <f>$E$11</f>
        <v>kg N</v>
      </c>
      <c r="O30" s="118" t="s">
        <v>384</v>
      </c>
      <c r="P30" s="48">
        <f>SUM(Q28:U28)</f>
        <v>237.96054026137398</v>
      </c>
      <c r="Q30" s="112" t="str">
        <f>$E$11</f>
        <v>kg N</v>
      </c>
    </row>
    <row r="31" spans="1:22" ht="20.100000000000001" customHeight="1" x14ac:dyDescent="0.25"/>
    <row r="32" spans="1:22" ht="20.100000000000001" customHeight="1" x14ac:dyDescent="0.25"/>
    <row r="33" spans="3:23" ht="20.100000000000001" customHeight="1" x14ac:dyDescent="0.25"/>
    <row r="34" spans="3:23" ht="20.100000000000001" customHeight="1" x14ac:dyDescent="0.25">
      <c r="C34" s="48"/>
      <c r="D34" s="48"/>
      <c r="E34" s="48"/>
      <c r="F34" s="48"/>
      <c r="G34" s="48"/>
      <c r="H34" s="48"/>
      <c r="I34" s="48"/>
      <c r="J34" s="48"/>
      <c r="K34" s="48"/>
      <c r="L34" s="48"/>
      <c r="N34" s="48"/>
      <c r="O34" s="48"/>
      <c r="P34" s="48"/>
      <c r="Q34" s="48"/>
      <c r="R34" s="48"/>
      <c r="S34" s="48"/>
      <c r="T34" s="48"/>
      <c r="U34" s="48"/>
      <c r="V34" s="48"/>
      <c r="W34" s="48"/>
    </row>
    <row r="35" spans="3:23" ht="20.100000000000001" customHeight="1" x14ac:dyDescent="0.25">
      <c r="D35" s="6" t="str" cm="1">
        <f t="array" ref="D35">MMS_Dairy_Soil_LeachingAndRunoff.VEERG_4_3_1_12__1_LeachingAndRunoffEmissionsFromUrineAndDungOnPasture_Title()</f>
        <v>Leaching and runoff emissions from urine and dung deposited on pasture</v>
      </c>
    </row>
    <row r="36" spans="3:23" ht="20.100000000000001" customHeight="1" x14ac:dyDescent="0.25">
      <c r="D36" s="5" t="str" cm="1">
        <f t="array" ref="D36">MMS_Dairy_Soil_LeachingAndRunoff.VEERG_4_3_1_12__1_LeachingAndRunoffEmissionsFromUrineAndDungOnPasture_Source()</f>
        <v>VEERG 2026: 4.3.1.12, Equation (1)</v>
      </c>
    </row>
    <row r="37" spans="3:23" ht="20.100000000000001" customHeight="1" x14ac:dyDescent="0.25">
      <c r="D37" s="13" t="s">
        <v>28</v>
      </c>
      <c r="E37" s="13" t="str" cm="1">
        <f t="array" aca="1" ref="E37" ca="1">Common_InputFunctions.Utility_DisplayFunctionName(E47)</f>
        <v>=MMS_Dairy_Soil_LeachingAndRunoff.VEERG_4_3_1_12__1_LeachingAndRunoffEmissionsFromUrineAndDungOnPasture</v>
      </c>
    </row>
    <row r="38" spans="3:23" ht="20.100000000000001" customHeight="1" x14ac:dyDescent="0.25"/>
    <row r="39" spans="3:23" ht="20.100000000000001" customHeight="1" x14ac:dyDescent="0.25"/>
    <row r="40" spans="3:23" ht="20.100000000000001" customHeight="1" x14ac:dyDescent="0.25">
      <c r="D40" s="56" t="s">
        <v>31</v>
      </c>
      <c r="E40" s="1" t="str" cm="1">
        <f t="array" ref="E40">MMS_Dairy_Soil_LeachingAndRunoff.VEERG_4_3_1_12__1_LeachingAndRunoffEmissionsFromUrineAndDungOnPasture_Variable()</f>
        <v>E_N2Oleach</v>
      </c>
    </row>
    <row r="41" spans="3:23" ht="20.100000000000001" customHeight="1" x14ac:dyDescent="0.25">
      <c r="D41" s="56" t="s">
        <v>21</v>
      </c>
      <c r="E41" s="57" t="str" cm="1">
        <f t="array" ref="E41">MMS_Dairy_Soil_LeachingAndRunoff.VEERG_4_3_1_12__1_LeachingAndRunoffEmissionsFromUrineAndDungOnPasture_Unit()</f>
        <v>t N2O</v>
      </c>
    </row>
    <row r="42" spans="3:23" ht="20.100000000000001" customHeight="1" x14ac:dyDescent="0.25"/>
    <row r="43" spans="3:23" ht="20.100000000000001" customHeight="1" x14ac:dyDescent="0.25">
      <c r="D43" s="137" t="str" cm="1">
        <f t="array" ref="D43:E45">_xlfn.CHOOSECOLS(MMS_Dairy_Soil_LeachingAndRunoff.VEERG_4_3_1_12__1_LeachingAndRunoffEmissionsFromUrineAndDungOnPasture_Arguments(),1,2)</f>
        <v>M_leach_m14</v>
      </c>
      <c r="E43" s="137" t="str">
        <v>mass of nitrogen lost to leaching and runoff from urine and faeces deposited on pasture</v>
      </c>
      <c r="F43" s="136"/>
      <c r="G43" s="138"/>
      <c r="H43" s="137" t="str" cm="1">
        <f t="array" ref="H43:I45">_xlfn.CHOOSECOLS(MMS_Dairy_Soil_LeachingAndRunoff.VEERG_4_3_1_12__1_LeachingAndRunoffEmissionsFromUrineAndDungOnPasture_Arguments(),3,4)</f>
        <v>kg N</v>
      </c>
      <c r="I43" s="133" t="str">
        <v>Calculated from 4.3.1.12 (2)</v>
      </c>
      <c r="J43" s="137">
        <f>$E$30</f>
        <v>237.96054026137398</v>
      </c>
      <c r="O43" s="137" t="str" cm="1">
        <f t="array" ref="O43:P45">_xlfn.CHOOSECOLS(MMS_Dairy_Soil_LeachingAndRunoff.VEERG_4_3_1_12__1_LeachingAndRunoffEmissionsFromUrineAndDungOnPasture_Arguments(),1,2)</f>
        <v>M_leach_m14</v>
      </c>
      <c r="P43" s="137" t="str">
        <v>mass of nitrogen lost to leaching and runoff from urine and faeces deposited on pasture</v>
      </c>
      <c r="Q43" s="136"/>
      <c r="R43" s="138"/>
      <c r="S43" s="137" t="str" cm="1">
        <f t="array" ref="S43:T45">_xlfn.CHOOSECOLS(MMS_Dairy_Soil_LeachingAndRunoff.VEERG_4_3_1_12__1_LeachingAndRunoffEmissionsFromUrineAndDungOnPasture_Arguments(),3,4)</f>
        <v>kg N</v>
      </c>
      <c r="T43" s="133" t="str">
        <v>Calculated from 4.3.1.12 (2)</v>
      </c>
      <c r="U43" s="60">
        <f>$P$30</f>
        <v>237.96054026137398</v>
      </c>
    </row>
    <row r="44" spans="3:23" ht="20.100000000000001" customHeight="1" x14ac:dyDescent="0.25">
      <c r="D44" s="137" t="str">
        <v>EF_leach</v>
      </c>
      <c r="E44" s="137" t="str">
        <v>nitrous oxide emission factor for leaching and runoff</v>
      </c>
      <c r="F44" s="136"/>
      <c r="G44" s="138"/>
      <c r="H44" s="137" t="str">
        <v>kg N2O-N/kg N</v>
      </c>
      <c r="I44" s="133" t="str">
        <v>Constant</v>
      </c>
      <c r="J44" s="137">
        <f>'Constants - Dairy'!$D$202</f>
        <v>1.0999999999999999E-2</v>
      </c>
      <c r="O44" s="137" t="str">
        <v>EF_leach</v>
      </c>
      <c r="P44" s="137" t="str">
        <v>nitrous oxide emission factor for leaching and runoff</v>
      </c>
      <c r="Q44" s="136"/>
      <c r="R44" s="138"/>
      <c r="S44" s="137" t="str">
        <v>kg N2O-N/kg N</v>
      </c>
      <c r="T44" s="133" t="str">
        <v>Constant</v>
      </c>
      <c r="U44" s="60"/>
    </row>
    <row r="45" spans="3:23" ht="20.100000000000001" customHeight="1" x14ac:dyDescent="0.25">
      <c r="D45" s="137" t="str">
        <v>C_N2O</v>
      </c>
      <c r="E45" s="137" t="str">
        <v>factor to convert elemental mass of N2O to molecular mass</v>
      </c>
      <c r="F45" s="136"/>
      <c r="G45" s="138"/>
      <c r="H45" s="137" t="str">
        <v/>
      </c>
      <c r="I45" s="133" t="str">
        <v>Constant</v>
      </c>
      <c r="J45" s="137">
        <f>Common_InputFunctions.Utility_LookupValueInTableNumber("N2O",Table_GasToMolecularConversionFactor[Gas],Table_GasToMolecularConversionFactor[Conversion factor combined])</f>
        <v>1.5714285714285714</v>
      </c>
      <c r="O45" s="137" t="str">
        <v>C_N2O</v>
      </c>
      <c r="P45" s="137" t="str">
        <v>factor to convert elemental mass of N2O to molecular mass</v>
      </c>
      <c r="Q45" s="136"/>
      <c r="R45" s="138"/>
      <c r="S45" s="137" t="str">
        <v/>
      </c>
      <c r="T45" s="133" t="str">
        <v>Constant</v>
      </c>
      <c r="U45" s="60"/>
    </row>
    <row r="46" spans="3:23" ht="20.100000000000001" customHeight="1" x14ac:dyDescent="0.25"/>
    <row r="47" spans="3:23" ht="20.100000000000001" customHeight="1" x14ac:dyDescent="0.25">
      <c r="D47" s="108" t="s">
        <v>383</v>
      </c>
      <c r="E47" s="109" cm="1">
        <f t="array" ref="E47">MMS_Dairy_Soil_LeachingAndRunoff.VEERG_4_3_1_12__1_LeachingAndRunoffEmissionsFromUrineAndDungOnPasture($J$43,$J$44,$J$45)</f>
        <v>4.113317910232321E-3</v>
      </c>
      <c r="F47" s="110" t="str">
        <f>$E$41</f>
        <v>t N2O</v>
      </c>
      <c r="O47" s="108" t="s">
        <v>383</v>
      </c>
      <c r="P47" s="109" cm="1">
        <f t="array" ref="P47">MMS_Dairy_Soil_LeachingAndRunoff.VEERG_4_3_1_12__1_LeachingAndRunoffEmissionsFromUrineAndDungOnPasture($U$43,$J$44,$J$45)</f>
        <v>4.113317910232321E-3</v>
      </c>
      <c r="Q47" s="110" t="str">
        <f>$E$41</f>
        <v>t N2O</v>
      </c>
    </row>
    <row r="48" spans="3:23" ht="20.100000000000001" customHeight="1" x14ac:dyDescent="0.25"/>
    <row r="49" spans="1:18" ht="20.100000000000001" customHeight="1" x14ac:dyDescent="0.25">
      <c r="D49" s="60" t="str" cm="1">
        <f t="array" ref="D49:E50">Common_Equations.Common_ConvertN2OToCO2e_Arguments()</f>
        <v>EN2O</v>
      </c>
      <c r="E49" s="61" t="str">
        <v>Nitrous oxide emissions (t N2O)</v>
      </c>
      <c r="F49" s="111"/>
      <c r="G49" s="55">
        <f>E47</f>
        <v>4.113317910232321E-3</v>
      </c>
      <c r="O49" s="60" t="str" cm="1">
        <f t="array" ref="O49:P50">Common_Equations.Common_ConvertN2OToCO2e_Arguments()</f>
        <v>EN2O</v>
      </c>
      <c r="P49" s="61" t="str">
        <v>Nitrous oxide emissions (t N2O)</v>
      </c>
      <c r="Q49" s="111"/>
      <c r="R49" s="55">
        <f>P47</f>
        <v>4.113317910232321E-3</v>
      </c>
    </row>
    <row r="50" spans="1:18" ht="20.100000000000001" customHeight="1" x14ac:dyDescent="0.25">
      <c r="D50" s="60" t="str">
        <v>GWPN2O</v>
      </c>
      <c r="E50" s="61" t="str">
        <v>Global warming potential for nitrous oxide (t CO2-e / t N2O)</v>
      </c>
      <c r="F50" s="111"/>
      <c r="G50" s="55">
        <f>Common_InputFunctions.Utility_LookupValueInTableNumber("N2O",Table_GWPData[Gas],Table_GWPData[CO2-e factor])</f>
        <v>265</v>
      </c>
      <c r="O50" s="60" t="str">
        <v>GWPN2O</v>
      </c>
      <c r="P50" s="61" t="str">
        <v>Global warming potential for nitrous oxide (t CO2-e / t N2O)</v>
      </c>
      <c r="Q50" s="111"/>
      <c r="R50" s="55">
        <f>Common_InputFunctions.Utility_LookupValueInTableNumber("N2O",Table_GWPData[Gas],Table_GWPData[CO2-e factor])</f>
        <v>265</v>
      </c>
    </row>
    <row r="51" spans="1:18" ht="20.100000000000001" customHeight="1" x14ac:dyDescent="0.25"/>
    <row r="52" spans="1:18" ht="20.100000000000001" customHeight="1" x14ac:dyDescent="0.25">
      <c r="A52" s="141" t="str">
        <f>HYPERLINK("#A1", "▲ Back to top")</f>
        <v>▲ Back to top</v>
      </c>
      <c r="D52" s="48" t="s">
        <v>111</v>
      </c>
      <c r="E52" s="48" cm="1">
        <f t="array" ref="E52">Common_Equations.Common_ConvertN2OToCO2e(G49,G50)</f>
        <v>1.0900292462115651</v>
      </c>
      <c r="F52" s="112" t="str" cm="1">
        <f t="array" ref="F52">Common_Equations.Common_ConvertN2OToCO2e_Unit()</f>
        <v>t CO2e</v>
      </c>
      <c r="O52" s="48" t="s">
        <v>111</v>
      </c>
      <c r="P52" s="48" cm="1">
        <f t="array" ref="P52">Common_Equations.Common_ConvertN2OToCO2e(R49,R50)</f>
        <v>1.0900292462115651</v>
      </c>
      <c r="Q52" s="112" t="str" cm="1">
        <f t="array" ref="Q52">Common_Equations.Common_ConvertN2OToCO2e_Unit()</f>
        <v>t CO2e</v>
      </c>
    </row>
    <row r="53" spans="1:18" ht="20.100000000000001" customHeight="1" x14ac:dyDescent="0.25"/>
    <row r="54" spans="1:18" ht="20.100000000000001" customHeight="1" x14ac:dyDescent="0.25"/>
    <row r="55" spans="1:18" ht="20.100000000000001" customHeight="1" x14ac:dyDescent="0.25"/>
    <row r="56" spans="1:18" ht="20.100000000000001" customHeight="1" x14ac:dyDescent="0.25"/>
    <row r="57" spans="1:18" ht="20.100000000000001" customHeight="1" x14ac:dyDescent="0.25"/>
    <row r="58" spans="1:18" ht="20.100000000000001" customHeight="1" x14ac:dyDescent="0.25"/>
    <row r="59" spans="1:18" ht="20.100000000000001" customHeight="1" x14ac:dyDescent="0.25"/>
    <row r="60" spans="1:18" ht="20.100000000000001" customHeight="1" x14ac:dyDescent="0.25"/>
    <row r="61" spans="1:18" ht="20.100000000000001" customHeight="1" x14ac:dyDescent="0.25"/>
    <row r="62" spans="1:18" ht="20.100000000000001" customHeight="1" x14ac:dyDescent="0.25"/>
    <row r="63" spans="1:18" ht="20.100000000000001" customHeight="1" x14ac:dyDescent="0.25"/>
    <row r="64" spans="1: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P23 E28 P28" xr:uid="{FFC3CBA3-2876-48FD-90FB-22BFDC268162}"/>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184" zoomScale="85" zoomScaleNormal="85" workbookViewId="0">
      <selection activeCell="D227" sqref="D217:D227"/>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448</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
        <v>172</v>
      </c>
      <c r="G5" s="6" t="s">
        <v>173</v>
      </c>
      <c r="J5" s="6" t="s">
        <v>150</v>
      </c>
      <c r="M5" s="1"/>
    </row>
    <row r="6" spans="1:21" ht="20.100000000000001" customHeight="1" x14ac:dyDescent="0.25">
      <c r="A6" s="16"/>
      <c r="M6" s="1"/>
    </row>
    <row r="7" spans="1:21" ht="20.100000000000001" customHeight="1" x14ac:dyDescent="0.25">
      <c r="A7" s="20" t="s">
        <v>3</v>
      </c>
      <c r="D7" s="102" t="s">
        <v>69</v>
      </c>
      <c r="E7" s="39" t="s">
        <v>83</v>
      </c>
      <c r="G7" s="39" t="s">
        <v>149</v>
      </c>
      <c r="J7" s="39" t="s">
        <v>147</v>
      </c>
      <c r="M7" s="1"/>
    </row>
    <row r="8" spans="1:21" ht="20.100000000000001" customHeight="1" x14ac:dyDescent="0.25">
      <c r="A8" s="17" t="str">
        <f>HYPERLINK("#'Input - Site'!A1", "Site")</f>
        <v>Site</v>
      </c>
      <c r="D8" s="39" t="str">
        <f>'Constants - Livestock'!$E$10</f>
        <v>Anaerobic lagoon</v>
      </c>
      <c r="E8" s="39" t="str">
        <f>'Constants - Livestock'!$F$10</f>
        <v>Anaerobic lagoon (m=1)</v>
      </c>
      <c r="G8" s="39" t="str">
        <f>'Constants - Common'!$F$187</f>
        <v>Pasture</v>
      </c>
      <c r="J8" s="39" t="s">
        <v>151</v>
      </c>
      <c r="M8" s="1"/>
    </row>
    <row r="9" spans="1:21" ht="20.100000000000001" customHeight="1" x14ac:dyDescent="0.25">
      <c r="A9" s="17" t="str">
        <f>HYPERLINK("#'Input - Dairy'!A1", "Dairy")</f>
        <v>Dairy</v>
      </c>
      <c r="D9" s="39" t="str">
        <f>'Constants - Livestock'!$E$13</f>
        <v>Sump and dispersal system</v>
      </c>
      <c r="E9" s="39" t="str">
        <f>'Constants - Livestock'!$F$13</f>
        <v>Sump and dispersal system (m=3a)</v>
      </c>
      <c r="G9" s="1" t="str">
        <f>'Constants - Common'!$F$188</f>
        <v>Crop</v>
      </c>
      <c r="J9" s="39" t="s">
        <v>152</v>
      </c>
      <c r="M9" s="1"/>
    </row>
    <row r="10" spans="1:21" ht="20.100000000000001" customHeight="1" x14ac:dyDescent="0.25">
      <c r="A10" s="17"/>
      <c r="D10" s="39" t="str">
        <f>'Constants - Livestock'!$E$14</f>
        <v>Drains to paddock</v>
      </c>
      <c r="E10" s="39" t="str">
        <f>'Constants - Livestock'!$F$14</f>
        <v>Drains to paddock (m=3b)</v>
      </c>
      <c r="J10" s="1" t="s">
        <v>153</v>
      </c>
      <c r="M10" s="1"/>
    </row>
    <row r="11" spans="1:21" ht="20.100000000000001" customHeight="1" x14ac:dyDescent="0.25">
      <c r="A11" s="19" t="s">
        <v>78</v>
      </c>
      <c r="D11" s="39" t="str">
        <f>'Constants - Livestock'!$E$15</f>
        <v>Solid storage</v>
      </c>
      <c r="E11" s="39" t="str">
        <f>'Constants - Livestock'!$F$15</f>
        <v>Solid storage (m=4)</v>
      </c>
      <c r="J11" s="1" t="s">
        <v>154</v>
      </c>
      <c r="M11" s="1"/>
    </row>
    <row r="12" spans="1:21" ht="20.100000000000001" customHeight="1" x14ac:dyDescent="0.25">
      <c r="A12" s="17" t="str">
        <f>HYPERLINK("#'4.3.1.1-2 Methane'!A1", "4.3.1.1-2 Methane")</f>
        <v>4.3.1.1-2 Methane</v>
      </c>
      <c r="J12" s="1" t="s">
        <v>155</v>
      </c>
      <c r="M12" s="1"/>
    </row>
    <row r="13" spans="1:21" ht="20.100000000000001" customHeight="1" x14ac:dyDescent="0.25">
      <c r="A13" s="17" t="str">
        <f>HYPERLINK("#'4.3.1.3-4 Direct N20'!A1", "4.3.1.3-4 Direct N2O")</f>
        <v>4.3.1.3-4 Direct N2O</v>
      </c>
      <c r="M13" s="1"/>
    </row>
    <row r="14" spans="1:21" ht="20.100000000000001" customHeight="1" x14ac:dyDescent="0.25">
      <c r="A14" s="17" t="str">
        <f>HYPERLINK("#'4.3.1.5 Atmos Deposition'!A1", "4.3.1.5 Atmospheric deposition")</f>
        <v>4.3.1.5 Atmospheric deposition</v>
      </c>
      <c r="M14" s="1"/>
    </row>
    <row r="15" spans="1:21" ht="20.100000000000001" customHeight="1" x14ac:dyDescent="0.25">
      <c r="A15" s="17" t="str">
        <f>HYPERLINK("#'4.3.1.6-7 Leaching and runoff'!A1", "4.3.1.6-7 Leaching and runoff")</f>
        <v>4.3.1.6-7 Leaching and runoff</v>
      </c>
      <c r="M15" s="1"/>
    </row>
    <row r="16" spans="1:21" ht="20.100000000000001" customHeight="1" x14ac:dyDescent="0.25">
      <c r="A16" s="17" t="str">
        <f>HYPERLINK("#'4.3.1.8 Manure applied to soils'!A1", "4.3.1.8 Manure applied to soils")</f>
        <v>4.3.1.8 Manure applied to soils</v>
      </c>
      <c r="D16" s="6" t="str" cm="1">
        <f t="array" ref="D16">SourceData_Dairy.SourceData_Dairy_LiveweightCowsAndHeifers_Title()</f>
        <v>Table A.1.3.1: Dairy cattle - Liveweight (kg) - Cows and Heifers (Wj)</v>
      </c>
      <c r="M16" s="1"/>
    </row>
    <row r="17" spans="1:13" ht="20.100000000000001" customHeight="1" x14ac:dyDescent="0.25">
      <c r="A17" s="17" t="str">
        <f>HYPERLINK("#'4.3.1.9 Soil direct N2O'!A1", "4.3.1.9 Soil direct N2O")</f>
        <v>4.3.1.9 Soil direct N2O</v>
      </c>
      <c r="D17" s="5" t="str" cm="1">
        <f t="array" ref="D17">SourceData_Dairy.SourceData_Dairy_LiveweightCowsAndHeifers_Source()</f>
        <v>VEERG 2026: Table A.1.3.1</v>
      </c>
      <c r="M17" s="1"/>
    </row>
    <row r="18" spans="1:13" ht="20.100000000000001" customHeight="1" x14ac:dyDescent="0.25">
      <c r="A18" s="17" t="str">
        <f>HYPERLINK("#'4.3.1.10-11 Soil Atmos Dep'!A1", "4.3.1.10-11 Soil atm. deposition")</f>
        <v>4.3.1.10-11 Soil atm. deposition</v>
      </c>
      <c r="D18" s="1" t="str" cm="1">
        <f t="array" ref="D18">SourceData_Dairy.SourceData_Dairy_LiveweightCowsAndHeifers_Variable()</f>
        <v>Wj</v>
      </c>
      <c r="M18" s="1"/>
    </row>
    <row r="19" spans="1:13" ht="20.100000000000001" customHeight="1" x14ac:dyDescent="0.25">
      <c r="A19" s="17" t="str">
        <f>HYPERLINK("#'4.3.1.12-13 Soil leach runoff'!A1", "4.3.1.12-13 Soil leach &amp; runoff")</f>
        <v>4.3.1.12-13 Soil leach &amp; runoff</v>
      </c>
      <c r="D19" s="57" t="str" cm="1">
        <f t="array" ref="D19">SourceData_Dairy.SourceData_Dairy_LiveweightCowsAndHeifers_Unit()</f>
        <v>kg</v>
      </c>
      <c r="M19" s="1"/>
    </row>
    <row r="20" spans="1:13" ht="20.100000000000001" customHeight="1" x14ac:dyDescent="0.25">
      <c r="A20" s="17"/>
      <c r="D20" s="58"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18" t="s">
        <v>4</v>
      </c>
      <c r="D21" s="39" t="s">
        <v>174</v>
      </c>
      <c r="E21" s="39" t="s">
        <v>175</v>
      </c>
      <c r="F21" s="39" t="s">
        <v>176</v>
      </c>
      <c r="G21" s="39" t="s">
        <v>177</v>
      </c>
      <c r="M21" s="1"/>
    </row>
    <row r="22" spans="1:13" ht="20.100000000000001" customHeight="1" x14ac:dyDescent="0.25">
      <c r="A22" s="72" t="str">
        <f>HYPERLINK("#'Constants - Dairy'!A1", "Constants - Dairy")</f>
        <v>Constants - Dairy</v>
      </c>
      <c r="D22" s="39" t="str" cm="1">
        <f t="array" ref="D22">Common_InputFunctions.Utility_DisplayArrayInTable(SourceData_Dairy.SourceData_Dairy_LiveweightCowsAndHeifers_Data(), Table_SourceData_Dairy_WjCowsHeifers[[#Headers],[Breed]], 0)</f>
        <v>Medium Friesian</v>
      </c>
      <c r="E22" s="39" cm="1">
        <f t="array" ref="E22">Common_InputFunctions.Utility_DisplayArrayInTable(SourceData_Dairy.SourceData_Dairy_LiveweightCowsAndHeifers_Data(), Table_SourceData_Dairy_WjCowsHeifers[[#Headers],[Breed]], 0)</f>
        <v>550</v>
      </c>
      <c r="F22" s="39" cm="1">
        <f t="array" ref="F22">Common_InputFunctions.Utility_DisplayArrayInTable(SourceData_Dairy.SourceData_Dairy_LiveweightCowsAndHeifers_Data(), Table_SourceData_Dairy_WjCowsHeifers[[#Headers],[Breed]], 0)</f>
        <v>380</v>
      </c>
      <c r="G22" s="39" cm="1">
        <f t="array" ref="G22">Common_InputFunctions.Utility_DisplayArrayInTable(SourceData_Dairy.SourceData_Dairy_LiveweightCowsAndHeifers_Data(), Table_SourceData_Dairy_WjCowsHeifers[[#Headers],[Breed]], 0)</f>
        <v>155</v>
      </c>
      <c r="M22" s="1"/>
    </row>
    <row r="23" spans="1:13" ht="20.100000000000001" customHeight="1" x14ac:dyDescent="0.25">
      <c r="A23" s="17" t="str">
        <f>HYPERLINK("#'Constants - Livestock'!A1", "Constants - Livestock")</f>
        <v>Constants - Livestock</v>
      </c>
      <c r="D23" s="39" t="str" cm="1">
        <f t="array" ref="D23">Common_InputFunctions.Utility_DisplayArrayInTable(SourceData_Dairy.SourceData_Dairy_LiveweightCowsAndHeifers_Data(), Table_SourceData_Dairy_WjCowsHeifers[[#Headers],[Breed]], 0)</f>
        <v>Large Friesian</v>
      </c>
      <c r="E23" s="39" cm="1">
        <f t="array" ref="E23">Common_InputFunctions.Utility_DisplayArrayInTable(SourceData_Dairy.SourceData_Dairy_LiveweightCowsAndHeifers_Data(), Table_SourceData_Dairy_WjCowsHeifers[[#Headers],[Breed]], 0)</f>
        <v>600</v>
      </c>
      <c r="F23" s="39" cm="1">
        <f t="array" ref="F23">Common_InputFunctions.Utility_DisplayArrayInTable(SourceData_Dairy.SourceData_Dairy_LiveweightCowsAndHeifers_Data(), Table_SourceData_Dairy_WjCowsHeifers[[#Headers],[Breed]], 0)</f>
        <v>415</v>
      </c>
      <c r="G23" s="39" cm="1">
        <f t="array" ref="G23">Common_InputFunctions.Utility_DisplayArrayInTable(SourceData_Dairy.SourceData_Dairy_LiveweightCowsAndHeifers_Data(), Table_SourceData_Dairy_WjCowsHeifers[[#Headers],[Breed]], 0)</f>
        <v>170</v>
      </c>
      <c r="M23" s="1"/>
    </row>
    <row r="24" spans="1:13" ht="20.100000000000001" customHeight="1" x14ac:dyDescent="0.25">
      <c r="A24" s="17" t="str">
        <f>HYPERLINK("#'Constants - Common'!A1", "Constants - Common")</f>
        <v>Constants - Common</v>
      </c>
      <c r="D24" s="39" t="str" cm="1">
        <f t="array" ref="D24">Common_InputFunctions.Utility_DisplayArrayInTable(SourceData_Dairy.SourceData_Dairy_LiveweightCowsAndHeifers_Data(), Table_SourceData_Dairy_WjCowsHeifers[[#Headers],[Breed]], 0)</f>
        <v>Holstein-Friesian</v>
      </c>
      <c r="E24" s="39" cm="1">
        <f t="array" ref="E24">Common_InputFunctions.Utility_DisplayArrayInTable(SourceData_Dairy.SourceData_Dairy_LiveweightCowsAndHeifers_Data(), Table_SourceData_Dairy_WjCowsHeifers[[#Headers],[Breed]], 0)</f>
        <v>650</v>
      </c>
      <c r="F24" s="39" cm="1">
        <f t="array" ref="F24">Common_InputFunctions.Utility_DisplayArrayInTable(SourceData_Dairy.SourceData_Dairy_LiveweightCowsAndHeifers_Data(), Table_SourceData_Dairy_WjCowsHeifers[[#Headers],[Breed]], 0)</f>
        <v>450</v>
      </c>
      <c r="G24" s="39" cm="1">
        <f t="array" ref="G24">Common_InputFunctions.Utility_DisplayArrayInTable(SourceData_Dairy.SourceData_Dairy_LiveweightCowsAndHeifers_Data(), Table_SourceData_Dairy_WjCowsHeifers[[#Headers],[Breed]], 0)</f>
        <v>185</v>
      </c>
      <c r="M24" s="1"/>
    </row>
    <row r="25" spans="1:13" ht="20.100000000000001" customHeight="1" x14ac:dyDescent="0.25">
      <c r="A25" s="17" t="str">
        <f>HYPERLINK("#'Acknowledgements'!A1", "Acknowledgements")</f>
        <v>Acknowledgements</v>
      </c>
      <c r="D25" s="39" t="str" cm="1">
        <f t="array" ref="D25">Common_InputFunctions.Utility_DisplayArrayInTable(SourceData_Dairy.SourceData_Dairy_LiveweightCowsAndHeifers_Data(), Table_SourceData_Dairy_WjCowsHeifers[[#Headers],[Breed]], 0)</f>
        <v>Friesian crossbred</v>
      </c>
      <c r="E25" s="39" cm="1">
        <f t="array" ref="E25">Common_InputFunctions.Utility_DisplayArrayInTable(SourceData_Dairy.SourceData_Dairy_LiveweightCowsAndHeifers_Data(), Table_SourceData_Dairy_WjCowsHeifers[[#Headers],[Breed]], 0)</f>
        <v>500</v>
      </c>
      <c r="F25" s="39" cm="1">
        <f t="array" ref="F25">Common_InputFunctions.Utility_DisplayArrayInTable(SourceData_Dairy.SourceData_Dairy_LiveweightCowsAndHeifers_Data(), Table_SourceData_Dairy_WjCowsHeifers[[#Headers],[Breed]], 0)</f>
        <v>350</v>
      </c>
      <c r="G25" s="39"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39" t="str" cm="1">
        <f t="array" ref="D26">Common_InputFunctions.Utility_DisplayArrayInTable(SourceData_Dairy.SourceData_Dairy_LiveweightCowsAndHeifers_Data(), Table_SourceData_Dairy_WjCowsHeifers[[#Headers],[Breed]], 0)</f>
        <v>Jersey</v>
      </c>
      <c r="E26" s="39" cm="1">
        <f t="array" ref="E26">Common_InputFunctions.Utility_DisplayArrayInTable(SourceData_Dairy.SourceData_Dairy_LiveweightCowsAndHeifers_Data(), Table_SourceData_Dairy_WjCowsHeifers[[#Headers],[Breed]], 0)</f>
        <v>400</v>
      </c>
      <c r="F26" s="39" cm="1">
        <f t="array" ref="F26">Common_InputFunctions.Utility_DisplayArrayInTable(SourceData_Dairy.SourceData_Dairy_LiveweightCowsAndHeifers_Data(), Table_SourceData_Dairy_WjCowsHeifers[[#Headers],[Breed]], 0)</f>
        <v>275</v>
      </c>
      <c r="G26" s="39"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39" t="str" cm="1">
        <f t="array" ref="D27">Common_InputFunctions.Utility_DisplayArrayInTable(SourceData_Dairy.SourceData_Dairy_LiveweightCowsAndHeifers_Data(), Table_SourceData_Dairy_WjCowsHeifers[[#Headers],[Breed]], 0)</f>
        <v>Jersey crossbred</v>
      </c>
      <c r="E27" s="39" cm="1">
        <f t="array" ref="E27">Common_InputFunctions.Utility_DisplayArrayInTable(SourceData_Dairy.SourceData_Dairy_LiveweightCowsAndHeifers_Data(), Table_SourceData_Dairy_WjCowsHeifers[[#Headers],[Breed]], 0)</f>
        <v>450</v>
      </c>
      <c r="F27" s="39" cm="1">
        <f t="array" ref="F27">Common_InputFunctions.Utility_DisplayArrayInTable(SourceData_Dairy.SourceData_Dairy_LiveweightCowsAndHeifers_Data(), Table_SourceData_Dairy_WjCowsHeifers[[#Headers],[Breed]], 0)</f>
        <v>315</v>
      </c>
      <c r="G27" s="39"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39" t="str" cm="1">
        <f t="array" ref="D28">Common_InputFunctions.Utility_DisplayArrayInTable(SourceData_Dairy.SourceData_Dairy_LiveweightCowsAndHeifers_Data(), Table_SourceData_Dairy_WjCowsHeifers[[#Headers],[Breed]], 0)</f>
        <v>Ayrshire</v>
      </c>
      <c r="E28" s="39" cm="1">
        <f t="array" ref="E28">Common_InputFunctions.Utility_DisplayArrayInTable(SourceData_Dairy.SourceData_Dairy_LiveweightCowsAndHeifers_Data(), Table_SourceData_Dairy_WjCowsHeifers[[#Headers],[Breed]], 0)</f>
        <v>540</v>
      </c>
      <c r="F28" s="39" cm="1">
        <f t="array" ref="F28">Common_InputFunctions.Utility_DisplayArrayInTable(SourceData_Dairy.SourceData_Dairy_LiveweightCowsAndHeifers_Data(), Table_SourceData_Dairy_WjCowsHeifers[[#Headers],[Breed]], 0)</f>
        <v>375</v>
      </c>
      <c r="G28" s="39"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39" t="str" cm="1">
        <f t="array" ref="D29">Common_InputFunctions.Utility_DisplayArrayInTable(SourceData_Dairy.SourceData_Dairy_LiveweightCowsAndHeifers_Data(), Table_SourceData_Dairy_WjCowsHeifers[[#Headers],[Breed]], 0)</f>
        <v>Guernsey</v>
      </c>
      <c r="E29" s="39" cm="1">
        <f t="array" ref="E29">Common_InputFunctions.Utility_DisplayArrayInTable(SourceData_Dairy.SourceData_Dairy_LiveweightCowsAndHeifers_Data(), Table_SourceData_Dairy_WjCowsHeifers[[#Headers],[Breed]], 0)</f>
        <v>480</v>
      </c>
      <c r="F29" s="39" cm="1">
        <f t="array" ref="F29">Common_InputFunctions.Utility_DisplayArrayInTable(SourceData_Dairy.SourceData_Dairy_LiveweightCowsAndHeifers_Data(), Table_SourceData_Dairy_WjCowsHeifers[[#Headers],[Breed]], 0)</f>
        <v>335</v>
      </c>
      <c r="G29" s="39"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9" t="str" cm="1">
        <f t="array" ref="D30">Common_InputFunctions.Utility_DisplayArrayInTable(SourceData_Dairy.SourceData_Dairy_LiveweightCowsAndHeifers_Data(), Table_SourceData_Dairy_WjCowsHeifers[[#Headers],[Breed]], 0)</f>
        <v>Brown Swiss</v>
      </c>
      <c r="E30" s="39" cm="1">
        <f t="array" ref="E30">Common_InputFunctions.Utility_DisplayArrayInTable(SourceData_Dairy.SourceData_Dairy_LiveweightCowsAndHeifers_Data(), Table_SourceData_Dairy_WjCowsHeifers[[#Headers],[Breed]], 0)</f>
        <v>600</v>
      </c>
      <c r="F30" s="39" cm="1">
        <f t="array" ref="F30">Common_InputFunctions.Utility_DisplayArrayInTable(SourceData_Dairy.SourceData_Dairy_LiveweightCowsAndHeifers_Data(), Table_SourceData_Dairy_WjCowsHeifers[[#Headers],[Breed]], 0)</f>
        <v>415</v>
      </c>
      <c r="G30" s="39"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9" t="str" cm="1">
        <f t="array" ref="D31">Common_InputFunctions.Utility_DisplayArrayInTable(SourceData_Dairy.SourceData_Dairy_LiveweightCowsAndHeifers_Data(), Table_SourceData_Dairy_WjCowsHeifers[[#Headers],[Breed]], 0)</f>
        <v>Illawarra/Aussie Red</v>
      </c>
      <c r="E31" s="39" cm="1">
        <f t="array" ref="E31">Common_InputFunctions.Utility_DisplayArrayInTable(SourceData_Dairy.SourceData_Dairy_LiveweightCowsAndHeifers_Data(), Table_SourceData_Dairy_WjCowsHeifers[[#Headers],[Breed]], 0)</f>
        <v>550</v>
      </c>
      <c r="F31" s="39" cm="1">
        <f t="array" ref="F31">Common_InputFunctions.Utility_DisplayArrayInTable(SourceData_Dairy.SourceData_Dairy_LiveweightCowsAndHeifers_Data(), Table_SourceData_Dairy_WjCowsHeifers[[#Headers],[Breed]], 0)</f>
        <v>375</v>
      </c>
      <c r="G31" s="39"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7" t="str" cm="1">
        <f t="array" ref="D37">SourceData_Dairy.SourceData_Dairy_LiveweightBulls_Unit()</f>
        <v>kg</v>
      </c>
      <c r="M37" s="1"/>
    </row>
    <row r="38" spans="4:13" ht="20.100000000000001" customHeight="1" x14ac:dyDescent="0.25">
      <c r="D38" s="39" t="s">
        <v>174</v>
      </c>
      <c r="E38" s="39" t="s">
        <v>179</v>
      </c>
      <c r="F38" s="39" t="s">
        <v>178</v>
      </c>
      <c r="M38" s="1"/>
    </row>
    <row r="39" spans="4:13" ht="20.100000000000001" customHeight="1" x14ac:dyDescent="0.25">
      <c r="D39" s="39" t="str" cm="1">
        <f t="array" ref="D39">Common_InputFunctions.Utility_DisplayArrayInTable(SourceData_Dairy.SourceData_Dairy_LiveweightBulls_Data(), Table_SourceData_Dairy_WjBulls[[#Headers],[Breed]], 0)</f>
        <v>All breeds</v>
      </c>
      <c r="E39" s="39" cm="1">
        <f t="array" ref="E39">Common_InputFunctions.Utility_DisplayArrayInTable(SourceData_Dairy.SourceData_Dairy_LiveweightBulls_Data(), Table_SourceData_Dairy_WjBulls[[#Headers],[Breed]], 0)</f>
        <v>600</v>
      </c>
      <c r="F39" s="39"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7" t="str" cm="1">
        <f t="array" ref="D45">SourceData_Dairy.SourceData_Dairy_LiveweightGain_Unit()</f>
        <v>kg</v>
      </c>
      <c r="M45" s="1"/>
    </row>
    <row r="46" spans="4:13" ht="20.100000000000001" customHeight="1" x14ac:dyDescent="0.25">
      <c r="D46" s="39" t="s">
        <v>175</v>
      </c>
      <c r="E46" s="39" t="s">
        <v>176</v>
      </c>
      <c r="F46" s="39" t="s">
        <v>177</v>
      </c>
      <c r="G46" s="39" t="s">
        <v>179</v>
      </c>
      <c r="H46" s="39" t="s">
        <v>178</v>
      </c>
      <c r="M46" s="1"/>
    </row>
    <row r="47" spans="4:13" ht="20.100000000000001" customHeight="1" x14ac:dyDescent="0.25">
      <c r="D47" s="39" cm="1">
        <f t="array" ref="D47">Common_InputFunctions.Utility_DisplayArrayInTable(SourceData_Dairy.SourceData_Dairy_LiveweightGain_Data(), Table_SourceData_Dairy_LWGj[[#Headers],[Milking cows]], 0)</f>
        <v>1.6E-2</v>
      </c>
      <c r="E47" s="39" cm="1">
        <f t="array" ref="E47">Common_InputFunctions.Utility_DisplayArrayInTable(SourceData_Dairy.SourceData_Dairy_LiveweightGain_Data(), Table_SourceData_Dairy_LWGj[[#Headers],[Milking cows]], 0)</f>
        <v>0.6</v>
      </c>
      <c r="F47" s="39" cm="1">
        <f t="array" ref="F47">Common_InputFunctions.Utility_DisplayArrayInTable(SourceData_Dairy.SourceData_Dairy_LiveweightGain_Data(), Table_SourceData_Dairy_LWGj[[#Headers],[Milking cows]], 0)</f>
        <v>0.56999999999999995</v>
      </c>
      <c r="G47" s="39" cm="1">
        <f t="array" ref="G47">Common_InputFunctions.Utility_DisplayArrayInTable(SourceData_Dairy.SourceData_Dairy_LiveweightGain_Data(), Table_SourceData_Dairy_LWGj[[#Headers],[Milking cows]], 0)</f>
        <v>0.1</v>
      </c>
      <c r="H47" s="39"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1:13" ht="20.100000000000001" customHeight="1" x14ac:dyDescent="0.25">
      <c r="M49" s="1"/>
    </row>
    <row r="50" spans="1:13" ht="20.100000000000001" customHeight="1" x14ac:dyDescent="0.25">
      <c r="D50" s="6" t="str" cm="1">
        <f t="array" ref="D50">SourceData_Dairy.SourceData_Dairy_ReferenceWeights_Title()</f>
        <v>Table A.1.3.4: Dairy cattle - Reference weights (kg) (WRj)</v>
      </c>
      <c r="M50" s="1"/>
    </row>
    <row r="51" spans="1:13" ht="20.100000000000001" customHeight="1" x14ac:dyDescent="0.25">
      <c r="D51" s="5" t="str" cm="1">
        <f t="array" ref="D51">SourceData_Dairy.SourceData_Dairy_ReferenceWeights_Source()</f>
        <v>VEERG 2026: Table A.1.3.4</v>
      </c>
      <c r="M51" s="1"/>
    </row>
    <row r="52" spans="1:13" ht="20.100000000000001" customHeight="1" x14ac:dyDescent="0.25">
      <c r="D52" s="1" t="str" cm="1">
        <f t="array" ref="D52">SourceData_Dairy.SourceData_Dairy_ReferenceWeights_Variable()</f>
        <v>WRj</v>
      </c>
      <c r="M52" s="1"/>
    </row>
    <row r="53" spans="1:13" ht="20.100000000000001" customHeight="1" x14ac:dyDescent="0.25">
      <c r="D53" s="57" t="str" cm="1">
        <f t="array" ref="D53">SourceData_Dairy.SourceData_Dairy_ReferenceWeights_Unit()</f>
        <v>kg</v>
      </c>
      <c r="M53" s="1"/>
    </row>
    <row r="54" spans="1:13" ht="20.100000000000001" customHeight="1" x14ac:dyDescent="0.25">
      <c r="D54" s="125" t="s">
        <v>175</v>
      </c>
      <c r="E54" s="125" t="s">
        <v>176</v>
      </c>
      <c r="F54" s="125" t="s">
        <v>177</v>
      </c>
      <c r="G54" s="125" t="s">
        <v>179</v>
      </c>
      <c r="H54" s="125" t="s">
        <v>178</v>
      </c>
      <c r="M54" s="1"/>
    </row>
    <row r="55" spans="1:13" ht="20.100000000000001" customHeight="1" x14ac:dyDescent="0.25">
      <c r="A55" s="141" t="str">
        <f>HYPERLINK("#A1", "▲ Back to top")</f>
        <v>▲ Back to top</v>
      </c>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1:13" ht="20.100000000000001" customHeight="1" x14ac:dyDescent="0.25">
      <c r="M56" s="1"/>
    </row>
    <row r="57" spans="1:13" ht="20.100000000000001" customHeight="1" x14ac:dyDescent="0.25">
      <c r="M57" s="1"/>
    </row>
    <row r="58" spans="1:13" ht="20.100000000000001" customHeight="1" x14ac:dyDescent="0.25">
      <c r="D58" s="6" t="str" cm="1">
        <f t="array" ref="D58">SourceData_Dairy.SourceData_Dairy_PreWeanedCalves_Title()</f>
        <v>Table A.1.3.5: Dairy cattle - Data for pre - weaned calves</v>
      </c>
      <c r="M58" s="1"/>
    </row>
    <row r="59" spans="1:13" ht="20.100000000000001" customHeight="1" x14ac:dyDescent="0.25">
      <c r="D59" s="5" t="str" cm="1">
        <f t="array" ref="D59">SourceData_Dairy.SourceData_Dairy_PreWeanedCalves_Source()</f>
        <v>VEERG 2026: Table A.1.3.5</v>
      </c>
      <c r="M59" s="1"/>
    </row>
    <row r="60" spans="1:13" ht="20.100000000000001" customHeight="1" x14ac:dyDescent="0.25">
      <c r="D60" s="1" t="str" cm="1">
        <f t="array" ref="D60">SourceData_Dairy.SourceData_Dairy_PreWeanedCalves_Variable()</f>
        <v>VSj=3,5; NPWj=3,5</v>
      </c>
      <c r="M60" s="1"/>
    </row>
    <row r="61" spans="1:13" ht="20.100000000000001" customHeight="1" x14ac:dyDescent="0.25">
      <c r="D61" s="57" t="str" cm="1">
        <f t="array" ref="D61">SourceData_Dairy.SourceData_Dairy_PreWeanedCalves_Unit()</f>
        <v>kg/day</v>
      </c>
      <c r="M61" s="1"/>
    </row>
    <row r="62" spans="1:13" ht="20.100000000000001" customHeight="1" x14ac:dyDescent="0.25">
      <c r="D62" s="39" t="s">
        <v>180</v>
      </c>
      <c r="E62" s="39" t="s">
        <v>181</v>
      </c>
      <c r="F62" s="39" t="s">
        <v>182</v>
      </c>
      <c r="G62" s="39" t="s">
        <v>183</v>
      </c>
      <c r="M62" s="1"/>
    </row>
    <row r="63" spans="1:13" ht="20.100000000000001" customHeight="1" x14ac:dyDescent="0.25">
      <c r="D63" s="39" t="str" cm="1">
        <f t="array" ref="D63">Common_InputFunctions.Utility_DisplayArrayInTable(SourceData_Dairy.SourceData_Dairy_PreWeanedCalves_Data(), Table_SourceData_Dairy_DataPreWeaned[[#Headers],[Animal class j]], -1)</f>
        <v>Heifers&lt;1</v>
      </c>
      <c r="E63" s="39" cm="1">
        <f t="array" ref="E63">Common_InputFunctions.Utility_DisplayArrayInTable(SourceData_Dairy.SourceData_Dairy_PreWeanedCalves_Data(), Table_SourceData_Dairy_DataPreWeaned[[#Headers],[Animal class j]], -1)</f>
        <v>1.7600000000000001E-2</v>
      </c>
      <c r="F63" s="39" cm="1">
        <f t="array" ref="F63">Common_InputFunctions.Utility_DisplayArrayInTable(SourceData_Dairy.SourceData_Dairy_PreWeanedCalves_Data(), Table_SourceData_Dairy_DataPreWeaned[[#Headers],[Animal class j]], -1)</f>
        <v>0.26850000000000002</v>
      </c>
      <c r="G63" s="39" cm="1">
        <f t="array" ref="G63">Common_InputFunctions.Utility_DisplayArrayInTable(SourceData_Dairy.SourceData_Dairy_PreWeanedCalves_Data(), Table_SourceData_Dairy_DataPreWeaned[[#Headers],[Animal class j]], -1)</f>
        <v>1.37E-2</v>
      </c>
      <c r="M63" s="1"/>
    </row>
    <row r="64" spans="1:13" ht="20.100000000000001" customHeight="1" x14ac:dyDescent="0.25">
      <c r="D64" s="39" t="str" cm="1">
        <f t="array" ref="D64">Common_InputFunctions.Utility_DisplayArrayInTable(SourceData_Dairy.SourceData_Dairy_PreWeanedCalves_Data(), Table_SourceData_Dairy_DataPreWeaned[[#Headers],[Animal class j]], -1)</f>
        <v>Bulls&lt;1</v>
      </c>
      <c r="E64" s="39" cm="1">
        <f t="array" ref="E64">Common_InputFunctions.Utility_DisplayArrayInTable(SourceData_Dairy.SourceData_Dairy_PreWeanedCalves_Data(), Table_SourceData_Dairy_DataPreWeaned[[#Headers],[Animal class j]], -1)</f>
        <v>2.0400000000000001E-2</v>
      </c>
      <c r="F64" s="39" cm="1">
        <f t="array" ref="F64">Common_InputFunctions.Utility_DisplayArrayInTable(SourceData_Dairy.SourceData_Dairy_PreWeanedCalves_Data(), Table_SourceData_Dairy_DataPreWeaned[[#Headers],[Animal class j]], -1)</f>
        <v>0.30030000000000001</v>
      </c>
      <c r="G64" s="39" cm="1">
        <f t="array" ref="G64">Common_InputFunctions.Utility_DisplayArrayInTable(SourceData_Dairy.SourceData_Dairy_PreWeanedCalves_Data(), Table_SourceData_Dairy_DataPreWeaned[[#Headers],[Animal class j]], -1)</f>
        <v>9.1999999999999998E-3</v>
      </c>
      <c r="M64" s="1"/>
    </row>
    <row r="65" spans="1:22" ht="20.100000000000001" customHeight="1" x14ac:dyDescent="0.25">
      <c r="M65" s="1"/>
    </row>
    <row r="66" spans="1:22" ht="20.100000000000001" customHeight="1" x14ac:dyDescent="0.25">
      <c r="M66" s="1"/>
    </row>
    <row r="67" spans="1:22" ht="20.100000000000001" customHeight="1" x14ac:dyDescent="0.25">
      <c r="D67" s="6" t="str" cm="1">
        <f t="array" ref="D67">SourceData_Dairy.SourceData_Dairy_MCF_Title()</f>
        <v>Table A.1.3.6: Dairy cattle - Dairy cattle - MCFs (fraction) (MCFjm)</v>
      </c>
      <c r="M67" s="1"/>
    </row>
    <row r="68" spans="1:22" ht="20.100000000000001" customHeight="1" x14ac:dyDescent="0.25">
      <c r="D68" s="5" t="str" cm="1">
        <f t="array" ref="D68">SourceData_Dairy.SourceData_Dairy_MCF_Source()</f>
        <v>VEERG 2026: Table A.1.3.6</v>
      </c>
      <c r="M68" s="1"/>
    </row>
    <row r="69" spans="1:22" ht="20.100000000000001" customHeight="1" x14ac:dyDescent="0.25">
      <c r="D69" s="1" t="str" cm="1">
        <f t="array" ref="D69">SourceData_Dairy.SourceData_Dairy_MCF_Variable()</f>
        <v>MCFjm</v>
      </c>
      <c r="M69" s="1"/>
    </row>
    <row r="70" spans="1:22" ht="20.100000000000001" customHeight="1" x14ac:dyDescent="0.25">
      <c r="D70" s="57" t="str" cm="1">
        <f t="array" ref="D70">SourceData_Dairy.SourceData_Dairy_MCF_Unit()</f>
        <v>fraction</v>
      </c>
      <c r="M70" s="1"/>
    </row>
    <row r="71" spans="1:22" ht="20.100000000000001" customHeight="1" x14ac:dyDescent="0.25">
      <c r="D71" s="58" t="str" cm="1">
        <f t="array" ref="D71">SourceData_Dairy.SourceData_Dairy_MCF_Variation()</f>
        <v>VARIATION OF SOURCE: Added 'NIR reference' column to aid lookup</v>
      </c>
      <c r="M71" s="1"/>
      <c r="V71" s="1"/>
    </row>
    <row r="72" spans="1:22" ht="20.100000000000001" customHeight="1" x14ac:dyDescent="0.25">
      <c r="D72" s="39" t="s">
        <v>102</v>
      </c>
      <c r="E72" s="39" t="s">
        <v>84</v>
      </c>
      <c r="F72" s="39" t="s">
        <v>85</v>
      </c>
      <c r="G72" s="39" t="s">
        <v>86</v>
      </c>
      <c r="H72" s="39" t="s">
        <v>87</v>
      </c>
      <c r="I72" s="39" t="s">
        <v>88</v>
      </c>
      <c r="J72" s="39" t="s">
        <v>89</v>
      </c>
      <c r="K72" s="39" t="s">
        <v>90</v>
      </c>
      <c r="L72" s="39" t="s">
        <v>91</v>
      </c>
      <c r="M72" s="39" t="s">
        <v>191</v>
      </c>
      <c r="V72" s="1"/>
    </row>
    <row r="73" spans="1:22" ht="20.100000000000001" customHeight="1" x14ac:dyDescent="0.25">
      <c r="D73" s="39" t="str" cm="1">
        <f t="array" ref="D73">Common_InputFunctions.Utility_DisplayArrayInTable(SourceData_Dairy.SourceData_Dairy_MCF_Data(), Table_SourceData_Dairy_MCFjm[[#Headers],[MMS m]], 0)</f>
        <v>Pasture</v>
      </c>
      <c r="E73" s="39" cm="1">
        <f t="array" ref="E73">Common_InputFunctions.Utility_DisplayArrayInTable(SourceData_Dairy.SourceData_Dairy_MCF_Data(), Table_SourceData_Dairy_MCFjm[[#Headers],[MMS m]], 0)</f>
        <v>0.01</v>
      </c>
      <c r="F73" s="39" cm="1">
        <f t="array" ref="F73">Common_InputFunctions.Utility_DisplayArrayInTable(SourceData_Dairy.SourceData_Dairy_MCF_Data(), Table_SourceData_Dairy_MCFjm[[#Headers],[MMS m]], 0)</f>
        <v>0.01</v>
      </c>
      <c r="G73" s="39" cm="1">
        <f t="array" ref="G73">Common_InputFunctions.Utility_DisplayArrayInTable(SourceData_Dairy.SourceData_Dairy_MCF_Data(), Table_SourceData_Dairy_MCFjm[[#Headers],[MMS m]], 0)</f>
        <v>0.02</v>
      </c>
      <c r="H73" s="39" cm="1">
        <f t="array" ref="H73">Common_InputFunctions.Utility_DisplayArrayInTable(SourceData_Dairy.SourceData_Dairy_MCF_Data(), Table_SourceData_Dairy_MCFjm[[#Headers],[MMS m]], 0)</f>
        <v>0.01</v>
      </c>
      <c r="I73" s="39" cm="1">
        <f t="array" ref="I73">Common_InputFunctions.Utility_DisplayArrayInTable(SourceData_Dairy.SourceData_Dairy_MCF_Data(), Table_SourceData_Dairy_MCFjm[[#Headers],[MMS m]], 0)</f>
        <v>0.01</v>
      </c>
      <c r="J73" s="39" cm="1">
        <f t="array" ref="J73">Common_InputFunctions.Utility_DisplayArrayInTable(SourceData_Dairy.SourceData_Dairy_MCF_Data(), Table_SourceData_Dairy_MCFjm[[#Headers],[MMS m]], 0)</f>
        <v>0.01</v>
      </c>
      <c r="K73" s="39" cm="1">
        <f t="array" ref="K73">Common_InputFunctions.Utility_DisplayArrayInTable(SourceData_Dairy.SourceData_Dairy_MCF_Data(), Table_SourceData_Dairy_MCFjm[[#Headers],[MMS m]], 0)</f>
        <v>0.01</v>
      </c>
      <c r="L73" s="39" cm="1">
        <f t="array" ref="L73">Common_InputFunctions.Utility_DisplayArrayInTable(SourceData_Dairy.SourceData_Dairy_MCF_Data(), Table_SourceData_Dairy_MCFjm[[#Headers],[MMS m]], 0)</f>
        <v>0.01</v>
      </c>
      <c r="M73" s="39" t="str" cm="1">
        <f t="array" ref="M73">Common_InputFunctions.Utility_DisplayArrayInTable(SourceData_Dairy.SourceData_Dairy_MCF_Data(), Table_SourceData_Dairy_MCFjm[[#Headers],[MMS m]], 0)</f>
        <v>Pasture range and paddock</v>
      </c>
      <c r="V73" s="1"/>
    </row>
    <row r="74" spans="1:22" ht="20.100000000000001" customHeight="1" x14ac:dyDescent="0.25">
      <c r="D74" s="1" t="str" cm="1">
        <f t="array" ref="D74">Common_InputFunctions.Utility_DisplayArrayInTable(SourceData_Dairy.SourceData_Dairy_MCF_Data(), Table_SourceData_Dairy_MCFjm[[#Headers],[MMS m]], 0)</f>
        <v>Anaerobic lagoon</v>
      </c>
      <c r="E74" s="39" cm="1">
        <f t="array" ref="E74">Common_InputFunctions.Utility_DisplayArrayInTable(SourceData_Dairy.SourceData_Dairy_MCF_Data(), Table_SourceData_Dairy_MCFjm[[#Headers],[MMS m]], 0)</f>
        <v>0.72</v>
      </c>
      <c r="F74" s="39" cm="1">
        <f t="array" ref="F74">Common_InputFunctions.Utility_DisplayArrayInTable(SourceData_Dairy.SourceData_Dairy_MCF_Data(), Table_SourceData_Dairy_MCFjm[[#Headers],[MMS m]], 0)</f>
        <v>0.76</v>
      </c>
      <c r="G74" s="39" cm="1">
        <f t="array" ref="G74">Common_InputFunctions.Utility_DisplayArrayInTable(SourceData_Dairy.SourceData_Dairy_MCF_Data(), Table_SourceData_Dairy_MCFjm[[#Headers],[MMS m]], 0)</f>
        <v>0.8</v>
      </c>
      <c r="H74" s="39" cm="1">
        <f t="array" ref="H74">Common_InputFunctions.Utility_DisplayArrayInTable(SourceData_Dairy.SourceData_Dairy_MCF_Data(), Table_SourceData_Dairy_MCFjm[[#Headers],[MMS m]], 0)</f>
        <v>0.78</v>
      </c>
      <c r="I74" s="39" cm="1">
        <f t="array" ref="I74">Common_InputFunctions.Utility_DisplayArrayInTable(SourceData_Dairy.SourceData_Dairy_MCF_Data(), Table_SourceData_Dairy_MCFjm[[#Headers],[MMS m]], 0)</f>
        <v>0.74</v>
      </c>
      <c r="J74" s="39" cm="1">
        <f t="array" ref="J74">Common_InputFunctions.Utility_DisplayArrayInTable(SourceData_Dairy.SourceData_Dairy_MCF_Data(), Table_SourceData_Dairy_MCFjm[[#Headers],[MMS m]], 0)</f>
        <v>0.69</v>
      </c>
      <c r="K74" s="39" cm="1">
        <f t="array" ref="K74">Common_InputFunctions.Utility_DisplayArrayInTable(SourceData_Dairy.SourceData_Dairy_MCF_Data(), Table_SourceData_Dairy_MCFjm[[#Headers],[MMS m]], 0)</f>
        <v>0.73</v>
      </c>
      <c r="L74" s="39" cm="1">
        <f t="array" ref="L74">Common_InputFunctions.Utility_DisplayArrayInTable(SourceData_Dairy.SourceData_Dairy_MCF_Data(), Table_SourceData_Dairy_MCFjm[[#Headers],[MMS m]], 0)</f>
        <v>0.76</v>
      </c>
      <c r="M74" s="39" t="str" cm="1">
        <f t="array" ref="M74">Common_InputFunctions.Utility_DisplayArrayInTable(SourceData_Dairy.SourceData_Dairy_MCF_Data(), Table_SourceData_Dairy_MCFjm[[#Headers],[MMS m]], 0)</f>
        <v>Anaerobic lagoon</v>
      </c>
      <c r="V74" s="1"/>
    </row>
    <row r="75" spans="1:22" ht="20.100000000000001" customHeight="1" x14ac:dyDescent="0.25">
      <c r="D75" s="1" t="str" cm="1">
        <f t="array" ref="D75">Common_InputFunctions.Utility_DisplayArrayInTable(SourceData_Dairy.SourceData_Dairy_MCF_Data(), Table_SourceData_Dairy_MCFjm[[#Headers],[MMS m]], 0)</f>
        <v>Daily spread - Sump and dispersal systems</v>
      </c>
      <c r="E75" s="39" cm="1">
        <f t="array" ref="E75">Common_InputFunctions.Utility_DisplayArrayInTable(SourceData_Dairy.SourceData_Dairy_MCF_Data(), Table_SourceData_Dairy_MCFjm[[#Headers],[MMS m]], 0)</f>
        <v>5.0000000000000001E-3</v>
      </c>
      <c r="F75" s="39" cm="1">
        <f t="array" ref="F75">Common_InputFunctions.Utility_DisplayArrayInTable(SourceData_Dairy.SourceData_Dairy_MCF_Data(), Table_SourceData_Dairy_MCFjm[[#Headers],[MMS m]], 0)</f>
        <v>5.0000000000000001E-3</v>
      </c>
      <c r="G75" s="39" cm="1">
        <f t="array" ref="G75">Common_InputFunctions.Utility_DisplayArrayInTable(SourceData_Dairy.SourceData_Dairy_MCF_Data(), Table_SourceData_Dairy_MCFjm[[#Headers],[MMS m]], 0)</f>
        <v>0.01</v>
      </c>
      <c r="H75" s="39" cm="1">
        <f t="array" ref="H75">Common_InputFunctions.Utility_DisplayArrayInTable(SourceData_Dairy.SourceData_Dairy_MCF_Data(), Table_SourceData_Dairy_MCFjm[[#Headers],[MMS m]], 0)</f>
        <v>5.0000000000000001E-3</v>
      </c>
      <c r="I75" s="39" cm="1">
        <f t="array" ref="I75">Common_InputFunctions.Utility_DisplayArrayInTable(SourceData_Dairy.SourceData_Dairy_MCF_Data(), Table_SourceData_Dairy_MCFjm[[#Headers],[MMS m]], 0)</f>
        <v>5.0000000000000001E-3</v>
      </c>
      <c r="J75" s="39" cm="1">
        <f t="array" ref="J75">Common_InputFunctions.Utility_DisplayArrayInTable(SourceData_Dairy.SourceData_Dairy_MCF_Data(), Table_SourceData_Dairy_MCFjm[[#Headers],[MMS m]], 0)</f>
        <v>1E-3</v>
      </c>
      <c r="K75" s="39" cm="1">
        <f t="array" ref="K75">Common_InputFunctions.Utility_DisplayArrayInTable(SourceData_Dairy.SourceData_Dairy_MCF_Data(), Table_SourceData_Dairy_MCFjm[[#Headers],[MMS m]], 0)</f>
        <v>5.0000000000000001E-3</v>
      </c>
      <c r="L75" s="39" cm="1">
        <f t="array" ref="L75">Common_InputFunctions.Utility_DisplayArrayInTable(SourceData_Dairy.SourceData_Dairy_MCF_Data(), Table_SourceData_Dairy_MCFjm[[#Headers],[MMS m]], 0)</f>
        <v>5.0000000000000001E-3</v>
      </c>
      <c r="M75" s="39" t="str" cm="1">
        <f t="array" ref="M75">Common_InputFunctions.Utility_DisplayArrayInTable(SourceData_Dairy.SourceData_Dairy_MCF_Data(), Table_SourceData_Dairy_MCFjm[[#Headers],[MMS m]], 0)</f>
        <v>Sump and dispersal system</v>
      </c>
      <c r="V75" s="1"/>
    </row>
    <row r="76" spans="1:22" ht="20.100000000000001" customHeight="1" x14ac:dyDescent="0.25">
      <c r="D76" s="1" t="str" cm="1">
        <f t="array" ref="D76">Common_InputFunctions.Utility_DisplayArrayInTable(SourceData_Dairy.SourceData_Dairy_MCF_Data(), Table_SourceData_Dairy_MCFjm[[#Headers],[MMS m]], 0)</f>
        <v>Daily spread - Drains to paddocks (a)</v>
      </c>
      <c r="E76" s="39" cm="1">
        <f t="array" ref="E76">Common_InputFunctions.Utility_DisplayArrayInTable(SourceData_Dairy.SourceData_Dairy_MCF_Data(), Table_SourceData_Dairy_MCFjm[[#Headers],[MMS m]], 0)</f>
        <v>0.15</v>
      </c>
      <c r="F76" s="39" cm="1">
        <f t="array" ref="F76">Common_InputFunctions.Utility_DisplayArrayInTable(SourceData_Dairy.SourceData_Dairy_MCF_Data(), Table_SourceData_Dairy_MCFjm[[#Headers],[MMS m]], 0)</f>
        <v>0.18</v>
      </c>
      <c r="G76" s="39" cm="1">
        <f t="array" ref="G76">Common_InputFunctions.Utility_DisplayArrayInTable(SourceData_Dairy.SourceData_Dairy_MCF_Data(), Table_SourceData_Dairy_MCFjm[[#Headers],[MMS m]], 0)</f>
        <v>0.5</v>
      </c>
      <c r="H76" s="39" cm="1">
        <f t="array" ref="H76">Common_InputFunctions.Utility_DisplayArrayInTable(SourceData_Dairy.SourceData_Dairy_MCF_Data(), Table_SourceData_Dairy_MCFjm[[#Headers],[MMS m]], 0)</f>
        <v>0.24</v>
      </c>
      <c r="I76" s="39" cm="1">
        <f t="array" ref="I76">Common_InputFunctions.Utility_DisplayArrayInTable(SourceData_Dairy.SourceData_Dairy_MCF_Data(), Table_SourceData_Dairy_MCFjm[[#Headers],[MMS m]], 0)</f>
        <v>0.17</v>
      </c>
      <c r="J76" s="39" cm="1">
        <f t="array" ref="J76">Common_InputFunctions.Utility_DisplayArrayInTable(SourceData_Dairy.SourceData_Dairy_MCF_Data(), Table_SourceData_Dairy_MCFjm[[#Headers],[MMS m]], 0)</f>
        <v>0.13</v>
      </c>
      <c r="K76" s="39" cm="1">
        <f t="array" ref="K76">Common_InputFunctions.Utility_DisplayArrayInTable(SourceData_Dairy.SourceData_Dairy_MCF_Data(), Table_SourceData_Dairy_MCFjm[[#Headers],[MMS m]], 0)</f>
        <v>0.17</v>
      </c>
      <c r="L76" s="39" cm="1">
        <f t="array" ref="L76">Common_InputFunctions.Utility_DisplayArrayInTable(SourceData_Dairy.SourceData_Dairy_MCF_Data(), Table_SourceData_Dairy_MCFjm[[#Headers],[MMS m]], 0)</f>
        <v>0.18</v>
      </c>
      <c r="M76" s="39" t="str" cm="1">
        <f t="array" ref="M76">Common_InputFunctions.Utility_DisplayArrayInTable(SourceData_Dairy.SourceData_Dairy_MCF_Data(), Table_SourceData_Dairy_MCFjm[[#Headers],[MMS m]], 0)</f>
        <v>Drains to paddock</v>
      </c>
      <c r="V76" s="1"/>
    </row>
    <row r="77" spans="1:22" ht="20.100000000000001" customHeight="1" x14ac:dyDescent="0.25">
      <c r="D77" s="1" t="str" cm="1">
        <f t="array" ref="D77">Common_InputFunctions.Utility_DisplayArrayInTable(SourceData_Dairy.SourceData_Dairy_MCF_Data(), Table_SourceData_Dairy_MCFjm[[#Headers],[MMS m]], 0)</f>
        <v>Solid Storage</v>
      </c>
      <c r="E77" s="39" cm="1">
        <f t="array" ref="E77">Common_InputFunctions.Utility_DisplayArrayInTable(SourceData_Dairy.SourceData_Dairy_MCF_Data(), Table_SourceData_Dairy_MCFjm[[#Headers],[MMS m]], 0)</f>
        <v>0.02</v>
      </c>
      <c r="F77" s="39" cm="1">
        <f t="array" ref="F77">Common_InputFunctions.Utility_DisplayArrayInTable(SourceData_Dairy.SourceData_Dairy_MCF_Data(), Table_SourceData_Dairy_MCFjm[[#Headers],[MMS m]], 0)</f>
        <v>0.02</v>
      </c>
      <c r="G77" s="39" cm="1">
        <f t="array" ref="G77">Common_InputFunctions.Utility_DisplayArrayInTable(SourceData_Dairy.SourceData_Dairy_MCF_Data(), Table_SourceData_Dairy_MCFjm[[#Headers],[MMS m]], 0)</f>
        <v>0.02</v>
      </c>
      <c r="H77" s="39" cm="1">
        <f t="array" ref="H77">Common_InputFunctions.Utility_DisplayArrayInTable(SourceData_Dairy.SourceData_Dairy_MCF_Data(), Table_SourceData_Dairy_MCFjm[[#Headers],[MMS m]], 0)</f>
        <v>0.02</v>
      </c>
      <c r="I77" s="39" cm="1">
        <f t="array" ref="I77">Common_InputFunctions.Utility_DisplayArrayInTable(SourceData_Dairy.SourceData_Dairy_MCF_Data(), Table_SourceData_Dairy_MCFjm[[#Headers],[MMS m]], 0)</f>
        <v>0.02</v>
      </c>
      <c r="J77" s="39" cm="1">
        <f t="array" ref="J77">Common_InputFunctions.Utility_DisplayArrayInTable(SourceData_Dairy.SourceData_Dairy_MCF_Data(), Table_SourceData_Dairy_MCFjm[[#Headers],[MMS m]], 0)</f>
        <v>0.02</v>
      </c>
      <c r="K77" s="39" cm="1">
        <f t="array" ref="K77">Common_InputFunctions.Utility_DisplayArrayInTable(SourceData_Dairy.SourceData_Dairy_MCF_Data(), Table_SourceData_Dairy_MCFjm[[#Headers],[MMS m]], 0)</f>
        <v>0.02</v>
      </c>
      <c r="L77" s="39" cm="1">
        <f t="array" ref="L77">Common_InputFunctions.Utility_DisplayArrayInTable(SourceData_Dairy.SourceData_Dairy_MCF_Data(), Table_SourceData_Dairy_MCFjm[[#Headers],[MMS m]], 0)</f>
        <v>0.02</v>
      </c>
      <c r="M77" s="39" t="str" cm="1">
        <f t="array" ref="M77">Common_InputFunctions.Utility_DisplayArrayInTable(SourceData_Dairy.SourceData_Dairy_MCF_Data(), Table_SourceData_Dairy_MCFjm[[#Headers],[MMS m]], 0)</f>
        <v>Solid storage</v>
      </c>
      <c r="V77" s="1"/>
    </row>
    <row r="78" spans="1:22" ht="20.100000000000001" customHeight="1" x14ac:dyDescent="0.25">
      <c r="D78" s="1" t="str" cm="1">
        <f t="array" ref="D78">Common_InputFunctions.Utility_DisplayArrayInTable(SourceData_Dairy.SourceData_Dairy_MCF_Data(), Table_SourceData_Dairy_MCFjm[[#Headers],[MMS m]], 0)</f>
        <v>Direct Application to soil</v>
      </c>
      <c r="E78" s="39" cm="1">
        <f t="array" ref="E78">Common_InputFunctions.Utility_DisplayArrayInTable(SourceData_Dairy.SourceData_Dairy_MCF_Data(), Table_SourceData_Dairy_MCFjm[[#Headers],[MMS m]], 0)</f>
        <v>0</v>
      </c>
      <c r="F78" s="39" cm="1">
        <f t="array" ref="F78">Common_InputFunctions.Utility_DisplayArrayInTable(SourceData_Dairy.SourceData_Dairy_MCF_Data(), Table_SourceData_Dairy_MCFjm[[#Headers],[MMS m]], 0)</f>
        <v>0</v>
      </c>
      <c r="G78" s="39" cm="1">
        <f t="array" ref="G78">Common_InputFunctions.Utility_DisplayArrayInTable(SourceData_Dairy.SourceData_Dairy_MCF_Data(), Table_SourceData_Dairy_MCFjm[[#Headers],[MMS m]], 0)</f>
        <v>0</v>
      </c>
      <c r="H78" s="39" cm="1">
        <f t="array" ref="H78">Common_InputFunctions.Utility_DisplayArrayInTable(SourceData_Dairy.SourceData_Dairy_MCF_Data(), Table_SourceData_Dairy_MCFjm[[#Headers],[MMS m]], 0)</f>
        <v>0</v>
      </c>
      <c r="I78" s="39" cm="1">
        <f t="array" ref="I78">Common_InputFunctions.Utility_DisplayArrayInTable(SourceData_Dairy.SourceData_Dairy_MCF_Data(), Table_SourceData_Dairy_MCFjm[[#Headers],[MMS m]], 0)</f>
        <v>0</v>
      </c>
      <c r="J78" s="39" cm="1">
        <f t="array" ref="J78">Common_InputFunctions.Utility_DisplayArrayInTable(SourceData_Dairy.SourceData_Dairy_MCF_Data(), Table_SourceData_Dairy_MCFjm[[#Headers],[MMS m]], 0)</f>
        <v>0</v>
      </c>
      <c r="K78" s="39" cm="1">
        <f t="array" ref="K78">Common_InputFunctions.Utility_DisplayArrayInTable(SourceData_Dairy.SourceData_Dairy_MCF_Data(), Table_SourceData_Dairy_MCFjm[[#Headers],[MMS m]], 0)</f>
        <v>0</v>
      </c>
      <c r="L78" s="39" cm="1">
        <f t="array" ref="L78">Common_InputFunctions.Utility_DisplayArrayInTable(SourceData_Dairy.SourceData_Dairy_MCF_Data(), Table_SourceData_Dairy_MCFjm[[#Headers],[MMS m]], 0)</f>
        <v>0</v>
      </c>
      <c r="M78" s="39" t="str" cm="1">
        <f t="array" ref="M78">Common_InputFunctions.Utility_DisplayArrayInTable(SourceData_Dairy.SourceData_Dairy_MCF_Data(), Table_SourceData_Dairy_MCFjm[[#Headers],[MMS m]], 0)</f>
        <v>Direct application</v>
      </c>
    </row>
    <row r="79" spans="1:22" ht="20.100000000000001" customHeight="1" x14ac:dyDescent="0.25">
      <c r="A79" s="141" t="str">
        <f>HYPERLINK("#A1", "▲ Back to top")</f>
        <v>▲ Back to top</v>
      </c>
      <c r="M79" s="1"/>
    </row>
    <row r="80" spans="1: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7" t="str" cm="1">
        <f t="array" ref="D84">SourceData_Dairy.SourceData_Dairy_NitrousOxideEFsAndFracGASM_Unit()</f>
        <v>kg N2O-N/kg N excreted</v>
      </c>
      <c r="M84" s="1"/>
    </row>
    <row r="85" spans="4:22" ht="20.100000000000001" customHeight="1" x14ac:dyDescent="0.25">
      <c r="D85" s="58" t="str" cm="1">
        <f t="array" ref="D85">SourceData_Dairy.SourceData_Dairy_NitrousOxideEFsAndFracGASM_Variation()</f>
        <v>VARIATION OF SOURCE: Added 'NIR reference' column to aid lookup</v>
      </c>
      <c r="M85" s="1"/>
      <c r="V85" s="1"/>
    </row>
    <row r="86" spans="4:22" ht="20.100000000000001" customHeight="1" x14ac:dyDescent="0.25">
      <c r="D86" s="39" t="s">
        <v>102</v>
      </c>
      <c r="E86" s="39" t="s">
        <v>184</v>
      </c>
      <c r="F86" s="39" t="s">
        <v>185</v>
      </c>
      <c r="G86" s="39" t="s">
        <v>191</v>
      </c>
      <c r="M86" s="1"/>
      <c r="V86" s="1"/>
    </row>
    <row r="87" spans="4:22" ht="20.100000000000001" customHeight="1" x14ac:dyDescent="0.25">
      <c r="D87" s="39" t="str" cm="1">
        <f t="array" ref="D87">Common_InputFunctions.Utility_DisplayArrayInTable(SourceData_Dairy.SourceData_Dairy_NitrousOxideEFsAndFracGASM_Data(), Table_SourceData_Dairy_EFmFracGASM[[#Headers],[MMS m]], 0)</f>
        <v>M=14 Pasture</v>
      </c>
      <c r="E87" s="39" cm="1">
        <f t="array" ref="E87">Common_InputFunctions.Utility_DisplayArrayInTable(SourceData_Dairy.SourceData_Dairy_NitrousOxideEFsAndFracGASM_Data(), Table_SourceData_Dairy_EFmFracGASM[[#Headers],[MMS m]], 0)</f>
        <v>0</v>
      </c>
      <c r="F87" s="39" cm="1">
        <f t="array" ref="F87">Common_InputFunctions.Utility_DisplayArrayInTable(SourceData_Dairy.SourceData_Dairy_NitrousOxideEFsAndFracGASM_Data(), Table_SourceData_Dairy_EFmFracGASM[[#Headers],[MMS m]], 0)</f>
        <v>0</v>
      </c>
      <c r="G87" s="39"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9" cm="1">
        <f t="array" ref="E88">Common_InputFunctions.Utility_DisplayArrayInTable(SourceData_Dairy.SourceData_Dairy_NitrousOxideEFsAndFracGASM_Data(), Table_SourceData_Dairy_EFmFracGASM[[#Headers],[MMS m]], 0)</f>
        <v>0</v>
      </c>
      <c r="F88" s="39" cm="1">
        <f t="array" ref="F88">Common_InputFunctions.Utility_DisplayArrayInTable(SourceData_Dairy.SourceData_Dairy_NitrousOxideEFsAndFracGASM_Data(), Table_SourceData_Dairy_EFmFracGASM[[#Headers],[MMS m]], 0)</f>
        <v>0.35</v>
      </c>
      <c r="G88" s="39"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9" cm="1">
        <f t="array" ref="E89">Common_InputFunctions.Utility_DisplayArrayInTable(SourceData_Dairy.SourceData_Dairy_NitrousOxideEFsAndFracGASM_Data(), Table_SourceData_Dairy_EFmFracGASM[[#Headers],[MMS m]], 0)</f>
        <v>0</v>
      </c>
      <c r="F89" s="39" cm="1">
        <f t="array" ref="F89">Common_InputFunctions.Utility_DisplayArrayInTable(SourceData_Dairy.SourceData_Dairy_NitrousOxideEFsAndFracGASM_Data(), Table_SourceData_Dairy_EFmFracGASM[[#Headers],[MMS m]], 0)</f>
        <v>7.0000000000000007E-2</v>
      </c>
      <c r="G89" s="39"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9" cm="1">
        <f t="array" ref="E90">Common_InputFunctions.Utility_DisplayArrayInTable(SourceData_Dairy.SourceData_Dairy_NitrousOxideEFsAndFracGASM_Data(), Table_SourceData_Dairy_EFmFracGASM[[#Headers],[MMS m]], 0)</f>
        <v>0</v>
      </c>
      <c r="F90" s="39" cm="1">
        <f t="array" ref="F90">Common_InputFunctions.Utility_DisplayArrayInTable(SourceData_Dairy.SourceData_Dairy_NitrousOxideEFsAndFracGASM_Data(), Table_SourceData_Dairy_EFmFracGASM[[#Headers],[MMS m]], 0)</f>
        <v>0.2</v>
      </c>
      <c r="G90" s="39"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9" cm="1">
        <f t="array" ref="E91">Common_InputFunctions.Utility_DisplayArrayInTable(SourceData_Dairy.SourceData_Dairy_NitrousOxideEFsAndFracGASM_Data(), Table_SourceData_Dairy_EFmFracGASM[[#Headers],[MMS m]], 0)</f>
        <v>5.0000000000000001E-3</v>
      </c>
      <c r="F91" s="39" cm="1">
        <f t="array" ref="F91">Common_InputFunctions.Utility_DisplayArrayInTable(SourceData_Dairy.SourceData_Dairy_NitrousOxideEFsAndFracGASM_Data(), Table_SourceData_Dairy_EFmFracGASM[[#Headers],[MMS m]], 0)</f>
        <v>0.3</v>
      </c>
      <c r="G91" s="39"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1:13" ht="20.100000000000001" customHeight="1" x14ac:dyDescent="0.25">
      <c r="D97" s="57" t="str" cm="1">
        <f t="array" ref="D97">SourceData_Dairy.SourceData_Dairy_MethaneProductionPreWeanedCalves_Unit()</f>
        <v>kg CH4/head/day</v>
      </c>
      <c r="M97" s="1"/>
    </row>
    <row r="98" spans="1:13" ht="20.100000000000001" customHeight="1" x14ac:dyDescent="0.25">
      <c r="D98" s="39" t="s">
        <v>180</v>
      </c>
      <c r="E98" s="39" t="s">
        <v>186</v>
      </c>
      <c r="M98" s="1"/>
    </row>
    <row r="99" spans="1:13" ht="20.100000000000001" customHeight="1" x14ac:dyDescent="0.25">
      <c r="D99" s="39" t="str" cm="1">
        <f t="array" ref="D99">Common_InputFunctions.Utility_DisplayArrayInTable(SourceData_Dairy.SourceData_Dairy_MethaneProductionPreWeanedCalves_Data(), Table_SourceData_Dairy_MPWENTERIC[[#Headers],[Animal class j]], 0)</f>
        <v>Heifers &lt; 1 year</v>
      </c>
      <c r="E99" s="39" cm="1">
        <f t="array" ref="E99">Common_InputFunctions.Utility_DisplayArrayInTable(SourceData_Dairy.SourceData_Dairy_MethaneProductionPreWeanedCalves_Data(), Table_SourceData_Dairy_MPWENTERIC[[#Headers],[Animal class j]], 0)</f>
        <v>1.7600000000000001E-2</v>
      </c>
      <c r="M99" s="1"/>
    </row>
    <row r="100" spans="1: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9" cm="1">
        <f t="array" ref="E100">Common_InputFunctions.Utility_DisplayArrayInTable(SourceData_Dairy.SourceData_Dairy_MethaneProductionPreWeanedCalves_Data(), Table_SourceData_Dairy_MPWENTERIC[[#Headers],[Animal class j]], 0)</f>
        <v>2.0400000000000001E-2</v>
      </c>
      <c r="M100" s="1"/>
    </row>
    <row r="101" spans="1:13" ht="20.100000000000001" customHeight="1" x14ac:dyDescent="0.25">
      <c r="M101" s="1"/>
    </row>
    <row r="102" spans="1:13" ht="20.100000000000001" customHeight="1" x14ac:dyDescent="0.25">
      <c r="M102" s="1"/>
    </row>
    <row r="103" spans="1:13" ht="20.100000000000001" customHeight="1" x14ac:dyDescent="0.25">
      <c r="D103" s="6" t="str" cm="1">
        <f t="array" ref="D103">SourceData_Dairy.SourceData_Dairy_IncreasedMetabolicRateMilk_Title()</f>
        <v>Table A.1.3.9: Dairy cattle - Increased metabolic rate when producing milk (MRj)</v>
      </c>
      <c r="M103" s="1"/>
    </row>
    <row r="104" spans="1:13" ht="20.100000000000001" customHeight="1" x14ac:dyDescent="0.25">
      <c r="A104" s="141" t="str">
        <f>HYPERLINK("#A1", "▲ Back to top")</f>
        <v>▲ Back to top</v>
      </c>
      <c r="D104" s="5" t="str" cm="1">
        <f t="array" ref="D104">SourceData_Dairy.SourceData_Dairy_IncreasedMetabolicRateMilk_Source()</f>
        <v>VEERG 2026: Table A.1.3.9</v>
      </c>
      <c r="M104" s="1"/>
    </row>
    <row r="105" spans="1:13" ht="20.100000000000001" customHeight="1" x14ac:dyDescent="0.25">
      <c r="D105" s="1" t="str" cm="1">
        <f t="array" ref="D105">SourceData_Dairy.SourceData_Dairy_IncreasedMetabolicRateMilk_Variable()</f>
        <v>MRj</v>
      </c>
      <c r="M105" s="1"/>
    </row>
    <row r="106" spans="1:13" ht="20.100000000000001" customHeight="1" x14ac:dyDescent="0.25">
      <c r="D106" s="57" t="str" cm="1">
        <f t="array" ref="D106">SourceData_Dairy.SourceData_Dairy_IncreasedMetabolicRateMilk_Unit()</f>
        <v/>
      </c>
      <c r="M106" s="1"/>
    </row>
    <row r="107" spans="1:13" ht="20.100000000000001" customHeight="1" x14ac:dyDescent="0.25">
      <c r="D107" s="39" t="s">
        <v>180</v>
      </c>
      <c r="E107" s="39" t="s">
        <v>187</v>
      </c>
      <c r="M107" s="1"/>
    </row>
    <row r="108" spans="1:13" ht="20.100000000000001" customHeight="1" x14ac:dyDescent="0.25">
      <c r="D108" s="39" t="str" cm="1">
        <f t="array" ref="D108">Common_InputFunctions.Utility_DisplayArrayInTable(SourceData_Dairy.SourceData_Dairy_IncreasedMetabolicRateMilk_Data(), Table_SourceData_Dairy_MRj[[#Headers],[Animal class j]], 0)</f>
        <v>Milking cows, and house cows</v>
      </c>
      <c r="E108" s="39" cm="1">
        <f t="array" ref="E108">Common_InputFunctions.Utility_DisplayArrayInTable(SourceData_Dairy.SourceData_Dairy_IncreasedMetabolicRateMilk_Data(), Table_SourceData_Dairy_MRj[[#Headers],[Animal class j]], 0)</f>
        <v>1.1000000000000001</v>
      </c>
      <c r="M108" s="1"/>
    </row>
    <row r="109" spans="1: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9" cm="1">
        <f t="array" ref="E109">Common_InputFunctions.Utility_DisplayArrayInTable(SourceData_Dairy.SourceData_Dairy_IncreasedMetabolicRateMilk_Data(), Table_SourceData_Dairy_MRj[[#Headers],[Animal class j]], 0)</f>
        <v>1</v>
      </c>
      <c r="M109" s="1"/>
    </row>
    <row r="110" spans="1:13" ht="20.100000000000001" customHeight="1" x14ac:dyDescent="0.25">
      <c r="M110" s="1"/>
    </row>
    <row r="111" spans="1:13" ht="20.100000000000001" customHeight="1" x14ac:dyDescent="0.25">
      <c r="M111" s="1"/>
    </row>
    <row r="112" spans="1: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7" t="str" cm="1">
        <f t="array" ref="D115">SourceData_Dairy.SourceData_Dairy_FractionVolatileSolidsVoidedMMS_Unit()</f>
        <v>fraction</v>
      </c>
      <c r="M115" s="1"/>
      <c r="V115" s="1"/>
    </row>
    <row r="116" spans="4:22" ht="20.100000000000001" customHeight="1" x14ac:dyDescent="0.25">
      <c r="D116" s="39" t="s">
        <v>188</v>
      </c>
      <c r="E116" s="39" t="s">
        <v>148</v>
      </c>
      <c r="F116" s="39" t="s">
        <v>189</v>
      </c>
      <c r="G116" s="39" t="s">
        <v>190</v>
      </c>
      <c r="M116" s="1"/>
      <c r="V116" s="1"/>
    </row>
    <row r="117" spans="4:22" ht="20.100000000000001" customHeight="1" x14ac:dyDescent="0.25">
      <c r="D117" s="39" t="str" cm="1">
        <f t="array" ref="D117">Common_InputFunctions.Utility_DisplayArrayInTable(SourceData_Dairy.SourceData_Dairy_FractionVolatileSolidsVoidedMMS_Data(), Table_SourceData_Dairy_ProductionSystemTemplates[[#Headers],[Area]], 0)</f>
        <v>System 1: Grazed Only</v>
      </c>
      <c r="E117" s="39" cm="1">
        <f t="array" ref="E117">Common_InputFunctions.Utility_DisplayArrayInTable(SourceData_Dairy.SourceData_Dairy_FractionVolatileSolidsVoidedMMS_Data(), Table_SourceData_Dairy_ProductionSystemTemplates[[#Headers],[Area]], 0)</f>
        <v>0.89</v>
      </c>
      <c r="F117" s="39" cm="1">
        <f t="array" ref="F117">Common_InputFunctions.Utility_DisplayArrayInTable(SourceData_Dairy.SourceData_Dairy_FractionVolatileSolidsVoidedMMS_Data(), Table_SourceData_Dairy_ProductionSystemTemplates[[#Headers],[Area]], 0)</f>
        <v>0.11</v>
      </c>
      <c r="G117" s="39"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9" cm="1">
        <f t="array" ref="E118">Common_InputFunctions.Utility_DisplayArrayInTable(SourceData_Dairy.SourceData_Dairy_FractionVolatileSolidsVoidedMMS_Data(), Table_SourceData_Dairy_ProductionSystemTemplates[[#Headers],[Area]], 0)</f>
        <v>0.79</v>
      </c>
      <c r="F118" s="39" cm="1">
        <f t="array" ref="F118">Common_InputFunctions.Utility_DisplayArrayInTable(SourceData_Dairy.SourceData_Dairy_FractionVolatileSolidsVoidedMMS_Data(), Table_SourceData_Dairy_ProductionSystemTemplates[[#Headers],[Area]], 0)</f>
        <v>0.11</v>
      </c>
      <c r="G118" s="39"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9" cm="1">
        <f t="array" ref="E119">Common_InputFunctions.Utility_DisplayArrayInTable(SourceData_Dairy.SourceData_Dairy_FractionVolatileSolidsVoidedMMS_Data(), Table_SourceData_Dairy_ProductionSystemTemplates[[#Headers],[Area]], 0)</f>
        <v>0.53400000000000003</v>
      </c>
      <c r="F119" s="39" cm="1">
        <f t="array" ref="F119">Common_InputFunctions.Utility_DisplayArrayInTable(SourceData_Dairy.SourceData_Dairy_FractionVolatileSolidsVoidedMMS_Data(), Table_SourceData_Dairy_ProductionSystemTemplates[[#Headers],[Area]], 0)</f>
        <v>0.11</v>
      </c>
      <c r="G119" s="39"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9" cm="1">
        <f t="array" ref="E120">Common_InputFunctions.Utility_DisplayArrayInTable(SourceData_Dairy.SourceData_Dairy_FractionVolatileSolidsVoidedMMS_Data(), Table_SourceData_Dairy_ProductionSystemTemplates[[#Headers],[Area]], 0)</f>
        <v>0</v>
      </c>
      <c r="F120" s="39" cm="1">
        <f t="array" ref="F120">Common_InputFunctions.Utility_DisplayArrayInTable(SourceData_Dairy.SourceData_Dairy_FractionVolatileSolidsVoidedMMS_Data(), Table_SourceData_Dairy_ProductionSystemTemplates[[#Headers],[Area]], 0)</f>
        <v>0.11</v>
      </c>
      <c r="G120" s="39"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7" t="str" cm="1">
        <f t="array" ref="D126">SourceData_Dairy.SourceData_Dairy_EFNitrousOxidePerMMS_Unit()</f>
        <v>kg N2O-N/kg N</v>
      </c>
      <c r="M126" s="1"/>
      <c r="V126" s="1"/>
    </row>
    <row r="127" spans="4:22" ht="20.100000000000001" customHeight="1" x14ac:dyDescent="0.25">
      <c r="D127" s="58" t="str" cm="1">
        <f t="array" ref="D127">SourceData_Dairy.SourceData_Dairy_EFNitrousOxidePerMMS_Variation()</f>
        <v>VARIATION OF SOURCE: Added 'NIR reference' column to aid lookup</v>
      </c>
      <c r="M127" s="1"/>
      <c r="V127" s="1"/>
    </row>
    <row r="128" spans="4:22" ht="20.100000000000001" customHeight="1" x14ac:dyDescent="0.25">
      <c r="D128" s="39" t="s">
        <v>102</v>
      </c>
      <c r="E128" s="39" t="s">
        <v>184</v>
      </c>
      <c r="F128" s="39" t="s">
        <v>191</v>
      </c>
      <c r="G128" s="114" t="s">
        <v>206</v>
      </c>
      <c r="M128" s="1"/>
      <c r="N128" s="24"/>
      <c r="V128" s="1"/>
    </row>
    <row r="129" spans="1:22" ht="20.100000000000001" customHeight="1" x14ac:dyDescent="0.25">
      <c r="D129" s="39" t="str" cm="1">
        <f t="array" ref="D129">Common_InputFunctions.Utility_DisplayArrayInTable(SourceData_Dairy.SourceData_Dairy_EFNitrousOxidePerMMS_Data(), Table_SourceData_Dairy_EFm[[#Headers],[MMS m]], 0)</f>
        <v>m=14 Pasture</v>
      </c>
      <c r="E129" s="39" cm="1">
        <f t="array" ref="E129">Common_InputFunctions.Utility_DisplayArrayInTable(SourceData_Dairy.SourceData_Dairy_EFNitrousOxidePerMMS_Data(), Table_SourceData_Dairy_EFm[[#Headers],[MMS m]], 0)</f>
        <v>0</v>
      </c>
      <c r="F129" s="39" t="str" cm="1">
        <f t="array" ref="F129">Common_InputFunctions.Utility_DisplayArrayInTable(SourceData_Dairy.SourceData_Dairy_EFNitrousOxidePerMMS_Data(), Table_SourceData_Dairy_EFm[[#Headers],[MMS m]], 0)</f>
        <v>Pasture range and paddock</v>
      </c>
      <c r="M129" s="1"/>
      <c r="N129" s="24"/>
      <c r="V129" s="1"/>
    </row>
    <row r="130" spans="1:22" ht="20.100000000000001" customHeight="1" x14ac:dyDescent="0.25">
      <c r="D130" s="1" t="str" cm="1">
        <f t="array" ref="D130">Common_InputFunctions.Utility_DisplayArrayInTable(SourceData_Dairy.SourceData_Dairy_EFNitrousOxidePerMMS_Data(), Table_SourceData_Dairy_EFm[[#Headers],[MMS m]], 0)</f>
        <v>m=1 Anerobic Lagoon</v>
      </c>
      <c r="E130" s="39" cm="1">
        <f t="array" ref="E130">Common_InputFunctions.Utility_DisplayArrayInTable(SourceData_Dairy.SourceData_Dairy_EFNitrousOxidePerMMS_Data(), Table_SourceData_Dairy_EFm[[#Headers],[MMS m]], 0)</f>
        <v>0</v>
      </c>
      <c r="F130" s="39" t="str" cm="1">
        <f t="array" ref="F130">Common_InputFunctions.Utility_DisplayArrayInTable(SourceData_Dairy.SourceData_Dairy_EFNitrousOxidePerMMS_Data(), Table_SourceData_Dairy_EFm[[#Headers],[MMS m]], 0)</f>
        <v>Anaerobic lagoon</v>
      </c>
      <c r="M130" s="1"/>
      <c r="N130" s="24"/>
      <c r="V130" s="1"/>
    </row>
    <row r="131" spans="1: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9" cm="1">
        <f t="array" ref="E131">Common_InputFunctions.Utility_DisplayArrayInTable(SourceData_Dairy.SourceData_Dairy_EFNitrousOxidePerMMS_Data(), Table_SourceData_Dairy_EFm[[#Headers],[MMS m]], 0)</f>
        <v>0</v>
      </c>
      <c r="F131" s="39" t="str" cm="1">
        <f t="array" ref="F131">Common_InputFunctions.Utility_DisplayArrayInTable(SourceData_Dairy.SourceData_Dairy_EFNitrousOxidePerMMS_Data(), Table_SourceData_Dairy_EFm[[#Headers],[MMS m]], 0)</f>
        <v>Sump and dispersal system</v>
      </c>
      <c r="M131" s="1"/>
      <c r="N131" s="24"/>
    </row>
    <row r="132" spans="1: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9" cm="1">
        <f t="array" ref="E132">Common_InputFunctions.Utility_DisplayArrayInTable(SourceData_Dairy.SourceData_Dairy_EFNitrousOxidePerMMS_Data(), Table_SourceData_Dairy_EFm[[#Headers],[MMS m]], 0)</f>
        <v>0</v>
      </c>
      <c r="F132" s="39" t="str" cm="1">
        <f t="array" ref="F132">Common_InputFunctions.Utility_DisplayArrayInTable(SourceData_Dairy.SourceData_Dairy_EFNitrousOxidePerMMS_Data(), Table_SourceData_Dairy_EFm[[#Headers],[MMS m]], 0)</f>
        <v>Drains to paddock</v>
      </c>
      <c r="M132" s="24"/>
    </row>
    <row r="133" spans="1:22" ht="20.100000000000001" customHeight="1" x14ac:dyDescent="0.25">
      <c r="D133" s="1" t="str" cm="1">
        <f t="array" ref="D133">Common_InputFunctions.Utility_DisplayArrayInTable(SourceData_Dairy.SourceData_Dairy_EFNitrousOxidePerMMS_Data(), Table_SourceData_Dairy_EFm[[#Headers],[MMS m]], 0)</f>
        <v>m=4 Solid Storage</v>
      </c>
      <c r="E133" s="39" cm="1">
        <f t="array" ref="E133">Common_InputFunctions.Utility_DisplayArrayInTable(SourceData_Dairy.SourceData_Dairy_EFNitrousOxidePerMMS_Data(), Table_SourceData_Dairy_EFm[[#Headers],[MMS m]], 0)</f>
        <v>5.0000000000000001E-3</v>
      </c>
      <c r="F133" s="39" t="str" cm="1">
        <f t="array" ref="F133">Common_InputFunctions.Utility_DisplayArrayInTable(SourceData_Dairy.SourceData_Dairy_EFNitrousOxidePerMMS_Data(), Table_SourceData_Dairy_EFm[[#Headers],[MMS m]], 0)</f>
        <v>Solid storage</v>
      </c>
      <c r="M133" s="24"/>
    </row>
    <row r="134" spans="1:22" ht="20.100000000000001" customHeight="1" x14ac:dyDescent="0.25">
      <c r="M134" s="24"/>
    </row>
    <row r="135" spans="1:22" ht="20.100000000000001" customHeight="1" x14ac:dyDescent="0.25">
      <c r="M135" s="24"/>
    </row>
    <row r="136" spans="1:22" ht="20.100000000000001" customHeight="1" x14ac:dyDescent="0.25">
      <c r="D136" s="6" t="str" cm="1">
        <f t="array" ref="D136">SourceData_Dairy.SourceData_Dairy_DurationOfStay_Title()</f>
        <v>Duration of stay for each dairy cattle input class</v>
      </c>
      <c r="M136" s="24"/>
    </row>
    <row r="137" spans="1:22" ht="20.100000000000001" customHeight="1" x14ac:dyDescent="0.25">
      <c r="A137" s="141" t="str">
        <f>HYPERLINK("#A1", "▲ Back to top")</f>
        <v>▲ Back to top</v>
      </c>
      <c r="D137" s="5" t="str" cm="1">
        <f t="array" ref="D137">SourceData_Dairy.SourceData_Dairy_DurationOfStay_Source()</f>
        <v>VEERG 2026: 4.3.2.2	DATA (METHOD 1 AND 2 OPTIONS)</v>
      </c>
      <c r="M137" s="24"/>
    </row>
    <row r="138" spans="1:22" ht="20.100000000000001" customHeight="1" x14ac:dyDescent="0.25">
      <c r="D138" s="1" t="str" cm="1">
        <f t="array" ref="D138">SourceData_Dairy.SourceData_Dairy_DurationOfStay_Variable()</f>
        <v>D</v>
      </c>
      <c r="M138" s="24"/>
    </row>
    <row r="139" spans="1:22" ht="20.100000000000001" customHeight="1" x14ac:dyDescent="0.25">
      <c r="D139" s="57" t="str" cm="1">
        <f t="array" ref="D139">SourceData_Dairy.SourceData_Dairy_DurationOfStay_Unit()</f>
        <v>days</v>
      </c>
      <c r="M139" s="24"/>
    </row>
    <row r="140" spans="1:22" ht="20.100000000000001" customHeight="1" x14ac:dyDescent="0.25">
      <c r="D140" s="58" t="str" cm="1">
        <f t="array" ref="D140">SourceData_Dairy.SourceData_Dairy_DurationOfStay_Variation()</f>
        <v>VARIATION OF SOURCE: Converted free text in document to table, matching livestock class names.</v>
      </c>
      <c r="M140" s="24"/>
    </row>
    <row r="141" spans="1:22" ht="20.100000000000001" customHeight="1" x14ac:dyDescent="0.25">
      <c r="D141" s="39" t="s">
        <v>180</v>
      </c>
      <c r="E141" s="39" t="s">
        <v>201</v>
      </c>
      <c r="F141" s="39" t="s">
        <v>202</v>
      </c>
      <c r="M141" s="24"/>
    </row>
    <row r="142" spans="1:22" ht="20.100000000000001" customHeight="1" x14ac:dyDescent="0.25">
      <c r="D142" s="39" t="str" cm="1">
        <f t="array" ref="D142">Common_InputFunctions.Utility_DisplayArrayInTable(SourceData_Dairy.SourceData_Dairy_DurationOfStay_Data(), Table_SourceData_Dairy_Duration[[#Headers],[Animal class j]], 0)</f>
        <v>Milking cows</v>
      </c>
      <c r="E142" s="39" cm="1">
        <f t="array" ref="E142">Common_InputFunctions.Utility_DisplayArrayInTable(SourceData_Dairy.SourceData_Dairy_DurationOfStay_Data(), Table_SourceData_Dairy_Duration[[#Headers],[Animal class j]], 0)</f>
        <v>365</v>
      </c>
      <c r="F142" s="39" cm="1">
        <f t="array" ref="F142">Common_InputFunctions.Utility_DisplayArrayInTable(SourceData_Dairy.SourceData_Dairy_DurationOfStay_Data(), Table_SourceData_Dairy_Duration[[#Headers],[Animal class j]], 0)</f>
        <v>0</v>
      </c>
      <c r="M142" s="24"/>
    </row>
    <row r="143" spans="1: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9" cm="1">
        <f t="array" ref="E143">Common_InputFunctions.Utility_DisplayArrayInTable(SourceData_Dairy.SourceData_Dairy_DurationOfStay_Data(), Table_SourceData_Dairy_Duration[[#Headers],[Animal class j]], 0)</f>
        <v>365</v>
      </c>
      <c r="F143" s="39" cm="1">
        <f t="array" ref="F143">Common_InputFunctions.Utility_DisplayArrayInTable(SourceData_Dairy.SourceData_Dairy_DurationOfStay_Data(), Table_SourceData_Dairy_Duration[[#Headers],[Animal class j]], 0)</f>
        <v>0</v>
      </c>
      <c r="M143" s="24"/>
    </row>
    <row r="144" spans="1: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9" cm="1">
        <f t="array" ref="E144">Common_InputFunctions.Utility_DisplayArrayInTable(SourceData_Dairy.SourceData_Dairy_DurationOfStay_Data(), Table_SourceData_Dairy_Duration[[#Headers],[Animal class j]], 0)</f>
        <v>281</v>
      </c>
      <c r="F144" s="39" cm="1">
        <f t="array" ref="F144">Common_InputFunctions.Utility_DisplayArrayInTable(SourceData_Dairy.SourceData_Dairy_DurationOfStay_Data(), Table_SourceData_Dairy_Duration[[#Headers],[Animal class j]], 0)</f>
        <v>84</v>
      </c>
      <c r="M144" s="24"/>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9" cm="1">
        <f t="array" ref="E145">Common_InputFunctions.Utility_DisplayArrayInTable(SourceData_Dairy.SourceData_Dairy_DurationOfStay_Data(), Table_SourceData_Dairy_Duration[[#Headers],[Animal class j]], 0)</f>
        <v>365</v>
      </c>
      <c r="F145" s="39" cm="1">
        <f t="array" ref="F145">Common_InputFunctions.Utility_DisplayArrayInTable(SourceData_Dairy.SourceData_Dairy_DurationOfStay_Data(), Table_SourceData_Dairy_Duration[[#Headers],[Animal class j]], 0)</f>
        <v>0</v>
      </c>
      <c r="M145" s="24"/>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9" cm="1">
        <f t="array" ref="E146">Common_InputFunctions.Utility_DisplayArrayInTable(SourceData_Dairy.SourceData_Dairy_DurationOfStay_Data(), Table_SourceData_Dairy_Duration[[#Headers],[Animal class j]], 0)</f>
        <v>281</v>
      </c>
      <c r="F146" s="39" cm="1">
        <f t="array" ref="F146">Common_InputFunctions.Utility_DisplayArrayInTable(SourceData_Dairy.SourceData_Dairy_DurationOfStay_Data(), Table_SourceData_Dairy_Duration[[#Headers],[Animal class j]], 0)</f>
        <v>84</v>
      </c>
      <c r="M146" s="24"/>
    </row>
    <row r="147" spans="4:13" ht="20.100000000000001" customHeight="1" x14ac:dyDescent="0.25">
      <c r="M147" s="24"/>
    </row>
    <row r="148" spans="4:13" ht="20.100000000000001" customHeight="1" x14ac:dyDescent="0.25">
      <c r="M148" s="24"/>
    </row>
    <row r="149" spans="4:13" ht="20.100000000000001" customHeight="1" x14ac:dyDescent="0.25">
      <c r="D149" s="6" t="str" cm="1">
        <f t="array" ref="D149">SourceData_Dairy.SourceData_Dairy_CrudeProtein_Title()</f>
        <v>Crude protein content of feed intake</v>
      </c>
      <c r="M149" s="24"/>
    </row>
    <row r="150" spans="4:13" ht="20.100000000000001" customHeight="1" x14ac:dyDescent="0.25">
      <c r="D150" s="5" t="str" cm="1">
        <f t="array" ref="D150">SourceData_Dairy.SourceData_Dairy_CrudeProtein_Source()</f>
        <v>VEERG 2026: 4.3.2.2	DATA (METHOD 1 AND 2 OPTIONS)</v>
      </c>
      <c r="M150" s="24"/>
    </row>
    <row r="151" spans="4:13" ht="20.100000000000001" customHeight="1" x14ac:dyDescent="0.25">
      <c r="D151" s="1" t="str" cm="1">
        <f t="array" ref="D151">SourceData_Dairy.SourceData_Dairy_CrudeProtein_Variable()</f>
        <v>CP</v>
      </c>
      <c r="M151" s="24"/>
    </row>
    <row r="152" spans="4:13" ht="20.100000000000001" customHeight="1" x14ac:dyDescent="0.25">
      <c r="D152" s="57" t="str" cm="1">
        <f t="array" ref="D152">SourceData_Dairy.SourceData_Dairy_CrudeProtein_Unit()</f>
        <v>fraction</v>
      </c>
      <c r="M152" s="24"/>
    </row>
    <row r="153" spans="4:13" ht="20.100000000000001" customHeight="1" x14ac:dyDescent="0.25">
      <c r="D153" s="56" cm="1">
        <f t="array" ref="D153">SourceData_Dairy.SourceData_Dairy_CrudeProtein_Data()</f>
        <v>0.2</v>
      </c>
      <c r="M153" s="24"/>
    </row>
    <row r="154" spans="4:13" ht="20.100000000000001" customHeight="1" x14ac:dyDescent="0.25">
      <c r="M154" s="24"/>
    </row>
    <row r="155" spans="4:13" ht="20.100000000000001" customHeight="1" x14ac:dyDescent="0.25">
      <c r="M155" s="24"/>
    </row>
    <row r="156" spans="4:13" ht="20.100000000000001" customHeight="1" x14ac:dyDescent="0.25">
      <c r="D156" s="6" t="str" cm="1">
        <f t="array" ref="D156">SourceData_Dairy.SourceData_Dairy_DryMatterDigestibility_Title()</f>
        <v>Dry matter digestibility</v>
      </c>
      <c r="M156" s="24"/>
    </row>
    <row r="157" spans="4:13" ht="20.100000000000001" customHeight="1" x14ac:dyDescent="0.25">
      <c r="D157" s="5" t="str" cm="1">
        <f t="array" ref="D157">SourceData_Dairy.SourceData_Dairy_DryMatterDigestibility_Source()</f>
        <v>VEERG 2026: 3.3.2.2	DATA (METHOD 1 AND 2 OPTIONS)</v>
      </c>
      <c r="M157" s="24"/>
    </row>
    <row r="158" spans="4:13" ht="20.100000000000001" customHeight="1" x14ac:dyDescent="0.25">
      <c r="D158" s="1" t="str" cm="1">
        <f t="array" ref="D158">SourceData_Dairy.SourceData_Dairy_DryMatterDigestibility_Variable()</f>
        <v>DMD</v>
      </c>
      <c r="M158" s="24"/>
    </row>
    <row r="159" spans="4:13" ht="20.100000000000001" customHeight="1" x14ac:dyDescent="0.25">
      <c r="D159" s="57" t="str" cm="1">
        <f t="array" ref="D159">SourceData_Dairy.SourceData_Dairy_DryMatterDigestibility_Unit()</f>
        <v>fraction</v>
      </c>
      <c r="M159" s="24"/>
    </row>
    <row r="160" spans="4:13" ht="20.100000000000001" customHeight="1" x14ac:dyDescent="0.25">
      <c r="D160" s="56" cm="1">
        <f t="array" ref="D160">SourceData_Dairy.SourceData_Dairy_DryMatterDigestibility_Data()</f>
        <v>0.75</v>
      </c>
      <c r="M160" s="24"/>
    </row>
    <row r="161" spans="1:13" ht="20.100000000000001" customHeight="1" x14ac:dyDescent="0.25">
      <c r="M161" s="24"/>
    </row>
    <row r="162" spans="1:13" ht="20.100000000000001" customHeight="1" x14ac:dyDescent="0.25">
      <c r="M162" s="24"/>
    </row>
    <row r="163" spans="1:13" ht="20.100000000000001" customHeight="1" x14ac:dyDescent="0.25">
      <c r="D163" s="6" t="str" cm="1">
        <f t="array" ref="D163">SourceData_Dairy.SourceData_Dairy_NetEnergy_Title()</f>
        <v>Net energy required for milk production</v>
      </c>
      <c r="M163" s="24"/>
    </row>
    <row r="164" spans="1:13" ht="20.100000000000001" customHeight="1" x14ac:dyDescent="0.25">
      <c r="D164" s="5" t="str" cm="1">
        <f t="array" ref="D164">SourceData_Dairy.SourceData_Dairy_NetEnergy_Source()</f>
        <v>VEERG 2026: 3.3.2.3 CONSTANTS</v>
      </c>
      <c r="M164" s="24"/>
    </row>
    <row r="165" spans="1:13" ht="20.100000000000001" customHeight="1" x14ac:dyDescent="0.25">
      <c r="D165" s="1" t="str" cm="1">
        <f t="array" ref="D165">SourceData_Dairy.SourceData_Dairy_NetEnergy_Variable()</f>
        <v>NE</v>
      </c>
      <c r="M165" s="24"/>
    </row>
    <row r="166" spans="1:13" x14ac:dyDescent="0.25">
      <c r="D166" s="57" t="str" cm="1">
        <f t="array" ref="D166">SourceData_Dairy.SourceData_Dairy_NetEnergy_Unit()</f>
        <v>MJ net energy / kg milk</v>
      </c>
      <c r="M166" s="24"/>
    </row>
    <row r="167" spans="1:13" x14ac:dyDescent="0.25">
      <c r="D167" s="56" cm="1">
        <f t="array" ref="D167">SourceData_Dairy.SourceData_Dairy_NetEnergy_Data()</f>
        <v>3.0539999999999998</v>
      </c>
      <c r="M167" s="24"/>
    </row>
    <row r="168" spans="1:13" x14ac:dyDescent="0.25">
      <c r="M168" s="24"/>
    </row>
    <row r="169" spans="1:13" x14ac:dyDescent="0.25">
      <c r="M169" s="24"/>
    </row>
    <row r="170" spans="1:13" ht="23.25" x14ac:dyDescent="0.25">
      <c r="D170" s="6" t="str" cm="1">
        <f t="array" ref="D170">SourceData_Dairy.SourceData_Dairy_GrossEnergyContent_Title()</f>
        <v>Gross energy content of feed dry matter</v>
      </c>
      <c r="M170" s="24"/>
    </row>
    <row r="171" spans="1:13" x14ac:dyDescent="0.25">
      <c r="D171" s="5" t="str" cm="1">
        <f t="array" ref="D171">SourceData_Dairy.SourceData_Dairy_GrossEnergyContent_Source()</f>
        <v>VEERG 2026: 3.3.2.3 CONSTANTS</v>
      </c>
      <c r="M171" s="24"/>
    </row>
    <row r="172" spans="1:13" x14ac:dyDescent="0.25">
      <c r="D172" s="1" t="str" cm="1">
        <f t="array" ref="D172">SourceData_Dairy.SourceData_Dairy_GrossEnergyContent_Variable()</f>
        <v>GEC</v>
      </c>
      <c r="M172" s="24"/>
    </row>
    <row r="173" spans="1:13" x14ac:dyDescent="0.25">
      <c r="D173" s="57" t="str" cm="1">
        <f t="array" ref="D173">SourceData_Dairy.SourceData_Dairy_GrossEnergyContent_Unit()</f>
        <v>MJ / kgDM</v>
      </c>
      <c r="M173" s="24"/>
    </row>
    <row r="174" spans="1:13" x14ac:dyDescent="0.25">
      <c r="A174" s="141" t="str">
        <f>HYPERLINK("#A1", "▲ Back to top")</f>
        <v>▲ Back to top</v>
      </c>
      <c r="D174" s="56" cm="1">
        <f t="array" ref="D174">SourceData_Dairy.SourceData_Dairy_GrossEnergyContent_Data()</f>
        <v>18.399999999999999</v>
      </c>
      <c r="M174" s="24"/>
    </row>
    <row r="175" spans="1:13" x14ac:dyDescent="0.25">
      <c r="M175" s="24"/>
    </row>
    <row r="176" spans="1:13" x14ac:dyDescent="0.25">
      <c r="M176" s="24"/>
    </row>
    <row r="177" spans="4:13" ht="23.25" x14ac:dyDescent="0.25">
      <c r="D177" s="6" t="str" cm="1">
        <f t="array" ref="D177">SourceData_Dairy.SourceData_Dairy_EfficiencyOfUseOfMetabolizableEnergy_Title()</f>
        <v>Efficiency of use of metabolizable energy for milk production</v>
      </c>
      <c r="M177" s="24"/>
    </row>
    <row r="178" spans="4:13" x14ac:dyDescent="0.25">
      <c r="D178" s="5" t="str" cm="1">
        <f t="array" ref="D178">SourceData_Dairy.SourceData_Dairy_EfficiencyOfUseOfMetabolizableEnergy_Source()</f>
        <v>VEERG 2026: 3.3.2.3 CONSTANTS</v>
      </c>
      <c r="M178" s="24"/>
    </row>
    <row r="179" spans="4:13" x14ac:dyDescent="0.25">
      <c r="D179" s="1" t="str" cm="1">
        <f t="array" ref="D179">SourceData_Dairy.SourceData_Dairy_EfficiencyOfUseOfMetabolizableEnergy_Variable()</f>
        <v>k</v>
      </c>
      <c r="M179" s="24"/>
    </row>
    <row r="180" spans="4:13" x14ac:dyDescent="0.25">
      <c r="D180" s="57" t="str" cm="1">
        <f t="array" ref="D180">SourceData_Dairy.SourceData_Dairy_EfficiencyOfUseOfMetabolizableEnergy_Unit()</f>
        <v>fraction</v>
      </c>
      <c r="M180" s="24"/>
    </row>
    <row r="181" spans="4:13" x14ac:dyDescent="0.25">
      <c r="D181" s="56" cm="1">
        <f t="array" ref="D181">SourceData_Dairy.SourceData_Dairy_EfficiencyOfUseOfMetabolizableEnergy_Data()</f>
        <v>0.6</v>
      </c>
      <c r="M181" s="24"/>
    </row>
    <row r="182" spans="4:13" x14ac:dyDescent="0.25">
      <c r="M182" s="24"/>
    </row>
    <row r="183" spans="4:13" x14ac:dyDescent="0.25">
      <c r="M183" s="24"/>
    </row>
    <row r="184" spans="4:13" ht="23.25" x14ac:dyDescent="0.25">
      <c r="D184" s="6" t="str" cm="1">
        <f t="array" ref="D184">SourceData_Dairy.SourceData_Dairy_AshContent_Title()</f>
        <v>Ash content of manure</v>
      </c>
      <c r="M184" s="24"/>
    </row>
    <row r="185" spans="4:13" x14ac:dyDescent="0.25">
      <c r="D185" s="5" t="str" cm="1">
        <f t="array" ref="D185">SourceData_Dairy.SourceData_Dairy_AshContent_Source()</f>
        <v>VEERG 2026: 4.3.2.3 CONSTANTS</v>
      </c>
      <c r="M185" s="24"/>
    </row>
    <row r="186" spans="4:13" x14ac:dyDescent="0.25">
      <c r="D186" s="1" t="str" cm="1">
        <f t="array" ref="D186">SourceData_Dairy.SourceData_Dairy_AshContent_Variable()</f>
        <v>A</v>
      </c>
      <c r="M186" s="24"/>
    </row>
    <row r="187" spans="4:13" x14ac:dyDescent="0.25">
      <c r="D187" s="57" t="str" cm="1">
        <f t="array" ref="D187">SourceData_Dairy.SourceData_Dairy_AshContent_Unit()</f>
        <v>fraction</v>
      </c>
      <c r="M187" s="24"/>
    </row>
    <row r="188" spans="4:13" x14ac:dyDescent="0.25">
      <c r="D188" s="56" cm="1">
        <f t="array" ref="D188">SourceData_Dairy.SourceData_Dairy_AshContent_Data()</f>
        <v>0.08</v>
      </c>
      <c r="M188" s="24"/>
    </row>
    <row r="189" spans="4:13" x14ac:dyDescent="0.25">
      <c r="M189" s="24"/>
    </row>
    <row r="190" spans="4:13" x14ac:dyDescent="0.25">
      <c r="M190" s="24"/>
    </row>
    <row r="191" spans="4:13" ht="23.25" x14ac:dyDescent="0.25">
      <c r="D191" s="6" t="str" cm="1">
        <f t="array" ref="D191">SourceData_Dairy.SourceData_Dairy_MethaneEmissionsPotential_Title()</f>
        <v>Methane emissions potential</v>
      </c>
      <c r="M191" s="24"/>
    </row>
    <row r="192" spans="4:13" x14ac:dyDescent="0.25">
      <c r="D192" s="5" t="str" cm="1">
        <f t="array" ref="D192">SourceData_Dairy.SourceData_Dairy_MethaneEmissionsPotential_Source()</f>
        <v>VEERG 2026: 4.3.2.3 CONSTANTS</v>
      </c>
      <c r="M192" s="24"/>
    </row>
    <row r="193" spans="4:13" x14ac:dyDescent="0.25">
      <c r="D193" s="1" t="str" cm="1">
        <f t="array" ref="D193">SourceData_Dairy.SourceData_Dairy_MethaneEmissionsPotential_Variable()</f>
        <v>B_o</v>
      </c>
      <c r="M193" s="24"/>
    </row>
    <row r="194" spans="4:13" x14ac:dyDescent="0.25">
      <c r="D194" s="57" t="str" cm="1">
        <f t="array" ref="D194">SourceData_Dairy.SourceData_Dairy_MethaneEmissionsPotential_Unit()</f>
        <v>m3 CH4/kgVS</v>
      </c>
      <c r="M194" s="24"/>
    </row>
    <row r="195" spans="4:13" x14ac:dyDescent="0.25">
      <c r="D195" s="56" cm="1">
        <f t="array" ref="D195">SourceData_Dairy.SourceData_Dairy_MethaneEmissionsPotential_Data()</f>
        <v>0.24</v>
      </c>
      <c r="M195" s="24"/>
    </row>
    <row r="196" spans="4:13" x14ac:dyDescent="0.25">
      <c r="M196" s="24"/>
    </row>
    <row r="197" spans="4:13" x14ac:dyDescent="0.25">
      <c r="M197" s="24"/>
    </row>
    <row r="198" spans="4:13" ht="23.25" x14ac:dyDescent="0.25">
      <c r="D198" s="6" t="str" cm="1">
        <f t="array" ref="D198">SourceData_Dairy.SourceData_Dairy_EmissionFactorForLeachingAndRunoff_Title()</f>
        <v>Emission factor for leaching and runoff</v>
      </c>
      <c r="M198" s="24"/>
    </row>
    <row r="199" spans="4:13" x14ac:dyDescent="0.25">
      <c r="D199" s="5" t="str" cm="1">
        <f t="array" ref="D199">SourceData_Dairy.SourceData_Dairy_EmissionFactorForLeachingAndRunoff_Source()</f>
        <v>VEERG 2026: 4.3.2.3 CONSTANTS</v>
      </c>
      <c r="M199" s="24"/>
    </row>
    <row r="200" spans="4:13" x14ac:dyDescent="0.25">
      <c r="D200" s="1" t="str" cm="1">
        <f t="array" ref="D200">SourceData_Dairy.SourceData_Dairy_EmissionFactorForLeachingAndRunoff_Variable()</f>
        <v>EF_leach</v>
      </c>
      <c r="M200" s="24"/>
    </row>
    <row r="201" spans="4:13" x14ac:dyDescent="0.25">
      <c r="D201" s="57" t="str" cm="1">
        <f t="array" ref="D201">SourceData_Dairy.SourceData_Dairy_EmissionFactorForLeachingAndRunoff_Unit()</f>
        <v>kg N2O-N/kg N</v>
      </c>
      <c r="M201" s="24"/>
    </row>
    <row r="202" spans="4:13" x14ac:dyDescent="0.25">
      <c r="D202" s="56" cm="1">
        <f t="array" ref="D202">SourceData_Dairy.SourceData_Dairy_EmissionFactorForLeachingAndRunoff_Data()</f>
        <v>1.0999999999999999E-2</v>
      </c>
      <c r="M202" s="24"/>
    </row>
    <row r="203" spans="4:13" x14ac:dyDescent="0.25">
      <c r="M203" s="24"/>
    </row>
    <row r="204" spans="4:13" x14ac:dyDescent="0.25">
      <c r="M204" s="24"/>
    </row>
    <row r="205" spans="4:13" ht="23.25" x14ac:dyDescent="0.25">
      <c r="D205" s="6" t="str" cm="1">
        <f t="array" ref="D205">SourceData_Dairy.SourceData_Dairy_FractionOfNitrogenLostThroughLeachingAndRunoff_Title()</f>
        <v>Fraction of N that is lost through leaching and runoff</v>
      </c>
      <c r="M205" s="24"/>
    </row>
    <row r="206" spans="4:13" x14ac:dyDescent="0.25">
      <c r="D206" s="5" t="str" cm="1">
        <f t="array" ref="D206">SourceData_Dairy.SourceData_Dairy_FractionOfNitrogenLostThroughLeachingAndRunoff_Source()</f>
        <v>VEERG 2026: 4.3.2.3 CONSTANTS</v>
      </c>
      <c r="M206" s="24"/>
    </row>
    <row r="207" spans="4:13" x14ac:dyDescent="0.25">
      <c r="D207" s="1" t="str" cm="1">
        <f t="array" ref="D207">SourceData_Dairy.SourceData_Dairy_FractionOfNitrogenLostThroughLeachingAndRunoff_Variable()</f>
        <v>Frac_LEACH_MS</v>
      </c>
      <c r="M207" s="24"/>
    </row>
    <row r="208" spans="4:13" x14ac:dyDescent="0.25">
      <c r="D208" s="57" t="str" cm="1">
        <f t="array" ref="D208">SourceData_Dairy.SourceData_Dairy_FractionOfNitrogenLostThroughLeachingAndRunoff_Unit()</f>
        <v>Dimensionless</v>
      </c>
      <c r="M208" s="24"/>
    </row>
    <row r="209" spans="1:13" x14ac:dyDescent="0.25">
      <c r="D209" s="56" cm="1">
        <f t="array" ref="D209">SourceData_Dairy.SourceData_Dairy_FractionOfNitrogenLostThroughLeachingAndRunoff_Data()</f>
        <v>0.02</v>
      </c>
      <c r="M209" s="24"/>
    </row>
    <row r="210" spans="1:13" x14ac:dyDescent="0.25">
      <c r="M210" s="24"/>
    </row>
    <row r="211" spans="1:13" ht="23.25" x14ac:dyDescent="0.25">
      <c r="D211" s="6" t="str" cm="1">
        <f t="array" ref="D211">SourceData_Dairy.SourceData_Dairy_FracGASMSoil_Title()</f>
        <v>Fraction of nitrogen volatilized from urine and faeces deposited on pasture</v>
      </c>
      <c r="M211" s="24"/>
    </row>
    <row r="212" spans="1:13" x14ac:dyDescent="0.25">
      <c r="D212" s="5" t="str" cm="1">
        <f t="array" ref="D212">SourceData_Dairy.SourceData_Dairy_FracGASMSoil_Source()</f>
        <v>VEERG 2026: 4.3.2.3 CONSTANTS</v>
      </c>
      <c r="M212" s="24"/>
    </row>
    <row r="213" spans="1:13" x14ac:dyDescent="0.25">
      <c r="D213" s="1" t="str" cm="1">
        <f t="array" ref="D213">SourceData_Dairy.SourceData_Dairy_FracGASMSoil_Variable()</f>
        <v>FracGASMsoil</v>
      </c>
      <c r="M213" s="24"/>
    </row>
    <row r="214" spans="1:13" x14ac:dyDescent="0.25">
      <c r="D214" s="57" t="str" cm="1">
        <f t="array" ref="D214">SourceData_Dairy.SourceData_Dairy_FracGASMSoil_Unit()</f>
        <v>(kg NH3-N + NOx-N)/kg N</v>
      </c>
      <c r="M214" s="24"/>
    </row>
    <row r="215" spans="1:13" x14ac:dyDescent="0.25">
      <c r="A215" s="141" t="str">
        <f>HYPERLINK("#A1", "▲ Back to top")</f>
        <v>▲ Back to top</v>
      </c>
      <c r="D215" s="56" cm="1">
        <f t="array" ref="D215">SourceData_Dairy.SourceData_Dairy_FracGASMSoil_Data()</f>
        <v>0.21</v>
      </c>
      <c r="M215" s="24"/>
    </row>
    <row r="216" spans="1:13" x14ac:dyDescent="0.25">
      <c r="M216" s="24"/>
    </row>
    <row r="217" spans="1:13" ht="23.25" x14ac:dyDescent="0.25">
      <c r="D217" s="6" t="str" cm="1">
        <f t="array" ref="D217">SourceData_Dairy.SourceData_Dairy_FatContentInMilk_Title()</f>
        <v>Fat content in fat and protein corrected milk</v>
      </c>
      <c r="M217" s="24"/>
    </row>
    <row r="218" spans="1:13" x14ac:dyDescent="0.25">
      <c r="D218" s="5" t="str" cm="1">
        <f t="array" ref="D218">SourceData_Dairy.SourceData_Dairy_FatContentInMilk_Source()</f>
        <v>VEERG 2026: 3.3.2.2 DATA (METHOD 1 AND 2 OPTIONS)</v>
      </c>
      <c r="M218" s="24"/>
    </row>
    <row r="219" spans="1:13" x14ac:dyDescent="0.25">
      <c r="D219" s="1" t="str" cm="1">
        <f t="array" ref="D219">SourceData_Dairy.SourceData_Dairy_FatContentInMilk_Variable()</f>
        <v>FC_j</v>
      </c>
      <c r="M219" s="24"/>
    </row>
    <row r="220" spans="1:13" x14ac:dyDescent="0.25">
      <c r="D220" s="57" t="str" cm="1">
        <f t="array" ref="D220">SourceData_Dairy.SourceData_Dairy_FatContentInMilk_Unit()</f>
        <v>percent</v>
      </c>
      <c r="M220" s="24"/>
    </row>
    <row r="221" spans="1:13" x14ac:dyDescent="0.25">
      <c r="D221" s="56" cm="1">
        <f t="array" ref="D221">SourceData_Dairy.SourceData_Dairy_FatContentInMilk_Data()</f>
        <v>4</v>
      </c>
      <c r="M221" s="24"/>
    </row>
    <row r="222" spans="1:13" x14ac:dyDescent="0.25">
      <c r="M222" s="24"/>
    </row>
    <row r="223" spans="1:13" ht="23.25" x14ac:dyDescent="0.25">
      <c r="D223" s="6" t="str" cm="1">
        <f t="array" ref="D223">SourceData_Dairy.SourceData_Dairy_ProteinContentInMilk_Title()</f>
        <v>Protein content in fat and protein corrected milk</v>
      </c>
      <c r="M223" s="24"/>
    </row>
    <row r="224" spans="1:13" x14ac:dyDescent="0.25">
      <c r="D224" s="5" t="str" cm="1">
        <f t="array" ref="D224">SourceData_Dairy.SourceData_Dairy_ProteinContentInMilk_Source()</f>
        <v>VEERG 2026: 3.3.2.2 DATA (METHOD 1 AND 2 OPTIONS)</v>
      </c>
      <c r="M224" s="24"/>
    </row>
    <row r="225" spans="4:13" x14ac:dyDescent="0.25">
      <c r="D225" s="1" t="str" cm="1">
        <f t="array" ref="D225">SourceData_Dairy.SourceData_Dairy_ProteinContentInMilk_Variable()</f>
        <v>PC_j</v>
      </c>
      <c r="M225" s="24"/>
    </row>
    <row r="226" spans="4:13" x14ac:dyDescent="0.25">
      <c r="D226" s="57" t="str" cm="1">
        <f t="array" ref="D226">SourceData_Dairy.SourceData_Dairy_ProteinContentInMilk_Unit()</f>
        <v>percent</v>
      </c>
      <c r="M226" s="24"/>
    </row>
    <row r="227" spans="4:13" x14ac:dyDescent="0.25">
      <c r="D227" s="56" cm="1">
        <f t="array" ref="D227">SourceData_Dairy.SourceData_Dairy_ProteinContentInMilk_Data()</f>
        <v>3.3</v>
      </c>
      <c r="M227" s="24"/>
    </row>
    <row r="228" spans="4:13" x14ac:dyDescent="0.25">
      <c r="M228" s="24"/>
    </row>
    <row r="229" spans="4:13" x14ac:dyDescent="0.25">
      <c r="M229" s="24"/>
    </row>
    <row r="230" spans="4:13" x14ac:dyDescent="0.25">
      <c r="M230" s="24"/>
    </row>
    <row r="231" spans="4:13" x14ac:dyDescent="0.25">
      <c r="M231" s="24"/>
    </row>
    <row r="232" spans="4:13" x14ac:dyDescent="0.25">
      <c r="M232" s="24"/>
    </row>
    <row r="233" spans="4:13" x14ac:dyDescent="0.25">
      <c r="M233" s="24"/>
    </row>
    <row r="234" spans="4:13" x14ac:dyDescent="0.25">
      <c r="M234" s="24"/>
    </row>
    <row r="235" spans="4:13" x14ac:dyDescent="0.25">
      <c r="M235" s="24"/>
    </row>
    <row r="236" spans="4:13" x14ac:dyDescent="0.25">
      <c r="M236" s="24"/>
    </row>
    <row r="237" spans="4:13" x14ac:dyDescent="0.25">
      <c r="M237" s="24"/>
    </row>
    <row r="238" spans="4:13" x14ac:dyDescent="0.25">
      <c r="M238" s="24"/>
    </row>
    <row r="239" spans="4:13" x14ac:dyDescent="0.25">
      <c r="M239" s="24"/>
    </row>
    <row r="240" spans="4: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831202-1887-4293-9408-079FA11C6DF6}">
  <dimension ref="A1:BY250"/>
  <sheetViews>
    <sheetView showGridLines="0" topLeftCell="A221" zoomScale="85" zoomScaleNormal="85" workbookViewId="0">
      <selection activeCell="G262" sqref="G26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79</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23</v>
      </c>
      <c r="E6" s="39" t="s">
        <v>24</v>
      </c>
      <c r="F6" s="39" t="s">
        <v>25</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26</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29</v>
      </c>
      <c r="E36" s="39" t="s">
        <v>30</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29</v>
      </c>
      <c r="E47" s="39" t="s">
        <v>32</v>
      </c>
      <c r="F47" s="39" t="s">
        <v>33</v>
      </c>
      <c r="G47" s="39" t="s">
        <v>34</v>
      </c>
      <c r="H47" s="39" t="s">
        <v>35</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8" t="str" cm="1">
        <f t="array" ref="D59:D61">"⚠️" &amp; Common_SourceData.Common_SourceData_WetAndDryZones_Variation()</f>
        <v>⚠️VARIATION OF SOURCE DATA:</v>
      </c>
    </row>
    <row r="60" spans="4:8" ht="20.100000000000001" customHeight="1" x14ac:dyDescent="0.25">
      <c r="D60" s="58" t="str">
        <v>⚠️Added warm / cool temperate moist / dry - low frost and high temp classes to accommodate climate scenarios excluded by VEERG criteria.</v>
      </c>
    </row>
    <row r="61" spans="4:8" ht="20.100000000000001" customHeight="1" x14ac:dyDescent="0.25">
      <c r="D61" s="58" t="str">
        <v>⚠️Fixed typo - Changed 'Fry' to 'Dry'.</v>
      </c>
    </row>
    <row r="62" spans="4:8" ht="20.100000000000001" customHeight="1" x14ac:dyDescent="0.25"/>
    <row r="63" spans="4:8" ht="20.100000000000001" customHeight="1" x14ac:dyDescent="0.25">
      <c r="D63" s="39" t="s">
        <v>10</v>
      </c>
      <c r="E63" s="39" t="s">
        <v>50</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8" t="str" cm="1">
        <f t="array" ref="D83:D87">"⚠️" &amp; Common_SourceData.Common_SourceData_ClimateZones_Variation()</f>
        <v>⚠️VARIATION OF SOURCE DATA:</v>
      </c>
    </row>
    <row r="84" spans="4:20" ht="20.100000000000001" customHeight="1" x14ac:dyDescent="0.25">
      <c r="D84" s="58" t="str">
        <v>⚠️Added warm / cool temperate moist / dry - low frost and high temp classes to accommodate climate scenarios excluded by VEERG criteria.</v>
      </c>
    </row>
    <row r="85" spans="4:20" ht="20.100000000000001" customHeight="1" x14ac:dyDescent="0.25">
      <c r="D85" s="58" t="str">
        <v>⚠️Fixed typo in MAT value for warm temperate dry - changed 10 to 11.</v>
      </c>
    </row>
    <row r="86" spans="4:20" ht="20.100000000000001" customHeight="1" x14ac:dyDescent="0.25">
      <c r="D86" s="58" t="str">
        <v>⚠️Added min and max columns for MAT, MAP, frost days per year, elevation, MAP:PET to calculate zones from real climate data.</v>
      </c>
    </row>
    <row r="87" spans="4:20" ht="20.100000000000001" customHeight="1" x14ac:dyDescent="0.25">
      <c r="D87" s="58" t="str">
        <v>⚠️GAF accepts rainfall as a proxy for precipitation.</v>
      </c>
    </row>
    <row r="88" spans="4:20" ht="20.100000000000001" customHeight="1" x14ac:dyDescent="0.25"/>
    <row r="89" spans="4:20" ht="20.100000000000001" customHeight="1" x14ac:dyDescent="0.25">
      <c r="D89" s="39" t="s">
        <v>10</v>
      </c>
      <c r="E89" s="39" t="s">
        <v>38</v>
      </c>
      <c r="F89" s="39" t="s">
        <v>39</v>
      </c>
      <c r="G89" s="39" t="s">
        <v>40</v>
      </c>
      <c r="H89" s="39" t="s">
        <v>41</v>
      </c>
      <c r="I89" s="39" t="s">
        <v>42</v>
      </c>
      <c r="J89" s="39" t="s">
        <v>43</v>
      </c>
      <c r="K89" s="39" t="s">
        <v>44</v>
      </c>
      <c r="L89" s="39" t="s">
        <v>45</v>
      </c>
      <c r="M89" s="39" t="s">
        <v>46</v>
      </c>
      <c r="N89" s="39" t="s">
        <v>47</v>
      </c>
      <c r="O89" s="39" t="s">
        <v>51</v>
      </c>
      <c r="P89" s="39" t="s">
        <v>48</v>
      </c>
      <c r="Q89" s="39" t="s">
        <v>52</v>
      </c>
      <c r="R89" s="39" t="s">
        <v>49</v>
      </c>
      <c r="S89" s="39" t="s">
        <v>53</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c r="D98" s="57" t="str" cm="1">
        <f t="array" ref="D98:D101">Common_SourceData.Common_SourceData_ClimateZones_Appendices()</f>
        <v>Note:</v>
      </c>
    </row>
    <row r="99" spans="4:20" ht="20.100000000000001" customHeight="1" x14ac:dyDescent="0.25">
      <c r="D99" s="57" t="str">
        <v>MAT = mean annual temperature</v>
      </c>
    </row>
    <row r="100" spans="4:20" ht="20.100000000000001" customHeight="1" x14ac:dyDescent="0.25">
      <c r="D100" s="57" t="str">
        <v>MAP = mean annual precipitation</v>
      </c>
    </row>
    <row r="101" spans="4:20" ht="20.100000000000001" customHeight="1" x14ac:dyDescent="0.25">
      <c r="D101" s="57" t="str">
        <v>PET = potential evapotranspiration</v>
      </c>
    </row>
    <row r="102" spans="4:20" ht="20.100000000000001" customHeight="1" x14ac:dyDescent="0.25">
      <c r="D102" s="57"/>
    </row>
    <row r="103" spans="4:20" ht="20.100000000000001" customHeight="1" x14ac:dyDescent="0.25"/>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8"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57</v>
      </c>
      <c r="E109" s="39" t="s">
        <v>38</v>
      </c>
      <c r="F109" s="39" t="s">
        <v>58</v>
      </c>
      <c r="G109" s="39" t="s">
        <v>59</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8"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60</v>
      </c>
      <c r="E119" s="39" t="s">
        <v>61</v>
      </c>
      <c r="F119" s="39" t="s">
        <v>45</v>
      </c>
      <c r="G119" s="39" t="s">
        <v>46</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67</v>
      </c>
      <c r="E127" s="39" t="s">
        <v>68</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95</v>
      </c>
      <c r="E134" t="s">
        <v>96</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8"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332</v>
      </c>
      <c r="E142" s="39" t="s">
        <v>96</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70</v>
      </c>
      <c r="E153" s="39" t="s">
        <v>71</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7"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7" t="str" cm="1">
        <f t="array" ref="D180">Common_SourceData.Common_SourceData_EFN2O_Unit()</f>
        <v>(kg N2O-N / kg N</v>
      </c>
    </row>
    <row r="181" spans="4:68" ht="20.100000000000001" customHeight="1" x14ac:dyDescent="0.25">
      <c r="D181" s="58" t="str" cm="1">
        <f t="array" ref="D181:D185">Common_SourceData.Common_SourceData_EFN2O_Variation()</f>
        <v>VARIATION OF SOURCE DATA:</v>
      </c>
    </row>
    <row r="182" spans="4:68" ht="20.100000000000001" customHeight="1" x14ac:dyDescent="0.25">
      <c r="D182" s="58" t="str">
        <v>Removed duplicate 'Aquaculture' row.</v>
      </c>
    </row>
    <row r="183" spans="4:68" ht="20.100000000000001" customHeight="1" x14ac:dyDescent="0.25">
      <c r="D183" s="58" t="str">
        <v>Removed asterisks to aid lookup.</v>
      </c>
    </row>
    <row r="184" spans="4:68" ht="20.100000000000001" customHeight="1" x14ac:dyDescent="0.25">
      <c r="D184" s="58" t="str">
        <v>Added 'production system only', 'rainfall zone' and 'irrigation method' columns to aid lookup.</v>
      </c>
    </row>
    <row r="185" spans="4:68" ht="20.100000000000001" customHeight="1" x14ac:dyDescent="0.25">
      <c r="D185" s="58" t="str">
        <v>Duplicated 'non-irrigated pasture' row with same EF for low and high rainfall zones to aid lookup.</v>
      </c>
    </row>
    <row r="186" spans="4:68" ht="20.100000000000001" customHeight="1" x14ac:dyDescent="0.25">
      <c r="D186" s="39" t="s">
        <v>144</v>
      </c>
      <c r="E186" s="39" t="s">
        <v>145</v>
      </c>
      <c r="F186" s="39" t="s">
        <v>146</v>
      </c>
      <c r="G186" s="39" t="s">
        <v>147</v>
      </c>
      <c r="H186" s="39" t="s">
        <v>37</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8" t="str" cm="1">
        <f t="array" ref="D204">Common_SourceData.Common_SourceData_EFPastureRangeAndPaddock_Variation()</f>
        <v>VARIATION FROM SOURCE DATA: Changed 'Dry climate zones' to singular 'Dry climate zone' to aid lookup.</v>
      </c>
    </row>
    <row r="205" spans="4:8" x14ac:dyDescent="0.25">
      <c r="D205" s="57" t="str" cm="1">
        <f t="array" ref="D205">Common_SourceData.Common_SourceData_EFPastureRangeAndPaddock_Unit()</f>
        <v>kg N2O - N / kg N</v>
      </c>
    </row>
    <row r="206" spans="4:8" x14ac:dyDescent="0.25">
      <c r="D206" s="39" t="s">
        <v>10</v>
      </c>
      <c r="E206" s="39" t="s">
        <v>367</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396</v>
      </c>
      <c r="E212" s="39" t="s">
        <v>397</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54</v>
      </c>
      <c r="E231" s="39" t="s">
        <v>406</v>
      </c>
      <c r="F231" s="38" t="s">
        <v>407</v>
      </c>
      <c r="G231" s="39" t="s">
        <v>408</v>
      </c>
      <c r="H231" s="39" t="s">
        <v>409</v>
      </c>
      <c r="I231" s="39" t="s">
        <v>410</v>
      </c>
      <c r="J231" s="39" t="s">
        <v>411</v>
      </c>
      <c r="K231" s="39" t="s">
        <v>412</v>
      </c>
      <c r="L231" s="39" t="s">
        <v>413</v>
      </c>
      <c r="M231" s="39" t="s">
        <v>414</v>
      </c>
      <c r="N231" s="39" t="s">
        <v>415</v>
      </c>
      <c r="O231" s="39" t="s">
        <v>416</v>
      </c>
      <c r="P231" s="39" t="s">
        <v>417</v>
      </c>
      <c r="Q231" s="39" t="s">
        <v>418</v>
      </c>
      <c r="R231" s="39" t="s">
        <v>419</v>
      </c>
      <c r="S231" s="39" t="s">
        <v>420</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sheetData>
  <pageMargins left="0.7" right="0.7" top="0.75" bottom="0.75" header="0.3" footer="0.3"/>
  <pageSetup paperSize="9" orientation="portrait" r:id="rId1"/>
  <tableParts count="1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23" sqref="A23"/>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8" t="e" vm="1">
        <v>#VALUE!</v>
      </c>
      <c r="C1" s="8" t="s">
        <v>81</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Dairy'!A1", "Dairy")</f>
        <v>Dairy</v>
      </c>
      <c r="D9" s="38" t="s">
        <v>82</v>
      </c>
      <c r="E9" s="39" t="s">
        <v>22</v>
      </c>
      <c r="F9" s="39" t="s">
        <v>83</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78</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HYPERLINK("#'4.3.1.1-2 Methane'!A1", "4.3.1.1-2 Methane")</f>
        <v>4.3.1.1-2 Methane</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HYPERLINK("#'4.3.1.3-4 Direct N20'!A1", "4.3.1.3-4 Direct N2O")</f>
        <v>4.3.1.3-4 Direct N2O</v>
      </c>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HYPERLINK("#'4.3.1.5 Atmos Deposition'!A1", "4.3.1.5 Atmospheric deposition")</f>
        <v>4.3.1.5 Atmospheric deposition</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HYPERLINK("#'4.3.1.6-7 Leaching and runoff'!A1", "4.3.1.6-7 Leaching and runoff")</f>
        <v>4.3.1.6-7 Leaching and runoff</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HYPERLINK("#'4.3.1.8 Manure applied to soils'!A1", "4.3.1.8 Manure applied to soils")</f>
        <v>4.3.1.8 Manure applied to soils</v>
      </c>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HYPERLINK("#'4.3.1.9 Soil direct N2O'!A1", "4.3.1.9 Soil direct N2O")</f>
        <v>4.3.1.9 Soil direct N2O</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HYPERLINK("#'4.3.1.10-11 Soil Atmos Dep'!A1", "4.3.1.10-11 Soil atm. deposition")</f>
        <v>4.3.1.10-11 Soil atm. deposition</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HYPERLINK("#'4.3.1.12-13 Soil leach runoff'!A1", "4.3.1.12-13 Soil leach &amp; runoff")</f>
        <v>4.3.1.12-13 Soil leach &amp; runoff</v>
      </c>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8" t="s">
        <v>4</v>
      </c>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Dairy'!A1", "Constants - Dairy")</f>
        <v>Constants - Dairy</v>
      </c>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72" t="str">
        <f>HYPERLINK("#'Constants - Livestock'!A1", "Constants - Livestock")</f>
        <v>Constants - Livestock</v>
      </c>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HYPERLINK("#'Constants - Common'!A1", "Constants - Common")</f>
        <v>Constants - Common</v>
      </c>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HYPERLINK("#'Acknowledgements'!A1", "Acknowledgements")</f>
        <v>Acknowledgements</v>
      </c>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398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70" t="s">
        <v>80</v>
      </c>
    </row>
    <row r="17" spans="1:1" ht="20.100000000000001" customHeight="1" x14ac:dyDescent="0.25">
      <c r="A17" s="70" t="s">
        <v>76</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78</v>
      </c>
    </row>
    <row r="22" spans="1:1" ht="20.100000000000001" customHeight="1" x14ac:dyDescent="0.25">
      <c r="A22" s="70" t="s">
        <v>1</v>
      </c>
    </row>
    <row r="23" spans="1:1" ht="20.100000000000001" customHeight="1" x14ac:dyDescent="0.25">
      <c r="A23" s="70" t="s">
        <v>77</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70" t="s">
        <v>80</v>
      </c>
    </row>
    <row r="32" spans="1:1" ht="20.100000000000001" customHeight="1" x14ac:dyDescent="0.25">
      <c r="A32" s="70" t="s">
        <v>76</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70" t="s">
        <v>2</v>
      </c>
    </row>
    <row r="41" spans="1:1" ht="20.100000000000001" customHeight="1" x14ac:dyDescent="0.25">
      <c r="A41" s="4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JwBSAGUAZgBlAHIAZQBuAGMAZQAnACwAIABhAHMAIAB0AGgAZQAgAHYAYQBsAHUAZQAgAGkAcwAgAGMAbwBuAHMAaQBzAHQAZQBuAHQAbAB5ACAAJwBEAGEAaQByAHkAIABBAHUAcwB0AHIAYQBsAGkAYQAgAFsAMQBdACcAIABhAG4AZAAgAGkAcwAgAG4AbwB0ACAAdQBzAGUAZAAgAGkAbgAgAGMAYQBsAGMAdQBsAGEAdABpAG8AbgAuAFwAIgApADsAXABuAFwAbgBTAG8AdQByAGMAZQBEAGEAdABhAF8ARABhAGkAcgB5AF8ATABpAHYAZQB3AGUAaQBnAGgAdABDAG8AdwBzAEEAbgBkAEgAZQBpAGYAZQByAHMAXwBEAGEAdABhAFwAbgAgACAAPQBMAEEATQBCAEQAQQAoAFwAbgAgACAAIAAgAE0AQQBLAEUAQQBSAFIAQQBZACgAMQAxACwAIAA0ACwAXABuACAAIAAgACAAIAAgAEwAQQBNAEIARABBACgAcgAsAGMALABcAG4AIAAgACAAIAAgACAAIAAgAEkATgBEAEUAWAAoAHsAXABuACAAIAAgACAAIAAgACAAIAAgACAAXAAiAEIAcgBlAGUAZABcACIALAAgAFwAIgBNAGkAbABrAGkAbgBnACAAQwBvAHcAcwBcACIALAAgAFwAIgBIAGUAaQBmAGUAcgBzACAAPgAxAFwAIgAsACAAXAAiAEgAZQBpAGYAZQByAHMAIAA8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D4AMQBcACIALAAgAFwAIgBCAHUAbABsAHMAIAA8ADEAIAAoAHcAZQBhAG4AZQBkACkAXAAiADsAXABuACAAIAAgACAAIAAgACAAIAAgACAAXAAiAEEAbABsACAAYgByAGUAZQBkAHMAXAAiACwAIAA2ADAAMAAsACAAMgAyADU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MAGkAdgBlAHcAZQBpAGcAaAB0AEcAYQBpAG4AXABuAFQAYQBiAGwAZQAgAEEALgAxAC4AMwAuADMAOgAgAEQAYQBpAHIAeQAgAGMAYQB0AHQAbABlACAALQAgAEwAaQB2AGUAdwBlAGkAZwBoAHQAIABnAGEAaQBuACAAKABrAGcAKQAgACgATABXAEcAagApAFwAbgAtAC0ALQAtAC0ALQAtAC0ALQAtAC0ALQAtAC0ALQAtAC0ALQAtAC0ALQAtAC0ALQAtAC0ALQAtAC0ALQAtAC0ALQAtAC0ALQAtAC0AXABuACoALwBcAG4AXABuAFMAbwB1AHIAYwBlAEQAYQB0AGEAXwBEAGEAaQByAHkAXwBMAGkAdgBlAHcAZQBpAGcAaAB0AEcAYQBpAG4AXwBUAGkAdABsAGUAXABuACAAIAA9AEwAQQBNAEIARABBACgAXAAiAFQAYQBiAGwAZQAgAEEALgAxAC4AMwAuADMAOgAgAEQAYQBpAHIAeQAgAGMAYQB0AHQAbABlACAALQAgAEwAaQB2AGUAdwBlAGkAZwBoAHQAIABnAGEAaQBuACAAKABrAGcAKQAgACgATABXAEcAagApAFwAIgApADsAXABuAFwAbgBTAG8AdQByAGMAZQBEAGEAdABhAF8ARABhAGkAcgB5AF8ATABpAHYAZQB3AGUAaQBnAGgAdABHAGEAaQBuAF8AVgBhAHIAaQBhAGIAbABlAFwAbgAgACAAPQBMAEEATQBCAEQAQQAoAFwAIgBMAFcARwBqAFwAIgApADsAXABuAFwAbgBTAG8AdQByAGMAZQBEAGEAdABhAF8ARABhAGkAcgB5AF8ATABpAHYAZQB3AGUAaQBnAGgAdABHAGEAaQBuAF8AVQBuAGkAdABcAG4AIAAgAD0ATABBAE0AQgBEAEEAKABcACIAawBnAFwAIgApADsAXABuAFwAbgBTAG8AdQByAGMAZQBEAGEAdABhAF8ARABhAGkAcgB5AF8ATABpAHYAZQB3AGUAaQBnAGgAdABHAGEAaQBuAF8AUwBvAHUAcgBjAGUAXABuACAAIAA9AEwAQQBNAEIARABBACgAXAAiAFYARQBFAFIARwAgADIAMAAyADYAOgAgAFQAYQBiAGwAZQAgAEEALgAxAC4AMwAuADMAXAAiACkAOwBcAG4AXABuAFMAbwB1AHIAYwBlAEQAYQB0AGEAXwBEAGEAaQByAHkAXwBMAGkAdgBlAHcAZQBpAGcAaAB0AEcAYQBpAG4AXwBWAGEAcgBpAGEAdABpAG8AbgBcAG4AIAAgAD0ATABBAE0AQgBEAEEAKABcACIAXAAiACkAOwBcAG4AXABuAFMAbwB1AHIAYwBlAEQAYQB0AGEAXwBEAGEAaQByAHkAXwBMAGkAdgBlAHcAZQBpAGcAaAB0AEcAYQBpAG4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PgAxAFwAIgAsACAAXAAiAEgAZQBpAGYAZQByAHMAIAA8ADEAIAAoAHcAZQBhAG4AZQBkACkAXAAiACwAIABcACIAQgB1AGwAbABzACAAPgAxAFwAIgAsACAAXAAiAEIAdQBsAGwAcwAgADw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PgAxAFwAIgAsACAAXAAiAEgAZQBpAGYAZQByAHMAIAA8ADEAIAAoAHcAZQBhAG4AZQBkACkAXAAiACwAIABcACIAQgB1AGwAbABzACAAPgAxAFwAIgAsACAAXAAiAEIAdQBsAGwAcwAgADwAMQAgACgAdwBlAGEAbgBlAGQAKQBcACIAOwBcAG4AIAAgACAAIAAgACAAIAAgACAAIAA1ADkAMAAsACAANQA5ADAALAAgADUAOQAwACwAIAA3ADcAMAAsACAANwA3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QAHIAZQBXAGUAYQBuAGUAZABDAGEAbAB2AGUAcwBcAG4AVABhAGIAbABlACAAQQAuADEALgAzAC4ANQA6ACAARABhAGkAcgB5ACAAYwBhAHQAdABsAGUAIAAtACAARABhAHQAYQAgAGYAbwByACAAcAByAGUAIAAtACAAdwBlAGEAbgBlAGQAIABjAGEAbAB2AGUAcwBcAG4ALQAtAC0ALQAtAC0ALQAtAC0ALQAtAC0ALQAtAC0ALQAtAC0ALQAtAC0ALQAtAC0ALQAtAC0ALQAtAC0ALQAtAC0ALQAtAC0ALQAtAFwAbgAqAC8AXABuAFwAbgBTAG8AdQByAGMAZQBEAGEAdABhAF8ARABhAGkAcgB5AF8AUAByAGUAVwBlAGEAbgBlAGQAQwBhAGwAdgBlAHMAXwBUAGkAdABsAGUAXABuACAAIAA9AEwAQQBNAEIARABBACgAXAAiAFQAYQBiAGwAZQAgAEEALgAxAC4AMwAuADUAOgAgAEQAYQBpAHIAeQAgAGMAYQB0AHQAbABlACAALQAgAEQAYQB0AGEAIABmAG8AcgAgAHAAcgBlACAALQAgAHcAZQBhAG4AZQBkACAAYwBhAGwAdgBlAHMAXAAiACkAOwBcAG4AXABuAFMAbwB1AHIAYwBlAEQAYQB0AGEAXwBEAGEAaQByAHkAXwBQAHIAZQBXAGUAYQBuAGUAZABDAGEAbAB2AGUAcwBfAFYAYQByAGkAYQBiAGwAZQBcAG4AIAAgAD0ATABBAE0AQgBEAEEAKABcACIAVgBTAGoAPQAzACwANQA7ACAATgBQAFcAagA9ADMALAA1AFwAIgApADsAXABuAFwAbgBTAG8AdQByAGMAZQBEAGEAdABhAF8ARABhAGkAcgB5AF8AUAByAGUAVwBlAGEAbgBlAGQAQwBhAGwAdgBlAHMAXwBVAG4AaQB0AFwAbgAgACAAPQBMAEEATQBCAEQAQQAoAFwAIgBrAGcALwBkAGEAeQBcACIAKQA7AFwAbgBcAG4AUwBvAHUAcgBjAGUARABhAHQAYQBfAEQAYQBpAHIAeQBfAFAAcgBlAFcAZQBhAG4AZQBkAEMAYQBsAHYAZQBzAF8AUwBvAHUAcgBjAGUAXABuACAAIAA9AEwAQQBNAEIARABBACgAXAAiAFYARQBFAFIARwAgADIAMAAyADYAOgAgAFQAYQBiAGwAZQAgAEEALgAxAC4AMwAuADUAXAAiACkAOwBcAG4AXABuAFMAbwB1AHIAYwBlAEQAYQB0AGEAXwBEAGEAaQByAHkAXwBQAHIAZQBXAGUAYQBuAGUAZABDAGEAbAB2AGUAcwBfAFYAYQByAGkAYQB0AGkAbwBuAFwAbgAgACAAPQBMAEEATQBCAEQAQQAoAFwAIgBWAEEAUgBJAEEAVABJAE8ATgAgAE8ARgAgAFMATwBVAFIAQwBFADoAIABBAGQAZABlAGQAIAAnAEEAbgBpAG0AYQBsACAAYwBsAGEAcwBzACAAagAn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DwAMQBcACIALAAgADAALgAwADEANwA2ACwAIAAwAC4AMgA2ADgANQAsACAAMAAuADAAMQAzADcAOwBcAG4AIAAgACAAIAAgACAAIAAgACAAIABcACIAQgB1AGwAbABzADwAMQBcACIALAAgADAALgAwADIAMAA0ACwAIAAwAC4AMwAwADAAMwAsACAAMAAuADAAMAA5AD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NAEMARgBcAG4AVABhAGIAbABlACAAQQAuADEALgAzAC4ANgA6ACAARABhAGkAcgB5ACAAYwBhAHQAdABsAGUAIAAtACAARABhAGkAcgB5ACAAYwBhAHQAdABsAGUAIAAtACAATQBDAEYAcwAgACgAZgByAGEAYwB0AGkAbwBuACkAIAAoAE0AQwBGAGoAbQApAFwAbgAtAC0ALQAtAC0ALQAtAC0ALQAtAC0ALQAtAC0ALQAtAC0ALQAtAC0ALQAtAC0ALQAtAC0ALQAtAC0ALQAtAC0ALQAtAC0ALQAtAC0AXABuACoALwBcAG4AXABuAFMAbwB1AHIAYwBlAEQAYQB0AGEAXwBEAGEAaQByAHkAXwBNAEMARgBfAFQAaQB0AGwAZQBcAG4AIAAgAD0ATABBAE0AQgBEAEEAKABcACIAVABhAGIAbABlACAAQQAuADEALgAzAC4ANgA6ACAARABhAGkAcgB5ACAAYwBhAHQAdABsAGUAIAAtACAARABhAGkAcgB5ACAAYwBhAHQAdABsAGUAIAAtACAATQBDAEYAcwAgACgAZgByAGEAYwB0AGkAbwBuACkAIAAoAE0AQwBGAGoAbQApAFwAIgApADsAXABuAFwAbgBTAG8AdQByAGMAZQBEAGEAdABhAF8ARABhAGkAcgB5AF8ATQBDAEYAXwBWAGEAcgBpAGEAYgBsAGUAXABuACAAIAA9AEwAQQBNAEIARABBACgAXAAiAE0AQwBGAGoAbQBcACIAKQA7AFwAbgBcAG4AUwBvAHUAcgBjAGUARABhAHQAYQBfAEQAYQBpAHIAeQBfAE0AQwBGAF8AVQBuAGkAdABcAG4AIAAgAD0ATABBAE0AQgBEAEEAKABcACIAZgByAGEAYwB0AGkAbwBuAFwAIgApADsAXABuAFwAbgBTAG8AdQByAGMAZQBEAGEAdABhAF8ARABhAGkAcgB5AF8ATQBDAEYAXwBTAG8AdQByAGMAZQBcAG4AIAAgAD0ATABBAE0AQgBEAEEAKABcACIAVgBFAEUAUgBHACAAMgAwADIANgA6ACAAVABhAGIAbABlACAAQQAuADEALgAzAC4ANgBcACIAKQA7AFwAbgBcAG4AUwBvAHUAcgBjAGUARABhAHQAYQBfAEQAYQBpAHIAeQBfAE0AQwBGAF8AVgBhAHIAaQBhAHQAaQBvAG4AXABuACAAIAA9AEwAQQBNAEIARABBACgAXAAiAFYAQQBSAEkAQQBUAEkATwBOACAATwBGACAAUwBPAFUAUgBDAEUAOgAgAEEAZABkAGUAZAAgACcATgBJAFIAIAByAGUAZgBlAHIAZQBuAGMAZQAnACAAYwBvAGwAdQBtAG4AIAB0AG8AIABhAGkAZAAgAGwAbwBvAGsAdQBwAFwAIgApADsAXABuAFwAbgBTAG8AdQByAGMAZQBEAGEAdABhAF8ARABhAGkAcgB5AF8ATQBDAEYAXwBEAGEAdABhAFwAbgAgACAAPQBMAEEATQBCAEQAQQAoAFwAbgAgACAAIAAgAE0AQQBLAEUAQQBSAFIAQQBZACgANwAsACAAMQAwACwAXABuACAAIAAgACAAIAAgAEwAQQBNAEIARABBACgAcgAsAGMALABcAG4AIAAgACAAIAAgACAAIAAgAEkATgBEAEUAWAAoAHsAXABuACAAIAAgACAAIAAgACAAIAAgACAAXAAiAE0ATQBTACAAbQBcACIALAAgAFwAIgBBAEMAVABcACIALAAgAFwAIgBOAFMAVwBcACIALAAgAFwAIgBOAFQAXAAiACwAIABcACIAUQBMAEQAXAAiACwAIABcACIAUwBBAFwAIgAsACAAXAAiAFQAQQBTAFwAIgAsACAAXAAiAFYASQBDAFwAIgAsACAAXAAiAFcAQQBcACIALAAgAFwAIgBOAEkAUgAgAHIAZQBmAGUAcgBlAG4AYwBlAFwAIgA7AFwAbgAgACAAIAAgACAAIAAgACAAIAAgAFwAIgBQAGEAcwB0AHUAcgBlAFwAIgAsACAAMAAuADAAMQAsACAAMAAuADAAMQAsACAAMAAuADAAMgAsACAAMAAuADAAMQAsACAAMAAuADAAMQAsACAAMAAuADAAMQAsACAAMAAuADAAMQAsACAAMAAuADAAMQAsACAAXAAiAFAAYQBzAHQAdQByAGUAIAByAGEAbgBnAGUAIABhAG4AZAAgAHAAYQBkAGQAbwBjAGsAXAAiADsAXABuACAAIAAgACAAIAAgACAAIAAgACAAXAAiAEEAbgBhAGUAcgBvAGIAaQBjACAAbABhAGcAbwBvAG4AXAAiACwAIAAwAC4ANwAyACwAIAAwAC4ANwA2ACwAIAAwAC4AOAAsACAAMAAuADcAOAAsACAAMAAuADcANAAsACAAMAAuADYAOQAsACAAMAAuADcAMwAsACAAMAAuADcANgAsACAAXAAiAEEAbgBhAGUAcgBvAGIAaQBjACAAbABhAGcAbwBvAG4AXAAiADsAXABuACAAIAAgACAAIAAgACAAIAAgACAAXAAiAEQAYQBpAGwAeQAgAHMAcAByAGUAYQBkACAALQAgAFMAdQBtAHAAIABhAG4AZAAgAGQAaQBzAHAAZQByAHMAYQBsACAAcwB5AHMAdABlAG0AcwBcACIALAAgADAALgAwADAANQAsACAAMAAuADAAMAA1ACwAIAAwAC4AMAAxACwAIAAwAC4AMAAwADUALAAgADAALgAwADAANQAsACAAMAAuADAAMAAxACwAIAAwAC4AMAAwADUALAAgADAALgAwADAANQAsACAAXAAiAFMAdQBtAHAAIABhAG4AZAAgAGQAaQBzAHAAZQByAHMAYQBsACAAcwB5AHMAdABlAG0AXAAiADsAXABuACAAIAAgACAAIAAgACAAIAAgACAAXAAiAEQAYQBpAGwAeQAgAHMAcAByAGUAYQBkACAALQAgAEQAcgBhAGkAbgBzACAAdABvACAAcABhAGQAZABvAGMAawBzACAAKABhACkAXAAiACwAIAAwAC4AMQA1ACwAIAAwAC4AMQA4ACwAIAAwAC4ANQAwACwAIAAwAC4AMgA0ACwAIAAwAC4AMQA3ACwAIAAwAC4AMQAzACwAIAAwAC4AMQA3ACwAIAAwAC4AMQA4ACwAIABcACIARAByAGEAaQBuAHMAIAB0AG8AIABwAGEAZABkAG8AYwBrAFwAIgA7AFwAbgAgACAAIAAgACAAIAAgACAAIAAgAFwAIgBTAG8AbABpAGQAIABTAHQAbwByAGEAZwBlAFwAIgAsACAAMAAuADAAMgAsACAAMAAuADAAMgAsACAAMAAuADAAMgAsACAAMAAuADAAMgAsACAAMAAuADAAMgAsACAAMAAuADAAMgAsACAAMAAuADAAMgAsACAAMAAuADAAMgAsACAAXAAiAFMAbwBsAGkAZAAgAHMAdABvAHIAYQBnAGUAXAAiADs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OAGkAdAByAG8AdQBzAE8AeABpAGQAZQBFAEYAcwBBAG4AZABGAHIAYQBjAEcAQQBTAE0AXABuAFQAYQBiAGwAZQAgAEEALgAxAC4AMwAuADcAOgAgAEQAYQBpAHIAeQAgAGMAYQB0AHQAbABlACAALQAgAE4AaQB0AHIAbwB1AHMAIABvAHgAaQBkAGUAIABFAEYAcwAgAGEAbgBkACAAZgByAGEAYwB0AGkAbwBuACAAbwBmACAATgAgAHYAbwBsAGEAdABpAGwAaQBzAGUAZAAgAGIAeQAgAE0ATQBTAFwAbgAtAC0ALQAtAC0ALQAtAC0ALQAtAC0ALQAtAC0ALQAtAC0ALQAtAC0ALQAtAC0ALQAtAC0ALQAtAC0ALQAtAC0ALQAtAC0ALQAtAC0AXABuACoALwBcAG4AXABuAFMAbwB1AHIAYwBlAEQAYQB0AGEAXwBEAGEAaQByAHkAXwBOAGkAdAByAG8AdQBzAE8AeABpAGQAZQBFAEYAcwBBAG4AZABGAHIAYQBjAEcAQQBTAE0AXwBUAGkAdABsAGUAXABuACAAIAA9AEwAQQBNAEIARABBACgAXAAiAFQAYQBiAGwAZQAgAEEALgAxAC4AMwAuADcAOgAgAEQAYQBpAHIAeQAgAGMAYQB0AHQAbABlACAALQAgAE4AaQB0AHIAbwB1AHMAIABvAHgAaQBkAGUAIABFAEYAcwAgAGEAbgBkACAAZgByAGEAYwB0AGkAbwBuACAAbwBmACAATgAgAHYAbwBsAGEAdABpAGwAaQBzAGUAZAAgAGIAeQAgAE0ATQBTAFwAIgApADsAXABuAFwAbgBTAG8AdQByAGMAZQBEAGEAdABhAF8ARABhAGkAcgB5AF8ATgBpAHQAcgBvAHUAcwBPAHgAaQBkAGUARQBGAHMAQQBuAGQARgByAGEAYwBHAEEAUwBNAF8AVgBhAHIAaQBhAGIAbABlAFwAbgAgACAAPQBMAEEATQBCAEQAQQAoAFwAIgBFAEYAbQA7ACAARgByAGEAYwBHAEEAUwBNAG0AXAAiACkAOwBcAG4AXABuAFMAbwB1AHIAYwBlAEQAYQB0AGEAXwBEAGEAaQByAHkAXwBOAGkAdAByAG8AdQBzAE8AeABpAGQAZQBFAEYAcwBBAG4AZABGAHIAYQBjAEcAQQBTAE0AXwBVAG4AaQB0AFwAbgAgACAAPQBMAEEATQBCAEQAQQAoAFwAIgBrAGcAIABOADIATwAtAE4ALwBrAGcAIABOACAAZQB4AGMAcgBlAHQAZQBkAFwAIgApADsAXABuAFwAbgBTAG8AdQByAGMAZQBEAGEAdABhAF8ARABhAGkAcgB5AF8ATgBpAHQAcgBvAHUAcwBPAHgAaQBkAGUARQBGAHMAQQBuAGQARgByAGEAYwBHAEEAUwBNAF8AUwBvAHUAcgBjAGUAXABuACAAIAA9AEwAQQBNAEIARABBACgAXAAiAFYARQBFAFIARwAgADIAMAAyADYAOgAgAFQAYQBiAGwAZQAgAEEALgAxAC4AMwAuADcAXAAiACkAOwBcAG4AXABuAFMAbwB1AHIAYwBlAEQAYQB0AGEAXwBEAGEAaQByAHkAXwBOAGkAdAByAG8AdQBzAE8AeABpAGQAZQBFAEYAcwBBAG4AZABGAHIAYQBjAEcAQQBTAE0AXwBWAGEAcgBpAGEAdABpAG8AbgBcAG4AIAAgAD0ATABBAE0AQgBEAEEAKABcACIAVgBBAFIASQBBAFQASQBPAE4AIABPAEYAIABTAE8AVQBSAEMARQA6ACAAQQBkAGQAZQBkACAAJwBOAEkAUgAgAHIAZQBmAGUAcgBlAG4AYwBlAC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PAAgADEAIAB5AGUAYQByAFwAIgAsACAAMAAuADAAMQA3ADYAOwBcAG4AIAAgACAAIAAgACAAIAAgACAAIABcACIAQgB1AGwAbABzACAAPAAgADEAIAB5AGUAYQByAFwAIgAsACAAMAAuADAAMgAwADQ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JAG4AYwByAGUAYQBzAGUAZABNAGUAdABhAGIAbwBsAGkAYwBSAGEAdABlAE0AaQBsAGsAXABuAFQAYQBiAGwAZQAgAEEALgAxAC4AMwAuADkAOgAgAEQAYQBpAHIAeQAgAGMAYQB0AHQAbABlACAALQAgAEkAbgBjAHIAZQBhAHMAZQBkACAAbQBlAHQAYQBiAG8AbABpAGMAIAByAGEAdABlACAAdwBoAGUAbgAgAHAAcgBvAGQAdQBjAGkAbgBnACAAbQBpAGwAawAgACgAawBnACAARABNAC8AaABlAGEAZAAvAGQAYQB5ACkAIAAoAE0AUgBqACkAXABuAC0ALQAtAC0ALQAtAC0ALQAtAC0ALQAtAC0ALQAtAC0ALQAtAC0ALQAtAC0ALQAtAC0ALQAtAC0ALQAtAC0ALQAtAC0ALQAtAC0ALQBcAG4AKgAvAFwAbgBcAG4AUwBvAHUAcgBjAGUARABhAHQAYQBfAEQAYQBpAHIAeQBfAEkAbgBjAHIAZQBhAHMAZQBkAE0AZQB0AGEAYgBvAGwAaQBjAFIAYQB0AGUATQBpAGwAawBfAFQAaQB0AGwAZQBcAG4AIAAgAD0ATABBAE0AQgBEAEEAKABcACIAVABhAGIAbABlACAAQQAuADEALgAzAC4AOQA6ACAARABhAGkAcgB5ACAAYwBhAHQAdABsAGUAIAAtACAASQBuAGMAcgBlAGEAcwBlAGQAIABtAGUAdABhAGIAbwBsAGkAYwAgAHIAYQB0AGUAIAB3AGgAZQBuACAAcAByAG8AZAB1AGMAaQBuAGcAIABtAGkAbABrACAAKABNAFIAagApAFwAIgApADsAXABuAFwAbgBTAG8AdQByAGMAZQBEAGEAdABhAF8ARABhAGkAcgB5AF8ASQBuAGMAcgBlAGEAcwBlAGQATQBlAHQAYQBiAG8AbABpAGMAUgBhAHQAZQBNAGkAbABrAF8AVgBhAHIAaQBhAGIAbABlAFwAbgAgACAAPQBMAEEATQBCAEQAQQAoAFwAIgBNAFIAagBcACIAKQA7AFwAbgBcAG4AUwBvAHUAcgBjAGUARABhAHQAYQBfAEQAYQBpAHIAeQBfAEkAbgBjAHIAZQBhAHMAZQBkAE0AZQB0AGEAYgBvAGwAaQBjAFIAYQB0AGUATQBpAGwAawBfAFUAbgBpAHQAXABuACAAIAA9AEwAQQBNAEIARABBACgAXAAiAFwAIgApADsAXABuAFwAbgBTAG8AdQByAGMAZQBEAGEAdABhAF8ARABhAGkAcgB5AF8ASQBuAGMAcgBlAGEAcwBlAGQATQBlAHQAYQBiAG8AbABpAGMAUgBhAHQAZQBNAGkAbABrAF8AUwBvAHUAcgBjAGUAXABuACAAIAA9AEwAQQBNAEIARABBACgAXAAiAFYARQBFAFIARwAgADIAMAAyADYAOgAgAFQAYQBiAGwAZQAgAEEALgAxAC4AMwAuADkAXAAiACkAOwBcAG4AXABuAFMAbwB1AHIAYwBlAEQAYQB0AGEAXwBEAGEAaQByAHkAXwBJAG4AYwByAGUAYQBzAGUAZABNAGUAdABhAGIAbwBsAGkAYwBSAGEAdABlAE0AaQBsAGsAXwBWAGEAcgBpAGEAdABpAG8AbgBcAG4AIAAgAD0ATABBAE0AQgBEAEEAKABcACIAXAAiACkAOwBcAG4AXABuAFMAbwB1AHIAYwBlAEQAYQB0AGEAXwBEAGEAaQByAHkAXwBJAG4AYwByAGUAYQBzAGUAZABNAGUAdABhAGIAbwBsAGkAYwBSAGEAdABlAE0AaQBsAGs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SAGoAXAAiADsAXABuACAAIAAgACAAIAAgACAAIAAgACAAXAAiAE0AaQBsAGsAaQBuAGcAIABjAG8AdwBzACwAIABhAG4AZAAgAGgAbwB1AHMAZQAgAGMAbwB3AHMAXAAiACwAIAAxAC4AMQA7AFwAbgAgACAAIAAgACAAIAAgACAAIAAgAFwAIgBBAGwAbAAgAG8AdABoAGUAcgAgAGMAYQB0AHQAbABlACAAYwBsAGEAcwBzAGUAcwBcACIALAAgADEALg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gByAGEAYwB0AGkAbwBuAFYAbwBsAGEAdABpAGwAZQBTAG8AbABpAGQAcwBWAG8AaQBkAGUAZABNAE0AUwBcAG4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BuAC0ALQAtAC0ALQAtAC0ALQAtAC0ALQAtAC0ALQAtAC0ALQAtAC0ALQAtAC0ALQAtAC0ALQAtAC0ALQAtAC0ALQAtAC0ALQAtAC0ALQBcAG4AKgAvAFwAbgBcAG4AUwBvAHUAcgBjAGUARABhAHQAYQBfAEQAYQBpAHIAeQBfAEYAcgBhAGMAdABpAG8AbgBWAG8AbABhAHQAaQBsAGUAUwBvAGwAaQBkAHMAVgBvAGkAZABlAGQATQBNAFMAXwBUAGkAdABsAGUAXABuACAAIAA9AEwAQQBNAEIARABBACgAXAAi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IgApADsAXABuAFwAbgBTAG8AdQByAGMAZQBEAGEAdABhAF8ARABhAGkAcgB5AF8ARgByAGEAYwB0AGkAbwBuAFYAbwBsAGEAdABpAGwAZQBTAG8AbABpAGQAcwBWAG8AaQBkAGUAZABNAE0AUwBfAFYAYQByAGkAYQBiAGwAZQBcAG4AIAAgAD0ATABBAE0AQgBEAEEAKABcACIATQBNAFMAagBtAFwAIgApADsAXABuAFwAbgBTAG8AdQByAGMAZQBEAGEAdABhAF8ARABhAGkAcgB5AF8ARgByAGEAYwB0AGkAbwBuAFYAbwBsAGEAdABpAGwAZQBTAG8AbABpAGQAcwBWAG8AaQBkAGUAZABNAE0AUwBfAFUAbgBpAHQAXABuACAAIAA9AEwAQQBNAEIARABBACgAXAAiAGYAcgBhAGMAdABpAG8AbgBcACIAKQA7AFwAbgBcAG4AUwBvAHUAcgBjAGUARABhAHQAYQBfAEQAYQBpAHIAeQBfAEYAcgBhAGMAdABpAG8AbgBWAG8AbABhAHQAaQBsAGUAUwBvAGwAaQBkAHMAVgBvAGkAZABlAGQATQBNAFMAXwBTAG8AdQByAGMAZQBcAG4AIAAgAD0ATABBAE0AQgBEAEEAKABcACIAVgBFAEUAUgBHACAAMgAwADIANgA6ACAAVABhAGIAbABlACAAQQAuADEALgAzAC4AMQAwAFwAIgApADsAXABuAFwAbgBTAG8AdQByAGMAZQBEAGEAdABhAF8ARABhAGkAcgB5AF8ARgByAGEAYwB0AGkAbwBuAFYAbwBsAGEAdABpAGwAZQBTAG8AbABpAGQAcwBWAG8AaQBkAGUAZABNAE0AUwBfAFYAYQByAGkAYQB0AGkAbwBuAFwAbgAgACAAPQBMAEEATQBCAEQAQQAoAFwAIgBWAEEAUgBJAEEAVABJAE8ATgAgAE8ARgAgAFMATwBVAFIAQwBFADoAIABFAHgAYwBsAHUAZABlAGQAIAAnAEEAbgBuAHUAYQBsACAAZgByAGEAYwB0AGkAbwBuACAAbwBmACAAdABpAG0AZQAgAHMAcABlAG4AdAAgAHAAZQByACAAYQByAGUAYQAnACAAcgBvAHcAIABhAHMAIAB0AGgAaQBzACAAaQBuAGYAbwByAG0AYQB0AGkAbwBuACAAaQBzACAAaQBuACAAdABoAGUAIAB0AGEAYgBsAGUAIAB0AGkAdABsAGUALgBcACIAKQA7AFwAbgBcAG4AUwBvAHUAcgBjAGUARABhAHQAYQBfAEQAYQBpAHIAeQBfAEYAcgBhAGMAdABpAG8AbgBWAG8AbABhAHQAaQBsAGUAUwBvAGwAaQBkAHMAVgBvAGkAZABlAGQATQBNAFMAXwBEAGEAdABhAFwAbgAgACAAPQBMAEEATQBCAEQAQQAoAFwAbgAgACAAIAAgAE0AQQBLAEUAQQBSAFIAQQBZACgANQAsACAANAAsAFwAbgAgACAAIAAgACAAIABMAEEATQBCAEQAQQAoAHIALABjACwAXABuACAAIAAgACAAIAAgACAAIABJAE4ARABFAFgAKAB7AFwAbgAgACAAIAAgACAAIAAgACAAIAAgAFwAIgBBAHIAZQBhAFwAIgAsACAAXAAiAFAAYQBzAHQAdQByAGUAXAAiACwAIABcACIATQBpAGwAawBpAG4AZwAgAFMAaABlAGQAXAAiACwAIABcACIARgBlAGUAZABwAGEAZABcACIAOwBcAG4AIAAgACAAIAAgACAAIAAgACAAIABcACIAUwB5AHMAdABlAG0AIAAxADoAIABHAHIAYQB6AGUAZAAgAE8AbgBsAHkAXAAiACwAIAAwAC4AOAA5ACwAIAAwAC4AMQAxACwAIAAwADsAXABuACAAIAAgACAAIAAgACAAIAAgACAAXAAiAFMAeQBzAHQAZQBtACAAMgA6ACAATwBuACAAZgBlAGUAZABwAGEAZAAgAGYAbwByACAAPAAxADAAIABoAHIALwBkAGEAeQAgAGYAbwByACAAPA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CcATgBJAFIAIAByAGUAZgBlAHIAZQBuAGMAZQAnACAAYwBvAGwAdQBtAG4AIAB0AG8AIABhAGkAZAAgAGwAbwBvAGsAdQBwAFwAIgApADsAXABuAFwAbgBTAG8AdQByAGMAZQBEAGEAdABhAF8ARABhAGkAcgB5AF8ARQBGAE4AaQB0AHIAbwB1AHMATwB4AGkAZABlAFAAZQByAE0ATQBTAF8ARABhAHQAYQBcAG4AIAAgAD0ATABBAE0AQgBEAEEAKABcAG4AIAAgACAAIABNAEEASwBFAEEAUgBSAEEAWQAoADYALAAgADMALABcAG4AIAAgACAAIAAgACAATABBAE0AQgBEAEEAKAByACwAYwAsAFwAbgAgACAAIAAgACAAIAAgACAASQBOAEQARQBYACgAewBcAG4AIAAgACAAIAAgACAAIAAgACAAIABcACIATQBNAFMAIABtAFwAIgAsACAAXAAiAEUARgBtAFwAIgAsACAAXAAiAE4ASQBSACAAcgBlAGYAZQByAGUAbgBjAGUAXAAiADsAXABuACAAIAAgACAAIAAgACAAIAAgACAAXAAiAG0APQAxADQAIABQAGEAcwB0AHUAcgBlAFwAIgAsACAAMAAsACAAXAAiAFAAYQBzAHQAdQByAGUAIAByAGEAbgBnAGUAIABhAG4AZAAgAHAAYQBkAGQAbwBjAGsAXAAiADsAXABuACAAIAAgACAAIAAgACAAIAAgACAAXAAiAG0APQAxACAAQQBuAGUAcgBvAGIAaQBjACAATABhAGcAbwBvAG4AXAAiACwAIAAwACwAIABcACIAQQBuAGEAZQByAG8AYgBpAGMAIABsAGEAZwBvAG8AbgBcACIAOwBcAG4AIAAgACAAIAAgACAAIAAgACAAIABcACIAbQA9ADIAIABEAGEAaQBsAHkAIABTAHAAcgBlAGEAZAA6ACAAUwB1AG0AcAAgAGEAbgBkACAAZABpAHMAcABlAHIAcwBhAGwAXAAiACwAIAAwACwAIABcACIAUwB1AG0AcAAgAGEAbgBkACAAZABpAHMAcABlAHIAcwBhAGwAIABzAHkAcwB0AGUAbQBcACIAOwBcAG4AIAAgACAAIAAgACAAIAAgACAAIABcACIAbQA9ADMAIABEAGEAaQBsAHkAIABTAHAAcgBlAGEAZAA6ACAARAByAGEAaQBuAHMAIAB0AG8AIABwAGEAZABkAG8AYwBrAHMAXAAiACwAIAAwACwAIABcACIARAByAGEAaQBuAHMAIAB0AG8AIABwAGEAZABkAG8AYwBrAFwAIgA7AFwAbgAgACAAIAAgACAAIAAgACAAIAAgAFwAIgBtAD0ANAAgAFMAbwBsAGkAZAAgAFMAdABvAHIAYQBnAGUAXAAiACwAIAAwAC4AMAAwADUALAAgAFwAIgBTAG8AbABpAGQAIABzAHQAbwByAGEAZwBl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ABhAGkAcgB5AF8ARAB1AHIAYQB0AGkAbwBuAE8AZgBTAHQAYQB5AFwAbgBEAHUAcgBhAHQAaQBvAG4AIABvAGYAIABzAHQAYQB5ACAAZgBvAHIAIABlAGEAYwBoACAAZABhAGkAcgB5ACAAYwBhAHQAdABsAGUAIABpAG4AcAB1AHQAIABjAGwAYQBzAHMAXABuAC0ALQAtAC0ALQAtAC0ALQAtAC0ALQAtAC0ALQAtAC0ALQAtAC0ALQAtAC0ALQAtAC0ALQAtAC0ALQAtAC0ALQAtAC0ALQAtAC0ALQBcAG4AKgAvAFwAbgBcAG4AUwBvAHUAcgBjAGUARABhAHQAYQBfAEQAYQBpAHIAeQBfAEQAdQByAGEAdABpAG8AbgBPAGYAUwB0AGEAeQBfAFQAaQB0AGwAZQBcAG4AIAAgAD0ATABBAE0AQgBEAEEAKABcACIARAB1AHIAYQB0AGkAbwBuACAAbwBmACAAcwB0AGEAeQAgAGYAbwByACAAZQBhAGMAaAAgAGQAYQBpAHIAeQAgAGMAYQB0AHQAbABlACAAaQBuAHAAdQB0ACAAYwBsAGEAcwBzAFwAIgApADsAXABuAFwAbgBTAG8AdQByAGMAZQBEAGEAdABhAF8ARABhAGkAcgB5AF8ARAB1AHIAYQB0AGkAbwBuAE8AZgBTAHQAYQB5AF8AVgBhAHIAaQBhAGIAbABlAFwAbgAgACAAPQBMAEEATQBCAEQAQQAoAFwAIgBEAFwAIgApADsAXABuAFwAbgBTAG8AdQByAGMAZQBEAGEAdABhAF8ARABhAGkAcgB5AF8ARAB1AHIAYQB0AGkAbwBuAE8AZgBTAHQAYQB5AF8AVQBuAGkAdABcAG4AIAAgAD0ATABBAE0AQgBEAEEAKABcACIAZABhAHkAcwBcACIAKQA7AFwAbgBcAG4AUwBvAHUAcgBjAGUARABhAHQAYQBfAEQAYQBpAHIAeQBfAEQAdQByAGEAdABpAG8AbgBPAGYAUwB0AGEAeQBfAFMAbwB1AHIAYwBlAFwAbgAgACAAPQBMAEEATQBCAEQAQQAoAFwAIgBWAEUARQBSAEcAIAAyADAAMgA2ADoAIAA0AC4AMwAuADIALgAyAFwAdABEAEEAVABBACAAKABNAEUAVABIAE8ARAAgADEAIABBAE4ARAAgADIAIABPAFAAVABJAE8ATgBTACkAXAAiACkAOwBcAG4AXABuAFMAbwB1AHIAYwBlAEQAYQB0AGEAXwBEAGEAaQByAHkAXwBEAHUAcgBhAHQAaQBvAG4ATwBmAFMAdABhAHkAXwBWAGEAcgBpAGEAdABpAG8AbgBcAG4AIAAgAD0ATABBAE0AQgBEAEEAKABcACIAVgBBAFIASQBBAFQASQBPAE4AIABPAEYAIABTAE8AVQBSAEMARQA6ACAAQwBvAG4AdgBlAHIAdABlAGQAIABmAHIAZQBlACAAdABlAHgAdAAgAGkAbgAgAGQAbwBjAHUAbQBlAG4AdAAgAHQAbwAgAHQAYQBiAGwAZQAsACAAbQBhAHQAYwBoAGkAbgBnACAAbABpAHYAZQBzAHQAbwBjAGsAIABjAGwAYQBzAHMAIABuAGEAbQBlAHMALgBcACIAKQA7AFwAbgBcAG4AUwBvAHUAcgBjAGUARABhAHQAYQBfAEQAYQBpAHIAeQBfAEQAdQByAGEAdABpAG8AbgBPAGYAUwB0AGEAeQBfAEQAYQB0AGEAXABuACAAIAA9AEwAQQBNAEIARABBACgAXABuACAAIAAgACAATQBBAEsARQBBAFIAUgBBAFkAKAA2ACwAIAAzACwAXABuACAAIAAgACAAIAAgAEwAQQBNAEIARABBACgAcgAsAGMALABcAG4AIAAgACAAIAAgACAAIAAgAEkATgBEAEUAWAAoAHsAXABuACAAIAAgACAAIAAgACAAIAAgACAAXAAiAEEAbgBpAG0AYQBsACAAYwBsAGEAcwBzACAAagBcACIALAAgAFwAIgBEAHUAcgBhAHQAaQBvAG4AIAAoAHcAZQBhAG4AZQBkACkAXAAiACwAIABcACIARAB1AHIAYQB0AGkAbwBuACAAKABwAHIAZQAtAHcAZQBhAG4AZQBkACkAXAAiADsAXABuACAAIAAgACAAIAAgACAAIAAgACAAXAAiAE0AaQBsAGsAaQBuAGcAIABjAG8AdwBzAFwAIgAsACAAMwA2ADUALAAgADAAOwBcAG4AIAAgACAAIAAgACAAIAAgACAAIABcACIASABlAGkAZgBlAHIAcwAgAD4AIAAxACAAeQBlAGEAcgBcACIALAAgADMANgA1ACwAIAAwADsAXABuACAAIAAgACAAIAAgACAAIAAgACAAXAAiAEgAZQBpAGYAZQByAHMAIAA8ACAAMQAgAHkAZQBhAHIAXAAiACwAIAAyADgAMQAsACAAOAA0ADsAXABuACAAIAAgACAAIAAgACAAIAAgACAAXAAiAEIAdQBsAGwAcwAgAD4AIAAxACAAeQBlAGEAcgBcACIALAAgADMANgA1ACwAIAAwADsAXABuACAAIAAgACAAIAAgACAAIAAgACAAXAAiAEIAdQBsAGwAcwAgADw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GAHIAYQBjAHQAaQBvAG4AIABvAGYAIABOACAAdABoAGEAdAAgAGkAcwAgAGwAbwBzAHQAIAB0AGgAcgBvAHUAZwBoACAAbABlAGEAYwBoAGkAbgBnACAAYQBuAGQAIAByAHUAbgBvAGYAZgAgACgAZABpAG0AZQBuAHMAaQBvAG4AbABlAHMAcw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8AVABpAHQAbABlAFwAbgAgACAAPQBMAEEATQBCAEQAQQAoAFwAIgBGAHIAYQBjAHQAaQBvAG4AIABvAGYAIABOACAAdABoAGEAdAAgAGkAcwAgAGwAbwBzAHQAIAB0AGgAcgBvAHUAZwBoACAAbABlAGEAYwBoAGkAbgBnACAAYQBuAGQAIAByAHUAbgBvAGYAZgBcACIAKQA7AFwAbgBcAG4AUwBvAHUAcgBjAGUARABhAHQAYQBfAEQAYQBpAHIAeQBfAEYAcgBhAGMAdABpAG8AbgBPAGYATgBpAHQAcgBvAGcAZQBuAEwAbwBzAHQAVABoAHIAbwB1AGcAaABMAGUAYQBjAGgAaQBuAGcAQQBuAGQAUgB1AG4AbwBmAGY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8AVQBuAGkAdABcAG4AIAAgAD0ATABBAE0AQgBEAEEAKABcACIARABpAG0AZQBuAHMAaQBvAG4AbABlAHMAcw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wADI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E0ATQBTAF8ARABhAGkAcgB5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QAgAE0AZQB0AGgAbwBkACAAMQAgAC0AIABNAGEAbgB1AHIAZQAgAEEAdABtAG8AcwBwAGgAZQByAGkAYwAgAEQAZQBwAG8AcwBpAHQAaQBvAG4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NAE0AUwAsAGEAZAB9AD0ATQBOAF8AewBBAFQATQBPAFMAfQBcAFwAdABpAG0AZQBzACAARQBGAF8AewBOADIATwB9AFwAXAB0AGkAbQBlAHMAIABDAF8AewBOADIATwB9AFwAXAB0AGkAbQBlAHMAIAAxADAAXgB7AC0AMwB9AFwAbgBNAE4AXwBBAFQATQBPAFMAIAA9ACAAbQBhAHMAcwAgAG8AZgAgAE4AIAB2AG8AbABhAHQAaQBsAGkAcwBlAGQAIABmAHIAbwBtACAATQBNAFM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1AF8AXwAxAF8AQQBuAG4AdQBhAGwAQQB0AG0AbwBzAHAAaABlAHIAaQBjAEQAZQBwAG8AcwBpAHQAaQBvAG4ARQBtAGkAcwBzAGkAbwBuAHMARgByAG8AbQBNAE0AUwBcAG4AIAAgAD0ATABBAE0AQgBEAEEAKABcAG4AIAAgACAAIABNAE4AXwBBAFQATQBPAFMALAAgAEUARgBfAE4AMgBPACwAIABDAF8ATgAyAE8ALABcAG4AIAAgACAAIABNAE4AXwBBAFQATQBPAFMAIAAqACAARQBGAF8ATgAyAE8AIAAqACAAQwBfAE4AMgBPACAAKgAgADEAMAAgAF4AIAAtADMAXABuACAAIAApADsAXABuAFwAbgBWAEUARQBSAEcAXwA0AF8AMw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zAF8AMQBfADUAXwBfADEAXwBBAG4AbgB1AGEAbABBAHQAbQBvAHMAcABoAGUAcgBpAGMARABlAHAAbwBzAGkAdABpAG8AbgBFAG0AaQBzAHMAaQBvAG4AcwBGAHIAbwBtAE0ATQBTAF8AVgBhAHIAaQBhAGIAbABlAFwAbgAgACAAPQBMAEEATQBCAEQAQQAoAFwAIgBFAF8ATgAyAE8ATQBNAFMAYQBkAFwAIgApADsAXABuAFwAbgBWAEUARQBSAEcAXwA0AF8AMwBfADEAXwA1AF8AXwAxAF8AQQBuAG4AdQBhAGwAQQB0AG0AbwBzAHAAaABlAHIAaQBjAEQAZQBwAG8AcwBpAHQAaQBvAG4ARQBtAGkAcwBzAGkAbwBuAHMARgByAG8AbQBNAE0AUwBfAFUAbgBpAHQAXABuACAAIAA9AEwAQQBNAEIARABBACgAXAAiAHQAIABOADIATwBcACIAKQA7AFwAbgBcAG4AVgBFAEUAUgBHAF8ANABfADMAXwAxAF8ANQBfAF8AMQBfAEEAbgBuAHUAYQBsAEEAdABtAG8AcwBwAGgAZQByAGkAYwBEAGUAcABvAHMAaQB0AGkAbwBuAEUAbQBpAHMAcwBpAG8AbgBzAEYAcgBvAG0ATQBNAFMAXwBTAG8AdQByAGMAZQBcAG4AIAAgAD0ATABBAE0AQgBEAEEAKABcACIAVgBFAEUAUgBHACAAMgAwADIANgA6ACAANAAuADMALgAxAC4ANQAsACAARQBxAHUAYQB0AGkAbwBuACAAKAAxACkAXAAiACkAOwBcAG4AXABuAFYARQBFAFIARwBfADQAXwAzAF8AMQBfADUAXwBfADEAXwBBAG4AbgB1AGEAbABBAHQAbQBvAHMAcABoAGUAcgBpAGMARABlAHAAbwBzAGkAdABpAG8AbgBFAG0AaQBzAHMAaQBvAG4AcwBGAHIAbwBtAE0ATQBTAF8ATgBJAFIAUgBlAGYAZQByAGUAbgBjAGUAXABuACAAIAA9AEwAQQBNAEIARABBACgAXAAiAFwAIgApADsAXABuAFwAbgBWAEUARQBSAEcAXwA0AF8AMwBfADEAXwA1AF8AXwAxAF8AQQBuAG4AdQBhAGwAQQB0AG0AbwBzAHAAaABlAHIAaQBjAEQAZQBwAG8AcwBpAHQAaQBvAG4ARQBtAGkAcwBzAGkAbwBuAHMARgByAG8AbQBNAE0AUwBfAEwAYQB0AGUAeABFAHEAdQBhAHQAaQBvAG4AXABuACAAIAA9AEwAQQBNAEIARABBACgAXAAiAEUAXwB7AE4AMgBPACwATQBNAFMALABhAGQAfQA9AE0ATgBfAHsAQQBUAE0ATwBTAH0AXABcAHQAaQBtAGUAcwAgAEUARgBfAHsATgAyAE8AfQBcAFwAdABpAG0AZQBzACAAQwBfAHsATgAyAE8AfQBcAFwAdABpAG0AZQBzACAAMQAwAF4AewAtADMAfQBcACIAKQA7AFwAbgBcAG4AVgBFAEUAUgBHAF8ANABfADM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OAF8AQQBUAE0ATwBTAFwAIgAsACAAXAAiAG0AYQBzAHMAIABvAGYAIABOACAAdgBvAGwAYQB0AGkAbABpAHMAZQBkACAAZgByAG8AbQAgAE0ATQBTAFwAIgAsACAAXAAiAGsAZwAgAE4AXAAiACwAIABcACIAQwBhAGwAYwB1AGwAYQB0AGUAZAAgAGYAcgBvAG0AIAA0AC4AMw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NQBfAF8AMgBfAFQAbwB0AGEAbABOAGkAdAByAG8AZwBlAG4AVgBvAGwAYQB0AGkAbABpAHMAZQBkAEYAcgBvAG0ATQBNAFMAXABuAFQAbwB0AGEAbAAgAG4AaQB0AHIAbwBnAGUAbgAgAHYAbwBsAGEAdABpAGwAaQBzAGUAZAAgAGYAcgBvAG0AIABNAE0AUwBcAG4ATQBOAF8AQQBUAE0ATwBTAFwAbgBrAGcAIABOAFwAbgBNAE4AXwB7AEEAVABNAE8AUwB9AD0ATQBOAF8AewBqAG0AfQBcAFwAdABpAG0AZQBzACAARgByAGEAYwBHAEEAUwBNAF8AbQBcAG4ATQBOAF8AagBtACAAPQAgAHQAbwB0AGEAbAAgAG4AaQB0AHIAbwBnAGUAbgAgAGkAbgAgAGUAYQBjAGgAIABNAE0AUwAgAGYAbwByACAAZABhAGkAcgB5ACAAYwBhAHQAdABsAGUAIABjAGwAYQBzAHMAZQBzACAAKABrAGcAIABOACkAXABuAEYAcgBhAGMARwBBAFMATQBfAG0AIAA9ACAAZgByAGEAYwB0AGkAbwBuACAAbwBmACAATgAgAHYAbwBsAGEAdABpAGwAaQBzAGUAZAAgAGYAcgBvAG0AIABNAE0AUwAgACgAZgByAGEAYwB0AGkAbwBuACkAXABuAC0ALQAtAC0ALQAtAC0ALQAtAC0ALQAtAC0ALQAtAC0ALQAtAC0ALQAtAC0ALQAtAC0ALQAtAC0ALQAtAC0ALQAtAC0ALQAtAC0ALQBcAG4AKgAvAFwAbgBcAG4AVgBFAEUAUgBHAF8ANABfADMAXwAxAF8ANQBfAF8AMgBfAFQAbwB0AGEAbABOAGkAdAByAG8AZwBlAG4AVgBvAGwAYQB0AGkAbABpAHMAZQBkAEYAcgBvAG0ATQBNAFMAXABuACAAIAA9AEwAQQBNAEIARABBACgAXABuACAAIAAgACAATQBOAF8AagBtACwAIABGAHIAYQBjAEcAQQBTAE0AXwBtACwAXABuACAAIAAgACAATQBOAF8AagBtACAAKgAgAEYAcgBhAGMARwBBAFMATQBfAG0AXABuACAAIAApADsAXABuAFwAbgBWAEUARQBSAEcAXwA0AF8AMwBfADEAXwA1AF8AXwAyAF8AVABvAHQAYQBsAE4AaQB0AHIAbwBnAGUAbgBWAG8AbABhAHQAaQBsAGkAcwBlAGQARgByAG8AbQBNAE0AUwBfAFQAaQB0AGwAZQBcAG4AIAAgAD0ATABBAE0AQgBEAEEAKABcACIAVABvAHQAYQBsACAAbgBpAHQAcgBvAGcAZQBuACAAdgBvAGwAYQB0AGkAbABpAHMAZQBkACAAZgByAG8AbQAgAE0ATQBTAFwAIgApADsAXABuAFwAbgBWAEUARQBSAEcAXwA0AF8AMwBfADEAXwA1AF8AXwAyAF8AVABvAHQAYQBsAE4AaQB0AHIAbwBnAGUAbgBWAG8AbABhAHQAaQBsAGkAcwBlAGQARgByAG8AbQBNAE0AUwBfAFYAYQByAGkAYQBiAGwAZQBcAG4AIAAgAD0ATABBAE0AQgBEAEEAKABcACIATQBOAF8AQQBUAE0ATwBTAFwAIgApADsAXABuAFwAbgBWAEUARQBSAEcAXwA0AF8AMwBfADEAXwA1AF8AXwAyAF8AVABvAHQAYQBsAE4AaQB0AHIAbwBnAGUAbgBWAG8AbABhAHQAaQBsAGkAcwBlAGQARgByAG8AbQBNAE0AUwBfAFUAbgBpAHQAXABuACAAIAA9AEwAQQBNAEIARABBACgAXAAiAGsAZwAgAE4AXAAiACkAOwBcAG4AXABuAFYARQBFAFIARwBfADQAXwAzAF8AMQBfADUAXwBfADIAXwBUAG8AdABhAGwATgBpAHQAcgBvAGcAZQBuAFYAbwBsAGEAdABpAGwAaQBzAGUAZABGAHIAbwBtAE0ATQBTAF8AUwBvAHUAcgBjAGUAXABuACAAIAA9AEwAQQBNAEIARABBACgAXAAiAFYARQBFAFIARwAgADIAMAAyADYAOgAgADQALgAzAC4AMQAuADUALAAgAEUAcQB1AGEAdABpAG8AbgAgACgAMgApAFwAIgApADsAXABuAFwAbgBWAEUARQBSAEcAXwA0AF8AMwBfADEAXwA1AF8AXwAyAF8AVABvAHQAYQBsAE4AaQB0AHIAbwBnAGUAbgBWAG8AbABhAHQAaQBsAGkAcwBlAGQARgByAG8AbQBNAE0AUwBfAE4ASQBSAFIAZQBmAGUAcgBlAG4AYwBlAFwAbgAgACAAPQBMAEEATQBCAEQAQQAoAFwAIgBcACIAKQA7AFwAbgBcAG4AVgBFAEUAUgBHAF8ANABfADMAXwAxAF8ANQBfAF8AMgBfAFQAbwB0AGEAbABOAGkAdAByAG8AZwBlAG4AVgBvAGwAYQB0AGkAbABpAHMAZQBkAEYAcgBvAG0ATQBNAFMAXwBMAGEAdABlAHgARQBxAHUAYQB0AGkAbwBuAFwAbgAgACAAPQBMAEEATQBCAEQAQQAoAFwAIgBNAE4AXwB7AEEAVABNAE8AUwB9AD0AXABcAHMAdQBtAFwAXABuAG8AbABpAG0AaQB0AHMAXwB7AGoAfQBcAFwAcwB1AG0AXABcAG4AbwBsAGkAbQBpAHQAcwBfAHsAbQB9ACgATQBOAF8AewBqAG0AfQBcAFwAdABpAG0AZQBzACAARgByAGEAYwBHAEEAUwBNAF8AbQApAFwAIgApADsAXABuAFwAbgBWAEUARQBSAEcAXwA0AF8AMw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gByAGEAYwBHAEEAUwBNAF8AbQBcACIALAAgAFwAIgBmAHIAYQBjAHQAaQBvAG4AIABvAGYAIABOACAAdgBvAGwAYQB0AGkAbABpAHMAZQBkACAAZgByAG8AbQAgAE0ATQBTAFwAIgAsACAAXAAiAGYAcgBhAGMAdABpAG8AbgBcACIALAAgAFwAIgBDAG8AbgBzAHQAYQBuAHQAXAAiAFwAbgAgACAAIAAgACAAIAAgACAAfQAsACAAcgAsACAAYwApAFwAbgAgACAAIAAgACAAIAApAFwAbgAgACAAIAAgACkAXABuACAAIAApADsAXABuACIAfQAsAHsAIgBwAGEAdABoACIAOgAiAC8AcAByAG8AagBlAGMAdABzAC8ATQBNAFMAXwBEAGEAaQ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AAgAE0AZQB0AGgAbwBkACAAMQAgAC0AIABNAGEAbgB1AHIAZQAgAEEAcABwAGwAaQBlAGQAIABUAG8AIABTAG8AaQBsAHM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4AF8AXwAxAF8ATQBhAHMAcwBPAGYATgBpAHQAcgBvAGcAZQBuAEEAcABwAGwAaQBlAGQAVABvAFMAbwBpAGwAcwBTAGMAbwBwAGUAMQBcAG4ATQBhAHMAcwAgAG8AZgAgAG4AaQB0AHIAbwBnAGUAbgAgAGYAcgBvAG0AIABtAGEAbgB1AHIAZQAgAGEAcABwAGwAaQBlAGQAIAB0AG8AIABzAG8AaQBsAHMAIABmAG8AcgAgAHMAYwBvAHAAZQAgADEAIABlAG0AaQBzAHMAaQBvAG4AcwBcAG4ATQBOAFMAbwBpAGwAXwBzAGMAbwBwAGUAMQBcAG4AawBnACAATgBcAG4ATQBOAFMAbwBpAGwAXwB7AHMAYwBvAHAAZQAxAH0APQAoAE0ATgBfAHsAagBtAH0AXABcAHQAaQBtAGUAcwAgACgAMQAtAEUARgBfAG0ALQBGAHIAYQBjAEcAQQBTAE0AXwBtACkALQBNAE4ATABlAGEAYwBoAF8AagBtACkAXABcAHQAaQBtAGUAcwAgAFAARgBfAHMAYwBvAHAAZ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XwBzAGMAbwBwAGU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xAF8ATQBhAHMAcwBPAGYATgBpAHQAcgBvAGcAZQBuAEEAcABwAGwAaQBlAGQAVABvAFMAbwBpAGwAcwBTAGMAbwBwAGUAMQBcAG4AIAAgAD0ATABBAE0AQgBEAEEAKABcAG4AIAAgACAAIABNAE4AXwBqAG0ALAAgAEUARgBfAG0ALAAgAEYAcgBhAGMARwBBAFMATQBfAG0ALAAgAE0ATgBMAGUAYQBjAGgAXwBqAG0ALAAgAFAARgBfAHMAYwBvAHAAZQAsAFwAbgAgACAAIAAgACgATQBOAF8AagBtACAAKgAgACgAMQAgAC0AIABFAEYAXwBtACAALQAgAEYAcgBhAGMARwBBAFMATQBfAG0AKQAgAC0AIABNAE4ATABlAGEAYwBoAF8AagBtACkAIAAqACAAUABGAF8AcwBjAG8AcABlAFwAbgAgACAAKQA7AFwAbgBcAG4AVgBFAEUAUgBHAF8ANABfADMAXwAxAF8AOABfAF8AMQBfAE0AYQBzAHMATwBmAE4AaQB0AHIAbwBnAGUAbgBBAHAAcABsAGkAZQBkAFQAbwBTAG8AaQBsAHMAUwBjAG8AcABlADEAXwBUAGkAdABsAGUAXABuACAAIAA9AEwAQQBNAEIARABBACgAXAAiAE0AYQBzAHMAIABvAGYAIABuAGkAdAByAG8AZwBlAG4AIABmAHIAbwBtACAAbQBhAG4AdQByAGUAIABhAHAAcABsAGkAZQBkACAAdABvACAAcwBvAGkAbABzACAAZgBvAHIAIABzAGMAbwBwAGUAIAAxACAAZQBtAGkAcwBzAGkAbwBuAHMAXAAiACkAOwBcAG4AXABuAFYARQBFAFIARwBfADQAXwAzAF8AMQBfADgAXwBfADEAXwBNAGEAcwBzAE8AZgBOAGkAdAByAG8AZwBlAG4AQQBwAHAAbABpAGUAZABUAG8AUwBvAGkAbABzAFMAYwBvAHAAZQAxAF8AVgBhAHIAaQBhAGIAbABlAFwAbgAgACAAPQBMAEEATQBCAEQAQQAoAFwAIgBNAE4AUwBvAGkAbABfAHMAYwBvAHAAZQAxAFwAIgApADsAXABuAFwAbgBWAEUARQBSAEcAXwA0AF8AMwBfADEAXwA4AF8AXwAxAF8ATQBhAHMAcwBPAGYATgBpAHQAcgBvAGcAZQBuAEEAcABwAGwAaQBlAGQAVABvAFMAbwBpAGwAcwBTAGMAbwBwAGUAMQBfAFUAbgBpAHQAXABuACAAIAA9AEwAQQBNAEIARABBACgAXAAiAGsAZwAgAE4AXAAiACkAOwBcAG4AXABuAFYARQBFAFIARwBfADQAXwAzAF8AMQBfADgAXwBfADEAXwBNAGEAcwBzAE8AZgBOAGkAdAByAG8AZwBlAG4AQQBwAHAAbABpAGUAZABUAG8AUwBvAGkAbABzAFMAYwBvAHAAZQAxAF8AUwBvAHUAcgBjAGUAXABuACAAIAA9AEwAQQBNAEIARABBACgAXAAiAFYARQBFAFIARwAgADIAMAAyADYAOgAgADQALgAzAC4AMQAuADgALAAgAEUAcQB1AGEAdABpAG8AbgAgACgAMQApAFwAIgApADsAXABuAFwAbgBWAEUARQBSAEcAXwA0AF8AMwBfADEAXwA4AF8AXwAxAF8ATQBhAHMAcwBPAGYATgBpAHQAcgBvAGcAZQBuAEEAcABwAGwAaQBlAGQAVABvAFMAbwBpAGwAcwBTAGMAbwBwAGUAMQBfAE4ASQBSAFIAZQBmAGUAcgBlAG4AYwBlAFwAbgAgACAAPQBMAEEATQBCAEQAQQAoAFwAIgBcACIAKQA7AFwAbgBcAG4AVgBFAEUAUgBHAF8ANABfADMAXwAxAF8AOABfAF8AMQBfAE0AYQBzAHMATwBmAE4AaQB0AHIAbwBnAGUAbgBBAHAAcABsAGkAZQBkAFQAbwBTAG8AaQBsAHMAUwBjAG8AcABlADEAXwBMAGEAdABlAHgARQBxAHUAYQB0AGkAbwBuAFwAbgAgACAAPQBMAEEATQBCAEQAQQAoAFwAIgBNAE4AUwBvAGkAbABfAHsAcwBjAG8AcABlADE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FAARgBcACIAKQA7AFwAbgBcAG4AVgBFAEUAUgBHAF8ANABfADMAXwAxAF8AOA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wBzAGMAbwBwAGU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gAXwBfADIAXwBNAGEAcwBzAE8AZgBOAGkAdAByAG8AZwBlAG4AQQBwAHAAbABpAGUAZABUAG8AUwBvAGkAbABzAFMAYwBvAHAAZQAzAFwAbgBNAGEAcwBzACAAbwBmACAAbgBpAHQAcgBvAGcAZQBuACAAZgByAG8AbQAgAG0AYQBuAHUAcgBlACAAYQBwAHAAbABpAGUAZAAgAHQAbwAgAHMAbwBpAGwAcwAgAGYAbwByACAAcwBjAG8AcABlACAAMwAgAGUAbQBpAHMAcwBpAG8AbgBzAFwAbgBNAE4AUwBvAGkAbABfAHMAYwBvAHAAZQAzAFwAbgBrAGcAIABOAFwAbgBNAE4AUwBvAGkAbABfAHsAcwBjAG8AcABlADMAfQA9ACgATQBOAF8AewBqAG0AfQBcAFwAdABpAG0AZQBzACAAKAAxAC0ARQBGAF8AbQAtAEYAcgBhAGMARwBBAFMATQBfAG0AKQAtAE0ATgBMAGUAYQBjAGgAXwBqAG0AKQBcAFwAdABpAG0AZQBzACAAKAAxAC0AUABGACk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gBfAE0AYQBzAHMATwBmAE4AaQB0AHIAbwBnAGUAbgBBAHAAcABsAGkAZQBkAFQAbwBTAG8AaQBsAHMAUwBjAG8AcABlADMAXABuACAAIAA9AEwAQQBNAEIARABBACgAXABuACAAIAAgACAATQBOAF8AagBtACwAIABFAEYAXwBtACwAIABGAHIAYQBjAEcAQQBTAE0AXwBtACwAIABNAE4ATABlAGEAYwBoAF8AagBtACwAIABQAEYALABcAG4AIAAgACAAIAAoAE0ATgBfAGoAbQAgACoAIAAoADEAIAAtACAARQBGAF8AbQAgAC0AIABGAHIAYQBjAEcAQQBTAE0AXwBtACkAIAAtACAATQBOAEwAZQBhAGMAaABfAGoAbQApACAAKgAgACgAMQAgAC0AIABQAEYAKQBcAG4AIAAgACkAOwBcAG4AXABuAFYARQBFAFIARwBfADQAXwAzAF8AMQBfADgAXwBfADIAXwBNAGEAcwBzAE8AZgBOAGkAdAByAG8AZwBlAG4AQQBwAHAAbABpAGUAZABUAG8AUwBvAGkAbABzAFMAYwBvAHAAZQAzAF8AVABpAHQAbABlAFwAbgAgACAAPQBMAEEATQBCAEQAQQAoAFwAIgBNAGEAcwBzACAAbwBmACAAbgBpAHQAcgBvAGcAZQBuACAAZgByAG8AbQAgAG0AYQBuAHUAcgBlACAAYQBwAHAAbABpAGUAZAAgAHQAbwAgAHMAbwBpAGwAcwAgAGYAbwByACAAcwBjAG8AcABlACAAMwAgAGUAbQBpAHMAcwBpAG8AbgBzAFwAIgApADsAXABuAFwAbgBWAEUARQBSAEcAXwA0AF8AMwBfADEAXwA4AF8AXwAyAF8ATQBhAHMAcwBPAGYATgBpAHQAcgBvAGcAZQBuAEEAcABwAGwAaQBlAGQAVABvAFMAbwBpAGwAcwBTAGMAbwBwAGUAMwBfAFYAYQByAGkAYQBiAGwAZQBcAG4AIAAgAD0ATABBAE0AQgBEAEEAKABcACIATQBOAFMAbwBpAGwAXwBzAGMAbwBwAGUAMwBcACIAKQA7AFwAbgBcAG4AVgBFAEUAUgBHAF8ANABfADMAXwAxAF8AOABfAF8AMgBfAE0AYQBzAHMATwBmAE4AaQB0AHIAbwBnAGUAbgBBAHAAcABsAGkAZQBkAFQAbwBTAG8AaQBsAHMAUwBjAG8AcABlADMAXwBVAG4AaQB0AFwAbgAgACAAPQBMAEEATQBCAEQAQQAoAFwAIgBrAGcAIABOAFwAIgApADsAXABuAFwAbgBWAEUARQBSAEcAXwA0AF8AMwBfADEAXwA4AF8AXwAyAF8ATQBhAHMAcwBPAGYATgBpAHQAcgBvAGcAZQBuAEEAcABwAGwAaQBlAGQAVABvAFMAbwBpAGwAcwBTAGMAbwBwAGUAMwBfAFMAbwB1AHIAYwBlAFwAbgAgACAAPQBMAEEATQBCAEQAQQAoAFwAIgBWAEUARQBSAEcAIAAyADAAMgA2ADoAIAA0AC4AMwAuADEALgA4ACwAIABFAHEAdQBhAHQAaQBvAG4AIAAoADIAKQBcACIAKQA7AFwAbgBcAG4AVgBFAEUAUgBHAF8ANABfADMAXwAxAF8AOABfAF8AMgBfAE0AYQBzAHMATwBmAE4AaQB0AHIAbwBnAGUAbgBBAHAAcABsAGkAZQBkAFQAbwBTAG8AaQBsAHMAUwBjAG8AcABlADMAXwBOAEkAUgBSAGUAZgBlAHIAZQBuAGMAZQBcAG4AIAAgAD0ATABBAE0AQgBEAEEAKABcACIAXAAiACkAOwBcAG4AXABuAFYARQBFAFIARwBfADQAXwAzAF8AMQBfADgAXwBfADIAXwBNAGEAcwBzAE8AZgBOAGkAdAByAG8AZwBlAG4AQQBwAHAAbABpAGUAZABUAG8AUwBvAGkAbABzAFMAYwBvAHAAZQAzAF8ATABhAHQAZQB4AEUAcQB1AGEAdABpAG8AbgBcAG4AIAAgAD0ATABBAE0AQgBEAEEAKABcACIATQBOAFMAbwBpAGwAXwB7AHMAYwBvAHAAZQAz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AoADEALQBQAEYAKQBcACIAKQA7AFwAbgBcAG4AVgBFAEUAUgBHAF8ANABfADMAXwAxAF8AOA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RABhAGk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CAATQBlAHQAaABvAGQAIAAxACAALQAgAE0AYQBuAHUAcgBlACAATQBlAHQAaABhAG4AZQ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XwBfADEAXwBUAG8AdABhAGwAQQBuAG4AdQBhAGwATQBlAHQAaABhAG4AZQBGAHIAbwBtAE0AYQBuAHUAcgBlAE0AYQBuAGEAZwBlAG0AZQBuAHQAXABuAFQAbwB0AGEAbAAgAGEAbgBuAHUAYQBsACAAbQBlAHQAaABhAG4AZQAgAHAAcgBvAGQAdQBjAHQAaQBvAG4AIABmAHIAbwBtACAAbQBhAG4AdQByAGUAIABtAGEAbgBhAGcAZQBtAGUAbgB0AFwAbgBFAF8AQwBIADQAXABuAHQAIABDAEgANABcAG4ARQBfAHsAQwBIADQAfQA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G4ATgBfAGoAMQAyADQAIAA9ACAAbgB1AG0AYgBlAHIAIABvAGYAIABkAGEAaQByAHkAIABjAGEAdAB0AGwAZQAgAGkAbgAgAGMAbABhAHMAcwBlAHMAIABqAD0AMQAsADIALAA0AFwAbgBNAF8AagAxADIANABtACAAPQAgAG0AZQB0AGgAYQBuAGUAIABwAHIAbwBkAHUAYwB0AGkAbwBuACAAZgByAG8AbQAgAG0AYQBuAHUAcgBlACAAbwBmACAAdwBlAGEAbgBlAGQAIABkAGEAaQByAHkAIABjAGEAdAB0AGwAZQAgAGkAbgAgAGMAbABhAHMAcwBlAHMAIABqAD0AMQAsADIALAA0ACAAaQBuACAATQBNAFMAIABtACAAKABrAGcAIABDAEgANAAvAGgAZQBhAGQALwBkAGEAeQApAFwAbgBEAF8AagAxADIANAAgAD0AIABkAHUAcgBhAHQAaQBvAG4AIABvAGYAIABzAHQAYQB5ACAAbwBuACAAZgBhAHIAbQAgAGYAbwByACAAYwBsAGEAcwBzAGUAcwAgAGoAPQAxACwAMgAsADQAIAAoAGQAYQB5AHMAKQBcAG4ATgBfAGoAMwA1ACAAPQAgAG4AdQBtAGIAZQByACAAbwBmACAAZABhAGkAcgB5ACAAYwBhAHQAdABsAGUAIABpAG4AIABjAGwAYQBzAHMAZQBzACAAagA9ADMALAA1AFwAbgBNAF8AagAzADUAbQAgAD0AIABtAGUAdABoAGEAbgBlACAAcAByAG8AZAB1AGMAdABpAG8AbgAgAGYAcgBvAG0AIABtAGEAbgB1AHIAZQAgAG8AZgAgAHcAZQBhAG4AZQBkACAAZABhAGkAcgB5ACAAYwBhAHQAdABsAGUAIABpAG4AIABjAGwAYQBzAHMAZQBzACAAagA9ADMALAA1ACAAaQBuACAATQBNAFMAIABtACAAKABrAGcAIABDAEgANAAvAGgAZQBhAGQALwBkAGEAeQApAFwAbgBEAF8AagAzADUAIAA9ACAAZAB1AHIAYQB0AGkAbwBuACAAbwBmACAAcwB0AGEAeQAgAG8AbgAgAGYAYQByAG0AIABmAG8AcgAgAGMAbABhAHMAcwBlAHMAIABqAD0AMwAsADUAIAAoAGQAYQB5AHMAKQBcAG4ATQBQAFcAXwBtAGEAbgB1AHIAZQBfAGoAMwA1ACAAPQAgAG0AZQB0AGgAYQBuAGUAIABwAHIAbwBkAHUAYwB0AGkAbwBuACAAZgByAG8AbQAgAG0AYQBuAHUAcgBlACAAbwBm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NABfADMAXwAxAF8AMQBfAF8AMQBfAFQAbwB0AGEAbABBAG4AbgB1AGEAbABNAGUAdABoAGEAbgBlAEYAcgBvAG0ATQBhAG4AdQByAGUATQBhAG4AYQBnAGUAbQBlAG4AdABcAG4AIAAgAD0ATABBAE0AQgBEAEEAKABcAG4AIAAgACAAIABOAF8AagAxADIANAAsACAATQBfAGoAMQAyADQAbQAsACAARABfAGoAMQAyADQALAAgAE4AXwBqADMANQAsACAATQBfAGoAMwA1AG0ALAAgAEQAXwBqADMANQAsACAATQBQAFcAXwBtAGEAbgB1AHIAZQBfAGoAMwA1ACwAXABuACAAIAAgACAAKAAoAE4AXwBqADEAMgA0ACAAKgAgAE0AXwBqADEAMgA0AG0AIAAqACAARABfAGoAMQAyADQAKQAgACsAIAAoAE4AXwBqADMANQAgACoAIABNAF8AagAzADUAbQAgACoAIABEAF8AagAzADUAKQAgACsAIAAoAE4AXwBqADMANQAgACoAIABNAFAAVwBfAG0AYQBuAHUAcgBlAF8AagAzADUAIAAqACAARABfAGoAMwA1ACkAKQAgACoAIAAxADAAIABeACAALQAzAFwAbgAgACAAKQA7AFwAbgBcAG4AVgBFAEUAUgBHAF8ANABfADMAXwAxAF8AMQBfAF8AMQBfAFQAbwB0AGEAbABBAG4AbgB1AGEAbABNAGUAdABoAGEAbgBlAEYAcgBvAG0ATQBhAG4AdQByAGUATQBhAG4AYQBnAGUAbQBlAG4AdABWAGEAcgBpAGEAdABpAG8AbgBcAG4AIAAgAD0ATABBAE0AQgBEAEEAKABcAG4AIAAgACAAIABOAF8AagAxADIANAAsACAATQBfAGoAMQAyADQAbQAsACAARABfAGoAMQAyADQALAAgAE4AXwBqADMANQAsACAATQBfAGoAMwA1AG0ALAAgAEQAXwBqADMANQAsACAATQBQAFcAXwBtAGEAbgB1AHIAZQBfAGoAMwA1ACwAIABEAFAAVwBfAGoAMwA1ACwAXABuACAAIAAgACAAKAAoAE4AXwBqADEAMgA0ACAAKgAgAE0AXwBqADEAMgA0AG0AIAAqACAARABfAGoAMQAyADQAKQAgACsAIAAoAE4AXwBqADMANQAgACoAIABNAF8AagAzADUAbQAgACoAIABEAF8AagAzADUAKQAgACsAIAAoAE4AXwBqADMANQAgACoAIABNAFAAVwBfAG0AYQBuAHUAcgBlAF8AagAzADUAIAAqACAARABQAFcAXwBqADMANQApACkAIAAqACAAMQAwACAAXgAgAC0AMwBcAG4AIAAgACkAOwBcAG4AXABuAFwAbgBWAEUARQBSAEcAXwA0AF8AMwBfADEAXwAxAF8AXwAxAF8AVABvAHQAYQBsAEEAbgBuAHUAYQBsAE0AZQB0AGgAYQBuAGUARgByAG8AbQBNAGEAbgB1AHIAZQBNAGEAbgBhAGcAZQBtAGUAbgB0AF8AVABpAHQAbABlAFwAbgAgACAAPQBMAEEATQBCAEQAQQAoAFwAIgBUAG8AdABhAGwAIABhAG4AbgB1AGEAbAAgAG0AZQB0AGgAYQBuAGUAIABwAHIAbwBkAHUAYwB0AGkAbwBuACAAZgByAG8AbQAgAG0AYQBuAHUAcgBlACAAbQBhAG4AYQBnAGUAbQBlAG4AdABcACIAKQA7AFwAbgBcAG4AVgBFAEUAUgBHAF8ANABfADMAXwAxAF8AMQBfAF8AMQBfAFQAbwB0AGEAbABBAG4AbgB1AGEAbABNAGUAdABoAGEAbgBlAEYAcgBvAG0ATQBhAG4AdQByAGUATQBhAG4AYQBnAGUAbQBlAG4AdABfAFYAYQByAGkAYQBiAGwAZQBcAG4AIAAgAD0ATABBAE0AQgBEAEEAKABcACIARQBfAEMASAA0AFwAIgApADsAXABuAFwAbgBWAEUARQBSAEcAXwA0AF8AMwBfADEAXwAxAF8AXwAxAF8AVABvAHQAYQBsAEEAbgBuAHUAYQBsAE0AZQB0AGgAYQBuAGUARgByAG8AbQBNAGEAbgB1AHIAZQBNAGEAbgBhAGcAZQBtAGUAbgB0AF8AVQBuAGkAdABcAG4AIAAgAD0ATABBAE0AQgBEAEEAKABcACIAdAAgAEMASAA0AFwAIgApADsAXABuAFwAbgBWAEUARQBSAEcAXwA0AF8AMwBfADEAXwAxAF8AXwAxAF8AVABvAHQAYQBsAEEAbgBuAHUAYQBsAE0AZQB0AGgAYQBuAGUARgByAG8AbQBNAGEAbgB1AHIAZQBNAGEAbgBhAGcAZQBtAGUAbgB0AF8AUwBvAHUAcgBjAGUAXABuACAAIAA9AEwAQQBNAEIARABBACgAXAAiAFYARQBFAFIARwAgADIAMAAyADYAOgAgADQALgAzAC4AMQAuADEALAAgAEUAcQB1AGEAdABpAG8AbgAgACgAMQApAFwAIgApADsAXABuAFwAbgBWAEUARQBSAEcAXwA0AF8AMwBfADEAXwAxAF8AXwAxAF8AVABvAHQAYQBsAEEAbgBuAHUAYQBsAE0AZQB0AGgAYQBuAGUARgByAG8AbQBNAGEAbgB1AHIAZQBNAGEAbgBhAGcAZQBtAGUAbgB0AF8ATgBJAFIAUgBlAGYAZQByAGUAbgBjAGUAXABuACAAIAA9AEwAQQBNAEIARABBACgAXAAiAFwAIgApADsAXABuAFwAbgBWAEUARQBSAEcAXwA0AF8AMwBfADEAXwAxAF8AXwAxAF8AVABvAHQAYQBsAEEAbgBuAHUAYQBsAE0AZQB0AGgAYQBuAGUARgByAG8AbQBNAGEAbgB1AHIAZQBNAGEAbgBhAGcAZQBtAGUAbgB0AF8ATABhAHQAZQB4AEUAcQB1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AiACkAOwBcAG4AXABuAFYARQBFAFIARwBfADQAXwAzAF8AMQBfADEAXwBfADEAXwBUAG8AdABhAGwAQQBuAG4AdQBhAGwATQBlAHQAaABhAG4AZQBGAHIAbwBtAE0AYQBuAHUAcgBlAE0AYQBuAGEAZwBlAG0AZQBuAHQAXwBMAGEAdABlAHgARQBxAHUAYQB0AGkAbwBuAFYAYQByAGk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UABXAF8AewBqAD0AMwAsADUAfQApACkAXABcAHQAaQBtAGUAcwAgADEAMABeAHsALQAzAH0AXAAiACkAOwBcAG4AXABuAFYARQBFAFIARwBfADQAXwAzAF8AMQBfADEAXwBfADEAXwBUAG8AdABhAGwAQQBuAG4AdQBhAGwATQBlAHQAaABhAG4AZQBGAHIAbwBtAE0AYQBuAHUAcgBlAE0AYQBuAGEAZwBlAG0AZQBuAHQ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tAFwAIgAsACAAXAAiAG0AZQB0AGgAYQBuAGUAIABwAHIAbwBkAHUAYwB0AGkAbwBuACAAZgByAG8AbQAgAG0AYQBuAHUAcgBlACAAbwBmACAAdwBlAGEAbgBlAGQAIABkAGEAaQByAHkAIABjAGEAdAB0AGwAZQAgAGkAbgAgAGMAbABhAHMAcwBlAHMAIABqAD0AMQAsADIALAA0ACAAaQBuACAATQBNAFMAIABtAFwAIgAsACAAXAAiAGsAZwAgAEMASAA0AC8AaABlAGEAZAAvAGQAYQB5AFwAIgAsACAAXAAiAEMAYQBsAGMAdQBsAGEAdABlAGQAIABmAHIAbwBtACAANAAuADMALgAxAC4AMQAgACgAMgApAFwAIgA7AFwAbgAgACAAIAAgACAAIAAgACAAIAAgAFwAIgBEAF8AagAxADIANABcACIALAAgAFwAIgBkAHUAcgBhAHQAaQBvAG4AIABvAGYAIABzAHQAYQB5ACAAbwBu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G0AXAAiACwAIABcACIAbQBlAHQAaABhAG4AZQAgAHAAcgBvAGQAdQBjAHQAaQBvAG4AIABmAHIAbwBtACAAbQBhAG4AdQByAGUAIABvAGYAIAB3AGUAYQBuAGUAZAAgAGQAYQBpAHIAeQAgAGMAYQB0AHQAbABlACAAaQBuACAAYwBsAGEAcwBzAGUAcwAgAGoAPQAzACwANQAgAGkAbgAgAE0ATQBTACAAbQBcACIALAAgAFwAIgBrAGcAIABDAEgANAAvAGgAZQBhAGQALwBkAGEAeQBcACIALAAgAFwAIgBDAGEAbABjAHUAbABhAHQAZQBkACAAZgByAG8AbQAgADQALgAzAC4AMQAuADEAIAAoADIAKQBcACIAOwBcAG4AIAAgACAAIAAgACAAIAAgACAAIABcACIARABfAGoAMwA1AFwAIgAsACAAXAAiAGQAdQByAGEAdABpAG8AbgAgAG8AZgAgAHMAdABhAHkAIABvAG4AIABmAGEAcgBtACAAZgBvAHIAIABjAGwAYQBzAHMAZQBzACAAagA9ADMALAA1AFwAIgAsACAAXAAiAGQAYQB5AHMAXAAiACwAIABcACIASQBuAHAAdQB0AFwAIgA7AFwAbgAgACAAIAAgACAAIAAgACAAIAAgAFwAIgBNAFAAVwBfAG0AYQBuAHUAcgBlAF8AagAzADUAXAAiACwAIABcACIAbQBlAHQAaABhAG4AZQAgAHAAcgBvAGQAdQBjAHQAaQBvAG4AIABmAHIAbwBtACAAbQBhAG4AdQByAGUAIABvAGYAIABwAHIAZQAtAHcAZQBhAG4AZQBkACAAaABlAGkAZgBlAHIAIABhAG4AZAAgAGIAdQBsAGwAIABjAGEAbAB2AGUAcwBcACIALAAgAFwAIgBrAGcAIABDAEgANAAvAGgAZQBhAGQALwBkAGEAeQBcACIALAAgAFwAIgBDAG8AbgBzAHQAYQBuAHQAXAAiADsAXABuACAAIAAgACAAIAAgACAAIAAgACAAXAAiAEQAUABXAF8AagAzADUAXAAiACwAIABcACIAZAB1AHIAYQB0AGkAbwBuACAAbwBmACAAcwB0AGEAeQAgAG8AbgAgAGYAYQByAG0AIABmAG8AcgAgAHAAcgBlAC0AdwBlAGEAbgBlAGQAIABoAGUAaQBmAGUAcgAgAGEAbgBkACAAYgB1AGwAbAAgAGMAYQBsAHYAZQBzAFwAIgAsACAAXAAiAGQAYQB5AHMAXAAiACwAIABcACIASQBuAHAAdQB0AFwAIgBcAG4AIAAgACAAIAAgACAAIAAgAH0ALAAgAHIALAAgAGMAKQBcAG4AIAAgACAAIAAgACAAKQBcAG4AIAAgACAAIAApAFwAbgAgACAAKQA7AFwAbgBcAG4AVgBFAEUAUgBHAF8ANABfADMAXwAxAF8AMQBfAF8AMQBfAFQAbwB0AGEAbABBAG4AbgB1AGEAbABNAGUAdABoAGEAbgBlAEYAcgBvAG0ATQBhAG4AdQByAGUATQBhAG4AYQBnAGUAbQBlAG4AdABfAFYAYQByAGkAYQB0AGkAbwBuAFwAbgAgACAAPQBMAEEATQBCAEQAQQAoAFwAIgBWAEEAUgBJAEEAVABJAE8ATgA6ACAAVQBzAGUAZAAgAHMAZQBwAGEAcgBhAHQAZQAgAHYAYQByAGkAYQBiAGwAZQAgAGYAbwByACAAZAB1AHIAYQB0AGkAbwBuACAAbwBmACAAcwB0AGEAeQAgAG8AbgAgAGYAYQByAG0AIABmAG8AcgAgAHAAcgBlAC0AdwBlAGEAbgBlAGQAIABoAGUAaQBmAGUAcgAgAGEAbgBkACAAYgB1AGwAbAAgAGMAYQBsAHYAZQBzAC4AXAAiACkAOwBcAG4AXABuAC8AKgBcAG4ALQAtAC0ALQAtAC0ALQAtAC0ALQAtAC0ALQAtAC0ALQAtAC0ALQAtAC0ALQAtAC0ALQAtAC0ALQAtAC0ALQAtAC0ALQAtAC0ALQAtAFwAbgBWAEUARQBSAEcAXwA0AF8AMwBfADEAXwAxAF8AXwAyAF8ATQBlAHQAaABhAG4AZQBGAHIAbwBtAE0AYQBuAHUAcgBlAFAAcgBvAGQAdQBjAHQAaQBvAG4AXABuAE0AZQB0AGgAYQBuAGUAIABmAHIAbwBtACAAbQBhAG4AdQByAGUAIABwAHIAbwBkAHUAYwB0AGkAbwBuACAAZgByAG8AbQAgAHcAZQBhAG4AZQBkACAAZABhAGkAcgB5ACAAYwBhAHQAdABsAGUAXABuAE0AXwBqAG0AXABuAGsAZwAgAEMASAA0AC8AaABlAGEAZAAvAGQAYQB5AFwAbgBNAF8AewBqAG0AfQA9AFYAUwBfAGoAXABcAHQAaQBtAGUAcwAgAEYAVgBTAF8AewBqAG0ALABUAD0AMQB9AFwAXAB0AGkAbQBlAHMAIABNAEMARgBfAHsAaQBtAH0AXABcAHQAaQBtAGUAcwAgAEIAXwBvAFwAXAB0AGkAbQBlAHMAIABcAFwAcgBoAG8AXABuAFYAUwBfAGoAIAA9ACAAZABhAGkAbAB5ACAAdgBvAGwAYQB0AGkAbABlACAAcwBvAGwAaQBkAHMAIABwAHIAbwBkAHUAYwB0AGkAbwBuACAAcABlAHIAIABoAGUAYQBkACAAZgBvAHIAIABkAGEAaQByAHkAIABjAGEAdAB0AGwAZQAgACgAawBnAC8AaABlAGEAZAAvAGQAYQB5ACkAXABuAEYAVgBTAF8AagBtAFQAMQAgAD0AIABmAHIAYQBjAHQAaQBvAG4AIABvAGYAIAB3AGEAcwB0AGUAIABmAHIAbwBtACAAZQBhAGMAaAAgAGMAbABhAHMAcwAgAGkAbgAgAGUAYQBjAGgAIABtAGEAbgBhAGcAZQBtAGUAbgB0ACAAcwB5AHMAdABlAG0AXABuAE0AQwBGAF8AaQBtACAAPQAgAG0AZQB0AGgAYQBuAGUAIABjAG8AbgB2AGUAcgBzAGkAbwBuACAAZgBhAGMAdABvAHIAIABmAG8AcgAgAHQAZQBtAHAAZQByAGEAdAB1AHIAZQAgAHoAbwBuAGUAIABhAG4AZAAgAE0ATQBTAFwAbgBCAF8AbwAgAD0AIABlAG0AaQBzAHMAaQBvAG4AcwAgAHAAbwB0AGUAbgB0AGkAYQBsACAAKABtADMAIABDAEgANAAvAGsAZwBWAFMAKQBcAG4AcgBoAG8AIAA9ACAAZABlAG4AcwBpAHQAeQAgAG8AZgAgAG0AZQB0AGgAYQBuAGUAIAAoAGsAZwAvAG0AMwApAFwAbgAtAC0ALQAtAC0ALQAtAC0ALQAtAC0ALQAtAC0ALQAtAC0ALQAtAC0ALQAtAC0ALQAtAC0ALQAtAC0ALQAtAC0ALQAtAC0ALQAtAC0AXABuACoALwBcAG4AXABuAFYARQBFAFIARwBfADQAXwAzAF8AMQBfADEAXwBfADIAXwBNAGUAdABoAGEAbgBlAEYAcgBvAG0ATQBhAG4AdQByAGUAUAByAG8AZAB1AGMAdABpAG8AbgBcAG4AIAAgAD0ATABBAE0AQgBEAEEAKABcAG4AIAAgACAAIABWAFMAXwBqACwAIABGAFYAUwBfAGoAbQBUADEALAAgAE0AQwBGAF8AaQBtACwAIABCAF8AbwAsACAAcgBoAG8ALABcAG4AIAAgACAAIABWAFMAXwBqACAAKgAgAEYAVgBTAF8AagBtAFQAMQAgACoAIABNAEMARgBfAGkAbQAgACoAIABCAF8AbwAgACoAIAByAGgAbwBcAG4AIAAgACkAOwBcAG4AXABuAFYARQBFAFIARwBfADQAXwAzAF8AMQBfADEAXwBfADIAXwBNAGUAdABoAGEAbgBlAEYAcgBvAG0ATQBhAG4AdQByAGUAUAByAG8AZAB1AGMAdABpAG8AbgBfAFQAaQB0AGwAZQBcAG4AIAAgAD0ATABBAE0AQgBEAEEAKABcACIATQBlAHQAaABhAG4AZQAgAGYAcgBvAG0AIABtAGEAbgB1AHIAZQAgAHAAcgBvAGQAdQBjAHQAaQBvAG4AIABmAHIAbwBtACAAdwBlAGEAbgBlAGQAIABkAGEAaQByAHkAIABjAGEAdAB0AGwAZQBcACIAKQA7AFwAbgBcAG4AVgBFAEUAUgBHAF8ANABfADMAXwAxAF8AMQBfAF8AMgBfAE0AZQB0AGgAYQBuAGUARgByAG8AbQBNAGEAbgB1AHIAZQBQAHIAbwBkAHUAYwB0AGkAbwBuAF8AVgBhAHIAaQBhAGIAbABlAFwAbgAgACAAPQBMAEEATQBCAEQAQQAoAFwAIgBNAF8AagBtAFwAIgApADsAXABuAFwAbgBWAEUARQBSAEcAXwA0AF8AMwBfADEAXwAxAF8AXwAyAF8ATQBlAHQAaABhAG4AZQBGAHIAbwBtAE0AYQBuAHUAcgBlAFAAcgBvAGQAdQBjAHQAaQBvAG4AXwBVAG4AaQB0AFwAbgAgACAAPQBMAEEATQBCAEQAQQAoAFwAIgBrAGcAIABDAEgANAAvAGgAZQBhAGQALwBkAGEAeQBcACIAKQA7AFwAbgBcAG4AVgBFAEUAUgBHAF8ANABfADMAXwAxAF8AMQBfAF8AMgBfAE0AZQB0AGgAYQBuAGUARgByAG8AbQBNAGEAbgB1AHIAZQBQAHIAbwBkAHUAYwB0AGkAbwBuAF8AUwBvAHUAcgBjAGUAXABuACAAIAA9AEwAQQBNAEIARABBACgAXAAiAFYARQBFAFIARwAgADIAMAAyADYAOgAgADQALgAzAC4AMQAuADEALAAgAEUAcQB1AGEAdABpAG8AbgAgACgAMgApAFwAIgApADsAXABuAFwAbgBWAEUARQBSAEcAXwA0AF8AMwBfADEAXwAxAF8AXwAyAF8ATQBlAHQAaABhAG4AZQBGAHIAbwBtAE0AYQBuAHUAcgBlAFAAcgBvAGQAdQBjAHQAaQBvAG4AXwBOAEkAUgBSAGUAZgBlAHIAZQBuAGMAZQBcAG4AIAAgAD0ATABBAE0AQgBEAEEAKABcACIAXAAiACkAOwBcAG4AXABuAFYARQBFAFIARwBfADQAXwAzAF8AMQBfADEAXwBfADIAXwBNAGUAdABoAGEAbgBlAEYAcgBvAG0ATQBhAG4AdQByAGUAUAByAG8AZAB1AGMAdABpAG8AbgBfAEwAYQB0AGUAeABFAHEAdQBhAHQAaQBvAG4AXABuACAAIAA9AEwAQQBNAEIARABBACgAXAAiAE0AXwB7AGoAbQB9AD0AVgBTAF8AagBcAFwAdABpAG0AZQBzACAARgBWAFMAXwB7AGoAbQAsAFQAPQAxAH0AXABcAHQAaQBtAGUAcwAgAE0AQwBGAF8AewBpAG0AfQBcAFwAdABpAG0AZQBzACAAQgBfAG8AXABcAHQAaQBtAGUAcwAgAFwAXAByAGgAbwBcACIAKQA7AFwAbgBcAG4AVgBFAEUAUgBHAF8ANABfADMAXwAxAF8AMQBfAF8AMgBfAE0AZQB0AGgAYQBuAGUARgByAG8AbQBNAGEAbgB1AHI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GkAXAAiACwAIABcACIAcwB0AGEAdABlAFwAIgAsACAAXAAiAHMAdABhAHQAZQBcACIALAAgAFwAIgBJAG4AcAB1AHQAXAAiAFwAbgAgACAAIAAgACAAIAAgACAAfQAsACAAcgAsACAAYwApAFwAbgAgACAAIAAgACAAIAApAFwAbgAgACAAIAAgACkAXABuACAAIAApADsAXABuAFwAbgBWAEUARQBSAEcAXwA0AF8AMwBfADEAXwAxAF8AXwAyAF8ATQBlAHQAaABhAG4AZQBGAHIAbwBtAE0AYQBuAHUAc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E0AQQBUAFwAIgAsACAAXAAiAE0AZQBhAG4AIABhAG4AbgB1AGEAbAAgAHQAZQBtAHAAZQByAGEAdAB1AHIAZQBcACIALAAgAFwAIgCwAE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MAXwBWAG8AbABhAHQAaQBsAGUAUwBvAGwAaQBkAHMARgBvAHIAVwBlAGEAbgBlAGQARABhAGkAcgB5AEMAYQB0AHQAbABlAFwAbgBWAG8AbABhAHQAaQBsAGUAIABzAG8AbABpAGQAcwAgAGYAbwByACAAdwBlAGEAbgBlAGQAIABkAGEAaQByAHkAIABjAGEAdAB0AGwAZQBcAG4AVgBTAF8AagBcAG4AawBnAC8AaABlAGEAZAAvAGQAYQB5AFwAbgBWAFMAXwBqAD0AKABJAF8AagBcAFwAdABpAG0AZQBzACAAKAAxAC0ARABNAEQAXwBqACkAKwAoADAALgAwADQAXABcAHQAaQBtAGUAcwAgAEkAXwBqACkAKQBcAFwAdABpAG0AZQBzACAAKAAxAC0AQQApAFwAbgBJAF8AagAgAD0AIABkAHIAeQAgAG0AYQB0AHQAZQByACAAZgBlAGUAZAAgAGkAbgB0AGEAawBlACAAKABrAGcARABNAC8AaABlAGEAZAAvAGQAYQB5ACkAXABuAEQATQBEAF8AagAgAD0AIABkAHIAeQAgAG0AYQB0AHQAZQByACAAZABpAGcAZQBzAHQAaQBiAGkAbABpAHQAeQBcAG4AQQAgAD0AIABhAHMAaAAgAGMAbwBuAHQAZQBuAHQAIABvAGYAIABmAGUAZQBkACAAaQBuAHQAYQBrAGUAXABuAC0ALQAtAC0ALQAtAC0ALQAtAC0ALQAtAC0ALQAtAC0ALQAtAC0ALQAtAC0ALQAtAC0ALQAtAC0ALQAtAC0ALQAtAC0ALQAtAC0ALQBcAG4AKgAvAFwAbgBcAG4AVgBFAEUAUgBHAF8ANABfADMAXwAxAF8AMQBfAF8AMwBfAFYAbwBsAGEAdABpAGwAZQBTAG8AbABpAGQAcwBGAG8AcgBXAGUAYQBuAGUAZABEAGEAaQByAHkAQwBhAHQAdABsAGUAXABuACAAIAA9AEwAQQBNAEIARABBACgAXABuACAAIAAgACAASQBfAGoALAAgAEQATQBEAF8AagAsACAAQQAsAFwAbgAgACAAIAAgACgASQBfAGoAIAAqACAAKAAxACAALQAgAEQATQBEAF8AagApACAAKwAgACgAMAAuADAANAAgACoAIABJAF8AagApACkAIAAqACAAKAAxACAALQAgAEEAKQBcAG4AIAAgACkAOwBcAG4AXABuAFYARQBFAFIARwBfADQAXwAzAF8AMQBfADEAXwBfADMAXwBWAG8AbABhAHQAaQBsAGUAUwBvAGwAaQBkAHMARgBvAHIAVwBlAGEAbgBlAGQARABhAGkAcgB5AEMAYQB0AHQAbABlAF8AVABpAHQAbABlAFwAbgAgACAAPQBMAEEATQBCAEQAQQAoAFwAIgBWAG8AbABhAHQAaQBsAGUAIABzAG8AbABpAGQAcwAgAGYAbwByACAAdwBlAGEAbgBlAGQAIABkAGEAaQByAHkAIABjAGEAdAB0AGwAZQBcACIAKQA7AFwAbgBcAG4AVgBFAEUAUgBHAF8ANABfADMAXwAxAF8AMQBfAF8AMwBfAFYAbwBsAGEAdABpAGwAZQBTAG8AbABpAGQAcwBGAG8AcgBXAGUAYQBuAGUAZABEAGEAaQByAHkAQwBhAHQAdABsAGUAXwBWAGEAcgBpAGEAYgBsAGUAXABuACAAIAA9AEwAQQBNAEIARABBACgAXAAiAFYAUwBfAGoAXAAiACkAOwBcAG4AXABuAFYARQBFAFIARwBfADQAXwAzAF8AMQBfADEAXwBfADMAXwBWAG8AbABhAHQAaQBsAGUAUwBvAGwAaQBkAHMARgBvAHIAVwBlAGEAbgBlAGQARABhAGkAcgB5AEMAYQB0AHQAbABlAF8AVQBuAGkAdABcAG4AIAAgAD0ATABBAE0AQgBEAEEAKABcACIAawBnAC8AaABlAGEAZAAvAGQAYQB5AFwAIgApADsAXABuAFwAbgBWAEUARQBSAEcAXwA0AF8AMwBfADEAXwAxAF8AXwAzAF8AVgBvAGwAYQB0AGkAbABlAFMAbwBsAGkAZABzAEYAbwByAFcAZQBhAG4AZQBkAEQAYQBpAHIAeQBDAGEAdAB0AGwAZQBfAFMAbwB1AHIAYwBlAFwAbgAgACAAPQBMAEEATQBCAEQAQQAoAFwAIgBWAEUARQBSAEcAIAAyADAAMgA2ADoAIAA0AC4AMwAuADEALgAxACwAIABFAHEAdQBhAHQAaQBvAG4AIAAoADMAKQBcACIAKQA7AFwAbgBcAG4AVgBFAEUAUgBHAF8ANABfADMAXwAxAF8AMQBfAF8AMwBfAFYAbwBsAGEAdABpAGwAZQBTAG8AbABpAGQAcwBGAG8AcgBXAGUAYQBuAGUAZABEAGEAaQByAHkAQwBhAHQAdABsAGUAXwBOAEkAUgBSAGUAZgBlAHIAZQBuAGMAZQBcAG4AIAAgAD0ATABBAE0AQgBEAEEAKABcACIAXAAiACkAOwBcAG4AXABuAFYARQBFAFIARwBfADQAXwAzAF8AMQBfADEAXwBfADMAXwBWAG8AbABhAHQAaQBsAGUAUwBvAGwAaQBkAHMARgBvAHIAVwBlAGEAbgBlAGQARABhAGkAcgB5AEMAYQB0AHQAbABlAF8ATABhAHQAZQB4AEUAcQB1AGEAdABpAG8AbgBcAG4AIAAgAD0ATABBAE0AQgBEAEEAKABcACIAVgBTAF8AagA9ACgASQBfAGoAXABcAHQAaQBtAGUAcwAgACgAMQAtAEQATQBEAF8AagApACsAKAAwAC4AMAA0AFwAXAB0AGkAbQBlAHMAIABJAF8AagApACkAXABcAHQAaQBtAGUAcwAgACgAMQAtAEEAKQBcACIAKQA7AFwAbgBcAG4AVgBFAEUAUgBHAF8ANABfADMAXwAxAF8AMQBfAF8AMwBfAFYAbwBsAGEAdABpAGwAZQBTAG8AbABpAGQAcwBGAG8AcgBXAGUAYQBuAGUAZABEAGEAaQByAHkAQwBhAHQAdABsAGUAXwBBAHIAZwB1AG0AZQBuAHQAcwBcAG4AIAAgAD0ATABBAE0AQgBEAEEAKABcAG4AIAAgACAAIABNAEEASwBFAEEAUgBSAEEAWQAoADMALAAgADQALABcAG4AIAAgACAAIAAgACAATABBAE0AQgBEAEEAKAByACwAYwAsAFwAbgAgACAAIAAgACAAIAAgACAASQBOAEQARQBYACgAewBcAG4AIAAgACAAIAAgACAAIAAgACAAIABcACIASQBfAGoAXAAiACwAIABcACIAZAByAHkAIABtAGEAdAB0AGUAcgAgAGYAZQBlAGQAIABpAG4AdABhAGsAZQAgACgAawBnAEQATQAvAGgAZQBhAGQALwBkAGEAeQApAFwAIgAsACAAXAAiAGsAZwBEAE0ALwBoAGUAYQBkAC8AZABhAHkAXAAiACwAIABcACIAQwBhAGwAYwB1AGwAYQB0AGUAZAAgAGYAcgBvAG0AIAAzAC4AMwAuADEALgAxACAAKAAzACkAXAAiADsAXABuACAAIAAgACAAIAAgACAAIAAgACAAXAAiAEQATQBEAF8AagBcACIALAAgAFwAIgBkAHIAeQAgAG0AYQB0AHQAZQByACAAZABpAGcAZQBzAHQAaQBiAGkAbABpAHQAeQBcACIALAAgAFwAIgBmAHIAYQBjAHQAaQBvAG4AXAAiACwAIABcACIASQBuAHAAdQB0AFwAIgA7AFwAbgAgACAAIAAgACAAIAAgACAAIAAgAFwAIgBBAFwAIgAsACAAXAAiAGEAcwBoACAAYwBvAG4AdABlAG4AdAAgAG8AZgAgAGYAZQBlAGQAIABpAG4AdABhAGsAZ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QAXwBGAHIAYQBjAHQAaQBvAG4AVgBvAGwAYQB0AGkAbABlAFMAbwBsAGkAZABzAE4AbwB0AFMAbwBsAGkAZABTAHQAbwByAGEAZwBlAFwAbgBGAHIAYQBjAHQAaQBvAG4AIABvAGYAIAB2AG8AbABhAHQAaQBsAGUAIABzAG8AbABpAGQAcwAgAGkAbgAgAGUAYQBjAGgAIABzAHkAcwB0AGUAbQAgAG8AdABoAGUAcgAgAHQAaABhAG4AIABzAG8AbABpAGQAIABzAHQAbwByAGEAZwBlAFwAbgBGAFYAUwBfAGoAbQBcAG4AZgByAGEAYwB0AGkAbwBuAFwAbgBGAFYAUwBfAHsAagBtAH0APQBNAE0AUwBfAHsAagBtAH0AXABcAHQAaQBtAGUAcwAgACgAMQAtAFMAUwBfAG0AKQBcAG4AUwBTAF8AbQAgAD0AIABmAHIAYQBjAHQAaQBvAG4AIABvAGYAIAB2AG8AbABhAHQAaQBsAGUAIABzAG8AbABpAGQAcwAgAHMAZQBwAGEAcgBhAHQAZQBkACAAdABvACAAcwBvAGwAaQBkACAAcwB0AG8AcgBhAGcAZQAgAGYAbwByACAAZQBhAGMAaAAgAE0ATQBTAFwAbgBNAE0AUwBfAGoAbQAgAD0AIABmAHIAYQBjAHQAaQBvAG4AIABvAGYAIABtAGEAbgB1AHIAZQAgAHQAbwAgAGUAYQBjAGgAIABwAHIAaQBtAGEAcgB5ACAATQBNAFMAIABmAG8AcgAgAGUAYQBjAGgAIABjAGwAYQBzAHMAIABwAHIAaQBvAHIAIAB0AG8AIABzAG8AbABpAGQAIABzAGUAcABhAHIAYQB0AGkAbwBuAFwAbgAtAC0ALQAtAC0ALQAtAC0ALQAtAC0ALQAtAC0ALQAtAC0ALQAtAC0ALQAtAC0ALQAtAC0ALQAtAC0ALQAtAC0ALQAtAC0ALQAtAC0AXABuACoALwBcAG4AXABuAFYARQBFAFIARwBfADQAXwAzAF8AMQBfADEAXwBfADQAXwBGAHIAYQBjAHQAaQBvAG4AVgBvAGwAYQB0AGkAbABlAFMAbwBsAGkAZABzAE4AbwB0AFMAbwBsAGkAZABTAHQAbwByAGEAZwBlAFwAbgAgACAAPQBMAEEATQBCAEQAQQAoAFwAbgAgACAAIAAgAE0ATQBTAF8AagBtACwAIABTAFMAXwBtACwAXABuACAAIAAgACAATQBNAFMAXwBqAG0AIAAqACAAKAAxACAALQAgAFMAUwBfAG0AKQBcAG4AIAAgACkAOwBcAG4AXABuAFYARQBFAFIARwBfADQAXwAzAF8AMQBfADEAXwBfADQAXwBGAHIAYQBjAHQAaQBvAG4AVgBvAGwAYQB0AGkAbABlAFMAbwBsAGkAZABzAE4AbwB0AFMAbwBsAGkAZABTAHQAbwByAGEAZwBlAF8AVABpAHQAbABlAFwAbgAgACAAPQBMAEEATQBCAEQAQQAoAFwAIgBGAHIAYQBjAHQAaQBvAG4AIABvAGYAIAB2AG8AbABhAHQAaQBsAGUAIABzAG8AbABpAGQAcwAgAGkAbgAgAGUAYQBjAGgAIABzAHkAcwB0AGUAbQAgAG8AdABoAGUAcgAgAHQAaABhAG4AIABzAG8AbABpAGQAIABzAHQAbwByAGEAZwBlAFwAIgApADsAXABuAFwAbgBWAEUARQBSAEcAXwA0AF8AMwBfADEAXwAxAF8AXwA0AF8ARgByAGEAYwB0AGkAbwBuAFYAbwBsAGEAdABpAGwAZQBTAG8AbABpAGQAcwBOAG8AdABTAG8AbABpAGQAUwB0AG8AcgBhAGcAZQBfAFYAYQByAGkAYQBiAGwAZQBcAG4AIAAgAD0ATABBAE0AQgBEAEEAKABcACIARgBWAFMAXwBqAG0AXAAiACkAOwBcAG4AXABuAFYARQBFAFIARwBfADQAXwAzAF8AMQBfADEAXwBfADQAXwBGAHIAYQBjAHQAaQBvAG4AVgBvAGwAYQB0AGkAbABlAFMAbwBsAGkAZABzAE4AbwB0AFMAbwBsAGkAZABTAHQAbwByAGEAZwBlAF8AVQBuAGkAdABcAG4AIAAgAD0ATABBAE0AQgBEAEEAKABcACIAZgByAGEAYwB0AGkAbwBuAFwAIgApADsAXABuAFwAbgBWAEUARQBSAEcAXwA0AF8AMwBfADEAXwAxAF8AXwA0AF8ARgByAGEAYwB0AGkAbwBuAFYAbwBsAGEAdABpAGwAZQBTAG8AbABpAGQAcwBOAG8AdABTAG8AbABpAGQAUwB0AG8AcgBhAGcAZQBfAFMAbwB1AHIAYwBlAFwAbgAgACAAPQBMAEEATQBCAEQAQQAoAFwAIgBWAEUARQBSAEcAIAAyADAAMgA2ADoAIAA0AC4AMwAuADEALgAxACwAIABFAHEAdQBhAHQAaQBvAG4AIAAoADQAKQBcACIAKQA7AFwAbgBcAG4AVgBFAEUAUgBHAF8ANABfADMAXwAxAF8AMQBfAF8ANABfAEYAcgBhAGMAdABpAG8AbgBWAG8AbABhAHQAaQBsAGUAUwBvAGwAaQBkAHMATgBvAHQAUwBvAGwAaQBkAFMAdABvAHIAYQBnAGUAXwBOAEkAUgBSAGUAZgBlAHIAZQBuAGMAZQBcAG4AIAAgAD0ATABBAE0AQgBEAEEAKABcACIAXAAiACkAOwBcAG4AXABuAFYARQBFAFIARwBfADQAXwAzAF8AMQBfADEAXwBfADQAXwBGAHIAYQBjAHQAaQBvAG4AVgBvAGwAYQB0AGkAbABlAFMAbwBsAGkAZABzAE4AbwB0AFMAbwBsAGkAZABTAHQAbwByAGEAZwBlAF8ATABhAHQAZQB4AEUAcQB1AGEAdABpAG8AbgBcAG4AIAAgAD0ATABBAE0AQgBEAEEAKABcACIARgBWAFMAXwB7AGoAbQB9AD0ATQBNAFMAXwB7AGoAbQB9AFwAXAB0AGkAbQBlAHMAIAAoADEALQBTAFMAXwBtACkAXAAiACkAOwBcAG4AXABuAFYARQBFAFIARwBfADQAXwAzAF8AMQBfADEAXwBfADQAXwBGAHIAYQBjAHQAaQBvAG4AVgBvAGwAYQB0AGkAbABlAFMAbwBsAGkAZABzAE4AbwB0AFMAbwBsAGkAZABTAHQAbwByAGEAZwBlAF8AQQByAGcAdQBtAGUAbgB0AHMAXABuACAAIAA9AEwAQQBNAEIARABBACgAXABuACAAIAAgACAATQBBAEsARQBBAFIAUgBBAFkAKAAyACwAIAA0ACwAXABuACAAIAAgACAAIAAgAEwAQQBNAEIARABBACgAcgAsAGMALABcAG4AIAAgACAAIAAgACAAIAAgAEkATgBEAEUAWAAoAHsAXABuACAAIAAgACAAIAAgACAAIAAgACAAXAAiAE0ATQBTAF8AagBtAFwAIgAsACA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QBfAEYAcgBhAGMAdABpAG8AbgBWAG8AbABhAHQAaQBsAGUAUwBvAGwAaQBkAHMAUwBvAGwAaQBkAFMAdABvAHIAYQBnAGUAXABuAEYAcgBhAGMAdABpAG8AbgAgAG8AZgAgAHYAbwBsAGEAdABpAGwAZQAgAHMAbwBsAGkAZABzACAAaQBuACAAcwBvAGwAaQBkACAAcwB0AG8AcgBhAGcAZQBcAG4ARgBWAFMAXwBqAG0ANABcAG4AZgByAGEAYwB0AGkAbwBuAFwAbgBGAFYAUwBfAHsAagBtAD0ANAB9AD0ATQBNAFMAXwB7AGoAbQA9ADQAfQArACgATQBNAFMAXwB7AGoAbQA9ADEALAA3ACwAOQB9AFwAXAB0AGkAbQBlAHMAIABTAFMAXwBtACkAXABuAE0ATQBTAF8AagBtADQAIAA9ACAAZgByAGEAYwB0AGkAbwBuACAAbwBmACAAdgBvAGwAYQB0AGkAbABlACAAcwBvAGwAaQBkAHMAIABpAG4AIABzAG8AbABpAGQAIABzAHQAbwByAGEAZwBlACAAYgBlAGYAbwByAGUAIAB0AHIAYQBuAHMAZgBlAHIAXABuAE0ATQBTAF8AagBtADEANwA5ACAAPQAgAGYAcgBhAGMAdABpAG8AbgAgAG8AZgAgAHYAbwBsAGEAdABpAGwAZQAgAHMAbwBsAGkAZABzACAAaQBuACAATQBNAFMAIABtAD0AMQAsADcALAA5ACAAYgBlAGYAbwByAGUAIAB0AHIAYQBuAHMAZgBlAHIAXABuAFMAUwBfAG0AIAA9ACAAZgByAGEAYwB0AGkAbwBuACAAbwBmACAAdgBvAGwAYQB0AGkAbABlACAAcwBvAGwAaQBkAHMAIABzAGUAcABhAHIAYQB0AGUAZAAgAHQAbwAgAHMAbwBsAGkAZAAgAHMAdABvAHIAYQBnAGUAIABmAG8AcgAgAGUAYQBjAGgAIABNAE0AUwBcAG4ALQAtAC0ALQAtAC0ALQAtAC0ALQAtAC0ALQAtAC0ALQAtAC0ALQAtAC0ALQAtAC0ALQAtAC0ALQAtAC0ALQAtAC0ALQAtAC0ALQAtAFwAbgAqAC8AXABuAFwAbgBWAEUARQBSAEcAXwA0AF8AMwBfADEAXwAxAF8AXwA1AF8ARgByAGEAYwB0AGkAbwBuAFYAbwBsAGEAdABpAGwAZQBTAG8AbABpAGQAcwBTAG8AbABpAGQAUwB0AG8AcgBhAGcAZQBcAG4AIAAgAD0ATABBAE0AQgBEAEEAKABcAG4AIAAgACAAIABNAE0AUwBfAGoAbQA0ACwAIABNAE0AUwBfAGoAbQAxADcAOQAsACAAUwBTAF8AbQAsAFwAbgAgACAAIAAgAE0ATQBTAF8AagBtADQAIAArACAAKABNAE0AUwBfAGoAbQAxADcAOQAgACoAIABTAFMAXwBtACkAXABuACAAIAApADsAXABuAFwAbgBWAEUARQBSAEcAXwA0AF8AMwBfADEAXwAxAF8AXwA1AF8ARgByAGEAYwB0AGkAbwBuAFYAbwBsAGEAdABpAGwAZQBTAG8AbABpAGQAcwBTAG8AbABpAGQAUwB0AG8AcgBhAGcAZQBWAGEAcgBpAGEAdABpAG8AbgBcAG4AIAAgAD0ATABBAE0AQgBEAEEAKABcAG4AIAAgACAAIABNAE0AUwBfAGoAbQA0ACwAIABNAE0AUwBfAGoAbQAxACwAIABNAE0AUwBfAGoAbQA3ACwAIABNAE0AUwBfAGoAbQA5ACwAIABTAFMAXwBtADEALAAgAFMAUwBfAG0ANwAsACAAUwBTAF8AbQA5ACwAXABuACAAIAAgACAATQBNAFMAXwBqAG0ANAAgACsAIAAoAE0ATQBTAF8AagBtADEAIAAqACAAUwBTAF8AbQAxACkAIAArACAAKABNAE0AUwBfAGoAbQA3ACAAKgAgAFMAUwBfAG0ANwApACAAKwAgACgATQBNAFMAXwBqAG0AOQAgACoAIABTAFMAXwBtADkAKQBcAG4AIAAgACkAOwBcAG4AXABuAFwAbgBWAEUARQBSAEcAXwA0AF8AMw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MwBfADEAXwAxAF8AXwA1AF8ARgByAGEAYwB0AGkAbwBuAFYAbwBsAGEAdABpAGwAZQBTAG8AbABpAGQAcwBTAG8AbABpAGQAUwB0AG8AcgBhAGcAZQBfAFYAYQByAGkAYQBiAGwAZQBcAG4AIAAgAD0ATABBAE0AQgBEAEEAKABcACIARgBWAFMAXwBqAG0ANABcACIAKQA7AFwAbgBcAG4AVgBFAEUAUgBHAF8ANABfADMAXwAxAF8AMQBfAF8ANQBfAEYAcgBhAGMAdABpAG8AbgBWAG8AbABhAHQAaQBsAGUAUwBvAGwAaQBkAHMAUwBvAGwAaQBkAFMAdABvAHIAYQBnAGUAXwBVAG4AaQB0AFwAbgAgACAAPQBMAEEATQBCAEQAQQAoAFwAIgBmAHIAYQBjAHQAaQBvAG4AXAAiACkAOwBcAG4AXABuAFYARQBFAFIARwBfADQAXwAzAF8AMQBfADEAXwBfADUAXwBGAHIAYQBjAHQAaQBvAG4AVgBvAGwAYQB0AGkAbABlAFMAbwBsAGkAZABzAFMAbwBsAGkAZABTAHQAbwByAGEAZwBlAF8AUwBvAHUAcgBjAGUAXABuACAAIAA9AEwAQQBNAEIARABBACgAXAAiAFYARQBFAFIARwAgADIAMAAyADYAOgAgADQALgAzAC4AMQAuADEALAAgAEUAcQB1AGEAdABpAG8AbgAgACgANQApAFwAIgApADsAXABuAFwAbgBWAEUARQBSAEcAXwA0AF8AMwBfADEAXwAxAF8AXwA1AF8ARgByAGEAYwB0AGkAbwBuAFYAbwBsAGEAdABpAGwAZQBTAG8AbABpAGQAcwBTAG8AbABpAGQAUwB0AG8AcgBhAGcAZQBfAE4ASQBSAFIAZQBmAGUAcgBlAG4AYwBlAFwAbgAgACAAPQBMAEEATQBCAEQAQQAoAFwAIgBcACIAKQA7AFwAbgBcAG4AVgBFAEUAUgBHAF8ANABfADMAXwAxAF8AMQBfAF8ANQBfAEYAcgBhAGMAdABpAG8AbgBWAG8AbABhAHQAaQBsAGUAUwBvAGwAaQBkAHMAUwBvAGwAaQBkAFMAdABvAHIAYQBnAGUAXwBMAGEAdABlAHgARQBxAHUAYQB0AGkAbwBuAFwAbgAgACAAPQBMAEEATQBCAEQAQQAoAFwAIgBGAFYAUwBfAHsAagBtAD0ANAB9AD0ATQBNAFMAXwB7AGoAbQA9ADQAfQArACgATQBNAFMAXwB7AGoAbQA9ADEALAA3ACwAOQB9AFwAXAB0AGkAbQBlAHMAIABTAFMAXwBtACkAXAAiACkAOwBcAG4AXABuAFYARQBFAFIARwBfADQAXwAzAF8AMQBfADEAXwBfADUAXwBGAHIAYQBjAHQAaQBvAG4AVgBvAGwAYQB0AGkAbABlAFMAbwBsAGkAZABzAFMAbwBsAGkAZABTAHQAbwByAGEAZwBlAF8ATABhAHQAZQB4AEUAcQB1AGEAdABpAG8AbgBWAGEAcgBpAGEAdABpAG8AbgBcAG4AIAAgAD0ATABBAE0AQgBEAEEAKABcACIARgBWAFMAXwB7AGoAbQA9ADQAfQA9AE0ATQBTAF8AewBqAG0APQA0AH0AKwAoAE0ATQBTAF8AewBqAG0APQAxAH0AXABcAHQAaQBtAGUAcwAgAFMAUwBfAHsAbQA9ADEAfQApACsAKABNAE0AUwBfAHsAagBtAD0ANwB9AFwAXAB0AGkAbQBlAHMAIABTAFMAXwB7AG0APQA3AH0AKQArACgATQBNAFMAXwB7AGoAbQA9ADkAfQBcAFwAdABpAG0AZQBzACAAUwBTAF8AewBtAD0AOQB9ACkAXAAiACkAOwBcAG4AXABuAFYARQBFAFIARwBfADQAXwAzAF8AMQBfADEAXwBfADUAXwBGAHIAYQBjAHQAaQBvAG4AVgBvAGwAYQB0AGkAbABlAFMAbwBsAGkAZABz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XAAiACwAIABcACIAZgByAGEAYwB0AGkAbwBuACAAbwBmACAAdgBvAGwAYQB0AGkAbABlACAAcwBvAGwAaQBkAHMAIABpAG4AIABzAG8AbABpAGQAIABzAHQAbwByAGEAZwBlACAAYgBlAGYAbwByAGUAIAB0AHIAYQBuAHMAZgBlAHIAXAAiACwAIABcACIAZgByAGEAYwB0AGkAbwBuAFwAIgAsACAAXAAiAEkAbgBwAHUAdABcACIAOwBcAG4AIAAgACAAIAAgACAAIAAgACAAIABcACIATQBNAFMAXwBqAG0AMQA3ADkAXAAiACwAIABcACIAZgByAGEAYwB0AGkAbwBuACAAbwBmACAAdgBvAGwAYQB0AGkAbABlACAAcwBvAGwAaQBkAHMAIABpAG4AIABNAE0AUwAgAG0APQAxACwANwAsADkAIABiAGUAZgBvAHIAZQAgAHQAcgBhAG4AcwBmAGUAc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zAF8AMQBfADEAXwBfADUAXwBGAHIAYQBjAHQAaQBvAG4AVgBvAGwAYQB0AGkAbABlAFMAbwBsAGkAZABzAFMAbwBsAGkAZABTAHQAbwByAGEAZwBlAF8AVgBhAHIAaQBhAHQAaQBvAG4AXABuACAAIAA9AEwAQQBNAEIARABBACgAXAAiAFUAcwBlAGQAIABzAGUAcABhAHIAYQB0AGUAIAB2AGEAcgBpAGEAYgBsAGUAcwAgAGYAbwByACAATQBNAFMAIABhAG4AZAAgAFMAUwAgAG0AIAAxACwAIAA3ACAAYQBuAGQAIAA5AC4AXAAiACkAOwBcAG4AXABuACIAfQAsAHsAIgBwAGEAdABoACIAOgAiAC8AcAByAG8AagBlAGMAdABzAC8ATQBNAFMAXwBEAGEAaQByAHk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zACAATQBlAHQAaABvAGQAIAAxACAALQAgAE0AYQBuAHUAcgBl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TQBOAF8AewBqAG0AfQBcAFwAdABpAG0AZQBzACAARQBGAF8AbQBcAFwAdABpAG0AZQBzACAAQwBfAHsATgAyAE8AfQBcAFwAdABpAG0AZQBzACAAMQAwAF4AewAtADMAfQBcAG4ATQBOAF8AagBtACAAPQAgAHQAbwB0AGEAbAAgAG4AaQB0AHIAbwBnAGUAbgAgAGkAbgAgAGUAYQBjAGgAIABNAE0AUwAgAGYAbwByACAAZABhAGkAcgB5ACAAYwBhAHQAdABsAGUAIABjAGwAYQBzAHMAZQBzACAAKABrAGcAIABOACkAXABuAEUARgBfAG0AIAA9ACAAbgBpAHQAcgBvAHUAcwAgAG8AeABpAGQAZQAgAGUAbQBpAHMAcwBpAG8AbgAgAGYAYQBjAHQAbwByACAAZgBvAHIAIABlAGEAYwBoACAATQBNAFM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wBfAF8AMQBfAFQAbwB0AGEAbABBAG4AbgB1AGEAbABEAGkAcgBlAGMAdABOAGkAdAByAG8AdQBzAE8AeABpAGQAZQBFAG0AaQBzAHMAaQBvAG4AcwBGAHIAbwBtAE0ATQBTAFwAbgAgACAAPQBMAEEATQBCAEQAQQAoAFwAbgAgACAAIAAgAE0ATgBfAGoAbQAsACAARQBGAF8AbQAsACAAQwBfAE4AMgBPACwAXABuACAAIAAgACAATQBOAF8AagBtACAAKgAgAEUARgBfAG0AIAAqACAAQwBfAE4AMgBPACAAKgAgADEAMAAgAF4AIAAtADMAXABuACAAIAApADsAXABuAFwAbgBWAEUARQBSAEcAXwA0AF8AMw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MAXwAxAF8AMwBfAF8AMQBfAFQAbwB0AGEAbABBAG4AbgB1AGEAbABEAGkAcgBlAGMAdABOAGkAdAByAG8AdQBzAE8AeABpAGQAZQBFAG0AaQBzAHMAaQBvAG4AcwBGAHIAbwBtAE0ATQBTAF8AVgBhAHIAaQBhAGIAbABlAFwAbgAgACAAPQBMAEEATQBCAEQAQQAoAFwAIgBFAF8ATgAyAE8AZABpAHIAXAAiACkAOwBcAG4AXABuAFYARQBFAFIARwBfADQAXwAzAF8AMQBfADMAXwBfADEAXwBUAG8AdABhAGwAQQBuAG4AdQBhAGwARABpAHIAZQBjAHQATgBpAHQAcgBvAHUAcwBPAHgAaQBkAGUARQBtAGkAcwBzAGkAbwBuAHMARgByAG8AbQBNAE0AUwBfAFUAbgBpAHQAXABuACAAIAA9AEwAQQBNAEIARABBACgAXAAiAHQAIABOADIATwBcACIAKQA7AFwAbgBcAG4AVgBFAEUAUgBHAF8ANABfADMAXwAxAF8AMwBfAF8AMQBfAFQAbwB0AGEAbABBAG4AbgB1AGEAbABEAGkAcgBlAGMAdABOAGkAdAByAG8AdQBzAE8AeABpAGQAZQBFAG0AaQBzAHMAaQBvAG4AcwBGAHIAbwBtAE0ATQBTAF8AUwBvAHUAcgBjAGUAXABuACAAIAA9AEwAQQBNAEIARABBACgAXAAiAFYARQBFAFIARwAgADIAMAAyADYAOgAgADQALgAzAC4AMQAuADMALAAgAEUAcQB1AGEAdABpAG8AbgAgACgAMQApAFwAIgApADsAXABuAFwAbgBWAEUARQBSAEcAXwA0AF8AMwBfADEAXwAzAF8AXwAxAF8AVABvAHQAYQBsAEEAbgBuAHUAYQBsAEQAaQByAGUAYwB0AE4AaQB0AHIAbwB1AHMATwB4AGkAZABlAEUAbQBpAHMAcwBpAG8AbgBzAEYAcgBvAG0ATQBNAFMAXwBOAEkAUgBSAGUAZgBlAHIAZQBuAGMAZQBcAG4AIAAgAD0ATABBAE0AQgBEAEEAKABcACIAXAAiACkAOwBcAG4AXABuAFYARQBFAFIARwBfADQAXwAzAF8AMQBfADMAXwBfADEAXwBUAG8AdABhAGwAQQBuAG4AdQBhAGwARABpAHIAZQBjAHQATgBpAHQAcgBvAHUAcwBPAHgAaQBkAGUARQBtAGkAcwBzAGkAbwBuAHMARgByAG8AbQBNAE0AUwBfAEwAYQB0AGUAeABFAHEAdQBhAHQAaQBvAG4AXABuACAAIAA9AEwAQQBNAEIARABBACgAXAAiAEUAXwB7AE4AMgBPACwAZABpAHIAfQA9AFwAXABzAHUAbQBcAFwAbgBvAGwAaQBtAGkAdABzAF8AewBqAH0AXABcAHMAdQBtAFwAXABuAG8AbABpAG0AaQB0AHMAXwB7AG0AfQAoAE0ATgBfAHsAagBtAH0AXABcAHQAaQBtAGUAcwAgAEUARgBfAG0AXABcAHQAaQBtAGUAcwAgAEMAXwB7AE4AMgBPAH0AXABcAHQAaQBtAGUAcwAgADEAMABeAHsALQAzAH0AKQBcACIAKQA7AFwAbgBcAG4AVgBFAEUAUgBHAF8ANABfADM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4AaQB0AHIAbwB1AHMAIABvAHgAaQBkAGUAIABlAG0AaQBzAHMAaQBvAG4AIABmAGEAYwB0AG8AcgAgAGYAbwByACAAZQBhAGMAaAAgAE0ATQBTACAAKABrAGcAIABOADIATwAtAE4ALwBrAGcAIABOACAAZABlAHAAbwBzAGkAdABlAGQ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gBfAFQAbwB0AGEAbABOAGkAdAByAG8AZwBlAG4ASQBuAEUAYQBjAGgATQBNAFMAXABuAFQAbwB0AGEAbAAgAG4AaQB0AHIAbwBnAGUAbgAgAGkAbgAgAGUAYQBjAGgAIABNAE0AUwBcAG4ATQBOAF8AagBtAFwAbgBrAGcAIABOAFwAbgBNAE4AXwB7AGoAbQB9AD0AQQBFAF8AagBcAFwAdABpAG0AZQBzACAATQBNAFMAXwB7AGoAbQB9AFwAbgBBAEUAXwBqACAAPQAgAHQAbwB0AGEAbAAgAG4AaQB0AHIAbwBnAGUAbgAgAGUAeABjAHIAZQB0AGUAZAAgAGIAeQAgAGUAYQBjAGgAIABkAGEAaQByAHkAIABjAGwAYQBzAHMAIAAoAGsAZwAgAE4AKQBcAG4ATQBNAFMAXwBqAG0AIAA9ACAAbQBhAG4AdQByAGUAIABtAGEAbgBhAGcAZQBtAGUAbgB0ACAAcwB5AHMAdABlAG0AIABmAHIAYQBjAHQAaQBvAG4AIABmAG8AcgAgAGMAbABhAHMAcwAgAGoAIABhAG4AZAAgAHMAeQBzAHQAZQBtACAAbQBcAG4ALQAtAC0ALQAtAC0ALQAtAC0ALQAtAC0ALQAtAC0ALQAtAC0ALQAtAC0ALQAtAC0ALQAtAC0ALQAtAC0ALQAtAC0ALQAtAC0ALQAtAFwAbgAqAC8AXABuAFwAbgBWAEUARQBSAEcAXwA0AF8AMwBfADEAXwAzAF8AXwAyAF8AVABvAHQAYQBsAE4AaQB0AHIAbwBnAGUAbgBJAG4ARQBhAGMAaABNAE0AUwBcAG4AIAAgAD0ATABBAE0AQgBEAEEAKABcAG4AIAAgACAAIABBAEUAXwBqACwAIABNAE0AUwBfAGoAbQAsAFwAbgAgACAAIAAgAEEARQBfAGoAIAAqACAATQBNAFMAXwBqAG0AXABuACAAIAApADsAXABuAFwAbgBWAEUARQBSAEcAXwA0AF8AMwBfADEAXwAzAF8AXwAyAF8AVABvAHQAYQBsAE4AaQB0AHIAbwBnAGUAbgBJAG4ARQBhAGMAaABNAE0AUwBfAFQAaQB0AGwAZQBcAG4AIAAgAD0ATABBAE0AQgBEAEEAKABcACIAVABvAHQAYQBsACAAbgBpAHQAcgBvAGcAZQBuACAAaQBuACAAZQBhAGMAaAAgAE0ATQBTAFwAIgApADsAXABuAFwAbgBWAEUARQBSAEcAXwA0AF8AMwBfADEAXwAzAF8AXwAyAF8AVABvAHQAYQBsAE4AaQB0AHIAbwBnAGUAbgBJAG4ARQBhAGMAaABNAE0AUwBfAFYAYQByAGkAYQBiAGwAZQBcAG4AIAAgAD0ATABBAE0AQgBEAEEAKABcACIATQBOAF8AagBtAFwAIgApADsAXABuAFwAbgBWAEUARQBSAEcAXwA0AF8AMwBfADEAXwAzAF8AXwAyAF8AVABvAHQAYQBsAE4AaQB0AHIAbwBnAGUAbgBJAG4ARQBhAGMAaABNAE0AUwBfAFUAbgBpAHQAXABuACAAIAA9AEwAQQBNAEIARABBACgAXAAiAGsAZwAgAE4AXAAiACkAOwBcAG4AXABuAFYARQBFAFIARwBfADQAXwAzAF8AMQBfADMAXwBfADIAXwBUAG8AdABhAGwATgBpAHQAcgBvAGcAZQBuAEkAbgBFAGEAYwBoAE0ATQBTAF8AUwBvAHUAcgBjAGUAXABuACAAIAA9AEwAQQBNAEIARABBACgAXAAiAFYARQBFAFIARwAgADIAMAAyADYAOgAgADQALgAzAC4AMQAuADMALAAgAEUAcQB1AGEAdABpAG8AbgAgACgAMgApAFwAIgApADsAXABuAFwAbgBWAEUARQBSAEcAXwA0AF8AMwBfADEAXwAzAF8AXwAyAF8AVABvAHQAYQBsAE4AaQB0AHIAbwBnAGUAbgBJAG4ARQBhAGMAaABNAE0AUwBfAE4ASQBSAFIAZQBmAGUAcgBlAG4AYwBlAFwAbgAgACAAPQBMAEEATQBCAEQAQQAoAFwAIgBcACIAKQA7AFwAbgBcAG4AVgBFAEUAUgBHAF8ANABfADMAXwAxAF8AMwBfAF8AMgBfAFQAbwB0AGEAbABOAGkAdAByAG8AZwBlAG4ASQBuAEUAYQBjAGgATQBNAFMAXwBMAGEAdABlAHgARQBxAHUAYQB0AGkAbwBuAFwAbgAgACAAPQBMAEEATQBCAEQAQQAoAFwAIgBNAE4AXwB7AGoAbQB9AD0AQQBFAF8AagBcAFwAdABpAG0AZQBzACAATQBNAFMAXwB7AGoAbQB9AFwAIgApADsAXABuAFwAbgBWAEUARQBSAEcAXwA0AF8AMwBfADEAXwAzAF8AXwAyAF8AVABvAHQAYQBsAE4AaQB0AHIAbwBnAGUAbgBJAG4ARQBhAGMAaA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kAGEAaQByAHkAIABjAGwAYQBzAHMAXAAiACwAIABcACIAawBnACAATgBcACIALAAgAFwAIgBDAGEAbABjAHUAbABhAHQAZQBkACAAZgByAG8AbQAgADQALgAzAC4AMQAuADMAIAAoADMAYQApACAAYQBuAGQAIAAoADMAYgApAFwAIgA7AFwAbgAgACAAIAAgACAAIAAgACAAIAAgAFwAIgBNAE0AUwBfAGoAbQBcACIALAAgAFwAIgBtAGEAbgB1AHIAZQAgAG0AYQBuAGEAZwBlAG0AZQBuAHQAIABzAHkAcwB0AGUAbQAgAGYAcgBhAGMAdABpAG8AbgAgAGYAbwByACAAYwBsAGEAcwBzACAAagAgAGEAbgBkACAAcwB5AHMAdABlAG0AIA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wBhAF8AVABvAHQAYQBsAEEAbgBuAHUAYQBsAE4AaQB0AHIAbwBnAGUAbgBFAHgAYwByAGUAdABlAGQARwByAGUAYQB0AGUAcgBUAGgAYQBuAE8AbgBlAFkAZQBhAHIAXABuAFQAbwB0AGEAbAAgAGEAbgBuAHUAYQBsACAAbgBpAHQAcgBvAGcAZQBuACAAZQB4AGMAcgBlAHQAZQBkACAAYgB5ACAAZABhAGkAcgB5ACAAYwBhAHQAdABsAGUAIAA+ADEAIAB5AGUAYQByACAAbwBsAGQAXABuAEEARQBfAGoAMQAyADQAXABuAGsAZwAgAE4AXABuAEEARQBfAHsAagA9ADEALAAyACwANAB9AD0ATgBfAHsAagA9ADEALAAyACwANAB9AFwAXAB0AGkAbQBlAHMAIABOAEUAXwB7AGoAPQAxACwAMgAsADQAfQBcAFwAdABpAG0AZQBzACAAMwA2ADUAXABuAE4AXwBqADEAMgA0ACAAPQAgAG4AdQBtAGIAZQByACAAbwBmACAAZABhAGkAcgB5ACAAYwBhAHQAdABsAGUAIABpAG4AIABjAGwAYQBzAHMAZQBzACAAagA9ADEALAAyACwANABcAG4ATgBFAF8AagAxADIANAAgAD0AIABuAGkAdAByAG8AZwBlAG4AIABlAHgAYwByAGUAdABlAGQAIABiAHkAIABkAGEAaQByAHkAIABjAGEAdAB0AGwAZQAgAD4AMQAgAHkAZQBhAHIAIABvAGwAZAAgACgAawBnACAATgAvAGgAZQBhAGQALwBkAGEAeQApAFwAbgAtAC0ALQAtAC0ALQAtAC0ALQAtAC0ALQAtAC0ALQAtAC0ALQAtAC0ALQAtAC0ALQAtAC0ALQAtAC0ALQAtAC0ALQAtAC0ALQAtAC0AXABuACoALwBcAG4AXABuAFYARQBFAFIARwBfADQAXwAzAF8AMQBfADMAXwBfADMAYQBfAFQAbwB0AGEAbABBAG4AbgB1AGEAbABOAGkAdAByAG8AZwBlAG4ARQB4AGMAcgBlAHQAZQBkAEcAcgBlAGEAdABlAHIAVABoAGEAbgBPAG4AZQBZAGUAYQByAFwAbgAgACAAPQBMAEEATQBCAEQAQQAoAFwAbgAgACAAIAAgAE4AXwBqADEAMgA0ACwAIABOAEUAXwBqADEAMgA0ACwAXABuACAAIAAgACAATgBfAGoAMQAyADQAIAAqACAATgBFAF8AagAxADIANAAgACoAIAAzADYANQBcAG4AIAAgACkAOwBcAG4AXABuAFYARQBFAFIARwBfADQAXwAzAF8AMQBfADMAXwBfADMAYQBfAFQAbwB0AGEAbABBAG4AbgB1AGEAbABOAGkAdAByAG8AZwBlAG4ARQB4AGMAcgBlAHQAZQBkAEcAcgBlAGEAdABlAHIAVABoAGEAbgBPAG4AZQBZAGUAYQByAFYAYQByAGkAYQB0AGkAbwBuAFwAbgAgACAAPQBMAEEATQBCAEQAQQAoAFwAbgAgACAAIAAgAE4AXwBqADEAMgA0ACwAIABOAEUAXwBqADEAMgA0ACwAIABEAF8AagAxADIANAAsAFwAbgAgACAAIAAgAE4AXwBqADEAMgA0ACAAKgAgAE4ARQBfAGoAMQAyADQAIAAqACAARABfAGoAMQAyADQAXABuACAAIAApADsAXABuAFwAbgBWAEUARQBSAEcAXwA0AF8AMwBfADEAXwAzAF8AXwAzAGEAXwBUAG8AdABhAGwAQQBuAG4AdQBhAGwATgBpAHQAcgBvAGcAZQBuAEUAeABjAHIAZQB0AGUAZABHAHIAZQBhAHQAZQByAFQAaABhAG4ATwBuAGUAWQBlAGEAcgBfAFQAaQB0AGwAZQBcAG4AIAAgAD0ATABBAE0AQgBEAEEAKABcACIAVABvAHQAYQBsACAAYQBuAG4AdQBhAGwAIABuAGkAdAByAG8AZwBlAG4AIABlAHgAYwByAGUAdABlAGQAIABiAHkAIABkAGEAaQByAHkAIABjAGEAdAB0AGwAZQAgAGcAcgBlAGEAdABlAHIAIAB0AGgAYQBuACAAbwBuAGUAIAB5AGUAYQByACAAbwBsAGQAXAAiACkAOwBcAG4AXABuAFYARQBFAFIARwBfADQAXwAzAF8AMQBfADMAXwBfADMAYQBfAFQAbwB0AGEAbABBAG4AbgB1AGEAbABOAGkAdAByAG8AZwBlAG4ARQB4AGMAcgBlAHQAZQBkAEcAcgBlAGEAdABlAHIAVABoAGEAbgBPAG4AZQBZAGUAYQByAF8AVgBhAHIAaQBhAGIAbABlAFwAbgAgACAAPQBMAEEATQBCAEQAQQAoAFwAIgBBAEUAXwBqADEAMgA0AFwAIgApADsAXABuAFwAbgBWAEUARQBSAEcAXwA0AF8AMwBfADEAXwAzAF8AXwAzAGEAXwBUAG8AdABhAGwAQQBuAG4AdQBhAGwATgBpAHQAcgBvAGcAZQBuAEUAeABjAHIAZQB0AGUAZABHAHIAZQBhAHQAZQByAFQAaABhAG4ATwBuAGUAWQBlAGEAcgBfAFUAbgBpAHQAXABuACAAIAA9AEwAQQBNAEIARABBACgAXAAiAGsAZwAgAE4AXAAiACkAOwBcAG4AXABuAFYARQBFAFIARwBfADQAXwAzAF8AMQBfADMAXwBfADMAYQBfAFQAbwB0AGEAbABBAG4AbgB1AGEAbABOAGkAdAByAG8AZwBlAG4ARQB4AGMAcgBlAHQAZQBkAEcAcgBlAGEAdABlAHIAVABoAGEAbgBPAG4AZQBZAGUAYQByAF8AUwBvAHUAcgBjAGUAXABuACAAIAA9AEwAQQBNAEIARABBACgAXAAiAFYARQBFAFIARwAgADIAMAAyADYAOgAgADQALgAzAC4AMQAuADMALAAgAEUAcQB1AGEAdABpAG8AbgAgACgAMwBhACkAXAAiACkAOwBcAG4AXABuAFYARQBFAFIARwBfADQAXwAzAF8AMQBfADMAXwBfADMAYQBfAFQAbwB0AGEAbABBAG4AbgB1AGEAbABOAGkAdAByAG8AZwBlAG4ARQB4AGMAcgBlAHQAZQBkAEcAcgBlAGEAdABlAHIAVABoAGEAbgBPAG4AZQBZAGUAYQByAF8ATgBJAFIAUgBlAGYAZQByAGUAbgBjAGUAXABuACAAIAA9AEwAQQBNAEIARABBACgAXAAiAFwAIgApADsAXABuAFwAbgBWAEUARQBSAEcAXwA0AF8AMwBfADEAXwAzAF8AXwAzAGEAXwBUAG8AdABhAGwAQQBuAG4AdQBhAGwATgBpAHQAcgBvAGcAZQBuAEUAeABjAHIAZQB0AGUAZABHAHIAZQBhAHQAZQByAFQAaABhAG4ATwBuAGUAWQBlAGEAcgBfAEwAYQB0AGUAeABFAHEAdQBhAHQAaQBvAG4AXABuACAAIAA9AEwAQQBNAEIARABBACgAXAAiAEEARQBfAHsAagA9ADEALAAyACwANAB9AD0ATgBfAHsAagA9ADEALAAyACwANAB9AFwAXAB0AGkAbQBlAHMAIABOAEUAXwB7AGoAPQAxACwAMgAsADQAfQBcAFwAdABpAG0AZQBzACAAMwA2ADUAXAAiACkAOwBcAG4AXABuAFYARQBFAFIARwBfADQAXwAzAF8AMQBfADMAXwBfADMAYQBfAFQAbwB0AGEAbABBAG4AbgB1AGEAbABOAGkAdAByAG8AZwBlAG4ARQB4AGMAcgBlAHQAZQBkAEcAcgBlAGEAdABlAHIAVABoAGEAbgBPAG4AZQBZAGUAYQByAF8ATABhAHQAZQB4AEUAcQB1AGEAdABpAG8AbgBWAGEAcgBpAGEAdABpAG8AbgBcAG4AIAAgAD0ATABBAE0AQgBEAEEAKABcACIAQQBFAF8AewBqAD0AMQAsADIALAA0AH0APQBOAF8AewBqAD0AMQAsADIALAA0AH0AXABcAHQAaQBtAGUAcwAgAE4ARQBfAHsAagA9ADEALAAyACwANAB9AFwAXAB0AGkAbQBlAHMAIABEAF8AewBqAD0AMQAsADIALAA0AH0AXAAiACkAOwBcAG4AXABuAFYARQBFAFIARwBfADQAXwAzAF8AMQBfADMAXwBfADMAYQBfAFQAbwB0AGEAbABBAG4AbgB1AGEAbABOAGkAdAByAG8AZwBlAG4ARQB4AGMAcgBlAHQAZQBk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gBFAF8AagAxADIANABcACIALAAgAFwAIgBuAGkAdAByAG8AZwBlAG4AIABlAHgAYwByAGUAdABlAGQAIABiAHkAIABkAGEAaQByAHkAIABjAGEAdAB0AGwAZQAgAGcAcgBlAGEAdABlAHIAIAB0AGgAYQBuACAAbwBuAGUAIAB5AGUAYQByACAAbwBsAGQAIAAoAGsAZwAgAE4ALwBoAGUAYQBkAC8AZABhAHkAKQBcACIALAAgAFwAIgBrAGcAIABOAC8AaABlAGEAZAAvAGQAYQB5AFwAIgAsACAAXAAiAEMAYQBsAGMAdQBsAGEAdABlAGQAIABmAHIAbwBtACAANAAuADMALgAxAC4AMwAgACgANAApAFwAIgA7AFwAbgAgACAAIAAgACAAIAAgACAAIAAgAFwAIgBEAF8AagAxADIANABcACIALAAgAFwAIgBkAHUAcgBhAHQAaQBvAG4AIABvAGYAIABzAHQAYQB5ACAAbwBuACAAZgBhAHIAbQAgAGYAbwByACAAYwBsAGEAcwBzAGUAcwAgAGoAPQAxACwAMgAsADQAIAAoAGQAYQB5AHMAKQBcACIALAAgAFwAIgBkAGEAeQBzAFwAIgAsACAAXAAiAEkAbgBwAHUAdABcACIAXABuACAAIAAgACAAIAAgACAAIAB9ACwAIAByACwAIABjACkAXABuACAAIAAgACAAIAAgACkAXABuACAAIAAgACAAKQBcAG4AIAAgACkAOwBcAG4AXABuAFYARQBFAFIARwBfADQAXwAzAF8AMQBfADMAXwBfADMAYQBfAFQAbwB0AGEAbABBAG4AbgB1AGEAbABOAGkAdAByAG8AZwBlAG4ARQB4AGMAcgBlAHQAZQBkAEcAcgBlAGEAdABlAHIAVABoAGEAbgBPAG4AZQBZAGUAYQByAF8AVgBhAHIAaQBhAHQAaQBvAG4AXABuACAAIAA9AEwAQQBNAEIARABBACgAXAAiAFYAQQBSAEkAQQBUAEkATwBOADoAIABVAHMAZQBkACAARAB1AHIAYQB0AGkAbwBuACAAdgBhAHIAaQBhAGIAbABlAHMAIABpAG4AcwB0AGUAYQBkACAAbwBmACAAaABhAHIAZAAtAGMAbwBkAGUAZAAgADMANgA1ACAAdgBhAGwAdQBlAC4AXAAiACkAOwBcAG4AXABuAC8AKgBcAG4ALQAtAC0ALQAtAC0ALQAtAC0ALQAtAC0ALQAtAC0ALQAtAC0ALQAtAC0ALQAtAC0ALQAtAC0ALQAtAC0ALQAtAC0ALQAtAC0ALQAtAFwAbgBWAEUARQBSAEcAXwA0AF8AMwBfADEAXwAzAF8AXwAzAGIAXwBUAG8AdABhAGwAQQBuAG4AdQBhAGwATgBpAHQAcgBvAGcAZQBuAEUAeABjAHIAZQB0AGUAZABMAGUAcwBzAFQAaABhAG4ATwBuAGUAWQBlAGEAcgBcAG4AVABvAHQAYQBsACAAYQBuAG4AdQBhAGwAIABuAGkAdAByAG8AZwBlAG4AIABlAHgAYwByAGUAdABlAGQAIABiAHkAIABkAGEAaQByAHkAIABjAGEAdAB0AGwAZQAgADwAMQAgAHkAZQBhAHIAIABvAGwAZABcAG4AQQBFAF8AagAzADUAXABuAGsAZwAgAE4AXABuAEEARQBfAHsAagA9ADMALAA1AH0APQAoAE4AXwB7AGoAPQAzACwANQB9AFwAXAB0AGkAbQBlAHMAIABOAEUAXwB7AGoAPQAzACwANQB9AFwAXAB0AGkAbQBlAHMAIAAyADgAMQApACsAKABOAF8AewBqAD0AMwAsADUAfQBcAFwAdABpAG0AZQBzACAATgBQAFcAXwB7AGoAPQAzACwANQB9AFwAXAB0AGkAbQBlAHMAIAA4ADQAKQBcAG4ATgBfAGoAMwA1ACAAPQAgAG4AdQBtAGIAZQByACAAbwBmACAAZABhAGkAcgB5ACAAYwBhAHQAdABsAGUAIABpAG4AIABjAGwAYQBzAHMAZQBzACAAagA9ADMALAA1AFwAbgBOAEUAXwBqADMANQAgAD0AIABuAGkAdAByAG8AZwBlAG4AIABlAHgAYwByAGUAdABlAGQAIABiAHkAIAB3AGUAYQBuAGUAZAAgAGQAYQBpAHIAeQAgAGMAYQB0AHQAbABlACAAPAAxACAAeQBlAGEAcgAgAG8AbABkACAAKABrAGcAIABOAC8AaABlAGEAZAAvAGQAYQB5ACkAXABuAE4AUABXAF8AagAzADUAIAA9ACAAbgBpAHQAcgBvAGcAZQBuACAAZQB4AGMAcgBlAHQAZQBkACAAYgB5ACAAcAByAGUALQB3AGUAYQBuAGUAZAAgAGMAYQBsAHYAZQBzACAAKABrAGcAIABOAC8AaABlAGEAZAAvAGQAYQB5ACkAXABuAC0ALQAtAC0ALQAtAC0ALQAtAC0ALQAtAC0ALQAtAC0ALQAtAC0ALQAtAC0ALQAtAC0ALQAtAC0ALQAtAC0ALQAtAC0ALQAtAC0ALQBcAG4AKgAvAFwAbgBcAG4AVgBFAEUAUgBHAF8ANABfADMAXwAxAF8AMwBfAF8AMwBiAF8AVABvAHQAYQBsAEEAbgBuAHUAYQBsAE4AaQB0AHIAbwBnAGUAbgBFAHgAYwByAGUAdABlAGQATABlAHMAcwBUAGgAYQBuAE8AbgBlAFkAZQBhAHIAXABuACAAIAA9AEwAQQBNAEIARABBACgAXABuACAAIAAgACAATgBfAGoAMwA1ACwAIABOAEUAXwBqADMANQAsACAATgBQAFcAXwBqADMANQAsAFwAbgAgACAAIAAgACgATgBfAGoAMwA1ACAAKgAgAE4ARQBfAGoAMwA1ACAAKgAgADIAOAAxACkAIAArACAAKABOAF8AagAzADUAIAAqACAATgBQAFcAXwBqADMANQAgACoAIAA4ADQAKQBcAG4AIAAgACkAOwBcAG4AXABuAFYARQBFAFIARwBfADQAXwAzAF8AMQBfADMAXwBfADMAYgBfAFQAbwB0AGEAbABBAG4AbgB1AGEAbABOAGkAdAByAG8AZwBlAG4ARQB4AGMAcgBlAHQAZQBkAEwAZQBzAHMAVABoAGEAbgBPAG4AZQBZAGUAYQByAFYAYQByAGkAYQB0AGkAbwBuAFwAbgAgACAAPQBMAEEATQBCAEQAQQAoAFwAbgAgACAAIAAgAE4AXwBqADMANQAsACAATgBFAF8AagAzADUALAAgAE4AUABXAF8AagAzADUALAAgAEQAXwBqADMANQAsACAARABQAFcAXwBqADMANQAsAFwAbgAgACAAIAAgACgATgBfAGoAMwA1ACAAKgAgAE4ARQBfAGoAMwA1ACAAKgAgAEQAXwBqADMANQApACAAKwAgACgATgBfAGoAMwA1ACAAKgAgAE4AUABXAF8AagAzADUAIAAqACAARABQAFcAXwBqADMANQApAFwAbgAgACAAKQA7AFwAbgBcAG4AVgBFAEUAUgBHAF8ANABfADMAXwAxAF8AMwBfAF8AMwBiAF8AVABvAHQAYQBsAEEAbgBuAHUAYQBsAE4AaQB0AHIAbwBnAGUAbgBFAHgAYwByAGUAdABlAGQATABlAHMAcwBUAGgAYQBuAE8AbgBlAFkAZQBhAHIAXwBUAGkAdABsAGUAXABuACAAIAA9AEwAQQBNAEIARABBACgAXAAiAFQAbwB0AGEAbAAgAGEAbgBuAHUAYQBsACAAbgBpAHQAcgBvAGcAZQBuACAAZQB4AGMAcgBlAHQAZQBkACAAYgB5ACAAZABhAGkAcgB5ACAAYwBhAHQAdABsAGUAIABsAGUAcwBzACAAdABoAGEAbgAgAG8AbgBlACAAeQBlAGEAcgAgAG8AbABkAFwAIgApADsAXABuAFwAbgBWAEUARQBSAEcAXwA0AF8AMwBfADEAXwAzAF8AXwAzAGIAXwBUAG8AdABhAGwAQQBuAG4AdQBhAGwATgBpAHQAcgBvAGcAZQBuAEUAeABjAHIAZQB0AGUAZABMAGUAcwBzAFQAaABhAG4ATwBuAGUAWQBlAGEAcgBfAFYAYQByAGkAYQBiAGwAZQBcAG4AIAAgAD0ATABBAE0AQgBEAEEAKABcACIAQQBFAF8AagAzADUAXAAiACkAOwBcAG4AXABuAFYARQBFAFIARwBfADQAXwAzAF8AMQBfADMAXwBfADMAYgBfAFQAbwB0AGEAbABBAG4AbgB1AGEAbABOAGkAdAByAG8AZwBlAG4ARQB4AGMAcgBlAHQAZQBkAEwAZQBzAHMAVABoAGEAbgBPAG4AZQBZAGUAYQByAF8AVQBuAGkAdABcAG4AIAAgAD0ATABBAE0AQgBEAEEAKABcACIAawBnACAATgBcACIAKQA7AFwAbgBcAG4AVgBFAEUAUgBHAF8ANABfADMAXwAxAF8AMwBfAF8AMwBiAF8AVABvAHQAYQBsAEEAbgBuAHUAYQBsAE4AaQB0AHIAbwBnAGUAbgBFAHgAYwByAGUAdABlAGQATABlAHMAcwBUAGgAYQBuAE8AbgBlAFkAZQBhAHIAXwBTAG8AdQByAGMAZQBcAG4AIAAgAD0ATABBAE0AQgBEAEEAKABcACIAVgBFAEUAUgBHACAAMgAwADIANgA6ACAANAAuADMALgAxAC4AMwAsACAARQBxAHUAYQB0AGkAbwBuACAAKAAzAGIAKQBcACIAKQA7AFwAbgBcAG4AVgBFAEUAUgBHAF8ANABfADMAXwAxAF8AMwBfAF8AMwBiAF8AVABvAHQAYQBsAEEAbgBuAHUAYQBsAE4AaQB0AHIAbwBnAGUAbgBFAHgAYwByAGUAdABlAGQATABlAHMAcwBUAGgAYQBuAE8AbgBlAFkAZQBhAHIAXwBOAEkAUgBSAGUAZgBlAHIAZQBuAGMAZQBcAG4AIAAgAD0ATABBAE0AQgBEAEEAKABcACIAXAAiACkAOwBcAG4AXABuAFYARQBFAFIARwBfADQAXwAzAF8AMQBfADMAXwBfADMAYgBfAFQAbwB0AGEAbABBAG4AbgB1AGEAbABOAGkAdAByAG8AZwBlAG4ARQB4AGMAcgBlAHQAZQBkAEwAZQBzAHMAVABoAGEAbgBPAG4AZQBZAGUAYQByAF8ATABhAHQAZQB4AEUAcQB1AGEAdABpAG8AbgBcAG4AIAAgAD0ATABBAE0AQgBEAEEAKABcACIAQQBFAF8AewBqAD0AMwAsADUAfQA9ACgATgBfAHsAagA9ADMALAA1AH0AXABcAHQAaQBtAGUAcwAgAE4ARQBfAHsAagA9ADMALAA1AH0AXABcAHQAaQBtAGUAcwAgADIAOAAxACkAKwAoAE4AXwB7AGoAPQAzACwANQB9AFwAXAB0AGkAbQBlAHMAIABOAFAAVwBfAHsAagA9ADMALAA1AH0AXABcAHQAaQBtAGUAcwAgADgANAApAFwAIgApADsAXABuAFwAbgBWAEUARQBSAEcAXwA0AF8AMwBfADEAXwAzAF8AXwAzAGIAXwBUAG8AdABhAGwAQQBuAG4AdQBhAGwATgBpAHQAcgBvAGcAZQBuAEUAeABjAHIAZQB0AGUAZABMAGUAcwBzAFQAaABhAG4ATwBuAGUAWQBlAGEAcgBfAEwAYQB0AGUAeABFAHEAdQBhAHQAaQBvAG4AVgBhAHIAaQBhAHQAaQBvAG4AXABuACAAIAA9AEwAQQBNAEIARABBACgAXAAiAEEARQBfAHsAagA9ADMALAA1AH0APQAoAE4AXwB7AGoAPQAzACwANQB9AFwAXAB0AGkAbQBlAHMAIABOAEUAXwB7AGoAPQAzACwANQB9AFwAXAB0AGkAbQBlAHMAIABEAF8AewBqAD0AMwAsADUAfQApACsAKABOAF8AewBqAD0AMwAsADUAfQBcAFwAdABpAG0AZQBzACAATgBQAFcAXwB7AGoAPQAzACwANQB9AFwAXAB0AGkAbQBlAHMAIABEAFAAVwBfAHsAagA9ADMALAA1AH0AKQBcACIAKQA7AFwAbgBcAG4AVgBFAEUAUgBHAF8ANABfADMAXwAxAF8AMwBfAF8AMwBiAF8AVABvAHQAYQBsAEEAbgBuAHUAYQBsAE4AaQB0AHIAbwBnAGUAbgBFAHgAYwByAGUAdABlAGQATABlAHMAcwBUAGgAYQBuAE8AbgBlAFkAZQBhAHIAXwBBAHIAZwB1AG0AZQBuAHQAcwBcAG4AIAAgAD0ATABBAE0AQgBEAEEAKABcAG4AIAAgACAAIABNAEEASwBFAEEAUgBSAEEAWQAoADUALAAgADQALABcAG4AIAAgACAAIAAgACAATABBAE0AQgBEAEEAKAByACwAYwAsAFwAbgAgACAAIAAgACAAIAAgACAASQBOAEQARQBYACgAewBcAG4AIAAgACAAIAAgACAAIAAgACAAIABcACIATgBfAGoAMwA1AFwAIgAsACAAXAAiAG4AdQBtAGIAZQByACAAbwBmACAAZABhAGkAcgB5ACAAYwBhAHQAdABsAGUAIABpAG4AIABjAGwAYQBzAHMAZQBzACAAagA9ADMALAA1AFwAIgAsACAAXAAiAGgAZQBhAGQAXAAiACwAIABcACIASQBuAHAAdQB0AFwAIgA7AFwAbgAgACAAIAAgACAAIAAgACAAIAAgAFwAIgBOAEUAXwBqADMANQBcACIALAAgAFwAIgBuAGkAdAByAG8AZwBlAG4AIABlAHgAYwByAGUAdABlAGQAIABiAHkAIAB3AGUAYQBuAGUAZAAgAGQAYQBpAHIAeQAgAGMAYQB0AHQAbABlACAAbABlAHMAcwAgAHQAaABhAG4AIABvAG4AZQAgAHkAZQBhAHIAIABvAGwAZAAgACgAawBnACAATgAvAGgAZQBhAGQALwBkAGEAeQApAFwAIgAsACAAXAAiAGsAZwAgAE4ALwBoAGUAYQBkAC8AZABhAHkAXAAiACwAIABcACIAQwBhAGwAYwB1AGwAYQB0AGUAZAAgAGYAcgBvAG0AIAA0AC4AMwAuADEALgAzACAAKAA0ACkAXAAiADsAXABuACAAIAAgACAAIAAgACAAIAAgACAAXAAiAE4AUABXAF8AagAzADUAXAAiACwAIABcACIAbgBpAHQAcgBvAGcAZQBuACAAZQB4AGMAcgBlAHQAZQBkACAAYgB5ACAAcAByAGUALQB3AGUAYQBuAGUAZAAgAGMAYQBsAHYAZQBzACAAKABrAGcAIABOAC8AaABlAGEAZAAvAGQAYQB5ACkAXAAiACwAIABcACIAawBnACAATgAvAGgAZQBhAGQALwBkAGEAeQBcACIALAAgAFwAIgBDAG8AbgBzAHQAYQBuAHQAXAAiADsAXABuACAAIAAgACAAIAAgACAAIAAgACAAXAAiAEQAXwBqADMANQBcACIALAAgAFwAIgBkAHUAcgBhAHQAaQBvAG4AIABvAGYAIABzAHQAYQB5ACAAbwBuACAAZgBhAHIAbQAgAGYAbwByACAAdwBlAGEAbgBlAGQAIABkAGEAaQByAHkAIABjAGEAdAB0AGwAZQAgAGwAZQBzAHMAIAB0AGgAYQBuACAAbwBuAGUAIAB5AGUAYQByACAAbwBsAGQAIAAoAGQAYQB5AHMAKQBcACIALAAgAFwAIgBkAGEAeQBzAFwAIgAsACAAXAAiAEkAbgBwAHUAdABcACIAOwBcAG4AIAAgACAAIAAgACAAIAAgACAAIABcACIARABQAFcAXwBqADMANQBcACIALAAgAFwAIgBkAHUAcgBhAHQAaQBvAG4AIABvAGYAIABzAHQAYQB5ACAAbwBuACAAZgBhAHIAbQAgAGYAbwByACAAcAByAGUALQB3AGUAYQBuAGUAZAAgAGMAYQBsAHYAZQBzACAAKABkAGEAeQBzACkAXAAiACwAIABcACIAZABhAHkAcwBcACIALAAgAFwAIgBJAG4AcAB1AHQAXAAiAFwAbgAgACAAIAAgACAAIAAgACAAfQAsACAAcgAsACAAYwApAFwAbgAgACAAIAAgACAAIAApAFwAbgAgACAAIAAgACkAXABuACAAIAApADsAXABuAFwAbgBWAEUARQBSAEcAXwA0AF8AMwBfADEAXwAzAF8AXwAzAGIAXwBUAG8AdABhAGwAQQBuAG4AdQBhAGwATgBpAHQAcgBvAGcAZQBuAEUAeABjAHIAZQB0AGUAZABMAGUAcwBzAFQAaABhAG4ATwBuAGUAWQBlAGEAcgBfAFYAYQByAGkAYQB0AGkAbwBuAFwAbgAgACAAPQBMAEEATQBCAEQAQQAoAFwAIgBWAEEAUgBJAEEAVABJAE8ATgA6ACAAVQBzAGUAZAAgAEQAdQByAGEAdABpAG8AbgAgAHYAYQByAGkAYQBiAGwAZQBzACAAaQBuAHMAdABlAGEAZAAgAG8AZgAgAGgAYQByAGQALQBjAG8AZABlAGQAIAAyADgAMQAgAGEAbgBkACAAOAA0ACAAdgBhAGwAdQBlAHMALgBcACIAKQA7AFwAbgBcAG4ALwAqAFwAbgAtAC0ALQAtAC0ALQAtAC0ALQAtAC0ALQAtAC0ALQAtAC0ALQAtAC0ALQAtAC0ALQAtAC0ALQAtAC0ALQAtAC0ALQAtAC0ALQAtAC0AXABuAFYARQBFAFIARwBfADQAXwAzAF8AMQBfADMAXwBfADQAXwBOAGkAdAByAG8AZwBlAG4ARQB4AGMAcgBlAHQAZQBkAEIAeQBEAGEAaQByAHkAQwBhAHQAdABsAGUARwByAGUAYQB0AGUAcgBUAGgAYQBuAE8AbgBlAFkAZQBhAHIAXABuAE4AaQB0AHIAbwBnAGUAbgAgAGUAeABjAHIAZQB0AGUAZAAgAGIAeQAgAGQAYQBpAHIAeQAgAGMAYQB0AHQAbABlACAAPgAxACAAeQBlAGEAcgAgAG8AbABkAFwAbgBOAEUAXwBqAFwAbgBrAGcAIABOAC8AaABlAGEAZAAvAGQAYQB5AFwAbgBOAEUAXwBqAD0AKABDAFAASQBfAGoALwA2AC4AMgA1ACkALQBOAFIAXwBqAC0AKAAoADEALgAxAFwAXAB0AGkAbQBlAHMAIAAxADAAXgB7AC0ANAB9AFwAXAB0AGkAbQBlAHMAIABXAF8AagBeAHsAMAAuADcANQB9ACkALwA2AC4AMgA1ACkAXABuAEMAUABJAF8AagAgAD0AIABjAHIAdQBkAGUAIABwAHIAbwB0AGUAaQBuACAAaQBuAHQAYQBrAGUAIAAoAGsAZwAvAGgAZQBhAGQALwBkAGEAeQApAFwAbgBOAFIAXwBqACAAPQAgAGEAbQBvAHUAbgB0ACAAbwBmACAAbgBpAHQAcgBvAGcAZQBuACAAcgBlAHQAYQBpAG4AZQBkACAAYgB5ACAAdABoAGUAIABiAG8AZAB5ACAAKABrAGcAIABOAC8AaABlAGEAZAAvAGQAYQB5ACkAXABuAFcAXwBqACAAPQAgAGwAaQB2AGUAdwBlAGkAZwBoAHQAIAAoAGsAZwApAFwAbgAtAC0ALQAtAC0ALQAtAC0ALQAtAC0ALQAtAC0ALQAtAC0ALQAtAC0ALQAtAC0ALQAtAC0ALQAtAC0ALQAtAC0ALQAtAC0ALQAtAC0AXABuACoALwBcAG4AXABuAFYARQBFAFIARwBfADQAXwAzAF8AMQBfADMAXwBfADQAXwBOAGkAdAByAG8AZwBlAG4ARQB4AGMAcgBlAHQAZQBkAEIAeQBEAGEAaQByAHkAQwBhAHQAdABsAGUARwByAGUAYQB0AGUAcgBUAGgAYQBuAE8AbgBlAFkAZQBhAHIAXABuACAAIAA9AEwAQQBNAEIARABBACgAXABuACAAIAAgACAAQwBQAEkAXwBqACwAIABOAFIAXwBqACwAIABXAF8AagAsAFwAbgAgACAAIAAgACgAQwBQAEkAXwBqACAALwAgADYALgAyADUAKQAgAC0AIABOAFIAXwBqACAALQAgACgAKAAxAC4AMQAgACoAIAAxADAAIABeACAALQA0ACAAKgAgAFcAXwBqACAAXgAgADAALgA3ADUAKQAgAC8AIAA2AC4AMgA1ACkAXABuACAAIAApADsAXABuAFwAbgBWAEUARQBSAEcAXwA0AF8AMwBfADEAXwAzAF8AXwA0AF8ATgBpAHQAcgBvAGcAZQBuAEUAeABjAHIAZQB0AGUAZABCAHkARABhAGkAcgB5AEMAYQB0AHQAbABlAEcAcgBlAGEAdABlAHIAVABoAGEAbgBPAG4AZQBZAGUAYQByAF8AVABpAHQAbABlAFwAbgAgACAAPQBMAEEATQBCAEQAQQAoAFwAIgBOAGkAdAByAG8AZwBlAG4AIABlAHgAYwByAGUAdABlAGQAIABiAHkAIABkAGEAaQByAHkAIABjAGEAdAB0AGwAZQAgAGcAcgBlAGEAdABlAHIAIAB0AGgAYQBuACAAbwBuAGUAIAB5AGUAYQByACAAbwBsAGQAXAAiACkAOwBcAG4AXABuAFYARQBFAFIARwBfADQAXwAzAF8AMQBfADMAXwBfADQAXwBOAGkAdAByAG8AZwBlAG4ARQB4AGMAcgBlAHQAZQBkAEIAeQBEAGEAaQByAHkAQwBhAHQAdABsAGUARwByAGUAYQB0AGUAcgBUAGgAYQBuAE8AbgBlAFkAZQBhAHIAXwBWAGEAcgBpAGEAYgBsAGUAXABuACAAIAA9AEwAQQBNAEIARABBACgAXAAiAE4ARQBfAGoAXAAiACkAOwBcAG4AXABuAFYARQBFAFIARwBfADQAXwAzAF8AMQBfADMAXwBfADQAXwBOAGkAdAByAG8AZwBlAG4ARQB4AGMAcgBlAHQAZQBkAEIAeQBEAGEAaQByAHkAQwBhAHQAdABsAGUARwByAGUAYQB0AGUAcgBUAGgAYQBuAE8AbgBlAFkAZQBhAHIAXwBVAG4AaQB0AFwAbgAgACAAPQBMAEEATQBCAEQAQQAoAFwAIgBrAGcAIABOAC8AaABlAGEAZAAvAGQAYQB5AFwAIgApADsAXABuAFwAbgBWAEUARQBSAEcAXwA0AF8AMwBfADEAXwAzAF8AXwA0AF8ATgBpAHQAcgBvAGcAZQBuAEUAeABjAHIAZQB0AGUAZABCAHkARABhAGkAcgB5AEMAYQB0AHQAbABlAEcAcgBlAGEAdABlAHIAVABoAGEAbgBPAG4AZQBZAGUAYQByAF8AUwBvAHUAcgBjAGUAXABuACAAIAA9AEwAQQBNAEIARABBACgAXAAiAFYARQBFAFIARwAgADIAMAAyADYAOgAgADQALgAzAC4AMQAuADMALAAgAEUAcQB1AGEAdABpAG8AbgAgACgANAApAFwAIgApADsAXABuAFwAbgBWAEUARQBSAEcAXwA0AF8AMwBfADEAXwAzAF8AXwA0AF8ATgBpAHQAcgBvAGcAZQBuAEUAeABjAHIAZQB0AGUAZABCAHkARABhAGkAcgB5AEMAYQB0AHQAbABlAEcAcgBlAGEAdABlAHIAVABoAGEAbgBPAG4AZQBZAGUAYQByAF8ATgBJAFIAUgBlAGYAZQByAGUAbgBjAGUAXABuACAAIAA9AEwAQQBNAEIARABBACgAXAAiAFwAIgApADsAXABuAFwAbgBWAEUARQBSAEcAXwA0AF8AMwBfADEAXwAzAF8AXwA0AF8ATgBpAHQAcgBvAGcAZQBuAEUAeABjAHIAZQB0AGUAZABCAHkARABhAGkAcgB5AEMAYQB0AHQAbABlAEcAcgBlAGEAdABlAHIAVABoAGEAbgBPAG4AZQBZAGUAYQByAF8ATABhAHQAZQB4AEUAcQB1AGEAdABpAG8AbgBcAG4AIAAgAD0ATABBAE0AQgBEAEEAKABcACIATgBFAF8AagA9ACgAXABcAGYAcgBhAGMAewBDAFAASQBfAGoAfQB7ADYALgAyADUAfQApAC0ATgBSAF8AagAtAFwAXABsAGUAZgB0AFsAXABcAGYAcgBhAGMAewAxAC4AMQBcAFwAdABpAG0AZQBzADEAMABeAHsALQA0AH0AIABcAFwAdABpAG0AZQBzACAAVwBfAGoAXgB7ADAALgA3ADUAfQB9AHsANgAuADIANQB9AFwAXAByAGkAZwBoAHQAXQBcACIAKQA7AFwAbgBcAG4AVgBFAEUAUgBHAF8ANABfADMAXwAxAF8AMwBfAF8ANABfAE4AaQB0AHIAbwBnAGUAbgBFAHgAYwByAGUAdABlAGQAQgB5AEQAYQBpAHIAeQBDAGEAdAB0AGwAZQBHAHIAZQBhAHQAZQByAFQAaABhAG4ATwBuAGUAWQBlAGEAcgBfAEEAcgBnAHUAbQBlAG4AdABzAFwAbgAgACAAPQBMAEEATQBCAEQAQQAoAFwAbgAgACAAIAAgAE0AQQBLAEUAQQBSAFIAQQBZACgAMwAsACAANAAsAFwAbgAgACAAIAAgACAAIABMAEEATQBCAEQAQQAoAHIALABjACwAXABuACAAIAAgACAAIAAgACAAIABJAE4ARABFAFgAKAB7AFwAbgAgACAAIAAgACAAIAAgACAAIAAgAFwAIgBDAFAASQBfAGoAXAAiACwAIABcACIAYwByAHUAZABlACAAcAByAG8AdABlAGkAbgAgAGkAbgB0AGEAawBlACAAKABrAGcALwBoAGUAYQBkAC8AZABhAHkAKQBcACIALAAgAFwAIgBrAGcALwBoAGUAYQBkAC8AZABhAHkAXAAiACwAIABcACIAQwBhAGwAYwB1AGwAYQB0AGUAZAAgAGYAcgBvAG0AIAA0AC4AMwAuADEALgAzACAAKAA1ACkAXAAiADsAXABuACAAIAAgACAAIAAgACAAIAAgACAAXAAiAE4AUgBfAGoAXAAiACwAIABcACIAYQBtAG8AdQBuAHQAIABvAGYAIABuAGkAdAByAG8AZwBlAG4AIAByAGUAdABhAGkAbgBlAGQAIABiAHkAIAB0AGgAZQAgAGIAbwBkAHkAXAAiACwAIABcACIAawBnACAATgAvAGgAZQBhAGQALwBkAGEAeQBcACIALAAgAFwAIgBDAGEAbABjAHUAbABhAHQAZQBkACAAZgByAG8AbQAgADQALgAzAC4AMQAuADMAIAAoADYAKQBcACIAOwBcAG4AIAAgACAAIAAgACAAIAAgACAAIABcACIAVwBfAGoAXAAiACwAIABcACIAbABpAHYAZQB3AGUAaQBnAGgAdAAgACgAawBnACkAXAAiACwAIABcACIAawBn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1AF8AQwByAHUAZABlAFAAcgBvAHQAZQBpAG4ASQBuAHQAYQBrAGUATwBmAEQAYQBpAHIAeQBDAGEAdAB0AGwAZQBcAG4AQwByAHUAZABlACAAcAByAG8AdABlAGkAbgAgAGkAbgB0AGEAawBlACAAbwBmACAAZABhAGkAcgB5ACAAYwBhAHQAdABsAGUAXABuAEMAUABJAF8AagBcAG4AawBnAC8AaABlAGEAZAAvAGQAYQB5AFwAbgBDAFAASQBfAGoAPQBJAF8AagBcAFwAdABpAG0AZQBzACAAQwBQAF8AagBcAG4ASQBfAGoAIAA9ACAAZAByAHkAIABtAGEAdAB0AGUAcgAgAGkAbgB0AGEAawBlACAAKABrAGcARABNAC8AaABlAGEAZAAvAGQAYQB5ACkAXABuAEMAUABfAGoAIAA9ACAAYwByAHUAZABlACAAcAByAG8AdABlAGkAbgAgAGMAbwBuAHQAZQBuAHQAIABvAGYAIABmAGUAZQBkACAAaQBuAHQAYQBrAGUAIAAoAGYAcgBhAGMAdABpAG8AbgApAFwAbgAtAC0ALQAtAC0ALQAtAC0ALQAtAC0ALQAtAC0ALQAtAC0ALQAtAC0ALQAtAC0ALQAtAC0ALQAtAC0ALQAtAC0ALQAtAC0ALQAtAC0AXABuACoALwBcAG4AXABuAFYARQBFAFIARwBfADQAXwAzAF8AMQBfADMAXwBfADUAXwBDAHIAdQBkAGUAUAByAG8AdABlAGkAbgBJAG4AdABhAGsAZQBPAGYARABhAGkAcgB5AEMAYQB0AHQAbABlAFwAbgAgACAAPQBMAEEATQBCAEQAQQAoAFwAbgAgACAAIAAgAEkAXwBqACwAIABDAFAAXwBqACwAXABuACAAIAAgACAASQBfAGoAIAAqACAAQwBQAF8AagBcAG4AIAAgACkAOwBcAG4AXABuAFYARQBFAFIARwBfADQAXwAzAF8AMQBfADMAXwBfADUAXwBDAHIAdQBkAGUAUAByAG8AdABlAGkAbgBJAG4AdABhAGsAZQBPAGYARABhAGkAcgB5AEMAYQB0AHQAbABlAF8AVABpAHQAbABlAFwAbgAgACAAPQBMAEEATQBCAEQAQQAoAFwAIgBDAHIAdQBkAGUAIABwAHIAbwB0AGUAaQBuACAAaQBuAHQAYQBrAGUAIABvAGYAIABkAGEAaQByAHkAIABjAGEAdAB0AGwAZQBcACIAKQA7AFwAbgBcAG4AVgBFAEUAUgBHAF8ANABfADMAXwAxAF8AMwBfAF8ANQBfAEMAcgB1AGQAZQBQAHIAbwB0AGUAaQBuAEkAbgB0AGEAawBlAE8AZgBEAGEAaQByAHkAQwBhAHQAdABsAGUAXwBWAGEAcgBpAGEAYgBsAGUAXABuACAAIAA9AEwAQQBNAEIARABBACgAXAAiAEMAUABJAF8AagBcACIAKQA7AFwAbgBcAG4AVgBFAEUAUgBHAF8ANABfADMAXwAxAF8AMwBfAF8ANQBfAEMAcgB1AGQAZQBQAHIAbwB0AGUAaQBuAEkAbgB0AGEAawBlAE8AZgBEAGEAaQByAHkAQwBhAHQAdABsAGUAXwBVAG4AaQB0AFwAbgAgACAAPQBMAEEATQBCAEQAQQAoAFwAIgBrAGcALwBoAGUAYQBkAC8AZABhAHkAXAAiACkAOwBcAG4AXABuAFYARQBFAFIARwBfADQAXwAzAF8AMQBfADMAXwBfADUAXwBDAHIAdQBkAGUAUAByAG8AdABlAGkAbgBJAG4AdABhAGsAZQBPAGYARABhAGkAcgB5AEMAYQB0AHQAbABlAF8AUwBvAHUAcgBjAGUAXABuACAAIAA9AEwAQQBNAEIARABBACgAXAAiAFYARQBFAFIARwAgADIAMAAyADYAOgAgADQALgAzAC4AMQAuADMALAAgAEUAcQB1AGEAdABpAG8AbgAgACgANQApAFwAIgApADsAXABuAFwAbgBWAEUARQBSAEcAXwA0AF8AMwBfADEAXwAzAF8AXwA1AF8AQwByAHUAZABlAFAAcgBvAHQAZQBpAG4ASQBuAHQAYQBrAGUATwBmAEQAYQBpAHIAeQBDAGEAdAB0AGwAZQBfAE4ASQBSAFIAZQBmAGUAcgBlAG4AYwBlAFwAbgAgACAAPQBMAEEATQBCAEQAQQAoAFwAIgBcACIAKQA7AFwAbgBcAG4AVgBFAEUAUgBHAF8ANABfADMAXwAxAF8AMwBfAF8ANQBfAEMAcgB1AGQAZQBQAHIAbwB0AGUAaQBuAEkAbgB0AGEAawBlAE8AZgBEAGEAaQByAHkAQwBhAHQAdABsAGUAXwBMAGEAdABlAHgARQBxAHUAYQB0AGkAbwBuAFwAbgAgACAAPQBMAEEATQBCAEQAQQAoAFwAIgBDAFAASQBfAGoAPQBJAF8AagBcAFwAdABpAG0AZQBzACAAQwBQAF8AagBcACIAKQA7AFwAbgBcAG4AVgBFAEUAUgBHAF8ANABfADMAXwAxAF8AMwBfAF8ANQBfAEMAcgB1AGQAZQBQAHIAbwB0AGUAaQBuAEkAbgB0AGEAawBlAE8AZgBEAGEAaQByAHkAQwBhAHQAdABsAGUAXwBBAHIAZwB1AG0AZQBuAHQAcwBcAG4AIAAgAD0ATABBAE0AQgBEAEEAKABcAG4AIAAgACAAIABNAEEASwBFAEEAUgBSAEEAWQAoADIALAAgADQALABcAG4AIAAgACAAIAAgACAATABBAE0AQgBEAEEAKAByACwAYwAsAFwAbgAgACAAIAAgACAAIAAgACAASQBOAEQARQBYACgAewBcAG4AIAAgACAAIAAgACAAIAAgACAAIABcACIASQBfAGoAXAAiACwAIABcACIAZAByAHkAIABtAGEAdAB0AGUAcgAgAGkAbgB0AGEAawBlAFwAIgAsACAAXAAiAGsAZwBEAE0ALwBoAGUAYQBkAC8AZABhAHkAXAAiACwAIABcACIAQwBhAGwAYwB1AGwAYQB0AGUAZAAgAGYAcgBvAG0AIAAzAC4AMwAuADEALgAxACAAKAAzACkAXAAiADsAXABuACAAIAAgACAAIAAgACAAIAAgACAAXAAiAEMAUABfAGoAXAAiACwAIABcACIAYwByAHUAZABlACAAcAByAG8AdABlAGkAbgAgAGMAbwBuAHQAZQBuAHQAIABvAGYAIABmAGUAZQBkACAAaQBuAHQAYQBrAGU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2AF8ATgBpAHQAcgBvAGcAZQBuAFIAZQB0AGEAaQBuAGUAZABCAHkAQgBvAGQAeQBcAG4AQQBtAG8AdQBuAHQAIABvAGYAIABuAGkAdAByAG8AZwBlAG4AIAByAGUAdABhAGkAbgBlAGQAIABiAHkAIAB0AGgAZQAgAGIAbwBkAHkAXABuAE4AUgBfAGoAXABuAGsAZwAgAE4ALwBoAGUAYQBkAC8AZABhAHkAXABuAE4AUgBfAGoAPQAoACgAKAAwAC4AMAAzADIAXABcAHQAaQBtAGUAcwAgAE0AUABfAGoAXABcAHQAaQBtAGUAcwAgADEALgAwADMAKQAvADYALgAzADgAKQArACgAKAAwAC4AMgAxADIALQAwAC4AMAAwADgAXABcAHQAaQBtAGUAcwAgACgATABfAGoALQAyACkALQAoACgAMAAuADEANAAwAC0AMAAuADAAMAA4AFwAXAB0AGkAbQBlAHMAIAAoAEwAXwBqAC0AMgApACkALwAoADEAKwBFAFgAUAAoAC0ANgBcAFwAdABpAG0AZQBzACAAKABaAF8AagAtADAALgA0ACkAKQApACkAKQBcAFwAdABpAG0AZQBzACAAKABMAFcARwBfAGoAXABcAHQAaQBtAGUAcwAgADAALgA5ADIAKQApACkAXABcAHQAaQBtAGUAcwAgACgAMQAvADYALgAyADUAKQBcAG4ATQBQAF8AagAgAD0AIABtAGkAbABrACAAcAByAG8AZAB1AGMAdABpAG8AbgAgACgATAAvAGgAZQBhAGQALwBkAGEAeQApAFwAbgBMAF8AagAgAD0AIABpAG4AdABhAGsAZQAgAHIAZQBsAGEAdABpAHYAZQAgAHQAbwAgAG0AYQBpAG4AdABlAG4AYQBuAGMAZQBcAG4AWgBfAGoAIAA9ACAAcgBlAGwAYQB0AGkAdgBlACAAcwBpAHoAZQBcAG4ATABXAEcAXwBqACAAPQAgAGwAaQB2AGUAdwBlAGkAZwBoAHQAIABnAGEAaQBuACAAKABrAGcALwBkAGEAeQApAFwAbgAtAC0ALQAtAC0ALQAtAC0ALQAtAC0ALQAtAC0ALQAtAC0ALQAtAC0ALQAtAC0ALQAtAC0ALQAtAC0ALQAtAC0ALQAtAC0ALQAtAC0AXABuACoALwBcAG4AXABuAFYARQBFAFIARwBfADQAXwAzAF8AMQBfADMAXwBfADYAXwBOAGkAdAByAG8AZwBlAG4AUgBlAHQAYQBpAG4AZQBkAEIAeQBCAG8AZAB5AFwAbgAgACAAPQBMAEEATQBCAEQAQQAoAFwAbgAgACAAIAAgAE0AUABfAGoALAAgAEwAXwBqACwAIABaAF8AagAsACAATABXAEcAXwBqACwAXABuACAAIAAgACAAKAAoACgAMAAuADAAMwAyACAAKgAgAE0AUABfAGoAIAAqACAAMQAuADAAMwApACAALwAgADYALgAzADgAKQAgACsAIAAoACgAMAAuADIAMQAyACAALQAgADAALgAwADAAOAAgACoAIAAoAEwAXwBqACAALQAgADIAKQAgAC0AIAAoACgAMAAuADEANAAwACAALQAgADAALgAwADAAOAAgACoAIAAoAEwAXwBqACAALQAgADIAKQApACAALwAgACgAMQAgACsAIABFAFgAUAAoAC0ANgAgACoAIAAoAFoAXwBqACAALQAgADAALgA0ACkAKQApACkAKQAgACoAIAAoAEwAVwBHAF8AagAgACoAIAAwAC4AOQAyACkAKQApACAAKgAgACgAMQAgAC8AIAA2AC4AMgA1ACkAXABuACAAIAApADsAXABuAFwAbgBWAEUARQBSAEcAXwA0AF8AMwBfADEAXwAzAF8AXwA2AF8ATgBpAHQAcgBvAGcAZQBuAFIAZQB0AGEAaQBuAGUAZABCAHkAQgBvAGQAeQBfAFQAaQB0AGwAZQBcAG4AIAAgAD0ATABBAE0AQgBEAEEAKABcACIAQQBtAG8AdQBuAHQAIABvAGYAIABuAGkAdAByAG8AZwBlAG4AIAByAGUAdABhAGkAbgBlAGQAIABiAHkAIAB0AGgAZQAgAGIAbwBkAHkAXAAiACkAOwBcAG4AXABuAFYARQBFAFIARwBfADQAXwAzAF8AMQBfADMAXwBfADYAXwBOAGkAdAByAG8AZwBlAG4AUgBlAHQAYQBpAG4AZQBkAEIAeQBCAG8AZAB5AF8AVgBhAHIAaQBhAGIAbABlAFwAbgAgACAAPQBMAEEATQBCAEQAQQAoAFwAIgBOAFIAXwBqAFwAIgApADsAXABuAFwAbgBWAEUARQBSAEcAXwA0AF8AMwBfADEAXwAzAF8AXwA2AF8ATgBpAHQAcgBvAGcAZQBuAFIAZQB0AGEAaQBuAGUAZABCAHkAQgBvAGQAeQBfAFUAbgBpAHQAXABuACAAIAA9AEwAQQBNAEIARABBACgAXAAiAGsAZwAgAE4ALwBoAGUAYQBkAC8AZABhAHkAXAAiACkAOwBcAG4AXABuAFYARQBFAFIARwBfADQAXwAzAF8AMQBfADMAXwBfADYAXwBOAGkAdAByAG8AZwBlAG4AUgBlAHQAYQBpAG4AZQBkAEIAeQBCAG8AZAB5AF8AUwBvAHUAcgBjAGUAXABuACAAIAA9AEwAQQBNAEIARABBACgAXAAiAFYARQBFAFIARwAgADIAMAAyADYAOgAgADQALgAzAC4AMQAuADMALAAgAEUAcQB1AGEAdABpAG8AbgAgACgANgApAFwAIgApADsAXABuAFwAbgBWAEUARQBSAEcAXwA0AF8AMwBfADEAXwAzAF8AXwA2AF8ATgBpAHQAcgBvAGcAZQBuAFIAZQB0AGEAaQBuAGUAZABCAHkAQgBvAGQAeQBfAE4ASQBSAFIAZQBmAGUAcgBlAG4AYwBlAFwAbgAgACAAPQBMAEEATQBCAEQAQQAoAFwAIgBcACIAKQA7AFwAbgBcAG4AVgBFAEUAUgBHAF8ANABfADMAXwAxAF8AMwBfAF8ANgBfAE4AaQB0AHIAbwBnAGUAbgBSAGUAdABhAGkAbgBlAGQAQgB5AEIAbwBkAHkAXwBMAGEAdABlAHgARQBxAHUAYQB0AGkAbwBuAFwAbgAgACAAPQBMAEEATQBCAEQAQQAoAFwAIgBOAFIAXwBqAD0AXABcAGwAZQBmAHQAKABcAFwAZgByAGEAYwB7ADAALgAwADMAMgAgAFwAXAB0AGkAbQBlAHMAIABNAFAAXwBqACAAXABcAHQAaQBtAGUAcwAgADEALgAwADMAfQB7ADYALgAzADgAfQBcAFwAcgBpAGcAaAB0ACkAIAArACAAXABcAGwAZQBmAHQAXABcAHsAXABcAGwAZQBmAHQAKAAwAC4AMgAxADIALQAwAC4AMAAwADgAIABcAFwAdABpAG0AZQBzACAAKABMAF8AagAgAC0AIAAyACkAIAAtACAAXABcAGwAZQBmAHQAWwBcAFwAZgByAGEAYwB7ADAALgAxADQAMAAtADAALgAwADAAOABcAFwAdABpAG0AZQBzACgATABfAGoALQAyACkAfQB7ADEAKwBlAF4AewAtADYAXABcAHQAaQBtAGUAcwAoAFoAXwBqAC0AMAAuADQAKQB9AH0AXABcAHIAaQBnAGgAdABdAFwAXAByAGkAZwBoAHQAKQAgAFwAXAB0AGkAbQBlAHMAIAAoAEwAVwBHAF8AagAgAFwAXAB0AGkAbQBlAHMAIAAwAC4AOQAyACkAXABcAHIAaQBnAGgAdABcAFwAfQAgAFwAXAB0AGkAbQBlAHMAIABcAFwAZgByAGEAYwB7ADEAfQB7ADYALgAyADUAfQBcACIAKQA7AFwAbgBcAG4AVgBFAEUAUgBHAF8ANABfADMAXwAxAF8AMwBfAF8ANgBfAE4AaQB0AHIAbwBnAGUAbgBSAGUAdABhAGkAbgBlAGQAQgB5AEIAbwBkAHkAXwBBAHIAZwB1AG0AZQBuAHQAcwBcAG4AIAAgAD0ATABBAE0AQgBEAEEAKABcAG4AIAAgACAAIABNAEEASwBFAEEAUgBSAEEAWQAoADY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wAXwBqAFwAIgAsACAAXAAiAGkAbgB0AGEAawBlACAAcgBlAGwAYQB0AGkAdgBlACAAdABvACAAbQBhAGkAbgB0AGUAbgBhAG4AYwBlAFwAIgAsACAAXAAiAFwAIgAsACAAXAAiAEMAYQBsAGMAdQBsAGEAdABlAGQAIABmAHIAbwBtACAANAAuADMALgAxAC4AMwAgACgANwApAFwAIgA7AFwAbgAgACAAIAAgACAAIAAgACAAIAAgAFwAIgBaAF8AagBcACIALAAgAFwAIgByAGUAbABhAHQAaQB2AGUAIABzAGkAegBlAFwAIgAsACAAXAAiAFwAIgAsACAAXAAiAEMAYQBsAGMAdQBsAGEAdABlAGQAIABmAHIAbwBtACAANAAuADMALgAxAC4AMwAgACgAOAApAFwAIgA7AFwAbgAgACAAIAAgACAAIAAgACAAIAAgAFwAIgBMAFcARwBfAGoAXAAiACwAIABcACIAbABpAHYAZQB3AGUAaQBnAGgAdAAgAGcAYQBpAG4AXAAiACwAIABcACIAawBnAC8AaABlAGEAZAAvAGQAYQB5AFwAIgAsACAAXAAiAEkAbgBwAHUAdABcACIAXABuACAAIAAgACAAIAAgACAAIAB9ACwAIAByACwAIABjACkAXABuACAAIAAgACAAIAAgACkAXABuACAAIAAgACAAKQBcAG4AIAAgACkAOwBcAG4AXABuAFYARQBFAFIARwBfADQAXwAzAF8AMQBfADMAXwBfADYAXwBOAGkAdAByAG8AZwBlAG4AUgBlAHQAYQBpAG4AZQBkAEIAeQBCAG8AZAB5AF8AVgBhAHIAaQBhAHQAaQBvAG4AXABuACAAIAA9AEwAQQBNAEIARABBACgAXAAiAFYAQQBSAEkAQQBUAEkATwBOACAATwBOACAAUwBPAFUAUgBDAEUAOgAgAEEAZABkAGUAZAAgAGMAaABlAGMAawAgAGYAbwByACAAbQBpAGwAawAgAHAAcgBvAGQAdQBjAHQAaQBvAG4AIABpAG4AcAB1AHQAIAB1AG4AaQB0ACAAYQBuAGQAIABjAGgAbwBvAHMAZQAgAGMAbwByAHIAZQBzAHAAbwBuAGQAaQBuAGcAIABNAFAAXwBqACAAdgBhAGwAdQBlACAAYQBjAGMAbwByAGQAaQBuAGcAbAB5AC4AXAAiACkAOwBcAG4AXABuAC8AKgBcAG4ALQAtAC0ALQAtAC0ALQAtAC0ALQAtAC0ALQAtAC0ALQAtAC0ALQAtAC0ALQAtAC0ALQAtAC0ALQAtAC0ALQAtAC0ALQAtAC0ALQAtAFwAbgBWAEUARQBSAEcAXwA0AF8AMwBfADEAXwAzAF8AXwA3AF8ASQBuAHQAYQBrAGUAUgBlAGwAYQB0AGkAdgBlAFQAbwBNAGEAaQBuAHQAZQBuAGEAbgBjAGUAXABuAEkAbgB0AGEAawBlACAAcgBlAGwAYQB0AGkAdgBlACAAdABvACAAbQBhAGkAbgB0AGUAbgBhAG4AYwBlAFwAbgBMAF8AagBcAG4AcgBhAHQAaQBvAFwAbgBMAF8AagA9AEkAXwBqAC8AKAAoADEALgAxADgANQArADAALgAwADAANAA1ADQAXABcAHQAaQBtAGUAcwAgAFcAXwBqAC0AMAAuADAAMAAwADAAMAAyADYAXABcAHQAaQBtAGUAcwAgAFcAXwBqAF4AMgApAF4AMgBcAFwAdABpAG0AZQBzACAATQBSAF8AagArAE0ASQBfAGoAKQBcAG4ASQBfAGoAIAA9ACAAZAByAHkAIABtAGEAdAB0AGUAcgAgAGkAbgB0AGEAawBlACAAKABrAGcARABNAC8AaABlAGEAZAAvAGQAYQB5ACkAXABuAFcAXwBqACAAPQAgAGwAaQB2AGUAdwBlAGkAZwBoAHQAIAAoAGsAZwApAFwAbgBNAFIAXwBqACAAPQAgAGkAbgBjAHIAZQBhAHMAZQAgAGkAbgAgAG0AZQB0AGEAYgBvAGwAaQBjACAAcgBhAHQAZQAgAHcAaABlAG4AIABwAHIAbwBkAHUAYwBpAG4AZwAgAG0AaQBsAGsAXABuAE0ASQBfAGoAIAA9ACAAYQBkAGQAaQB0AGkAbwBuAGEAbAAgAGkAbgB0AGEAawBlACAAcgBlAHEAdQBpAHIAZQBkACAAZgBvAHIAIABtAGkAbABrACAAcAByAG8AZAB1AGMAdABpAG8AbgAgACgAawBnAEQATQAvAGgAZQBhAGQALwBkAGEAeQApAFwAbgAtAC0ALQAtAC0ALQAtAC0ALQAtAC0ALQAtAC0ALQAtAC0ALQAtAC0ALQAtAC0ALQAtAC0ALQAtAC0ALQAtAC0ALQAtAC0ALQAtAC0AXABuACoALwBcAG4AXABuAFYARQBFAFIARwBfADQAXwAzAF8AMQBfADMAXwBfADcAXwBJAG4AdABhAGsAZQBSAGUAbABhAHQAaQB2AGUAVABvAE0AYQBpAG4AdABlAG4AYQBuAGMAZQBcAG4AIAAgAD0ATABBAE0AQgBEAEEAKABcAG4AIAAgACAAIABJAF8AagAsACAAVwBfAGoALAAgAE0AUgBfAGoALAAgAE0ASQBfAGoALABcAG4AIAAgACAAIABJAF8AagAgAC8AIAAoACgAKAAxAC4AMQA4ADUAIAArACAAMAAuADAAMAA0ADUANAAgACoAIABXAF8AagAgAC0AIAAwAC4AMAAwADAAMAAwADIANgAgACoAIABXAF8AagAgAF4AIAAyACkAIABeACAAMgAgACoAIABNAFIAXwBqACkAIAArACAATQBJAF8AagApAFwAbgAgACAAKQA7AFwAbgBcAG4AVgBFAEUAUgBHAF8ANABfADMAXwAxAF8AMwBfAF8ANwBfAEkAbgB0AGEAawBlAFIAZQBsAGEAdABpAHYAZQBUAG8ATQBhAGkAbgB0AGUAbgBhAG4AYwBlAF8AVABpAHQAbABlAFwAbgAgACAAPQBMAEEATQBCAEQAQQAoAFwAIgBJAG4AdABhAGsAZQAgAHIAZQBsAGEAdABpAHYAZQAgAHQAbwAgAG0AYQBpAG4AdABlAG4AYQBuAGMAZQBcACIAKQA7AFwAbgBcAG4AVgBFAEUAUgBHAF8ANABfADMAXwAxAF8AMwBfAF8ANwBfAEkAbgB0AGEAawBlAFIAZQBsAGEAdABpAHYAZQBUAG8ATQBhAGkAbgB0AGUAbgBhAG4AYwBlAF8AVgBhAHIAaQBhAGIAbABlAFwAbgAgACAAPQBMAEEATQBCAEQAQQAoAFwAIgBMAF8AagBcACIAKQA7AFwAbgBcAG4AVgBFAEUAUgBHAF8ANABfADMAXwAxAF8AMwBfAF8ANwBfAEkAbgB0AGEAawBlAFIAZQBsAGEAdABpAHYAZQBUAG8ATQBhAGkAbgB0AGUAbgBhAG4AYwBlAF8AVQBuAGkAdABcAG4AIAAgAD0ATABBAE0AQgBEAEEAKABcACIAcgBhAHQAaQBvAFwAIgApADsAXABuAFwAbgBWAEUARQBSAEcAXwA0AF8AMwBfADEAXwAzAF8AXwA3AF8ASQBuAHQAYQBrAGUAUgBlAGwAYQB0AGkAdgBlAFQAbwBNAGEAaQBuAHQAZQBuAGEAbgBjAGUAXwBTAG8AdQByAGMAZQBcAG4AIAAgAD0ATABBAE0AQgBEAEEAKABcACIAVgBFAEUAUgBHACAAMgAwADIANgA6ACAANAAuADMALgAxAC4AMwAsACAARQBxAHUAYQB0AGkAbwBuACAAKAA3ACkAXAAiACkAOwBcAG4AXABuAFYARQBFAFIARwBfADQAXwAzAF8AMQBfADMAXwBfADcAXwBJAG4AdABhAGsAZQBSAGUAbABhAHQAaQB2AGUAVABvAE0AYQBpAG4AdABlAG4AYQBuAGMAZQBfAE4ASQBSAFIAZQBmAGUAcgBlAG4AYwBlAFwAbgAgACAAPQBMAEEATQBCAEQAQQAoAFwAIgBcACIAKQA7AFwAbgBcAG4AVgBFAEUAUgBHAF8ANABfADMAXwAxAF8AMwBfAF8ANwBfAEkAbgB0AGEAawBlAFIAZQBsAGEAdABpAHYAZQBUAG8ATQBhAGkAbgB0AGUAbgBhAG4AYwBlAF8ATABhAHQAZQB4AEUAcQB1AGEAdABpAG8AbgBcAG4AIAAgAD0ATABBAE0AQgBEAEEAKABcACIATABfAGoAPQBcAFwAZgByAGEAYwB7AEkAXwBqAH0AewAoADEALgAxADgANQArADAALgAwADAANAA1ADQAXABcAHQAaQBtAGUAcwAgAFcAXwBqAC0AMAAuADAAMAAwADAAMAAyADYAXABcAHQAaQBtAGUAcwAgAFcAXwBqAF4AMgApAF4AMgBcAFwAdABpAG0AZQBzACAATQBSAF8AagArAE0ASQBfAGoAfQBcACIAKQA7AFwAbgBcAG4AVgBFAEUAUgBHAF8ANABfADMAXwAxAF8AMwBfAF8ANwBfAEkAbgB0AGEAawBlAFIAZQBsAGEAdABpAHYAZQBUAG8ATQBhAGkAbgB0AGUAbgBhAG4AYwBlAF8AQQByAGcAdQBtAGUAbgB0AHMAXABuACAAIAA9AEwAQQBNAEIARABBACgAXABuACAAIAAgACAATQBBAEsARQBBAFIAUgBBAFkAKAA0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XAF8AagBcACIALAAgAFwAIgBsAGkAdgBlAHcAZQBpAGcAaAB0AFwAIgAsACAAXAAiAGsAZwAvAGgAZQBhAGQAXAAiACwAIABcACIASQBuAHAAdQB0AFwAIgA7AFwAbgAgACAAIAAgACAAIAAgACAAIAAgAFwAIgBNAFIAXwBqAFwAIgAsACAAXAAiAGkAbgBjAHIAZQBhAHMAZQAgAGkAbgAgAG0AZQB0AGEAYgBvAGwAaQBjACAAcgBhAHQAZQAgAHcAaABlAG4AIABwAHIAbwBkAHUAYwBpAG4AZwAgAG0AaQBsAGsAXAAiACwAIABcACIAXAAiACwAIABcACIAQwBvAG4AcwB0AGEAbgB0AFwAIgA7AFwAbgAgACAAIAAgACAAIAAgACAAIAAgAFwAIgBNAEkAXwBqAFwAIgAsACAAXAAiAGEAZABkAGkAdABpAG8AbgBhAGwAIABpAG4AdABhAGsAZQAgAHIAZQBxAHUAaQByAGUAZAAgAGYAbwByACAAbQBpAGwAawAgAHAAcgBvAGQAdQBjAHQAaQBvAG4AXAAiACwAIABcACIAawBn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4AF8AUgBlAGwAYQB0AGkAdgBlAFMAaQB6AGUAXABuAFIAZQBsAGEAdABpAHYAZQAgAHMAaQB6AGUAXABuAFoAXwBqAFwAbgByAGEAdABpAG8AXABuAFoAXwBqAD0AVwBfAGoALwBXAFIAXwBqAFwAbgBXAF8AagAgAD0AIABsAGkAdgBlAHcAZQBpAGcAaAB0ACAAKABrAGcAKQBcAG4AVwBSAF8AagAgAD0AIAByAGUAZgBlAHIAZQBuAGMAZQAgAHcAZQBpAGcAaAB0ACAAKABrAGcAKQBcAG4ALQAtAC0ALQAtAC0ALQAtAC0ALQAtAC0ALQAtAC0ALQAtAC0ALQAtAC0ALQAtAC0ALQAtAC0ALQAtAC0ALQAtAC0ALQAtAC0ALQAtAFwAbgAqAC8AXABuAFwAbgBWAEUARQBSAEcAXwA0AF8AMwBfADEAXwAzAF8AXwA4AF8AUgBlAGwAYQB0AGkAdgBlAFMAaQB6AGUAXABuACAAIAA9AEwAQQBNAEIARABBACgAXABuACAAIAAgACAAVwBfAGoALAAgAFcAUgBfAGoALABcAG4AIAAgACAAIABXAF8AagAgAC8AIABXAFIAXwBqAFwAbgAgACAAKQA7AFwAbgBcAG4AVgBFAEUAUgBHAF8ANABfADMAXwAxAF8AMwBfAF8AOABfAFIAZQBsAGEAdABpAHYAZQBTAGkAegBlAF8AVABpAHQAbABlAFwAbgAgACAAPQBMAEEATQBCAEQAQQAoAFwAIgBSAGUAbABhAHQAaQB2AGUAIABzAGkAegBlAFwAIgApADsAXABuAFwAbgBWAEUARQBSAEcAXwA0AF8AMwBfADEAXwAzAF8AXwA4AF8AUgBlAGwAYQB0AGkAdgBlAFMAaQB6AGUAXwBWAGEAcgBpAGEAYgBsAGUAXABuACAAIAA9AEwAQQBNAEIARABBACgAXAAiAFoAXwBqAFwAIgApADsAXABuAFwAbgBWAEUARQBSAEcAXwA0AF8AMwBfADEAXwAzAF8AXwA4AF8AUgBlAGwAYQB0AGkAdgBlAFMAaQB6AGUAXwBVAG4AaQB0AFwAbgAgACAAPQBMAEEATQBCAEQAQQAoAFwAIgByAGEAdABpAG8AXAAiACkAOwBcAG4AXABuAFYARQBFAFIARwBfADQAXwAzAF8AMQBfADMAXwBfADgAXwBSAGUAbABhAHQAaQB2AGUAUwBpAHoAZQBfAFMAbwB1AHIAYwBlAFwAbgAgACAAPQBMAEEATQBCAEQAQQAoAFwAIgBWAEUARQBSAEcAIAAyADAAMgA2ADoAIAA0AC4AMwAuADEALgAzACwAIABFAHEAdQBhAHQAaQBvAG4AIAAoADgAKQBcACIAKQA7AFwAbgBcAG4AVgBFAEUAUgBHAF8ANABfADMAXwAxAF8AMwBfAF8AOABfAFIAZQBsAGEAdABpAHYAZQBTAGkAegBlAF8ATgBJAFIAUgBlAGYAZQByAGUAbgBjAGUAXABuACAAIAA9AEwAQQBNAEIARABBACgAXAAiAFwAIgApADsAXABuAFwAbgBWAEUARQBSAEcAXwA0AF8AMwBfADEAXwAzAF8AXwA4AF8AUgBlAGwAYQB0AGkAdgBlAFMAaQB6AGUAXwBMAGEAdABlAHgARQBxAHUAYQB0AGkAbwBuAFwAbgAgACAAPQBMAEEATQBCAEQAQQAoAFwAIgBaAF8AagA9AFwAXABmAHIAYQBjAHsAVwBfAGoAfQB7AFcAUgBfAGoAfQBcACIAKQA7AFwAbgBcAG4AVgBFAEUAUgBHAF8ANABfADMAXwAxAF8AMwBfAF8AOABfAFIAZQBsAGEAdABpAHYAZQBTAGkAegBlAF8AQQByAGcAdQBtAGUAbgB0AHMAXABuACAAIAA9AEwAQQBNAEIARABBACgAXABuACAAIAAgACAATQBBAEsARQBBAFIAUgBBAFkAKAAyACwAIAA0ACwAXABuACAAIAAgACAAIAAgAEwAQQBNAEIARABBACgAcgAsAGMALABcAG4AIAAgACAAIAAgACAAIAAgAEkATgBEAEUAWAAoAHsAXABuACAAIAAgACAAIAAgACAAIAAgACAAXAAiAFcAXwBqAFwAIgAsACAAXAAiAGwAaQB2AGUAdwBlAGkAZwBoAHQAXAAiACwAIABcACIAawBnAC8AaABlAGEAZABcACIALAAgAFwAIgBJAG4AcAB1AHQAXAAiADsAXABuACAAIAAgACAAIAAgACAAIAAgACAAXAAiAFcAUgBfAGoAXAAiACwAIABcACIAcgBlAGYAZQByAGUAbgBjAGUAIAB3AGUAaQBnAGgAdABcACIALAAgAFwAIgBrAGcALwBoAGUAYQBkAFwAIgAsACAAXAAiAEMAbwBuAHMAdABhAG4AdABcACIAXABuACAAIAAgACAAIAAgACAAIAB9ACwAIAByACwAIABjACkAXABuACAAIAAgACAAIAAgACkAXABuACAAIAAgACAAKQBcAG4AIAAgACkAOwBcAG4AIgB9ACwAewAiAHAAYQB0AGgAIgA6ACIALwBwAHIAbwBqAGUAYwB0AHMALwBFAG4AdABlAHIAaQBjAE0AZQB0AGgAYQBuAGUAXwBEAGEAaQByAHkAXwBFAHEAdQBhAHQAaQBvAG4AcwAiACwAIgB0AGUAeAB0ACIAOgAiAC8AKgBcAG4APQA9AD0APQA9AD0APQA9AD0APQA9AD0APQA9AD0APQA9AD0APQA9AD0APQA9AD0APQA9AD0APQA9AD0APQA9AD0APQA9AD0APQA9AD0APQA9AD0APQA9AD0APQA9AD0APQA9AD0APQA9AD0APQA9AD0APQA9AD0APQA9AD0APQA9AD0APQA9AD0APQA9AD0APQA9AD0APQBcAG4AMwAuADMAOgAgAEUAbgB0AGUAcgBpAGMAIABNAGUAdABoAGEAbgBlACAALQAgAEQAYQBpAHIAeQAgAEMAYQB0AHQAbABlAFwAbgA9AD0APQA9AD0APQA9AD0APQA9AD0APQA9AD0APQA9AD0APQA9AD0APQA9AD0APQA9AD0APQA9AD0APQA9AD0APQA9AD0APQA9AD0APQA9AD0APQA9AD0APQA9AD0APQA9AD0APQA9AD0APQA9AD0APQA9AD0APQA9AD0APQA9AD0APQA9AD0APQA9AD0APQA9AD0APQA9AFwAbgAzAC4AMwAuADEALgAxACAATQBlAHQAaABvAGQAIAAxACAALQAgAEUAbgB0AGUAcgBpAGMAIABEAGEAaQByAHkAIABDAGEAdAB0AGw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z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ABhAGkAcgB5ACAAYwBhAHQAdABsAGUAXABuAEUAXwBlAG4AdABlAHIAaQBjAFwAbgB0ACAAQwBIADQAXABuAEUAXwB7AGUAbgB0AGUAcgBpAGMAfQA9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G4ATgBfAGoAMQAyADQAIAA9ACAAbgB1AG0AYgBlAHIAIABvAGYAIABkAGEAaQByAHkAIABjAGEAdAB0AGwAZQAgAGkAbgAgAGMAbABhAHMAcwBlAHMAIABqAD0AMQAsADIALAA0ACAAKABoAGUAYQBkACkAXABuAE0AXwBqADEAMgA0ACAAPQAgAGQAYQBpAGwAeQAgAGUAbgB0AGUAcgBpAGMAIABtAGUAdABoAGEAbgBlACAAcAByAG8AZAB1AGMAdABpAG8AbgAgAGYAbwByACAAYwBsAGEAcwBzAGUAcwAgAGoAPQAxACwAMgAsADQAIAAoAGsAZwAgAEMASAA0AC8AaABlAGEAZAAvAGQAYQB5ACkAXABuAEQAXwBqADEAMgA0ACAAPQAgAGQAdQByAGEAdABpAG8AbgAgAG8AZgAgAHMAdABhAHkAIABvAG4AIAB0AGgAZQAgAGYAYQByAG0AIABmAG8AcgAgAGMAbABhAHMAcwBlAHMAIABqAD0AMQAsADIALAA0ACAAKABkAGEAeQBzACkAXABuAE4AXwBqADMANQAgAD0AIABuAHUAbQBiAGUAcgAgAG8AZgAgAGQAYQBpAHIAeQAgAGMAYQB0AHQAbABlACAAaQBuACAAYwBsAGEAcwBzAGUAcwAgAGoAPQAzACwANQAgACgAaABlAGEAZAApAFwAbgBNAF8AagAzADUAIAA9ACAAZABhAGkAbAB5ACAAZQBuAHQAZQByAGkAYwAgAG0AZQB0AGgAYQBuAGUAIABwAHIAbwBkAHUAYwB0AGkAbwBuACAAZgBvAHIAIABjAGwAYQBzAHMAZQBzACAAagA9ADMALAA1ACAAKABrAGcAIABDAEgANAAvAGgAZQBhAGQALwBkAGEAeQApAFwAbgBEAF8AagAzADUAIAA9ACAAZAB1AHIAYQB0AGkAbwBuACAAbwBmACAAcwB0AGEAeQAgAG8AbgAgAHQAaABlACAAZgBhAHIAbQAgAGYAbwByACAAYwBsAGEAcwBzAGUAcwAgAGoAPQAzACwANQAgACgAZABhAHkAcwApAFwAbgBNAFAAVwBfAEUATgBUAEUAUgBJAEMAXwBqADMANQAgAD0AIABkAGEAaQBsAHkAIABtAGUAdABoAGEAbgBlACAAcAByAG8AZAB1AGMAdABpAG8AbgAgAGYAbwBy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MwBfADMAXwAxAF8AMQBfAF8AMQBfAFQAbwB0AGEAbABBAG4AbgB1AGEAbABNAGUAdABoAGEAbgBlAEYAcgBvAG0ARQBuAHQAZQByAGkAYwBGAGUAcgBtAGUAbgB0AGEAdABpAG8AbgBcAG4AIAAgAD0ATABBAE0AQgBEAEEAKABcAG4AIAAgACAAIABOAF8AagAxADIANAAsACAATQBfAGoAMQAyADQALAAgAEQAXwBqADEAMgA0ACwAIABOAF8AagAzADUALAAgAE0AXwBqADMANQAsACAARA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8AagAzADUAKQApACAAKgAgADEAMAAgAF4AIAAtADMAXABuACAAIAApADsAXABuAFwAbgBWAEUARQBSAEcAXwAzAF8AMwBfADEAXwAxAF8AXwAxAF8AVABvAHQAYQBsAEEAbgBuAHUAYQBsAE0AZQB0AGgAYQBuAGUARgByAG8AbQBFAG4AdABlAHIAaQBjAEYAZQByAG0AZQBuAHQAYQB0AGkAbwBuAFYAYQByAGkAYQB0AGkAbwBuAFwAbgAgACAAPQBMAEEATQBCAEQAQQAoAFwAbgAgACAAIAAgAE4AXwBqADEAMgA0ACwAIABNAF8AagAxADIANAAsACAARABfAGoAMQAyADQALAAgAE4AXwBqADMANQAsACAATQBfAGoAMwA1ACwAIABEAF8AagAzADUALAAgAEQAUABX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UABXAF8AagAzADUAKQApACAAKgAgADEAMAAgAF4AIAAtADMAXABuACAAIAApADsAXABuAFwAbgBWAEUARQBSAEcAXwAzAF8AMw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QAYQBpAHIAeQAgAGMAYQB0AHQAbABlAFwAIgApADsAXABuAFwAbgBWAEUARQBSAEcAXwAzAF8AMwBfADEAXwAxAF8AXwAxAF8AVABvAHQAYQBsAEEAbgBuAHUAYQBsAE0AZQB0AGgAYQBuAGUARgByAG8AbQBFAG4AdABlAHIAaQBjAEYAZQByAG0AZQBuAHQAYQB0AGkAbwBuAF8AVgBhAHIAaQBhAGIAbABlAFwAbgAgACAAPQBMAEEATQBCAEQAQQAoAFwAIgBFAF8AZQBuAHQAZQByAGkAYwBcACIAKQA7AFwAbgBcAG4AVgBFAEUAUgBHAF8AMwBfADMAXwAxAF8AMQBfAF8AMQBfAFQAbwB0AGEAbABBAG4AbgB1AGEAbABNAGUAdABoAGEAbgBlAEYAcgBvAG0ARQBuAHQAZQByAGkAYwBGAGUAcgBtAGUAbgB0AGEAdABpAG8AbgBfAFUAbgBpAHQAXABuACAAIAA9AEwAQQBNAEIARABBACgAXAAiAHQAIABDAEgANABcACIAKQA7AFwAbgBcAG4AVgBFAEUAUgBHAF8AMwBfADMAXwAxAF8AMQBfAF8AMQBfAFQAbwB0AGEAbABBAG4AbgB1AGEAbABNAGUAdABoAGEAbgBlAEYAcgBvAG0ARQBuAHQAZQByAGkAYwBGAGUAcgBtAGUAbgB0AGEAdABpAG8AbgBfAFMAbwB1AHIAYwBlAFwAbgAgACAAPQBMAEEATQBCAEQAQQAoAFwAIgBWAEUARQBSAEcAIAAyADAAMgA2ADoAIAAzAC4AMwAuADEALgAxACwAIABFAHEAdQBhAHQAaQBvAG4AIAAoADEAKQBcACIAKQA7AFwAbgBcAG4AVgBFAEUAUgBHAF8AMwBfADMAXwAxAF8AMQBfAF8AMQBfAFQAbwB0AGEAbABBAG4AbgB1AGEAbABNAGUAdABoAGEAbgBlAEYAcgBvAG0ARQBuAHQAZQByAGkAYwBGAGUAcgBtAGUAbgB0AGEAdABpAG8AbgBfAE4ASQBSAFIAZQBmAGUAcgBlAG4AYwBlAFwAbgAgACAAPQBMAEEATQBCAEQAQQAoAFwAIgBcACIAKQA7AFwAbgBcAG4AVgBFAEUAUgBHAF8AMwBfADM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AiACkAOwBcAG4AXABuAFYARQBFAFIARwBfADMAXwAzAF8AMQBfADEAXwBfADEAXwBUAG8AdABhAGwAQQBuAG4AdQBhAGwATQBlAHQAaABhAG4AZQBGAHIAbwBtAEUAbgB0AGUAcgBpAGMARgBlAHIAbQBlAG4AdABhAHQAaQBvAG4AXwBMAGEAdABlAHgARQBxAHUAYQB0AGkAbwBuAFYAYQByAGk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QAFcAXwB7AGoAPQAzACwANQB9ACkAKQBcAFwAdABpAG0AZQBzACAAMQAwAF4AewAtADMAfQBcACIAKQA7AFwAbgBcAG4AVgBFAEUAUgBHAF8AMwBfADMAXwAxAF8AMQBfAF8AMQBfAFQAbwB0AGEAbABBAG4AbgB1AGEAbABNAGUAdABoAGEAbgBlAEYAcgBvAG0ARQBuAHQAZQByAGkAYwBGAGUAcgBtAGUAbgB0AGEAdABpAG8Abg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FwAIgAsACAAXAAiAGQAYQBpAGwAeQAgAGUAbgB0AGUAcgBpAGMAIABtAGUAdABoAGEAbgBlACAAcAByAG8AZAB1AGMAdABpAG8AbgAgAGYAbwByACAAYwBsAGEAcwBzAGUAcwAgAGoAPQAxACwAMgAsADQAXAAiACwAIABcACIAawBnACAAQwBIADQALwBoAGUAYQBkAC8AZABhAHkAXAAiACwAIABcACIAQwBhAGwAYwB1AGwAYQB0AGUAZAAgAGYAcgBvAG0AIAAzAC4AMwAuADEALgAxACAAKAAyACkAXAAiADsAXABuACAAIAAgACAAIAAgACAAIAAgACAAXAAiAEQAXwBqADEAMgA0AFwAIgAsACAAXAAiAGQAdQByAGEAdABpAG8AbgAgAG8AZgAgAHMAdABhAHkAIABvAG4AIAB0AGgAZQ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cACIALAAgAFwAIgBkAGEAaQBsAHkAIABlAG4AdABlAHIAaQBjACAAbQBlAHQAaABhAG4AZQAgAHAAcgBvAGQAdQBjAHQAaQBvAG4AIABmAG8AcgAgAHcAZQBhAG4AZQBkACAAYwBsAGEAcwBzAGUAcwAgAGoAPQAzACwANQBcACIALAAgAFwAIgBrAGcAIABDAEgANAAvAGgAZQBhAGQALwBkAGEAeQBcACIALAAgAFwAIgBDAGEAbABjAHUAbABhAHQAZQBkACAAZgByAG8AbQAgADMALgAzAC4AMQAuADEAIAAoADIAKQBcACIAOwBcAG4AIAAgACAAIAAgACAAIAAgACAAIABcACIARABfAGoAMwA1AFwAIgAsACAAXAAiAGQAdQByAGEAdABpAG8AbgAgAG8AZgAgAHMAdABhAHkAIABvAG4AIAB0AGgAZQAgAGYAYQByAG0AIABmAG8AcgAgAHcAZQBhAG4AZQBkACAAYwBsAGEAcwBzAGUAcwAgAGoAPQAzACwANQBcACIALAAgAFwAIgBkAGEAeQBzAFwAIgAsACAAXAAiAEkAbgBwAHUAdABcACIAOwBcAG4AIAAgACAAIAAgACAAIAAgACAAIABcACIARABQAFcAXwBqADMANQBcACIALAAgAFwAIgBkAHUAcgBhAHQAaQBvAG4AIABvAGYAIABzAHQAYQB5ACAAbwBuACAAdABoAGUAIABmAGEAcgBtACAAZgBvAHIAIABwAHIAZQAtAHcAZQBhAG4AZQBkACAAaABlAGkAZgBlAHIAIABhAG4AZAAgAGIAdQBsAGwAIABjAGEAbAB2AGUAcwBcACIALAAgAFwAIgBkAGEAeQBzAFwAIgAsACAAXAAiAEkAbgBwAHUAdABcACIAOwBcAG4AIAAgACAAIAAgACAAIAAgACAAIABcACIATQBQAFcAXwBFAE4AVABFAFIASQBDAF8AagAzADUAXAAiACwAIABcACIAZABhAGkAbAB5ACAAbQBlAHQAaABhAG4AZQAgAHAAcgBvAGQAdQBjAHQAaQBvAG4AIABmAG8AcgAgAHAAcgBlAC0AdwBlAGEAbgBlAGQAIABoAGUAaQBmAGUAcgAgAGEAbgBkACAAYgB1AGwAbAAgAGMAYQBsAHYAZQBzAFwAIgAsACAAXAAiAGsAZwAgAEMASAA0AC8AaABlAGEAZAAvAGQAYQB5AFwAIgAsACAAXAAiAEMAbwBuAHMAdABhAG4AdABcACIAXABuAFwAbgAgACAAIAAgACAAIAAgACAAfQAsACAAcgAsACAAYwApAFwAbgAgACAAIAAgACAAIAApAFwAbgAgACAAIAAgACkAXABuACAAIAApADsAXABuAFwAbgBWAEUARQBSAEcAXwAzAF8AMwBfADEAXwAxAF8AXwAxAF8AVABvAHQAYQBsAEEAbgBuAHUAYQBsAE0AZQB0AGgAYQBuAGUARgByAG8AbQBFAG4AdABlAHIAaQBjAEYAZQByAG0AZQBuAHQAYQB0AGkAbwBuAF8AVgBhAHIAaQBhAHQAaQBvAG4AXABuACAAIAA9AEwAQQBNAEIARABBACgAXAAiAFYAQQBSAEkAQQBUAEkATwBOACAATwBOACAAUwBPAFUAUgBDAEUAOgAgAEEAZABkAGUAZAAgACcARABQAFcAJwAgAHYAYQByAGkAYQBiAGwAZQAgAHQAbwAgAGEAbABsAG8AdwAgAGYAbwByACAAYQAgAHMAZQBwAGEAcgBhAHQAZQAgAGgAYQBuAGQAbABpAG4AZwAgAG8AZgAgAHAAcgBlAC0AdwBlAGEAbgBlAGQAIABkAHUAcgBhAHQAaQBvAG4ALgBcACIAKQA7AFwAbgBcAG4ALwAqAFwAbgAtAC0ALQAtAC0ALQAtAC0ALQAtAC0ALQAtAC0ALQAtAC0ALQAtAC0ALQAtAC0ALQAtAC0ALQAtAC0ALQAtAC0ALQAtAC0ALQAtAC0AXABuAFYARQBFAFIARwBfADMAXwAzAF8AMQBfADEAXwBfADIAXwBEAGEAaQBsAHkARQBuAHQAZQByAGkAYwBNAGUAdABoAGEAbgBlAFAAcgBvAGQAdQBjAHQAaQBvAG4AXABuAEQAYQBpAGwAeQAgAHAAcgBvAGQAdQBjAHQAaQBvAG4AIABvAGYAIABlAG4AdABlAHIAaQBjACAAbQBlAHQAaABhAG4AZQBcAG4ATQBfAGoAXABuAGsAZwAgAEMASAA0AC8AaABlAGEAZAAvAGQAYQB5AFwAbgBNAF8AagA9ADIAMAAuADcAXABcAHQAaQBtAGUAcwAgAEkAXwBqAFwAXAB0AGkAbQBlAHMAIAAxADAAXgB7AC0AMwB9AFwAbgBJAF8AagAgAD0AIABkAHIAeQAgAG0AYQB0AHQAZQByACAAZgBlAGUAZAAgAGkAbgB0AGEAawBlACAAKABrAGcAIABEAE0ALwBoAGUAYQBkAC8AZABhAHkAKQBcAG4ALQAtAC0ALQAtAC0ALQAtAC0ALQAtAC0ALQAtAC0ALQAtAC0ALQAtAC0ALQAtAC0ALQAtAC0ALQAtAC0ALQAtAC0ALQAtAC0ALQAtAFwAbgAqAC8AXABuAFwAbgBWAEUARQBSAEcAXwAzAF8AMwBfADEAXwAxAF8AXwAyAF8ARABhAGkAbAB5AEUAbgB0AGUAcgBpAGMATQBlAHQAaABhAG4AZQBQAHIAbwBkAHUAYwB0AGkAbwBuAFwAbgAgACAAPQBMAEEATQBCAEQAQQAoAFwAbgAgACAAIAAgAEkAXwBqACwAXABuACAAIAAgACAAMgAwAC4ANwAgACoAIABJAF8AagAgACoAIAAxADAAIABeACAALQAzAFwAbgAgACAAKQA7AFwAbgBcAG4AVgBFAEUAUgBHAF8AMwBfADM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wBfADEAXwAxAF8AXwAyAF8ARABhAGkAbAB5AEUAbgB0AGUAcgBpAGMATQBlAHQAaABhAG4AZQBQAHIAbwBkAHUAYwB0AGkAbwBuAF8AVgBhAHIAaQBhAGIAbABlAFwAbgAgACAAPQBMAEEATQBCAEQAQQAoAFwAIgBNAF8AagBcACIAKQA7AFwAbgBcAG4AVgBFAEUAUgBHAF8AMwBfADMAXwAxAF8AMQBfAF8AMgBfAEQAYQBpAGwAeQBFAG4AdABlAHIAaQBjAE0AZQB0AGgAYQBuAGUAUAByAG8AZAB1AGMAdABpAG8AbgBfAFUAbgBpAHQAXABuACAAIAA9AEwAQQBNAEIARABBACgAXAAiAGsAZwAgAEMASAA0AC8AaABlAGEAZAAvAGQAYQB5AFwAIgApADsAXABuAFwAbgBWAEUARQBSAEcAXwAzAF8AMwBfADEAXwAxAF8AXwAyAF8ARABhAGkAbAB5AEUAbgB0AGUAcgBpAGMATQBlAHQAaABhAG4AZQBQAHIAbwBkAHUAYwB0AGkAbwBuAF8AUwBvAHUAcgBjAGUAXABuACAAIAA9AEwAQQBNAEIARABBACgAXAAiAFYARQBFAFIARwAgADIAMAAyADYAOgAgADMALgAzAC4AMQAuADEALAAgAEUAcQB1AGEAdABpAG8AbgAgACgAMgApAFwAIgApADsAXABuAFwAbgBWAEUARQBSAEcAXwAzAF8AMwBfADEAXwAxAF8AXwAyAF8ARABhAGkAbAB5AEUAbgB0AGUAcgBpAGMATQBlAHQAaABhAG4AZQBQAHIAbwBkAHUAYwB0AGkAbwBuAF8ATgBJAFIAUgBlAGYAZQByAGUAbgBjAGUAXABuACAAIAA9AEwAQQBNAEIARABBACgAXAAiAEMAaABhAHIAbQBsAGUAeQAgAGUAdAAgAGEAbAAuACAAKAAyADAAMQA1ACkAXAAiACkAOwBcAG4AXABuAFYARQBFAFIARwBfADMAXwAzAF8AMQBfADEAXwBfADIAXwBEAGEAaQBsAHkARQBuAHQAZQByAGkAYwBNAGUAdABoAGEAbgBlAFAAcgBvAGQAdQBjAHQAaQBvAG4AXwBMAGEAdABlAHgARQBxAHUAYQB0AGkAbwBuAFwAbgAgACAAPQBMAEEATQBCAEQAQQAoAFwAIgBNAF8AagA9ADIAMAAuADcAXABcAHQAaQBtAGUAcwAgAEkAXwBqAFwAXAB0AGkAbQBlAHMAIAAxADAAXgB7AC0AMwB9AFwAIgApADsAXABuAFwAbgBWAEUARQBSAEcAXwAzAF8AMwBfADEAXwAxAF8AXwAyAF8ARABhAGkAbAB5AEUAbgB0AGUAcgBpAGMATQBlAHQAaABhAG4AZQBQAHIAbwBkAHUAYwB0AGkAbwBuAF8AQQByAGcAdQBtAGUAbgB0AHMAXABuACAAIAA9AEwAQQBNAEIARABBACgAXABuACAAIAAgACAATQBBAEsARQBBAFIAUgBBAFkAKAAxACwAIAA0ACwAXABuACAAIAAgACAAIAAgAEwAQQBNAEIARABBACgAcgAsAGMALABcAG4AIAAgACAAIAAgACAAIAAgAEkATgBEAEUAWAAoAHsAXABuACAAIAAgACAAIAAgACAAIAAgACAAXAAiAEkAXwBqAFwAIgAsACAAXAAiAGQAcgB5ACAAbQBhAHQAdABlAHIAIABmAGUAZQBkACAAaQBuAHQAYQBrAGUAXAAiACwAIABcACIAawBnACAARABNAC8AaABlAGEAZAAvAGQAYQB5AFwAIgAsACAAXAAiAEMAYQBsAGMAdQBsAGEAdABlAGQAIABmAHIAbwBtACAAMwAuADMALgAxAC4AMQAgACgAMw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MAXwBEAHIAeQBNAGEAdAB0AGUAcgBGAGUAZQBkAEkAbgB0AGEAawBlAFwAbgBGAGUAZQBkACAAaQBuAHQAYQBrAGUAXABuAEkAXwBqAFwAbgBrAGcAIABEAE0ALwBoAGUAYQBkAC8AZABhAHkAXABuAEkAXwBqAD0AKAAxAC4AMQA4ADUAKwAwAC4AMAAwADQANQA0AFwAXAB0AGkAbQBlAHMAIABXAF8AagAtADAALgAwADAAMAAwADAAMgA2AFwAXAB0AGkAbQBlAHMAIABXAF8AagBeADIAKwAwAC4AMwAxADUAXABcAHQAaQBtAGUAcwAgAEwAVwBHAF8AagApAF4AMgBcAFwAdABpAG0AZQBzACAATQBSAF8AagArAE0ASQBfAGoAXABuAFcAXwBqACAAPQAgAGwAaQB2AGUAdwBlAGkAZwBoAHQAIAAoAGsAZwApAFwAbgBMAFcARwBfAGoAIAA9ACAAbABpAHYAZQB3AGUAaQBnAGgAdAAgAGcAYQBpAG4AIAAoAGsAZwAvAGgAZQBhAGQALwBkAGEAeQApAFwAbgBNAFIAXwBqACAAPQAgAGkAbgBjAHIAZQBhAHMAZQAgAGkAbgAgAG0AZQB0AGEAYgBvAGwAaQBjACAAcgBhAHQAZQAgAHcAaABlAG4AIABwAHIAbwBkAHUAYwBpAG4AZwAgAG0AaQBsAGsAIAAoAGYAcgBhAGMAdABpAG8AbgApAFwAbgBNAEkAXwBqACAAPQAgAGEAZABkAGkAdABpAG8AbgBhAGwAIABpAG4AdABhAGsAZQAgAHIAZQBxAHUAaQByAGUAZAAgAGYAbwByACAAbQBpAGwAawAgAHAAcgBvAGQAdQBjAHQAaQBvAG4AIAAoAGsAZwAgAEQATQAvAGgAZQBhAGQALwBkAGEAeQApAFwAbgAtAC0ALQAtAC0ALQAtAC0ALQAtAC0ALQAtAC0ALQAtAC0ALQAtAC0ALQAtAC0ALQAtAC0ALQAtAC0ALQAtAC0ALQAtAC0ALQAtAC0AXABuACoALwBcAG4AXABuAFYARQBFAFIARwBfADMAXwAzAF8AMQBfADEAXwBfADMAXwBEAHIAeQBNAGEAdAB0AGUAcgBGAGUAZQBkAEkAbgB0AGEAawBlAFwAbgAgACAAPQBMAEEATQBCAEQAQQAoAFwAbgAgACAAIAAgAFcAXwBqACwAIABMAFcARwBfAGoALAAgAE0AUgBfAGoALAAgAE0ASQBfAGoALABcAG4AIAAgACAAIAAoADEALgAxADgANQAgACsAIAAwAC4AMAAwADQANQA0ACAAKgAgAFcAXwBqACAALQAgADAALgAwADAAMAAwADAAMgA2ACAAKgAgAFcAXwBqACAAXgAgADIAIAArACAAMAAuADMAMQA1ACAAKgAgAEwAVwBHAF8AagApACAAXgAgADIAIAAqACAATQBSAF8AagAgACsAIABNAEkAXwBqAFwAbgAgACAAKQA7AFwAbgBcAG4AVgBFAEUAUgBHAF8AMwBfADMAXwAxAF8AMQBfAF8AMwBfAEQAcgB5AE0AYQB0AHQAZQByAEYAZQBlAGQASQBuAHQAYQBrAGUAXwBUAGkAdABsAGUAXABuACAAIAA9AEwAQQBNAEIARABBACgAXAAiAEYAZQBlAGQAIABpAG4AdABhAGsAZQBcACIAKQA7AFwAbgBcAG4AVgBFAEUAUgBHAF8AMwBfADMAXwAxAF8AMQBfAF8AMwBfAEQAcgB5AE0AYQB0AHQAZQByAEYAZQBlAGQASQBuAHQAYQBrAGUAXwBWAGEAcgBpAGEAYgBsAGUAXABuACAAIAA9AEwAQQBNAEIARABBACgAXAAiAEkAXwBqAFwAIgApADsAXABuAFwAbgBWAEUARQBSAEcAXwAzAF8AMwBfADEAXwAxAF8AXwAzAF8ARAByAHkATQBhAHQAdABlAHIARgBlAGUAZABJAG4AdABhAGsAZQBfAFUAbgBpAHQAXABuACAAIAA9AEwAQQBNAEIARABBACgAXAAiAGsAZwAgAEQATQAvAGgAZQBhAGQALwBkAGEAeQBcACIAKQA7AFwAbgBcAG4AVgBFAEUAUgBHAF8AMwBfADMAXwAxAF8AMQBfAF8AMwBfAEQAcgB5AE0AYQB0AHQAZQByAEYAZQBlAGQASQBuAHQAYQBrAGUAXwBTAG8AdQByAGMAZQBcAG4AIAAgAD0ATABBAE0AQgBEAEEAKABcACIAVgBFAEUAUgBHACAAMgAwADIANgA6ACAAMwAuADMALgAxAC4AMQAsACAARQBxAHUAYQB0AGkAbwBuACAAKAAzACkAXAAiACkAOwBcAG4AXABuAFYARQBFAFIARwBfADMAXwAzAF8AMQBfADEAXwBfADMAXwBEAHIAeQBNAGEAdAB0AGUAcgBGAGUAZQBkAEkAbgB0AGEAawBlAF8ATgBJAFIAUgBlAGYAZQByAGUAbgBjAGUAXABuACAAIAA9AEwAQQBNAEIARABBACgAXAAiAFwAIgApADsAXABuAFwAbgBWAEUARQBSAEcAXwAzAF8AMwBfADEAXwAxAF8AXwAzAF8ARAByAHkATQBhAHQAdABlAHIARgBlAGUAZABJAG4AdABhAGsAZQBfAEwAYQB0AGUAeABFAHEAdQBhAHQAaQBvAG4AXABuACAAIAA9AEwAQQBNAEIARABBACgAXAAiAEkAXwBqAD0AKAAxAC4AMQA4ADUAKwAwAC4AMAAwADQANQA0AFwAXAB0AGkAbQBlAHMAIABXAF8AagAtADAALgAwADAAMAAwADAAMgA2AFwAXAB0AGkAbQBlAHMAIABXAF8AagBeADIAKwAwAC4AMwAxADUAXABcAHQAaQBtAGUAcwAgAEwAVwBHAF8AagApAF4AMgBcAFwAdABpAG0AZQBzACAATQBSAF8AagArAE0ASQBfAGoAXAAiACkAOwBcAG4AXABuAFYARQBFAFIARwBfADMAXwAzAF8AMQBfADEAXwBfADMAXwBEAHIAeQBNAGEAdAB0AGUAcgBGAGUAZQBkAEkAbgB0AGEAawBlAF8AQQByAGcAdQBtAGUAbgB0AHMAXABuACAAIAA9AEwAQQBNAEIARABBACgAXABuACAAIAAgACAATQBBAEsARQBBAFIAUgBBAFkAKAA0ACwAIAA0ACwAXABuACAAIAAgACAAIAAgAEwAQQBNAEIARABBACgAcgAsAGMALABcAG4AIAAgACAAIAAgACAAIAAgAEkATgBEAEUAWAAoAHsAXABuACAAIAAgACAAIAAgACAAIAAgACAAXAAiAFcAXwBqAFwAIgAsACAAXAAiAGwAaQB2AGUAdwBlAGkAZwBoAHQAXAAiACwAIABcACIAawBnAFwAIgAsACAAXAAiAEkAbgBwAHUAdABcACIAOwBcAG4AIAAgACAAIAAgACAAIAAgACAAIABcACIATABXAEcAXwBqAFwAIgAsACAAXAAiAGwAaQB2AGUAdwBlAGkAZwBoAHQAIABnAGEAaQBuAFwAIgAsACAAXAAiAGsAZwAvAGgAZQBhAGQALwBkAGEAeQBcACIALAAgAFwAIgBJAG4AcAB1AHQAXAAiADsAXABuACAAIAAgACAAIAAgACAAIAAgACAAXAAiAE0AUgBfAGoAXAAiACwAIABcACIAaQBuAGMAcgBlAGEAcwBlACAAaQBuACAAbQBlAHQAYQBiAG8AbABpAGMAIAByAGEAdABlACAAdwBoAGUAbgAgAHAAcgBvAGQAdQBjAGkAbgBnACAAbQBpAGwAawBcACIALAAgAFwAIgBmAHIAYQBjAHQAaQBvAG4AXAAiACwAIABcACIAQwBvAG4AcwB0AGEAbgB0AFwAIgA7AFwAbgAgACAAIAAgACAAIAAgACAAIAAgAFwAIgBNAEkAXwBqAFwAIgAsACAAXAAiAGEAZABkAGkAdABpAG8AbgBhAGwAIABpAG4AdABhAGsAZQAgAHIAZQBxAHUAaQByAGUAZAAgAGYAbwByACAAbQBpAGwAawAgAHAAcgBvAGQAdQBjAHQAaQBvAG4AXAAiACwAIABcACIAawBnACAARABNAC8AaABlAGEAZAAvAGQAYQB5AFwAIgAsACAAXAAiAEMAYQBsAGMAdQBsAGEAdABlAGQAIABmAHIAbwBtACAAMwAuADMALgAxAC4AMQAgACgANA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QAXwBBAGQAZABpAHQAaQBvAG4AYQBsAEkAbgB0AGEAawBlAEYAbwByAE0AaQBsAGsAUAByAG8AZAB1AGMAdABpAG8AbgBcAG4AQQBkAGQAaQB0AGkAbwBuAGEAbAAgAGkAbgB0AGEAawBlACAAcgBlAHEAdQBpAHIAZQBkACAAZgBvAHIAIABtAGkAbABrACAAcAByAG8AZAB1AGMAdABpAG8AbgBcAG4ATQBJAF8AagBcAG4AawBnACAARABNAC8AaABlAGEAZAAvAGQAYQB5AFwAbgBNAEkAXwBqAD0AKABNAFAAXwBqAFwAXAB0AGkAbQBlAHMAIAAxAC4AMAAzAFwAXAB0AGkAbQBlAHMAIABOAEUAKQAvACgARwBFAEMAXABcAHQAaQBtAGUAcwAgAGsAXABcAHQAaQBtAGUAcwAgAHEAbQBfAGoAKQBcAG4ATQBQAF8AagAgAD0AIABtAGkAbABrACAAcAByAG8AZAB1AGMAdABpAG8AbgAgACgATAAvAGgAZQBhAGQALwBkAGEAeQApAFwAbgBOAEUAIAA9ACAAbgBlAHQAIABlAG4AZQByAGcAeQAgACgATQBKACAAbgBlAHQAIABlAG4AZQByAGcAeQAvAGsAZwAgAG0AaQBsAGsAKQBcAG4ARwBFAEMAIAA9ACAAZwByAG8AcwBzACAAZQBuAGUAcgBnAHkAIABjAG8AbgB0AGUAbgB0ACAAKABNAEoALwBrAGcARABNACkAXABuAGsAIAA9ACAAZQBmAGYAaQBjAGkAZQBuAGMAeQAgAG8AZgAgAG0AZQB0AGEAYgBvAGwAaQB6AGEAYgBsAGUAIABlAG4AZQByAGcAeQAgAHUAcwBlACAAZgBvAHIAIABtAGkAbABrACAAcAByAG8AZAB1AGMAdABpAG8AbgAgACgAZgByAGEAYwB0AGkAbwBuACkAXABuAHEAbQBfAGoAIAA9ACAAbQBlAHQAYQBiAG8AbABpAHMAYQBiAGkAbABpAHQAeQAgAG8AZgAgAHQAaABlACAAZABpAGUAdAAgACgAZgByAGEAYwB0AGkAbwBuACkAXABuAC0ALQAtAC0ALQAtAC0ALQAtAC0ALQAtAC0ALQAtAC0ALQAtAC0ALQAtAC0ALQAtAC0ALQAtAC0ALQAtAC0ALQAtAC0ALQAtAC0ALQBcAG4AKgAvAFwAbgBcAG4AVgBFAEUAUgBHAF8AMwBfADMAXwAxAF8AMQBfAF8ANABfAEEAZABkAGkAdABpAG8AbgBhAGwASQBuAHQAYQBrAGUARgBvAHIATQBpAGwAawBQAHIAbwBkAHUAYwB0AGkAbwBuAFwAbgAgACAAPQBMAEEATQBCAEQAQQAoAFwAbgAgACAAIAAgAE0AUABfAGoALAAgAE4ARQAsACAARwBFAEMALAAgAGsALAAgAHEAbQBfAGoALABcAG4AIAAgACAAIAAoAE0AUABfAGoAIAAqACAAMQAuADAAMwAgACoAIABOAEUAKQAgAC8AIAAoAEcARQBDACAAKgAgAGsAIAAqACAAcQBtAF8AagApAFwAbgAgACAAKQA7AFwAbgBcAG4AVgBFAEUAUgBHAF8AMwBfADMAXwAxAF8AMQBfAF8ANABfAEEAZABkAGkAdABpAG8AbgBhAGwASQBuAHQAYQBrAGUARgBvAHIATQBpAGwAawBQAHIAbwBkAHUAYwB0AGkAbwBuAF8AVABpAHQAbABlAFwAbgAgACAAPQBMAEEATQBCAEQAQQAoAFwAIgBBAGQAZABpAHQAaQBvAG4AYQBsACAAaQBuAHQAYQBrAGUAIAByAGUAcQB1AGkAcgBlAGQAIABmAG8AcgAgAG0AaQBsAGsAIABwAHIAbwBkAHUAYwB0AGkAbwBuAFwAIgApADsAXABuAFwAbgBWAEUARQBSAEcAXwAzAF8AMwBfADEAXwAxAF8AXwA0AF8AQQBkAGQAaQB0AGkAbwBuAGEAbABJAG4AdABhAGsAZQBGAG8AcgBNAGkAbABrAFAAcgBvAGQAdQBjAHQAaQBvAG4AXwBWAGEAcgBpAGEAYgBsAGUAXABuACAAIAA9AEwAQQBNAEIARABBACgAXAAiAE0ASQBfAGoAXAAiACkAOwBcAG4AXABuAFYARQBFAFIARwBfADMAXwAzAF8AMQBfADEAXwBfADQAXwBBAGQAZABpAHQAaQBvAG4AYQBsAEkAbgB0AGEAawBlAEYAbwByAE0AaQBsAGsAUAByAG8AZAB1AGMAdABpAG8AbgBfAFUAbgBpAHQAXABuACAAIAA9AEwAQQBNAEIARABBACgAXAAiAGsAZwAgAEQATQAvAGgAZQBhAGQALwBkAGEAeQBcACIAKQA7AFwAbgBcAG4AVgBFAEUAUgBHAF8AMwBfADMAXwAxAF8AMQBfAF8ANABfAEEAZABkAGkAdABpAG8AbgBhAGwASQBuAHQAYQBrAGUARgBvAHIATQBpAGwAawBQAHIAbwBkAHUAYwB0AGkAbwBuAF8AUwBvAHUAcgBjAGUAXABuACAAIAA9AEwAQQBNAEIARABBACgAXAAiAFYARQBFAFIARwAgADIAMAAyADYAOgAgADMALgAzAC4AMQAuADEALAAgAEUAcQB1AGEAdABpAG8AbgAgACgANAApAFwAIgApADsAXABuAFwAbgBWAEUARQBSAEcAXwAzAF8AMwBfADEAXwAxAF8AXwA0AF8AQQBkAGQAaQB0AGkAbwBuAGEAbABJAG4AdABhAGsAZQBGAG8AcgBNAGkAbABrAFAAcgBvAGQAdQBjAHQAaQBvAG4AXwBOAEkAUgBSAGUAZgBlAHIAZQBuAGMAZQBcAG4AIAAgAD0ATABBAE0AQgBEAEEAKABcACIAXAAiACkAOwBcAG4AXABuAFYARQBFAFIARwBfADMAXwAzAF8AMQBfADEAXwBfADQAXwBBAGQAZABpAHQAaQBvAG4AYQBsAEkAbgB0AGEAawBlAEYAbwByAE0AaQBsAGsAUAByAG8AZAB1AGMAdABpAG8AbgBfAEwAYQB0AGUAeABFAHEAdQBhAHQAaQBvAG4AXABuACAAIAA9AEwAQQBNAEIARABBACgAXAAiAE0ASQBfAGoAPQBcAFwAZgByAGEAYwB7AE0AUABfAGoAXABcAHQAaQBtAGUAcwAgADEALgAwADMAXABcAHQAaQBtAGUAcwAgAE4ARQB9AHsARwBFAEMAXABcAHQAaQBtAGUAcwAgAGsAXABcAHQAaQBtAGUAcwAgAHEAbQBfAGoAfQBcACIAKQA7AFwAbgBcAG4AVgBFAEUAUgBHAF8AMwBfADMAXwAxAF8AMQBfAF8ANABfAEEAZABkAGkAdABpAG8AbgBhAGwASQBuAHQAYQBrAGUARgBvAHIATQBpAGwAawBQAHIAbwBkAHUAYwB0AGkAbwBuAF8AQQByAGcAdQBtAGUAbgB0AHMAXABuACAAIAA9AEwAQQBNAEIARABBACgAXABuACAAIAAgACAATQBBAEsARQBBAFIAUgBBAFkAKAA3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OAEUAXAAiACwAIABcACIAbgBlAHQAIABlAG4AZQByAGcAeQBcACIALAAgAFwAIgBNAEoAIABuAGUAdAAgAGUAbgBlAHIAZwB5AC8AawBnACAAbQBpAGwAawBcACIALAAgAFwAIgBDAG8AbgBzAHQAYQBuAHQAXAAiADsAXABuACAAIAAgACAAIAAgACAAIAAgACAAXAAiAEcARQBDAFwAIgAsACAAXAAiAGcAcgBvAHMAcwAgAGUAbgBlAHIAZwB5ACAAYwBvAG4AdABlAG4AdABcACIALAAgAFwAIgBNAEoALwBrAGcARABNAFwAIgAsACAAXAAiAEMAbwBuAHMAdABhAG4AdABcACIAOwBcAG4AIAAgACAAIAAgACAAIAAgACAAIABcACIAawBcACIALAAgAFwAIgBlAGYAZgBpAGMAaQBlAG4AYwB5ACAAbwBmACAAbQBlAHQAYQBiAG8AbABpAHoAYQBiAGwAZQAgAGUAbgBlAHIAZwB5ACAAdQBzAGUAIABmAG8AcgAgAG0AaQBsAGsAIABwAHIAbwBkAHUAYwB0AGkAbwBuAFwAIgAsACAAXAAiAGYAcgBhAGMAdABpAG8AbgBcACIALAAgAFwAIgBDAG8AbgBzAHQAYQBuAHQAXAAiADsAXABuACAAIAAgACAAIAAgACAAIAAgACAAXAAiAHEAbQBfAGoAXAAiACwAIABcACIAbQBlAHQAYQBiAG8AbABpAHMAYQBiAGkAbABpAHQAeQAgAG8AZgAgAHQAaABlACAAZABpAGUAdABcACIALAAgAFwAIgBmAHIAYQBjAHQAaQBvAG4AXAAiACwAIABcACIAQwBhAGwAYwB1AGwAYQB0AGUAZAAgAGYAcgBvAG0AIAAzAC4AMwAuADEALgAxACAAKAA2ACkAXAAiAFwAbgAgACAAIAAgACAAIAAgACAAfQAsACAAcgAsACAAYwApAFwAbgAgACAAIAAgACAAIAApAFwAbgAgACAAIAAgACkAXABuACAAIAApADsAXABuAFwAbgBWAEUARQBSAEcAXwAzAF8AMwBfADEAXwAxAF8AXwA0AF8AQQBkAGQAaQB0AGkAbwBuAGEAbABJAG4AdABhAGsAZQBGAG8AcgBNAGkAbABrAFAAcgBvAGQAdQBjAHQAaQBvAG4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FwAIgApADsAXABuAFwAbgAvACoAXABuAC0ALQAtAC0ALQAtAC0ALQAtAC0ALQAtAC0ALQAtAC0ALQAtAC0ALQAtAC0ALQAtAC0ALQAtAC0ALQAtAC0ALQAtAC0ALQAtAC0ALQBcAG4AVgBFAEUAUgBHAF8AMwBfADMAXwAxAF8AMQBfAF8ANQBfAE0AaQBsAGsAUAByAG8AZAB1AGMAdABpAG8AbgBGAHIAbwBtAE0AaQBsAGsAUwBvAGwAaQBkAHMAXABuAE0AaQBsAGsAIABwAHIAbwBkAHUAYwB0AGkAbwBuACAAYwBvAG4AdgBlAHIAdABlAGQAIABmAHIAbwBtACAAbQBpAGwAawAgAHMAbwBsAGkAZABzAFwAbgBNAFAAXwBqAFwAbgBMAC8AaABlAGEAZAAvAGQAYQB5AFwAbgBNAFAAXwBqAD0ATQBTAF8AagAvACgAMAAuADAAMQBcAFwAdABpAG0AZQBzACAAKABGAEMAXwBqACsAUABDAF8AagApACkAXABuAE0AUwBfAGoAIAA9ACAAZABhAGkAbAB5ACAAcAByAG8AZAB1AGMAdABpAG8AbgAgAG8AZgAgAG0AaQBsAGsAIABzAG8AbABpAGQAcwAgACgAawBnACAATQBTAC8AaABlAGEAZAAvAGQAYQB5ACkAXABuAEYAQwBfAGoAIAA9ACAAZgBhAHQAIABjAG8AbgB0AGUAbgB0ACAAaQBuACAAZgBhAHQAIABhAG4AZAAgAHAAcgBvAHQAZQBpAG4AIABjAG8AcgByAGUAYwB0AGUAZAAgAG0AaQBsAGsAIAAoAHAAZQByACAAYwBlAG4AdAApAFwAbgBQAEMAXwBqACAAPQAgAHAAcgBvAHQAZQBpAG4AIABjAG8AbgB0AGUAbgB0ACAAaQBuACAAZgBhAHQAIABhAG4AZAAgAHAAcgBvAHQAZQBpAG4AIABjAG8AcgByAGUAYwB0AGUAZAAgAG0AaQBsAGsAIAAoAHAAZQByACAAYwBlAG4AdAApAFwAbgAtAC0ALQAtAC0ALQAtAC0ALQAtAC0ALQAtAC0ALQAtAC0ALQAtAC0ALQAtAC0ALQAtAC0ALQAtAC0ALQAtAC0ALQAtAC0ALQAtAC0AXABuACoALwBcAG4AXABuAFYARQBFAFIARwBfADMAXwAzAF8AMQBfADEAXwBfADUAXwBNAGkAbABrAFAAcgBvAGQAdQBjAHQAaQBvAG4ARgByAG8AbQBNAGkAbABrAFMAbwBsAGkAZABzAFwAbgAgACAAPQBMAEEATQBCAEQAQQAoAFwAbgAgACAAIAAgAE0AUwBfAGoALAAgAEYAQwBfAGoALAAgAFAAQwBfAGoALABcAG4AIAAgACAAIABNAFMAXwBqACAALwAgACgAMAAuADAAMQAgACoAIAAoAEYAQwBfAGoAIAArACAAUABDAF8AagApACkAXABuACAAIAApADsAXABuAFwAbgBWAEUARQBSAEcAXwAzAF8AMwBfADEAXwAxAF8AXwA1AF8ATQBpAGwAawBQAHIAbwBkAHUAYwB0AGkAbwBuAEYAcgBvAG0ATQBpAGwAawBTAG8AbABpAGQAcwBfAFQAaQB0AGwAZQBcAG4AIAAgAD0ATABBAE0AQgBEAEEAKABcACIATQBpAGwAawAgAHAAcgBvAGQAdQBjAHQAaQBvAG4AIABjAG8AbgB2AGUAcgB0AGUAZAAgAGYAcgBvAG0AIABtAGkAbABrACAAcwBvAGwAaQBkAHMAXAAiACkAOwBcAG4AXABuAFYARQBFAFIARwBfADMAXwAzAF8AMQBfADEAXwBfADUAXwBNAGkAbABrAFAAcgBvAGQAdQBjAHQAaQBvAG4ARgByAG8AbQBNAGkAbABrAFMAbwBsAGkAZABzAF8AVgBhAHIAaQBhAGIAbABlAFwAbgAgACAAPQBMAEEATQBCAEQAQQAoAFwAIgBNAFAAXwBqAFwAIgApADsAXABuAFwAbgBWAEUARQBSAEcAXwAzAF8AMwBfADEAXwAxAF8AXwA1AF8ATQBpAGwAawBQAHIAbwBkAHUAYwB0AGkAbwBuAEYAcgBvAG0ATQBpAGwAawBTAG8AbABpAGQAcwBfAFUAbgBpAHQAXABuACAAIAA9AEwAQQBNAEIARABBACgAXAAiAEwALwBoAGUAYQBkAC8AZABhAHkAXAAiACkAOwBcAG4AXABuAFYARQBFAFIARwBfADMAXwAzAF8AMQBfADEAXwBfADUAXwBNAGkAbABrAFAAcgBvAGQAdQBjAHQAaQBvAG4ARgByAG8AbQBNAGkAbABrAFMAbwBsAGkAZABzAF8AUwBvAHUAcgBjAGUAXABuACAAIAA9AEwAQQBNAEIARABBACgAXAAiAFYARQBFAFIARwAgADIAMAAyADYAOgAgADMALgAzAC4AMQAuADEALAAgAEUAcQB1AGEAdABpAG8AbgAgACgANQApAFwAIgApADsAXABuAFwAbgBWAEUARQBSAEcAXwAzAF8AMwBfADEAXwAxAF8AXwA1AF8ATQBpAGwAawBQAHIAbwBkAHUAYwB0AGkAbwBuAEYAcgBvAG0ATQBpAGwAawBTAG8AbABpAGQAcwBfAE4ASQBSAFIAZQBmAGUAcgBlAG4AYwBlAFwAbgAgACAAPQBMAEEATQBCAEQAQQAoAFwAIgBcACIAKQA7AFwAbgBcAG4AVgBFAEUAUgBHAF8AMwBfADMAXwAxAF8AMQBfAF8ANQBfAE0AaQBsAGsAUAByAG8AZAB1AGMAdABpAG8AbgBGAHIAbwBtAE0AaQBsAGsAUwBvAGwAaQBkAHMAXwBMAGEAdABlAHgARQBxAHUAYQB0AGkAbwBuAFwAbgAgACAAPQBMAEEATQBCAEQAQQAoAFwAIgBNAFAAXwBqAD0AXABcAGYAcgBhAGMAewBNAFMAXwBqAH0AewAwAC4AMAAxAFwAXAB0AGkAbQBlAHMAIAAoAEYAQwBfAGoAKwBQAEMAXwBqACkAfQBcACIAKQA7AFwAbgBcAG4AVgBFAEUAUgBHAF8AMwBfADMAXwAxAF8AMQBfAF8ANQBfAE0AaQBsAGsAUAByAG8AZAB1AGMAdABpAG8AbgBGAHIAbwBtAE0AaQBsAGsAUwBvAGwAaQBkAHMAXwBBAHIAZwB1AG0AZQBuAHQAcwBcAG4AIAAgAD0ATABBAE0AQgBEAEEAKABcAG4AIAAgACAAIABNAEEASwBFAEEAUgBSAEEAWQAoADQ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MAbwBuAHMAdABhAG4AdABcACIAOwBcAG4AIAAgACAAIAAgACAAIAAgACAAIABcACIAUABDAF8AagBcACIALAAgAFwAIgBwAHIAbwB0AGUAaQBuACAAYwBvAG4AdABlAG4AdAAgAGkAbgAgAGYAYQB0ACAAYQBuAGQAIABwAHIAbwB0AGUAaQBuACAAYwBvAHIAcgBlAGMAdABlAGQAIABtAGkAbABrAFwAIgAsACAAXAAiAHAAZQByACAAYwBlAG4AdABcACIALAAgAFwAIgBDAG8AbgBzAHQAYQBuAHQAXAAiAFwAbgAgACAAIAAgACAAIAAgACAAfQAsACAAcgAsACAAYwApAFwAbgAgACAAIAAgACAAIAApAFwAbgAgACAAIAAgACkAXABuACAAIAApADsAXABuAFwAbgBWAEUARQBSAEcAXwAzAF8AMwBfADEAXwAxAF8AXwA1AF8ATQBpAGwAawBQAHIAbwBkAHUAYwB0AGkAbwBuAEYAcgBvAG0ATQBpAGwAawBTAG8AbABpAGQAcwBfAEEAcgBnAHUAbQBlAG4AdABzAF8ATQBlAHQAaABvAGQAMgBcAG4AIAAgAD0ATABBAE0AQgBEAEEAKABcAG4AIAAgACAAIABNAEEASwBFAEEAUgBSAEEAWQAoADQALAAgADQALABcAG4AIAAgACAAIAAgACAATABBAE0AQgBEAEEAKAByACwAYwAsAFwAbgAgACAAIAAgACAAIAAgACAASQBOAEQARQBYACgAewBcAG4AIAAgACAAIAAgACAAIAAgACAAIABcACIATQBQAFUAXAAiACwAIABcACI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IABDAG8AbgB2AGUAcgB0AGUAZAAgAGkAbgBwAHUAdAAgAEYAQwAgAGEAbgBkACAAUABDACAAcABlAHIAYwBlAG4AdAAgAHQAbwAgAGkAbgB0AGUAZwBlAHIALgBcACIAKQA7AFwAbgBcAG4ALwAqAFwAbgAtAC0ALQAtAC0ALQAtAC0ALQAtAC0ALQAtAC0ALQAtAC0ALQAtAC0ALQAtAC0ALQAtAC0ALQAtAC0ALQAtAC0ALQAtAC0ALQAtAC0AXABuAFYARQBFAFIARwBfADMAXwAzAF8AMQBfADEAXwBfADYAXwBNAGUAdABhAGIAbwBsAGkAcwBhAGIAaQBsAGkAdAB5AE8AZgBEAGkAZQB0AFwAbgBNAGUAdABhAGIAbwBsAGkAcwBhAGIAaQBsAGkAdAB5ACAAbwBmACAAZABpAGUAdABcAG4AcQBtAF8AagBcAG4AZgByAGEAYwB0AGkAbwBuAFwAbgBxAG0AXwBqAD0AMAAuADcAOQA1AFwAXAB0AGkAbQBlAHMAIAAoAEQATQBEAF8AagBcAFwAdABpAG0AZQBzACAAMQAwADAAKQAtADAALgAwADAAMQA0AFwAbgBEAE0ARABfAGoAIAA9ACAAZAByAHkAIABtAGEAdAB0AGUAcgAgAGQAaQBnAGUAcwB0AGkAYgBpAGwAaQB0AHkAIABlAHgAcAByAGUAcwBzAGUAZAAgAGEAcwAgAGEAIABmAHIAYQBjAHQAaQBvAG4AXABuAC0ALQAtAC0ALQAtAC0ALQAtAC0ALQAtAC0ALQAtAC0ALQAtAC0ALQAtAC0ALQAtAC0ALQAtAC0ALQAtAC0ALQAtAC0ALQAtAC0ALQBcAG4AKgAvAFwAbgBcAG4AVgBFAEUAUgBHAF8AMwBfADMAXwAxAF8AMQBfAF8ANgBfAE0AZQB0AGEAYgBvAGwAaQBzAGEAYgBpAGwAaQB0AHkATwBmAEQAaQBlAHQAXABuACAAIAA9AEwAQQBNAEIARABBACgAXABuACAAIAAgACAARABNAEQAXwBqACwAXABuACAAIAAgACAAMAAuADcAOQA1ACAAKgAgACgARABNAEQAXwBqACAAKgAgADEAMAAwACkAIAAtACAAMAAuADAAMAAxADQAXABuACAAIAApADsAXABuAFwAbgBWAEUARQBSAEcAXwAzAF8AMwBfADEAXwAxAF8AXwA2AF8ATQBlAHQAYQBiAG8AbABpAHMAYQBiAGkAbABpAHQAeQBPAGYARABpAGUAdABfAFQAaQB0AGwAZQBcAG4AIAAgAD0ATABBAE0AQgBEAEEAKABcACIATQBlAHQAYQBiAG8AbABpAHMAYQBiAGkAbABpAHQAeQAgAG8AZgAgAGQAaQBlAHQAXAAiACkAOwBcAG4AXABuAFYARQBFAFIARwBfADMAXwAzAF8AMQBfADEAXwBfADYAXwBNAGUAdABhAGIAbwBsAGkAcwBhAGIAaQBsAGkAdAB5AE8AZgBEAGkAZQB0AF8AVgBhAHIAaQBhAGIAbABlAFwAbgAgACAAPQBMAEEATQBCAEQAQQAoAFwAIgBxAG0AXwBqAFwAIgApADsAXABuAFwAbgBWAEUARQBSAEcAXwAzAF8AMwBfADEAXwAxAF8AXwA2AF8ATQBlAHQAYQBiAG8AbABpAHMAYQBiAGkAbABpAHQAeQBPAGYARABpAGUAdABfAFUAbgBpAHQAXABuACAAIAA9AEwAQQBNAEIARABBACgAXAAiAGYAcgBhAGMAdABpAG8AbgBcACIAKQA7AFwAbgBcAG4AVgBFAEUAUgBHAF8AMwBfADMAXwAxAF8AMQBfAF8ANgBfAE0AZQB0AGEAYgBvAGwAaQBzAGEAYgBpAGwAaQB0AHkATwBmAEQAaQBlAHQAXwBTAG8AdQByAGMAZQBcAG4AIAAgAD0ATABBAE0AQgBEAEEAKABcACIAVgBFAEUAUgBHACAAMgAwADIANgA6ACAAMwAuADMALgAxAC4AMQAsACAARQBxAHUAYQB0AGkAbwBuACAAKAA2ACkAXAAiACkAOwBcAG4AXABuAFYARQBFAFIARwBfADMAXwAzAF8AMQBfADEAXwBfADYAXwBNAGUAdABhAGIAbwBsAGkAcwBhAGIAaQBsAGkAdAB5AE8AZgBEAGkAZQB0AF8ATgBJAFIAUgBlAGYAZQByAGUAbgBjAGUAXABuACAAIAA9AEwAQQBNAEIARABBACgAXAAiAFwAIgApADsAXABuAFwAbgBWAEUARQBSAEcAXwAzAF8AMwBfADEAXwAxAF8AXwA2AF8ATQBlAHQAYQBiAG8AbABpAHMAYQBiAGkAbABpAHQAeQBPAGYARABpAGUAdABfAEwAYQB0AGUAeABFAHEAdQBhAHQAaQBvAG4AXABuACAAIAA9AEwAQQBNAEIARABBACgAXAAiAHEAbQBfAGoAPQAwAC4ANwA5ADUAXABcAHQAaQBtAGUAcwAgACgARABNAEQAXwBqAFwAXAB0AGkAbQBlAHMAIAAxADAAMAApAC0AMAAuADAAMAAxADQAXAAiACkAOwBcAG4AXABuAFYARQBFAFIARwBfADMAXwAzAF8AMQBfADEAXwBfADYAXwBNAGUAdABhAGIAbwBsAGkAcwBhAGIAaQBsAGkAdAB5AE8AZgBEAGkAZQB0AF8AQQByAGcAdQBtAGUAbgB0AHMAXABuACAAIAA9AEwAQQBNAEIARABBACgAXABuACAAIAAgACAATQBBAEsARQBBAFIAUgBBAFkAKAAxACwAIAA0ACwAXABuACAAIAAgACAAIAAgAEwAQQBNAEIARABBACgAcgAsAGMALABcAG4AIAAgACAAIAAgACAAIAAgAEkATgBEAEUAWAAoAHsAXABuACAAIAAgACAAIAAgACAAIAAgACAAXAAiAEQATQBEAF8AagBcACIALAAgAFwAIgBkAHIAeQAgAG0AYQB0AHQAZQByACAAZABpAGcAZQBzAHQAaQBiAGkAbABpAHQAeQAgAGUAeABwAHIAZQBzAHMAZQBkACAAYQBzACAAYQAgAGYAcgBhAGMAdABpAG8AbgBcACIALAAgAFwAIgBmAHIAYQBjAHQAaQBvAG4AXAAiACwAIABcACIASQBuAHAAdQB0AFwAIgBcAG4AIAAgACAAIAAgACAAIAAgAH0ALAAgAHIALAAgAGMAKQBcAG4AIAAgACAAIAAgACAAKQBcAG4AIAAgACAAIAApAFwAbgAgACAAKQA7AFwAbgBcAG4AIgB9ACwAewAiAHAAYQB0AGgAIgA6ACIALwBwAHIAbwBqAGUAYwB0AHMALwBJAG4AcAB1AHQARgB1AG4AYwB0AGkAbwBuAHMAXwBEAGEAaQByAHkAIgAsACIAdABlAHgAdAAiADoAIgBDAGEAbABjAHUAbABhAHQAZQBGAHIAYQBjAHQAaQBvAG4ASQBuAE0ATQBTAEEAZgB0AGUAcgBTAG8AbABpAGQAUwBlAHAAYQByAGEAdABpAG8AbgBcAG4APQBMAEEATQBCAEQAQQAoAFwAbgAgACAAIAAgAFAAcgBvAGQAdQBjAHQAaQBvAG4AUwB5AHMAdABlAG0ALAAgAE0ATQBTAEYAcgBhAGMAdABpAG8AbgAsACAARgByAGEAYwB0AGkAbwBuAFMAZQBwAGEAcgBhAHQAZQBkACwAXABuACAAIAAgACAAUAByAG8AZAB1AGMAdABpAG8AbgBTAHkAcwB0AGUAbQAgACoAIAAoAE0ATQBTAEYAcgBhAGMAdABpAG8AbgAtACgATQBNAFMARgByAGEAYwB0AGkAbwBuACoARgByAGEAYwB0AGkAbwBuAFMAZQBwAGEAcgBhAHQAZQBkACkAKQBcAG4AKQA7AFwAbgBcAG4AQwBhAGwAYwB1AGwAYQB0AGUARgByAGEAYwB0AGkAbwBuAEkAbgBTAG8AbABpAGQAUwB0AG8AcgBhAGcAZQBcAG4APQBMAEEATQBCAEQAQQAoAFwAbgAgACAAIAAgAFAAcgBvAGQAdQBjAHQAaQBvAG4AUwB5AHMAdABlAG0ALAAgAEkAbgBpAHQAYQBsAFMAbwBsAGkAZABTAHQAbwByAGEAZwBlAEYAcgBhAGMAdABpAG8AbgAsAFwAbgAgACAAIAAgAE0ATQBTADEARgByAGEAYwB0AGkAbwBuACwAIABNAE0AUwAxAFMAZQBwAGEAcgBhAHQAZQBkACwAIABcAG4AIAAgACAAIABNAE0AUwAyAEYAcgBhAGMAdABpAG8AbgAsACAATQBNAFMAMgBTAGUAcABhAHIAYQB0AGUAZAAsACAAXABuACAAIAAgACAATQBNAFMAMwBGAHIAYQBjAHQAaQBvAG4ALAAgAE0ATQBTADMAUwBlAHAAYQByAGEAdABlAGQALABcAG4AIAAgACAAIABQAHIAbwBkAHUAYwB0AGkAbwBuAFMAeQBzAHQAZQBtACAAKgAgACgAXABuACAAIAAgACAAIAAgACAAIABJAG4AaQB0AGEAbABTAG8AbABpAGQAUwB0AG8AcgBhAGcAZQBGAHIAYQBjAHQAaQBvAG4AIAArAFwAbgAgACAAIAAgACAAIAAgACAAKABNAE0AUwAxAEYAcgBhAGMAdABpAG8AbgAgACoAIABNAE0AUwAxAFMAZQBwAGEAcgBhAHQAZQBkACkAIAArAFwAbgAgACAAIAAgACAAIAAgACAAKABNAE0AUwAyAEYAcgBhAGMAdABpAG8AbgAgACoAIABNAE0AUwAyAFMAZQBwAGEAcgBhAHQAZQBkACkAIAArAFwAbgAgACAAIAAgACAAIAAgACAAKABNAE0AUwAzAEYAcgBhAGMAdABpAG8AbgAgACoAIABNAE0AUwAzAFMAZQBwAGEAcgBhAHQAZQBkACkAXABuACAAIAAgACAAKQBcAG4AKQA7ACIAfQAsAHsAIgBwAGEAdABoACIAOgAiAC8AcAByAG8AagBlAGMAdABzAC8ATQBNAFMAXwBEAGEAaQByAHk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gAgAE0AZQB0AGgAbwBkACAAMQAgAC0AIABNAGEAbgB1AHIAZQ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Y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0AfQBcAFwAdABpAG0AZQBzACAARQBGAF8AewBsAGUAYQBjAGgAfQBcAFwAdABpAG0AZQBzACAAQwBfAHsATgAyAE8AfQBcAFwAdABpAG0AZQBzACAAMQAwAF4AewAtADMAfQBcAG4ATQBOAEwAZQBhAGMAaABfAGoAbQAgAD0AIABtAGEAcwBzACAAbwBmACAATgAgAGwAbwBzAHQAIAB0AGgAcgBvAHUAZwBoACAAbABlAGEAYwBoAGkAbgBnACAAYQBuAGQAIAByAHUAbgBvAGYAZgAgAGYAcgBvAG0AIABlAGEAYwBoACAATQBNAFM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FYAQQBSAEkAQQBUAEkATwBOACAATwBGACAAUwBPAFUAUgBDAEUAOgAgAEYAbwByACAATQBlAHQAaABvAGQAIAAxACwAIABlAG0AaQBzAHMAaQBvAG4AcwAgAGEAcgBlACAAZQBzAHQAaQBtAGEAdABlAGQAIABvAG4AbAB5ACAAZgBvAHIAIABzAG8AbABpAGQAIABzAHQAbwByAGEAZwBlACAAKABtAD0ANAApAC4AXABuAC0ALQAtAC0ALQAtAC0ALQAtAC0ALQAtAC0ALQAtAC0ALQAtAC0ALQAtAC0ALQAtAC0ALQAtAC0ALQAtAC0ALQAtAC0ALQAtAC0ALQBcAG4AKgAvAFwAbgBcAG4AVgBFAEUAUgBHAF8ANABfADMAXwAxAF8ANgBfAF8AMQBfAEEAbgBuAHUAYQBsAEUAbQBpAHMAcwBpAG8AbgBzAEYAcgBvAG0ATABlAGEAYwBoAGkAbgBnAEEAbgBkAFIAdQBuAG8AZgBmAEYAcgBvAG0ATQBNAFMAXABuACAAIAA9AEwAQQBNAEIARABBACgAXABuACAAIAAgACAATQBOAEwAZQBhAGMAaABfAGoAbQAsACAARQBGAF8AbABlAGEAYwBoACwAIABDAF8ATgAyAE8ALABcAG4AIAAgACAAIAAoAE0ATgBMAGUAYQBjAGgAXwBqAG0AIAAqACAARQBGAF8AbABlAGEAYwBoACAAKgAgAEMAXwBOADIATwApACAAKgAgADEAMAAgAF4AIAAtADMAXABuACAAIAApADsAXABuAFwAbgBWAEUARQBSAEcAXwA0AF8AMwBfADEAXwA2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MAXwAxAF8ANgBfAF8AMQBfAEEAbgBuAHUAYQBsAEUAbQBpAHMAcwBpAG8AbgBzAEYAcgBvAG0ATABlAGEAYwBoAGkAbgBnAEEAbgBkAFIAdQBuAG8AZgBmAEYAcgBvAG0ATQBNAFMAXwBWAGEAcgBpAGEAYgBsAGUAXABuACAAIAA9AEwAQQBNAEIARABBACgAXAAiAEUAXwBOADIATwBsAGUAYQBjAGgAXAAiACkAOwBcAG4AXABuAFYARQBFAFIARwBfADQAXwAzAF8AMQBfADYAXwBfADEAXwBBAG4AbgB1AGEAbABFAG0AaQBzAHMAaQBvAG4AcwBGAHIAbwBtAEwAZQBhAGMAaABpAG4AZwBBAG4AZABSAHUAbgBvAGYAZgBGAHIAbwBtAE0ATQBTAF8AVQBuAGkAdABcAG4AIAAgAD0ATABBAE0AQgBEAEEAKABcACIAdAAgAE4AMgBPAFwAIgApADsAXABuAFwAbgBWAEUARQBSAEcAXwA0AF8AMwBfADEAXwA2AF8AXwAxAF8AQQBuAG4AdQBhAGwARQBtAGkAcwBzAGkAbwBuAHMARgByAG8AbQBMAGUAYQBjAGgAaQBuAGcAQQBuAGQAUgB1AG4AbwBmAGYARgByAG8AbQBNAE0AUwBfAFMAbwB1AHIAYwBlAFwAbgAgACAAPQBMAEEATQBCAEQAQQAoAFwAIgBWAEUARQBSAEcAIAAyADAAMgA2ADoAIAA0AC4AMwAuADEALgA2ACwAIABFAHEAdQBhAHQAaQBvAG4AIAAoADEAKQBcACIAKQA7AFwAbgBcAG4AVgBFAEUAUgBHAF8ANABfADMAXwAxAF8ANgBfAF8AMQBfAEEAbgBuAHUAYQBsAEUAbQBpAHMAcwBpAG8AbgBzAEYAcgBvAG0ATABlAGEAYwBoAGkAbgBnAEEAbgBkAFIAdQBuAG8AZgBmAEYAcgBvAG0ATQBNAFMAXwBOAEkAUgBSAGUAZgBlAHIAZQBuAGMAZQBcAG4AIAAgAD0ATABBAE0AQgBEAEEAKABcACIAXAAiACkAOwBcAG4AXABuAFYARQBFAFIARwBfADQAXwAzAF8AMQBfADYAXwBfADEAXwBBAG4AbgB1AGEAbABFAG0AaQBzAHMAaQBvAG4AcwBGAHIAbwBtAEwAZQBhAGMAaABpAG4AZwBBAG4AZABSAHUAbgBvAGYAZgBGAHIAbwBtAE0ATQBTAF8ATABhAHQAZQB4AEUAcQB1AGEAdABpAG8AbgBcAG4AIAAgAD0ATABBAE0AQgBEAEEAKABcACIARQBfAHsATgAyAE8ALABsAGUAYQBjAGgAfQA9AFwAXABzAHUAbQBcAFwAbgBvAGwAaQBtAGkAdABzAF8AewBqAH0AXABcAHMAdQBtAFwAXABuAG8AbABpAG0AaQB0AHMAXwB7AG0APQAxAC0AMQAzAH0AKABNAE4ATABlAGEAYwBoAF8AewBqAG0AfQBcAFwAdABpAG0AZQBzACAARQBGAF8AewBsAGUAYQBjAGgAfQBcAFwAdABpAG0AZQBzACAAQwBfAHsATgAyAE8AfQApAFwAXAB0AGkAbQBlAHMAIAAxADAAXgB7AC0AMwB9AFwAIgApADsAXABuAFwAbgBWAEUARQBSAEcAXwA0AF8AMwBfADEAXwA2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FwAIgAsACAAXAAiAG0AYQBzAHMAIABvAGYAIABOACAAbABvAHMAdAAgAHQAaAByAG8AdQBnAGgAIABsAGUAYQBjAGgAaQBuAGcAIABhAG4AZAAgAHIAdQBuAG8AZgBmAFwAIgAsACAAXAAiAGsAZwAgAE4AXAAiACwAIABcACIAQwBhAGwAYwB1AGwAYQB0AGUAZAAgAGYAcgBvAG0AIAA0AC4AMwAuADEALgA2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Ng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tADQAXABuAGsAZwAgAE4AXABuAE0ATgBMAGUAYQBjAGgAXwB7AGoAbQA9ADQAfQA9AE0ATgBfAHsAagBtAD0ANAB9AFwAXAB0AGkAbQBlAHMAIABGAHIAYQBjAFcARQBUAF8AaQBcAFwAdABpAG0AZQBzACAARgByAGEAYwBMAEUAQQBDAEgAXwBNAFMAXABuAE0ATgBfAGoAbQA0ACAAPQAgAHQAbwB0AGEAbAAgAG4AaQB0AHIAbwBnAGUAbgAgAGkAbgAgAHMAbwBsAGkAZAAgAHMAdABvAHIAYQBnAGUAIABzAHkAcwB0AGUAbQAgAG0APQA0ACAAKABrAGcAIABOACkAXABuAEYAcgBhAGMAVwBFAFQAXwBp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MwBfADEAXwA2AF8AXwAyAF8ATQBhAHMAcwBPAGYATgBpAHQAcgBvAGcAZQBuAEwAbwBzAHQAVABvAEwAZQBhAGMAaABpAG4AZwBBAG4AZABSAHUAbgBvAGYAZgBGAHIAbwBtAFMAbwBsAGkAZABTAHQAbwByAGEAZwBlAFwAbgAgACAAPQBMAEEATQBCAEQAQQAoAFwAbgAgACAAIAAgAE0ATgBfAGoAbQA0ACwAIABGAHIAYQBjAFcARQBUAF8AaQAsACAARgByAGEAYwBMAEUAQQBDAEgAXwBNAFMALABcAG4AIAAgACAAIABNAE4AXwBqAG0ANAAgACoAIABGAHIAYQBjAFcARQBUAF8AaQAgACoAIABGAHIAYQBjAEwARQBBAEMASABfAE0AUwBcAG4AIAAgACkAOwBcAG4AXABuAFYARQBFAFIARwBfADQAXwAzAF8AMQBfADYAXwBfADIAXwBNAGEAcwBzAE8AZgBOAGkAdAByAG8AZwBlAG4ATABvAHMAdABUAG8ATABlAGEAYwBoAGkAbgBnAEEAbgBkAFIAdQBuAG8AZgBmAEYAcgBvAG0AUwBvAGwAaQBkAFMAdABvAHIAYQBnAGUAXwBUAGkAdABsAGUAXABuACAAIAA9AEwAQQBNAEIARABBACgAXAAiAE0AYQBzAHMAIABvAGYAIABuAGkAdAByAG8AZwBlAG4AIABsAG8AcwB0ACAAdABvACAAbABlAGEAYwBoAGkAbgBnACAAYQBuAGQAIAByAHUAbgBvAGYAZgAgAGYAcgBvAG0AIABzAG8AbABpAGQAIABzAHQAbwByAGEAZwBlACAAcwB5AHMAdABlAG0AcwBcACIAKQA7AFwAbgBcAG4AVgBFAEUAUgBHAF8ANABfADMAXwAxAF8ANgBfAF8AMgBfAE0AYQBzAHMATwBmAE4AaQB0AHIAbwBnAGUAbgBMAG8AcwB0AFQAbwBMAGUAYQBjAGgAaQBuAGcAQQBuAGQAUgB1AG4AbwBmAGYARgByAG8AbQBTAG8AbABpAGQAUwB0AG8AcgBhAGcAZQBfAFYAYQByAGkAYQBiAGwAZQBcAG4AIAAgAD0ATABBAE0AQgBEAEEAKABcACIATQBOAEwAZQBhAGMAaABfAGoAbQA0AFwAIgApADsAXABuAFwAbgBWAEUARQBSAEcAXwA0AF8AMwBfADEAXwA2AF8AXwAyAF8ATQBhAHMAcwBPAGYATgBpAHQAcgBvAGcAZQBuAEwAbwBzAHQAVABvAEwAZQBhAGMAaABpAG4AZwBBAG4AZABSAHUAbgBvAGYAZgBGAHIAbwBtAFMAbwBsAGkAZABTAHQAbwByAGEAZwBlAF8AVQBuAGkAdABcAG4AIAAgAD0ATABBAE0AQgBEAEEAKABcACIAawBnACAATgBcACIAKQA7AFwAbgBcAG4AVgBFAEUAUgBHAF8ANABfADMAXwAxAF8ANgBfAF8AMgBfAE0AYQBzAHMATwBmAE4AaQB0AHIAbwBnAGUAbgBMAG8AcwB0AFQAbwBMAGUAYQBjAGgAaQBuAGcAQQBuAGQAUgB1AG4AbwBmAGYARgByAG8AbQBTAG8AbABpAGQAUwB0AG8AcgBhAGcAZQBfAFMAbwB1AHIAYwBlAFwAbgAgACAAPQBMAEEATQBCAEQAQQAoAFwAIgBWAEUARQBSAEcAIAAyADAAMgA2ADoAIAA0AC4AMwAuADEALgA2ACwAIABFAHEAdQBhAHQAaQBvAG4AIAAoADIAKQBcACIAKQA7AFwAbgBcAG4AVgBFAEUAUgBHAF8ANABfADMAXwAxAF8ANgBfAF8AMgBfAE0AYQBzAHMATwBmAE4AaQB0AHIAbwBnAGUAbgBMAG8AcwB0AFQAbwBMAGUAYQBjAGgAaQBuAGcAQQBuAGQAUgB1AG4AbwBmAGYARgByAG8AbQBTAG8AbABpAGQAUwB0AG8AcgBhAGcAZQBfAE4ASQBSAFIAZQBmAGUAcgBlAG4AYwBlAFwAbgAgACAAPQBMAEEATQBCAEQAQQAoAFwAIgBcACIAKQA7AFwAbgBcAG4AVgBFAEUAUgBHAF8ANABfADMAXwAxAF8ANgBfAF8AMgBfAE0AYQBzAHMATwBmAE4AaQB0AHIAbwBnAGUAbgBMAG8AcwB0AFQAbwBMAGUAYQBjAGgAaQBuAGcAQQBuAGQAUgB1AG4AbwBmAGYARgByAG8AbQBTAG8AbABpAGQAUwB0AG8AcgBhAGcAZQBfAEwAYQB0AGUAeABFAHEAdQBhAHQAaQBvAG4AXABuACAAIAA9AEwAQQBNAEIARABBACgAXAAiAE0ATgBMAGUAYQBjAGgAXwB7AGoAbQA9ADQAfQA9AE0ATgBfAHsAagBtAD0ANAB9AFwAXAB0AGkAbQBlAHMAIABGAHIAYQBjAFcARQBUAF8AaQBcAFwAdABpAG0AZQBzACAARgByAGEAYwBMAEUAQQBDAEgAXwB7AE0AUwB9AFwAIgApADsAXABuAFwAbgBWAEUARQBSAEcAXwA0AF8AMwBfADEAXwA2AF8AXwAyAF8ATQBhAHMAcwBPAGYATgBpAHQAcgBvAGcAZQBuAEwAbwBzAHQAVABvAEwAZQBhAGMAaABpAG4AZwBBAG4AZABSAHUAbgBvAGYAZgBGAHIAbwBtAFMAbwBsAGkAZABTAHQAbwByAGEAZwBlAF8AQQByAGcAdQBtAGUAbgB0AHMAXABuACAAIAA9AEwAQQBNAEIARABBACgAXABuACAAIAAgACAATQBBAEsARQBBAFIAUgBBAFkAKAA2ACwAIAA0ACwAXABuACAAIAAgACAAIAAgAEwAQQBNAEIARABBACgAcgAsAGMALABcAG4AIAAgACAAIAAgACAAIAAgAEkATgBEAEUAWAAoAHsAXABuACAAIAAgACAAIAAgACAAIAAgACAAXAAiAE0ATgBfAGoAbQA0AFwAIgAsACAAXAAiAHQAbwB0AGEAbAAgAG4AaQB0AHIAbwBnAGUAbgAgAGkAbgAgAHMAbwBsAGkAZAAgAHMAdABvAHIAYQBnAGUAIABzAHkAcwB0AGUAbQAgAG0APQA0ACAAKABrAGcAIABOACkAXAAiACwAIABcACIAawBnACAATgBcACIALAAgAFwAIgBDAGEAbABjAHUAbABhAHQAZQBkACAAZgByAG8AbQAgADQALgAzAC4AMQAuADMAIAAoADIAKQBcACIAOwBcAG4AIAAgACAAIAAgACAAIAAgACAAIABcACIARgByAGEAYwBXAEUAVABfAGkAXAAiACwAI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BcACIALAAgAFwAIgBmAHIAYQBjAHQAaQBvAG4AXAAiACwAIABcACIAQwBvAG4AcwB0AGEAbgB0AFwAIgA7AFwAbgAgACAAIAAgACAAIAAgACAAIAAgAFwAIgBGAHIAYQBjAEwARQBBAEMASABfAE0AUwBcACIALAAg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0ATQBTAF8ARABhAGkAcgB5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kAIABNAGUAdABoAG8AZAAgADEAIAAtACAAUwBvAGkAbA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5AF8AXwAxAF8ARABpAHIAZQBjAHQATgBpAHQAcgBvAHUAcwBPAHgAaQBkAGUARQBtAGkAcwBzAGkAbwBuAHMATwBuAFAAYQBzAHQAdQByAGUAXABuAEQAaQByAGUAYwB0ACAAbgBpAHQAcgBvAHUAcwAgAG8AeABpAGQAZQAgAGUAbQBpAHMAcwBpAG8AbgBzACAAbwBuACAAcABhAHMAdAB1AHIAZQBcAG4ARQBfAE4AMgBPAGQAaQByAFwAbgB0ACAATgAyAE8AXABuAEUAXwB7AE4AMgBPACwAZABpAHIAfQA9AE0ATgBfAHsAagBtAD0AMQA0AH0AXABcAHQAaQBtAGUAcwAgAEUARgBfAHsAUABSAFAAfQBcAFwAdABpAG0AZQBzACAAQwBfAHsATgAyAE8AfQBcAFwAdABpAG0AZQBzACAAMQAwAF4AewAtADMAfQBcAG4ATQBOAF8AagBtADEANAAgAD0AIABtAGEAcwBzACAAbwBmACAAbgBpAHQAcgBvAGcAZQBuACAAZQB4AGMAcgBlAHQAZQBkACAAbwBuACAAcABhAHMAdAB1AHIAZQAsACAAcgBhAG4AZwBlACwAIABhAG4AZAAgAHAAYQBkAGQAbwBjAGsAIABmAG8AcgAgAGUAYQBjAGgAIABkAGEAaQByAHkAIABjAGEAdAB0AGwAZQAgAGMAbABhAHMAcwAgACgAawBnACAATgApAFwAbgBFAEYAXwBQAFIAUAAgAD0AIABlAG0AaQBzAHMAaQBvAG4AIABmAGEAYwB0AG8AcgAgAGYAbwByACAAbgBpAHQAcgBvAHUAcwAgAG8AeABpAGQAZQAgAGUAbQBpAHMAcwBpAG8AbgBzACAAZgBvAHIAIAB1AHIAaQBuAGUAIABhAG4AZAAgAGQAdQBuAGcAIABkAGUAcABvAHMAaQB0AGUAZAAgAG8AbgAgAFAAUgBQ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kAXwBfADEAXwBEAGkAcgBlAGMAdABOAGkAdAByAG8AdQBzAE8AeABpAGQAZQBFAG0AaQBzAHMAaQBvAG4AcwBPAG4AUABhAHMAdAB1AHIAZQBcAG4AIAAgAD0ATABBAE0AQgBEAEEAKABcAG4AIAAgACAAIABNAE4AXwBqAG0AMQA0ACwAIABFAEYAXwBQAFIAUAAsACAAQwBfAE4AMgBPACwAXABuACAAIAAgACAATQBOAF8AagBtADEANAAgACoAIABFAEYAXwBQAFIAUAAgACoAIABDAF8ATgAyAE8AIAAqACAAMQAwACAAXgAgAC0AMwBcAG4AIAAgACkAOwBcAG4AXABuAFYARQBFAFIARwBfADQAXwAzAF8AMQBfADkAXwBfADEAXwBEAGkAcgBlAGMAdABOAGkAdAByAG8AdQBzAE8AeABpAGQAZQBFAG0AaQBzAHMAaQBvAG4AcwBPAG4AUABhAHMAdAB1AHIAZQBfAFQAaQB0AGwAZQBcAG4AIAAgAD0ATABBAE0AQgBEAEEAKABcACIARABpAHIAZQBjAHQAIABuAGkAdAByAG8AdQBzACAAbwB4AGkAZABlACAAZQBtAGkAcwBzAGkAbwBuAHMAIABvAG4AIABwAGEAcwB0AHUAcgBlAFwAIgApADsAXABuAFwAbgBWAEUARQBSAEcAXwA0AF8AMwBfADEAXwA5AF8AXwAxAF8ARABpAHIAZQBjAHQATgBpAHQAcgBvAHUAcwBPAHgAaQBkAGUARQBtAGkAcwBzAGkAbwBuAHMATwBuAFAAYQBzAHQAdQByAGUAXwBWAGEAcgBpAGEAYgBsAGUAXABuACAAIAA9AEwAQQBNAEIARABBACgAXAAiAEUAXwBOADIATwBkAGkAcgBcACIAKQA7AFwAbgBcAG4AVgBFAEUAUgBHAF8ANABfADMAXwAxAF8AOQBfAF8AMQBfAEQAaQByAGUAYwB0AE4AaQB0AHIAbwB1AHMATwB4AGkAZABlAEUAbQBpAHMAcwBpAG8AbgBzAE8AbgBQAGEAcwB0AHUAcgBlAF8AVQBuAGkAdABcAG4AIAAgAD0ATABBAE0AQgBEAEEAKABcACIAdAAgAE4AMgBPAFwAIgApADsAXABuAFwAbgBWAEUARQBSAEcAXwA0AF8AMwBfADEAXwA5AF8AXwAxAF8ARABpAHIAZQBjAHQATgBpAHQAcgBvAHUAcwBPAHgAaQBkAGUARQBtAGkAcwBzAGkAbwBuAHMATwBuAFAAYQBzAHQAdQByAGUAXwBTAG8AdQByAGMAZQBcAG4AIAAgAD0ATABBAE0AQgBEAEEAKABcACIAVgBFAEUAUgBHACAAMgAwADIANgA6ACAANAAuADMALgAxAC4AOQAsACAARQBxAHUAYQB0AGkAbwBuACAAKAAxACkAXAAiACkAOwBcAG4AXABuAFYARQBFAFIARwBfADQAXwAzAF8AMQBfADkAXwBfADEAXwBEAGkAcgBlAGMAdABOAGkAdAByAG8AdQBzAE8AeABpAGQAZQBFAG0AaQBzAHMAaQBvAG4AcwBPAG4AUABhAHMAdAB1AHIAZQBfAE4ASQBSAFIAZQBmAGUAcgBlAG4AYwBlAFwAbgAgACAAPQBMAEEATQBCAEQAQQAoAFwAIgBcACIAKQA7AFwAbgBcAG4AVgBFAEUAUgBHAF8ANABfADMAXwAxAF8AOQBfAF8AMQBfAEQAaQByAGUAYwB0AE4AaQB0AHIAbwB1AHMATwB4AGkAZABlAEUAbQBpAHMAcwBpAG8AbgBzAE8AbgBQAGEAcwB0AHUAcgBlAF8ATABhAHQAZQB4AEUAcQB1AGEAdABpAG8AbgBcAG4AIAAgAD0ATABBAE0AQgBEAEEAKABcACIARQBfAHsATgAyAE8ALABkAGkAcgB9AD0AXABcAHMAdQBtAFwAXABuAG8AbABpAG0AaQB0AHMAXwB7AGoAfQAoAE0ATgBfAHsAagBtAD0AMQA0AH0AXABcAHQAaQBtAGUAcwAgAEUARgBfAHsAUABSAFAAfQBcAFwAdABpAG0AZQBzACAAQwBfAHsATgAyAE8AfQBcAFwAdABpAG0AZQBzACAAMQAwAF4AewAtADMAfQApAFwAIgApADsAXABuAFwAbgBWAEUARQBSAEcAXwA0AF8AMwBfADEAXwA5AF8AXwAxAF8ARABpAHIAZQBjAHQATgBpAHQAcgBvAHUAcwBPAHgAaQBkAGUARQBtAGkAcwBzAGkAbwBuAHMATwBuAFAAYQBzAHQAdQByAGUAXwBBAHIAZwB1AG0AZQBuAHQAcwBcAG4AIAAgAD0ATABBAE0AQgBEAEEAKABcAG4AIAAgACAAIABNAEEASwBFAEEAUgBSAEEAWQAoADQ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wAIABhAG4AZAAgAHAAYQBkAGQAbwBjAGsAIABmAG8AcgAgAGUAYQBjAGgAIABkAGEAaQByAHkAIABjAGEAdAB0AGwAZQAgAGMAbABhAHMAcwBcACIALAAgAFwAIgBrAGcAIABOAFwAIgAsACAAXAAiAEMAYQBsAGMAdQBsAGEAdABlAGQAIABmAHIAbwBtACAANAAuADMALgAxAC4AMwAgACgAMgApAFwAIgA7AFwAbgAgACAAIAAgACAAIAAgACAAIAAgAFwAIgBFAEYAXwBQAFIAUABcACIALAAgAFwAIgBlAG0AaQBzAHMAaQBvAG4AIABmAGEAYwB0AG8AcgAgAGYAbwByACAAbgBpAHQAcgBvAHUAcwAgAG8AeABpAGQAZQAgAGUAbQBpAHMAcwBpAG8AbgBzACAAZgBvAHIAIAB1AHIAaQBuAGUAIABhAG4AZAAgAGQAdQBuAGcAIABkAGUAcABvAHMAaQB0AGUAZAAgAG8AbgAgAFAAUgBQ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HoAXAAiACwAXAAiAFcAZQB0ACAAbwByACAAZAByAHkAIABjAGwAaQBtAGEAdABlACAAegBvAG4AZQBcACIALAAgAFwAIgBcACIALAAgAFwAIgBJAG4AcAB1AHQAXAAiAFwAbgAgACAAIAAgACAAIAAgACAAfQAsACAAcgAsACAAYwApAFwAbgAgACAAIAAgACAAIAApAFwAbgAgACAAIAAgACkAXABuACAAIAApADsAXABuACIAfQAsAHsAIgBwAGEAdABoACIAOgAiAC8AcAByAG8AagBlAGMAdABzAC8ATQBNAFMAXwBEAGEAaQ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wACAATQBlAHQAaABvAGQAIAAxACAALQAgAFMAbwBpAGwAIABBAHQAbQBvAHMAcABoAGUAcgBpAGMAIABEAGUAcABvAHMAaQB0AGkAbwBu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A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AsAG0APQAxADQAfQBcAFwAdABpAG0AZQBzACAARQBGAF8AewBOADIATwB9AFwAXAB0AGkAbQBlAHMAIABDAF8AewBOADIATwB9AFwAXAB0AGkAbQBlAHMAIAAxADAAXgB7AC0AMwB9AFwAbgBNAF8AdgBvAGwAXwBtADEAN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AAXwBfADEAXwBBAHQAbQBvAHMAcABoAGUAcgBpAGMARABlAHAAbwBzAGkAdABpAG8AbgBFAG0AaQBzAHMAaQBvAG4AcwBGAHIAbwBtAFUAcgBpAG4AZQBBAG4AZABEAHUAbgBn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MwBfADEAXwAxADA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wBfADEAXwAxADAAXwBfADEAXwBBAHQAbQBvAHMAcABoAGUAcgBpAGMARABlAHAAbwBzAGkAdABpAG8AbgBFAG0AaQBzAHMAaQBvAG4AcwBGAHIAbwBtAFUAcgBpAG4AZQBBAG4AZABEAHUAbgBnAE8AbgBQAGEAcwB0AHUAcgBlAF8AVgBhAHIAaQBhAGIAbABlAFwAbgAgACAAPQBMAEEATQBCAEQAQQAoAFwAIgBFAF8ATgAyAE8AYQBkAFwAIgApADsAXABuAFwAbgBWAEUARQBSAEcAXwA0AF8AMwBfADEAXwAxADAAXwBfADEAXwBBAHQAbQBvAHMAcABoAGUAcgBpAGMARABlAHAAbwBzAGkAdABpAG8AbgBFAG0AaQBzAHMAaQBvAG4AcwBGAHIAbwBtAFUAcgBpAG4AZQBBAG4AZABEAHUAbgBnAE8AbgBQAGEAcwB0AHUAcgBlAF8AVQBuAGkAdABcAG4AIAAgAD0ATABBAE0AQgBEAEEAKABcACIAdAAgAE4AMgBPAFwAIgApADsAXABuAFwAbgBWAEUARQBSAEcAXwA0AF8AMwBfADEAXwAxADAAXwBfADEAXwBBAHQAbQBvAHMAcABoAGUAcgBpAGMARABlAHAAbwBzAGkAdABpAG8AbgBFAG0AaQBzAHMAaQBvAG4AcwBGAHIAbwBtAFUAcgBpAG4AZQBBAG4AZABEAHUAbgBnAE8AbgBQAGEAcwB0AHUAcgBlAF8AUwBvAHUAcgBjAGUAXABuACAAIAA9AEwAQQBNAEIARABBACgAXAAiAFYARQBFAFIARwAgADIAMAAyADYAOgAgADQALgAzAC4AMQAuADEAMAAsACAARQBxAHUAYQB0AGkAbwBuACAAKAAxACkAXAAiACkAOwBcAG4AXABuAFYARQBFAFIARwBfADQAXwAzAF8AMQBfADEAMABfAF8AMQBfAEEAdABtAG8AcwBwAGgAZQByAGkAYwBEAGUAcABvAHMAaQB0AGkAbwBuAEUAbQBpAHMAcwBpAG8AbgBzAEYAcgBvAG0AVQByAGkAbgBlAEEAbgBkAEQAdQBuAGcATwBuAFAAYQBzAHQAdQByAGUAXwBOAEkAUgBSAGUAZgBlAHIAZQBuAGMAZQBcAG4AIAAgAD0ATABBAE0AQgBEAEEAKABcACIAXAAiACkAOwBcAG4AXABuAFYARQBFAFIARwBfADQAXwAzAF8AMQBfADEAMABfAF8AMQBfAEEAdABtAG8AcwBwAGgAZQByAGkAYwBEAGUAcABvAHMAaQB0AGkAbwBuAEUAbQBpAHMAcwBpAG8AbgBzAEYAcgBvAG0AVQByAGkAbgBlAEEAbgBkAEQAdQBuAGc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MAXwAxAF8AMQAw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wBtADEANABcACIALAAgAFwAIgBtAGEAcwBzACAAbwBmACAAbgBpAHQAcgBvAGcAZQBuACAAdgBvAGwAYQB0AGkAbABpAHMAZQBkACAAZgByAG8AbQAgAHUAcgBpAG4AZQAgAGEAbgBkACAAZgBhAGUAYwBlAHMAIABkAGUAcABvAHMAaQB0AGUAZAAgAG8AbgAgAHAAYQBzAHQAdQByAGUAXAAiACwAIABcACIAawBnACAATgBcACIALAAgAFwAIgBDAGEAbABjAHUAbABhAHQAZQBkACAAZgByAG8AbQAgADQALgAzAC4AMQAuADEAMA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MABfAF8AMgBfAE0AYQBzAHMATwBmAE4AaQB0AHIAbwBnAGUAbgBWAG8AbABhAHQAaQBsAGkAcwBlAGQATwBuAFAAYQBzAHQAdQByAGUAXABuAE0AYQBzAHMAIABvAGYAIABuAGkAdAByAG8AZwBlAG4AIAB2AG8AbABhAHQAaQBsAGkAcwBlAGQAIABmAHIAbwBtACAAdQByAGkAbgBlACAAYQBuAGQAIABmAGEAZQBjAGUAcwAgAGQAZQBwAG8AcwBpAHQAZQBkACAAbwBuACAAcABhAHMAdAB1AHIAZQBcAG4ATQBfAHYAbwBsAF8AbQAxADQAXABuAGsAZwAgAE4AXABuAE0AXwB7AHYAbwBsACwAbQA9ADEANAB9AD0ATQBOAF8AewBqAG0APQAxADQAfQBcAFwAdABpAG0AZQBzACAARgByAGEAYwBHAEEAUwBNAHMAbwBpAGwAXABuAE0ATgBfAGoAbQAxADQAIAA9ACAAbQBhAHMAcwAgAG8AZgAgAG4AaQB0AHIAbwBnAGUAbgAgAGUAeABjAHIAZQB0AGUAZAAgAG8AbgAgAHAAYQBzAHQAdQByAGUALAAgAHIAYQBuAGcAZQAgAGEAbgBkACAAcABhAGQAZABvAGMAawAgAGYAbwByACAAZQBhAGMAaAAgAGQAYQBpAHIAeQAgAGMAbABhAHMAcw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MAXwAxAF8AMQAwAF8AXwAyAF8ATQBhAHMAcwBPAGYATgBpAHQAcgBvAGcAZQBuAFYAbwBsAGEAdABpAGwAaQBzAGUAZABPAG4AUABhAHMAdAB1AHIAZQBcAG4AIAAgAD0ATABBAE0AQgBEAEEAKABcAG4AIAAgACAAIABNAE4AXwBqAG0AMQA0ACwAIABGAHIAYQBjAEcAQQBTAE0AcwBvAGkAbAAsAFwAbgAgACAAIAAgAE0ATgBfAGoAbQAxADQAIAAqACAARgByAGEAYwBHAEEAUwBNAHMAbwBpAGwAXABuACAAIAApADsAXABuAFwAbgBWAEUARQBSAEcAXwA0AF8AMwBfADEAXwAxADAAXwBfADIAXwBNAGEAcwBzAE8AZgBOAGkAdAByAG8AZwBlAG4AVgBvAGwAYQB0AGkAbABpAHMAZQBkAE8AbgBQAGEAcwB0AHUAcgBlAF8AVABpAHQAbABlAFwAbgAgACAAPQBMAEEATQBCAEQAQQAoAFwAIgBNAGEAcwBzACAAbwBmACAAbgBpAHQAcgBvAGcAZQBuACAAdgBvAGwAYQB0AGkAbABpAHMAZQBkACAAZgByAG8AbQAgAHUAcgBpAG4AZQAgAGEAbgBkACAAZgBhAGUAYwBlAHMAIABkAGUAcABvAHMAaQB0AGUAZAAgAG8AbgAgAHAAYQBzAHQAdQByAGUAXAAiACkAOwBcAG4AXABuAFYARQBFAFIARwBfADQAXwAzAF8AMQBfADEAMABfAF8AMgBfAE0AYQBzAHMATwBmAE4AaQB0AHIAbwBnAGUAbgBWAG8AbABhAHQAaQBsAGkAcwBlAGQATwBuAFAAYQBzAHQAdQByAGUAXwBWAGEAcgBpAGEAYgBsAGUAXABuACAAIAA9AEwAQQBNAEIARABBACgAXAAiAE0AXwB2AG8AbABfAG0AMQA0AFwAIgApADsAXABuAFwAbgBWAEUARQBSAEcAXwA0AF8AMwBfADEAXwAxADAAXwBfADIAXwBNAGEAcwBzAE8AZgBOAGkAdAByAG8AZwBlAG4AVgBvAGwAYQB0AGkAbABpAHMAZQBkAE8AbgBQAGEAcwB0AHUAcgBlAF8AVQBuAGkAdABcAG4AIAAgAD0ATABBAE0AQgBEAEEAKABcACIAawBnACAATgBcACIAKQA7AFwAbgBcAG4AVgBFAEUAUgBHAF8ANABfADMAXwAxAF8AMQAwAF8AXwAyAF8ATQBhAHMAcwBPAGYATgBpAHQAcgBvAGcAZQBuAFYAbwBsAGEAdABpAGwAaQBzAGUAZABPAG4AUABhAHMAdAB1AHIAZQBfAFMAbwB1AHIAYwBlAFwAbgAgACAAPQBMAEEATQBCAEQAQQAoAFwAIgBWAEUARQBSAEcAIAAyADAAMgA2ADoAIAA0AC4AMwAuADEALgAxADAALAAgAEUAcQB1AGEAdABpAG8AbgAgACgAMgApAFwAIgApADsAXABuAFwAbgBWAEUARQBSAEcAXwA0AF8AMwBfADEAXwAxADAAXwBfADIAXwBNAGEAcwBzAE8AZgBOAGkAdAByAG8AZwBlAG4AVgBvAGwAYQB0AGkAbABpAHMAZQBkAE8AbgBQAGEAcwB0AHUAcgBlAF8ATgBJAFIAUgBlAGYAZQByAGUAbgBjAGUAXABuACAAIAA9AEwAQQBNAEIARABBACgAXAAiAFwAIgApADsAXABuAFwAbgBWAEUARQBSAEcAXwA0AF8AMwBfADEAXwAxADAAXwBfADIAXwBNAGEAcwBzAE8AZgBOAGkAdAByAG8AZwBlAG4AVgBvAGwAYQB0AGkAbABpAHMAZQBkAE8AbgBQAGEAcwB0AHUAcgBlAF8ATABhAHQAZQB4AEUAcQB1AGEAdABpAG8AbgBcAG4AIAAgAD0ATABBAE0AQgBEAEEAKABcACIATQBfAHsAdgBvAGwALABtAD0AMQA0AH0APQBcAFwAcwB1AG0AXABcAG4AbwBsAGkAbQBpAHQAcwBfAHsAagB9ACgATQBOAF8AewBqAG0APQAxADQAfQBcAFwAdABpAG0AZQBzACAARgByAGEAYwBHAEEAUwBNAHMAbwBpAGwAKQBcACIAKQA7AFwAbgBcAG4AVgBFAEUAUgBHAF8ANABfADMAXwAxAF8AMQAwAF8AXwAyAF8ATQBhAHMAcwBPAGYATgBpAHQAcgBvAGcAZQBuAFYAbwBsAGEAdABpAGwAaQBzAGUAZA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XAAiACwAIABcACIAawBnACAATgBcACIALAAgAFwAIgBDAGEAbABjAHUAbABhAHQAZQBkACAAZgByAG8AbQAgADQALgAzAC4AMQAuADMAIAAoADI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XAAiACwAIABcACIAKABrAGcAIABOAEgAMwAtAE4AIAArACAATgBPAHgALQBOACkALwBrAGcAIABOACkAXAAiACwAIABcACIAQwBvAG4AcwB0AGEAbgB0AFwAIgBcAG4AIAAgACAAIAAgACAAIAAgAH0ALAAgAHIALAAgAGMAKQBcAG4AIAAgACAAIAAgACAAKQBcAG4AIAAgACAAIAApAFwAbgAgACAAKQA7AFwAbgAiAH0ALAB7ACIAcABhAHQAaAAiADoAIgAvAHAAcgBvAGoAZQBjAHQAcwAvAE0ATQBTAF8ARABhAGkAcgB5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yACAATQBlAHQAaABvAGQAIAAxACAALQAgAFMAbwBpAGw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I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UAcgBpAG4AZQAgAGEAbgBkACAAZgBhAGUAYwBlAHMAIABkAGUAcABvAHMAaQB0AGUAZAAgAG8AbgAgAHAAYQBzAHQAdQByAGU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yAF8AXwAxAF8ATABlAGEAYwBoAGkAbgBnAEEAbgBkAFIAdQBuAG8AZgBmAEUAbQBpAHMAcwBpAG8AbgBzAEYAcgBvAG0AVQByAGkAbgBlAEEAbgBkAEQAdQBuAGc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MwBfADEAXwAxADIAXwBfADEAXwBMAGUAYQBjAGgAaQBuAGcAQQBuAGQAUgB1AG4AbwBmAGYARQBtAGkAcwBzAGkAbwBuAHMARgByAG8AbQBVAHIAaQBuAGUAQQBuAGQARAB1AG4AZwBPAG4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MAXwAxAF8AMQAyAF8AXwAxAF8ATABlAGEAYwBoAGkAbgBnAEEAbgBkAFIAdQBuAG8AZgBmAEUAbQBpAHMAcwBpAG8AbgBzAEYAcgBvAG0AVQByAGkAbgBlAEEAbgBkAEQAdQBuAGcATwBuAFAAYQBzAHQAdQByAGUAXwBWAGEAcgBpAGEAYgBsAGUAXABuACAAIAA9AEwAQQBNAEIARABBACgAXAAiAEUAXwBOADIATwBsAGUAYQBjAGgAXAAiACkAOwBcAG4AXABuAFYARQBFAFIARwBfADQAXwAzAF8AMQBfADEAMgBfAF8AMQBfAEwAZQBhAGMAaABpAG4AZwBBAG4AZABSAHUAbgBvAGYAZgBFAG0AaQBzAHMAaQBvAG4AcwBGAHIAbwBtAFUAcgBpAG4AZQBBAG4AZABEAHUAbgBnAE8AbgBQAGEAcwB0AHUAcgBlAF8AVQBuAGkAdABcAG4AIAAgAD0ATABBAE0AQgBEAEEAKABcACIAdAAgAE4AMgBPAFwAIgApADsAXABuAFwAbgBWAEUARQBSAEcAXwA0AF8AMwBfADEAXwAxADIAXwBfADEAXwBMAGUAYQBjAGgAaQBuAGcAQQBuAGQAUgB1AG4AbwBmAGYARQBtAGkAcwBzAGkAbwBuAHMARgByAG8AbQBVAHIAaQBuAGUAQQBuAGQARAB1AG4AZwBPAG4AUABhAHMAdAB1AHIAZQBfAFMAbwB1AHIAYwBlAFwAbgAgACAAPQBMAEEATQBCAEQAQQAoAFwAIgBWAEUARQBSAEcAIAAyADAAMgA2ADoAIAA0AC4AMwAuADEALgAxADIALAAgAEUAcQB1AGEAdABpAG8AbgAgACgAMQApAFwAIgApADsAXABuAFwAbgBWAEUARQBSAEcAXwA0AF8AMwBfADEAXwAxADIAXwBfADEAXwBMAGUAYQBjAGgAaQBuAGcAQQBuAGQAUgB1AG4AbwBmAGYARQBtAGkAcwBzAGkAbwBuAHMARgByAG8AbQBVAHIAaQBuAGUAQQBuAGQARAB1AG4AZwBPAG4AUABhAHMAdAB1AHIAZQBfAE4ASQBSAFIAZQBmAGUAcgBlAG4AYwBlAFwAbgAgACAAPQBMAEEATQBCAEQAQQAoAFwAIgBcACIAKQA7AFwAbgBcAG4AVgBFAEUAUgBHAF8ANABfADMAXwAxAF8AMQAyAF8AXwAxAF8ATABlAGEAYwBoAGkAbgBnAEEAbgBkAFIAdQBuAG8AZgBmAEUAbQBpAHMAcwBpAG8AbgBzAEYAcgBvAG0AVQByAGkAbgBlAEEAbgBkAEQAdQBuAGc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MwBfADEAXwAxADIAXwBfADEAXwBMAGUAYQBjAGgAaQBuAGcAQQBuAGQAUgB1AG4AbwBmAGYARQBtAGkAcwBzAGkAbwBuAHMARgByAG8AbQBVAHIAaQBuAGUAQQBuAGQARAB1AG4AZw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UAcgBpAG4AZQAgAGEAbgBkACAAZgBhAGUAYwBlAHMAIABkAGUAcABvAHMAaQB0AGUAZAAgAG8AbgAgAHAAYQBzAHQAdQByAGUAXAAiACwAIABcACIAawBnACAATgBcACIALAAgAFwAIgBDAGEAbABjAHUAbABhAHQAZQBkACAAZgByAG8AbQAgADQALgAzAC4AMQAuADEAM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MgBfAF8AMgBfAE0AYQBzAHMATwBmAE4AaQB0AHIAbwBnAGUAbgBMAG8AcwB0AFQAbwBMAGUAYQBjAGgAaQBuAGcAQQBuAGQAUgB1AG4AbwBmAGYATwBuAFAAYQBzAHQAdQByAGUAXABuAE0AYQBzAHMAIABvAGYAIABuAGkAdAByAG8AZwBlAG4AIABsAG8AcwB0ACAAdABvACAAbABlAGEAYwBoAGkAbgBnACAAYQBuAGQAIAByAHUAbgBvAGYAZgAgAGYAcgBvAG0AIAB1AHIAaQBuAGUAIABhAG4AZAAgAGYAYQBlAGMAZQBzACAAbwBuACAAcABhAHMAdAB1AHIAZQBcAG4ATQBfAGwAZQBhAGMAaABfAG0AMQA0AFwAbgBrAGcAIABOAFwAbgBNAF8AewBsAGUAYQBjAGgALABtAD0AMQA0AH0APQBNAE4AXwB7AGoAbQA9ADEANAB9AFwAXAB0AGkAbQBlAHMAIABGAHIAYQBjAFcAZQB0AFwAXAB0AGkAbQBlAHMAIABGAHIAYQBjAEwARQBBAEMASABcAG4ATQBOAF8AagBtADEANAAgAD0AIABtAGEAcwBzACAAbwBmACAAbgBpAHQAcgBvAGcAZQBuACAAZQB4AGMAcgBlAHQAZQBkACAAbwBuACAAcABhAHMAdAB1AHIAZQAsACAAcgBhAG4AZwBlACAAYQBuAGQAIABwAGEAZABkAG8AYwBrACAAZgBvAHIAIABlAGEAYwBoACAAZABhAGkAcgB5ACAAYwBsAGEAcwBzACAAKABrAGcAIABOACkAXABuAEYAcgBhAGMAVwBlAHQAIAA9ACAAZgByAGEAYwB0AGkAbwBuACAAbwBmACAATgAgAGEAdgBhAGkAbABhAGIAbABlACAAZgBvAHIAIABsAGUAYQBjAGgAaQBuAGcAIABhAG4AZAAgAHIAdQBuAG8AZgBmAFwAbgBGAHIAYQBjAEwARQBBAEMASA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EAMgBfAF8AMgBfAE0AYQBzAHMATwBmAE4AaQB0AHIAbwBnAGUAbgBMAG8AcwB0AFQAbwBMAGUAYQBjAGgAaQBuAGcAQQBuAGQAUgB1AG4AbwBmAGYATwBuAFAAYQBzAHQAdQByAGUAXABuACAAIAA9AEwAQQBNAEIARABBACgAXABuACAAIAAgACAATQBOAF8AagBtADEANAAsACAARgByAGEAYwBXAGUAdAAsACAARgByAGEAYwBMAEUAQQBDAEgALABcAG4AIAAgACAAIABNAE4AXwBqAG0AMQA0ACAAKgAgAEYAcgBhAGMAVwBlAHQAIAAqACAARgByAGEAYwBMAEUAQQBDAEgAXABuACAAIAApADsAXABuAFwAbgBWAEUARQBSAEcAXwA0AF8AMwBfADEAXwAxADI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IABmAHIAbwBtACAAdQByAGkAbgBlACAAYQBuAGQAIABmAGEAZQBjAGUAcwAgAG8AbgAgAHAAYQBzAHQAdQByAGUAXAAiACkAOwBcAG4AXABuAFYARQBFAFIARwBfADQAXwAzAF8AMQBfADEAMgBfAF8AMgBfAE0AYQBzAHMATwBmAE4AaQB0AHIAbwBnAGUAbgBMAG8AcwB0AFQAbwBMAGUAYQBjAGgAaQBuAGcAQQBuAGQAUgB1AG4AbwBmAGYATwBuAFAAYQBzAHQAdQByAGUAXwBWAGEAcgBpAGEAYgBsAGUAXABuACAAIAA9AEwAQQBNAEIARABBACgAXAAiAE0AXwBsAGUAYQBjAGgAXwBtADEANABcACIAKQA7AFwAbgBcAG4AVgBFAEUAUgBHAF8ANABfADMAXwAxAF8AMQAyAF8AXwAyAF8ATQBhAHMAcwBPAGYATgBpAHQAcgBvAGcAZQBuAEwAbwBzAHQAVABvAEwAZQBhAGMAaABpAG4AZwBBAG4AZABSAHUAbgBvAGYAZgBPAG4AUABhAHMAdAB1AHIAZQBfAFUAbgBpAHQAXABuACAAIAA9AEwAQQBNAEIARABBACgAXAAiAGsAZwAgAE4AXAAiACkAOwBcAG4AXABuAFYARQBFAFIARwBfADQAXwAzAF8AMQBfADEAMgBfAF8AMgBfAE0AYQBzAHMATwBmAE4AaQB0AHIAbwBnAGUAbgBMAG8AcwB0AFQAbwBMAGUAYQBjAGgAaQBuAGcAQQBuAGQAUgB1AG4AbwBmAGYATwBuAFAAYQBzAHQAdQByAGUAXwBTAG8AdQByAGMAZQBcAG4AIAAgAD0ATABBAE0AQgBEAEEAKABcACIAVgBFAEUAUgBHACAAMgAwADIANgA6ACAANAAuADMALgAxAC4AMQAyACwAIABFAHEAdQBhAHQAaQBvAG4AIAAoADIAKQBcACIAKQA7AFwAbgBcAG4AVgBFAEUAUgBHAF8ANABfADMAXwAxAF8AMQAyAF8AXwAyAF8ATQBhAHMAcwBPAGYATgBpAHQAcgBvAGcAZQBuAEwAbwBzAHQAVABvAEwAZQBhAGMAaABpAG4AZwBBAG4AZABSAHUAbgBvAGYAZgBPAG4AUABhAHMAdAB1AHIAZQBfAE4ASQBSAFIAZQBmAGUAcgBlAG4AYwBlAFwAbgAgACAAPQBMAEEATQBCAEQAQQAoAFwAIgBcACIAKQA7AFwAbgBcAG4AVgBFAEUAUgBHAF8ANABfADMAXwAxAF8AMQAyAF8AXwAyAF8ATQBhAHMAcwBPAGYATgBpAHQAcgBvAGcAZQBuAEwAbwBzAHQAVABvAEwAZQBhAGMAaABpAG4AZwBBAG4AZABSAHUAbgBvAGYAZgBPAG4AUABhAHMAdAB1AHIAZQBfAEwAYQB0AGUAeABFAHEAdQBhAHQAaQBvAG4AXABuACAAIAA9AEwAQQBNAEIARABBACgAXAAiAE0AXwB7AGwAZQBhAGMAaAAsAG0APQAxADQAfQA9AFwAXABzAHUAbQBcAFwAbgBvAGwAaQBtAGkAdABzAF8AewBqAH0AKABNAE4AXwB7AGoAbQA9ADEANAB9AFwAXAB0AGkAbQBlAHMAIABGAHIAYQBjAFcAZQB0AFwAXAB0AGkAbQBlAHMAIABGAHIAYQBjAEwARQBBAEMASAApAFwAIgApADsAXABuAFwAbgBWAEUARQBSAEcAXwA0AF8AMwBfADEAXwAxADI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FcAZQB0AFwAIgAsACAAXAAiAGYAcgBhAGMAdABpAG8AbgAgAG8AZgAgAE4AIABhAHYAYQBpAGwAYQBiAGwAZQAgAGYAbwByACAAbABlAGEAYwBoAGkAbgBnACAAYQBuAGQAIAByAHUAbgBvAGYAZgBcACIALAAgAFwAIgBcACIALAAgAFwAIgBDAG8AbgBzAHQAYQBuAHQAXAAiADsAXABuACAAIAAgACAAIAAgACAAIAAgACAAXAAiAEYAcgBhAGMATABFAEEAQwBIAFwAIgAsACAAXAAiAGYAcgBhAGMAdABpAG8AbgAgAG8AZgAgAE4AIABsAG8AcwB0ACAAdABoAHIAbwB1AGcAaAAgAGwAZQBhAGMAaABpAG4AZwAgAGEAbgBkACAAcgB1AG4AbwBmAGYAXAAiACwAIABcACI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EQAYQBpAHIAeQAuAFMAbwB1AHIAYwBlAEQAYQB0AGEAXwBEAGEAaQByAHkAXwBMAGkAdgBlAHcAZQBpAGcAaAB0AEMAbwB3AHMAQQBuAGQASABlAGkAZgBlAHIAcwBfAFQAaQB0AGwAZQAiACwAIgBTAG8AdQByAGMAZQBEAGEAdABhAF8ARABhAGkAcgB5AC4AUwBvAHUAcgBjAGUARABhAHQAYQBfAEQAYQBpAHIAeQBfAEwAaQB2AGUAdwBlAGkAZwBoAHQAQwBvAHcAcwBBAG4AZABIAGUAaQBmAGUAcgBzAF8AVgBhAHIAaQBhAGIAbABlACIALAAiAFMAbwB1AHIAYwBlAEQAYQB0AGEAXwBEAGEAaQByAHkALgBTAG8AdQByAGMAZQBEAGEAdABhAF8ARABhAGkAcgB5AF8ATABpAHYAZQB3AGUAaQBnAGgAdABDAG8AdwBzAEEAbgBkAEgAZQBpAGYAZQByAHMAXwBVAG4AaQB0ACIALAAiAFMAbwB1AHIAYwBlAEQAYQB0AGEAXwBEAGEAaQByAHkALgBTAG8AdQByAGMAZQBEAGEAdABhAF8ARABhAGkAcgB5AF8ATABpAHYAZQB3AGUAaQBnAGgAdABDAG8AdwBzAEEAbgBkAEgAZQBpAGYAZQByAHMAXwBTAG8AdQByAGMAZQAiACwAIgBTAG8AdQByAGMAZQBEAGEAdABhAF8ARABhAGkAcgB5AC4AUwBvAHUAcgBjAGUARABhAHQAYQBfAEQAYQBpAHIAeQBfAEwAaQB2AGUAdwBlAGkAZwBoAHQAQwBvAHcAcwBBAG4AZABIAGUAaQBmAGUAcgBzAF8AVgBhAHIAaQBhAHQAaQBvAG4AIgAsACIAUwBvAHUAcgBjAGUARABhAHQAYQBfAEQAYQBpAHIAeQAuAFMAbwB1AHIAYwBlAEQAYQB0AGEAXwBEAGEAaQByAHkAXwBMAGkAdgBlAHcAZQBpAGcAaAB0AEMAbwB3AHMAQQBuAGQASABlAGkAZgBlAHIAcwBfAEQAYQB0AGEAIgAsACIAUwBvAHUAcgBjAGUARABhAHQAYQBfAEQAYQBpAHIAeQAuAFMAbwB1AHIAYwBlAEQAYQB0AGEAXwBEAGEAaQByAHkAXwBMAGkAdgBlAHcAZQBpAGcAaAB0AEIAdQBsAGwAcwBfAFQAaQB0AGwAZQAiACwAIgBTAG8AdQByAGMAZQBEAGEAdABhAF8ARABhAGkAcgB5AC4AUwBvAHUAcgBjAGUARABhAHQAYQBfAEQAYQBpAHIAeQBfAEwAaQB2AGUAdwBlAGkAZwBoAHQAQgB1AGwAbABzAF8AVgBhAHIAaQBhAGIAbABlACIALAAiAFMAbwB1AHIAYwBlAEQAYQB0AGEAXwBEAGEAaQByAHkALgBTAG8AdQByAGMAZQBEAGEAdABhAF8ARABhAGkAcgB5AF8ATABpAHYAZQB3AGUAaQBnAGgAdABCAHUAbABsAHMAXwBVAG4AaQB0ACIALAAiAFMAbwB1AHIAYwBlAEQAYQB0AGEAXwBEAGEAaQByAHkALgBTAG8AdQByAGMAZQBEAGEAdABhAF8ARABhAGkAcgB5AF8ATABpAHYAZQB3AGUAaQBnAGgAdABCAHUAbABsAHMAXwBTAG8AdQByAGMAZQAiACwAIgBTAG8AdQByAGMAZQBEAGEAdABhAF8ARABhAGkAcgB5AC4AUwBvAHUAcgBjAGUARABhAHQAYQBfAEQAYQBpAHIAeQBfAEwAaQB2AGUAdwBlAGkAZwBoAHQAQgB1AGwAbABzAF8AVgBhAHIAaQBhAHQAaQBvAG4AIgAsACIAUwBvAHUAcgBjAGUARABhAHQAYQBfAEQAYQBpAHIAeQAuAFMAbwB1AHIAYwBlAEQAYQB0AGEAXwBEAGEAaQByAHkAXwBMAGkAdgBlAHcAZQBpAGcAaAB0AEIAdQBsAGwAcwBfAEQAYQB0AGEAIgAsACIAUwBvAHUAcgBjAGUARABhAHQAYQBfAEQAYQBpAHIAeQAuAFMAbwB1AHIAYwBlAEQAYQB0AGEAXwBEAGEAaQByAHkAXwBMAGkAdgBlAHcAZQBpAGcAaAB0AEcAYQBpAG4AXwBUAGkAdABsAGUAIgAsACIAUwBvAHUAcgBjAGUARABhAHQAYQBfAEQAYQBpAHIAeQAuAFMAbwB1AHIAYwBlAEQAYQB0AGEAXwBEAGEAaQByAHkAXwBMAGkAdgBlAHcAZQBpAGcAaAB0AEcAYQBpAG4AXwBWAGEAcgBpAGEAYgBsAGUAIgAsACIAUwBvAHUAcgBjAGUARABhAHQAYQBfAEQAYQBpAHIAeQAuAFMAbwB1AHIAYwBlAEQAYQB0AGEAXwBEAGEAaQByAHkAXwBMAGkAdgBlAHcAZQBpAGcAaAB0AEcAYQBpAG4AXwBVAG4AaQB0ACIALAAiAFMAbwB1AHIAYwBlAEQAYQB0AGEAXwBEAGEAaQByAHkALgBTAG8AdQByAGMAZQBEAGEAdABhAF8ARABhAGkAcgB5AF8ATABpAHYAZQB3AGUAaQBnAGgAdABHAGEAaQBuAF8AUwBvAHUAcgBjAGUAIgAsACIAUwBvAHUAcgBjAGUARABhAHQAYQBfAEQAYQBpAHIAeQAuAFMAbwB1AHIAYwBlAEQAYQB0AGEAXwBEAGEAaQByAHkAXwBMAGkAdgBlAHcAZQBpAGcAaAB0AEcAYQBpAG4AXwBWAGEAcgBpAGEAdABpAG8AbgAiACwAIgBTAG8AdQByAGMAZQBEAGEAdABhAF8ARABhAGkAcgB5AC4AUwBvAHUAcgBjAGUARABhAHQAYQBfAEQAYQBpAHIAeQBfAEwAaQB2AGUAdwBlAGkAZwBoAHQARwBhAGkAbgBfAEQAYQB0AGEAIgAsACIAUwBvAHUAcgBjAGUARABhAHQAYQBfAEQAYQBpAHIAeQAuAFMAbwB1AHIAYwBlAEQAYQB0AGEAXwBEAGEAaQByAHkAXwBSAGUAZgBlAHIAZQBuAGMAZQBXAGUAaQBnAGgAdABzAF8AVABpAHQAbABlACIALAAiAFMAbwB1AHIAYwBlAEQAYQB0AGEAXwBEAGEAaQByAHkALgBTAG8AdQByAGMAZQBEAGEAdABhAF8ARABhAGkAcgB5AF8AUgBlAGYAZQByAGUAbgBjAGUAVwBlAGkAZwBoAHQAcwBfAFYAYQByAGkAYQBiAGwAZQAiACwAIgBTAG8AdQByAGMAZQBEAGEAdABhAF8ARABhAGkAcgB5AC4AUwBvAHUAcgBjAGUARABhAHQAYQBfAEQAYQBpAHIAeQBfAFIAZQBmAGUAcgBlAG4AYwBlAFcAZQBpAGcAaAB0AHMAXwBVAG4AaQB0ACIALAAiAFMAbwB1AHIAYwBlAEQAYQB0AGEAXwBEAGEAaQByAHkALgBTAG8AdQByAGMAZQBEAGEAdABhAF8ARABhAGkAcgB5AF8AUgBlAGYAZQByAGUAbgBjAGUAVwBlAGkAZwBoAHQAcwBfAFMAbwB1AHIAYwBlACIALAAiAFMAbwB1AHIAYwBlAEQAYQB0AGEAXwBEAGEAaQByAHkALgBTAG8AdQByAGMAZQBEAGEAdABhAF8ARABhAGkAcgB5AF8AUgBlAGYAZQByAGUAbgBjAGUAVwBlAGkAZwBoAHQAcwBfAFYAYQByAGkAYQB0AGkAbwBuACIALAAiAFMAbwB1AHIAYwBlAEQAYQB0AGEAXwBEAGEAaQByAHkALgBTAG8AdQByAGMAZQBEAGEAdABhAF8ARABhAGkAcgB5AF8AUgBlAGYAZQByAGUAbgBjAGUAVwBlAGkAZwBoAHQAcwBfAEQAYQB0AGEAIgAsACIAUwBvAHUAcgBjAGUARABhAHQAYQBfAEQAYQBpAHIAeQAuAFMAbwB1AHIAYwBlAEQAYQB0AGEAXwBEAGEAaQByAHkAXwBQAHIAZQBXAGUAYQBuAGUAZABDAGEAbAB2AGUAcwBfAFQAaQB0AGwAZQAiACwAIgBTAG8AdQByAGMAZQBEAGEAdABhAF8ARABhAGkAcgB5AC4AUwBvAHUAcgBjAGUARABhAHQAYQBfAEQAYQBpAHIAeQBfAFAAcgBlAFcAZQBhAG4AZQBkAEMAYQBsAHYAZQBzAF8AVgBhAHIAaQBhAGIAbABlACIALAAiAFMAbwB1AHIAYwBlAEQAYQB0AGEAXwBEAGEAaQByAHkALgBTAG8AdQByAGMAZQBEAGEAdABhAF8ARABhAGkAcgB5AF8AUAByAGUAVwBlAGEAbgBlAGQAQwBhAGwAdgBlAHMAXwBVAG4AaQB0ACIALAAiAFMAbwB1AHIAYwBlAEQAYQB0AGEAXwBEAGEAaQByAHkALgBTAG8AdQByAGMAZQBEAGEAdABhAF8ARABhAGkAcgB5AF8AUAByAGUAVwBlAGEAbgBlAGQAQwBhAGwAdgBlAHMAXwBTAG8AdQByAGMAZQAiACwAIgBTAG8AdQByAGMAZQBEAGEAdABhAF8ARABhAGkAcgB5AC4AUwBvAHUAcgBjAGUARABhAHQAYQBfAEQAYQBpAHIAeQBfAFAAcgBlAFcAZQBhAG4AZQBkAEMAYQBsAHYAZQBzAF8AVgBhAHIAaQBhAHQAaQBvAG4AIgAsACIAUwBvAHUAcgBjAGUARABhAHQAYQBfAEQAYQBpAHIAeQAuAFMAbwB1AHIAYwBlAEQAYQB0AGEAXwBEAGEAaQByAHkAXwBQAHIAZQBXAGUAYQBuAGUAZABDAGEAbAB2AGUAcwBfAEQAYQB0AGEAIgAsACIAUwBvAHUAcgBjAGUARABhAHQAYQBfAEQAYQBpAHIAeQAuAFMAbwB1AHIAYwBlAEQAYQB0AGEAXwBEAGEAaQByAHkAXwBNAEMARgBfAFQAaQB0AGwAZQAiACwAIgBTAG8AdQByAGMAZQBEAGEAdABhAF8ARABhAGkAcgB5AC4AUwBvAHUAcgBjAGUARABhAHQAYQBfAEQAYQBpAHIAeQBfAE0AQwBGAF8AVgBhAHIAaQBhAGIAbABlACIALAAiAFMAbwB1AHIAYwBlAEQAYQB0AGEAXwBEAGEAaQByAHkALgBTAG8AdQByAGMAZQBEAGEAdABhAF8ARABhAGkAcgB5AF8ATQBDAEYAXwBVAG4AaQB0ACIALAAiAFMAbwB1AHIAYwBlAEQAYQB0AGEAXwBEAGEAaQByAHkALgBTAG8AdQByAGMAZQBEAGEAdABhAF8ARABhAGkAcgB5AF8ATQBDAEYAXwBTAG8AdQByAGMAZQAiACwAIgBTAG8AdQByAGMAZQBEAGEAdABhAF8ARABhAGkAcgB5AC4AUwBvAHUAcgBjAGUARABhAHQAYQBfAEQAYQBpAHIAeQBfAE0AQwBGAF8AVgBhAHIAaQBhAHQAaQBvAG4AIgAsACIAUwBvAHUAcgBjAGUARABhAHQAYQBfAEQAYQBpAHIAeQAuAFMAbwB1AHIAYwBlAEQAYQB0AGEAXwBEAGEAaQByAHkAXwBNAEMARgBfAEQAYQB0AGEAIgAsACIAUwBvAHUAcgBjAGUARABhAHQAYQBfAEQAYQBpAHIAeQAuAFMAbwB1AHIAYwBlAEQAYQB0AGEAXwBEAGEAaQByAHkAXwBOAGkAdAByAG8AdQBzAE8AeABpAGQAZQBFAEYAcwBBAG4AZABGAHIAYQBjAEcAQQBTAE0AXwBUAGkAdABsAGUAIgAsACIAUwBvAHUAcgBjAGUARABhAHQAYQBfAEQAYQBpAHIAeQAuAFMAbwB1AHIAYwBlAEQAYQB0AGEAXwBEAGEAaQByAHkAXwBOAGkAdAByAG8AdQBzAE8AeABpAGQAZQBFAEYAcwBBAG4AZABGAHIAYQBjAEcAQQBTAE0AXwBWAGEAcgBpAGEAYgBsAGUAIgAsACIAUwBvAHUAcgBjAGUARABhAHQAYQBfAEQAYQBpAHIAeQAuAFMAbwB1AHIAYwBlAEQAYQB0AGEAXwBEAGEAaQByAHkAXwBOAGkAdAByAG8AdQBzAE8AeABpAGQAZQBFAEYAcwBBAG4AZABGAHIAYQBjAEcAQQBTAE0AXwBVAG4AaQB0ACIALAAiAFMAbwB1AHIAYwBlAEQAYQB0AGEAXwBEAGEAaQByAHkALgBTAG8AdQByAGMAZQBEAGEAdABhAF8ARABhAGkAcgB5AF8ATgBpAHQAcgBvAHUAcwBPAHgAaQBkAGUARQBGAHMAQQBuAGQARgByAGEAYwBHAEEAUwBNAF8AUwBvAHUAcgBjAGUAIgAsACIAUwBvAHUAcgBjAGUARABhAHQAYQBfAEQAYQBpAHIAeQAuAFMAbwB1AHIAYwBlAEQAYQB0AGEAXwBEAGEAaQByAHkAXwBOAGkAdAByAG8AdQBzAE8AeABpAGQAZQBFAEYAcwBBAG4AZABGAHIAYQBjAEcAQQBTAE0AXwBWAGEAcgBpAGEAdABpAG8AbgAiACwAIgBTAG8AdQByAGMAZQBEAGEAdABhAF8ARABhAGkAcgB5AC4AUwBvAHUAcgBjAGUARABhAHQAYQBfAEQAYQBpAHIAeQBfAE4AaQB0AHIAbwB1AHMATwB4AGkAZABlAEUARgBzAEEAbgBkAEYAcgBhAGMARwBBAFMATQBfAEQAYQB0AGEAIgAsACIAUwBvAHUAcgBjAGUARABhAHQAYQBfAEQAYQBpAHIAeQAuAFMAbwB1AHIAYwBlAEQAYQB0AGEAXwBEAGEAaQByAHkAXwBNAGUAdABoAGEAbgBlAFAAcgBvAGQAdQBjAHQAaQBvAG4AUAByAGUAVwBlAGEAbgBlAGQAQwBhAGwAdgBlAHMAXwBUAGkAdABsAGUAIgAsACIAUwBvAHUAcgBjAGUARABhAHQAYQBfAEQAYQBpAHIAeQAuAFMAbwB1AHIAYwBlAEQAYQB0AGEAXwBEAGEAaQByAHkAXwBNAGUAdABoAGEAbgBlAFAAcgBvAGQAdQBjAHQAaQBvAG4AUAByAGUAVwBlAGEAbgBlAGQAQwBhAGwAdgBlAHMAXwBWAGEAcgBpAGEAYgBsAGUAIgAsACIAUwBvAHUAcgBjAGUARABhAHQAYQBfAEQAYQBpAHIAeQAuAFMAbwB1AHIAYwBlAEQAYQB0AGEAXwBEAGEAaQByAHkAXwBNAGUAdABoAGEAbgBlAFAAcgBvAGQAdQBjAHQAaQBvAG4AUAByAGUAVwBlAGEAbgBlAGQAQwBhAGwAdgBlAHMAXwBVAG4AaQB0ACIALAAiAFMAbwB1AHIAYwBlAEQAYQB0AGEAXwBEAGEAaQByAHkALgBTAG8AdQByAGMAZQBEAGEAdABhAF8ARABhAGkAcgB5AF8ATQBlAHQAaABhAG4AZQBQAHIAbwBkAHUAYwB0AGkAbwBuAFAAcgBlAFcAZQBhAG4AZQBkAEMAYQBsAHYAZQBzAF8AUwBvAHUAcgBjAGUAIgAsACIAUwBvAHUAcgBjAGUARABhAHQAYQBfAEQAYQBpAHIAeQAuAFMAbwB1AHIAYwBlAEQAYQB0AGEAXwBEAGEAaQByAHkAXwBNAGUAdABoAGEAbgBlAFAAcgBvAGQAdQBjAHQAaQBvAG4AUAByAGUAVwBlAGEAbgBlAGQAQwBhAGwAdgBlAHMAXwBWAGEAcgBpAGEAdABpAG8AbgAiACwAIgBTAG8AdQByAGMAZQBEAGEAdABhAF8ARABhAGkAcgB5AC4AUwBvAHUAcgBjAGUARABhAHQAYQBfAEQAYQBpAHIAeQBfAE0AZQB0AGgAYQBuAGUAUAByAG8AZAB1AGMAdABpAG8AbgBQAHIAZQBXAGUAYQBuAGUAZABDAGEAbAB2AGUAcwBfAEQAYQB0AGEAIgAsACIAUwBvAHUAcgBjAGUARABhAHQAYQBfAEQAYQBpAHIAeQAuAFMAbwB1AHIAYwBlAEQAYQB0AGEAXwBEAGEAaQByAHkAXwBJAG4AYwByAGUAYQBzAGUAZABNAGUAdABhAGIAbwBsAGkAYwBSAGEAdABlAE0AaQBsAGsAXwBUAGkAdABsAGUAIgAsACIAUwBvAHUAcgBjAGUARABhAHQAYQBfAEQAYQBpAHIAeQAuAFMAbwB1AHIAYwBlAEQAYQB0AGEAXwBEAGEAaQByAHkAXwBJAG4AYwByAGUAYQBzAGUAZABNAGUAdABhAGIAbwBsAGkAYwBSAGEAdABlAE0AaQBsAGsAXwBWAGEAcgBpAGEAYgBsAGUAIgAsACIAUwBvAHUAcgBjAGUARABhAHQAYQBfAEQAYQBpAHIAeQAuAFMAbwB1AHIAYwBlAEQAYQB0AGEAXwBEAGEAaQByAHkAXwBJAG4AYwByAGUAYQBzAGUAZABNAGUAdABhAGIAbwBsAGkAYwBSAGEAdABlAE0AaQBsAGsAXwBVAG4AaQB0ACIALAAiAFMAbwB1AHIAYwBlAEQAYQB0AGEAXwBEAGEAaQByAHkALgBTAG8AdQByAGMAZQBEAGEAdABhAF8ARABhAGkAcgB5AF8ASQBuAGMAcgBlAGEAcwBlAGQATQBlAHQAYQBiAG8AbABpAGMAUgBhAHQAZQBNAGkAbABrAF8AUwBvAHUAcgBjAGUAIgAsACIAUwBvAHUAcgBjAGUARABhAHQAYQBfAEQAYQBpAHIAeQAuAFMAbwB1AHIAYwBlAEQAYQB0AGEAXwBEAGEAaQByAHkAXwBJAG4AYwByAGUAYQBzAGUAZABNAGUAdABhAGIAbwBsAGkAYwBSAGEAdABlAE0AaQBsAGsAXwBWAGEAcgBpAGEAdABpAG8AbgAiACwAIgBTAG8AdQByAGMAZQBEAGEAdABhAF8ARABhAGkAcgB5AC4AUwBvAHUAcgBjAGUARABhAHQAYQBfAEQAYQBpAHIAeQBfAEkAbgBjAHIAZQBhAHMAZQBkAE0AZQB0AGEAYgBvAGwAaQBjAFIAYQB0AGUATQBpAGwAawBfAEQAYQB0AGEAIgAsACIAUwBvAHUAcgBjAGUARABhAHQAYQBfAEQAYQBpAHIAeQAuAFMAbwB1AHIAYwBlAEQAYQB0AGEAXwBEAGEAaQByAHkAXwBGAHIAYQBjAHQAaQBvAG4AVgBvAGwAYQB0AGkAbABlAFMAbwBsAGkAZABzAFYAbwBpAGQAZQBkAE0ATQBTAF8AVABpAHQAbABlACIALAAiAFMAbwB1AHIAYwBlAEQAYQB0AGEAXwBEAGEAaQByAHkALgBTAG8AdQByAGMAZQBEAGEAdABhAF8ARABhAGkAcgB5AF8ARgByAGEAYwB0AGkAbwBuAFYAbwBsAGEAdABpAGwAZQBTAG8AbABpAGQAcwBWAG8AaQBkAGUAZABNAE0AUwBfAFYAYQByAGkAYQBiAGwAZQAiACwAIgBTAG8AdQByAGMAZQBEAGEAdABhAF8ARABhAGkAcgB5AC4AUwBvAHUAcgBjAGUARABhAHQAYQBfAEQAYQBpAHIAeQBfAEYAcgBhAGMAdABpAG8AbgBWAG8AbABhAHQAaQBsAGUAUwBvAGwAaQBkAHMAVgBvAGkAZABlAGQATQBNAFMAXwBVAG4AaQB0ACIALAAiAFMAbwB1AHIAYwBlAEQAYQB0AGEAXwBEAGEAaQByAHkALgBTAG8AdQByAGMAZQBEAGEAdABhAF8ARABhAGkAcgB5AF8ARgByAGEAYwB0AGkAbwBuAFYAbwBsAGEAdABpAGwAZQBTAG8AbABpAGQAcwBWAG8AaQBkAGUAZABNAE0AUwBfAFMAbwB1AHIAYwBlACIALAAiAFMAbwB1AHIAYwBlAEQAYQB0AGEAXwBEAGEAaQByAHkALgBTAG8AdQByAGMAZQBEAGEAdABhAF8ARABhAGkAcgB5AF8ARgByAGEAYwB0AGkAbwBuAFYAbwBsAGEAdABpAGwAZQBTAG8AbABpAGQAcwBWAG8AaQBkAGUAZABNAE0AUwBfAFYAYQByAGkAYQB0AGkAbwBuACIALAAiAFMAbwB1AHIAYwBlAEQAYQB0AGEAXwBEAGEAaQByAHkALgBTAG8AdQByAGMAZQBEAGEAdABhAF8ARABhAGkAcgB5AF8ARgByAGEAYwB0AGkAbwBuAFYAbwBsAGEAdABpAGwAZQBTAG8AbABpAGQAcwBWAG8AaQBkAGUAZABNAE0AUwBfAEQAYQB0AGEAIgAsACIAUwBvAHUAcgBjAGUARABhAHQAYQBfAEQAYQBpAHIAeQAuAFMAbwB1AHIAYwBlAEQAYQB0AGEAXwBEAGEAaQByAHkAXwBFAEYATgBpAHQAcgBvAHUAcwBPAHgAaQBkAGUAUABlAHIATQBNAFMAXwBUAGkAdABsAGUAIgAsACIAUwBvAHUAcgBjAGUARABhAHQAYQBfAEQAYQBpAHIAeQAuAFMAbwB1AHIAYwBlAEQAYQB0AGEAXwBEAGEAaQByAHkAXwBFAEYATgBpAHQAcgBvAHUAcwBPAHgAaQBkAGUAUABlAHIATQBNAFMAXwBWAGEAcgBpAGEAYgBsAGUAIgAsACIAUwBvAHUAcgBjAGUARABhAHQAYQBfAEQAYQBpAHIAeQAuAFMAbwB1AHIAYwBlAEQAYQB0AGEAXwBEAGEAaQByAHkAXwBFAEYATgBpAHQAcgBvAHUAcwBPAHgAaQBkAGUAUABlAHIATQBNAFMAXwBVAG4AaQB0ACIALAAiAFMAbwB1AHIAYwBlAEQAYQB0AGEAXwBEAGEAaQByAHkALgBTAG8AdQByAGMAZQBEAGEAdABhAF8ARABhAGkAcgB5AF8ARQBGAE4AaQB0AHIAbwB1AHMATwB4AGkAZABlAFAAZQByAE0ATQBTAF8AUwBvAHUAcgBjAGUAIgAsACIAUwBvAHUAcgBjAGUARABhAHQAYQBfAEQAYQBpAHIAeQAuAFMAbwB1AHIAYwBlAEQAYQB0AGEAXwBEAGEAaQByAHkAXwBFAEYATgBpAHQAcgBvAHUAcwBPAHgAaQBkAGUAUABlAHIATQBNAFMAXwBWAGEAcgBpAGEAdABpAG8AbgAiACwAIgBTAG8AdQByAGMAZQBEAGEAdABhAF8ARABhAGkAcgB5AC4AUwBvAHUAcgBjAGUARABhAHQAYQBfAEQAYQBpAHIAeQBfAEUARgBOAGkAdAByAG8AdQBzAE8AeABpAGQAZQBQAGUAcgBNAE0AUwBfAEQAYQB0AGEAIgAsACIAUwBvAHUAcgBjAGUARABhAHQAYQBfAEQAYQBpAHIAeQAuAFMAbwB1AHIAYwBlAEQAYQB0AGEAXwBEAGEAaQByAHkAXwBEAHUAcgBhAHQAaQBvAG4ATwBmAFMAdABhAHkAXwBUAGkAdABsAGUAIgAsACIAUwBvAHUAcgBjAGUARABhAHQAYQBfAEQAYQBpAHIAeQAuAFMAbwB1AHIAYwBlAEQAYQB0AGEAXwBEAGEAaQByAHkAXwBEAHUAcgBhAHQAaQBvAG4ATwBmAFMAdABhAHkAXwBWAGEAcgBpAGEAYgBsAGUAIgAsACIAUwBvAHUAcgBjAGUARABhAHQAYQBfAEQAYQBpAHIAeQAuAFMAbwB1AHIAYwBlAEQAYQB0AGEAXwBEAGEAaQByAHkAXwBEAHUAcgBhAHQAaQBvAG4ATwBmAFMAdABhAHkAXwBVAG4AaQB0ACIALAAiAFMAbwB1AHIAYwBlAEQAYQB0AGEAXwBEAGEAaQByAHkALgBTAG8AdQByAGMAZQBEAGEAdABhAF8ARABhAGkAcgB5AF8ARAB1AHIAYQB0AGkAbwBuAE8AZgBTAHQAYQB5AF8AUwBvAHUAcgBjAGUAIgAsACIAUwBvAHUAcgBjAGUARABhAHQAYQBfAEQAYQBpAHIAeQAuAFMAbwB1AHIAYwBlAEQAYQB0AGEAXwBEAGEAaQByAHkAXwBEAHUAcgBhAHQAaQBvAG4ATwBmAFMAdABhAHkAXwBWAGEAcgBpAGEAdABpAG8AbgAiACwAIgBTAG8AdQByAGMAZQBEAGEAdABhAF8ARABhAGkAcgB5AC4AUwBvAHUAcgBjAGUARABhAHQAYQBfAEQAYQBpAHIAeQBfAEQAdQByAGEAdABpAG8AbgBPAGYAUwB0AGEAeQBfAEQAYQB0AGEAIgAsACIAUwBvAHUAcgBjAGUARABhAHQAYQBfAEQAYQBpAHIAeQAuAFMAbwB1AHIAYwBlAEQAYQB0AGEAXwBEAGEAaQByAHkAXwBDAHIAdQBkAGUAUAByAG8AdABlAGkAbgBfAFQAaQB0AGwAZQAiACwAIgBTAG8AdQByAGMAZQBEAGEAdABhAF8ARABhAGkAcgB5AC4AUwBvAHUAcgBjAGUARABhAHQAYQBfAEQAYQBpAHIAeQBfAEMAcgB1AGQAZQBQAHIAbwB0AGUAaQBuAF8AVgBhAHIAaQBhAGIAbABlACIALAAiAFMAbwB1AHIAYwBlAEQAYQB0AGEAXwBEAGEAaQByAHkALgBTAG8AdQByAGMAZQBEAGEAdABhAF8ARABhAGkAcgB5AF8AQwByAHUAZABlAFAAcgBvAHQAZQBpAG4AXwBVAG4AaQB0ACIALAAiAFMAbwB1AHIAYwBlAEQAYQB0AGEAXwBEAGEAaQByAHkALgBTAG8AdQByAGMAZQBEAGEAdABhAF8ARABhAGkAcgB5AF8AQwByAHUAZABlAFAAcgBvAHQAZQBpAG4AXwBTAG8AdQByAGMAZQAiACwAIgBTAG8AdQByAGMAZQBEAGEAdABhAF8ARABhAGkAcgB5AC4AUwBvAHUAcgBjAGUARABhAHQAYQBfAEQAYQBpAHIAeQBfAEMAcgB1AGQAZQBQAHIAbwB0AGUAaQBuAF8AVgBhAHIAaQBhAHQAaQBvAG4AIgAsACIAUwBvAHUAcgBjAGUARABhAHQAYQBfAEQAYQBpAHIAeQAuAFMAbwB1AHIAYwBlAEQAYQB0AGEAXwBEAGEAaQByAHkAXwBDAHIAdQBkAGUAUAByAG8AdABlAGkAbgBfAEQAYQB0AGEAIgAsACIAUwBvAHUAcgBjAGUARABhAHQAYQBfAEQAYQBpAHIAeQAuAFMAbwB1AHIAYwBlAEQAYQB0AGEAXwBEAGEAaQByAHkAXwBEAHIAeQBNAGEAdAB0AGUAcgBEAGkAZwBlAHMAdABpAGIAaQBsAGkAdAB5AF8AVABpAHQAbABlACIALAAiAFMAbwB1AHIAYwBlAEQAYQB0AGEAXwBEAGEAaQByAHkALgBTAG8AdQByAGMAZQBEAGEAdABhAF8ARABhAGkAcgB5AF8ARAByAHkATQBhAHQAdABlAHIARABpAGcAZQBzAHQAaQBiAGkAbABpAHQAeQBfAFYAYQByAGkAYQBiAGwAZQAiACwAIgBTAG8AdQByAGMAZQBEAGEAdABhAF8ARABhAGkAcgB5AC4AUwBvAHUAcgBjAGUARABhAHQAYQBfAEQAYQBpAHIAeQBfAEQAcgB5AE0AYQB0AHQAZQByAEQAaQBnAGUAcwB0AGkAYgBpAGwAaQB0AHkAXwBVAG4AaQB0ACIALAAiAFMAbwB1AHIAYwBlAEQAYQB0AGEAXwBEAGEAaQByAHkALgBTAG8AdQByAGMAZQBEAGEAdABhAF8ARABhAGkAcgB5AF8ARAByAHkATQBhAHQAdABlAHIARABpAGcAZQBzAHQAaQBiAGkAbABpAHQAeQBfAFMAbwB1AHIAYwBlACIALAAiAFMAbwB1AHIAYwBlAEQAYQB0AGEAXwBEAGEAaQByAHkALgBTAG8AdQByAGMAZQBEAGEAdABhAF8ARABhAGkAcgB5AF8ARAByAHkATQBhAHQAdABlAHIARABpAGcAZQBzAHQAaQBiAGkAbABpAHQAeQBfAFYAYQByAGkAYQB0AGkAbwBuACIALAAiAFMAbwB1AHIAYwBlAEQAYQB0AGEAXwBEAGEAaQByAHkALgBTAG8AdQByAGMAZQBEAGEAdABhAF8ARABhAGkAcgB5AF8ARAByAHkATQBhAHQAdABlAHIARABpAGcAZQBzAHQAaQBiAGkAbABpAHQAeQBfAEQAYQB0AGEAIgAsACIAUwBvAHUAcgBjAGUARABhAHQAYQBfAEQAYQBpAHIAeQAuAFMAbwB1AHIAYwBlAEQAYQB0AGEAXwBEAGEAaQByAHkAXwBOAGUAdABFAG4AZQByAGcAeQBfAFQAaQB0AGwAZQAiACwAIgBTAG8AdQByAGMAZQBEAGEAdABhAF8ARABhAGkAcgB5AC4AUwBvAHUAcgBjAGUARABhAHQAYQBfAEQAYQBpAHIAeQBfAE4AZQB0AEUAbgBlAHIAZwB5AF8AVgBhAHIAaQBhAGIAbABlACIALAAiAFMAbwB1AHIAYwBlAEQAYQB0AGEAXwBEAGEAaQByAHkALgBTAG8AdQByAGMAZQBEAGEAdABhAF8ARABhAGkAcgB5AF8ATgBlAHQARQBuAGUAcgBnAHkAXwBVAG4AaQB0ACIALAAiAFMAbwB1AHIAYwBlAEQAYQB0AGEAXwBEAGEAaQByAHkALgBTAG8AdQByAGMAZQBEAGEAdABhAF8ARABhAGkAcgB5AF8ATgBlAHQARQBuAGUAcgBnAHkAXwBTAG8AdQByAGMAZQAiACwAIgBTAG8AdQByAGMAZQBEAGEAdABhAF8ARABhAGkAcgB5AC4AUwBvAHUAcgBjAGUARABhAHQAYQBfAEQAYQBpAHIAeQBfAE4AZQB0AEUAbgBlAHIAZwB5AF8AVgBhAHIAaQBhAHQAaQBvAG4AIgAsACIAUwBvAHUAcgBjAGUARABhAHQAYQBfAEQAYQBpAHIAeQAuAFMAbwB1AHIAYwBlAEQAYQB0AGEAXwBEAGEAaQByAHkAXwBOAGUAdABFAG4AZQByAGcAeQBfAEQAYQB0AGEAIgAsACIAUwBvAHUAcgBjAGUARABhAHQAYQBfAEQAYQBpAHIAeQAuAFMAbwB1AHIAYwBlAEQAYQB0AGEAXwBEAGEAaQByAHkAXwBHAHIAbwBzAHMARQBuAGUAcgBnAHkAQwBvAG4AdABlAG4AdABfAFQAaQB0AGwAZQAiACwAIgBTAG8AdQByAGMAZQBEAGEAdABhAF8ARABhAGkAcgB5AC4AUwBvAHUAcgBjAGUARABhAHQAYQBfAEQAYQBpAHIAeQBfAEcAcgBvAHMAcwBFAG4AZQByAGcAeQBDAG8AbgB0AGUAbgB0AF8AVgBhAHIAaQBhAGIAbABlACIALAAiAFMAbwB1AHIAYwBlAEQAYQB0AGEAXwBEAGEAaQByAHkALgBTAG8AdQByAGMAZQBEAGEAdABhAF8ARABhAGkAcgB5AF8ARwByAG8AcwBzAEUAbgBlAHIAZwB5AEMAbwBuAHQAZQBuAHQAXwBVAG4AaQB0ACIALAAiAFMAbwB1AHIAYwBlAEQAYQB0AGEAXwBEAGEAaQByAHkALgBTAG8AdQByAGMAZQBEAGEAdABhAF8ARABhAGkAcgB5AF8ARwByAG8AcwBzAEUAbgBlAHIAZwB5AEMAbwBuAHQAZQBuAHQAXwBTAG8AdQByAGMAZQAiACwAIgBTAG8AdQByAGMAZQBEAGEAdABhAF8ARABhAGkAcgB5AC4AUwBvAHUAcgBjAGUARABhAHQAYQBfAEQAYQBpAHIAeQBfAEcAcgBvAHMAcwBFAG4AZQByAGcAeQBDAG8AbgB0AGUAbgB0AF8AVgBhAHIAaQBhAHQAaQBvAG4AIgAsACIAUwBvAHUAcgBjAGUARABhAHQAYQBfAEQAYQBpAHIAeQAuAFMAbwB1AHIAYwBlAEQAYQB0AGEAXwBEAGEAaQByAHkAXwBHAHIAbwBzAHMARQBuAGUAcgBnAHkAQwBvAG4AdABlAG4AdABfAEQAYQB0AGEAIgAsACIAUwBvAHUAcgBjAGUARABhAHQAYQBfAEQAYQBpAHIAeQAuAFMAbwB1AHIAYwBlAEQAYQB0AGEAXwBEAGEAaQByAHkAXwBFAGYAZgBpAGMAaQBlAG4AYwB5AE8AZgBVAHMAZQBPAGYATQBlAHQAYQBiAG8AbABpAHoAYQBiAGwAZQBFAG4AZQByAGcAeQBfAFQAaQB0AGwAZQAiACwAIgBTAG8AdQByAGMAZQBEAGEAdABhAF8ARABhAGkAcgB5AC4AUwBvAHUAcgBjAGUARABhAHQAYQBfAEQAYQBpAHIAeQBfAEUAZgBmAGkAYwBpAGUAbgBjAHkATwBmAFUAcwBlAE8AZgBNAGUAdABhAGIAbwBsAGkAegBhAGIAbABlAEUAbgBlAHIAZwB5AF8AVgBhAHIAaQBhAGIAbABlACIALAAiAFMAbwB1AHIAYwBlAEQAYQB0AGEAXwBEAGEAaQByAHkALgBTAG8AdQByAGMAZQBEAGEAdABhAF8ARABhAGkAcgB5AF8ARQBmAGYAaQBjAGkAZQBuAGMAeQBPAGYAVQBzAGUATwBmAE0AZQB0AGEAYgBvAGwAaQB6AGEAYgBsAGUARQBuAGUAcgBnAHkAXwBVAG4AaQB0ACIALAAiAFMAbwB1AHIAYwBlAEQAYQB0AGEAXwBEAGEAaQByAHkALgBTAG8AdQByAGMAZQBEAGEAdABhAF8ARABhAGkAcgB5AF8ARQBmAGYAaQBjAGkAZQBuAGMAeQBPAGYAVQBzAGUATwBmAE0AZQB0AGEAYgBvAGwAaQB6AGEAYgBsAGUARQBuAGUAcgBnAHkAXwBTAG8AdQByAGMAZQAiACwAIgBTAG8AdQByAGMAZQBEAGEAdABhAF8ARABhAGkAcgB5AC4AUwBvAHUAcgBjAGUARABhAHQAYQBfAEQAYQBpAHIAeQBfAEUAZgBmAGkAYwBpAGUAbgBjAHkATwBmAFUAcwBlAE8AZgBNAGUAdABhAGIAbwBsAGkAegBhAGIAbABlAEUAbgBlAHIAZwB5AF8AVgBhAHIAaQBhAHQAaQBvAG4AIgAsACIAUwBvAHUAcgBjAGUARABhAHQAYQBfAEQAYQBpAHIAeQAuAFMAbwB1AHIAYwBlAEQAYQB0AGEAXwBEAGEAaQByAHkAXwBFAGYAZgBpAGMAaQBlAG4AYwB5AE8AZgBVAHMAZQBPAGYATQBlAHQAYQBiAG8AbABpAHoAYQBiAGwAZQBFAG4AZQByAGcAeQBfAEQAYQB0AGEAIgAsACIAUwBvAHUAcgBjAGUARABhAHQAYQBfAEQAYQBpAHIAeQAuAFMAbwB1AHIAYwBlAEQAYQB0AGEAXwBEAGEAaQByAHkAXwBBAHMAaABDAG8AbgB0AGUAbgB0AF8AVABpAHQAbABlACIALAAiAFMAbwB1AHIAYwBlAEQAYQB0AGEAXwBEAGEAaQByAHkALgBTAG8AdQByAGMAZQBEAGEAdABhAF8ARABhAGkAcgB5AF8AQQBzAGgAQwBvAG4AdABlAG4AdABfAFYAYQByAGkAYQBiAGwAZQAiACwAIgBTAG8AdQByAGMAZQBEAGEAdABhAF8ARABhAGkAcgB5AC4AUwBvAHUAcgBjAGUARABhAHQAYQBfAEQAYQBpAHIAeQBfAEEAcwBoAEMAbwBuAHQAZQBuAHQAXwBVAG4AaQB0ACIALAAiAFMAbwB1AHIAYwBlAEQAYQB0AGEAXwBEAGEAaQByAHkALgBTAG8AdQByAGMAZQBEAGEAdABhAF8ARABhAGkAcgB5AF8AQQBzAGgAQwBvAG4AdABlAG4AdABfAFMAbwB1AHIAYwBlACIALAAiAFMAbwB1AHIAYwBlAEQAYQB0AGEAXwBEAGEAaQByAHkALgBTAG8AdQByAGMAZQBEAGEAdABhAF8ARABhAGkAcgB5AF8AQQBzAGgAQwBvAG4AdABlAG4AdABfAFYAYQByAGkAYQB0AGkAbwBuACIALAAiAFMAbwB1AHIAYwBlAEQAYQB0AGEAXwBEAGEAaQByAHkALgBTAG8AdQByAGMAZQBEAGEAdABhAF8ARABhAGkAcgB5AF8AQQBzAGgAQwBvAG4AdABlAG4AdABfAEQAYQB0AGEAIgAsACIAUwBvAHUAcgBjAGUARABhAHQAYQBfAEQAYQBpAHIAeQAuAFMAbwB1AHIAYwBlAEQAYQB0AGEAXwBEAGEAaQByAHkAXwBNAGUAdABoAGEAbgBlAEUAbQBpAHMAcwBpAG8AbgBzAFAAbwB0AGUAbgB0AGkAYQBsAF8AVABpAHQAbABlACIALAAiAFMAbwB1AHIAYwBlAEQAYQB0AGEAXwBEAGEAaQByAHkALgBTAG8AdQByAGMAZQBEAGEAdABhAF8ARABhAGkAcgB5AF8ATQBlAHQAaABhAG4AZQBFAG0AaQBzAHMAaQBvAG4AcwBQAG8AdABlAG4AdABpAGEAbABfAFYAYQByAGkAYQBiAGwAZQAiACwAIgBTAG8AdQByAGMAZQBEAGEAdABhAF8ARABhAGkAcgB5AC4AUwBvAHUAcgBjAGUARABhAHQAYQBfAEQAYQBpAHIAeQBfAE0AZQB0AGgAYQBuAGUARQBtAGkAcwBzAGkAbwBuAHMAUABvAHQAZQBuAHQAaQBhAGwAXwBVAG4AaQB0ACIALAAiAFMAbwB1AHIAYwBlAEQAYQB0AGEAXwBEAGEAaQByAHkALgBTAG8AdQByAGMAZQBEAGEAdABhAF8ARABhAGkAcgB5AF8ATQBlAHQAaABhAG4AZQBFAG0AaQBzAHMAaQBvAG4AcwBQAG8AdABlAG4AdABpAGEAbABfAFMAbwB1AHIAYwBlACIALAAiAFMAbwB1AHIAYwBlAEQAYQB0AGEAXwBEAGEAaQByAHkALgBTAG8AdQByAGMAZQBEAGEAdABhAF8ARABhAGkAcgB5AF8ATQBlAHQAaABhAG4AZQBFAG0AaQBzAHMAaQBvAG4AcwBQAG8AdABlAG4AdABpAGEAbABfAFYAYQByAGkAYQB0AGkAbwBuACIALAAiAFMAbwB1AHIAYwBlAEQAYQB0AGEAXwBEAGEAaQByAHkALgBTAG8AdQByAGMAZQBEAGEAdABhAF8ARABhAGkAcgB5AF8ATQBlAHQAaABhAG4AZQBFAG0AaQBzAHMAaQBvAG4AcwBQAG8AdABlAG4AdABpAGEAbABfAEQAYQB0AGEAIgAsACIAUwBvAHUAcgBjAGUARABhAHQAYQBfAEQAYQBpAHIAeQAuAFMAbwB1AHIAYwBlAEQAYQB0AGEAXwBEAGEAaQByAHkAXwBFAG0AaQBzAHMAaQBvAG4ARgBhAGMAdABvAHIARgBvAHIATABlAGEAYwBoAGkAbgBnAEEAbgBkAFIAdQBuAG8AZgBmAF8AVABpAHQAbABlACIALAAiAFMAbwB1AHIAYwBlAEQAYQB0AGEAXwBEAGEAaQByAHkALgBTAG8AdQByAGMAZQBEAGEAdABhAF8ARABhAGkAcgB5AF8ARQBtAGkAcwBzAGkAbwBuAEYAYQBjAHQAbwByAEYAbwByAEwAZQBhAGMAaABpAG4AZwBBAG4AZABSAHUAbgBvAGYAZgBfAFYAYQByAGkAYQBiAGwAZQAiACwAIgBTAG8AdQByAGMAZQBEAGEAdABhAF8ARABhAGkAcgB5AC4AUwBvAHUAcgBjAGUARABhAHQAYQBfAEQAYQBpAHIAeQBfAEUAbQBpAHMAcwBpAG8AbgBGAGEAYwB0AG8AcgBGAG8AcgBMAGUAYQBjAGgAaQBuAGcAQQBuAGQAUgB1AG4AbwBmAGYAXwBVAG4AaQB0ACIALAAiAFMAbwB1AHIAYwBlAEQAYQB0AGEAXwBEAGEAaQByAHkALgBTAG8AdQByAGMAZQBEAGEAdABhAF8ARABhAGkAcgB5AF8ARQBtAGkAcwBzAGkAbwBuAEYAYQBjAHQAbwByAEYAbwByAEwAZQBhAGMAaABpAG4AZwBBAG4AZABSAHUAbgBvAGYAZgBfAFMAbwB1AHIAYwBlACIALAAiAFMAbwB1AHIAYwBlAEQAYQB0AGEAXwBEAGEAaQByAHkALgBTAG8AdQByAGMAZQBEAGEAdABhAF8ARABhAGkAcgB5AF8ARQBtAGkAcwBzAGkAbwBuAEYAYQBjAHQAbwByAEYAbwByAEwAZQBhAGMAaABpAG4AZwBBAG4AZABSAHUAbgBvAGYAZgBfAFYAYQByAGkAYQB0AGkAbwBuACIALAAiAFMAbwB1AHIAYwBlAEQAYQB0AGEAXwBEAGEAaQByAHkALgBTAG8AdQByAGMAZQBEAGEAdABhAF8ARABhAGkAcgB5AF8ARQBtAGkAcwBzAGkAbwBuAEYAYQBjAHQAbwByAEYAbwByAEwAZQBhAGMAaABpAG4AZwBBAG4AZABSAHUAbgBvAGYAZgBfAEQAYQB0AGEAIgAsACIAUwBvAHUAcgBjAGUARABhAHQAYQBfAEQAYQBpAHIAeQAuAFMAbwB1AHIAYwBlAEQAYQB0AGEAXwBEAGEAaQByAHkAXwBGAHIAYQBjAHQAaQBvAG4ATwBmAE4AaQB0AHIAbwBnAGUAbgBMAG8AcwB0AFQAaAByAG8AdQBnAGgATABlAGEAYwBoAGkAbgBnAEEAbgBkAFIAdQBuAG8AZgBmAF8AVABpAHQAbABlACIALAAiAFMAbwB1AHIAYwBlAEQAYQB0AGEAXwBEAGEAaQByAHkALgBTAG8AdQByAGMAZQBEAGEAdABhAF8ARABhAGkAcgB5AF8ARgByAGEAYwB0AGkAbwBuAE8AZgBOAGkAdAByAG8AZwBlAG4ATABvAHMAdABUAGgAcgBvAHUAZwBoAEwAZQBhAGMAaABpAG4AZwBBAG4AZABSAHUAbgBvAGYAZgBfAFYAYQByAGkAYQBiAGwAZQAiACwAIgBTAG8AdQByAGMAZQBEAGEAdABhAF8ARABhAGkAcgB5AC4AUwBvAHUAcgBjAGUARABhAHQAYQBfAEQAYQBpAHIAeQBfAEYAcgBhAGMAdABpAG8AbgBPAGYATgBpAHQAcgBvAGcAZQBuAEwAbwBzAHQAVABoAHIAbwB1AGcAaABMAGUAYQBjAGgAaQBuAGcAQQBuAGQAUgB1AG4AbwBmAGYAXwBVAG4AaQB0ACIALAAiAFMAbwB1AHIAYwBlAEQAYQB0AGEAXwBEAGEAaQByAHkALgBTAG8AdQByAGMAZQBEAGEAdABhAF8ARABhAGkAcgB5AF8ARgByAGEAYwB0AGkAbwBuAE8AZgBOAGkAdAByAG8AZwBlAG4ATABvAHMAdABUAGgAcgBvAHUAZwBoAEwAZQBhAGMAaABpAG4AZwBBAG4AZABSAHUAbgBvAGYAZgBfAFMAbwB1AHIAYwBlACIALAAiAFMAbwB1AHIAYwBlAEQAYQB0AGEAXwBEAGEAaQByAHkALgBTAG8AdQByAGMAZQBEAGEAdABhAF8ARABhAGkAcgB5AF8ARgByAGEAYwB0AGkAbwBuAE8AZgBOAGkAdAByAG8AZwBlAG4ATABvAHMAdABUAGgAcgBvAHUAZwBoAEwAZQBhAGMAaABpAG4AZwBBAG4AZABSAHUAbgBvAGYAZgBfAFYAYQByAGkAYQB0AGkAbwBuACIALAAiAFMAbwB1AHIAYwBlAEQAYQB0AGEAXwBEAGEAaQByAHkALgBTAG8AdQByAGMAZQBEAGEAdABhAF8ARABhAGkAcgB5AF8ARgByAGEAYwB0AGkAbwBuAE8AZgBOAGkAdAByAG8AZwBlAG4ATABvAHMAdABUAGgAcgBvAHUAZwBoAEwAZQBhAGMAaABpAG4AZwBBAG4AZABSAHUAbgBvAGYAZgBfAEQAYQB0AGEAIgAsACIAUwBvAHUAcgBjAGUARABhAHQAYQBfAEQAYQBpAHIAeQAuAFMAbwB1AHIAYwBlAEQAYQB0AGEAXwBEAGEAaQByAHkAXwBGAHIAYQBjAEcAQQBTAE0AUwBvAGkAbABfAFQAaQB0AGwAZQAiACwAIgBTAG8AdQByAGMAZQBEAGEAdABhAF8ARABhAGkAcgB5AC4AUwBvAHUAcgBjAGUARABhAHQAYQBfAEQAYQBpAHIAeQBfAEYAcgBhAGMARwBBAFMATQBTAG8AaQBsAF8AVgBhAHIAaQBhAGIAbABlACIALAAiAFMAbwB1AHIAYwBlAEQAYQB0AGEAXwBEAGEAaQByAHkALgBTAG8AdQByAGMAZQBEAGEAdABhAF8ARABhAGkAcgB5AF8ARgByAGEAYwBHAEEAUwBNAFMAbwBpAGwAXwBVAG4AaQB0ACIALAAiAFMAbwB1AHIAYwBlAEQAYQB0AGEAXwBEAGEAaQByAHkALgBTAG8AdQByAGMAZQBEAGEAdABhAF8ARABhAGkAcgB5AF8ARgByAGEAYwBHAEEAUwBNAFMAbwBpAGwAXwBTAG8AdQByAGMAZQAiACwAIgBTAG8AdQByAGMAZQBEAGEAdABhAF8ARABhAGkAcgB5AC4AUwBvAHUAcgBjAGUARABhAHQAYQBfAEQAYQBpAHIAeQBfAEYAcgBhAGMARwBBAFMATQBTAG8AaQBsAF8AVgBhAHIAaQBhAHQAaQBvAG4AIgAsACIAUwBvAHUAcgBjAGUARABhAHQAYQBfAEQAYQBpAHIAeQAuAFMAbwB1AHIAYwBlAEQAYQB0AGEAXwBEAGEAaQByAHkAXwBGAHIAYQBjAEcAQQBTAE0AUwBvAGkAbABfAEQAYQB0AGEAIgAsACIAUwBvAHUAcgBjAGUARABhAHQAYQBfAEQAYQBpAHIAeQAuAFMAbwB1AHIAYwBlAEQAYQB0AGEAXwBEAGEAaQByAHkAXwBGAGEAdABDAG8AbgB0AGUAbgB0AEkAbgBNAGkAbABrAF8AVABpAHQAbABlACIALAAiAFMAbwB1AHIAYwBlAEQAYQB0AGEAXwBEAGEAaQByAHkALgBTAG8AdQByAGMAZQBEAGEAdABhAF8ARABhAGkAcgB5AF8ARgBhAHQAQwBvAG4AdABlAG4AdABJAG4ATQBpAGwAawBfAFYAYQByAGkAYQBiAGwAZQAiACwAIgBTAG8AdQByAGMAZQBEAGEAdABhAF8ARABhAGkAcgB5AC4AUwBvAHUAcgBjAGUARABhAHQAYQBfAEQAYQBpAHIAeQBfAEYAYQB0AEMAbwBuAHQAZQBuAHQASQBuAE0AaQBsAGsAXwBVAG4AaQB0ACIALAAiAFMAbwB1AHIAYwBlAEQAYQB0AGEAXwBEAGEAaQByAHkALgBTAG8AdQByAGMAZQBEAGEAdABhAF8ARABhAGkAcgB5AF8ARgBhAHQAQwBvAG4AdABlAG4AdABJAG4ATQBpAGwAawBfAFMAbwB1AHIAYwBlACIALAAiAFMAbwB1AHIAYwBlAEQAYQB0AGEAXwBEAGEAaQByAHkALgBTAG8AdQByAGMAZQBEAGEAdABhAF8ARABhAGkAcgB5AF8ARgBhAHQAQwBvAG4AdABlAG4AdABJAG4ATQBpAGwAawBfAFYAYQByAGkAYQB0AGkAbwBuACIALAAiAFMAbwB1AHIAYwBlAEQAYQB0AGEAXwBEAGEAaQByAHkALgBTAG8AdQByAGMAZQBEAGEAdABhAF8ARABhAGkAcgB5AF8ARgBhAHQAQwBvAG4AdABlAG4AdABJAG4ATQBpAGwAawBfAEQAYQB0AGEAIgAsACIAUwBvAHUAcgBjAGUARABhAHQAYQBfAEQAYQBpAHIAeQAuAFMAbwB1AHIAYwBlAEQAYQB0AGEAXwBEAGEAaQByAHkAXwBQAHIAbwB0AGUAaQBuAEMAbwBuAHQAZQBuAHQASQBuAE0AaQBsAGsAXwBUAGkAdABsAGUAIgAsACIAUwBvAHUAcgBjAGUARABhAHQAYQBfAEQAYQBpAHIAeQAuAFMAbwB1AHIAYwBlAEQAYQB0AGEAXwBEAGEAaQByAHkAXwBQAHIAbwB0AGUAaQBuAEMAbwBuAHQAZQBuAHQASQBuAE0AaQBsAGsAXwBWAGEAcgBpAGEAYgBsAGUAIgAsACIAUwBvAHUAcgBjAGUARABhAHQAYQBfAEQAYQBpAHIAeQAuAFMAbwB1AHIAYwBlAEQAYQB0AGEAXwBEAGEAaQByAHkAXwBQAHIAbwB0AGUAaQBuAEMAbwBuAHQAZQBuAHQASQBuAE0AaQBsAGsAXwBVAG4AaQB0ACIALAAiAFMAbwB1AHIAYwBlAEQAYQB0AGEAXwBEAGEAaQByAHkALgBTAG8AdQByAGMAZQBEAGEAdABhAF8ARABhAGkAcgB5AF8AUAByAG8AdABlAGkAbgBDAG8AbgB0AGUAbgB0AEkAbgBNAGkAbABrAF8AUwBvAHUAcgBjAGUAIgAsACIAUwBvAHUAcgBjAGUARABhAHQAYQBfAEQAYQBpAHIAeQAuAFMAbwB1AHIAYwBlAEQAYQB0AGEAXwBEAGEAaQByAHkAXwBQAHIAbwB0AGUAaQBuAEMAbwBuAHQAZQBuAHQASQBuAE0AaQBsAGsAXwBWAGEAcgBpAGEAdABpAG8AbgAiACwAIgBTAG8AdQByAGMAZQBEAGEAdABhAF8ARABhAGkAcgB5AC4AUwBvAHUAcgBjAGUARABhAHQAYQBfAEQAYQBpAHIAeQBfAFAAcgBvAHQAZQBpAG4AQwBvAG4AdABlAG4AdABJAG4ATQBpAGwAawBfAEQAYQB0AGE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UAGkAdABs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WAGEAcgBpAGEAYgBs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VAG4AaQB0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UwBvAHUAcgBj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OAEkAUgBSAGUAZgBlAHIAZQBuAGMAZ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EwAYQB0AGUAeABFAHEAdQBhAHQAaQBvAG4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BAHIAZwB1AG0AZQBuAHQAcwAiACwAIgBNAE0AUwBfAEQAYQBpAHIAeQBfAEEAdABtAG8AcwBwAGgAZQByAGkAYwBEAGUAcABvAHMAaQB0AGkAbwBuAF8ARQBxAHUAYQB0AGkAbwBuAHMALgBWAEUARQBSAEcAXwA0AF8AMwBfADEAXwA1AF8AXwAyAF8AVABvAHQAYQBsAE4AaQB0AHIAbwBnAGUAbgBWAG8AbABhAHQAaQBsAGkAcwBlAGQARgByAG8AbQBNAE0AUwAiACwAIgBNAE0AUwBfAEQAYQBpAHIAeQBfAEEAdABtAG8AcwBwAGgAZQByAGkAYwBEAGUAcABvAHMAaQB0AGkAbwBuAF8ARQBxAHUAYQB0AGkAbwBuAHMALgBWAEUARQBSAEcAXwA0AF8AMwBfADEAXwA1AF8AXwAyAF8AVABvAHQAYQBsAE4AaQB0AHIAbwBnAGUAbgBWAG8AbABhAHQAaQBsAGkAcwBlAGQARgByAG8AbQBNAE0AUwBfAFQAaQB0AGwAZQAiACwAIgBNAE0AUwBfAEQAYQBpAHIAeQBfAEEAdABtAG8AcwBwAGgAZQByAGkAYwBEAGUAcABvAHMAaQB0AGkAbwBuAF8ARQBxAHUAYQB0AGkAbwBuAHMALgBWAEUARQBSAEcAXwA0AF8AMwBfADEAXwA1AF8AXwAyAF8AVABvAHQAYQBsAE4AaQB0AHIAbwBnAGUAbgBWAG8AbABhAHQAaQBsAGkAcwBlAGQARgByAG8AbQBNAE0AUwBfAFYAYQByAGkAYQBiAGwAZQAiACwAIgBNAE0AUwBfAEQAYQBpAHIAeQBfAEEAdABtAG8AcwBwAGgAZQByAGkAYwBEAGUAcABvAHMAaQB0AGkAbwBuAF8ARQBxAHUAYQB0AGkAbwBuAHMALgBWAEUARQBSAEcAXwA0AF8AMwBfADEAXwA1AF8AXwAyAF8AVABvAHQAYQBsAE4AaQB0AHIAbwBnAGUAbgBWAG8AbABhAHQAaQBsAGkAcwBlAGQARgByAG8AbQBNAE0AUwBfAFUAbgBpAHQAIgAsACIATQBNAFMAXwBEAGEAaQByAHkAXwBBAHQAbQBvAHMAcABoAGUAcgBpAGMARABlAHAAbwBzAGkAdABpAG8AbgBfAEUAcQB1AGEAdABpAG8AbgBzAC4AVgBFAEUAUgBHAF8ANABfADMAXwAxAF8ANQBfAF8AMgBfAFQAbwB0AGEAbABOAGkAdAByAG8AZwBlAG4AVgBvAGwAYQB0AGkAbABpAHMAZQBkAEYAcgBvAG0ATQBNAFMAXwBTAG8AdQByAGMAZQAiACwAIgBNAE0AUwBfAEQAYQBpAHIAeQBfAEEAdABtAG8AcwBwAGgAZQByAGkAYwBEAGUAcABvAHMAaQB0AGkAbwBuAF8ARQBxAHUAYQB0AGkAbwBuAHMALgBWAEUARQBSAEcAXwA0AF8AMwBfADEAXwA1AF8AXwAyAF8AVABvAHQAYQBsAE4AaQB0AHIAbwBnAGUAbgBWAG8AbABhAHQAaQBsAGkAcwBlAGQARgByAG8AbQBNAE0AUwBfAE4ASQBSAFIAZQBmAGUAcgBlAG4AYwBlACIALAAiAE0ATQBTAF8ARABhAGkAcgB5AF8AQQB0AG0AbwBzAHAAaABlAHIAaQBjAEQAZQBwAG8AcwBpAHQAaQBvAG4AXwBFAHEAdQBhAHQAaQBvAG4AcwAuAFYARQBFAFIARwBfADQAXwAzAF8AMQBfADUAXwBfADIAXwBUAG8AdABhAGwATgBpAHQAcgBvAGcAZQBuAFYAbwBsAGEAdABpAGwAaQBzAGUAZABGAHIAbwBtAE0ATQBTAF8ATABhAHQAZQB4AEUAcQB1AGEAdABpAG8AbgAiACwAIgBNAE0AUwBfAEQAYQBpAHIAeQBfAEEAdABtAG8AcwBwAGgAZQByAGkAYwBEAGUAcABvAHMAaQB0AGkAbwBuAF8ARQBxAHUAYQB0AGkAbwBuAHMALgBWAEUARQBSAEcAXwA0AF8AMwBfADEAXwA1AF8AXwAyAF8AVABvAHQAYQBsAE4AaQB0AHIAbwBnAGUAbgBWAG8AbABhAHQAaQBsAGkAcwBlAGQARgByAG8AbQBNAE0AUwBfAEEAcgBnAHUAbQBlAG4AdABzACIALAAiAE0ATQBTAF8ARABhAGkAcgB5AF8ATQBhAG4AdQByAGUAQQBwAHAAbABpAGUAZABUAG8AUwBvAGkAbABzAF8ARQBxAHUAYQB0AGkAbwBuAHMALgBWAEUARQBSAEcAXwA0AF8AMwBfADEAXwA4AF8AXwAxAF8ATQBhAHMAcwBPAGYATgBpAHQAcgBvAGcAZQBuAEEAcABwAGwAaQBlAGQAVABvAFMAbwBpAGwAcwBTAGMAbwBwAGUAMQAiACwAIgBNAE0AUwBfAEQAYQBpAHIAeQBfAE0AYQBuAHUAcgBlAEEAcABwAGwAaQBlAGQAVABvAFMAbwBpAGwAcwBfAEUAcQB1AGEAdABpAG8AbgBzAC4AVgBFAEUAUgBHAF8ANABfADMAXwAxAF8AOABfAF8AMQBfAE0AYQBzAHMATwBmAE4AaQB0AHIAbwBnAGUAbgBBAHAAcABsAGkAZQBkAFQAbwBTAG8AaQBsAHMAUwBjAG8AcABlADEAXwBUAGkAdABsAGUAIgAsACIATQBNAFMAXwBEAGEAaQByAHkAXwBNAGEAbgB1AHIAZQBBAHAAcABsAGkAZQBkAFQAbwBTAG8AaQBsAHMAXwBFAHEAdQBhAHQAaQBvAG4AcwAuAFYARQBFAFIARwBfADQAXwAzAF8AMQBfADgAXwBfADEAXwBNAGEAcwBzAE8AZgBOAGkAdAByAG8AZwBlAG4AQQBwAHAAbABpAGUAZABUAG8AUwBvAGkAbABzAFMAYwBvAHAAZQAxAF8AVgBhAHIAaQBhAGIAbABlACIALAAiAE0ATQBTAF8ARABhAGkAcgB5AF8ATQBhAG4AdQByAGUAQQBwAHAAbABpAGUAZABUAG8AUwBvAGkAbABzAF8ARQBxAHUAYQB0AGkAbwBuAHMALgBWAEUARQBSAEcAXwA0AF8AMwBfADEAXwA4AF8AXwAxAF8ATQBhAHMAcwBPAGYATgBpAHQAcgBvAGcAZQBuAEEAcABwAGwAaQBlAGQAVABvAFMAbwBpAGwAcwBTAGMAbwBwAGUAMQBfAFUAbgBpAHQAIgAsACIATQBNAFMAXwBEAGEAaQByAHkAXwBNAGEAbgB1AHIAZQBBAHAAcABsAGkAZQBkAFQAbwBTAG8AaQBsAHMAXwBFAHEAdQBhAHQAaQBvAG4AcwAuAFYARQBFAFIARwBfADQAXwAzAF8AMQBfADgAXwBfADEAXwBNAGEAcwBzAE8AZgBOAGkAdAByAG8AZwBlAG4AQQBwAHAAbABpAGUAZABUAG8AUwBvAGkAbABzAFMAYwBvAHAAZQAxAF8AUwBvAHUAcgBjAGUAIgAsACIATQBNAFMAXwBEAGEAaQByAHkAXwBNAGEAbgB1AHIAZQBBAHAAcABsAGkAZQBkAFQAbwBTAG8AaQBsAHMAXwBFAHEAdQBhAHQAaQBvAG4AcwAuAFYARQBFAFIARwBfADQAXwAzAF8AMQBfADgAXwBfADEAXwBNAGEAcwBzAE8AZgBOAGkAdAByAG8AZwBlAG4AQQBwAHAAbABpAGUAZABUAG8AUwBvAGkAbABzAFMAYwBvAHAAZQAxAF8ATgBJAFIAUgBlAGYAZQByAGUAbgBjAGUAIgAsACIATQBNAFMAXwBEAGEAaQByAHkAXwBNAGEAbgB1AHIAZQBBAHAAcABsAGkAZQBkAFQAbwBTAG8AaQBsAHMAXwBFAHEAdQBhAHQAaQBvAG4AcwAuAFYARQBFAFIARwBfADQAXwAzAF8AMQBfADgAXwBfADEAXwBNAGEAcwBzAE8AZgBOAGkAdAByAG8AZwBlAG4AQQBwAHAAbABpAGUAZABUAG8AUwBvAGkAbABzAFMAYwBvAHAAZQAxAF8ATABhAHQAZQB4AEUAcQB1AGEAdABpAG8AbgAiACwAIgBNAE0AUwBfAEQAYQBpAHIAeQBfAE0AYQBuAHUAcgBlAEEAcABwAGwAaQBlAGQAVABvAFMAbwBpAGwAcwBfAEUAcQB1AGEAdABpAG8AbgBzAC4AVgBFAEUAUgBHAF8ANABfADMAXwAxAF8AOABfAF8AMQBfAE0AYQBzAHMATwBmAE4AaQB0AHIAbwBnAGUAbgBBAHAAcABsAGkAZQBkAFQAbwBTAG8AaQBsAHMAUwBjAG8AcABlADEAXwBBAHIAZwB1AG0AZQBuAHQAcwAiACwAIgBNAE0AUwBfAEQAYQBpAHIAeQBfAE0AYQBuAHUAcgBlAEEAcABwAGwAaQBlAGQAVABvAFMAbwBpAGwAcwBfAEUAcQB1AGEAdABpAG8AbgBzAC4AVgBFAEUAUgBHAF8ANABfADMAXwAxAF8AOABfAF8AMgBfAE0AYQBzAHMATwBmAE4AaQB0AHIAbwBnAGUAbgBBAHAAcABsAGkAZQBkAFQAbwBTAG8AaQBsAHMAUwBjAG8AcABlADMAIgAsACIATQBNAFMAXwBEAGEAaQByAHkAXwBNAGEAbgB1AHIAZQBBAHAAcABsAGkAZQBkAFQAbwBTAG8AaQBsAHMAXwBFAHEAdQBhAHQAaQBvAG4AcwAuAFYARQBFAFIARwBfADQAXwAzAF8AMQBfADgAXwBfADIAXwBNAGEAcwBzAE8AZgBOAGkAdAByAG8AZwBlAG4AQQBwAHAAbABpAGUAZABUAG8AUwBvAGkAbABzAFMAYwBvAHAAZQAzAF8AVABpAHQAbABlACIALAAiAE0ATQBTAF8ARABhAGkAcgB5AF8ATQBhAG4AdQByAGUAQQBwAHAAbABpAGUAZABUAG8AUwBvAGkAbABzAF8ARQBxAHUAYQB0AGkAbwBuAHMALgBWAEUARQBSAEcAXwA0AF8AMwBfADEAXwA4AF8AXwAyAF8ATQBhAHMAcwBPAGYATgBpAHQAcgBvAGcAZQBuAEEAcABwAGwAaQBlAGQAVABvAFMAbwBpAGwAcwBTAGMAbwBwAGUAMwBfAFYAYQByAGkAYQBiAGwAZQAiACwAIgBNAE0AUwBfAEQAYQBpAHIAeQBfAE0AYQBuAHUAcgBlAEEAcABwAGwAaQBlAGQAVABvAFMAbwBpAGwAcwBfAEUAcQB1AGEAdABpAG8AbgBzAC4AVgBFAEUAUgBHAF8ANABfADMAXwAxAF8AOABfAF8AMgBfAE0AYQBzAHMATwBmAE4AaQB0AHIAbwBnAGUAbgBBAHAAcABsAGkAZQBkAFQAbwBTAG8AaQBsAHMAUwBjAG8AcABlADMAXwBVAG4AaQB0ACIALAAiAE0ATQBTAF8ARABhAGkAcgB5AF8ATQBhAG4AdQByAGUAQQBwAHAAbABpAGUAZABUAG8AUwBvAGkAbABzAF8ARQBxAHUAYQB0AGkAbwBuAHMALgBWAEUARQBSAEcAXwA0AF8AMwBfADEAXwA4AF8AXwAyAF8ATQBhAHMAcwBPAGYATgBpAHQAcgBvAGcAZQBuAEEAcABwAGwAaQBlAGQAVABvAFMAbwBpAGwAcwBTAGMAbwBwAGUAMwBfAFMAbwB1AHIAYwBlACIALAAiAE0ATQBTAF8ARABhAGkAcgB5AF8ATQBhAG4AdQByAGUAQQBwAHAAbABpAGUAZABUAG8AUwBvAGkAbABzAF8ARQBxAHUAYQB0AGkAbwBuAHMALgBWAEUARQBSAEcAXwA0AF8AMwBfADEAXwA4AF8AXwAyAF8ATQBhAHMAcwBPAGYATgBpAHQAcgBvAGcAZQBuAEEAcABwAGwAaQBlAGQAVABvAFMAbwBpAGwAcwBTAGMAbwBwAGUAMwBfAE4ASQBSAFIAZQBmAGUAcgBlAG4AYwBlACIALAAiAE0ATQBTAF8ARABhAGkAcgB5AF8ATQBhAG4AdQByAGUAQQBwAHAAbABpAGUAZABUAG8AUwBvAGkAbABzAF8ARQBxAHUAYQB0AGkAbwBuAHMALgBWAEUARQBSAEcAXwA0AF8AMwBfADEAXwA4AF8AXwAyAF8ATQBhAHMAcwBPAGYATgBpAHQAcgBvAGcAZQBuAEEAcABwAGwAaQBlAGQAVABvAFMAbwBpAGwAcwBTAGMAbwBwAGUAMwBfAEwAYQB0AGUAeABFAHEAdQBhAHQAaQBvAG4AIgAsACIATQBNAFMAXwBEAGEAaQByAHkAXwBNAGEAbgB1AHIAZQBBAHAAcABsAGkAZQBkAFQAbwBTAG8AaQBsAHMAXwBFAHEAdQBhAHQAaQBvAG4AcwAuAFYARQBFAFIARwBfADQAXwAzAF8AMQBfADgAXwBfADIAXwBNAGEAcwBzAE8AZgBOAGkAdAByAG8AZwBlAG4AQQBwAHAAbABpAGUAZABUAG8AUwBvAGkAbABzAFMAYwBvAHAAZQAzAF8AQQByAGcAdQBtAGUAbgB0AHMAIgAsACIATQBNAFMAXwBEAGEAaQByAHkAXwBNAGUAdABoAGEAbgBlAF8ARQBxAHUAYQB0AGkAbwBuAHMALgBWAEUARQBSAEcAXwA0AF8AMwBfADEAXwAxAF8AXwAxAF8AVABvAHQAYQBsAEEAbgBuAHUAYQBsAE0AZQB0AGgAYQBuAGUARgByAG8AbQBNAGEAbgB1AHIAZQBNAGEAbgBhAGcAZQBtAGUAbgB0ACIALAAiAE0ATQBTAF8ARABhAGkAcgB5AF8ATQBlAHQAaABhAG4AZQBfAEUAcQB1AGEAdABpAG8AbgBzAC4AVgBFAEUAUgBHAF8ANABfADMAXwAxAF8AMQBfAF8AMQBfAFQAbwB0AGEAbABBAG4AbgB1AGEAbABNAGUAdABoAGEAbgBlAEYAcgBvAG0ATQBhAG4AdQByAGUATQBhAG4AYQBnAGUAbQBlAG4AdABWAGEAcgBpAGEAdABpAG8AbgAiACwAIgBNAE0AUwBfAEQAYQBpAHIAeQBfAE0AZQB0AGgAYQBuAGUAXwBFAHEAdQBhAHQAaQBvAG4AcwAuAFYARQBFAFIARwBfADQAXwAzAF8AMQBfADEAXwBfADEAXwBUAG8AdABhAGwAQQBuAG4AdQBhAGwATQBlAHQAaABhAG4AZQBGAHIAbwBtAE0AYQBuAHUAcgBlAE0AYQBuAGEAZwBlAG0AZQBuAHQAXwBUAGkAdABsAGUAIgAsACIATQBNAFMAXwBEAGEAaQByAHkAXwBNAGUAdABoAGEAbgBlAF8ARQBxAHUAYQB0AGkAbwBuAHMALgBWAEUARQBSAEcAXwA0AF8AMwBfADEAXwAxAF8AXwAxAF8AVABvAHQAYQBsAEEAbgBuAHUAYQBsAE0AZQB0AGgAYQBuAGUARgByAG8AbQBNAGEAbgB1AHIAZQBNAGEAbgBhAGcAZQBtAGUAbgB0AF8AVgBhAHIAaQBhAGIAbABlACIALAAiAE0ATQBTAF8ARABhAGkAcgB5AF8ATQBlAHQAaABhAG4AZQBfAEUAcQB1AGEAdABpAG8AbgBzAC4AVgBFAEUAUgBHAF8ANABfADMAXwAxAF8AMQBfAF8AMQBfAFQAbwB0AGEAbABBAG4AbgB1AGEAbABNAGUAdABoAGEAbgBlAEYAcgBvAG0ATQBhAG4AdQByAGUATQBhAG4AYQBnAGUAbQBlAG4AdABfAFUAbgBpAHQAIgAsACIATQBNAFMAXwBEAGEAaQByAHkAXwBNAGUAdABoAGEAbgBlAF8ARQBxAHUAYQB0AGkAbwBuAHMALgBWAEUARQBSAEcAXwA0AF8AMwBfADEAXwAxAF8AXwAxAF8AVABvAHQAYQBsAEEAbgBuAHUAYQBsAE0AZQB0AGgAYQBuAGUARgByAG8AbQBNAGEAbgB1AHIAZQBNAGEAbgBhAGcAZQBtAGUAbgB0AF8AUwBvAHUAcgBjAGUAIgAsACIATQBNAFMAXwBEAGEAaQByAHkAXwBNAGUAdABoAGEAbgBlAF8ARQBxAHUAYQB0AGkAbwBuAHMALgBWAEUARQBSAEcAXwA0AF8AMwBfADEAXwAxAF8AXwAxAF8AVABvAHQAYQBsAEEAbgBuAHUAYQBsAE0AZQB0AGgAYQBuAGUARgByAG8AbQBNAGEAbgB1AHIAZQBNAGEAbgBhAGcAZQBtAGUAbgB0AF8ATgBJAFIAUgBlAGYAZQByAGUAbgBjAGUAIgAsACIATQBNAFMAXwBEAGEAaQByAHkAXwBNAGUAdABoAGEAbgBlAF8ARQBxAHUAYQB0AGkAbwBuAHMALgBWAEUARQBSAEcAXwA0AF8AMwBfADEAXwAxAF8AXwAxAF8AVABvAHQAYQBsAEEAbgBuAHUAYQBsAE0AZQB0AGgAYQBuAGUARgByAG8AbQBNAGEAbgB1AHIAZQBNAGEAbgBhAGcAZQBtAGUAbgB0AF8ATABhAHQAZQB4AEUAcQB1AGEAdABpAG8AbgAiACwAIgBNAE0AUwBfAEQAYQBpAHIAeQBfAE0AZQB0AGgAYQBuAGUAXwBFAHEAdQBhAHQAaQBvAG4AcwAuAFYARQBFAFIARwBfADQAXwAzAF8AMQBfADEAXwBfADEAXwBUAG8AdABhAGwAQQBuAG4AdQBhAGwATQBlAHQAaABhAG4AZQBGAHIAbwBtAE0AYQBuAHUAcgBlAE0AYQBuAGEAZwBlAG0AZQBuAHQAXwBMAGEAdABlAHgARQBxAHUAYQB0AGkAbwBuAFYAYQByAGkAYQB0AGkAbwBuACIALAAiAE0ATQBTAF8ARABhAGkAcgB5AF8ATQBlAHQAaABhAG4AZQBfAEUAcQB1AGEAdABpAG8AbgBzAC4AVgBFAEUAUgBHAF8ANABfADMAXwAxAF8AMQBfAF8AMQBfAFQAbwB0AGEAbABBAG4AbgB1AGEAbABNAGUAdABoAGEAbgBlAEYAcgBvAG0ATQBhAG4AdQByAGUATQBhAG4AYQBnAGUAbQBlAG4AdABfAEEAcgBnAHUAbQBlAG4AdABzACIALAAiAE0ATQBTAF8ARABhAGkAcgB5AF8ATQBlAHQAaABhAG4AZQBfAEUAcQB1AGEAdABpAG8AbgBzAC4AVgBFAEUAUgBHAF8ANABfADMAXwAxAF8AMQBfAF8AMQBfAFQAbwB0AGEAbABBAG4AbgB1AGEAbABNAGUAdABoAGEAbgBlAEYAcgBvAG0ATQBhAG4AdQByAGUATQBhAG4AYQBnAGUAbQBlAG4AdABfAFYAYQByAGkAYQB0AGkAbwBuACIALAAiAE0ATQBTAF8ARABhAGkAcgB5AF8ATQBlAHQAaABhAG4AZQBfAEUAcQB1AGEAdABpAG8AbgBzAC4AVgBFAEUAUgBHAF8ANABfADMAXwAxAF8AMQBfAF8AMgBfAE0AZQB0AGgAYQBuAGUARgByAG8AbQBNAGEAbgB1AHIAZQBQAHIAbwBkAHUAYwB0AGkAbwBuACIALAAiAE0ATQBTAF8ARABhAGkAcgB5AF8ATQBlAHQAaABhAG4AZQBfAEUAcQB1AGEAdABpAG8AbgBzAC4AVgBFAEUAUgBHAF8ANABfADMAXwAxAF8AMQBfAF8AMgBfAE0AZQB0AGgAYQBuAGUARgByAG8AbQBNAGEAbgB1AHIAZQBQAHIAbwBkAHUAYwB0AGkAbwBuAF8AVABpAHQAbABlACIALAAiAE0ATQBTAF8ARABhAGkAcgB5AF8ATQBlAHQAaABhAG4AZQBfAEUAcQB1AGEAdABpAG8AbgBzAC4AVgBFAEUAUgBHAF8ANABfADMAXwAxAF8AMQBfAF8AMgBfAE0AZQB0AGgAYQBuAGUARgByAG8AbQBNAGEAbgB1AHIAZQBQAHIAbwBkAHUAYwB0AGkAbwBuAF8AVgBhAHIAaQBhAGIAbABlACIALAAiAE0ATQBTAF8ARABhAGkAcgB5AF8ATQBlAHQAaABhAG4AZQBfAEUAcQB1AGEAdABpAG8AbgBzAC4AVgBFAEUAUgBHAF8ANABfADMAXwAxAF8AMQBfAF8AMgBfAE0AZQB0AGgAYQBuAGUARgByAG8AbQBNAGEAbgB1AHIAZQBQAHIAbwBkAHUAYwB0AGkAbwBuAF8AVQBuAGkAdAAiACwAIgBNAE0AUwBfAEQAYQBpAHIAeQBfAE0AZQB0AGgAYQBuAGUAXwBFAHEAdQBhAHQAaQBvAG4AcwAuAFYARQBFAFIARwBfADQAXwAzAF8AMQBfADEAXwBfADIAXwBNAGUAdABoAGEAbgBlAEYAcgBvAG0ATQBhAG4AdQByAGUAUAByAG8AZAB1AGMAdABpAG8AbgBfAFMAbwB1AHIAYwBlACIALAAiAE0ATQBTAF8ARABhAGkAcgB5AF8ATQBlAHQAaABhAG4AZQBfAEUAcQB1AGEAdABpAG8AbgBzAC4AVgBFAEUAUgBHAF8ANABfADMAXwAxAF8AMQBfAF8AMgBfAE0AZQB0AGgAYQBuAGUARgByAG8AbQBNAGEAbgB1AHIAZQBQAHIAbwBkAHUAYwB0AGkAbwBuAF8ATgBJAFIAUgBlAGYAZQByAGUAbgBjAGUAIgAsACIATQBNAFMAXwBEAGEAaQByAHkAXwBNAGUAdABoAGEAbgBlAF8ARQBxAHUAYQB0AGkAbwBuAHMALgBWAEUARQBSAEcAXwA0AF8AMwBfADEAXwAxAF8AXwAyAF8ATQBlAHQAaABhAG4AZQBGAHIAbwBtAE0AYQBuAHUAcgBlAFAAcgBvAGQAdQBjAHQAaQBvAG4AXwBMAGEAdABlAHgARQBxAHUAYQB0AGkAbwBuACIALAAiAE0ATQBTAF8ARABhAGkAcgB5AF8ATQBlAHQAaABhAG4AZQBfAEUAcQB1AGEAdABpAG8AbgBzAC4AVgBFAEUAUgBHAF8ANABfADMAXwAxAF8AMQBfAF8AMgBfAE0AZQB0AGgAYQBuAGUARgByAG8AbQBNAGEAbgB1AHIAZQBQAHIAbwBkAHUAYwB0AGkAbwBuAF8AQQByAGcAdQBtAGUAbgB0AHMAIgAsACIATQBNAFMAXwBEAGEAaQByAHkAXwBNAGUAdABoAGEAbgBlAF8ARQBxAHUAYQB0AGkAbwBuAHMALgBWAEUARQBSAEcAXwA0AF8AMwBfADEAXwAxAF8AXwAyAF8ATQBlAHQAaABhAG4AZQBGAHIAbwBtAE0AYQBuAHUAcgBlAFAAcgBvAGQAdQBjAHQAaQBvAG4AXwBBAHIAZwB1AG0AZQBuAHQAcwBfAE0AZQB0AGgAbwBkADIAIgAsACIATQBNAFMAXwBEAGEAaQByAHkAXwBNAGUAdABoAGEAbgBlAF8ARQBxAHUAYQB0AGkAbwBuAHMALgBWAEUARQBSAEcAXwA0AF8AMwBfADEAXwAxAF8AXwAzAF8AVgBvAGwAYQB0AGkAbABlAFMAbwBsAGkAZABzAEYAbwByAFcAZQBhAG4AZQBkAEQAYQBpAHIAeQBDAGEAdAB0AGwAZQAiACwAIgBNAE0AUwBfAEQAYQBpAHIAeQBfAE0AZQB0AGgAYQBuAGUAXwBFAHEAdQBhAHQAaQBvAG4AcwAuAFYARQBFAFIARwBfADQAXwAzAF8AMQBfADEAXwBfADMAXwBWAG8AbABhAHQAaQBsAGUAUwBvAGwAaQBkAHMARgBvAHIAVwBlAGEAbgBlAGQARABhAGkAcgB5AEMAYQB0AHQAbABlAF8AVABpAHQAbABlACIALAAiAE0ATQBTAF8ARABhAGkAcgB5AF8ATQBlAHQAaABhAG4AZQBfAEUAcQB1AGEAdABpAG8AbgBzAC4AVgBFAEUAUgBHAF8ANABfADMAXwAxAF8AMQBfAF8AMwBfAFYAbwBsAGEAdABpAGwAZQBTAG8AbABpAGQAcwBGAG8AcgBXAGUAYQBuAGUAZABEAGEAaQByAHkAQwBhAHQAdABsAGUAXwBWAGEAcgBpAGEAYgBsAGUAIgAsACIATQBNAFMAXwBEAGEAaQByAHkAXwBNAGUAdABoAGEAbgBlAF8ARQBxAHUAYQB0AGkAbwBuAHMALgBWAEUARQBSAEcAXwA0AF8AMwBfADEAXwAxAF8AXwAzAF8AVgBvAGwAYQB0AGkAbABlAFMAbwBsAGkAZABzAEYAbwByAFcAZQBhAG4AZQBkAEQAYQBpAHIAeQBDAGEAdAB0AGwAZQBfAFUAbgBpAHQAIgAsACIATQBNAFMAXwBEAGEAaQByAHkAXwBNAGUAdABoAGEAbgBlAF8ARQBxAHUAYQB0AGkAbwBuAHMALgBWAEUARQBSAEcAXwA0AF8AMwBfADEAXwAxAF8AXwAzAF8AVgBvAGwAYQB0AGkAbABlAFMAbwBsAGkAZABzAEYAbwByAFcAZQBhAG4AZQBkAEQAYQBpAHIAeQBDAGEAdAB0AGwAZQBfAFMAbwB1AHIAYwBlACIALAAiAE0ATQBTAF8ARABhAGkAcgB5AF8ATQBlAHQAaABhAG4AZQBfAEUAcQB1AGEAdABpAG8AbgBzAC4AVgBFAEUAUgBHAF8ANABfADMAXwAxAF8AMQBfAF8AMwBfAFYAbwBsAGEAdABpAGwAZQBTAG8AbABpAGQAcwBGAG8AcgBXAGUAYQBuAGUAZABEAGEAaQByAHkAQwBhAHQAdABsAGUAXwBOAEkAUgBSAGUAZgBlAHIAZQBuAGMAZQAiACwAIgBNAE0AUwBfAEQAYQBpAHIAeQBfAE0AZQB0AGgAYQBuAGUAXwBFAHEAdQBhAHQAaQBvAG4AcwAuAFYARQBFAFIARwBfADQAXwAzAF8AMQBfADEAXwBfADMAXwBWAG8AbABhAHQAaQBsAGUAUwBvAGwAaQBkAHMARgBvAHIAVwBlAGEAbgBlAGQARABhAGkAcgB5AEMAYQB0AHQAbABlAF8ATABhAHQAZQB4AEUAcQB1AGEAdABpAG8AbgAiACwAIgBNAE0AUwBfAEQAYQBpAHIAeQBfAE0AZQB0AGgAYQBuAGUAXwBFAHEAdQBhAHQAaQBvAG4AcwAuAFYARQBFAFIARwBfADQAXwAzAF8AMQBfADEAXwBfADMAXwBWAG8AbABhAHQAaQBsAGUAUwBvAGwAaQBkAHMARgBvAHIAVwBlAGEAbgBlAGQARABhAGkAcgB5AEMAYQB0AHQAbABlAF8AQQByAGcAdQBtAGUAbgB0AHMAIgAsACIATQBNAFMAXwBEAGEAaQByAHkAXwBNAGUAdABoAGEAbgBlAF8ARQBxAHUAYQB0AGkAbwBuAHMALgBWAEUARQBSAEcAXwA0AF8AMwBfADEAXwAxAF8AXwA0AF8ARgByAGEAYwB0AGkAbwBuAFYAbwBsAGEAdABpAGwAZQBTAG8AbABpAGQAcwBOAG8AdABTAG8AbABpAGQAUwB0AG8AcgBhAGcAZQAiACwAIgBNAE0AUwBfAEQAYQBpAHIAeQBfAE0AZQB0AGgAYQBuAGUAXwBFAHEAdQBhAHQAaQBvAG4AcwAuAFYARQBFAFIARwBfADQAXwAzAF8AMQBfADEAXwBfADQAXwBGAHIAYQBjAHQAaQBvAG4AVgBvAGwAYQB0AGkAbABlAFMAbwBsAGkAZABzAE4AbwB0AFMAbwBsAGkAZABTAHQAbwByAGEAZwBlAF8AVABpAHQAbABlACIALAAiAE0ATQBTAF8ARABhAGkAcgB5AF8ATQBlAHQAaABhAG4AZQBfAEUAcQB1AGEAdABpAG8AbgBzAC4AVgBFAEUAUgBHAF8ANABfADMAXwAxAF8AMQBfAF8ANABfAEYAcgBhAGMAdABpAG8AbgBWAG8AbABhAHQAaQBsAGUAUwBvAGwAaQBkAHMATgBvAHQAUwBvAGwAaQBkAFMAdABvAHIAYQBnAGUAXwBWAGEAcgBpAGEAYgBsAGUAIgAsACIATQBNAFMAXwBEAGEAaQByAHkAXwBNAGUAdABoAGEAbgBlAF8ARQBxAHUAYQB0AGkAbwBuAHMALgBWAEUARQBSAEcAXwA0AF8AMwBfADEAXwAxAF8AXwA0AF8ARgByAGEAYwB0AGkAbwBuAFYAbwBsAGEAdABpAGwAZQBTAG8AbABpAGQAcwBOAG8AdABTAG8AbABpAGQAUwB0AG8AcgBhAGcAZQBfAFUAbgBpAHQAIgAsACIATQBNAFMAXwBEAGEAaQByAHkAXwBNAGUAdABoAGEAbgBlAF8ARQBxAHUAYQB0AGkAbwBuAHMALgBWAEUARQBSAEcAXwA0AF8AMwBfADEAXwAxAF8AXwA0AF8ARgByAGEAYwB0AGkAbwBuAFYAbwBsAGEAdABpAGwAZQBTAG8AbABpAGQAcwBOAG8AdABTAG8AbABpAGQAUwB0AG8AcgBhAGcAZQBfAFMAbwB1AHIAYwBlACIALAAiAE0ATQBTAF8ARABhAGkAcgB5AF8ATQBlAHQAaABhAG4AZQBfAEUAcQB1AGEAdABpAG8AbgBzAC4AVgBFAEUAUgBHAF8ANABfADMAXwAxAF8AMQBfAF8ANABfAEYAcgBhAGMAdABpAG8AbgBWAG8AbABhAHQAaQBsAGUAUwBvAGwAaQBkAHMATgBvAHQAUwBvAGwAaQBkAFMAdABvAHIAYQBnAGUAXwBOAEkAUgBSAGUAZgBlAHIAZQBuAGMAZQAiACwAIgBNAE0AUwBfAEQAYQBpAHIAeQBfAE0AZQB0AGgAYQBuAGUAXwBFAHEAdQBhAHQAaQBvAG4AcwAuAFYARQBFAFIARwBfADQAXwAzAF8AMQBfADEAXwBfADQAXwBGAHIAYQBjAHQAaQBvAG4AVgBvAGwAYQB0AGkAbABlAFMAbwBsAGkAZABzAE4AbwB0AFMAbwBsAGkAZABTAHQAbwByAGEAZwBlAF8ATABhAHQAZQB4AEUAcQB1AGEAdABpAG8AbgAiACwAIgBNAE0AUwBfAEQAYQBpAHIAeQBfAE0AZQB0AGgAYQBuAGUAXwBFAHEAdQBhAHQAaQBvAG4AcwAuAFYARQBFAFIARwBfADQAXwAzAF8AMQBfADEAXwBfADQAXwBGAHIAYQBjAHQAaQBvAG4AVgBvAGwAYQB0AGkAbABlAFMAbwBsAGkAZABzAE4AbwB0AFMAbwBsAGkAZABTAHQAbwByAGEAZwBlAF8AQQByAGcAdQBtAGUAbgB0AHMAIgAsACIATQBNAFMAXwBEAGEAaQByAHkAXwBNAGUAdABoAGEAbgBlAF8ARQBxAHUAYQB0AGkAbwBuAHMALgBWAEUARQBSAEcAXwA0AF8AMwBfADEAXwAxAF8AXwA1AF8ARgByAGEAYwB0AGkAbwBuAFYAbwBsAGEAdABpAGwAZQBTAG8AbABpAGQAcwBTAG8AbABpAGQAUwB0AG8AcgBhAGcAZQAiACwAIgBNAE0AUwBfAEQAYQBpAHIAeQBfAE0AZQB0AGgAYQBuAGUAXwBFAHEAdQBhAHQAaQBvAG4AcwAuAFYARQBFAFIARwBfADQAXwAzAF8AMQBfADEAXwBfADUAXwBGAHIAYQBjAHQAaQBvAG4AVgBvAGwAYQB0AGkAbABlAFMAbwBsAGkAZABzAFMAbwBsAGkAZABTAHQAbwByAGEAZwBlAFYAYQByAGkAYQB0AGkAbwBuACIALAAiAE0ATQBTAF8ARABhAGkAcgB5AF8ATQBlAHQAaABhAG4AZQBfAEUAcQB1AGEAdABpAG8AbgBzAC4AVgBFAEUAUgBHAF8ANABfADMAXwAxAF8AMQBfAF8ANQBfAEYAcgBhAGMAdABpAG8AbgBWAG8AbABhAHQAaQBsAGUAUwBvAGwAaQBkAHMAUwBvAGwAaQBkAFMAdABvAHIAYQBnAGUAXwBUAGkAdABsAGUAIgAsACIATQBNAFMAXwBEAGEAaQByAHkAXwBNAGUAdABoAGEAbgBlAF8ARQBxAHUAYQB0AGkAbwBuAHMALgBWAEUARQBSAEcAXwA0AF8AMwBfADEAXwAxAF8AXwA1AF8ARgByAGEAYwB0AGkAbwBuAFYAbwBsAGEAdABpAGwAZQBTAG8AbABpAGQAcwBTAG8AbABpAGQAUwB0AG8AcgBhAGcAZQBfAFYAYQByAGkAYQBiAGwAZQAiACwAIgBNAE0AUwBfAEQAYQBpAHIAeQBfAE0AZQB0AGgAYQBuAGUAXwBFAHEAdQBhAHQAaQBvAG4AcwAuAFYARQBFAFIARwBfADQAXwAzAF8AMQBfADEAXwBfADUAXwBGAHIAYQBjAHQAaQBvAG4AVgBvAGwAYQB0AGkAbABlAFMAbwBsAGkAZABzAFMAbwBsAGkAZABTAHQAbwByAGEAZwBlAF8AVQBuAGkAdAAiACwAIgBNAE0AUwBfAEQAYQBpAHIAeQBfAE0AZQB0AGgAYQBuAGUAXwBFAHEAdQBhAHQAaQBvAG4AcwAuAFYARQBFAFIARwBfADQAXwAzAF8AMQBfADEAXwBfADUAXwBGAHIAYQBjAHQAaQBvAG4AVgBvAGwAYQB0AGkAbABlAFMAbwBsAGkAZABzAFMAbwBsAGkAZABTAHQAbwByAGEAZwBlAF8AUwBvAHUAcgBjAGUAIgAsACIATQBNAFMAXwBEAGEAaQByAHkAXwBNAGUAdABoAGEAbgBlAF8ARQBxAHUAYQB0AGkAbwBuAHMALgBWAEUARQBSAEcAXwA0AF8AMwBfADEAXwAxAF8AXwA1AF8ARgByAGEAYwB0AGkAbwBuAFYAbwBsAGEAdABpAGwAZQBTAG8AbABpAGQAcwBTAG8AbABpAGQAUwB0AG8AcgBhAGcAZQBfAE4ASQBSAFIAZQBmAGUAcgBlAG4AYwBlACIALAAiAE0ATQBTAF8ARABhAGkAcgB5AF8ATQBlAHQAaABhAG4AZQBfAEUAcQB1AGEAdABpAG8AbgBzAC4AVgBFAEUAUgBHAF8ANABfADMAXwAxAF8AMQBfAF8ANQBfAEYAcgBhAGMAdABpAG8AbgBWAG8AbABhAHQAaQBsAGUAUwBvAGwAaQBkAHMAUwBvAGwAaQBkAFMAdABvAHIAYQBnAGUAXwBMAGEAdABlAHgARQBxAHUAYQB0AGkAbwBuACIALAAiAE0ATQBTAF8ARABhAGkAcgB5AF8ATQBlAHQAaABhAG4AZQBfAEUAcQB1AGEAdABpAG8AbgBzAC4AVgBFAEUAUgBHAF8ANABfADMAXwAxAF8AMQBfAF8ANQBfAEYAcgBhAGMAdABpAG8AbgBWAG8AbABhAHQAaQBsAGUAUwBvAGwAaQBkAHMAUwBvAGwAaQBkAFMAdABvAHIAYQBnAGUAXwBMAGEAdABlAHgARQBxAHUAYQB0AGkAbwBuAFYAYQByAGkAYQB0AGkAbwBuACIALAAiAE0ATQBTAF8ARABhAGkAcgB5AF8ATQBlAHQAaABhAG4AZQBfAEUAcQB1AGEAdABpAG8AbgBzAC4AVgBFAEUAUgBHAF8ANABfADMAXwAxAF8AMQBfAF8ANQBfAEYAcgBhAGMAdABpAG8AbgBWAG8AbABhAHQAaQBsAGUAUwBvAGwAaQBkAHMAUwBvAGwAaQBkAFMAdABvAHIAYQBnAGUAXwBBAHIAZwB1AG0AZQBuAHQAcwAiACwAIgBNAE0AUwBfAEQAYQBpAHIAeQBfAE0AZQB0AGgAYQBuAGUAXwBFAHEAdQBhAHQAaQBvAG4AcwAuAFYARQBFAFIARwBfADQAXwAzAF8AMQBfADEAXwBfADUAXwBGAHIAYQBjAHQAaQBvAG4AVgBvAGwAYQB0AGkAbABlAFMAbwBsAGkAZABzAFMAbwBsAGkAZABTAHQAbwByAGEAZwBlAF8AVgBhAHIAaQBhAHQAaQBvAG4AIgAsACIATQBNAFMAXwBEAGEAaQByAHkAXwBOADIATwBEAGkAcgBlAGMAdABfAEUAcQB1AGEAdABpAG8AbgBzAC4AVgBFAEUAUgBHAF8ANABfADMAXwAxAF8AMwBfAF8AMQBfAFQAbwB0AGEAbABBAG4AbgB1AGEAbABEAGkAcgBlAGMAdABOAGkAdAByAG8AdQBzAE8AeABpAGQAZQBFAG0AaQBzAHMAaQBvAG4AcwBGAHIAbwBtAE0ATQBTACIALAAiAE0ATQBTAF8ARABhAGkAcgB5AF8ATgAyAE8ARABpAHIAZQBjAHQAXwBFAHEAdQBhAHQAaQBvAG4AcwAuAFYARQBFAFIARwBfADQAXwAzAF8AMQBfADMAXwBfADEAXwBUAG8AdABhAGwAQQBuAG4AdQBhAGwARABpAHIAZQBjAHQATgBpAHQAcgBvAHUAcwBPAHgAaQBkAGUARQBtAGkAcwBzAGkAbwBuAHMARgByAG8AbQBNAE0AUwBfAFQAaQB0AGwAZQAiACwAIgBNAE0AUwBfAEQAYQBpAHIAeQBfAE4AMgBPAEQAaQByAGUAYwB0AF8ARQBxAHUAYQB0AGkAbwBuAHMALgBWAEUARQBSAEcAXwA0AF8AMwBfADEAXwAzAF8AXwAxAF8AVABvAHQAYQBsAEEAbgBuAHUAYQBsAEQAaQByAGUAYwB0AE4AaQB0AHIAbwB1AHMATwB4AGkAZABlAEUAbQBpAHMAcwBpAG8AbgBzAEYAcgBvAG0ATQBNAFMAXwBWAGEAcgBpAGEAYgBsAGUAIgAsACIATQBNAFMAXwBEAGEAaQByAHkAXwBOADIATwBEAGkAcgBlAGMAdABfAEUAcQB1AGEAdABpAG8AbgBzAC4AVgBFAEUAUgBHAF8ANABfADMAXwAxAF8AMwBfAF8AMQBfAFQAbwB0AGEAbABBAG4AbgB1AGEAbABEAGkAcgBlAGMAdABOAGkAdAByAG8AdQBzAE8AeABpAGQAZQBFAG0AaQBzAHMAaQBvAG4AcwBGAHIAbwBtAE0ATQBTAF8AVQBuAGkAdAAiACwAIgBNAE0AUwBfAEQAYQBpAHIAeQBfAE4AMgBPAEQAaQByAGUAYwB0AF8ARQBxAHUAYQB0AGkAbwBuAHMALgBWAEUARQBSAEcAXwA0AF8AMwBfADEAXwAzAF8AXwAxAF8AVABvAHQAYQBsAEEAbgBuAHUAYQBsAEQAaQByAGUAYwB0AE4AaQB0AHIAbwB1AHMATwB4AGkAZABlAEUAbQBpAHMAcwBpAG8AbgBzAEYAcgBvAG0ATQBNAFMAXwBTAG8AdQByAGMAZQAiACwAIgBNAE0AUwBfAEQAYQBpAHIAeQBfAE4AMgBPAEQAaQByAGUAYwB0AF8ARQBxAHUAYQB0AGkAbwBuAHMALgBWAEUARQBSAEcAXwA0AF8AMwBfADEAXwAzAF8AXwAxAF8AVABvAHQAYQBsAEEAbgBuAHUAYQBsAEQAaQByAGUAYwB0AE4AaQB0AHIAbwB1AHMATwB4AGkAZABlAEUAbQBpAHMAcwBpAG8AbgBzAEYAcgBvAG0ATQBNAFMAXwBOAEkAUgBSAGUAZgBlAHIAZQBuAGMAZQAiACwAIgBNAE0AUwBfAEQAYQBpAHIAeQBfAE4AMgBPAEQAaQByAGUAYwB0AF8ARQBxAHUAYQB0AGkAbwBuAHMALgBWAEUARQBSAEcAXwA0AF8AMwBfADEAXwAzAF8AXwAxAF8AVABvAHQAYQBsAEEAbgBuAHUAYQBsAEQAaQByAGUAYwB0AE4AaQB0AHIAbwB1AHMATwB4AGkAZABlAEUAbQBpAHMAcwBpAG8AbgBzAEYAcgBvAG0ATQBNAFMAXwBMAGEAdABlAHgARQBxAHUAYQB0AGkAbwBuACIALAAiAE0ATQBTAF8ARABhAGkAcgB5AF8ATgAyAE8ARABpAHIAZQBjAHQAXwBFAHEAdQBhAHQAaQBvAG4AcwAuAFYARQBFAFIARwBfADQAXwAzAF8AMQBfADMAXwBfADEAXwBUAG8AdABhAGwAQQBuAG4AdQBhAGwARABpAHIAZQBjAHQATgBpAHQAcgBvAHUAcwBPAHgAaQBkAGUARQBtAGkAcwBzAGkAbwBuAHMARgByAG8AbQBNAE0AUwBfAEEAcgBnAHUAbQBlAG4AdABzACIALAAiAE0ATQBTAF8ARABhAGkAcgB5AF8ATgAyAE8ARABpAHIAZQBjAHQAXwBFAHEAdQBhAHQAaQBvAG4AcwAuAFYARQBFAFIARwBfADQAXwAzAF8AMQBfADMAXwBfADIAXwBUAG8AdABhAGwATgBpAHQAcgBvAGcAZQBuAEkAbgBFAGEAYwBoAE0ATQBTACIALAAiAE0ATQBTAF8ARABhAGkAcgB5AF8ATgAyAE8ARABpAHIAZQBjAHQAXwBFAHEAdQBhAHQAaQBvAG4AcwAuAFYARQBFAFIARwBfADQAXwAzAF8AMQBfADMAXwBfADIAXwBUAG8AdABhAGwATgBpAHQAcgBvAGcAZQBuAEkAbgBFAGEAYwBoAE0ATQBTAF8AVABpAHQAbABlACIALAAiAE0ATQBTAF8ARABhAGkAcgB5AF8ATgAyAE8ARABpAHIAZQBjAHQAXwBFAHEAdQBhAHQAaQBvAG4AcwAuAFYARQBFAFIARwBfADQAXwAzAF8AMQBfADMAXwBfADIAXwBUAG8AdABhAGwATgBpAHQAcgBvAGcAZQBuAEkAbgBFAGEAYwBoAE0ATQBTAF8AVgBhAHIAaQBhAGIAbABlACIALAAiAE0ATQBTAF8ARABhAGkAcgB5AF8ATgAyAE8ARABpAHIAZQBjAHQAXwBFAHEAdQBhAHQAaQBvAG4AcwAuAFYARQBFAFIARwBfADQAXwAzAF8AMQBfADMAXwBfADIAXwBUAG8AdABhAGwATgBpAHQAcgBvAGcAZQBuAEkAbgBFAGEAYwBoAE0ATQBTAF8AVQBuAGkAdAAiACwAIgBNAE0AUwBfAEQAYQBpAHIAeQBfAE4AMgBPAEQAaQByAGUAYwB0AF8ARQBxAHUAYQB0AGkAbwBuAHMALgBWAEUARQBSAEcAXwA0AF8AMwBfADEAXwAzAF8AXwAyAF8AVABvAHQAYQBsAE4AaQB0AHIAbwBnAGUAbgBJAG4ARQBhAGMAaABNAE0AUwBfAFMAbwB1AHIAYwBlACIALAAiAE0ATQBTAF8ARABhAGkAcgB5AF8ATgAyAE8ARABpAHIAZQBjAHQAXwBFAHEAdQBhAHQAaQBvAG4AcwAuAFYARQBFAFIARwBfADQAXwAzAF8AMQBfADMAXwBfADIAXwBUAG8AdABhAGwATgBpAHQAcgBvAGcAZQBuAEkAbgBFAGEAYwBoAE0ATQBTAF8ATgBJAFIAUgBlAGYAZQByAGUAbgBjAGUAIgAsACIATQBNAFMAXwBEAGEAaQByAHkAXwBOADIATwBEAGkAcgBlAGMAdABfAEUAcQB1AGEAdABpAG8AbgBzAC4AVgBFAEUAUgBHAF8ANABfADMAXwAxAF8AMwBfAF8AMgBfAFQAbwB0AGEAbABOAGkAdAByAG8AZwBlAG4ASQBuAEUAYQBjAGgATQBNAFMAXwBMAGEAdABlAHgARQBxAHUAYQB0AGkAbwBuACIALAAiAE0ATQBTAF8ARABhAGkAcgB5AF8ATgAyAE8ARABpAHIAZQBjAHQAXwBFAHEAdQBhAHQAaQBvAG4AcwAuAFYARQBFAFIARwBfADQAXwAzAF8AMQBfADMAXwBfADIAXwBUAG8AdABhAGwATgBpAHQAcgBvAGcAZQBuAEkAbgBFAGEAYwBoAE0ATQBTAF8AQQByAGcAdQBtAGUAbgB0AHMAIgAsACIATQBNAFMAXwBEAGEAaQByAHkAXwBOADIATwBEAGkAcgBlAGMAdABfAEUAcQB1AGEAdABpAG8AbgBzAC4AVgBFAEUAUgBHAF8ANABfADMAXwAxAF8AMwBfAF8AMwBhAF8AVABvAHQAYQBsAEEAbgBuAHUAYQBsAE4AaQB0AHIAbwBnAGUAbgBFAHgAYwByAGUAdABlAGQARwByAGUAYQB0AGUAcgBUAGgAYQBuAE8AbgBlAFkAZQBhAHIAIgAsACIATQBNAFMAXwBEAGEAaQByAHkAXwBOADIATwBEAGkAcgBlAGMAdABfAEUAcQB1AGEAdABpAG8AbgBzAC4AVgBFAEUAUgBHAF8ANABfADMAXwAxAF8AMwBfAF8AMwBhAF8AVABvAHQAYQBsAEEAbgBuAHUAYQBsAE4AaQB0AHIAbwBnAGUAbgBFAHgAYwByAGUAdABlAGQARwByAGUAYQB0AGUAcgBUAGgAYQBuAE8AbgBlAFkAZQBhAHIAVgBhAHIAaQBhAHQAaQBvAG4AIgAsACIATQBNAFMAXwBEAGEAaQByAHkAXwBOADIATwBEAGkAcgBlAGMAdABfAEUAcQB1AGEAdABpAG8AbgBzAC4AVgBFAEUAUgBHAF8ANABfADMAXwAxAF8AMwBfAF8AMwBhAF8AVABvAHQAYQBsAEEAbgBuAHUAYQBsAE4AaQB0AHIAbwBnAGUAbgBFAHgAYwByAGUAdABlAGQARwByAGUAYQB0AGUAcgBUAGgAYQBuAE8AbgBlAFkAZQBhAHIAXwBUAGkAdABsAGUAIgAsACIATQBNAFMAXwBEAGEAaQByAHkAXwBOADIATwBEAGkAcgBlAGMAdABfAEUAcQB1AGEAdABpAG8AbgBzAC4AVgBFAEUAUgBHAF8ANABfADMAXwAxAF8AMwBfAF8AMwBhAF8AVABvAHQAYQBsAEEAbgBuAHUAYQBsAE4AaQB0AHIAbwBnAGUAbgBFAHgAYwByAGUAdABlAGQARwByAGUAYQB0AGUAcgBUAGgAYQBuAE8AbgBlAFkAZQBhAHIAXwBWAGEAcgBpAGEAYgBsAGUAIgAsACIATQBNAFMAXwBEAGEAaQByAHkAXwBOADIATwBEAGkAcgBlAGMAdABfAEUAcQB1AGEAdABpAG8AbgBzAC4AVgBFAEUAUgBHAF8ANABfADMAXwAxAF8AMwBfAF8AMwBhAF8AVABvAHQAYQBsAEEAbgBuAHUAYQBsAE4AaQB0AHIAbwBnAGUAbgBFAHgAYwByAGUAdABlAGQARwByAGUAYQB0AGUAcgBUAGgAYQBuAE8AbgBlAFkAZQBhAHIAXwBVAG4AaQB0ACIALAAiAE0ATQBTAF8ARABhAGkAcgB5AF8ATgAyAE8ARABpAHIAZQBjAHQAXwBFAHEAdQBhAHQAaQBvAG4AcwAuAFYARQBFAFIARwBfADQAXwAzAF8AMQBfADMAXwBfADMAYQBfAFQAbwB0AGEAbABBAG4AbgB1AGEAbABOAGkAdAByAG8AZwBlAG4ARQB4AGMAcgBlAHQAZQBkAEcAcgBlAGEAdABlAHIAVABoAGEAbgBPAG4AZQBZAGUAYQByAF8AUwBvAHUAcgBjAGUAIgAsACIATQBNAFMAXwBEAGEAaQByAHkAXwBOADIATwBEAGkAcgBlAGMAdABfAEUAcQB1AGEAdABpAG8AbgBzAC4AVgBFAEUAUgBHAF8ANABfADMAXwAxAF8AMwBfAF8AMwBhAF8AVABvAHQAYQBsAEEAbgBuAHUAYQBsAE4AaQB0AHIAbwBnAGUAbgBFAHgAYwByAGUAdABlAGQARwByAGUAYQB0AGUAcgBUAGgAYQBuAE8AbgBlAFkAZQBhAHIAXwBOAEkAUgBSAGUAZgBlAHIAZQBuAGMAZQAiACwAIgBNAE0AUwBfAEQAYQBpAHIAeQBfAE4AMgBPAEQAaQByAGUAYwB0AF8ARQBxAHUAYQB0AGkAbwBuAHMALgBWAEUARQBSAEcAXwA0AF8AMwBfADEAXwAzAF8AXwAzAGEAXwBUAG8AdABhAGwAQQBuAG4AdQBhAGwATgBpAHQAcgBvAGcAZQBuAEUAeABjAHIAZQB0AGUAZABHAHIAZQBhAHQAZQByAFQAaABhAG4ATwBuAGUAWQBlAGEAcgBfAEwAYQB0AGUAeABFAHEAdQBhAHQAaQBvAG4AIgAsACIATQBNAFMAXwBEAGEAaQByAHkAXwBOADIATwBEAGkAcgBlAGMAdABfAEUAcQB1AGEAdABpAG8AbgBzAC4AVgBFAEUAUgBHAF8ANABfADMAXwAxAF8AMwBfAF8AMwBhAF8AVABvAHQAYQBsAEEAbgBuAHUAYQBsAE4AaQB0AHIAbwBnAGUAbgBFAHgAYwByAGUAdABlAGQARwByAGUAYQB0AGUAcgBUAGgAYQBuAE8AbgBlAFkAZQBhAHIAXwBMAGEAdABlAHgARQBxAHUAYQB0AGkAbwBuAFYAYQByAGkAYQB0AGkAbwBuACIALAAiAE0ATQBTAF8ARABhAGkAcgB5AF8ATgAyAE8ARABpAHIAZQBjAHQAXwBFAHEAdQBhAHQAaQBvAG4AcwAuAFYARQBFAFIARwBfADQAXwAzAF8AMQBfADMAXwBfADMAYQBfAFQAbwB0AGEAbABBAG4AbgB1AGEAbABOAGkAdAByAG8AZwBlAG4ARQB4AGMAcgBlAHQAZQBkAEcAcgBlAGEAdABlAHIAVABoAGEAbgBPAG4AZQBZAGUAYQByAF8AQQByAGcAdQBtAGUAbgB0AHMAIgAsACIATQBNAFMAXwBEAGEAaQByAHkAXwBOADIATwBEAGkAcgBlAGMAdABfAEUAcQB1AGEAdABpAG8AbgBzAC4AVgBFAEUAUgBHAF8ANABfADMAXwAxAF8AMwBfAF8AMwBhAF8AVABvAHQAYQBsAEEAbgBuAHUAYQBsAE4AaQB0AHIAbwBnAGUAbgBFAHgAYwByAGUAdABlAGQARwByAGUAYQB0AGUAcgBUAGgAYQBuAE8AbgBlAFkAZQBhAHIAXwBWAGEAcgBpAGEAdABpAG8AbgAiACwAIgBNAE0AUwBfAEQAYQBpAHIAeQBfAE4AMgBPAEQAaQByAGUAYwB0AF8ARQBxAHUAYQB0AGkAbwBuAHMALgBWAEUARQBSAEcAXwA0AF8AMwBfADEAXwAzAF8AXwAzAGIAXwBUAG8AdABhAGwAQQBuAG4AdQBhAGwATgBpAHQAcgBvAGcAZQBuAEUAeABjAHIAZQB0AGUAZABMAGUAcwBzAFQAaABhAG4ATwBuAGUAWQBlAGEAcgAiACwAIgBNAE0AUwBfAEQAYQBpAHIAeQBfAE4AMgBPAEQAaQByAGUAYwB0AF8ARQBxAHUAYQB0AGkAbwBuAHMALgBWAEUARQBSAEcAXwA0AF8AMwBfADEAXwAzAF8AXwAzAGIAXwBUAG8AdABhAGwAQQBuAG4AdQBhAGwATgBpAHQAcgBvAGcAZQBuAEUAeABjAHIAZQB0AGUAZABMAGUAcwBzAFQAaABhAG4ATwBuAGUAWQBlAGEAcgBWAGEAcgBpAGEAdABpAG8AbgAiACwAIgBNAE0AUwBfAEQAYQBpAHIAeQBfAE4AMgBPAEQAaQByAGUAYwB0AF8ARQBxAHUAYQB0AGkAbwBuAHMALgBWAEUARQBSAEcAXwA0AF8AMwBfADEAXwAzAF8AXwAzAGIAXwBUAG8AdABhAGwAQQBuAG4AdQBhAGwATgBpAHQAcgBvAGcAZQBuAEUAeABjAHIAZQB0AGUAZABMAGUAcwBzAFQAaABhAG4ATwBuAGUAWQBlAGEAcgBfAFQAaQB0AGwAZQAiACwAIgBNAE0AUwBfAEQAYQBpAHIAeQBfAE4AMgBPAEQAaQByAGUAYwB0AF8ARQBxAHUAYQB0AGkAbwBuAHMALgBWAEUARQBSAEcAXwA0AF8AMwBfADEAXwAzAF8AXwAzAGIAXwBUAG8AdABhAGwAQQBuAG4AdQBhAGwATgBpAHQAcgBvAGcAZQBuAEUAeABjAHIAZQB0AGUAZABMAGUAcwBzAFQAaABhAG4ATwBuAGUAWQBlAGEAcgBfAFYAYQByAGkAYQBiAGwAZQAiACwAIgBNAE0AUwBfAEQAYQBpAHIAeQBfAE4AMgBPAEQAaQByAGUAYwB0AF8ARQBxAHUAYQB0AGkAbwBuAHMALgBWAEUARQBSAEcAXwA0AF8AMwBfADEAXwAzAF8AXwAzAGIAXwBUAG8AdABhAGwAQQBuAG4AdQBhAGwATgBpAHQAcgBvAGcAZQBuAEUAeABjAHIAZQB0AGUAZABMAGUAcwBzAFQAaABhAG4ATwBuAGUAWQBlAGEAcgBfAFUAbgBpAHQAIgAsACIATQBNAFMAXwBEAGEAaQByAHkAXwBOADIATwBEAGkAcgBlAGMAdABfAEUAcQB1AGEAdABpAG8AbgBzAC4AVgBFAEUAUgBHAF8ANABfADMAXwAxAF8AMwBfAF8AMwBiAF8AVABvAHQAYQBsAEEAbgBuAHUAYQBsAE4AaQB0AHIAbwBnAGUAbgBFAHgAYwByAGUAdABlAGQATABlAHMAcwBUAGgAYQBuAE8AbgBlAFkAZQBhAHIAXwBTAG8AdQByAGMAZQAiACwAIgBNAE0AUwBfAEQAYQBpAHIAeQBfAE4AMgBPAEQAaQByAGUAYwB0AF8ARQBxAHUAYQB0AGkAbwBuAHMALgBWAEUARQBSAEcAXwA0AF8AMwBfADEAXwAzAF8AXwAzAGIAXwBUAG8AdABhAGwAQQBuAG4AdQBhAGwATgBpAHQAcgBvAGcAZQBuAEUAeABjAHIAZQB0AGUAZABMAGUAcwBzAFQAaABhAG4ATwBuAGUAWQBlAGEAcgBfAE4ASQBSAFIAZQBmAGUAcgBlAG4AYwBlACIALAAiAE0ATQBTAF8ARABhAGkAcgB5AF8ATgAyAE8ARABpAHIAZQBjAHQAXwBFAHEAdQBhAHQAaQBvAG4AcwAuAFYARQBFAFIARwBfADQAXwAzAF8AMQBfADMAXwBfADMAYgBfAFQAbwB0AGEAbABBAG4AbgB1AGEAbABOAGkAdAByAG8AZwBlAG4ARQB4AGMAcgBlAHQAZQBkAEwAZQBzAHMAVABoAGEAbgBPAG4AZQBZAGUAYQByAF8ATABhAHQAZQB4AEUAcQB1AGEAdABpAG8AbgAiACwAIgBNAE0AUwBfAEQAYQBpAHIAeQBfAE4AMgBPAEQAaQByAGUAYwB0AF8ARQBxAHUAYQB0AGkAbwBuAHMALgBWAEUARQBSAEcAXwA0AF8AMwBfADEAXwAzAF8AXwAzAGIAXwBUAG8AdABhAGwAQQBuAG4AdQBhAGwATgBpAHQAcgBvAGcAZQBuAEUAeABjAHIAZQB0AGUAZABMAGUAcwBzAFQAaABhAG4ATwBuAGUAWQBlAGEAcgBfAEwAYQB0AGUAeABFAHEAdQBhAHQAaQBvAG4AVgBhAHIAaQBhAHQAaQBvAG4AIgAsACIATQBNAFMAXwBEAGEAaQByAHkAXwBOADIATwBEAGkAcgBlAGMAdABfAEUAcQB1AGEAdABpAG8AbgBzAC4AVgBFAEUAUgBHAF8ANABfADMAXwAxAF8AMwBfAF8AMwBiAF8AVABvAHQAYQBsAEEAbgBuAHUAYQBsAE4AaQB0AHIAbwBnAGUAbgBFAHgAYwByAGUAdABlAGQATABlAHMAcwBUAGgAYQBuAE8AbgBlAFkAZQBhAHIAXwBBAHIAZwB1AG0AZQBuAHQAcwAiACwAIgBNAE0AUwBfAEQAYQBpAHIAeQBfAE4AMgBPAEQAaQByAGUAYwB0AF8ARQBxAHUAYQB0AGkAbwBuAHMALgBWAEUARQBSAEcAXwA0AF8AMwBfADEAXwAzAF8AXwAzAGIAXwBUAG8AdABhAGwAQQBuAG4AdQBhAGwATgBpAHQAcgBvAGcAZQBuAEUAeABjAHIAZQB0AGUAZABMAGUAcwBzAFQAaABhAG4ATwBuAGUAWQBlAGEAcgBfAFYAYQByAGkAYQB0AGkAbwBuACIALAAiAE0ATQBTAF8ARABhAGkAcgB5AF8ATgAyAE8ARABpAHIAZQBjAHQAXwBFAHEAdQBhAHQAaQBvAG4AcwAuAFYARQBFAFIARwBfADQAXwAzAF8AMQBfADMAXwBfADQAXwBOAGkAdAByAG8AZwBlAG4ARQB4AGMAcgBlAHQAZQBkAEIAeQBEAGEAaQByAHkAQwBhAHQAdABsAGUARwByAGUAYQB0AGUAcgBUAGgAYQBuAE8AbgBlAFkAZQBhAHIAIgAsACIATQBNAFMAXwBEAGEAaQByAHkAXwBOADIATwBEAGkAcgBlAGMAdABfAEUAcQB1AGEAdABpAG8AbgBzAC4AVgBFAEUAUgBHAF8ANABfADMAXwAxAF8AMwBfAF8ANABfAE4AaQB0AHIAbwBnAGUAbgBFAHgAYwByAGUAdABlAGQAQgB5AEQAYQBpAHIAeQBDAGEAdAB0AGwAZQBHAHIAZQBhAHQAZQByAFQAaABhAG4ATwBuAGUAWQBlAGEAcgBfAFQAaQB0AGwAZQAiACwAIgBNAE0AUwBfAEQAYQBpAHIAeQBfAE4AMgBPAEQAaQByAGUAYwB0AF8ARQBxAHUAYQB0AGkAbwBuAHMALgBWAEUARQBSAEcAXwA0AF8AMwBfADEAXwAzAF8AXwA0AF8ATgBpAHQAcgBvAGcAZQBuAEUAeABjAHIAZQB0AGUAZABCAHkARABhAGkAcgB5AEMAYQB0AHQAbABlAEcAcgBlAGEAdABlAHIAVABoAGEAbgBPAG4AZQBZAGUAYQByAF8AVgBhAHIAaQBhAGIAbABlACIALAAiAE0ATQBTAF8ARABhAGkAcgB5AF8ATgAyAE8ARABpAHIAZQBjAHQAXwBFAHEAdQBhAHQAaQBvAG4AcwAuAFYARQBFAFIARwBfADQAXwAzAF8AMQBfADMAXwBfADQAXwBOAGkAdAByAG8AZwBlAG4ARQB4AGMAcgBlAHQAZQBkAEIAeQBEAGEAaQByAHkAQwBhAHQAdABsAGUARwByAGUAYQB0AGUAcgBUAGgAYQBuAE8AbgBlAFkAZQBhAHIAXwBVAG4AaQB0ACIALAAiAE0ATQBTAF8ARABhAGkAcgB5AF8ATgAyAE8ARABpAHIAZQBjAHQAXwBFAHEAdQBhAHQAaQBvAG4AcwAuAFYARQBFAFIARwBfADQAXwAzAF8AMQBfADMAXwBfADQAXwBOAGkAdAByAG8AZwBlAG4ARQB4AGMAcgBlAHQAZQBkAEIAeQBEAGEAaQByAHkAQwBhAHQAdABsAGUARwByAGUAYQB0AGUAcgBUAGgAYQBuAE8AbgBlAFkAZQBhAHIAXwBTAG8AdQByAGMAZQAiACwAIgBNAE0AUwBfAEQAYQBpAHIAeQBfAE4AMgBPAEQAaQByAGUAYwB0AF8ARQBxAHUAYQB0AGkAbwBuAHMALgBWAEUARQBSAEcAXwA0AF8AMwBfADEAXwAzAF8AXwA0AF8ATgBpAHQAcgBvAGcAZQBuAEUAeABjAHIAZQB0AGUAZABCAHkARABhAGkAcgB5AEMAYQB0AHQAbABlAEcAcgBlAGEAdABlAHIAVABoAGEAbgBPAG4AZQBZAGUAYQByAF8ATgBJAFIAUgBlAGYAZQByAGUAbgBjAGUAIgAsACIATQBNAFMAXwBEAGEAaQByAHkAXwBOADIATwBEAGkAcgBlAGMAdABfAEUAcQB1AGEAdABpAG8AbgBzAC4AVgBFAEUAUgBHAF8ANABfADMAXwAxAF8AMwBfAF8ANABfAE4AaQB0AHIAbwBnAGUAbgBFAHgAYwByAGUAdABlAGQAQgB5AEQAYQBpAHIAeQBDAGEAdAB0AGwAZQBHAHIAZQBhAHQAZQByAFQAaABhAG4ATwBuAGUAWQBlAGEAcgBfAEwAYQB0AGUAeABFAHEAdQBhAHQAaQBvAG4AIgAsACIATQBNAFMAXwBEAGEAaQByAHkAXwBOADIATwBEAGkAcgBlAGMAdABfAEUAcQB1AGEAdABpAG8AbgBzAC4AVgBFAEUAUgBHAF8ANABfADMAXwAxAF8AMwBfAF8ANABfAE4AaQB0AHIAbwBnAGUAbgBFAHgAYwByAGUAdABlAGQAQgB5AEQAYQBpAHIAeQBDAGEAdAB0AGwAZQBHAHIAZQBhAHQAZQByAFQAaABhAG4ATwBuAGUAWQBlAGEAcgBfAEEAcgBnAHUAbQBlAG4AdABzACIALAAiAE0ATQBTAF8ARABhAGkAcgB5AF8ATgAyAE8ARABpAHIAZQBjAHQAXwBFAHEAdQBhAHQAaQBvAG4AcwAuAFYARQBFAFIARwBfADQAXwAzAF8AMQBfADMAXwBfADUAXwBDAHIAdQBkAGUAUAByAG8AdABlAGkAbgBJAG4AdABhAGsAZQBPAGYARABhAGkAcgB5AEMAYQB0AHQAbABlACIALAAiAE0ATQBTAF8ARABhAGkAcgB5AF8ATgAyAE8ARABpAHIAZQBjAHQAXwBFAHEAdQBhAHQAaQBvAG4AcwAuAFYARQBFAFIARwBfADQAXwAzAF8AMQBfADMAXwBfADUAXwBDAHIAdQBkAGUAUAByAG8AdABlAGkAbgBJAG4AdABhAGsAZQBPAGYARABhAGkAcgB5AEMAYQB0AHQAbABlAF8AVABpAHQAbABlACIALAAiAE0ATQBTAF8ARABhAGkAcgB5AF8ATgAyAE8ARABpAHIAZQBjAHQAXwBFAHEAdQBhAHQAaQBvAG4AcwAuAFYARQBFAFIARwBfADQAXwAzAF8AMQBfADMAXwBfADUAXwBDAHIAdQBkAGUAUAByAG8AdABlAGkAbgBJAG4AdABhAGsAZQBPAGYARABhAGkAcgB5AEMAYQB0AHQAbABlAF8AVgBhAHIAaQBhAGIAbABlACIALAAiAE0ATQBTAF8ARABhAGkAcgB5AF8ATgAyAE8ARABpAHIAZQBjAHQAXwBFAHEAdQBhAHQAaQBvAG4AcwAuAFYARQBFAFIARwBfADQAXwAzAF8AMQBfADMAXwBfADUAXwBDAHIAdQBkAGUAUAByAG8AdABlAGkAbgBJAG4AdABhAGsAZQBPAGYARABhAGkAcgB5AEMAYQB0AHQAbABlAF8AVQBuAGkAdAAiACwAIgBNAE0AUwBfAEQAYQBpAHIAeQBfAE4AMgBPAEQAaQByAGUAYwB0AF8ARQBxAHUAYQB0AGkAbwBuAHMALgBWAEUARQBSAEcAXwA0AF8AMwBfADEAXwAzAF8AXwA1AF8AQwByAHUAZABlAFAAcgBvAHQAZQBpAG4ASQBuAHQAYQBrAGUATwBmAEQAYQBpAHIAeQBDAGEAdAB0AGwAZQBfAFMAbwB1AHIAYwBlACIALAAiAE0ATQBTAF8ARABhAGkAcgB5AF8ATgAyAE8ARABpAHIAZQBjAHQAXwBFAHEAdQBhAHQAaQBvAG4AcwAuAFYARQBFAFIARwBfADQAXwAzAF8AMQBfADMAXwBfADUAXwBDAHIAdQBkAGUAUAByAG8AdABlAGkAbgBJAG4AdABhAGsAZQBPAGYARABhAGkAcgB5AEMAYQB0AHQAbABlAF8ATgBJAFIAUgBlAGYAZQByAGUAbgBjAGUAIgAsACIATQBNAFMAXwBEAGEAaQByAHkAXwBOADIATwBEAGkAcgBlAGMAdABfAEUAcQB1AGEAdABpAG8AbgBzAC4AVgBFAEUAUgBHAF8ANABfADMAXwAxAF8AMwBfAF8ANQBfAEMAcgB1AGQAZQBQAHIAbwB0AGUAaQBuAEkAbgB0AGEAawBlAE8AZgBEAGEAaQByAHkAQwBhAHQAdABsAGUAXwBMAGEAdABlAHgARQBxAHUAYQB0AGkAbwBuACIALAAiAE0ATQBTAF8ARABhAGkAcgB5AF8ATgAyAE8ARABpAHIAZQBjAHQAXwBFAHEAdQBhAHQAaQBvAG4AcwAuAFYARQBFAFIARwBfADQAXwAzAF8AMQBfADMAXwBfADUAXwBDAHIAdQBkAGUAUAByAG8AdABlAGkAbgBJAG4AdABhAGsAZQBPAGYARABhAGkAcgB5AEMAYQB0AHQAbABlAF8AQQByAGcAdQBtAGUAbgB0AHMAIgAsACIATQBNAFMAXwBEAGEAaQByAHkAXwBOADIATwBEAGkAcgBlAGMAdABfAEUAcQB1AGEAdABpAG8AbgBzAC4AVgBFAEUAUgBHAF8ANABfADMAXwAxAF8AMwBfAF8ANgBfAE4AaQB0AHIAbwBnAGUAbgBSAGUAdABhAGkAbgBlAGQAQgB5AEIAbwBkAHkAIgAsACIATQBNAFMAXwBEAGEAaQByAHkAXwBOADIATwBEAGkAcgBlAGMAdABfAEUAcQB1AGEAdABpAG8AbgBzAC4AVgBFAEUAUgBHAF8ANABfADMAXwAxAF8AMwBfAF8ANgBfAE4AaQB0AHIAbwBnAGUAbgBSAGUAdABhAGkAbgBlAGQAQgB5AEIAbwBkAHkAXwBUAGkAdABsAGUAIgAsACIATQBNAFMAXwBEAGEAaQByAHkAXwBOADIATwBEAGkAcgBlAGMAdABfAEUAcQB1AGEAdABpAG8AbgBzAC4AVgBFAEUAUgBHAF8ANABfADMAXwAxAF8AMwBfAF8ANgBfAE4AaQB0AHIAbwBnAGUAbgBSAGUAdABhAGkAbgBlAGQAQgB5AEIAbwBkAHkAXwBWAGEAcgBpAGEAYgBsAGUAIgAsACIATQBNAFMAXwBEAGEAaQByAHkAXwBOADIATwBEAGkAcgBlAGMAdABfAEUAcQB1AGEAdABpAG8AbgBzAC4AVgBFAEUAUgBHAF8ANABfADMAXwAxAF8AMwBfAF8ANgBfAE4AaQB0AHIAbwBnAGUAbgBSAGUAdABhAGkAbgBlAGQAQgB5AEIAbwBkAHkAXwBVAG4AaQB0ACIALAAiAE0ATQBTAF8ARABhAGkAcgB5AF8ATgAyAE8ARABpAHIAZQBjAHQAXwBFAHEAdQBhAHQAaQBvAG4AcwAuAFYARQBFAFIARwBfADQAXwAzAF8AMQBfADMAXwBfADYAXwBOAGkAdAByAG8AZwBlAG4AUgBlAHQAYQBpAG4AZQBkAEIAeQBCAG8AZAB5AF8AUwBvAHUAcgBjAGUAIgAsACIATQBNAFMAXwBEAGEAaQByAHkAXwBOADIATwBEAGkAcgBlAGMAdABfAEUAcQB1AGEAdABpAG8AbgBzAC4AVgBFAEUAUgBHAF8ANABfADMAXwAxAF8AMwBfAF8ANgBfAE4AaQB0AHIAbwBnAGUAbgBSAGUAdABhAGkAbgBlAGQAQgB5AEIAbwBkAHkAXwBOAEkAUgBSAGUAZgBlAHIAZQBuAGMAZQAiACwAIgBNAE0AUwBfAEQAYQBpAHIAeQBfAE4AMgBPAEQAaQByAGUAYwB0AF8ARQBxAHUAYQB0AGkAbwBuAHMALgBWAEUARQBSAEcAXwA0AF8AMwBfADEAXwAzAF8AXwA2AF8ATgBpAHQAcgBvAGcAZQBuAFIAZQB0AGEAaQBuAGUAZABCAHkAQgBvAGQAeQBfAEwAYQB0AGUAeABFAHEAdQBhAHQAaQBvAG4AIgAsACIATQBNAFMAXwBEAGEAaQByAHkAXwBOADIATwBEAGkAcgBlAGMAdABfAEUAcQB1AGEAdABpAG8AbgBzAC4AVgBFAEUAUgBHAF8ANABfADMAXwAxAF8AMwBfAF8ANgBfAE4AaQB0AHIAbwBnAGUAbgBSAGUAdABhAGkAbgBlAGQAQgB5AEIAbwBkAHkAXwBBAHIAZwB1AG0AZQBuAHQAcwAiACwAIgBNAE0AUwBfAEQAYQBpAHIAeQBfAE4AMgBPAEQAaQByAGUAYwB0AF8ARQBxAHUAYQB0AGkAbwBuAHMALgBWAEUARQBSAEcAXwA0AF8AMwBfADEAXwAzAF8AXwA2AF8ATgBpAHQAcgBvAGcAZQBuAFIAZQB0AGEAaQBuAGUAZABCAHkAQgBvAGQAeQBfAFYAYQByAGkAYQB0AGkAbwBuACIALAAiAE0ATQBTAF8ARABhAGkAcgB5AF8ATgAyAE8ARABpAHIAZQBjAHQAXwBFAHEAdQBhAHQAaQBvAG4AcwAuAFYARQBFAFIARwBfADQAXwAzAF8AMQBfADMAXwBfADcAXwBJAG4AdABhAGsAZQBSAGUAbABhAHQAaQB2AGUAVABvAE0AYQBpAG4AdABlAG4AYQBuAGMAZQAiACwAIgBNAE0AUwBfAEQAYQBpAHIAeQBfAE4AMgBPAEQAaQByAGUAYwB0AF8ARQBxAHUAYQB0AGkAbwBuAHMALgBWAEUARQBSAEcAXwA0AF8AMwBfADEAXwAzAF8AXwA3AF8ASQBuAHQAYQBrAGUAUgBlAGwAYQB0AGkAdgBlAFQAbwBNAGEAaQBuAHQAZQBuAGEAbgBjAGUAXwBUAGkAdABsAGUAIgAsACIATQBNAFMAXwBEAGEAaQByAHkAXwBOADIATwBEAGkAcgBlAGMAdABfAEUAcQB1AGEAdABpAG8AbgBzAC4AVgBFAEUAUgBHAF8ANABfADMAXwAxAF8AMwBfAF8ANwBfAEkAbgB0AGEAawBlAFIAZQBsAGEAdABpAHYAZQBUAG8ATQBhAGkAbgB0AGUAbgBhAG4AYwBlAF8AVgBhAHIAaQBhAGIAbABlACIALAAiAE0ATQBTAF8ARABhAGkAcgB5AF8ATgAyAE8ARABpAHIAZQBjAHQAXwBFAHEAdQBhAHQAaQBvAG4AcwAuAFYARQBFAFIARwBfADQAXwAzAF8AMQBfADMAXwBfADcAXwBJAG4AdABhAGsAZQBSAGUAbABhAHQAaQB2AGUAVABvAE0AYQBpAG4AdABlAG4AYQBuAGMAZQBfAFUAbgBpAHQAIgAsACIATQBNAFMAXwBEAGEAaQByAHkAXwBOADIATwBEAGkAcgBlAGMAdABfAEUAcQB1AGEAdABpAG8AbgBzAC4AVgBFAEUAUgBHAF8ANABfADMAXwAxAF8AMwBfAF8ANwBfAEkAbgB0AGEAawBlAFIAZQBsAGEAdABpAHYAZQBUAG8ATQBhAGkAbgB0AGUAbgBhAG4AYwBlAF8AUwBvAHUAcgBjAGUAIgAsACIATQBNAFMAXwBEAGEAaQByAHkAXwBOADIATwBEAGkAcgBlAGMAdABfAEUAcQB1AGEAdABpAG8AbgBzAC4AVgBFAEUAUgBHAF8ANABfADMAXwAxAF8AMwBfAF8ANwBfAEkAbgB0AGEAawBlAFIAZQBsAGEAdABpAHYAZQBUAG8ATQBhAGkAbgB0AGUAbgBhAG4AYwBlAF8ATgBJAFIAUgBlAGYAZQByAGUAbgBjAGUAIgAsACIATQBNAFMAXwBEAGEAaQByAHkAXwBOADIATwBEAGkAcgBlAGMAdABfAEUAcQB1AGEAdABpAG8AbgBzAC4AVgBFAEUAUgBHAF8ANABfADMAXwAxAF8AMwBfAF8ANwBfAEkAbgB0AGEAawBlAFIAZQBsAGEAdABpAHYAZQBUAG8ATQBhAGkAbgB0AGUAbgBhAG4AYwBlAF8ATABhAHQAZQB4AEUAcQB1AGEAdABpAG8AbgAiACwAIgBNAE0AUwBfAEQAYQBpAHIAeQBfAE4AMgBPAEQAaQByAGUAYwB0AF8ARQBxAHUAYQB0AGkAbwBuAHMALgBWAEUARQBSAEcAXwA0AF8AMwBfADEAXwAzAF8AXwA3AF8ASQBuAHQAYQBrAGUAUgBlAGwAYQB0AGkAdgBlAFQAbwBNAGEAaQBuAHQAZQBuAGEAbgBjAGUAXwBBAHIAZwB1AG0AZQBuAHQAcwAiACwAIgBNAE0AUwBfAEQAYQBpAHIAeQBfAE4AMgBPAEQAaQByAGUAYwB0AF8ARQBxAHUAYQB0AGkAbwBuAHMALgBWAEUARQBSAEcAXwA0AF8AMwBfADEAXwAzAF8AXwA4AF8AUgBlAGwAYQB0AGkAdgBlAFMAaQB6AGUAIgAsACIATQBNAFMAXwBEAGEAaQByAHkAXwBOADIATwBEAGkAcgBlAGMAdABfAEUAcQB1AGEAdABpAG8AbgBzAC4AVgBFAEUAUgBHAF8ANABfADMAXwAxAF8AMwBfAF8AOABfAFIAZQBsAGEAdABpAHYAZQBTAGkAegBlAF8AVABpAHQAbABlACIALAAiAE0ATQBTAF8ARABhAGkAcgB5AF8ATgAyAE8ARABpAHIAZQBjAHQAXwBFAHEAdQBhAHQAaQBvAG4AcwAuAFYARQBFAFIARwBfADQAXwAzAF8AMQBfADMAXwBfADgAXwBSAGUAbABhAHQAaQB2AGUAUwBpAHoAZQBfAFYAYQByAGkAYQBiAGwAZQAiACwAIgBNAE0AUwBfAEQAYQBpAHIAeQBfAE4AMgBPAEQAaQByAGUAYwB0AF8ARQBxAHUAYQB0AGkAbwBuAHMALgBWAEUARQBSAEcAXwA0AF8AMwBfADEAXwAzAF8AXwA4AF8AUgBlAGwAYQB0AGkAdgBlAFMAaQB6AGUAXwBVAG4AaQB0ACIALAAiAE0ATQBTAF8ARABhAGkAcgB5AF8ATgAyAE8ARABpAHIAZQBjAHQAXwBFAHEAdQBhAHQAaQBvAG4AcwAuAFYARQBFAFIARwBfADQAXwAzAF8AMQBfADMAXwBfADgAXwBSAGUAbABhAHQAaQB2AGUAUwBpAHoAZQBfAFMAbwB1AHIAYwBlACIALAAiAE0ATQBTAF8ARABhAGkAcgB5AF8ATgAyAE8ARABpAHIAZQBjAHQAXwBFAHEAdQBhAHQAaQBvAG4AcwAuAFYARQBFAFIARwBfADQAXwAzAF8AMQBfADMAXwBfADgAXwBSAGUAbABhAHQAaQB2AGUAUwBpAHoAZQBfAE4ASQBSAFIAZQBmAGUAcgBlAG4AYwBlACIALAAiAE0ATQBTAF8ARABhAGkAcgB5AF8ATgAyAE8ARABpAHIAZQBjAHQAXwBFAHEAdQBhAHQAaQBvAG4AcwAuAFYARQBFAFIARwBfADQAXwAzAF8AMQBfADMAXwBfADgAXwBSAGUAbABhAHQAaQB2AGUAUwBpAHoAZQBfAEwAYQB0AGUAeABFAHEAdQBhAHQAaQBvAG4AIgAsACIATQBNAFMAXwBEAGEAaQByAHkAXwBOADIATwBEAGkAcgBlAGMAdABfAEUAcQB1AGEAdABpAG8AbgBzAC4AVgBFAEUAUgBHAF8ANABfADMAXwAxAF8AMwBfAF8AOABfAFIAZQBsAGEAdABpAHYAZQBTAGkAegBlAF8AQQByAGcAdQBtAGUAbgB0AHMAIgAsACIARQBuAHQAZQByAGkAYwBNAGUAdABoAGEAbgBlAF8ARABhAGkAcgB5AF8ARQBxAHUAYQB0AGkAbwBuAHMALgBWAEUARQBSAEcAXwAzAF8AMwBfADEAXwAxAF8AXwAxAF8AVABvAHQAYQBsAEEAbgBuAHUAYQBsAE0AZQB0AGgAYQBuAGUARgByAG8AbQBFAG4AdABlAHIAaQBjAEYAZQByAG0AZQBuAHQAYQB0AGkAbwBuACIALAAiAEUAbgB0AGUAcgBpAGMATQBlAHQAaABhAG4AZQBfAEQAYQBpAHIAeQBfAEUAcQB1AGEAdABpAG8AbgBzAC4AVgBFAEUAUgBHAF8AMwBfADMAXwAxAF8AMQBfAF8AMQBfAFQAbwB0AGEAbABBAG4AbgB1AGEAbABNAGUAdABoAGEAbgBlAEYAcgBvAG0ARQBuAHQAZQByAGkAYwBGAGUAcgBtAGUAbgB0AGEAdABpAG8AbgBWAGEAcgBpAGEAdABpAG8AbgAiACwAIgBFAG4AdABlAHIAaQBjAE0AZQB0AGgAYQBuAGUAXwBEAGEAaQByAHkAXwBFAHEAdQBhAHQAaQBvAG4AcwAuAFYARQBFAFIARwBfADMAXwAzAF8AMQBfADEAXwBfADEAXwBUAG8AdABhAGwAQQBuAG4AdQBhAGwATQBlAHQAaABhAG4AZQBGAHIAbwBtAEUAbgB0AGUAcgBpAGMARgBlAHIAbQBlAG4AdABhAHQAaQBvAG4AXwBUAGkAdABsAGUAIgAsACIARQBuAHQAZQByAGkAYwBNAGUAdABoAGEAbgBlAF8ARABhAGkAcgB5AF8ARQBxAHUAYQB0AGkAbwBuAHMALgBWAEUARQBSAEcAXwAzAF8AMwBfADEAXwAxAF8AXwAxAF8AVABvAHQAYQBsAEEAbgBuAHUAYQBsAE0AZQB0AGgAYQBuAGUARgByAG8AbQBFAG4AdABlAHIAaQBjAEYAZQByAG0AZQBuAHQAYQB0AGkAbwBuAF8AVgBhAHIAaQBhAGIAbABlACIALAAiAEUAbgB0AGUAcgBpAGMATQBlAHQAaABhAG4AZQBfAEQAYQBpAHIAeQBfAEUAcQB1AGEAdABpAG8AbgBzAC4AVgBFAEUAUgBHAF8AMwBfADMAXwAxAF8AMQBfAF8AMQBfAFQAbwB0AGEAbABBAG4AbgB1AGEAbABNAGUAdABoAGEAbgBlAEYAcgBvAG0ARQBuAHQAZQByAGkAYwBGAGUAcgBtAGUAbgB0AGEAdABpAG8AbgBfAFUAbgBpAHQAIgAsACIARQBuAHQAZQByAGkAYwBNAGUAdABoAGEAbgBlAF8ARABhAGkAcgB5AF8ARQBxAHUAYQB0AGkAbwBuAHMALgBWAEUARQBSAEcAXwAzAF8AMwBfADEAXwAxAF8AXwAxAF8AVABvAHQAYQBsAEEAbgBuAHUAYQBsAE0AZQB0AGgAYQBuAGUARgByAG8AbQBFAG4AdABlAHIAaQBjAEYAZQByAG0AZQBuAHQAYQB0AGkAbwBuAF8AUwBvAHUAcgBjAGUAIgAsACIARQBuAHQAZQByAGkAYwBNAGUAdABoAGEAbgBlAF8ARABhAGkAcgB5AF8ARQBxAHUAYQB0AGkAbwBuAHMALgBWAEUARQBSAEcAXwAzAF8AMwBfADEAXwAxAF8AXwAxAF8AVABvAHQAYQBsAEEAbgBuAHUAYQBsAE0AZQB0AGgAYQBuAGUARgByAG8AbQBFAG4AdABlAHIAaQBjAEYAZQByAG0AZQBuAHQAYQB0AGkAbwBuAF8ATgBJAFIAUgBlAGYAZQByAGUAbgBjAGU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AiACwAIgBFAG4AdABlAHIAaQBjAE0AZQB0AGgAYQBuAGUAXwBEAGEAaQByAHkAXwBFAHEAdQBhAHQAaQBvAG4AcwAuAFYARQBFAFIARwBfADMAXwAzAF8AMQBfADEAXwBfADEAXwBUAG8AdABhAGwAQQBuAG4AdQBhAGwATQBlAHQAaABhAG4AZQBGAHIAbwBtAEUAbgB0AGUAcgBpAGMARgBlAHIAbQBlAG4AdABhAHQAaQBvAG4AXwBMAGEAdABlAHgARQBxAHUAYQB0AGkAbwBuAFYAYQByAGkAYQB0AGkAbwBuACIALAAiAEUAbgB0AGUAcgBpAGMATQBlAHQAaABhAG4AZQBfAEQAYQBpAHIAeQBfAEUAcQB1AGEAdABpAG8AbgBzAC4AVgBFAEUAUgBHAF8AMwBfADMAXwAxAF8AMQBfAF8AMQBfAFQAbwB0AGEAbABBAG4AbgB1AGEAbABNAGUAdABoAGEAbgBlAEYAcgBvAG0ARQBuAHQAZQByAGkAYwBGAGUAcgBtAGUAbgB0AGEAdABpAG8AbgBfAEEAcgBnAHUAbQBlAG4AdABzACIALAAiAEUAbgB0AGUAcgBpAGMATQBlAHQAaABhAG4AZQBfAEQAYQBpAHIAeQBfAEUAcQB1AGEAdABpAG8AbgBzAC4AVgBFAEUAUgBHAF8AMwBfADMAXwAxAF8AMQBfAF8AMQBfAFQAbwB0AGEAbABBAG4AbgB1AGEAbABNAGUAdABoAGEAbgBlAEYAcgBvAG0ARQBuAHQAZQByAGkAYwBGAGUAcgBtAGUAbgB0AGEAdABpAG8AbgBfAFYAYQByAGkAYQB0AGkAbwBuACIALAAiAEUAbgB0AGUAcgBpAGMATQBlAHQAaABhAG4AZQBfAEQAYQBpAHIAeQBfAEUAcQB1AGEAdABpAG8AbgBzAC4AVgBFAEUAUgBHAF8AMwBfADMAXwAxAF8AMQBfAF8AMgBfAEQAYQBpAGwAeQBFAG4AdABlAHIAaQBjAE0AZQB0AGgAYQBuAGUAUAByAG8AZAB1AGMAdABpAG8AbgAiACwAIgBFAG4AdABlAHIAaQBjAE0AZQB0AGgAYQBuAGUAXwBEAGEAaQByAHkAXwBFAHEAdQBhAHQAaQBvAG4AcwAuAFYARQBFAFIARwBfADMAXwAzAF8AMQBfADEAXwBfADIAXwBEAGEAaQBsAHkARQBuAHQAZQByAGkAYwBNAGUAdABoAGEAbgBlAFAAcgBvAGQAdQBjAHQAaQBvAG4AXwBUAGkAdABsAGUAIgAsACIARQBuAHQAZQByAGkAYwBNAGUAdABoAGEAbgBlAF8ARABhAGkAcgB5AF8ARQBxAHUAYQB0AGkAbwBuAHMALgBWAEUARQBSAEcAXwAzAF8AMwBfADEAXwAxAF8AXwAyAF8ARABhAGkAbAB5AEUAbgB0AGUAcgBpAGMATQBlAHQAaABhAG4AZQBQAHIAbwBkAHUAYwB0AGkAbwBuAF8AVgBhAHIAaQBhAGIAbABlACIALAAiAEUAbgB0AGUAcgBpAGMATQBlAHQAaABhAG4AZQBfAEQAYQBpAHIAeQBfAEUAcQB1AGEAdABpAG8AbgBzAC4AVgBFAEUAUgBHAF8AMwBfADMAXwAxAF8AMQBfAF8AMgBfAEQAYQBpAGwAeQBFAG4AdABlAHIAaQBjAE0AZQB0AGgAYQBuAGUAUAByAG8AZAB1AGMAdABpAG8AbgBfAFUAbgBpAHQAIgAsACIARQBuAHQAZQByAGkAYwBNAGUAdABoAGEAbgBlAF8ARABhAGkAcgB5AF8ARQBxAHUAYQB0AGkAbwBuAHMALgBWAEUARQBSAEcAXwAzAF8AMwBfADEAXwAxAF8AXwAyAF8ARABhAGkAbAB5AEUAbgB0AGUAcgBpAGMATQBlAHQAaABhAG4AZQBQAHIAbwBkAHUAYwB0AGkAbwBuAF8AUwBvAHUAcgBjAGUAIgAsACIARQBuAHQAZQByAGkAYwBNAGUAdABoAGEAbgBlAF8ARABhAGkAcgB5AF8ARQBxAHUAYQB0AGkAbwBuAHMALgBWAEUARQBSAEcAXwAzAF8AMwBfADEAXwAxAF8AXwAyAF8ARABhAGkAbAB5AEUAbgB0AGUAcgBpAGMATQBlAHQAaABhAG4AZQBQAHIAbwBkAHUAYwB0AGkAbwBuAF8ATgBJAFIAUgBlAGYAZQByAGUAbgBjAGUAIgAsACIARQBuAHQAZQByAGkAYwBNAGUAdABoAGEAbgBlAF8ARABhAGkAcgB5AF8ARQBxAHUAYQB0AGkAbwBuAHMALgBWAEUARQBSAEcAXwAzAF8AMwBfADEAXwAxAF8AXwAyAF8ARABhAGkAbAB5AEUAbgB0AGUAcgBpAGMATQBlAHQAaABhAG4AZQBQAHIAbwBkAHUAYwB0AGkAbwBuAF8ATABhAHQAZQB4AEUAcQB1AGEAdABpAG8AbgAiACwAIgBFAG4AdABlAHIAaQBjAE0AZQB0AGgAYQBuAGUAXwBEAGEAaQByAHkAXwBFAHEAdQBhAHQAaQBvAG4AcwAuAFYARQBFAFIARwBfADMAXwAzAF8AMQBfADEAXwBfADIAXwBEAGEAaQBsAHkARQBuAHQAZQByAGkAYwBNAGUAdABoAGEAbgBlAFAAcgBvAGQAdQBjAHQAaQBvAG4AXwBBAHIAZwB1AG0AZQBuAHQAcwAiACwAIgBFAG4AdABlAHIAaQBjAE0AZQB0AGgAYQBuAGUAXwBEAGEAaQByAHkAXwBFAHEAdQBhAHQAaQBvAG4AcwAuAFYARQBFAFIARwBfADMAXwAzAF8AMQBfADEAXwBfADMAXwBEAHIAeQBNAGEAdAB0AGUAcgBGAGUAZQBkAEkAbgB0AGEAawBlACIALAAiAEUAbgB0AGUAcgBpAGMATQBlAHQAaABhAG4AZQBfAEQAYQBpAHIAeQBfAEUAcQB1AGEAdABpAG8AbgBzAC4AVgBFAEUAUgBHAF8AMwBfADMAXwAxAF8AMQBfAF8AMwBfAEQAcgB5AE0AYQB0AHQAZQByAEYAZQBlAGQASQBuAHQAYQBrAGUAXwBUAGkAdABsAGUAIgAsACIARQBuAHQAZQByAGkAYwBNAGUAdABoAGEAbgBlAF8ARABhAGkAcgB5AF8ARQBxAHUAYQB0AGkAbwBuAHMALgBWAEUARQBSAEcAXwAzAF8AMwBfADEAXwAxAF8AXwAzAF8ARAByAHkATQBhAHQAdABlAHIARgBlAGUAZABJAG4AdABhAGsAZQBfAFYAYQByAGkAYQBiAGwAZQAiACwAIgBFAG4AdABlAHIAaQBjAE0AZQB0AGgAYQBuAGUAXwBEAGEAaQByAHkAXwBFAHEAdQBhAHQAaQBvAG4AcwAuAFYARQBFAFIARwBfADMAXwAzAF8AMQBfADEAXwBfADMAXwBEAHIAeQBNAGEAdAB0AGUAcgBGAGUAZQBkAEkAbgB0AGEAawBlAF8AVQBuAGkAdAAiACwAIgBFAG4AdABlAHIAaQBjAE0AZQB0AGgAYQBuAGUAXwBEAGEAaQByAHkAXwBFAHEAdQBhAHQAaQBvAG4AcwAuAFYARQBFAFIARwBfADMAXwAzAF8AMQBfADEAXwBfADMAXwBEAHIAeQBNAGEAdAB0AGUAcgBGAGUAZQBkAEkAbgB0AGEAawBlAF8AUwBvAHUAcgBjAGUAIgAsACIARQBuAHQAZQByAGkAYwBNAGUAdABoAGEAbgBlAF8ARABhAGkAcgB5AF8ARQBxAHUAYQB0AGkAbwBuAHMALgBWAEUARQBSAEcAXwAzAF8AMwBfADEAXwAxAF8AXwAzAF8ARAByAHkATQBhAHQAdABlAHIARgBlAGUAZABJAG4AdABhAGsAZQBfAE4ASQBSAFIAZQBmAGUAcgBlAG4AYwBlACIALAAiAEUAbgB0AGUAcgBpAGMATQBlAHQAaABhAG4AZQBfAEQAYQBpAHIAeQBfAEUAcQB1AGEAdABpAG8AbgBzAC4AVgBFAEUAUgBHAF8AMwBfADMAXwAxAF8AMQBfAF8AMwBfAEQAcgB5AE0AYQB0AHQAZQByAEYAZQBlAGQASQBuAHQAYQBrAGUAXwBMAGEAdABlAHgARQBxAHUAYQB0AGkAbwBuACIALAAiAEUAbgB0AGUAcgBpAGMATQBlAHQAaABhAG4AZQBfAEQAYQBpAHIAeQBfAEUAcQB1AGEAdABpAG8AbgBzAC4AVgBFAEUAUgBHAF8AMwBfADMAXwAxAF8AMQBfAF8AMwBfAEQAcgB5AE0AYQB0AHQAZQByAEYAZQBlAGQASQBuAHQAYQBrAGUAXwBBAHIAZwB1AG0AZQBuAHQAcwAiACwAIgBFAG4AdABlAHIAaQBjAE0AZQB0AGgAYQBuAGUAXwBEAGEAaQByAHkAXwBFAHEAdQBhAHQAaQBvAG4AcwAuAFYARQBFAFIARwBfADMAXwAzAF8AMQBfADEAXwBfADQAXwBBAGQAZABpAHQAaQBvAG4AYQBsAEkAbgB0AGEAawBlAEYAbwByAE0AaQBsAGsAUAByAG8AZAB1AGMAdABpAG8AbgAiACwAIgBFAG4AdABlAHIAaQBjAE0AZQB0AGgAYQBuAGUAXwBEAGEAaQByAHkAXwBFAHEAdQBhAHQAaQBvAG4AcwAuAFYARQBFAFIARwBfADMAXwAzAF8AMQBfADEAXwBfADQAXwBBAGQAZABpAHQAaQBvAG4AYQBsAEkAbgB0AGEAawBlAEYAbwByAE0AaQBsAGsAUAByAG8AZAB1AGMAdABpAG8AbgBfAFQAaQB0AGwAZQAiACwAIgBFAG4AdABlAHIAaQBjAE0AZQB0AGgAYQBuAGUAXwBEAGEAaQByAHkAXwBFAHEAdQBhAHQAaQBvAG4AcwAuAFYARQBFAFIARwBfADMAXwAzAF8AMQBfADEAXwBfADQAXwBBAGQAZABpAHQAaQBvAG4AYQBsAEkAbgB0AGEAawBlAEYAbwByAE0AaQBsAGsAUAByAG8AZAB1AGMAdABpAG8AbgBfAFYAYQByAGkAYQBiAGwAZQAiACwAIgBFAG4AdABlAHIAaQBjAE0AZQB0AGgAYQBuAGUAXwBEAGEAaQByAHkAXwBFAHEAdQBhAHQAaQBvAG4AcwAuAFYARQBFAFIARwBfADMAXwAzAF8AMQBfADEAXwBfADQAXwBBAGQAZABpAHQAaQBvAG4AYQBsAEkAbgB0AGEAawBlAEYAbwByAE0AaQBsAGsAUAByAG8AZAB1AGMAdABpAG8AbgBfAFUAbgBpAHQAIgAsACIARQBuAHQAZQByAGkAYwBNAGUAdABoAGEAbgBlAF8ARABhAGkAcgB5AF8ARQBxAHUAYQB0AGkAbwBuAHMALgBWAEUARQBSAEcAXwAzAF8AMwBfADEAXwAxAF8AXwA0AF8AQQBkAGQAaQB0AGkAbwBuAGEAbABJAG4AdABhAGsAZQBGAG8AcgBNAGkAbABrAFAAcgBvAGQAdQBjAHQAaQBvAG4AXwBTAG8AdQByAGMAZQAiACwAIgBFAG4AdABlAHIAaQBjAE0AZQB0AGgAYQBuAGUAXwBEAGEAaQByAHkAXwBFAHEAdQBhAHQAaQBvAG4AcwAuAFYARQBFAFIARwBfADMAXwAzAF8AMQBfADEAXwBfADQAXwBBAGQAZABpAHQAaQBvAG4AYQBsAEkAbgB0AGEAawBlAEYAbwByAE0AaQBsAGsAUAByAG8AZAB1AGMAdABpAG8AbgBfAE4ASQBSAFIAZQBmAGUAcgBlAG4AYwBlACIALAAiAEUAbgB0AGUAcgBpAGMATQBlAHQAaABhAG4AZQBfAEQAYQBpAHIAeQBfAEUAcQB1AGEAdABpAG8AbgBzAC4AVgBFAEUAUgBHAF8AMwBfADMAXwAxAF8AMQBfAF8ANABfAEEAZABkAGkAdABpAG8AbgBhAGwASQBuAHQAYQBrAGUARgBvAHIATQBpAGwAawBQAHIAbwBkAHUAYwB0AGkAbwBuAF8ATABhAHQAZQB4AEUAcQB1AGEAdABpAG8AbgAiACwAIgBFAG4AdABlAHIAaQBjAE0AZQB0AGgAYQBuAGUAXwBEAGEAaQByAHkAXwBFAHEAdQBhAHQAaQBvAG4AcwAuAFYARQBFAFIARwBfADMAXwAzAF8AMQBfADEAXwBfADQAXwBBAGQAZABpAHQAaQBvAG4AYQBsAEkAbgB0AGEAawBlAEYAbwByAE0AaQBsAGsAUAByAG8AZAB1AGMAdABpAG8AbgBfAEEAcgBnAHUAbQBlAG4AdABzACIALAAiAEUAbgB0AGUAcgBpAGMATQBlAHQAaABhAG4AZQBfAEQAYQBpAHIAeQBfAEUAcQB1AGEAdABpAG8AbgBzAC4AVgBFAEUAUgBHAF8AMwBfADMAXwAxAF8AMQBfAF8ANABfAEEAZABkAGkAdABpAG8AbgBhAGwASQBuAHQAYQBrAGUARgBvAHIATQBpAGwAawBQAHIAbwBkAHUAYwB0AGkAbwBuAF8AVgBhAHIAaQBhAHQAaQBvAG4AIgAsACIARQBuAHQAZQByAGkAYwBNAGUAdABoAGEAbgBlAF8ARABhAGkAcgB5AF8ARQBxAHUAYQB0AGkAbwBuAHMALgBWAEUARQBSAEcAXwAzAF8AMwBfADEAXwAxAF8AXwA1AF8ATQBpAGwAawBQAHIAbwBkAHUAYwB0AGkAbwBuAEYAcgBvAG0ATQBpAGwAawBTAG8AbABpAGQAcwAiACwAIgBFAG4AdABlAHIAaQBjAE0AZQB0AGgAYQBuAGUAXwBEAGEAaQByAHkAXwBFAHEAdQBhAHQAaQBvAG4AcwAuAFYARQBFAFIARwBfADMAXwAzAF8AMQBfADEAXwBfADUAXwBNAGkAbABrAFAAcgBvAGQAdQBjAHQAaQBvAG4ARgByAG8AbQBNAGkAbABrAFMAbwBsAGkAZABzAF8AVABpAHQAbABlACIALAAiAEUAbgB0AGUAcgBpAGMATQBlAHQAaABhAG4AZQBfAEQAYQBpAHIAeQBfAEUAcQB1AGEAdABpAG8AbgBzAC4AVgBFAEUAUgBHAF8AMwBfADMAXwAxAF8AMQBfAF8ANQBfAE0AaQBsAGsAUAByAG8AZAB1AGMAdABpAG8AbgBGAHIAbwBtAE0AaQBsAGsAUwBvAGwAaQBkAHMAXwBWAGEAcgBpAGEAYgBsAGUAIgAsACIARQBuAHQAZQByAGkAYwBNAGUAdABoAGEAbgBlAF8ARABhAGkAcgB5AF8ARQBxAHUAYQB0AGkAbwBuAHMALgBWAEUARQBSAEcAXwAzAF8AMwBfADEAXwAxAF8AXwA1AF8ATQBpAGwAawBQAHIAbwBkAHUAYwB0AGkAbwBuAEYAcgBvAG0ATQBpAGwAawBTAG8AbABpAGQAcwBfAFUAbgBpAHQAIgAsACIARQBuAHQAZQByAGkAYwBNAGUAdABoAGEAbgBlAF8ARABhAGkAcgB5AF8ARQBxAHUAYQB0AGkAbwBuAHMALgBWAEUARQBSAEcAXwAzAF8AMwBfADEAXwAxAF8AXwA1AF8ATQBpAGwAawBQAHIAbwBkAHUAYwB0AGkAbwBuAEYAcgBvAG0ATQBpAGwAawBTAG8AbABpAGQAcwBfAFMAbwB1AHIAYwBlACIALAAiAEUAbgB0AGUAcgBpAGMATQBlAHQAaABhAG4AZQBfAEQAYQBpAHIAeQBfAEUAcQB1AGEAdABpAG8AbgBzAC4AVgBFAEUAUgBHAF8AMwBfADMAXwAxAF8AMQBfAF8ANQBfAE0AaQBsAGsAUAByAG8AZAB1AGMAdABpAG8AbgBGAHIAbwBtAE0AaQBsAGsAUwBvAGwAaQBkAHMAXwBOAEkAUgBSAGUAZgBlAHIAZQBuAGMAZQAiACwAIgBFAG4AdABlAHIAaQBjAE0AZQB0AGgAYQBuAGUAXwBEAGEAaQByAHkAXwBFAHEAdQBhAHQAaQBvAG4AcwAuAFYARQBFAFIARwBfADMAXwAzAF8AMQBfADEAXwBfADUAXwBNAGkAbABrAFAAcgBvAGQAdQBjAHQAaQBvAG4ARgByAG8AbQBNAGkAbABrAFMAbwBsAGkAZABzAF8ATABhAHQAZQB4AEUAcQB1AGEAdABpAG8AbgAiACwAIgBFAG4AdABlAHIAaQBjAE0AZQB0AGgAYQBuAGUAXwBEAGEAaQByAHkAXwBFAHEAdQBhAHQAaQBvAG4AcwAuAFYARQBFAFIARwBfADMAXwAzAF8AMQBfADEAXwBfADUAXwBNAGkAbABrAFAAcgBvAGQAdQBjAHQAaQBvAG4ARgByAG8AbQBNAGkAbABrAFMAbwBsAGkAZABzAF8AQQByAGcAdQBtAGUAbgB0AHMAIgAsACIARQBuAHQAZQByAGkAYwBNAGUAdABoAGEAbgBlAF8ARABhAGkAcgB5AF8ARQBxAHUAYQB0AGkAbwBuAHMALgBWAEUARQBSAEcAXwAzAF8AMwBfADEAXwAxAF8AXwA1AF8ATQBpAGwAawBQAHIAbwBkAHUAYwB0AGkAbwBuAEYAcgBvAG0ATQBpAGwAawBTAG8AbABpAGQAcwBfAEEAcgBnAHUAbQBlAG4AdABzAF8ATQBlAHQAaABvAGQAMgAiACwAIgBFAG4AdABlAHIAaQBjAE0AZQB0AGgAYQBuAGUAXwBEAGEAaQByAHkAXwBFAHEAdQBhAHQAaQBvAG4AcwAuAFYARQBFAFIARwBfADMAXwAzAF8AMQBfADEAXwBfADUAXwBNAGkAbABrAFAAcgBvAGQAdQBjAHQAaQBvAG4ARgByAG8AbQBNAGkAbABrAFMAbwBsAGkAZABzAF8AVgBhAHIAaQBhAHQAaQBvAG4AIgAsACIARQBuAHQAZQByAGkAYwBNAGUAdABoAGEAbgBlAF8ARABhAGkAcgB5AF8ARQBxAHUAYQB0AGkAbwBuAHMALgBWAEUARQBSAEcAXwAzAF8AMwBfADEAXwAxAF8AXwA2AF8ATQBlAHQAYQBiAG8AbABpAHMAYQBiAGkAbABpAHQAeQBPAGYARABpAGUAdAAiACwAIgBFAG4AdABlAHIAaQBjAE0AZQB0AGgAYQBuAGUAXwBEAGEAaQByAHkAXwBFAHEAdQBhAHQAaQBvAG4AcwAuAFYARQBFAFIARwBfADMAXwAzAF8AMQBfADEAXwBfADYAXwBNAGUAdABhAGIAbwBsAGkAcwBhAGIAaQBsAGkAdAB5AE8AZgBEAGkAZQB0AF8AVABpAHQAbABlACIALAAiAEUAbgB0AGUAcgBpAGMATQBlAHQAaABhAG4AZQBfAEQAYQBpAHIAeQBfAEUAcQB1AGEAdABpAG8AbgBzAC4AVgBFAEUAUgBHAF8AMwBfADMAXwAxAF8AMQBfAF8ANgBfAE0AZQB0AGEAYgBvAGwAaQBzAGEAYgBpAGwAaQB0AHkATwBmAEQAaQBlAHQAXwBWAGEAcgBpAGEAYgBsAGUAIgAsACIARQBuAHQAZQByAGkAYwBNAGUAdABoAGEAbgBlAF8ARABhAGkAcgB5AF8ARQBxAHUAYQB0AGkAbwBuAHMALgBWAEUARQBSAEcAXwAzAF8AMwBfADEAXwAxAF8AXwA2AF8ATQBlAHQAYQBiAG8AbABpAHMAYQBiAGkAbABpAHQAeQBPAGYARABpAGUAdABfAFUAbgBpAHQAIgAsACIARQBuAHQAZQByAGkAYwBNAGUAdABoAGEAbgBlAF8ARABhAGkAcgB5AF8ARQBxAHUAYQB0AGkAbwBuAHMALgBWAEUARQBSAEcAXwAzAF8AMwBfADEAXwAxAF8AXwA2AF8ATQBlAHQAYQBiAG8AbABpAHMAYQBiAGkAbABpAHQAeQBPAGYARABpAGUAdABfAFMAbwB1AHIAYwBlACIALAAiAEUAbgB0AGUAcgBpAGMATQBlAHQAaABhAG4AZQBfAEQAYQBpAHIAeQBfAEUAcQB1AGEAdABpAG8AbgBzAC4AVgBFAEUAUgBHAF8AMwBfADMAXwAxAF8AMQBfAF8ANgBfAE0AZQB0AGEAYgBvAGwAaQBzAGEAYgBpAGwAaQB0AHkATwBmAEQAaQBlAHQAXwBOAEkAUgBSAGUAZgBlAHIAZQBuAGMAZQAiACwAIgBFAG4AdABlAHIAaQBjAE0AZQB0AGgAYQBuAGUAXwBEAGEAaQByAHkAXwBFAHEAdQBhAHQAaQBvAG4AcwAuAFYARQBFAFIARwBfADMAXwAzAF8AMQBfADEAXwBfADYAXwBNAGUAdABhAGIAbwBsAGkAcwBhAGIAaQBsAGkAdAB5AE8AZgBEAGkAZQB0AF8ATABhAHQAZQB4AEUAcQB1AGEAdABpAG8AbgAiACwAIgBFAG4AdABlAHIAaQBjAE0AZQB0AGgAYQBuAGUAXwBEAGEAaQByAHkAXwBFAHEAdQBhAHQAaQBvAG4AcwAuAFYARQBFAFIARwBfADMAXwAzAF8AMQBfADEAXwBfADYAXwBNAGUAdABhAGIAbwBsAGkAcwBhAGIAaQBsAGkAdAB5AE8AZgBEAGkAZQB0AF8AQQByAGcAdQBtAGUAbgB0AHMAIgAsACIASQBuAHAAdQB0AEYAdQBuAGMAdABpAG8AbgBzAF8ARABhAGkAcgB5AC4AQwBhAGwAYwB1AGwAYQB0AGUARgByAGEAYwB0AGkAbwBuAEkAbgBNAE0AUwBBAGYAdABlAHIAUwBvAGwAaQBkAFMAZQBwAGEAcgBhAHQAaQBvAG4AIgAsACIASQBuAHAAdQB0AEYAdQBuAGMAdABpAG8AbgBzAF8ARABhAGkAcgB5AC4AQwBhAGwAYwB1AGwAYQB0AGUARgByAGEAYwB0AGkAbwBuAEkAbgBTAG8AbABpAGQAUwB0AG8AcgBhAGcAZQAiACwAIgBNAE0AUwBfAEQAYQBpAHIAeQBfAEwAZQBhAGMAaABpAG4AZwBBAG4AZABSAHUAbgBvAGYAZgBfAEUAcQB1AGEAdABpAG8AbgBzAC4AVgBFAEUAUgBHAF8ANABfADMAXwAxAF8ANgBfAF8AMQBfAEEAbgBuAHUAYQBsAEUAbQBpAHMAcwBpAG8AbgBzAEYAcgBvAG0ATABlAGEAYwBoAGkAbgBnAEEAbgBkAFIAdQBuAG8AZgBmAEYAcgBvAG0ATQBNAFMAIgAsACIATQBNAFMAXwBEAGEAaQByAHkAXwBMAGUAYQBjAGgAaQBuAGcAQQBuAGQAUgB1AG4AbwBmAGYAXwBFAHEAdQBhAHQAaQBvAG4AcwAuAFYARQBFAFIARwBfADQAXwAzAF8AMQBfADYAXwBfADEAXwBBAG4AbgB1AGEAbABFAG0AaQBzAHMAaQBvAG4AcwBGAHIAbwBtAEwAZQBhAGMAaABpAG4AZwBBAG4AZABSAHUAbgBvAGYAZgBGAHIAbwBtAE0ATQBTAF8AVABpAHQAbABlACIALAAiAE0ATQBTAF8ARABhAGkAcgB5AF8ATABlAGEAYwBoAGkAbgBnAEEAbgBkAFIAdQBuAG8AZgBmAF8ARQBxAHUAYQB0AGkAbwBuAHMALgBWAEUARQBSAEcAXwA0AF8AMwBfADEAXwA2AF8AXwAxAF8AQQBuAG4AdQBhAGwARQBtAGkAcwBzAGkAbwBuAHMARgByAG8AbQBMAGUAYQBjAGgAaQBuAGcAQQBuAGQAUgB1AG4AbwBmAGYARgByAG8AbQBNAE0AUwBfAFYAYQByAGkAYQBiAGwAZQAiACwAIgBNAE0AUwBfAEQAYQBpAHIAeQBfAEwAZQBhAGMAaABpAG4AZwBBAG4AZABSAHUAbgBvAGYAZgBfAEUAcQB1AGEAdABpAG8AbgBzAC4AVgBFAEUAUgBHAF8ANABfADMAXwAxAF8ANgBfAF8AMQBfAEEAbgBuAHUAYQBsAEUAbQBpAHMAcwBpAG8AbgBzAEYAcgBvAG0ATABlAGEAYwBoAGkAbgBnAEEAbgBkAFIAdQBuAG8AZgBmAEYAcgBvAG0ATQBNAFMAXwBVAG4AaQB0ACIALAAiAE0ATQBTAF8ARABhAGkAcgB5AF8ATABlAGEAYwBoAGkAbgBnAEEAbgBkAFIAdQBuAG8AZgBmAF8ARQBxAHUAYQB0AGkAbwBuAHMALgBWAEUARQBSAEcAXwA0AF8AMwBfADEAXwA2AF8AXwAxAF8AQQBuAG4AdQBhAGwARQBtAGkAcwBzAGkAbwBuAHMARgByAG8AbQBMAGUAYQBjAGgAaQBuAGcAQQBuAGQAUgB1AG4AbwBmAGYARgByAG8AbQBNAE0AUwBfAFMAbwB1AHIAYwBlACIALAAiAE0ATQBTAF8ARABhAGkAcgB5AF8ATABlAGEAYwBoAGkAbgBnAEEAbgBkAFIAdQBuAG8AZgBmAF8ARQBxAHUAYQB0AGkAbwBuAHMALgBWAEUARQBSAEcAXwA0AF8AMwBfADEAXwA2AF8AXwAxAF8AQQBuAG4AdQBhAGwARQBtAGkAcwBzAGkAbwBuAHMARgByAG8AbQBMAGUAYQBjAGgAaQBuAGcAQQBuAGQAUgB1AG4AbwBmAGYARgByAG8AbQBNAE0AUwBfAE4ASQBSAFIAZQBmAGUAcgBlAG4AYwBlACIALAAiAE0ATQBTAF8ARABhAGkAcgB5AF8ATABlAGEAYwBoAGkAbgBnAEEAbgBkAFIAdQBuAG8AZgBmAF8ARQBxAHUAYQB0AGkAbwBuAHMALgBWAEUARQBSAEcAXwA0AF8AMwBfADEAXwA2AF8AXwAxAF8AQQBuAG4AdQBhAGwARQBtAGkAcwBzAGkAbwBuAHMARgByAG8AbQBMAGUAYQBjAGgAaQBuAGcAQQBuAGQAUgB1AG4AbwBmAGYARgByAG8AbQBNAE0AUwBfAEwAYQB0AGUAeABFAHEAdQBhAHQAaQBvAG4AIgAsACIATQBNAFMAXwBEAGEAaQByAHkAXwBMAGUAYQBjAGgAaQBuAGcAQQBuAGQAUgB1AG4AbwBmAGYAXwBFAHEAdQBhAHQAaQBvAG4AcwAuAFYARQBFAFIARwBfADQAXwAzAF8AMQBfADYAXwBfADEAXwBBAG4AbgB1AGEAbABFAG0AaQBzAHMAaQBvAG4AcwBGAHIAbwBtAEwAZQBhAGMAaABpAG4AZwBBAG4AZABSAHUAbgBvAGYAZgBGAHIAbwBtAE0ATQBTAF8AQQByAGcAdQBtAGUAbgB0AHM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UAGkAdABsAGU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WAGEAcgBpAGEAYgBsAGU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VAG4AaQB0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UwBvAHUAcgBjAGU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OAEkAUgBSAGUAZgBlAHIAZQBuAGM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EwAYQB0AGUAeABFAHEAdQBhAHQAaQBvAG4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BAHIAZwB1AG0AZQBuAHQAcwAiACwAIgBNAE0AUwBfAEQAYQBpAHIAeQBfAFMAbwBpAGwAXwBOADIATwBEAGkAcgBlAGMAdABfAEUAcQB1AGEAdABpAG8AbgBzAC4AVgBFAEUAUgBHAF8ANABfADMAXwAxAF8AOQBfAF8AMQBfAEQAaQByAGUAYwB0AE4AaQB0AHIAbwB1AHMATwB4AGkAZABlAEUAbQBpAHMAcwBpAG8AbgBzAE8AbgBQAGEAcwB0AHUAcgBlACIALAAiAE0ATQBTAF8ARABhAGkAcgB5AF8AUwBvAGkAbABfAE4AMgBPAEQAaQByAGUAYwB0AF8ARQBxAHUAYQB0AGkAbwBuAHMALgBWAEUARQBSAEcAXwA0AF8AMwBfADEAXwA5AF8AXwAxAF8ARABpAHIAZQBjAHQATgBpAHQAcgBvAHUAcwBPAHgAaQBkAGUARQBtAGkAcwBzAGkAbwBuAHMATwBuAFAAYQBzAHQAdQByAGUAXwBUAGkAdABsAGUAIgAsACIATQBNAFMAXwBEAGEAaQByAHkAXwBTAG8AaQBsAF8ATgAyAE8ARABpAHIAZQBjAHQAXwBFAHEAdQBhAHQAaQBvAG4AcwAuAFYARQBFAFIARwBfADQAXwAzAF8AMQBfADkAXwBfADEAXwBEAGkAcgBlAGMAdABOAGkAdAByAG8AdQBzAE8AeABpAGQAZQBFAG0AaQBzAHMAaQBvAG4AcwBPAG4AUABhAHMAdAB1AHIAZQBfAFYAYQByAGkAYQBiAGwAZQAiACwAIgBNAE0AUwBfAEQAYQBpAHIAeQBfAFMAbwBpAGwAXwBOADIATwBEAGkAcgBlAGMAdABfAEUAcQB1AGEAdABpAG8AbgBzAC4AVgBFAEUAUgBHAF8ANABfADMAXwAxAF8AOQBfAF8AMQBfAEQAaQByAGUAYwB0AE4AaQB0AHIAbwB1AHMATwB4AGkAZABlAEUAbQBpAHMAcwBpAG8AbgBzAE8AbgBQAGEAcwB0AHUAcgBlAF8AVQBuAGkAdAAiACwAIgBNAE0AUwBfAEQAYQBpAHIAeQBfAFMAbwBpAGwAXwBOADIATwBEAGkAcgBlAGMAdABfAEUAcQB1AGEAdABpAG8AbgBzAC4AVgBFAEUAUgBHAF8ANABfADMAXwAxAF8AOQBfAF8AMQBfAEQAaQByAGUAYwB0AE4AaQB0AHIAbwB1AHMATwB4AGkAZABlAEUAbQBpAHMAcwBpAG8AbgBzAE8AbgBQAGEAcwB0AHUAcgBlAF8AUwBvAHUAcgBjAGUAIgAsACIATQBNAFMAXwBEAGEAaQByAHkAXwBTAG8AaQBsAF8ATgAyAE8ARABpAHIAZQBjAHQAXwBFAHEAdQBhAHQAaQBvAG4AcwAuAFYARQBFAFIARwBfADQAXwAzAF8AMQBfADkAXwBfADEAXwBEAGkAcgBlAGMAdABOAGkAdAByAG8AdQBzAE8AeABpAGQAZQBFAG0AaQBzAHMAaQBvAG4AcwBPAG4AUABhAHMAdAB1AHIAZQBfAE4ASQBSAFIAZQBmAGUAcgBlAG4AYwBlACIALAAiAE0ATQBTAF8ARABhAGkAcgB5AF8AUwBvAGkAbABfAE4AMgBPAEQAaQByAGUAYwB0AF8ARQBxAHUAYQB0AGkAbwBuAHMALgBWAEUARQBSAEcAXwA0AF8AMwBfADEAXwA5AF8AXwAxAF8ARABpAHIAZQBjAHQATgBpAHQAcgBvAHUAcwBPAHgAaQBkAGUARQBtAGkAcwBzAGkAbwBuAHMATwBuAFAAYQBzAHQAdQByAGUAXwBMAGEAdABlAHgARQBxAHUAYQB0AGkAbwBuACIALAAiAE0ATQBTAF8ARABhAGkAcgB5AF8AUwBvAGkAbABfAE4AMgBPAEQAaQByAGUAYwB0AF8ARQBxAHUAYQB0AGkAbwBuAHMALgBWAEUARQBSAEcAXwA0AF8AMwBfADEAXwA5AF8AXwAxAF8ARABpAHIAZQBjAHQATgBpAHQAcgBvAHUAcwBPAHgAaQBkAGUARQBtAGkAcwBzAGkAbwBuAHMATwBuAFAAYQBzAHQAdQByAGUAXwBBAHIAZwB1AG0AZQBuAHQAcw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FQAaQB0AGwAZQ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FYAYQByAGkAYQBiAGwAZQ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FUAbgBpAHQ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TAG8AdQByAGMAZQ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E4ASQBSAFIAZQBmAGUAcgBlAG4AYw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TABhAHQAZQB4AEUAcQB1AGEAdABpAG8Abg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EEAcgBnAHUAbQBlAG4AdABzACIALAAiAE0ATQBTAF8ARABhAGkAcgB5AF8AUwBvAGkAbABfAEEAdABtAG8AcwBwAGgAZQByAGkAYwBEAGUAcABvAHMAaQB0AGkAbwBuAF8ARQBxAHUAYQB0AGkAbwBuAHMALgBWAEUARQBSAEcAXwA0AF8AMwBfADEAXwAxADAAXwBfADIAXwBNAGEAcwBzAE8AZgBOAGkAdAByAG8AZwBlAG4AVgBvAGwAYQB0AGkAbABpAHMAZQBkAE8AbgBQAGEAcwB0AHUAcgBlACIALAAiAE0ATQBTAF8ARABhAGkAcgB5AF8AUwBvAGkAbABfAEEAdABtAG8AcwBwAGgAZQByAGkAYwBEAGUAcABvAHMAaQB0AGkAbwBuAF8ARQBxAHUAYQB0AGkAbwBuAHMALgBWAEUARQBSAEcAXwA0AF8AMwBfADEAXwAxADAAXwBfADIAXwBNAGEAcwBzAE8AZgBOAGkAdAByAG8AZwBlAG4AVgBvAGwAYQB0AGkAbABpAHMAZQBkAE8AbgBQAGEAcwB0AHUAcgBlAF8AVABpAHQAbABlACIALAAiAE0ATQBTAF8ARABhAGkAcgB5AF8AUwBvAGkAbABfAEEAdABtAG8AcwBwAGgAZQByAGkAYwBEAGUAcABvAHMAaQB0AGkAbwBuAF8ARQBxAHUAYQB0AGkAbwBuAHMALgBWAEUARQBSAEcAXwA0AF8AMwBfADEAXwAxADAAXwBfADIAXwBNAGEAcwBzAE8AZgBOAGkAdAByAG8AZwBlAG4AVgBvAGwAYQB0AGkAbABpAHMAZQBkAE8AbgBQAGEAcwB0AHUAcgBlAF8AVgBhAHIAaQBhAGIAbABlACIALAAiAE0ATQBTAF8ARABhAGkAcgB5AF8AUwBvAGkAbABfAEEAdABtAG8AcwBwAGgAZQByAGkAYwBEAGUAcABvAHMAaQB0AGkAbwBuAF8ARQBxAHUAYQB0AGkAbwBuAHMALgBWAEUARQBSAEcAXwA0AF8AMwBfADEAXwAxADAAXwBfADIAXwBNAGEAcwBzAE8AZgBOAGkAdAByAG8AZwBlAG4AVgBvAGwAYQB0AGkAbABpAHMAZQBkAE8AbgBQAGEAcwB0AHUAcgBlAF8AVQBuAGkAdAAiACwAIgBNAE0AUwBfAEQAYQBpAHIAeQBfAFMAbwBpAGwAXwBBAHQAbQBvAHMAcABoAGUAcgBpAGMARABlAHAAbwBzAGkAdABpAG8AbgBfAEUAcQB1AGEAdABpAG8AbgBzAC4AVgBFAEUAUgBHAF8ANABfADMAXwAxAF8AMQAwAF8AXwAyAF8ATQBhAHMAcwBPAGYATgBpAHQAcgBvAGcAZQBuAFYAbwBsAGEAdABpAGwAaQBzAGUAZABPAG4AUABhAHMAdAB1AHIAZQBfAFMAbwB1AHIAYwBlACIALAAiAE0ATQBTAF8ARABhAGkAcgB5AF8AUwBvAGkAbABfAEEAdABtAG8AcwBwAGgAZQByAGkAYwBEAGUAcABvAHMAaQB0AGkAbwBuAF8ARQBxAHUAYQB0AGkAbwBuAHMALgBWAEUARQBSAEcAXwA0AF8AMwBfADEAXwAxADAAXwBfADIAXwBNAGEAcwBzAE8AZgBOAGkAdAByAG8AZwBlAG4AVgBvAGwAYQB0AGkAbABpAHMAZQBkAE8AbgBQAGEAcwB0AHUAcgBlAF8ATgBJAFIAUgBlAGYAZQByAGUAbgBjAGUAIgAsACIATQBNAFMAXwBEAGEAaQByAHkAXwBTAG8AaQBsAF8AQQB0AG0AbwBzAHAAaABlAHIAaQBjAEQAZQBwAG8AcwBpAHQAaQBvAG4AXwBFAHEAdQBhAHQAaQBvAG4AcwAuAFYARQBFAFIARwBfADQAXwAzAF8AMQBfADEAMABfAF8AMgBfAE0AYQBzAHMATwBmAE4AaQB0AHIAbwBnAGUAbgBWAG8AbABhAHQAaQBsAGkAcwBlAGQATwBuAFAAYQBzAHQAdQByAGUAXwBMAGEAdABlAHgARQBxAHUAYQB0AGkAbwBuACIALAAiAE0ATQBTAF8ARABhAGkAcgB5AF8AUwBvAGkAbABfAEEAdABtAG8AcwBwAGgAZQByAGkAYwBEAGUAcABvAHMAaQB0AGkAbwBuAF8ARQBxAHUAYQB0AGkAbwBuAHMALgBWAEUARQBSAEcAXwA0AF8AMwBfADEAXwAxADAAXwBfADIAXwBNAGEAcwBzAE8AZgBOAGkAdAByAG8AZwBlAG4AVgBvAGwAYQB0AGkAbABpAHMAZQBkAE8AbgBQAGEAcwB0AHUAcgBlAF8AQQByAGcAdQBtAGUAbgB0AHM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UAGkAdABsAGU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WAGEAcgBpAGEAYgBsAGU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VAG4AaQB0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UwBvAHUAcgBjAGU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OAEkAUgBSAGUAZgBlAHIAZQBuAGM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EwAYQB0AGUAeABFAHEAdQBhAHQAaQBvAG4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BAHIAZwB1AG0AZQBuAHQAcwAiACwAIgBNAE0AUwBfAEQAYQBpAHIAeQBfAFMAbwBpAGwAXwBMAGUAYQBjAGgAaQBuAGcAQQBuAGQAUgB1AG4AbwBmAGYALgBWAEUARQBSAEcAXwA0AF8AMwBfADEAXwAxADIAXwBfADIAXwBNAGEAcwBzAE8AZgBOAGkAdAByAG8AZwBlAG4ATABvAHMAdABUAG8ATABlAGEAYwBoAGkAbgBnAEEAbgBkAFIAdQBuAG8AZgBmAE8AbgBQAGEAcwB0AHUAcgBlACIALAAiAE0ATQBTAF8ARABhAGkAcgB5AF8AUwBvAGkAbABfAEwAZQBhAGMAaABpAG4AZwBBAG4AZABSAHUAbgBvAGYAZgAuAFYARQBFAFIARwBfADQAXwAzAF8AMQBfADEAMgBfAF8AMgBfAE0AYQBzAHMATwBmAE4AaQB0AHIAbwBnAGUAbgBMAG8AcwB0AFQAbwBMAGUAYQBjAGgAaQBuAGcAQQBuAGQAUgB1AG4AbwBmAGYATwBuAFAAYQBzAHQAdQByAGUAXwBUAGkAdABsAGUAIgAsACIATQBNAFMAXwBEAGEAaQByAHkAXwBTAG8AaQBsAF8ATABlAGEAYwBoAGkAbgBnAEEAbgBkAFIAdQBuAG8AZgBmAC4AVgBFAEUAUgBHAF8ANABfADMAXwAxAF8AMQAyAF8AXwAyAF8ATQBhAHMAcwBPAGYATgBpAHQAcgBvAGcAZQBuAEwAbwBzAHQAVABvAEwAZQBhAGMAaABpAG4AZwBBAG4AZABSAHUAbgBvAGYAZgBPAG4AUABhAHMAdAB1AHIAZQBfAFYAYQByAGkAYQBiAGwAZQAiACwAIgBNAE0AUwBfAEQAYQBpAHIAeQBfAFMAbwBpAGwAXwBMAGUAYQBjAGgAaQBuAGcAQQBuAGQAUgB1AG4AbwBmAGYALgBWAEUARQBSAEcAXwA0AF8AMwBfADEAXwAxADIAXwBfADIAXwBNAGEAcwBzAE8AZgBOAGkAdAByAG8AZwBlAG4ATABvAHMAdABUAG8ATABlAGEAYwBoAGkAbgBnAEEAbgBkAFIAdQBuAG8AZgBmAE8AbgBQAGEAcwB0AHUAcgBlAF8AVQBuAGkAdAAiACwAIgBNAE0AUwBfAEQAYQBpAHIAeQBfAFMAbwBpAGwAXwBMAGUAYQBjAGgAaQBuAGcAQQBuAGQAUgB1AG4AbwBmAGYALgBWAEUARQBSAEcAXwA0AF8AMwBfADEAXwAxADIAXwBfADIAXwBNAGEAcwBzAE8AZgBOAGkAdAByAG8AZwBlAG4ATABvAHMAdABUAG8ATABlAGEAYwBoAGkAbgBnAEEAbgBkAFIAdQBuAG8AZgBmAE8AbgBQAGEAcwB0AHUAcgBlAF8AUwBvAHUAcgBjAGUAIgAsACIATQBNAFMAXwBEAGEAaQByAHkAXwBTAG8AaQBsAF8ATABlAGEAYwBoAGkAbgBnAEEAbgBkAFIAdQBuAG8AZgBmAC4AVgBFAEUAUgBHAF8ANABfADMAXwAxAF8AMQAyAF8AXwAyAF8ATQBhAHMAcwBPAGYATgBpAHQAcgBvAGcAZQBuAEwAbwBzAHQAVABvAEwAZQBhAGMAaABpAG4AZwBBAG4AZABSAHUAbgBvAGYAZgBPAG4AUABhAHMAdAB1AHIAZQBfAE4ASQBSAFIAZQBmAGUAcgBlAG4AYwBlACIALAAiAE0ATQBTAF8ARABhAGkAcgB5AF8AUwBvAGkAbABfAEwAZQBhAGMAaABpAG4AZwBBAG4AZABSAHUAbgBvAGYAZgAuAFYARQBFAFIARwBfADQAXwAzAF8AMQBfADEAMgBfAF8AMgBfAE0AYQBzAHMATwBmAE4AaQB0AHIAbwBnAGUAbgBMAG8AcwB0AFQAbwBMAGUAYQBjAGgAaQBuAGcAQQBuAGQAUgB1AG4AbwBmAGYATwBuAFAAYQBzAHQAdQByAGUAXwBMAGEAdABlAHgARQBxAHUAYQB0AGkAbwBuACIALAAiAE0ATQBTAF8ARABhAGkAcgB5AF8AUwBvAGkAbABfAEwAZQBhAGMAaABpAG4AZwBBAG4AZABSAHUAbgBvAGYAZgAuAFYARQBFAFIARwBfADQAXwAzAF8AMQBfADEAMgBfAF8AMgBfAE0AYQBzAHMATwBmAE4AaQB0AHIAbwBnAGUAbgBMAG8AcwB0AFQAbwBMAGUAYQBjAGgAaQBuAGcAQQBuAGQAUgB1AG4AbwBmAGYATwBuAFAAYQBzAHQAdQBy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Home</vt:lpstr>
      <vt:lpstr>Overview</vt:lpstr>
      <vt:lpstr>Results</vt:lpstr>
      <vt:lpstr>Input - Site</vt:lpstr>
      <vt:lpstr>Input - Dairy</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Constants - Dairy</vt:lpstr>
      <vt:lpstr>Constants - Common</vt:lpstr>
      <vt:lpstr>Constants - Livestock</vt:lpstr>
      <vt:lpstr>Acknowledgements</vt:lpstr>
      <vt:lpstr>Tab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2026-05-12T04:20:34Z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