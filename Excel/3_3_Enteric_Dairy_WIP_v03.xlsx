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8_{A6CE9DBB-418D-4583-B593-7353EE390497}" xr6:coauthVersionLast="47" xr6:coauthVersionMax="47" xr10:uidLastSave="{00000000-0000-0000-0000-000000000000}"/>
  <bookViews>
    <workbookView xWindow="1125" yWindow="315" windowWidth="37140" windowHeight="20475" activeTab="5" xr2:uid="{992023F3-CAB7-4E5B-A348-08D563A0EF40}"/>
  </bookViews>
  <sheets>
    <sheet name="Home" sheetId="71" r:id="rId1"/>
    <sheet name="Overview" sheetId="106" r:id="rId2"/>
    <sheet name="Results" sheetId="13" r:id="rId3"/>
    <sheet name="Input - Site" sheetId="15" r:id="rId4"/>
    <sheet name="Input - Dairy" sheetId="70" r:id="rId5"/>
    <sheet name="3.3.1.1-2 Enteric Methane" sheetId="69" r:id="rId6"/>
    <sheet name="Constants - Dairy" sheetId="79" r:id="rId7"/>
    <sheet name="Constants - Common" sheetId="104" r:id="rId8"/>
    <sheet name="Constants - Livestock" sheetId="43" r:id="rId9"/>
    <sheet name="Acknowledgements" sheetId="72" r:id="rId10"/>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69" l="1" a="1"/>
  <c r="D24" i="69" s="1"/>
  <c r="D6" i="69" a="1"/>
  <c r="D6" i="69" s="1"/>
  <c r="F56" i="70"/>
  <c r="F55" i="70"/>
  <c r="E56" i="70"/>
  <c r="E55" i="70"/>
  <c r="D227" i="79" a="1"/>
  <c r="D227" i="79" s="1"/>
  <c r="D226" i="79" a="1"/>
  <c r="D226" i="79" s="1"/>
  <c r="D225" i="79" a="1"/>
  <c r="D225" i="79" s="1"/>
  <c r="D224" i="79" a="1"/>
  <c r="D224" i="79" s="1"/>
  <c r="D223" i="79" a="1"/>
  <c r="D223" i="79" s="1"/>
  <c r="D221" i="79" a="1"/>
  <c r="D221" i="79" s="1"/>
  <c r="D220" i="79" a="1"/>
  <c r="D220" i="79" s="1"/>
  <c r="D219" i="79" a="1"/>
  <c r="D219" i="79" s="1"/>
  <c r="D218" i="79" a="1"/>
  <c r="D218" i="79" s="1"/>
  <c r="D217" i="79" a="1"/>
  <c r="D217" i="79" s="1"/>
  <c r="D56" i="69" l="1" a="1"/>
  <c r="D56" i="69" s="1"/>
  <c r="R40" i="69"/>
  <c r="R39" i="69"/>
  <c r="I40" i="69"/>
  <c r="I39" i="69"/>
  <c r="P37" i="69" a="1"/>
  <c r="P37" i="69" s="1"/>
  <c r="M37" i="69" a="1"/>
  <c r="M37" i="69" s="1"/>
  <c r="I64" i="69"/>
  <c r="D75" i="69" s="1"/>
  <c r="I66" i="69" a="1"/>
  <c r="I66" i="69" s="1"/>
  <c r="I38" i="69" a="1"/>
  <c r="I38" i="69" s="1"/>
  <c r="D30" i="69" a="1"/>
  <c r="D30" i="69" s="1"/>
  <c r="I37" i="69"/>
  <c r="D45" i="69" s="1"/>
  <c r="D50" i="69" s="1" a="1"/>
  <c r="D50" i="69" s="1"/>
  <c r="F52" i="70"/>
  <c r="G37" i="69" a="1"/>
  <c r="G37" i="69" s="1"/>
  <c r="D37" i="69" a="1"/>
  <c r="D37" i="69" s="1"/>
  <c r="E35" i="69" a="1"/>
  <c r="E35" i="69" s="1"/>
  <c r="E34" i="69" a="1"/>
  <c r="E34" i="69" s="1"/>
  <c r="D29" i="69" a="1"/>
  <c r="D29" i="69" s="1"/>
  <c r="D28" i="69" a="1"/>
  <c r="D28" i="69" s="1"/>
  <c r="E139" i="69" a="1"/>
  <c r="E31" i="69" a="1"/>
  <c r="M50" i="69" l="1" a="1"/>
  <c r="M50" i="69" s="1"/>
  <c r="E31" i="69"/>
  <c r="E139" i="69"/>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3"/>
  <c r="A17" i="13"/>
  <c r="A16" i="13"/>
  <c r="A15" i="13"/>
  <c r="A12" i="13"/>
  <c r="A9" i="13"/>
  <c r="A8" i="13"/>
  <c r="A5" i="13"/>
  <c r="A4" i="13"/>
  <c r="A3" i="13"/>
  <c r="A12" i="106"/>
  <c r="O187" i="69" a="1"/>
  <c r="O187" i="69" s="1"/>
  <c r="P185" i="69"/>
  <c r="M184" i="69" a="1"/>
  <c r="M184" i="69" s="1"/>
  <c r="G185" i="69"/>
  <c r="F187" i="69" a="1"/>
  <c r="F187" i="69" s="1"/>
  <c r="D184" i="69" a="1"/>
  <c r="D184" i="69" s="1"/>
  <c r="I155" i="69" l="1" a="1"/>
  <c r="I155" i="69" s="1"/>
  <c r="D138" i="69" a="1"/>
  <c r="D138" i="69" s="1"/>
  <c r="I152" i="69" a="1"/>
  <c r="I152" i="69" s="1"/>
  <c r="I150" i="69" a="1"/>
  <c r="I150" i="69" s="1"/>
  <c r="I153" i="69" a="1"/>
  <c r="I153" i="69" s="1"/>
  <c r="I154" i="69" a="1"/>
  <c r="I154" i="69" s="1"/>
  <c r="I151" i="69" a="1"/>
  <c r="I151" i="69" s="1"/>
  <c r="I149" i="69" a="1"/>
  <c r="I149" i="69" s="1"/>
  <c r="I148" i="69" a="1"/>
  <c r="I148" i="69" s="1"/>
  <c r="H160" i="69"/>
  <c r="G160" i="69"/>
  <c r="F160" i="69"/>
  <c r="E160" i="69"/>
  <c r="D160" i="69"/>
  <c r="G148" i="69" a="1"/>
  <c r="G148" i="69" s="1"/>
  <c r="I160" i="69" s="1"/>
  <c r="D148" i="69" a="1"/>
  <c r="D148" i="69" s="1"/>
  <c r="E146" i="69" a="1"/>
  <c r="E146" i="69" s="1"/>
  <c r="E145" i="69" a="1"/>
  <c r="E145" i="69" s="1"/>
  <c r="D137" i="69" a="1"/>
  <c r="D137" i="69" s="1"/>
  <c r="D136" i="69" a="1"/>
  <c r="D136" i="69" s="1"/>
  <c r="H127" i="69" a="1"/>
  <c r="H127" i="69" s="1"/>
  <c r="D127" i="69" a="1"/>
  <c r="D127" i="69" s="1"/>
  <c r="E125" i="69" a="1"/>
  <c r="E125" i="69" s="1"/>
  <c r="R132" i="69" s="1"/>
  <c r="E124" i="69" a="1"/>
  <c r="E124" i="69" s="1"/>
  <c r="D120" i="69" a="1"/>
  <c r="D120" i="69" s="1"/>
  <c r="D119" i="69" a="1"/>
  <c r="D119" i="69" s="1"/>
  <c r="A215" i="79"/>
  <c r="A174" i="79"/>
  <c r="A137" i="79"/>
  <c r="A104" i="79"/>
  <c r="A79" i="79"/>
  <c r="A55" i="79"/>
  <c r="E121" i="69" a="1"/>
  <c r="O182" i="69" l="1"/>
  <c r="F182" i="69"/>
  <c r="G7" i="13" s="1"/>
  <c r="I180" i="69"/>
  <c r="R180" i="69"/>
  <c r="F175" i="69"/>
  <c r="R165" i="69"/>
  <c r="R170" i="69"/>
  <c r="I165" i="69"/>
  <c r="I170" i="69"/>
  <c r="E121" i="69"/>
  <c r="I132" i="69"/>
  <c r="A18" i="106"/>
  <c r="A17" i="106"/>
  <c r="A16" i="106"/>
  <c r="A15" i="106"/>
  <c r="A9" i="106"/>
  <c r="A8" i="106"/>
  <c r="A5" i="106"/>
  <c r="A4" i="106"/>
  <c r="A3" i="106"/>
  <c r="A51" i="69" l="1"/>
  <c r="A105" i="69"/>
  <c r="A151" i="69"/>
  <c r="A178" i="69"/>
  <c r="A217" i="69"/>
  <c r="A275" i="69"/>
  <c r="I92" i="69" l="1" a="1"/>
  <c r="I92" i="69" s="1"/>
  <c r="I93" i="69" a="1"/>
  <c r="I93" i="69" s="1"/>
  <c r="I94" i="69" a="1"/>
  <c r="I94" i="69" s="1"/>
  <c r="I95" i="69" a="1"/>
  <c r="I95" i="69" s="1"/>
  <c r="G92" i="69" a="1"/>
  <c r="G92" i="69" s="1"/>
  <c r="D92" i="69" a="1"/>
  <c r="D92" i="69" s="1"/>
  <c r="I65" i="69" a="1"/>
  <c r="I65" i="69" s="1"/>
  <c r="I70" i="69" a="1"/>
  <c r="I70" i="69" s="1"/>
  <c r="G64" i="69" a="1"/>
  <c r="G64" i="69" s="1"/>
  <c r="D64" i="69" a="1"/>
  <c r="D64" i="69" s="1"/>
  <c r="G14" i="69" l="1" a="1"/>
  <c r="G14" i="69" s="1"/>
  <c r="D14" i="69" a="1"/>
  <c r="D14" i="69" s="1"/>
  <c r="G9" i="79"/>
  <c r="G8" i="79"/>
  <c r="E30" i="15"/>
  <c r="E33" i="15"/>
  <c r="E32" i="15"/>
  <c r="E31" i="15"/>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c r="F243" i="104" a="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c r="R241" i="104" a="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a="1"/>
  <c r="D163" i="104" s="1"/>
  <c r="D162" i="104"/>
  <c r="D162" i="104" a="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c r="D140" i="104" a="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c r="D115" i="104" a="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c r="D19" i="104" a="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H54" i="104" l="1"/>
  <c r="H52" i="104"/>
  <c r="H49" i="104"/>
  <c r="H50" i="104"/>
  <c r="H53" i="104"/>
  <c r="H48" i="104"/>
  <c r="H51" i="104"/>
  <c r="D215" i="79" l="1" a="1"/>
  <c r="D215" i="79" s="1"/>
  <c r="D214" i="79" a="1"/>
  <c r="D214" i="79" s="1"/>
  <c r="D213" i="79" a="1"/>
  <c r="D213" i="79" s="1"/>
  <c r="D212" i="79" a="1"/>
  <c r="D212" i="79" s="1"/>
  <c r="D211" i="79" a="1"/>
  <c r="D211" i="79"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D195" i="79" l="1" a="1"/>
  <c r="D195" i="79" s="1"/>
  <c r="D194" i="79" a="1"/>
  <c r="D194" i="79" s="1"/>
  <c r="D193" i="79" a="1"/>
  <c r="D193" i="79" s="1"/>
  <c r="D192" i="79" a="1"/>
  <c r="D192" i="79" s="1"/>
  <c r="D191" i="79" a="1"/>
  <c r="D191" i="79" s="1"/>
  <c r="D188" i="79" a="1"/>
  <c r="D188" i="79" s="1"/>
  <c r="D187" i="79" a="1"/>
  <c r="D187" i="79" s="1"/>
  <c r="D186" i="79" a="1"/>
  <c r="D186" i="79" s="1"/>
  <c r="D185" i="79" a="1"/>
  <c r="D185" i="79" s="1"/>
  <c r="D184" i="79" a="1"/>
  <c r="D184" i="79" s="1"/>
  <c r="D54" i="69" a="1"/>
  <c r="D54" i="69" s="1"/>
  <c r="Q19" i="69"/>
  <c r="Q24" i="69" s="1" a="1"/>
  <c r="Q24" i="69" s="1"/>
  <c r="P19" i="69"/>
  <c r="P24" i="69" s="1" a="1"/>
  <c r="P24" i="69" s="1"/>
  <c r="O19" i="69"/>
  <c r="O24" i="69" s="1" a="1"/>
  <c r="O24" i="69" s="1"/>
  <c r="N19" i="69"/>
  <c r="N24" i="69" s="1" a="1"/>
  <c r="N24" i="69" s="1"/>
  <c r="M19" i="69"/>
  <c r="M24" i="69" s="1" a="1"/>
  <c r="M24" i="69" s="1"/>
  <c r="I14" i="69"/>
  <c r="D7" i="69" a="1"/>
  <c r="D7" i="69" s="1"/>
  <c r="E11" i="69" a="1"/>
  <c r="E11" i="69" s="1"/>
  <c r="E12" i="69" a="1"/>
  <c r="E12" i="69" s="1"/>
  <c r="D5" i="69" a="1"/>
  <c r="D5" i="69" s="1"/>
  <c r="D55" i="69" a="1"/>
  <c r="D55" i="69" s="1"/>
  <c r="D181" i="79" a="1"/>
  <c r="D181" i="79" s="1"/>
  <c r="I69" i="69" s="1"/>
  <c r="D180" i="79" a="1"/>
  <c r="D180" i="79" s="1"/>
  <c r="D179" i="79" a="1"/>
  <c r="D179" i="79" s="1"/>
  <c r="D178" i="79" a="1"/>
  <c r="D178" i="79" s="1"/>
  <c r="D177" i="79" a="1"/>
  <c r="D177" i="79" s="1"/>
  <c r="D174" i="79" a="1"/>
  <c r="D174" i="79" s="1"/>
  <c r="I68" i="69" s="1"/>
  <c r="D173" i="79" a="1"/>
  <c r="D173" i="79" s="1"/>
  <c r="D172" i="79" a="1"/>
  <c r="D172" i="79" s="1"/>
  <c r="D171" i="79" a="1"/>
  <c r="D171" i="79" s="1"/>
  <c r="D170" i="79" a="1"/>
  <c r="D170" i="79" s="1"/>
  <c r="D167" i="79" a="1"/>
  <c r="D167" i="79" s="1"/>
  <c r="I67" i="69" s="1"/>
  <c r="D166" i="79" a="1"/>
  <c r="D166" i="79" s="1"/>
  <c r="D165" i="79" a="1"/>
  <c r="D165" i="79" s="1"/>
  <c r="D164" i="79" a="1"/>
  <c r="D164" i="79" s="1"/>
  <c r="D163" i="79" a="1"/>
  <c r="D163" i="79" s="1"/>
  <c r="E61" i="69" a="1"/>
  <c r="E61" i="69" s="1"/>
  <c r="E62" i="69" a="1"/>
  <c r="E62" i="69" s="1"/>
  <c r="R80" i="69" s="1"/>
  <c r="D85" i="69" a="1"/>
  <c r="D85" i="69" s="1"/>
  <c r="E89" i="69" a="1"/>
  <c r="E89" i="69" s="1"/>
  <c r="E90" i="69" a="1"/>
  <c r="E90" i="69" s="1"/>
  <c r="I115" i="69" s="1"/>
  <c r="D84" i="69" a="1"/>
  <c r="D84" i="69" s="1"/>
  <c r="D160" i="79" a="1"/>
  <c r="D160" i="79" s="1"/>
  <c r="E37" i="70" s="1"/>
  <c r="D19" i="69" s="1"/>
  <c r="D159" i="79" a="1"/>
  <c r="D159" i="79" s="1"/>
  <c r="D158" i="79" a="1"/>
  <c r="D158" i="79" s="1"/>
  <c r="D157" i="79" a="1"/>
  <c r="D157" i="79" s="1"/>
  <c r="D156" i="79" a="1"/>
  <c r="D156" i="79" s="1"/>
  <c r="D150" i="79" a="1"/>
  <c r="D150" i="79" s="1"/>
  <c r="D151" i="79" a="1"/>
  <c r="D151" i="79" s="1"/>
  <c r="D152" i="79" a="1"/>
  <c r="D152" i="79" s="1"/>
  <c r="D153" i="79" a="1"/>
  <c r="D153" i="79" s="1"/>
  <c r="F38" i="70" s="1"/>
  <c r="D149" i="79" a="1"/>
  <c r="D149" i="79" s="1"/>
  <c r="E86" i="69" a="1"/>
  <c r="E8" i="69" a="1"/>
  <c r="E57" i="69" a="1"/>
  <c r="M80" i="69" l="1" a="1"/>
  <c r="M80" i="69" s="1"/>
  <c r="D80" i="69" a="1"/>
  <c r="D80" i="69" s="1"/>
  <c r="R115" i="69"/>
  <c r="F37" i="70"/>
  <c r="E19" i="69" s="1"/>
  <c r="G37" i="70"/>
  <c r="F19" i="69" s="1"/>
  <c r="H37" i="70"/>
  <c r="G19" i="69" s="1"/>
  <c r="G38" i="70"/>
  <c r="I38" i="70"/>
  <c r="H38" i="70"/>
  <c r="E38" i="70"/>
  <c r="I37" i="70"/>
  <c r="H19" i="69" s="1"/>
  <c r="I24" i="69"/>
  <c r="R24" i="69"/>
  <c r="E86" i="69"/>
  <c r="P80" i="69" a="1"/>
  <c r="P80" i="69" s="1"/>
  <c r="N80" i="69" a="1"/>
  <c r="N80" i="69" s="1"/>
  <c r="Q80" i="69" a="1"/>
  <c r="Q80" i="69" s="1"/>
  <c r="I80" i="69"/>
  <c r="O80" i="69" a="1"/>
  <c r="O80" i="69" s="1"/>
  <c r="E57" i="69"/>
  <c r="E8" i="69"/>
  <c r="H24" i="69" l="1" a="1"/>
  <c r="H24" i="69" s="1"/>
  <c r="H80" i="69" s="1" a="1"/>
  <c r="H80" i="69" s="1"/>
  <c r="G24" i="69" a="1"/>
  <c r="G24" i="69" s="1"/>
  <c r="G80" i="69" s="1" a="1"/>
  <c r="G80" i="69" s="1"/>
  <c r="F24" i="69" a="1"/>
  <c r="F24" i="69" s="1"/>
  <c r="F80" i="69" s="1" a="1"/>
  <c r="F80" i="69" s="1"/>
  <c r="E24" i="69" a="1"/>
  <c r="E24" i="69" s="1"/>
  <c r="E80" i="69" s="1" a="1"/>
  <c r="E80" i="69"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M165" i="69"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O165" i="69" s="1"/>
  <c r="H25" i="70" a="1"/>
  <c r="H25" i="70" s="1"/>
  <c r="H28" i="70" a="1"/>
  <c r="H28" i="70" s="1"/>
  <c r="P165" i="69" s="1"/>
  <c r="I25" i="70" a="1"/>
  <c r="I25" i="70" s="1"/>
  <c r="F25" i="70" a="1"/>
  <c r="F25" i="70" s="1"/>
  <c r="F28" i="70" a="1"/>
  <c r="F28" i="70" s="1"/>
  <c r="N165" i="69" s="1"/>
  <c r="E24" i="70" a="1"/>
  <c r="E24" i="70" s="1"/>
  <c r="D165" i="69" s="1"/>
  <c r="I28" i="70" a="1"/>
  <c r="I28" i="70" s="1"/>
  <c r="Q165" i="69" s="1"/>
  <c r="F24" i="70" a="1"/>
  <c r="F24" i="70" s="1"/>
  <c r="E165" i="69" s="1"/>
  <c r="G24" i="70" a="1"/>
  <c r="G24" i="70" s="1"/>
  <c r="F165" i="69" s="1"/>
  <c r="H24" i="70" a="1"/>
  <c r="H24" i="70" s="1"/>
  <c r="G165" i="69" s="1"/>
  <c r="I24" i="70" a="1"/>
  <c r="I24" i="70" s="1"/>
  <c r="H165" i="69" s="1"/>
  <c r="E25" i="70" a="1"/>
  <c r="E25" i="70" s="1"/>
  <c r="D170" i="69" s="1"/>
  <c r="G29" i="70" l="1"/>
  <c r="I29" i="70"/>
  <c r="F29" i="70"/>
  <c r="H29" i="70"/>
  <c r="E29" i="70"/>
  <c r="M170" i="69" s="1"/>
  <c r="P170" i="69" l="1"/>
  <c r="G170" i="69"/>
  <c r="N170" i="69"/>
  <c r="E170" i="69"/>
  <c r="H170" i="69"/>
  <c r="Q170" i="69"/>
  <c r="O170" i="69"/>
  <c r="F170"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108" i="79" a="1"/>
  <c r="D108" i="79" s="1"/>
  <c r="D103" i="79" a="1"/>
  <c r="D103" i="79" s="1"/>
  <c r="D95" i="79" a="1"/>
  <c r="D95" i="79" s="1"/>
  <c r="D96" i="79" a="1"/>
  <c r="D96" i="79" s="1"/>
  <c r="D97" i="79" a="1"/>
  <c r="D97" i="79" s="1"/>
  <c r="D100" i="79" a="1"/>
  <c r="D100" i="79" s="1"/>
  <c r="E100" i="79" a="1"/>
  <c r="E100" i="79" s="1"/>
  <c r="E175" i="69" s="1"/>
  <c r="E99" i="79" a="1"/>
  <c r="E99" i="79" s="1"/>
  <c r="D175" i="6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F64" i="79" a="1"/>
  <c r="F64" i="79" s="1"/>
  <c r="E64" i="79" a="1"/>
  <c r="E64" i="79" s="1"/>
  <c r="D64" i="79" a="1"/>
  <c r="D64" i="79" s="1"/>
  <c r="G63" i="79" a="1"/>
  <c r="G63" i="79" s="1"/>
  <c r="F63" i="79" a="1"/>
  <c r="F63" i="79" s="1"/>
  <c r="E63" i="79" a="1"/>
  <c r="E63" i="79" s="1"/>
  <c r="D63" i="79" a="1"/>
  <c r="D63" i="79" s="1"/>
  <c r="D59" i="79" a="1"/>
  <c r="D59" i="79" s="1"/>
  <c r="D60" i="79" a="1"/>
  <c r="D60" i="79" s="1"/>
  <c r="D61" i="79" a="1"/>
  <c r="D61" i="79" s="1"/>
  <c r="D58" i="79" a="1"/>
  <c r="D58" i="79" s="1"/>
  <c r="H55" i="79" a="1"/>
  <c r="H55" i="79" s="1"/>
  <c r="G55" i="79" a="1"/>
  <c r="G55" i="79" s="1"/>
  <c r="F55" i="79" a="1"/>
  <c r="F55" i="79" s="1"/>
  <c r="E55" i="79" a="1"/>
  <c r="E55" i="79" s="1"/>
  <c r="D55" i="79" a="1"/>
  <c r="D55" i="79"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110" i="69" l="1"/>
  <c r="E110" i="69"/>
  <c r="G110" i="69"/>
  <c r="H110" i="69"/>
  <c r="D110"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P105" i="69" l="1"/>
  <c r="G105" i="69"/>
  <c r="F105" i="69"/>
  <c r="O105" i="69"/>
  <c r="E105" i="69"/>
  <c r="N100" i="69"/>
  <c r="N105" i="69"/>
  <c r="E100" i="69"/>
  <c r="M105" i="69"/>
  <c r="O100" i="69"/>
  <c r="D105" i="69"/>
  <c r="F100" i="69"/>
  <c r="H100" i="69"/>
  <c r="M100" i="69"/>
  <c r="Q100" i="69"/>
  <c r="D100" i="69"/>
  <c r="G100" i="69"/>
  <c r="P100" i="69"/>
  <c r="P115" i="69" s="1" a="1"/>
  <c r="P115" i="69" s="1"/>
  <c r="P132" i="69" s="1" a="1"/>
  <c r="P132" i="69" s="1"/>
  <c r="P180" i="69" s="1" a="1"/>
  <c r="P180" i="69" s="1"/>
  <c r="H105" i="69"/>
  <c r="Q105" i="69"/>
  <c r="D115" i="69" l="1" a="1"/>
  <c r="D115" i="69" s="1"/>
  <c r="D132" i="69" s="1" a="1"/>
  <c r="D132" i="69" s="1"/>
  <c r="D180" i="69" s="1" a="1"/>
  <c r="D180" i="69" s="1"/>
  <c r="G115" i="69" a="1"/>
  <c r="G115" i="69" s="1"/>
  <c r="G132" i="69" s="1" a="1"/>
  <c r="G132" i="69" s="1"/>
  <c r="G180" i="69" s="1" a="1"/>
  <c r="G180" i="69" s="1"/>
  <c r="F115" i="69" a="1"/>
  <c r="F115" i="69" s="1"/>
  <c r="F132" i="69" s="1" a="1"/>
  <c r="F132" i="69" s="1"/>
  <c r="F180" i="69" s="1" a="1"/>
  <c r="F180" i="69" s="1"/>
  <c r="E115" i="69" a="1"/>
  <c r="E115" i="69" s="1"/>
  <c r="E132" i="69" s="1" a="1"/>
  <c r="E132" i="69" s="1"/>
  <c r="E180" i="69" s="1" a="1"/>
  <c r="E180" i="69" s="1"/>
  <c r="H115" i="69" a="1"/>
  <c r="H115" i="69" s="1"/>
  <c r="H132" i="69" s="1" a="1"/>
  <c r="H132" i="69" s="1"/>
  <c r="H180" i="69" s="1" a="1"/>
  <c r="H180" i="69" s="1"/>
  <c r="O115" i="69" a="1"/>
  <c r="O115" i="69" s="1"/>
  <c r="O132" i="69" s="1" a="1"/>
  <c r="O132" i="69" s="1"/>
  <c r="O180" i="69" s="1" a="1"/>
  <c r="O180" i="69" s="1"/>
  <c r="N115" i="69" a="1"/>
  <c r="N115" i="69" s="1"/>
  <c r="N132" i="69" s="1" a="1"/>
  <c r="N132" i="69" s="1"/>
  <c r="N180" i="69" s="1" a="1"/>
  <c r="N180" i="69" s="1"/>
  <c r="Q115" i="69" a="1"/>
  <c r="Q115" i="69" s="1"/>
  <c r="Q132" i="69" s="1" a="1"/>
  <c r="Q132" i="69" s="1"/>
  <c r="Q180" i="69" s="1" a="1"/>
  <c r="Q180" i="69" s="1"/>
  <c r="M115" i="69" a="1"/>
  <c r="M115" i="69" s="1"/>
  <c r="M132" i="69" s="1" a="1"/>
  <c r="M132" i="69" s="1"/>
  <c r="M180" i="69" s="1" a="1"/>
  <c r="M180" i="69" s="1"/>
  <c r="N182" i="69" l="1"/>
  <c r="F7" i="13" s="1"/>
  <c r="E182" i="69"/>
  <c r="P184" i="69" l="1"/>
  <c r="N187" i="69" s="1" a="1"/>
  <c r="N187" i="69" s="1"/>
  <c r="I7" i="13" s="1"/>
  <c r="I8" i="13" s="1"/>
  <c r="G184" i="69"/>
  <c r="E187" i="69" s="1" a="1"/>
  <c r="E187" i="69" s="1"/>
  <c r="H7" i="13" s="1"/>
  <c r="H8" i="13" s="1"/>
  <c r="E7" i="13"/>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F9" i="43" a="1"/>
  <c r="F9" i="43" s="1"/>
  <c r="E9" i="43" a="1"/>
  <c r="E9" i="43" s="1"/>
  <c r="D8" i="79" s="1"/>
  <c r="D9" i="43" a="1"/>
  <c r="D9" i="43" s="1"/>
  <c r="D7" i="43" a="1"/>
  <c r="D7" i="43" s="1"/>
  <c r="D6" i="43" a="1"/>
  <c r="D6" i="43" s="1"/>
  <c r="D5" i="43" a="1"/>
  <c r="D5" i="43" s="1"/>
  <c r="E8" i="79" l="1"/>
  <c r="D11" i="79"/>
  <c r="D9" i="79"/>
  <c r="E11" i="79"/>
  <c r="E9" i="79"/>
  <c r="D10" i="79"/>
  <c r="E10" i="79"/>
  <c r="E29" i="15"/>
  <c r="E13" i="1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<sst xmlns="http://schemas.openxmlformats.org/spreadsheetml/2006/main" count="524" uniqueCount="253">
  <si>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</si>
  <si>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</si>
  <si>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</si>
  <si>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</si>
  <si>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</si>
  <si>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</si>
  <si>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</si>
  <si>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</si>
  <si>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</si>
  <si>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</si>
  <si>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</si>
  <si>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</si>
  <si>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</si>
  <si>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</si>
  <si>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</si>
  <si>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</si>
  <si>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</si>
  <si>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</si>
  <si>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</si>
  <si>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</si>
  <si>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</si>
  <si>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</si>
  <si>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</si>
  <si>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</si>
  <si>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</si>
  <si>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</si>
  <si>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</si>
  <si>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</si>
  <si>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</si>
  <si>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</si>
  <si>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</si>
  <si>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</si>
  <si>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</si>
  <si>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</si>
  <si>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</si>
  <si>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</si>
  <si>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</si>
  <si>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</si>
  <si>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</si>
  <si>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</si>
  <si>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</si>
  <si>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</si>
  <si>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</si>
  <si>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</si>
  <si>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</si>
  <si>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</si>
  <si>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</si>
  <si>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</si>
  <si>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</si>
  <si>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</si>
  <si>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</si>
  <si>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</si>
  <si>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</si>
  <si>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</si>
  <si>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</si>
  <si>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</si>
  <si>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</si>
  <si>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</si>
  <si>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</si>
  <si>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</si>
  <si>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</si>
  <si>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</si>
  <si>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</si>
  <si>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</si>
  <si>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</si>
  <si>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</si>
  <si>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</si>
  <si>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</si>
  <si>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</si>
  <si>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</si>
  <si>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</si>
  <si>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</si>
  <si>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</si>
  <si>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</si>
  <si>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</si>
  <si>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</si>
  <si>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</si>
  <si>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</si>
  <si>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</si>
  <si>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</si>
  <si>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</si>
  <si>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</si>
  <si>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</si>
  <si>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</si>
  <si>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</si>
  <si>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</si>
  <si>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</si>
  <si>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</si>
  <si>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</si>
  <si>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</si>
  <si>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</si>
  <si>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</si>
  <si>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</si>
  <si>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Fraction</t>
  </si>
  <si>
    <t>MMS m</t>
  </si>
  <si>
    <t>New South Wales</t>
  </si>
  <si>
    <t>Herd movement</t>
  </si>
  <si>
    <t>Duration of stay</t>
  </si>
  <si>
    <t>head</t>
  </si>
  <si>
    <t>Table_N_j</t>
  </si>
  <si>
    <r>
      <t>E</t>
    </r>
    <r>
      <rPr>
        <vertAlign val="subscript"/>
        <sz val="12"/>
        <color theme="1" tint="0.24994659260841701"/>
        <rFont val="Times New Roman"/>
        <family val="1"/>
      </rPr>
      <t>CO2e</t>
    </r>
  </si>
  <si>
    <t>Crude protein</t>
  </si>
  <si>
    <t>M1_Table_I_j</t>
  </si>
  <si>
    <t>M2_Table_I_j</t>
  </si>
  <si>
    <t>Method 1</t>
  </si>
  <si>
    <t>Method 2</t>
  </si>
  <si>
    <t>M1_Table_DMD_j</t>
  </si>
  <si>
    <t>Dry matter digestibility (Method 1)</t>
  </si>
  <si>
    <t>M2_Table_DMD_j</t>
  </si>
  <si>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</si>
  <si>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</si>
  <si>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</si>
  <si>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</si>
  <si>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</si>
  <si>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</si>
  <si>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</si>
  <si>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</si>
  <si>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</si>
  <si>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</si>
  <si>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</si>
  <si>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</si>
  <si>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</si>
  <si>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t>Total</t>
  </si>
  <si>
    <t>GHG Unit</t>
  </si>
  <si>
    <t>CO2-e unit</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</si>
  <si>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</si>
  <si>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</si>
  <si>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</si>
  <si>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</si>
  <si>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</si>
  <si>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</si>
  <si>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</si>
  <si>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</si>
  <si>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</si>
  <si>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</si>
  <si>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</si>
  <si>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</si>
  <si>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</si>
  <si>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</si>
  <si>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</si>
  <si>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</si>
  <si>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</si>
  <si>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</si>
  <si>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</si>
  <si>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</si>
  <si>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</si>
  <si>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</si>
  <si>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</si>
  <si>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</si>
  <si>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</si>
  <si>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</si>
  <si>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</si>
  <si>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</si>
  <si>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</si>
  <si>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</si>
  <si>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</si>
  <si>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Duplicate of data in table 1.3.7</t>
  </si>
  <si>
    <t>Method 2 custom values (Edit if known)</t>
  </si>
  <si>
    <t>Method 1 default values (Do not edit)</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</si>
  <si>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</si>
  <si>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</si>
  <si>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</si>
  <si>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</si>
  <si>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</si>
  <si>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</si>
  <si>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</si>
  <si>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</si>
  <si>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</si>
  <si>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</si>
  <si>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</si>
  <si>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</si>
  <si>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</si>
  <si>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</si>
  <si>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</si>
  <si>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</si>
  <si>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</si>
  <si>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</si>
  <si>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</si>
  <si>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</si>
  <si>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</si>
  <si>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</si>
  <si>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</si>
  <si>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</si>
  <si>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</si>
  <si>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</si>
  <si>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</si>
  <si>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</si>
  <si>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</si>
  <si>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</si>
  <si>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</si>
  <si>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M1_Table_D_j</t>
  </si>
  <si>
    <t>M2_Table_D_j</t>
  </si>
  <si>
    <t>Irrigation type i</t>
  </si>
  <si>
    <t>t CO2e</t>
  </si>
  <si>
    <t>EFPRP</t>
  </si>
  <si>
    <t>GHG emissions method 1</t>
  </si>
  <si>
    <t>GHG emissions method 2</t>
  </si>
  <si>
    <t>CO2-e emissions method 1</t>
  </si>
  <si>
    <t>CO2-e emissions method 2</t>
  </si>
  <si>
    <t>Month</t>
  </si>
  <si>
    <t>Season</t>
  </si>
  <si>
    <t>Acknowledgements</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</si>
  <si>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</si>
  <si>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</si>
  <si>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</si>
  <si>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</si>
  <si>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</si>
  <si>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</si>
  <si>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</si>
  <si>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</si>
  <si>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</si>
  <si>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</si>
  <si>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</si>
  <si>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</si>
  <si>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</si>
  <si>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</si>
  <si>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</si>
  <si>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 xml:space="preserve">    Click on a box to go to the corresponding calculation.</t>
  </si>
  <si>
    <t>3.3: Enteric Methane: Dairy: Overview</t>
  </si>
  <si>
    <t>3.3 Enteric Methane: Dairy: Results</t>
  </si>
  <si>
    <t>3.3.1.1-2 Enteric Methane</t>
  </si>
  <si>
    <t>M1_Table_M_j</t>
  </si>
  <si>
    <t>Daily production of neteric methane (Method 1)</t>
  </si>
  <si>
    <t>M2_Table_M_j</t>
  </si>
  <si>
    <t>Daily production of neteric methane (Method 2)</t>
  </si>
  <si>
    <t>Number of dairy cattle</t>
  </si>
  <si>
    <t>Duration of stay of weaned cattle (Method 1)</t>
  </si>
  <si>
    <t>Duration of stay of pre-weaned cattle (Method 1)</t>
  </si>
  <si>
    <t>Duration of stay of weaned cattle (Method 2)</t>
  </si>
  <si>
    <t>M2_Table_DPW_j</t>
  </si>
  <si>
    <t>Duration of stay of pre-weaned cattle (Method 2)</t>
  </si>
  <si>
    <t>M1_Table_DPW_j-3-5</t>
  </si>
  <si>
    <t>M1_Table_MPW_j-3-5</t>
  </si>
  <si>
    <t>M1_Table_E_enteric</t>
  </si>
  <si>
    <t>Total annual enteric methane production</t>
  </si>
  <si>
    <r>
      <t>E</t>
    </r>
    <r>
      <rPr>
        <b/>
        <vertAlign val="subscript"/>
        <sz val="16"/>
        <color theme="1" tint="0.24994659260841701"/>
        <rFont val="Times New Roman"/>
        <family val="1"/>
      </rPr>
      <t>CH4</t>
    </r>
  </si>
  <si>
    <t>3.3.1.1-2 Enteric methane</t>
  </si>
  <si>
    <t>💡 Below is a diagram that maps the equations used to calculate emissions and how they interact with each other.</t>
  </si>
  <si>
    <t>Source Data - Dairy</t>
  </si>
  <si>
    <t>Milk production unit</t>
  </si>
  <si>
    <t>M1_Table_MS_j</t>
  </si>
  <si>
    <t>Milk solids production (Method 1)</t>
  </si>
  <si>
    <t>M1_Table_MP_j_from_solids</t>
  </si>
  <si>
    <t>Milk production from milk solids (Method 1)</t>
  </si>
  <si>
    <t>Fat content in fat and protein corrected milk</t>
  </si>
  <si>
    <t>Protein content in fat and protein corrected milk</t>
  </si>
  <si>
    <t>Method 1 (don't edit)</t>
  </si>
  <si>
    <t>Method 2 (edit if known)</t>
  </si>
  <si>
    <t>percent</t>
  </si>
  <si>
    <t>For milk solids only:</t>
  </si>
  <si>
    <t>M2_Table_MP_j_from_solids</t>
  </si>
  <si>
    <t>Milk production from milk solids (Method 2)</t>
  </si>
  <si>
    <t>Litres of milk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</si>
</sst>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1" formatCode="0.0%"/>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60" fillId="4" borderId="2">
      <alignment horizontal="left" vertical="center"/>
    </xf>
    <xf numFmtId="0" fontId="61" fillId="16" borderId="2">
      <alignment horizontal="center" vertical="center"/>
    </xf>
    <xf numFmtId="0" fontId="35" fillId="4" borderId="2">
      <alignment horizontal="left" vertical="center"/>
    </xf>
    <xf numFmtId="0" fontId="62" fillId="0" borderId="0"/>
  </cellStyleXfs>
  <cellXfs count="13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4"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0" fillId="0" borderId="0" xfId="1" applyFont="1" applyFill="1">
      <alignment horizontal="left" vertical="center" indent="1"/>
      <protection locked="0"/>
    </xf>
    <xf numFmtId="0" fontId="49" fillId="4" borderId="0" xfId="61">
      <alignment horizontal="left" vertical="center"/>
    </xf>
    <xf numFmtId="0" fontId="48" fillId="4" borderId="0" xfId="60">
      <alignment horizontal="left" vertical="center"/>
    </xf>
    <xf numFmtId="3" fontId="2" fillId="0" borderId="2" xfId="19">
      <alignment horizontal="center"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0" fillId="14" borderId="0" xfId="8" applyFill="1">
      <alignment horizontal="left" vertical="center"/>
    </xf>
    <xf numFmtId="0" fontId="45" fillId="13" borderId="9" xfId="41" applyBorder="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22" fillId="11" borderId="0" xfId="64">
      <alignment horizontal="left" vertical="center" indent="1"/>
    </xf>
    <xf numFmtId="0" fontId="58" fillId="0" borderId="0" xfId="2" applyFont="1"/>
    <xf numFmtId="0" fontId="56" fillId="2" borderId="0" xfId="8" applyFont="1" applyFill="1">
      <alignment horizontal="left" vertical="center"/>
    </xf>
    <xf numFmtId="0" fontId="17" fillId="4" borderId="0" xfId="32" applyFill="1">
      <alignment vertical="center"/>
    </xf>
    <xf numFmtId="0" fontId="59" fillId="15" borderId="2" xfId="65">
      <alignment horizontal="center" vertical="center"/>
    </xf>
    <xf numFmtId="0" fontId="60" fillId="4" borderId="2" xfId="66">
      <alignment horizontal="left" vertical="center"/>
    </xf>
    <xf numFmtId="0" fontId="61"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35" fillId="4" borderId="2" xfId="14" applyNumberFormat="1" applyFont="1" applyFill="1" applyBorder="1" applyAlignment="1">
      <alignment horizontal="center" vertical="center"/>
    </xf>
    <xf numFmtId="0" fontId="62" fillId="0" borderId="0" xfId="69"/>
    <xf numFmtId="0" fontId="63" fillId="9" borderId="0" xfId="33" applyFont="1" applyFill="1"/>
    <xf numFmtId="0" fontId="40" fillId="9" borderId="0" xfId="8" applyFill="1">
      <alignment horizontal="left" vertical="center"/>
    </xf>
    <xf numFmtId="0" fontId="17" fillId="11" borderId="0" xfId="32" applyFill="1">
      <alignment vertical="center"/>
    </xf>
    <xf numFmtId="0" fontId="45" fillId="13" borderId="21" xfId="41" applyBorder="1">
      <alignment horizontal="left" vertical="center"/>
    </xf>
    <xf numFmtId="0" fontId="45" fillId="13" borderId="20" xfId="41" applyBorder="1">
      <alignment horizontal="left" vertical="center"/>
    </xf>
    <xf numFmtId="0" fontId="46" fillId="13" borderId="21" xfId="41" applyFont="1" applyBorder="1">
      <alignment horizontal="left" vertical="center"/>
    </xf>
    <xf numFmtId="171"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3.3.1.1-2 Enteric Methane'!D53"/><Relationship Id="rId2" Type="http://schemas.openxmlformats.org/officeDocument/2006/relationships/hyperlink" Target="#'3.3.1.1-2 Enteric Methane'!D27"/><Relationship Id="rId1" Type="http://schemas.openxmlformats.org/officeDocument/2006/relationships/hyperlink" Target="#'3.3.1.1-2 Enteric Methane'!D5"/><Relationship Id="rId5" Type="http://schemas.openxmlformats.org/officeDocument/2006/relationships/hyperlink" Target="#'3.3.1.1-2 Enteric Methane'!D105"/><Relationship Id="rId4" Type="http://schemas.openxmlformats.org/officeDocument/2006/relationships/hyperlink" Target="#'3.3.1.1-2 Enteric Methane'!D88"/></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102831</xdr:colOff>
      <xdr:row>9</xdr:row>
      <xdr:rowOff>150801</xdr:rowOff>
    </xdr:from>
    <xdr:to>
      <xdr:col>5</xdr:col>
      <xdr:colOff>395631</xdr:colOff>
      <xdr:row>12</xdr:row>
      <xdr:rowOff>127851</xdr:rowOff>
    </xdr:to>
    <xdr:sp macro="" textlink="'3.3.1.1-2 Enteric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4485" y="2524724"/>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twoCellAnchor>
    <xdr:from>
      <xdr:col>3</xdr:col>
      <xdr:colOff>102831</xdr:colOff>
      <xdr:row>17</xdr:row>
      <xdr:rowOff>109770</xdr:rowOff>
    </xdr:from>
    <xdr:to>
      <xdr:col>5</xdr:col>
      <xdr:colOff>395631</xdr:colOff>
      <xdr:row>20</xdr:row>
      <xdr:rowOff>86820</xdr:rowOff>
    </xdr:to>
    <xdr:sp macro="" textlink="'3.3.1.1-2 Enteric Methane'!D54">
      <xdr:nvSpPr>
        <xdr:cNvPr id="41" name="TextBox 40">
          <a:hlinkClick xmlns:r="http://schemas.openxmlformats.org/officeDocument/2006/relationships" r:id="rId2"/>
          <a:extLst>
            <a:ext uri="{FF2B5EF4-FFF2-40B4-BE49-F238E27FC236}">
              <a16:creationId xmlns:a16="http://schemas.microsoft.com/office/drawing/2014/main" id="{82BBB490-20A6-44A4-855D-5BFCA5839BC1}"/>
            </a:ext>
          </a:extLst>
        </xdr:cNvPr>
        <xdr:cNvSpPr txBox="1"/>
      </xdr:nvSpPr>
      <xdr:spPr>
        <a:xfrm>
          <a:off x="2784485" y="4476616"/>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102831</xdr:colOff>
      <xdr:row>21</xdr:row>
      <xdr:rowOff>109769</xdr:rowOff>
    </xdr:from>
    <xdr:to>
      <xdr:col>5</xdr:col>
      <xdr:colOff>395631</xdr:colOff>
      <xdr:row>24</xdr:row>
      <xdr:rowOff>86819</xdr:rowOff>
    </xdr:to>
    <xdr:sp macro="" textlink="'3.3.1.1-2 Enteric Methane'!D84">
      <xdr:nvSpPr>
        <xdr:cNvPr id="42" name="TextBox 41">
          <a:hlinkClick xmlns:r="http://schemas.openxmlformats.org/officeDocument/2006/relationships" r:id="rId3"/>
          <a:extLst>
            <a:ext uri="{FF2B5EF4-FFF2-40B4-BE49-F238E27FC236}">
              <a16:creationId xmlns:a16="http://schemas.microsoft.com/office/drawing/2014/main" id="{5890F85A-690F-4E76-AFA6-9552C00B26D5}"/>
            </a:ext>
          </a:extLst>
        </xdr:cNvPr>
        <xdr:cNvSpPr txBox="1"/>
      </xdr:nvSpPr>
      <xdr:spPr>
        <a:xfrm>
          <a:off x="2784485" y="5473077"/>
          <a:ext cx="1509069" cy="72439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3</xdr:col>
      <xdr:colOff>102830</xdr:colOff>
      <xdr:row>25</xdr:row>
      <xdr:rowOff>134499</xdr:rowOff>
    </xdr:from>
    <xdr:to>
      <xdr:col>5</xdr:col>
      <xdr:colOff>395631</xdr:colOff>
      <xdr:row>28</xdr:row>
      <xdr:rowOff>109946</xdr:rowOff>
    </xdr:to>
    <xdr:sp macro="" textlink="'3.3.1.1-2 Enteric Methane'!D119">
      <xdr:nvSpPr>
        <xdr:cNvPr id="47" name="TextBox 46">
          <a:hlinkClick xmlns:r="http://schemas.openxmlformats.org/officeDocument/2006/relationships" r:id="rId4"/>
          <a:extLst>
            <a:ext uri="{FF2B5EF4-FFF2-40B4-BE49-F238E27FC236}">
              <a16:creationId xmlns:a16="http://schemas.microsoft.com/office/drawing/2014/main" id="{5BB39083-14D5-4E03-B2EF-96E2D8D78D27}"/>
            </a:ext>
          </a:extLst>
        </xdr:cNvPr>
        <xdr:cNvSpPr txBox="1"/>
      </xdr:nvSpPr>
      <xdr:spPr>
        <a:xfrm>
          <a:off x="2784484" y="6494268"/>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1D84FB-17FB-4527-B186-AF6C685B4B05}" type="TxLink">
            <a:rPr lang="en-US" sz="1000" b="0" i="0" u="none" strike="noStrike">
              <a:solidFill>
                <a:srgbClr val="0D9D96"/>
              </a:solidFill>
              <a:latin typeface="Times New Roman"/>
              <a:cs typeface="Times New Roman"/>
            </a:rPr>
            <a:pPr algn="ctr"/>
            <a:t>Daily production of enteric methane</a:t>
          </a:fld>
          <a:endParaRPr lang="en-AU" sz="1000" b="1">
            <a:solidFill>
              <a:srgbClr val="0D9D96"/>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242882</xdr:colOff>
      <xdr:row>20</xdr:row>
      <xdr:rowOff>93169</xdr:rowOff>
    </xdr:from>
    <xdr:to>
      <xdr:col>4</xdr:col>
      <xdr:colOff>255582</xdr:colOff>
      <xdr:row>21</xdr:row>
      <xdr:rowOff>116118</xdr:rowOff>
    </xdr:to>
    <xdr:cxnSp macro="">
      <xdr:nvCxnSpPr>
        <xdr:cNvPr id="54" name="Connector: Curved 53">
          <a:extLst>
            <a:ext uri="{FF2B5EF4-FFF2-40B4-BE49-F238E27FC236}">
              <a16:creationId xmlns:a16="http://schemas.microsoft.com/office/drawing/2014/main" id="{900B639B-115C-1DCF-B500-684BF27906A8}"/>
            </a:ext>
          </a:extLst>
        </xdr:cNvPr>
        <xdr:cNvCxnSpPr/>
      </xdr:nvCxnSpPr>
      <xdr:spPr>
        <a:xfrm rot="5400000">
          <a:off x="3402987" y="5337044"/>
          <a:ext cx="272065" cy="12700"/>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102830</xdr:colOff>
      <xdr:row>29</xdr:row>
      <xdr:rowOff>174839</xdr:rowOff>
    </xdr:from>
    <xdr:to>
      <xdr:col>5</xdr:col>
      <xdr:colOff>395631</xdr:colOff>
      <xdr:row>32</xdr:row>
      <xdr:rowOff>150286</xdr:rowOff>
    </xdr:to>
    <xdr:sp macro="" textlink="'3.3.1.1-2 Enteric Methane'!D136">
      <xdr:nvSpPr>
        <xdr:cNvPr id="4" name="TextBox 3">
          <a:hlinkClick xmlns:r="http://schemas.openxmlformats.org/officeDocument/2006/relationships" r:id="rId5"/>
          <a:extLst>
            <a:ext uri="{FF2B5EF4-FFF2-40B4-BE49-F238E27FC236}">
              <a16:creationId xmlns:a16="http://schemas.microsoft.com/office/drawing/2014/main" id="{E70C9FE0-7E98-407A-AA20-D67D70851C36}"/>
            </a:ext>
          </a:extLst>
        </xdr:cNvPr>
        <xdr:cNvSpPr txBox="1"/>
      </xdr:nvSpPr>
      <xdr:spPr>
        <a:xfrm>
          <a:off x="2784484" y="7531070"/>
          <a:ext cx="1509070" cy="722793"/>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83EE-6EC7-436E-A0A1-90A939E8D0FC}" type="TxLink">
            <a:rPr lang="en-US" sz="1000" b="1" i="0" u="none" strike="noStrike">
              <a:solidFill>
                <a:srgbClr val="0D9D96"/>
              </a:solidFill>
              <a:latin typeface="Times New Roman"/>
              <a:cs typeface="Times New Roman"/>
            </a:rPr>
            <a:pPr algn="ctr"/>
            <a:t>Total annual methane production from enteric fermentation in dairy cattle</a:t>
          </a:fld>
          <a:endParaRPr lang="en-AU" sz="1000" b="1">
            <a:solidFill>
              <a:srgbClr val="0D9D96"/>
            </a:solidFill>
          </a:endParaRPr>
        </a:p>
      </xdr:txBody>
    </xdr:sp>
    <xdr:clientData/>
  </xdr:twoCellAnchor>
  <xdr:twoCellAnchor>
    <xdr:from>
      <xdr:col>4</xdr:col>
      <xdr:colOff>249231</xdr:colOff>
      <xdr:row>24</xdr:row>
      <xdr:rowOff>86819</xdr:rowOff>
    </xdr:from>
    <xdr:to>
      <xdr:col>4</xdr:col>
      <xdr:colOff>249232</xdr:colOff>
      <xdr:row>25</xdr:row>
      <xdr:rowOff>134499</xdr:rowOff>
    </xdr:to>
    <xdr:cxnSp macro="">
      <xdr:nvCxnSpPr>
        <xdr:cNvPr id="6" name="Connector: Curved 5">
          <a:extLst>
            <a:ext uri="{FF2B5EF4-FFF2-40B4-BE49-F238E27FC236}">
              <a16:creationId xmlns:a16="http://schemas.microsoft.com/office/drawing/2014/main" id="{5FA89513-81F3-8D5E-FAD7-00F18E6C3779}"/>
            </a:ext>
          </a:extLst>
        </xdr:cNvPr>
        <xdr:cNvCxnSpPr/>
      </xdr:nvCxnSpPr>
      <xdr:spPr>
        <a:xfrm rot="5400000">
          <a:off x="3390622" y="6345870"/>
          <a:ext cx="296795" cy="1"/>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242882</xdr:colOff>
      <xdr:row>28</xdr:row>
      <xdr:rowOff>116295</xdr:rowOff>
    </xdr:from>
    <xdr:to>
      <xdr:col>4</xdr:col>
      <xdr:colOff>255582</xdr:colOff>
      <xdr:row>29</xdr:row>
      <xdr:rowOff>181188</xdr:rowOff>
    </xdr:to>
    <xdr:cxnSp macro="">
      <xdr:nvCxnSpPr>
        <xdr:cNvPr id="9" name="Connector: Curved 8">
          <a:extLst>
            <a:ext uri="{FF2B5EF4-FFF2-40B4-BE49-F238E27FC236}">
              <a16:creationId xmlns:a16="http://schemas.microsoft.com/office/drawing/2014/main" id="{8B806E6B-797F-4DBC-AB79-05E420C9BFDC}"/>
            </a:ext>
          </a:extLst>
        </xdr:cNvPr>
        <xdr:cNvCxnSpPr/>
      </xdr:nvCxnSpPr>
      <xdr:spPr>
        <a:xfrm rot="5400000">
          <a:off x="3382015" y="7374065"/>
          <a:ext cx="314009" cy="12700"/>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95250</xdr:colOff>
      <xdr:row>13</xdr:row>
      <xdr:rowOff>124557</xdr:rowOff>
    </xdr:from>
    <xdr:to>
      <xdr:col>5</xdr:col>
      <xdr:colOff>396424</xdr:colOff>
      <xdr:row>16</xdr:row>
      <xdr:rowOff>89047</xdr:rowOff>
    </xdr:to>
    <xdr:sp macro="" textlink="'3.3.1.1-2 Enteric Methane'!D28">
      <xdr:nvSpPr>
        <xdr:cNvPr id="14" name="TextBox 13">
          <a:hlinkClick xmlns:r="http://schemas.openxmlformats.org/officeDocument/2006/relationships" r:id="rId2"/>
          <a:extLst>
            <a:ext uri="{FF2B5EF4-FFF2-40B4-BE49-F238E27FC236}">
              <a16:creationId xmlns:a16="http://schemas.microsoft.com/office/drawing/2014/main" id="{D5DBF754-E65E-458F-A933-75ADD3406279}"/>
            </a:ext>
          </a:extLst>
        </xdr:cNvPr>
        <xdr:cNvSpPr txBox="1"/>
      </xdr:nvSpPr>
      <xdr:spPr>
        <a:xfrm>
          <a:off x="2776904" y="3494942"/>
          <a:ext cx="1517443" cy="711836"/>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2D05B6-766E-4879-832C-4C68C5D13F73}"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245838</xdr:colOff>
      <xdr:row>16</xdr:row>
      <xdr:rowOff>89047</xdr:rowOff>
    </xdr:from>
    <xdr:to>
      <xdr:col>4</xdr:col>
      <xdr:colOff>249232</xdr:colOff>
      <xdr:row>17</xdr:row>
      <xdr:rowOff>109770</xdr:rowOff>
    </xdr:to>
    <xdr:cxnSp macro="">
      <xdr:nvCxnSpPr>
        <xdr:cNvPr id="18" name="Connector: Curved 17">
          <a:extLst>
            <a:ext uri="{FF2B5EF4-FFF2-40B4-BE49-F238E27FC236}">
              <a16:creationId xmlns:a16="http://schemas.microsoft.com/office/drawing/2014/main" id="{25EB26F9-A787-913A-69F0-503B9F883F93}"/>
            </a:ext>
          </a:extLst>
        </xdr:cNvPr>
        <xdr:cNvCxnSpPr>
          <a:stCxn id="14" idx="2"/>
          <a:endCxn id="41" idx="0"/>
        </xdr:cNvCxnSpPr>
      </xdr:nvCxnSpPr>
      <xdr:spPr>
        <a:xfrm rot="16200000" flipH="1">
          <a:off x="3402404" y="4340000"/>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244373</xdr:colOff>
      <xdr:row>12</xdr:row>
      <xdr:rowOff>131543</xdr:rowOff>
    </xdr:from>
    <xdr:to>
      <xdr:col>4</xdr:col>
      <xdr:colOff>247767</xdr:colOff>
      <xdr:row>13</xdr:row>
      <xdr:rowOff>152265</xdr:rowOff>
    </xdr:to>
    <xdr:cxnSp macro="">
      <xdr:nvCxnSpPr>
        <xdr:cNvPr id="19" name="Connector: Curved 18">
          <a:extLst>
            <a:ext uri="{FF2B5EF4-FFF2-40B4-BE49-F238E27FC236}">
              <a16:creationId xmlns:a16="http://schemas.microsoft.com/office/drawing/2014/main" id="{DDBB5D16-9082-41B0-8096-4B419C331CE1}"/>
            </a:ext>
          </a:extLst>
        </xdr:cNvPr>
        <xdr:cNvCxnSpPr/>
      </xdr:nvCxnSpPr>
      <xdr:spPr>
        <a:xfrm rot="16200000" flipH="1">
          <a:off x="3400939" y="3386034"/>
          <a:ext cx="269838" cy="3394"/>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709862" y="139684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FC6C4BD-133E-5A52-5CE8-45DB220CC19C}"/>
                </a:ext>
              </a:extLst>
            </xdr:cNvPr>
            <xdr:cNvSpPr txBox="1"/>
          </xdr:nvSpPr>
          <xdr:spPr>
            <a:xfrm>
              <a:off x="2719668" y="22447623"/>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D353BFA3-7006-C456-27CB-E263C7D541AC}"/>
                </a:ext>
              </a:extLst>
            </xdr:cNvPr>
            <xdr:cNvSpPr txBox="1"/>
          </xdr:nvSpPr>
          <xdr:spPr>
            <a:xfrm>
              <a:off x="2677547" y="2704227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m:t>
                        </m:r>
                        <m:r>
                          <a:rPr lang="en-AU" sz="1100" b="0" i="1">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76738C6-E159-466B-844D-7E995F2A33F4}"/>
                </a:ext>
              </a:extLst>
            </xdr:cNvPr>
            <xdr:cNvSpPr txBox="1"/>
          </xdr:nvSpPr>
          <xdr:spPr>
            <a:xfrm>
              <a:off x="2671976" y="2758655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1" i="0">
                  <a:solidFill>
                    <a:srgbClr val="C00000"/>
                  </a:solidFill>
                  <a:latin typeface="Cambria Math" panose="02040503050406030204" pitchFamily="18" charset="0"/>
                </a:rPr>
                <a:t>𝑶𝑹𝑰𝑮𝑰𝑵𝑨𝑳:</a:t>
              </a:r>
              <a:r>
                <a:rPr lang="en-AU" sz="1100" b="0" i="0">
                  <a:latin typeface="Cambria Math" panose="02040503050406030204" pitchFamily="18" charset="0"/>
                </a:rPr>
                <a:t> </a:t>
              </a: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D273991A-4897-C611-A41D-38144E337C9A}"/>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80"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9"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7"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6"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5"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4"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3"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2"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70"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9"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8"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4"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3"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2"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1"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60"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9"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8"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7"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6"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5"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3"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2"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1"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5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7"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6"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5"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4"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3FF72D-5AA8-4D04-BC68-A876F0B27A9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794626-A850-4164-8339-B540B2DF4318}" name="State/Territory">
      <calculatedColumnFormula array="1">Common_InputFunctions.Utility_DisplayArrayInTable(Common_SourceData.Common_SourceData_AustralianStatesTerritories_Data(),Table_AustralianStates[[#Headers],[State/Territory]],0)</calculatedColumnFormula>
    </tableColumn>
    <tableColumn id="2" xr3:uid="{DAE38D79-3412-44EE-B743-F7EA54525797}" name="Common Name">
      <calculatedColumnFormula array="1">Common_InputFunctions.Utility_DisplayArrayInTable(Common_SourceData.Common_SourceData_AustralianStatesTerritories_Data(),Table_AustralianStates[[#Headers],[State/Territory]],0)</calculatedColumnFormula>
    </tableColumn>
    <tableColumn id="3" xr3:uid="{0A80F820-FBCF-4CD9-BB99-A505AD6A647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67D148-4878-4FAD-BB3C-F97D06CA9512}" name="Table_WASA4Areas" displayName="Table_WASA4Areas" ref="D20:D30" totalsRowShown="0">
  <autoFilter ref="D20:D30" xr:uid="{5FA81339-C6C8-4D36-BEEA-6C4AEDD9E676}">
    <filterColumn colId="0" hiddenButton="1"/>
  </autoFilter>
  <tableColumns count="1">
    <tableColumn id="1" xr3:uid="{C82476DA-E731-4E10-9D5A-E9F0C1FC06B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914CD11-0EFE-4643-96AF-5AA68162B523}" name="Table_GWPData" displayName="Table_GWPData" ref="D36:E43" totalsRowShown="0">
  <autoFilter ref="D36:E43" xr:uid="{B8E87A66-3E41-4AD3-925D-01EE21B43D7A}">
    <filterColumn colId="0" hiddenButton="1"/>
    <filterColumn colId="1" hiddenButton="1"/>
  </autoFilter>
  <tableColumns count="2">
    <tableColumn id="1" xr3:uid="{65D9E7F2-5AA3-4F6D-B872-299BD4277352}" name="Gas">
      <calculatedColumnFormula array="1">Common_InputFunctions.Utility_DisplayArrayInTable(Common_SourceData.Common_SourceData_GWP_Data(), Table_GWPData[[#Headers],[Gas]], 0)</calculatedColumnFormula>
    </tableColumn>
    <tableColumn id="2" xr3:uid="{2E11C296-A27E-44C8-B866-B60D8484DA2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EC118-7605-4D43-9B0E-4EC1C118899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4DF9520-BD4A-4E94-BBCC-0D5B7E7A8E54}" name="Gas">
      <calculatedColumnFormula array="1">Common_InputFunctions.Utility_DisplayArrayInTable(Common_SourceData.Common_SourceData_ConvertGasElementalToMolecular_Data(),Table_GasToMolecularConversionFactor[[#Headers],[Gas]], 0)</calculatedColumnFormula>
    </tableColumn>
    <tableColumn id="5" xr3:uid="{719EA7B0-E1E5-4B9A-9E3D-3FFF5967D16D}" name="Conversion factor">
      <calculatedColumnFormula array="1">Common_InputFunctions.Utility_DisplayArrayInTable(Common_SourceData.Common_SourceData_ConvertGasElementalToMolecular_Data(),Table_GasToMolecularConversionFactor[[#Headers],[Gas]], 0)</calculatedColumnFormula>
    </tableColumn>
    <tableColumn id="2" xr3:uid="{AF7D1800-FE1C-4287-A8AE-6903F6F799C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FCE0E3-845A-46DD-9AB0-BABC1C0E7CF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BEB747A-4ACF-4E38-AEBF-06ED8AF9CE7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E267B3-46EA-4CA7-9B3C-1A1F542180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7B6CA81-618B-4698-9F97-AD28407946E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1C1D4B8-FE13-46DA-BB59-A5008C6FE7C1}" name="MA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3" xr3:uid="{102A624F-AE25-4F8F-B3F0-59DB196609CC}" name="MA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4" xr3:uid="{F989612B-CC72-45D5-AE66-26DF38DFC6EA}" name="Frost days per year"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5" xr3:uid="{01545F31-673F-4A04-A77E-2429EE93C858}" name="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6" xr3:uid="{25F16A09-9A57-463B-9BCB-20875BB51C44}" name="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7" xr3:uid="{5AA65FCB-002B-47F1-A287-E218559BCF41}" name="Min temp"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8" xr3:uid="{C0739D72-8114-41EC-AE17-F0842D7BE327}" name="Max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9" xr3:uid="{838C2DB7-9885-4DD3-9B09-44688DEE8F3E}" name="Min rainfall"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0" xr3:uid="{AC6CC6C2-C45B-4428-B2ED-43073BD9C77B}" name="Max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1" xr3:uid="{D27C9106-4113-428E-A02E-BB79B2F36A53}" name="Min frost days"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5" xr3:uid="{2C7CD77E-0CE7-472B-80F9-ED09AE8A7629}" name="Max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2" xr3:uid="{FAF6B10D-23FD-49F4-B389-A5D911DA4EB0}" name="Min 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6" xr3:uid="{C3D3CE5A-28C9-4BA8-9403-42CCEEFC311A}" name="Max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3" xr3:uid="{41AF1E4E-419B-49D3-B5DD-31A71A63AD52}" name="Min 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7" xr3:uid="{0323E4F1-1C74-4A8C-A893-AA2777B9A8E5}" name="Max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A1693-7EC0-48C3-8123-A6D663D828A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9E074F6-1F46-427E-8A7B-BFEA18900DC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F83C7F-09C9-4F06-BECA-CDFF7F5BD9FB}" name="Wet or Dry Zone" totalsRowDxfId="2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8520BC8-5672-4822-908B-809C356B033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83149F2-73DE-4562-B91A-1F9C39334064}" name="Temperature Zone">
      <calculatedColumnFormula array="1">Common_InputFunctions.Utility_DisplayArrayInTable(Common_SourceData.Common_SourceData_TemperatureZones_Data(),Table_SourceData_TemperatureZones[[#Headers],[Temperature Zone]],0)</calculatedColumnFormula>
    </tableColumn>
    <tableColumn id="2" xr3:uid="{14D1E32A-5A09-4329-8DC4-EAD6A0F58865}" name="MAT">
      <calculatedColumnFormula array="1">Common_InputFunctions.Utility_DisplayArrayInTable(Common_SourceData.Common_SourceData_TemperatureZones_Data(),Table_SourceData_TemperatureZones[[#Headers],[Temperature Zone]],0)</calculatedColumnFormula>
    </tableColumn>
    <tableColumn id="3" xr3:uid="{C067EEEF-2F54-4838-949C-910BB29190EE}" name="Min MAT">
      <calculatedColumnFormula array="1">Common_InputFunctions.Utility_DisplayArrayInTable(Common_SourceData.Common_SourceData_TemperatureZones_Data(),Table_SourceData_TemperatureZones[[#Headers],[Temperature Zone]],0)</calculatedColumnFormula>
    </tableColumn>
    <tableColumn id="4" xr3:uid="{1A7E3D6B-ED50-49B2-8FFF-27C59B2D229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CEE09E-35BE-4F5B-9886-18B04A28577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419F08F-BAEF-4F99-9D31-2F07F0CBAEC1}" name="Rainfall Zone">
      <calculatedColumnFormula array="1">Common_InputFunctions.Utility_DisplayArrayInTable(Common_SourceData.Common_SourceData_RainfallZones_Data(),Table_SourceData_RainfallZones[[#Headers],[Rainfall Zone]],0)</calculatedColumnFormula>
    </tableColumn>
    <tableColumn id="2" xr3:uid="{C5E53696-D0AD-48E4-A387-F00098834B82}" name="Annual rainfall">
      <calculatedColumnFormula array="1">Common_InputFunctions.Utility_DisplayArrayInTable(Common_SourceData.Common_SourceData_RainfallZones_Data(),Table_SourceData_RainfallZones[[#Headers],[Rainfall Zone]],0)</calculatedColumnFormula>
    </tableColumn>
    <tableColumn id="3" xr3:uid="{AEB22F2A-45B7-4985-926A-90CE467ACCA3}" name="Min rainfall">
      <calculatedColumnFormula array="1">Common_InputFunctions.Utility_DisplayArrayInTable(Common_SourceData.Common_SourceData_RainfallZones_Data(),Table_SourceData_RainfallZones[[#Headers],[Rainfall Zone]],0)</calculatedColumnFormula>
    </tableColumn>
    <tableColumn id="4" xr3:uid="{1E498886-42FD-468A-8875-3F9783E4700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BDEC461-6A93-4A97-90E4-9A8AA40A19D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479AB66-B537-45F0-95C3-F780F47F5E4D}" name="Leaching Zone">
      <calculatedColumnFormula array="1">Common_InputFunctions.Utility_DisplayArrayInTable(Common_SourceData.Common_SourceData_LeachingZones_Data(), Table_SourceData_LeachingZones[[#Headers],[Leaching Zone]], 0)</calculatedColumnFormula>
    </tableColumn>
    <tableColumn id="2" xr3:uid="{7681297D-A0F0-4054-A87F-AE8E786F8B4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C81900-DCEC-41E8-B766-0A4CBD6AFDD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242AC1A-2AFA-428F-935B-83A73B49F1AF}" name="Data source">
      <calculatedColumnFormula array="1">Common_InputFunctions.Utility_DisplayArrayInTable(Common_SourceData.Common_SourceData_DataScores_Scope3_Data(), Table_SourceData_DataScores_Scope3[[#Headers],[Data source]], 0)</calculatedColumnFormula>
    </tableColumn>
    <tableColumn id="2" xr3:uid="{A432E50B-9E0E-4A79-9E3B-C047686F9E5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F08F2B-C3BE-4F58-9F6F-330BA0E52867}" name="Table_SourceData_FracWET" displayName="Table_SourceData_FracWET" ref="D134:E136" totalsRowShown="0">
  <autoFilter ref="D134:E136" xr:uid="{308E99BE-FE1F-47A4-B2CA-97217277C4E9}">
    <filterColumn colId="0" hiddenButton="1"/>
    <filterColumn colId="1" hiddenButton="1"/>
  </autoFilter>
  <tableColumns count="2">
    <tableColumn id="1" xr3:uid="{CA6CB252-C2A3-40D6-9473-9FC46E9D52A4}" name="Is in leaching zone">
      <calculatedColumnFormula array="1">Common_InputFunctions.Utility_DisplayArrayInTable(Common_SourceData.Common_SourceData_FracWET_Data(),Table_SourceData_FracWET[[#Headers],[Is in leaching zone]],0)</calculatedColumnFormula>
    </tableColumn>
    <tableColumn id="2" xr3:uid="{17B50AED-915B-4AAF-A792-B6C8FBF0C02A}" name="FracWET" dataDxfId="2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AE7B8FB-16AF-416E-98A4-D699DD5C5E8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1113FC-3C11-4120-8A7A-C6A066062811}" name="Production system j">
      <calculatedColumnFormula array="1">Common_InputFunctions.Utility_DisplayArrayInTable(Common_SourceData.Common_SourceData_EFN2O_Data(), Table_SourceData_Common_EFN2O[[#Headers],[Production system j]], 0)</calculatedColumnFormula>
    </tableColumn>
    <tableColumn id="2" xr3:uid="{19F26070-D269-4461-9AA9-E73E9C3B4B2E}" name="EFN2O">
      <calculatedColumnFormula array="1">Common_InputFunctions.Utility_DisplayArrayInTable(Common_SourceData.Common_SourceData_EFN2O_Data(), Table_SourceData_Common_EFN2O[[#Headers],[Production system j]], 0)</calculatedColumnFormula>
    </tableColumn>
    <tableColumn id="3" xr3:uid="{21B682C6-C2D0-424C-AD39-4F3E40D4636F}" name="Production system only">
      <calculatedColumnFormula array="1">Common_InputFunctions.Utility_DisplayArrayInTable(Common_SourceData.Common_SourceData_EFN2O_Data(), Table_SourceData_Common_EFN2O[[#Headers],[Production system j]], 0)</calculatedColumnFormula>
    </tableColumn>
    <tableColumn id="4" xr3:uid="{6962E14F-8525-41AD-A04F-63D56983CE42}" name="Irrigation method">
      <calculatedColumnFormula array="1">Common_InputFunctions.Utility_DisplayArrayInTable(Common_SourceData.Common_SourceData_EFN2O_Data(), Table_SourceData_Common_EFN2O[[#Headers],[Production system j]], 0)</calculatedColumnFormula>
    </tableColumn>
    <tableColumn id="5" xr3:uid="{3BE4975D-FE3A-45D5-891E-ED75504CC35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13CB41C-F794-4760-AC66-5B531D674B0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AC3C0F9-1257-4074-B70D-B5E41C33E503}" name="Irrigation type i">
      <calculatedColumnFormula array="1">Common_InputFunctions.Utility_DisplayArrayInTable(Common_SourceData.Common_SourceData_FracWETIrrigation_Data(), Table_SourceData_FracWETIrrigation[[#Headers],[Irrigation type i]], 0)</calculatedColumnFormula>
    </tableColumn>
    <tableColumn id="2" xr3:uid="{493CDD78-3DCB-49BC-B18C-971DBEBBEFAD}" name="FracWET" dataDxfId="2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B66389F-5E7A-480C-811A-03404D9514D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A630E68-DE8C-4AED-8D19-EEAAD9054DF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BCF572D-EFF8-47B4-9A54-09684720C466}" name="EFPRP" dataDxfId="2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6508C63-E9E0-470A-9DC6-5393265238C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3D2FAD8-2DF7-440E-9815-F9954FD522E7}" name="Month">
      <calculatedColumnFormula array="1">Common_InputFunctions.Utility_DisplayArrayInTable(Common_SourceData.Common_SourceData_MonthsToSeasons_Data(), Table_SourceData_Common_MonthToSeason[[#Headers],[Month]], 0)</calculatedColumnFormula>
    </tableColumn>
    <tableColumn id="2" xr3:uid="{E686A930-9FC6-45F2-A491-349E9B878124}" name="Season" dataDxfId="2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C651049-2627-4EC7-8E7F-25B154AFB6E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2F53388-4525-4EB9-9628-BCBEA2F3057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933AB0-11DA-4292-8FE5-DE8E2CA4B88D}" name="MAT (ºC)"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76F11EA-A68F-4DDA-AB7D-A620B6EF4C44}" name="Anaerobic lago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59FC53-FA95-42F8-A803-83894C899534}" name="Digester / covered lagoons"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8317A95-2AB4-45D9-AACA-B1FFC6DCAD30}" name="Liquid system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0C2DD5C-EF5D-46AB-A17D-EA174DBC06AB}" name="Daily spread"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3E6D90B-E8DC-4961-9A38-4984A6364EC3}" name="Composting (passive windro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5E7893-DB4C-4B24-975D-397921C40F6A}" name="Solid storage"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5D07BA0-D24C-47DD-BCE9-8AEB94688BBD}" name="Pit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A8038AA-B56B-40E7-94C4-CFC40CEFAF7B}" name="Deep litter"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8FB6B0A-E569-4A66-B2B7-67E40B8006C7}" name="Poultry manure with bedding"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08DD5D-0DF4-4D67-BB71-ADF7EFD4F4DF}" name="Poultry manure without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02B5F58-FFEC-4FFD-AC7E-15228F5CB463}" name="Direct process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D5FE3CD-8EA9-40AB-A6D2-55C163061365}" name="Direct application"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89C453B-2907-4AE7-80EF-A626BEEC7189}" name="Pasture range and paddock"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00A278F-92FA-4925-ADAF-21269BA28878}" name="MAT ra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8:F26" totalsRowShown="0">
  <autoFilter ref="D8:F26" xr:uid="{757CC28B-CF78-4195-86CA-5AEBBA7FA04E}">
    <filterColumn colId="0" hiddenButton="1"/>
    <filterColumn colId="1" hiddenButton="1"/>
    <filterColumn colId="2" hiddenButton="1"/>
  </autoFilter>
  <tableColumns count="3">
    <tableColumn id="1" xr3:uid="{FA4B4DF7-A993-40F2-870A-87A35A1D1CD3}" name="Symbol">
      <calculatedColumnFormula array="1">Common_InputFunctions.Utility_DisplayArrayInTable(CommonLivestock_SourceData.SourceData_Livestock_Common_SymbolsMMS_Data(),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Common_InputFunctions.Utility_DisplayArrayInTable(CommonLivestock_SourceData.SourceData_Livestock_Common_SymbolsMMS_Data(), Table_Data_MMSSymbols[[#Headers],[Symbol]], 0)</calculatedColumnFormula>
    </tableColumn>
    <tableColumn id="3" xr3:uid="{58D0574C-2490-473B-A8E1-317E3A493B2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AG73"/>
  <sheetViews>
    <sheetView showGridLines="0" zoomScaleNormal="100" workbookViewId="0">
      <selection activeCell="P16" sqref="P16"/>
    </sheetView>
  </sheetViews>
  <sheetFormatPr defaultRowHeight="15" x14ac:dyDescent="0.25"/>
  <cols>
    <col min="1" max="1" width="30.7109375" customWidth="1"/>
    <col min="2" max="3" width="4.7109375" customWidth="1"/>
  </cols>
  <sheetData>
    <row r="1" spans="1:33" ht="30" customHeight="1" x14ac:dyDescent="0.35">
      <c r="A1" s="69" t="e" vm="1">
        <v>#VALUE!</v>
      </c>
      <c r="C1" s="126" t="s">
        <v>218</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row>
    <row r="2" spans="1:33"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row>
    <row r="3" spans="1:33" ht="20.100000000000001" customHeight="1" x14ac:dyDescent="0.25">
      <c r="A3" s="17" t="str">
        <f>HYPERLINK("#'Home'!A1", "Home")</f>
        <v>Home</v>
      </c>
      <c r="C3" s="128"/>
      <c r="D3" s="128"/>
      <c r="E3" s="128"/>
      <c r="F3" s="128"/>
      <c r="G3" s="128"/>
      <c r="H3" s="128"/>
      <c r="I3" s="128"/>
      <c r="J3" s="128"/>
      <c r="K3" s="128"/>
      <c r="L3" s="128"/>
      <c r="M3" s="128"/>
      <c r="N3" s="128"/>
      <c r="O3" s="128"/>
      <c r="P3" s="128"/>
      <c r="Q3" s="128"/>
      <c r="R3" s="128"/>
      <c r="S3" s="128"/>
      <c r="T3" s="128"/>
      <c r="U3" s="128"/>
      <c r="V3" s="128"/>
      <c r="W3" s="128"/>
    </row>
    <row r="4" spans="1:33" ht="20.100000000000001" customHeight="1" x14ac:dyDescent="0.25">
      <c r="A4" s="114" t="str">
        <f>HYPERLINK("#'Overview'!A1", "Overview")</f>
        <v>Overview</v>
      </c>
      <c r="C4" s="1"/>
      <c r="D4" s="1"/>
      <c r="E4" s="1"/>
      <c r="F4" s="1"/>
      <c r="G4" s="1"/>
      <c r="H4" s="1"/>
      <c r="I4" s="1"/>
      <c r="J4" s="1"/>
      <c r="K4" s="1"/>
      <c r="L4" s="1"/>
      <c r="M4" s="1"/>
      <c r="N4" s="1"/>
      <c r="O4" s="1"/>
      <c r="P4" s="1"/>
      <c r="Q4" s="1"/>
      <c r="R4" s="1"/>
      <c r="S4" s="1"/>
      <c r="T4" s="1"/>
      <c r="U4" s="1"/>
      <c r="V4" s="1"/>
      <c r="W4" s="1"/>
    </row>
    <row r="5" spans="1:33" ht="20.100000000000001" customHeight="1" x14ac:dyDescent="0.25">
      <c r="A5" s="17" t="str">
        <f>HYPERLINK("#'Results'!A1", "Results")</f>
        <v>Results</v>
      </c>
      <c r="C5" s="1"/>
      <c r="D5" s="130" t="s">
        <v>237</v>
      </c>
      <c r="E5" s="130"/>
      <c r="F5" s="130"/>
      <c r="G5" s="130"/>
      <c r="H5" s="130"/>
      <c r="I5" s="109"/>
      <c r="J5" s="93"/>
      <c r="K5" s="93"/>
      <c r="L5" s="93"/>
      <c r="M5" s="93"/>
      <c r="N5" s="93"/>
      <c r="O5" s="93"/>
      <c r="P5" s="89"/>
      <c r="Q5" s="1"/>
      <c r="R5" s="1"/>
      <c r="S5" s="1"/>
      <c r="T5" s="1"/>
      <c r="U5" s="1"/>
      <c r="V5" s="1"/>
      <c r="W5" s="1"/>
    </row>
    <row r="6" spans="1:33" ht="20.100000000000001" customHeight="1" x14ac:dyDescent="0.25">
      <c r="A6" s="16"/>
      <c r="C6" s="1"/>
      <c r="D6" s="131" t="s">
        <v>217</v>
      </c>
      <c r="E6" s="129"/>
      <c r="F6" s="129"/>
      <c r="G6" s="129"/>
      <c r="H6" s="129"/>
      <c r="I6" s="95"/>
      <c r="J6" s="92"/>
      <c r="K6" s="92"/>
      <c r="L6" s="92"/>
      <c r="M6" s="92"/>
      <c r="N6" s="92"/>
      <c r="O6" s="92"/>
      <c r="P6" s="90"/>
      <c r="Q6" s="1"/>
      <c r="R6" s="1"/>
      <c r="S6" s="1"/>
      <c r="T6" s="1"/>
      <c r="U6" s="1"/>
      <c r="V6" s="1"/>
      <c r="W6" s="1"/>
    </row>
    <row r="7" spans="1:33" ht="20.100000000000001" customHeight="1" x14ac:dyDescent="0.25">
      <c r="A7" s="20" t="s">
        <v>1</v>
      </c>
      <c r="C7" s="1"/>
      <c r="D7" s="1"/>
      <c r="E7" s="1"/>
      <c r="F7" s="1"/>
      <c r="G7" s="1"/>
      <c r="H7" s="1"/>
      <c r="I7" s="1"/>
      <c r="J7" s="1"/>
      <c r="K7" s="1"/>
      <c r="L7" s="1"/>
      <c r="M7" s="1"/>
      <c r="N7" s="1"/>
      <c r="O7" s="1"/>
      <c r="P7" s="1"/>
      <c r="Q7" s="1"/>
      <c r="R7" s="1"/>
      <c r="S7" s="1"/>
      <c r="T7" s="1"/>
      <c r="U7" s="1"/>
      <c r="V7" s="1"/>
      <c r="W7" s="1"/>
    </row>
    <row r="8" spans="1:33"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row>
    <row r="9" spans="1:33"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row>
    <row r="10" spans="1:33" ht="20.100000000000001" customHeight="1" x14ac:dyDescent="0.25">
      <c r="A10" s="17"/>
      <c r="C10" s="1"/>
      <c r="D10" s="1"/>
      <c r="E10" s="1"/>
      <c r="F10" s="1"/>
      <c r="G10" s="1"/>
      <c r="H10" s="1"/>
      <c r="I10" s="1"/>
      <c r="J10" s="1"/>
      <c r="K10" s="1"/>
      <c r="L10" s="1"/>
      <c r="M10" s="1"/>
      <c r="N10" s="1"/>
      <c r="O10" s="1"/>
      <c r="P10" s="1"/>
      <c r="Q10" s="1"/>
      <c r="R10" s="1"/>
      <c r="S10" s="1"/>
      <c r="T10" s="1"/>
      <c r="U10" s="1"/>
      <c r="V10" s="1"/>
      <c r="W10" s="1"/>
    </row>
    <row r="11" spans="1:33" ht="20.100000000000001" customHeight="1" x14ac:dyDescent="0.25">
      <c r="A11" s="19" t="s">
        <v>72</v>
      </c>
      <c r="C11" s="1"/>
      <c r="D11" s="1"/>
      <c r="E11" s="1"/>
      <c r="F11" s="1"/>
      <c r="G11" s="1"/>
      <c r="H11" s="1"/>
      <c r="I11" s="1"/>
      <c r="J11" s="1"/>
      <c r="K11" s="1"/>
      <c r="L11" s="1"/>
      <c r="M11" s="1"/>
      <c r="N11" s="1"/>
      <c r="O11" s="1"/>
      <c r="P11" s="1"/>
      <c r="Q11" s="1"/>
      <c r="R11" s="1"/>
      <c r="S11" s="1"/>
      <c r="T11" s="1"/>
      <c r="U11" s="1"/>
      <c r="V11" s="1"/>
      <c r="W11" s="1"/>
    </row>
    <row r="12" spans="1:33" ht="20.100000000000001" customHeight="1" x14ac:dyDescent="0.25">
      <c r="A12" s="17" t="str">
        <f>HYPERLINK("#'3.3.1.1-2 Enteric Methane'!A1", "3.3.1.1-2 Enteric Methane")</f>
        <v>3.3.1.1-2 Enteric Methane</v>
      </c>
      <c r="C12" s="1"/>
      <c r="D12" s="1"/>
      <c r="E12" s="1"/>
      <c r="F12" s="1"/>
      <c r="G12" s="1"/>
      <c r="H12" s="1"/>
      <c r="I12" s="1"/>
      <c r="J12" s="1"/>
      <c r="K12" s="1"/>
      <c r="L12" s="1"/>
      <c r="M12" s="1"/>
      <c r="N12" s="1"/>
      <c r="O12" s="1"/>
      <c r="P12" s="1"/>
      <c r="Q12" s="1"/>
      <c r="R12" s="1"/>
      <c r="S12" s="1"/>
      <c r="T12" s="1"/>
      <c r="U12" s="1"/>
      <c r="V12" s="1"/>
      <c r="W12" s="1"/>
    </row>
    <row r="13" spans="1:33" ht="20.100000000000001" customHeight="1" x14ac:dyDescent="0.25">
      <c r="A13" s="17"/>
      <c r="C13" s="1"/>
      <c r="D13" s="1"/>
      <c r="E13" s="1"/>
      <c r="F13" s="1"/>
      <c r="G13" s="1"/>
      <c r="H13" s="1"/>
      <c r="I13" s="1"/>
      <c r="J13" s="1"/>
      <c r="K13" s="1"/>
      <c r="L13" s="1"/>
      <c r="M13" s="1"/>
      <c r="N13" s="1"/>
      <c r="O13" s="1"/>
      <c r="P13" s="1"/>
      <c r="Q13" s="1"/>
      <c r="R13" s="1"/>
      <c r="S13" s="1"/>
      <c r="T13" s="1"/>
      <c r="U13" s="1"/>
      <c r="V13" s="1"/>
      <c r="W13" s="1"/>
    </row>
    <row r="14" spans="1:33" ht="20.100000000000001" customHeight="1" x14ac:dyDescent="0.25">
      <c r="A14" s="18" t="s">
        <v>2</v>
      </c>
      <c r="C14" s="1"/>
      <c r="D14" s="1"/>
      <c r="E14" s="1"/>
      <c r="F14" s="1"/>
      <c r="G14" s="1"/>
      <c r="H14" s="1"/>
      <c r="I14" s="1"/>
      <c r="J14" s="1"/>
      <c r="K14" s="1"/>
      <c r="L14" s="1"/>
      <c r="M14" s="1"/>
      <c r="N14" s="1"/>
      <c r="O14" s="1"/>
      <c r="P14" s="1"/>
      <c r="Q14" s="1"/>
      <c r="R14" s="1"/>
      <c r="S14" s="1"/>
      <c r="T14" s="1"/>
      <c r="U14" s="1"/>
      <c r="V14" s="1"/>
      <c r="W14" s="1"/>
    </row>
    <row r="15" spans="1:33" ht="20.100000000000001" customHeight="1" x14ac:dyDescent="0.25">
      <c r="A15" s="17" t="str">
        <f>HYPERLINK("#'Constants - Dairy'!A1", "Constants - Dairy")</f>
        <v>Constants - Dairy</v>
      </c>
      <c r="C15" s="1"/>
      <c r="D15" s="1"/>
      <c r="E15" s="1"/>
      <c r="F15" s="1"/>
      <c r="G15" s="1"/>
      <c r="H15" s="1"/>
      <c r="I15" s="1"/>
      <c r="J15" s="1"/>
      <c r="K15" s="1"/>
      <c r="L15" s="1"/>
      <c r="M15" s="1"/>
      <c r="N15" s="1"/>
      <c r="O15" s="1"/>
      <c r="P15" s="1"/>
      <c r="Q15" s="1"/>
      <c r="R15" s="1"/>
      <c r="S15" s="1"/>
      <c r="T15" s="1"/>
      <c r="U15" s="1"/>
      <c r="V15" s="1"/>
      <c r="W15" s="1"/>
    </row>
    <row r="16" spans="1:33"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row>
    <row r="17" spans="1:23"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row>
    <row r="18" spans="1:23"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row>
    <row r="19" spans="1:23" ht="20.100000000000001" customHeight="1" x14ac:dyDescent="0.25">
      <c r="C19" s="1"/>
      <c r="D19" s="1"/>
      <c r="E19" s="1"/>
      <c r="F19" s="1"/>
      <c r="G19" s="1"/>
      <c r="H19" s="1"/>
      <c r="I19" s="1"/>
      <c r="J19" s="1"/>
      <c r="K19" s="1"/>
      <c r="L19" s="1"/>
      <c r="M19" s="1"/>
      <c r="N19" s="1"/>
      <c r="O19" s="1"/>
      <c r="P19" s="1"/>
      <c r="Q19" s="1"/>
      <c r="R19" s="1"/>
      <c r="S19" s="1"/>
      <c r="T19" s="1"/>
      <c r="U19" s="1"/>
      <c r="V19" s="1"/>
      <c r="W19" s="1"/>
    </row>
    <row r="20" spans="1:23" ht="20.100000000000001" customHeight="1" x14ac:dyDescent="0.25">
      <c r="C20" s="1"/>
      <c r="D20" s="1"/>
      <c r="E20" s="1"/>
      <c r="F20" s="1"/>
      <c r="G20" s="1"/>
      <c r="H20" s="1"/>
      <c r="I20" s="1"/>
      <c r="J20" s="1"/>
      <c r="K20" s="1"/>
      <c r="L20" s="1"/>
      <c r="M20" s="1"/>
      <c r="N20" s="1"/>
      <c r="O20" s="1"/>
      <c r="P20" s="1"/>
      <c r="Q20" s="1"/>
      <c r="R20" s="1"/>
      <c r="S20" s="1"/>
      <c r="T20" s="1"/>
      <c r="U20" s="1"/>
      <c r="V20" s="1"/>
      <c r="W20" s="1"/>
    </row>
    <row r="21" spans="1:23" ht="20.100000000000001" customHeight="1" x14ac:dyDescent="0.25">
      <c r="C21" s="1"/>
      <c r="D21" s="1"/>
      <c r="E21" s="1"/>
      <c r="F21" s="1"/>
      <c r="G21" s="1"/>
      <c r="H21" s="1"/>
      <c r="I21" s="1"/>
      <c r="J21" s="1"/>
      <c r="K21" s="1"/>
      <c r="L21" s="1"/>
      <c r="M21" s="1"/>
      <c r="N21" s="1"/>
      <c r="O21" s="1"/>
      <c r="P21" s="1"/>
      <c r="Q21" s="1"/>
      <c r="R21" s="1"/>
      <c r="S21" s="1"/>
      <c r="T21" s="1"/>
      <c r="U21" s="1"/>
      <c r="V21" s="1"/>
      <c r="W21" s="1"/>
    </row>
    <row r="22" spans="1:23" ht="20.100000000000001" customHeight="1" x14ac:dyDescent="0.25">
      <c r="C22" s="1"/>
      <c r="D22" s="1"/>
      <c r="E22" s="1"/>
      <c r="F22" s="1"/>
      <c r="G22" s="1"/>
      <c r="H22" s="1"/>
      <c r="I22" s="1"/>
      <c r="J22" s="1"/>
      <c r="K22" s="1"/>
      <c r="L22" s="1"/>
      <c r="M22" s="1"/>
      <c r="N22" s="1"/>
      <c r="O22" s="1"/>
      <c r="P22" s="1"/>
      <c r="Q22" s="1"/>
      <c r="R22" s="1"/>
      <c r="S22" s="1"/>
      <c r="T22" s="1"/>
      <c r="U22" s="1"/>
      <c r="V22" s="1"/>
      <c r="W22" s="1"/>
    </row>
    <row r="23" spans="1:23" ht="20.100000000000001" customHeight="1" x14ac:dyDescent="0.25">
      <c r="C23" s="1"/>
      <c r="D23" s="1"/>
      <c r="E23" s="1"/>
      <c r="F23" s="1"/>
      <c r="G23" s="1"/>
      <c r="H23" s="1"/>
      <c r="I23" s="1"/>
      <c r="J23" s="1"/>
      <c r="K23" s="1"/>
      <c r="L23" s="1"/>
      <c r="M23" s="1"/>
      <c r="N23" s="1"/>
      <c r="O23" s="1"/>
      <c r="P23" s="1"/>
      <c r="Q23" s="1"/>
      <c r="R23" s="1"/>
      <c r="S23" s="1"/>
      <c r="T23" s="1"/>
      <c r="U23" s="1"/>
      <c r="V23" s="1"/>
      <c r="W23" s="1"/>
    </row>
    <row r="24" spans="1:23" ht="20.100000000000001" customHeight="1" x14ac:dyDescent="0.25">
      <c r="C24" s="1"/>
      <c r="D24" s="1"/>
      <c r="E24" s="1"/>
      <c r="F24" s="1"/>
      <c r="G24" s="1"/>
      <c r="H24" s="1"/>
      <c r="I24" s="1"/>
      <c r="J24" s="1"/>
      <c r="K24" s="1"/>
      <c r="L24" s="1"/>
      <c r="M24" s="1"/>
      <c r="N24" s="1"/>
      <c r="O24" s="1"/>
      <c r="P24" s="1"/>
      <c r="Q24" s="1"/>
      <c r="R24" s="1"/>
      <c r="S24" s="1"/>
      <c r="T24" s="1"/>
      <c r="U24" s="1"/>
      <c r="V24" s="1"/>
      <c r="W24" s="1"/>
    </row>
    <row r="25" spans="1:23" ht="20.100000000000001" customHeight="1" x14ac:dyDescent="0.25">
      <c r="C25" s="1"/>
      <c r="D25" s="1"/>
      <c r="E25" s="1"/>
      <c r="F25" s="1"/>
      <c r="G25" s="1"/>
      <c r="H25" s="1"/>
      <c r="I25" s="1"/>
      <c r="J25" s="1"/>
      <c r="K25" s="1"/>
      <c r="L25" s="1"/>
      <c r="M25" s="1"/>
      <c r="N25" s="1"/>
      <c r="O25" s="1"/>
      <c r="P25" s="1"/>
      <c r="Q25" s="1"/>
      <c r="R25" s="1"/>
      <c r="S25" s="1"/>
      <c r="T25" s="1"/>
      <c r="U25" s="1"/>
      <c r="V25" s="1"/>
      <c r="W25" s="1"/>
    </row>
    <row r="26" spans="1:23" ht="20.100000000000001" customHeight="1" x14ac:dyDescent="0.25">
      <c r="C26" s="1"/>
      <c r="D26" s="1"/>
      <c r="E26" s="1"/>
      <c r="F26" s="1"/>
      <c r="G26" s="1"/>
      <c r="H26" s="1"/>
      <c r="I26" s="1"/>
      <c r="J26" s="1"/>
      <c r="K26" s="1"/>
      <c r="L26" s="1"/>
      <c r="M26" s="1"/>
      <c r="N26" s="1"/>
      <c r="O26" s="1"/>
      <c r="P26" s="1"/>
      <c r="Q26" s="1"/>
      <c r="R26" s="1"/>
      <c r="S26" s="1"/>
      <c r="T26" s="1"/>
      <c r="U26" s="1"/>
      <c r="V26" s="1"/>
      <c r="W26" s="1"/>
    </row>
    <row r="27" spans="1:23" ht="20.100000000000001" customHeight="1" x14ac:dyDescent="0.25">
      <c r="C27" s="1"/>
      <c r="D27" s="1"/>
      <c r="E27" s="1"/>
      <c r="F27" s="1"/>
      <c r="G27" s="1"/>
      <c r="H27" s="1"/>
      <c r="I27" s="1"/>
      <c r="J27" s="1"/>
      <c r="K27" s="1"/>
      <c r="L27" s="1"/>
      <c r="M27" s="1"/>
      <c r="N27" s="1"/>
      <c r="O27" s="1"/>
      <c r="P27" s="1"/>
      <c r="Q27" s="1"/>
      <c r="R27" s="1"/>
      <c r="S27" s="1"/>
      <c r="T27" s="1"/>
      <c r="U27" s="1"/>
      <c r="V27" s="1"/>
      <c r="W27" s="1"/>
    </row>
    <row r="28" spans="1:23" ht="20.100000000000001" customHeight="1" x14ac:dyDescent="0.25">
      <c r="C28" s="1"/>
      <c r="D28" s="1"/>
      <c r="E28" s="1"/>
      <c r="F28" s="1"/>
      <c r="G28" s="1"/>
      <c r="H28" s="1"/>
      <c r="I28" s="1"/>
      <c r="J28" s="1"/>
      <c r="K28" s="1"/>
      <c r="L28" s="1"/>
      <c r="M28" s="1"/>
      <c r="N28" s="1"/>
      <c r="O28" s="1"/>
      <c r="P28" s="1"/>
      <c r="Q28" s="1"/>
      <c r="R28" s="1"/>
      <c r="S28" s="1"/>
      <c r="T28" s="1"/>
      <c r="U28" s="1"/>
      <c r="V28" s="1"/>
      <c r="W28" s="1"/>
    </row>
    <row r="29" spans="1:23" ht="20.100000000000001" customHeight="1" x14ac:dyDescent="0.25">
      <c r="C29" s="1"/>
      <c r="D29" s="1"/>
      <c r="E29" s="1"/>
      <c r="F29" s="1"/>
      <c r="G29" s="1"/>
      <c r="H29" s="1"/>
      <c r="I29" s="1"/>
      <c r="J29" s="1"/>
      <c r="K29" s="1"/>
      <c r="L29" s="1"/>
      <c r="M29" s="1"/>
      <c r="N29" s="1"/>
      <c r="O29" s="1"/>
      <c r="P29" s="1"/>
      <c r="Q29" s="1"/>
      <c r="R29" s="1"/>
      <c r="S29" s="1"/>
      <c r="T29" s="1"/>
      <c r="U29" s="1"/>
      <c r="V29" s="1"/>
      <c r="W29" s="1"/>
    </row>
    <row r="30" spans="1:23" ht="20.100000000000001" customHeight="1" x14ac:dyDescent="0.25">
      <c r="C30" s="1"/>
      <c r="D30" s="1"/>
      <c r="E30" s="1"/>
      <c r="F30" s="1"/>
      <c r="G30" s="1"/>
      <c r="H30" s="1"/>
      <c r="I30" s="1"/>
      <c r="J30" s="1"/>
      <c r="K30" s="1"/>
      <c r="L30" s="1"/>
      <c r="M30" s="1"/>
      <c r="N30" s="1"/>
      <c r="O30" s="1"/>
      <c r="P30" s="1"/>
      <c r="Q30" s="1"/>
      <c r="R30" s="1"/>
      <c r="S30" s="1"/>
      <c r="T30" s="1"/>
      <c r="U30" s="1"/>
      <c r="V30" s="1"/>
      <c r="W30" s="1"/>
    </row>
    <row r="31" spans="1:23" ht="20.100000000000001" customHeight="1" x14ac:dyDescent="0.25">
      <c r="C31" s="1"/>
      <c r="D31" s="1"/>
      <c r="E31" s="1"/>
      <c r="F31" s="1"/>
      <c r="G31" s="1"/>
      <c r="H31" s="1"/>
      <c r="I31" s="1"/>
      <c r="J31" s="1"/>
      <c r="K31" s="1"/>
      <c r="L31" s="1"/>
      <c r="M31" s="1"/>
      <c r="N31" s="1"/>
      <c r="O31" s="1"/>
      <c r="P31" s="1"/>
      <c r="Q31" s="1"/>
      <c r="R31" s="1"/>
      <c r="S31" s="1"/>
      <c r="T31" s="1"/>
      <c r="U31" s="1"/>
      <c r="V31" s="1"/>
      <c r="W31" s="1"/>
    </row>
    <row r="32" spans="1:23" ht="20.100000000000001" customHeight="1" x14ac:dyDescent="0.25">
      <c r="C32" s="1"/>
      <c r="D32" s="1"/>
      <c r="E32" s="1"/>
      <c r="F32" s="1"/>
      <c r="G32" s="1"/>
      <c r="H32" s="1"/>
      <c r="I32" s="1"/>
      <c r="J32" s="1"/>
      <c r="K32" s="1"/>
      <c r="L32" s="1"/>
      <c r="M32" s="1"/>
      <c r="N32" s="1"/>
      <c r="O32" s="1"/>
      <c r="P32" s="1"/>
      <c r="Q32" s="1"/>
      <c r="R32" s="1"/>
      <c r="S32" s="1"/>
      <c r="T32" s="1"/>
      <c r="U32" s="1"/>
      <c r="V32" s="1"/>
      <c r="W32" s="1"/>
    </row>
    <row r="33" spans="3:23" ht="20.100000000000001" customHeight="1" x14ac:dyDescent="0.25">
      <c r="C33" s="1"/>
      <c r="D33" s="1"/>
      <c r="E33" s="1"/>
      <c r="F33" s="1"/>
      <c r="G33" s="1"/>
      <c r="H33" s="1"/>
      <c r="I33" s="1"/>
      <c r="J33" s="1"/>
      <c r="K33" s="1"/>
      <c r="L33" s="1"/>
      <c r="M33" s="1"/>
      <c r="N33" s="1"/>
      <c r="O33" s="1"/>
      <c r="P33" s="1"/>
      <c r="Q33" s="1"/>
      <c r="R33" s="1"/>
      <c r="S33" s="1"/>
      <c r="T33" s="1"/>
      <c r="U33" s="1"/>
      <c r="V33" s="1"/>
      <c r="W33" s="1"/>
    </row>
    <row r="34" spans="3:23" ht="20.100000000000001" customHeight="1" x14ac:dyDescent="0.25">
      <c r="C34" s="1"/>
      <c r="D34" s="1"/>
      <c r="E34" s="1"/>
      <c r="F34" s="1"/>
      <c r="G34" s="1"/>
      <c r="H34" s="1"/>
      <c r="I34" s="1"/>
      <c r="J34" s="1"/>
      <c r="K34" s="1"/>
      <c r="L34" s="1"/>
      <c r="M34" s="1"/>
      <c r="N34" s="1"/>
      <c r="O34" s="1"/>
      <c r="P34" s="1"/>
      <c r="Q34" s="1"/>
      <c r="R34" s="1"/>
      <c r="S34" s="1"/>
      <c r="T34" s="1"/>
      <c r="U34" s="1"/>
      <c r="V34" s="1"/>
      <c r="W34" s="1"/>
    </row>
    <row r="35" spans="3:23" ht="20.100000000000001" customHeight="1" x14ac:dyDescent="0.25">
      <c r="C35" s="1"/>
      <c r="D35" s="1"/>
      <c r="E35" s="1"/>
      <c r="F35" s="1"/>
      <c r="G35" s="1"/>
      <c r="H35" s="1"/>
      <c r="I35" s="1"/>
      <c r="J35" s="1"/>
      <c r="K35" s="1"/>
      <c r="L35" s="1"/>
      <c r="M35" s="1"/>
      <c r="N35" s="1"/>
      <c r="O35" s="1"/>
      <c r="P35" s="1"/>
      <c r="Q35" s="1"/>
      <c r="R35" s="1"/>
      <c r="S35" s="1"/>
      <c r="T35" s="1"/>
      <c r="U35" s="1"/>
      <c r="V35" s="1"/>
      <c r="W35" s="1"/>
    </row>
    <row r="36" spans="3:23" ht="20.100000000000001" customHeight="1" x14ac:dyDescent="0.25">
      <c r="C36" s="1"/>
      <c r="D36" s="1"/>
      <c r="E36" s="1"/>
      <c r="F36" s="1"/>
      <c r="G36" s="1"/>
      <c r="H36" s="1"/>
      <c r="I36" s="1"/>
      <c r="J36" s="1"/>
      <c r="K36" s="1"/>
      <c r="L36" s="1"/>
      <c r="M36" s="1"/>
      <c r="N36" s="1"/>
      <c r="O36" s="1"/>
      <c r="P36" s="1"/>
      <c r="Q36" s="1"/>
      <c r="R36" s="1"/>
      <c r="S36" s="1"/>
      <c r="T36" s="1"/>
      <c r="U36" s="1"/>
      <c r="V36" s="1"/>
      <c r="W36" s="1"/>
    </row>
    <row r="37" spans="3:23"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row>
    <row r="38" spans="3:23" ht="20.100000000000001" customHeight="1" x14ac:dyDescent="0.25">
      <c r="C38" s="1"/>
      <c r="D38" s="1"/>
      <c r="E38" s="1"/>
      <c r="F38" s="1"/>
      <c r="G38" s="1"/>
      <c r="H38" s="1"/>
      <c r="I38" s="1"/>
      <c r="J38" s="1"/>
      <c r="K38" s="1"/>
      <c r="L38" s="1"/>
      <c r="M38" s="1"/>
      <c r="N38" s="1"/>
      <c r="O38" s="1"/>
      <c r="P38" s="1"/>
      <c r="Q38" s="1"/>
      <c r="R38" s="1"/>
      <c r="S38" s="1"/>
      <c r="T38" s="1"/>
      <c r="U38" s="1"/>
      <c r="V38" s="1"/>
      <c r="W38" s="1"/>
    </row>
    <row r="39" spans="3:23" ht="20.100000000000001" customHeight="1" x14ac:dyDescent="0.25">
      <c r="C39" s="1"/>
      <c r="D39" s="1"/>
      <c r="E39" s="1"/>
      <c r="F39" s="1"/>
      <c r="G39" s="1"/>
      <c r="H39" s="1"/>
      <c r="I39" s="1"/>
      <c r="J39" s="1"/>
      <c r="K39" s="1"/>
      <c r="L39" s="1"/>
      <c r="M39" s="1"/>
      <c r="N39" s="1"/>
      <c r="O39" s="1"/>
      <c r="P39" s="1"/>
      <c r="Q39" s="1"/>
      <c r="R39" s="1"/>
      <c r="S39" s="1"/>
      <c r="T39" s="1"/>
      <c r="U39" s="1"/>
      <c r="V39" s="1"/>
      <c r="W39" s="1"/>
    </row>
    <row r="40" spans="3:23" ht="20.100000000000001" customHeight="1" x14ac:dyDescent="0.25">
      <c r="C40" s="1"/>
      <c r="D40" s="1"/>
      <c r="E40" s="1"/>
      <c r="F40" s="1"/>
      <c r="G40" s="1"/>
      <c r="H40" s="1"/>
      <c r="I40" s="1"/>
      <c r="J40" s="1"/>
      <c r="K40" s="1"/>
      <c r="L40" s="1"/>
      <c r="M40" s="1"/>
      <c r="N40" s="1"/>
      <c r="O40" s="1"/>
      <c r="P40" s="1"/>
      <c r="Q40" s="1"/>
      <c r="R40" s="1"/>
      <c r="S40" s="1"/>
      <c r="T40" s="1"/>
      <c r="U40" s="1"/>
      <c r="V40" s="1"/>
      <c r="W40" s="1"/>
    </row>
    <row r="41" spans="3:23" ht="20.100000000000001" customHeight="1" x14ac:dyDescent="0.25">
      <c r="C41" s="1"/>
      <c r="D41" s="1"/>
      <c r="E41" s="1"/>
      <c r="F41" s="1"/>
      <c r="G41" s="1"/>
      <c r="H41" s="1"/>
      <c r="I41" s="1"/>
      <c r="J41" s="1"/>
      <c r="K41" s="1"/>
      <c r="L41" s="1"/>
      <c r="M41" s="1"/>
      <c r="N41" s="1"/>
      <c r="O41" s="1"/>
      <c r="P41" s="1"/>
      <c r="Q41" s="1"/>
      <c r="R41" s="1"/>
      <c r="S41" s="1"/>
      <c r="T41" s="1"/>
      <c r="U41" s="1"/>
      <c r="V41" s="1"/>
      <c r="W41" s="1"/>
    </row>
    <row r="42" spans="3:23" ht="20.100000000000001" customHeight="1" x14ac:dyDescent="0.25">
      <c r="C42" s="1"/>
      <c r="D42" s="1"/>
      <c r="E42" s="1"/>
      <c r="F42" s="1"/>
      <c r="G42" s="1"/>
      <c r="H42" s="1"/>
      <c r="I42" s="1"/>
      <c r="J42" s="1"/>
      <c r="K42" s="1"/>
      <c r="L42" s="1"/>
      <c r="M42" s="1"/>
      <c r="N42" s="1"/>
      <c r="O42" s="1"/>
      <c r="P42" s="1"/>
      <c r="Q42" s="1"/>
      <c r="R42" s="1"/>
      <c r="S42" s="1"/>
      <c r="T42" s="1"/>
      <c r="U42" s="1"/>
      <c r="V42" s="1"/>
      <c r="W42" s="1"/>
    </row>
    <row r="43" spans="3:23" ht="20.100000000000001" customHeight="1" x14ac:dyDescent="0.25">
      <c r="C43" s="1"/>
      <c r="D43" s="1"/>
      <c r="E43" s="1"/>
      <c r="F43" s="1"/>
      <c r="G43" s="1"/>
      <c r="H43" s="1"/>
      <c r="I43" s="1"/>
      <c r="J43" s="1"/>
      <c r="K43" s="1"/>
      <c r="L43" s="1"/>
      <c r="M43" s="1"/>
      <c r="N43" s="1"/>
      <c r="O43" s="1"/>
      <c r="P43" s="1"/>
      <c r="Q43" s="1"/>
      <c r="R43" s="1"/>
      <c r="S43" s="1"/>
      <c r="T43" s="1"/>
      <c r="U43" s="1"/>
      <c r="V43" s="1"/>
      <c r="W43" s="1"/>
    </row>
    <row r="44" spans="3:23" ht="20.100000000000001" customHeight="1" x14ac:dyDescent="0.25">
      <c r="C44" s="1"/>
      <c r="D44" s="1"/>
      <c r="E44" s="1"/>
      <c r="F44" s="1"/>
      <c r="G44" s="1"/>
      <c r="H44" s="1"/>
      <c r="I44" s="1"/>
      <c r="J44" s="1"/>
      <c r="K44" s="1"/>
      <c r="L44" s="1"/>
      <c r="M44" s="1"/>
      <c r="N44" s="1"/>
      <c r="O44" s="1"/>
      <c r="P44" s="1"/>
      <c r="Q44" s="1"/>
      <c r="R44" s="1"/>
      <c r="S44" s="1"/>
      <c r="T44" s="1"/>
      <c r="U44" s="1"/>
      <c r="V44" s="1"/>
      <c r="W44" s="1"/>
    </row>
    <row r="45" spans="3:23" ht="20.100000000000001" customHeight="1" x14ac:dyDescent="0.25">
      <c r="C45" s="1"/>
      <c r="D45" s="1"/>
      <c r="E45" s="1"/>
      <c r="F45" s="1"/>
      <c r="G45" s="1"/>
      <c r="H45" s="1"/>
      <c r="I45" s="1"/>
      <c r="J45" s="1"/>
      <c r="K45" s="1"/>
      <c r="L45" s="1"/>
      <c r="M45" s="1"/>
      <c r="N45" s="1"/>
      <c r="O45" s="1"/>
      <c r="P45" s="1"/>
      <c r="Q45" s="1"/>
      <c r="R45" s="1"/>
      <c r="S45" s="1"/>
      <c r="T45" s="1"/>
      <c r="U45" s="1"/>
      <c r="V45" s="1"/>
      <c r="W45" s="1"/>
    </row>
    <row r="46" spans="3:23" ht="20.100000000000001" customHeight="1" x14ac:dyDescent="0.25">
      <c r="C46" s="1"/>
      <c r="D46" s="1"/>
      <c r="E46" s="1"/>
      <c r="F46" s="1"/>
      <c r="G46" s="1"/>
      <c r="H46" s="1"/>
      <c r="I46" s="1"/>
      <c r="J46" s="1"/>
      <c r="K46" s="1"/>
      <c r="L46" s="1"/>
      <c r="M46" s="1"/>
      <c r="N46" s="1"/>
      <c r="O46" s="1"/>
      <c r="P46" s="1"/>
      <c r="Q46" s="1"/>
      <c r="R46" s="1"/>
      <c r="S46" s="1"/>
      <c r="T46" s="1"/>
      <c r="U46" s="1"/>
      <c r="V46" s="1"/>
      <c r="W46" s="1"/>
    </row>
    <row r="47" spans="3:23" ht="20.100000000000001" customHeight="1" x14ac:dyDescent="0.25">
      <c r="C47" s="1"/>
      <c r="D47" s="1"/>
      <c r="E47" s="1"/>
      <c r="F47" s="1"/>
      <c r="G47" s="1"/>
      <c r="H47" s="1"/>
      <c r="I47" s="1"/>
      <c r="J47" s="1"/>
      <c r="K47" s="1"/>
      <c r="L47" s="1"/>
      <c r="M47" s="1"/>
      <c r="N47" s="1"/>
      <c r="O47" s="1"/>
      <c r="P47" s="1"/>
      <c r="Q47" s="1"/>
      <c r="R47" s="1"/>
      <c r="S47" s="1"/>
      <c r="T47" s="1"/>
      <c r="U47" s="1"/>
      <c r="V47" s="1"/>
      <c r="W47" s="1"/>
    </row>
    <row r="48" spans="3:23" ht="20.100000000000001" customHeight="1" x14ac:dyDescent="0.25">
      <c r="C48" s="1"/>
      <c r="D48" s="1"/>
      <c r="E48" s="1"/>
      <c r="F48" s="1"/>
      <c r="G48" s="1"/>
      <c r="H48" s="1"/>
      <c r="I48" s="1"/>
      <c r="J48" s="1"/>
      <c r="K48" s="1"/>
      <c r="L48" s="1"/>
      <c r="M48" s="1"/>
      <c r="N48" s="1"/>
      <c r="O48" s="1"/>
      <c r="P48" s="1"/>
      <c r="Q48" s="1"/>
      <c r="R48" s="1"/>
      <c r="S48" s="1"/>
      <c r="T48" s="1"/>
      <c r="U48" s="1"/>
      <c r="V48" s="1"/>
      <c r="W48" s="1"/>
    </row>
    <row r="49" spans="3:23" ht="20.100000000000001" customHeight="1" x14ac:dyDescent="0.25">
      <c r="C49" s="1"/>
      <c r="D49" s="1"/>
      <c r="E49" s="1"/>
      <c r="F49" s="1"/>
      <c r="G49" s="1"/>
      <c r="H49" s="1"/>
      <c r="I49" s="1"/>
      <c r="J49" s="1"/>
      <c r="K49" s="1"/>
      <c r="L49" s="1"/>
      <c r="M49" s="1"/>
      <c r="N49" s="1"/>
      <c r="O49" s="1"/>
      <c r="P49" s="1"/>
      <c r="Q49" s="1"/>
      <c r="R49" s="1"/>
      <c r="S49" s="1"/>
      <c r="T49" s="1"/>
      <c r="U49" s="1"/>
      <c r="V49" s="1"/>
      <c r="W49" s="1"/>
    </row>
    <row r="50" spans="3:23" ht="20.100000000000001" customHeight="1" x14ac:dyDescent="0.25">
      <c r="C50" s="1"/>
      <c r="D50" s="1"/>
      <c r="E50" s="1"/>
      <c r="F50" s="1"/>
      <c r="G50" s="1"/>
      <c r="H50" s="1"/>
      <c r="I50" s="1"/>
      <c r="J50" s="1"/>
      <c r="K50" s="1"/>
      <c r="L50" s="1"/>
      <c r="M50" s="1"/>
      <c r="N50" s="1"/>
      <c r="O50" s="1"/>
      <c r="P50" s="1"/>
      <c r="Q50" s="1"/>
      <c r="R50" s="1"/>
      <c r="S50" s="1"/>
      <c r="T50" s="1"/>
      <c r="U50" s="1"/>
      <c r="V50" s="1"/>
      <c r="W50" s="1"/>
    </row>
    <row r="51" spans="3:23" ht="20.100000000000001" customHeight="1" x14ac:dyDescent="0.25">
      <c r="C51" s="1"/>
      <c r="D51" s="1"/>
      <c r="E51" s="1"/>
      <c r="F51" s="1"/>
      <c r="G51" s="1"/>
      <c r="H51" s="1"/>
      <c r="I51" s="1"/>
      <c r="J51" s="1"/>
      <c r="K51" s="1"/>
      <c r="L51" s="1"/>
      <c r="M51" s="1"/>
      <c r="N51" s="1"/>
      <c r="O51" s="1"/>
      <c r="P51" s="1"/>
      <c r="Q51" s="1"/>
      <c r="R51" s="1"/>
      <c r="S51" s="1"/>
      <c r="T51" s="1"/>
      <c r="U51" s="1"/>
      <c r="V51" s="1"/>
      <c r="W51" s="1"/>
    </row>
    <row r="52" spans="3:23" ht="20.100000000000001" customHeight="1" x14ac:dyDescent="0.25">
      <c r="C52" s="1"/>
      <c r="D52" s="1"/>
      <c r="E52" s="1"/>
      <c r="F52" s="1"/>
      <c r="G52" s="1"/>
      <c r="H52" s="1"/>
      <c r="I52" s="1"/>
      <c r="J52" s="1"/>
      <c r="K52" s="1"/>
      <c r="L52" s="1"/>
      <c r="M52" s="1"/>
      <c r="N52" s="1"/>
      <c r="O52" s="1"/>
      <c r="P52" s="1"/>
      <c r="Q52" s="1"/>
      <c r="R52" s="1"/>
      <c r="S52" s="1"/>
      <c r="T52" s="1"/>
      <c r="U52" s="1"/>
      <c r="V52" s="1"/>
      <c r="W52" s="1"/>
    </row>
    <row r="53" spans="3:23" ht="20.100000000000001" customHeight="1" x14ac:dyDescent="0.25">
      <c r="C53" s="1"/>
      <c r="D53" s="1"/>
      <c r="E53" s="1"/>
      <c r="F53" s="1"/>
      <c r="G53" s="1"/>
      <c r="H53" s="1"/>
      <c r="I53" s="1"/>
      <c r="J53" s="1"/>
      <c r="K53" s="1"/>
      <c r="L53" s="1"/>
      <c r="M53" s="1"/>
      <c r="N53" s="1"/>
      <c r="O53" s="1"/>
      <c r="P53" s="1"/>
      <c r="Q53" s="1"/>
      <c r="R53" s="1"/>
      <c r="S53" s="1"/>
      <c r="T53" s="1"/>
      <c r="U53" s="1"/>
      <c r="V53" s="1"/>
      <c r="W53" s="1"/>
    </row>
    <row r="54" spans="3:23" ht="20.100000000000001" customHeight="1" x14ac:dyDescent="0.25">
      <c r="C54" s="1"/>
      <c r="D54" s="1"/>
      <c r="E54" s="1"/>
      <c r="F54" s="1"/>
      <c r="G54" s="1"/>
      <c r="H54" s="1"/>
      <c r="I54" s="1"/>
      <c r="J54" s="1"/>
      <c r="K54" s="1"/>
      <c r="L54" s="1"/>
      <c r="M54" s="1"/>
      <c r="N54" s="1"/>
      <c r="O54" s="1"/>
      <c r="P54" s="1"/>
      <c r="Q54" s="1"/>
      <c r="R54" s="1"/>
      <c r="S54" s="1"/>
      <c r="T54" s="1"/>
      <c r="U54" s="1"/>
      <c r="V54" s="1"/>
      <c r="W54" s="1"/>
    </row>
    <row r="55" spans="3:23" ht="20.100000000000001" customHeight="1" x14ac:dyDescent="0.25">
      <c r="C55" s="1"/>
      <c r="D55" s="1"/>
      <c r="E55" s="1"/>
      <c r="F55" s="1"/>
      <c r="G55" s="1"/>
      <c r="H55" s="1"/>
      <c r="I55" s="1"/>
      <c r="J55" s="1"/>
      <c r="K55" s="1"/>
      <c r="L55" s="1"/>
      <c r="M55" s="1"/>
      <c r="N55" s="1"/>
      <c r="O55" s="1"/>
      <c r="P55" s="1"/>
      <c r="Q55" s="1"/>
      <c r="R55" s="1"/>
      <c r="S55" s="1"/>
      <c r="T55" s="1"/>
      <c r="U55" s="1"/>
      <c r="V55" s="1"/>
      <c r="W55" s="1"/>
    </row>
    <row r="56" spans="3:23" ht="20.100000000000001" customHeight="1" x14ac:dyDescent="0.25">
      <c r="C56" s="1"/>
      <c r="D56" s="1"/>
      <c r="E56" s="1"/>
      <c r="F56" s="1"/>
      <c r="G56" s="1"/>
      <c r="H56" s="1"/>
      <c r="I56" s="1"/>
      <c r="J56" s="1"/>
      <c r="K56" s="1"/>
      <c r="L56" s="1"/>
      <c r="M56" s="1"/>
      <c r="N56" s="1"/>
      <c r="O56" s="1"/>
      <c r="P56" s="1"/>
      <c r="Q56" s="1"/>
      <c r="R56" s="1"/>
      <c r="S56" s="1"/>
      <c r="T56" s="1"/>
      <c r="U56" s="1"/>
      <c r="V56" s="1"/>
      <c r="W56" s="1"/>
    </row>
    <row r="57" spans="3:23" ht="20.100000000000001" customHeight="1" x14ac:dyDescent="0.25">
      <c r="C57" s="1"/>
      <c r="D57" s="1"/>
      <c r="E57" s="1"/>
      <c r="F57" s="1"/>
      <c r="G57" s="1"/>
      <c r="H57" s="1"/>
      <c r="I57" s="1"/>
      <c r="J57" s="1"/>
      <c r="K57" s="1"/>
      <c r="L57" s="1"/>
      <c r="M57" s="1"/>
      <c r="N57" s="1"/>
      <c r="O57" s="1"/>
      <c r="P57" s="1"/>
      <c r="Q57" s="1"/>
      <c r="R57" s="1"/>
      <c r="S57" s="1"/>
      <c r="T57" s="1"/>
      <c r="U57" s="1"/>
      <c r="V57" s="1"/>
      <c r="W57" s="1"/>
    </row>
    <row r="58" spans="3:23" ht="20.100000000000001" customHeight="1" x14ac:dyDescent="0.25">
      <c r="C58" s="1"/>
      <c r="D58" s="1"/>
      <c r="E58" s="1"/>
      <c r="F58" s="1"/>
      <c r="G58" s="1"/>
      <c r="H58" s="1"/>
      <c r="I58" s="1"/>
      <c r="J58" s="1"/>
      <c r="K58" s="1"/>
      <c r="L58" s="1"/>
      <c r="M58" s="1"/>
      <c r="N58" s="1"/>
      <c r="O58" s="1"/>
      <c r="P58" s="1"/>
      <c r="Q58" s="1"/>
      <c r="R58" s="1"/>
      <c r="S58" s="1"/>
      <c r="T58" s="1"/>
      <c r="U58" s="1"/>
      <c r="V58" s="1"/>
      <c r="W58" s="1"/>
    </row>
    <row r="59" spans="3:23" ht="15.75" x14ac:dyDescent="0.25">
      <c r="C59" s="1"/>
      <c r="D59" s="1"/>
      <c r="E59" s="1"/>
      <c r="F59" s="1"/>
      <c r="G59" s="1"/>
      <c r="H59" s="1"/>
      <c r="I59" s="1"/>
      <c r="J59" s="1"/>
      <c r="K59" s="1"/>
      <c r="L59" s="1"/>
      <c r="M59" s="1"/>
      <c r="N59" s="1"/>
      <c r="O59" s="1"/>
      <c r="P59" s="1"/>
      <c r="Q59" s="1"/>
      <c r="R59" s="1"/>
      <c r="S59" s="1"/>
      <c r="T59" s="1"/>
      <c r="U59" s="1"/>
      <c r="V59" s="1"/>
      <c r="W59" s="1"/>
    </row>
    <row r="60" spans="3:23" ht="15.75" x14ac:dyDescent="0.25">
      <c r="C60" s="1"/>
      <c r="D60" s="1"/>
      <c r="E60" s="1"/>
      <c r="F60" s="1"/>
      <c r="G60" s="1"/>
      <c r="H60" s="1"/>
      <c r="I60" s="1"/>
      <c r="J60" s="1"/>
      <c r="K60" s="1"/>
      <c r="L60" s="1"/>
      <c r="M60" s="1"/>
      <c r="N60" s="1"/>
      <c r="O60" s="1"/>
      <c r="P60" s="1"/>
      <c r="Q60" s="1"/>
      <c r="R60" s="1"/>
      <c r="S60" s="1"/>
      <c r="T60" s="1"/>
      <c r="U60" s="1"/>
      <c r="V60" s="1"/>
      <c r="W60" s="1"/>
    </row>
    <row r="61" spans="3:23" ht="15.75" x14ac:dyDescent="0.25">
      <c r="C61" s="1"/>
      <c r="D61" s="1"/>
      <c r="E61" s="1"/>
      <c r="F61" s="1"/>
      <c r="G61" s="1"/>
      <c r="H61" s="1"/>
      <c r="I61" s="1"/>
      <c r="J61" s="1"/>
      <c r="K61" s="1"/>
      <c r="L61" s="1"/>
      <c r="M61" s="1"/>
      <c r="N61" s="1"/>
      <c r="O61" s="1"/>
      <c r="P61" s="1"/>
      <c r="Q61" s="1"/>
      <c r="R61" s="1"/>
      <c r="S61" s="1"/>
      <c r="T61" s="1"/>
      <c r="U61" s="1"/>
      <c r="V61" s="1"/>
      <c r="W61" s="1"/>
    </row>
    <row r="62" spans="3:23" ht="15.75" x14ac:dyDescent="0.25">
      <c r="C62" s="1"/>
      <c r="D62" s="1"/>
      <c r="E62" s="1"/>
      <c r="F62" s="1"/>
      <c r="G62" s="1"/>
      <c r="H62" s="1"/>
      <c r="I62" s="1"/>
      <c r="J62" s="1"/>
      <c r="K62" s="1"/>
      <c r="L62" s="1"/>
      <c r="M62" s="1"/>
      <c r="N62" s="1"/>
      <c r="O62" s="1"/>
      <c r="P62" s="1"/>
      <c r="Q62" s="1"/>
      <c r="R62" s="1"/>
      <c r="S62" s="1"/>
      <c r="T62" s="1"/>
      <c r="U62" s="1"/>
      <c r="V62" s="1"/>
      <c r="W62" s="1"/>
    </row>
    <row r="63" spans="3:23" ht="15.75" x14ac:dyDescent="0.25">
      <c r="C63" s="1"/>
      <c r="D63" s="1"/>
      <c r="E63" s="1"/>
      <c r="F63" s="1"/>
      <c r="G63" s="1"/>
      <c r="H63" s="1"/>
      <c r="I63" s="1"/>
      <c r="J63" s="1"/>
      <c r="K63" s="1"/>
      <c r="L63" s="1"/>
      <c r="M63" s="1"/>
      <c r="N63" s="1"/>
      <c r="O63" s="1"/>
      <c r="P63" s="1"/>
      <c r="Q63" s="1"/>
      <c r="R63" s="1"/>
      <c r="S63" s="1"/>
      <c r="T63" s="1"/>
      <c r="U63" s="1"/>
      <c r="V63" s="1"/>
      <c r="W63" s="1"/>
    </row>
    <row r="64" spans="3:23" ht="15.75" x14ac:dyDescent="0.25">
      <c r="C64" s="1"/>
      <c r="D64" s="1"/>
      <c r="E64" s="1"/>
      <c r="F64" s="1"/>
      <c r="G64" s="1"/>
      <c r="H64" s="1"/>
      <c r="I64" s="1"/>
      <c r="J64" s="1"/>
      <c r="K64" s="1"/>
      <c r="L64" s="1"/>
      <c r="M64" s="1"/>
      <c r="N64" s="1"/>
      <c r="O64" s="1"/>
      <c r="P64" s="1"/>
      <c r="Q64" s="1"/>
      <c r="R64" s="1"/>
      <c r="S64" s="1"/>
      <c r="T64" s="1"/>
      <c r="U64" s="1"/>
      <c r="V64" s="1"/>
      <c r="W64" s="1"/>
    </row>
    <row r="65" spans="3:23" x14ac:dyDescent="0.25">
      <c r="C65" s="24"/>
      <c r="D65" s="24"/>
      <c r="E65" s="24"/>
      <c r="F65" s="24"/>
      <c r="G65" s="24"/>
      <c r="H65" s="24"/>
      <c r="I65" s="24"/>
      <c r="J65" s="24"/>
      <c r="K65" s="24"/>
      <c r="L65" s="24"/>
      <c r="M65" s="24"/>
      <c r="N65" s="24"/>
      <c r="O65" s="24"/>
      <c r="P65" s="24"/>
      <c r="Q65" s="24"/>
      <c r="R65" s="24"/>
      <c r="S65" s="24"/>
      <c r="T65" s="24"/>
      <c r="U65" s="24"/>
      <c r="V65" s="24"/>
      <c r="W65" s="24"/>
    </row>
    <row r="66" spans="3:23" x14ac:dyDescent="0.25">
      <c r="C66" s="24"/>
      <c r="D66" s="24"/>
      <c r="E66" s="24"/>
      <c r="F66" s="24"/>
      <c r="G66" s="24"/>
      <c r="H66" s="24"/>
      <c r="I66" s="24"/>
      <c r="J66" s="24"/>
      <c r="K66" s="24"/>
      <c r="L66" s="24"/>
      <c r="M66" s="24"/>
      <c r="N66" s="24"/>
      <c r="O66" s="24"/>
      <c r="P66" s="24"/>
      <c r="Q66" s="24"/>
      <c r="R66" s="24"/>
      <c r="S66" s="24"/>
      <c r="T66" s="24"/>
      <c r="U66" s="24"/>
      <c r="V66" s="24"/>
      <c r="W66" s="24"/>
    </row>
    <row r="67" spans="3:23" x14ac:dyDescent="0.25">
      <c r="C67" s="24"/>
      <c r="D67" s="24"/>
      <c r="E67" s="24"/>
      <c r="F67" s="24"/>
      <c r="G67" s="24"/>
      <c r="H67" s="24"/>
      <c r="I67" s="24"/>
      <c r="J67" s="24"/>
      <c r="K67" s="24"/>
      <c r="L67" s="24"/>
      <c r="M67" s="24"/>
      <c r="N67" s="24"/>
      <c r="O67" s="24"/>
      <c r="P67" s="24"/>
      <c r="Q67" s="24"/>
      <c r="R67" s="24"/>
      <c r="S67" s="24"/>
      <c r="T67" s="24"/>
      <c r="U67" s="24"/>
      <c r="V67" s="24"/>
      <c r="W67" s="24"/>
    </row>
    <row r="68" spans="3:23" x14ac:dyDescent="0.25">
      <c r="C68" s="24"/>
      <c r="D68" s="24"/>
      <c r="E68" s="24"/>
      <c r="F68" s="24"/>
      <c r="G68" s="24"/>
      <c r="H68" s="24"/>
      <c r="I68" s="24"/>
      <c r="J68" s="24"/>
      <c r="K68" s="24"/>
      <c r="L68" s="24"/>
      <c r="M68" s="24"/>
      <c r="N68" s="24"/>
      <c r="O68" s="24"/>
      <c r="P68" s="24"/>
      <c r="Q68" s="24"/>
      <c r="R68" s="24"/>
      <c r="S68" s="24"/>
      <c r="T68" s="24"/>
      <c r="U68" s="24"/>
      <c r="V68" s="24"/>
      <c r="W68" s="24"/>
    </row>
    <row r="69" spans="3:23" x14ac:dyDescent="0.25">
      <c r="C69" s="24"/>
      <c r="D69" s="24"/>
      <c r="E69" s="24"/>
      <c r="F69" s="24"/>
      <c r="G69" s="24"/>
      <c r="H69" s="24"/>
      <c r="I69" s="24"/>
      <c r="J69" s="24"/>
      <c r="K69" s="24"/>
      <c r="L69" s="24"/>
      <c r="M69" s="24"/>
      <c r="N69" s="24"/>
      <c r="O69" s="24"/>
      <c r="P69" s="24"/>
      <c r="Q69" s="24"/>
      <c r="R69" s="24"/>
      <c r="S69" s="24"/>
      <c r="T69" s="24"/>
      <c r="U69" s="24"/>
      <c r="V69" s="24"/>
      <c r="W69" s="24"/>
    </row>
    <row r="70" spans="3:23" x14ac:dyDescent="0.25">
      <c r="C70" s="24"/>
      <c r="D70" s="24"/>
      <c r="E70" s="24"/>
      <c r="F70" s="24"/>
      <c r="G70" s="24"/>
      <c r="H70" s="24"/>
      <c r="I70" s="24"/>
      <c r="J70" s="24"/>
      <c r="K70" s="24"/>
      <c r="L70" s="24"/>
      <c r="M70" s="24"/>
      <c r="N70" s="24"/>
      <c r="O70" s="24"/>
      <c r="P70" s="24"/>
      <c r="Q70" s="24"/>
      <c r="R70" s="24"/>
      <c r="S70" s="24"/>
      <c r="T70" s="24"/>
      <c r="U70" s="24"/>
      <c r="V70" s="24"/>
      <c r="W70" s="24"/>
    </row>
    <row r="71" spans="3:23" x14ac:dyDescent="0.25">
      <c r="C71" s="24"/>
      <c r="D71" s="24"/>
      <c r="E71" s="24"/>
      <c r="F71" s="24"/>
      <c r="G71" s="24"/>
      <c r="H71" s="24"/>
      <c r="I71" s="24"/>
      <c r="J71" s="24"/>
      <c r="K71" s="24"/>
      <c r="L71" s="24"/>
      <c r="M71" s="24"/>
      <c r="N71" s="24"/>
      <c r="O71" s="24"/>
      <c r="P71" s="24"/>
      <c r="Q71" s="24"/>
      <c r="R71" s="24"/>
      <c r="S71" s="24"/>
      <c r="T71" s="24"/>
      <c r="U71" s="24"/>
      <c r="V71" s="24"/>
      <c r="W71" s="24"/>
    </row>
    <row r="72" spans="3:23" x14ac:dyDescent="0.25">
      <c r="C72" s="24"/>
      <c r="D72" s="24"/>
      <c r="E72" s="24"/>
      <c r="F72" s="24"/>
      <c r="G72" s="24"/>
      <c r="H72" s="24"/>
      <c r="I72" s="24"/>
      <c r="J72" s="24"/>
      <c r="K72" s="24"/>
      <c r="L72" s="24"/>
      <c r="M72" s="24"/>
      <c r="N72" s="24"/>
      <c r="O72" s="24"/>
      <c r="P72" s="24"/>
      <c r="Q72" s="24"/>
      <c r="R72" s="24"/>
      <c r="S72" s="24"/>
      <c r="T72" s="24"/>
      <c r="U72" s="24"/>
      <c r="V72" s="24"/>
      <c r="W72" s="24"/>
    </row>
    <row r="73" spans="3:23" x14ac:dyDescent="0.25">
      <c r="C73" s="24"/>
      <c r="D73" s="24"/>
      <c r="E73" s="24"/>
      <c r="F73" s="24"/>
      <c r="G73" s="24"/>
      <c r="H73" s="24"/>
      <c r="I73" s="24"/>
      <c r="J73" s="24"/>
      <c r="K73" s="24"/>
      <c r="L73" s="24"/>
      <c r="M73" s="24"/>
      <c r="N73" s="24"/>
      <c r="O73" s="24"/>
      <c r="P73" s="24"/>
      <c r="Q73" s="24"/>
      <c r="R73" s="24"/>
      <c r="S73" s="24"/>
      <c r="T73" s="24"/>
      <c r="U73" s="24"/>
      <c r="V73" s="24"/>
      <c r="W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J8" sqref="J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9" t="e" vm="1">
        <v>#VALUE!</v>
      </c>
      <c r="C1" s="115" t="s">
        <v>219</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3</v>
      </c>
      <c r="E4" s="26"/>
      <c r="F4" s="26"/>
      <c r="G4" s="26"/>
      <c r="H4" s="6"/>
      <c r="I4" s="6"/>
      <c r="J4" s="6"/>
      <c r="K4" s="27"/>
    </row>
    <row r="5" spans="1:11" ht="20.100000000000001" customHeight="1" x14ac:dyDescent="0.3">
      <c r="A5" s="114" t="str">
        <f>HYPERLINK("#'Results'!A1", "Results")</f>
        <v>Results</v>
      </c>
      <c r="C5" s="24"/>
      <c r="D5" s="28"/>
      <c r="E5" s="29"/>
      <c r="F5" s="29"/>
      <c r="G5" s="29"/>
      <c r="H5" s="26"/>
      <c r="I5" s="24"/>
      <c r="J5" s="24"/>
      <c r="K5" s="24"/>
    </row>
    <row r="6" spans="1:11" ht="20.100000000000001" customHeight="1" x14ac:dyDescent="0.25">
      <c r="A6" s="16"/>
      <c r="C6" s="24"/>
      <c r="D6" s="113" t="s">
        <v>109</v>
      </c>
      <c r="E6" s="113" t="s">
        <v>195</v>
      </c>
      <c r="F6" s="113" t="s">
        <v>196</v>
      </c>
      <c r="G6" s="113" t="s">
        <v>123</v>
      </c>
      <c r="H6" s="113" t="s">
        <v>197</v>
      </c>
      <c r="I6" s="113" t="s">
        <v>198</v>
      </c>
      <c r="J6" s="113" t="s">
        <v>124</v>
      </c>
      <c r="K6" s="24"/>
    </row>
    <row r="7" spans="1:11" ht="20.100000000000001" customHeight="1" x14ac:dyDescent="0.25">
      <c r="A7" s="20" t="s">
        <v>1</v>
      </c>
      <c r="C7" s="24"/>
      <c r="D7" s="1" t="s">
        <v>236</v>
      </c>
      <c r="E7" s="111">
        <f>'3.3.1.1-2 Enteric Methane'!E182</f>
        <v>32.464682683989999</v>
      </c>
      <c r="F7" s="111">
        <f>'3.3.1.1-2 Enteric Methane'!N182</f>
        <v>32.464682683989999</v>
      </c>
      <c r="G7" s="56" t="str">
        <f>'3.3.1.1-2 Enteric Methane'!$F$182</f>
        <v>t CH4</v>
      </c>
      <c r="H7" s="111">
        <f>'3.3.1.1-2 Enteric Methane'!E187</f>
        <v>909.01111515171999</v>
      </c>
      <c r="I7" s="111">
        <f>'3.3.1.1-2 Enteric Methane'!N187</f>
        <v>909.01111515171999</v>
      </c>
      <c r="J7" s="56" t="s">
        <v>193</v>
      </c>
      <c r="K7" s="24"/>
    </row>
    <row r="8" spans="1:11" ht="20.100000000000001" customHeight="1" x14ac:dyDescent="0.3">
      <c r="A8" s="17" t="str">
        <f>HYPERLINK("#'Input - Site'!A1", "Site")</f>
        <v>Site</v>
      </c>
      <c r="C8" s="24"/>
      <c r="D8" s="31" t="s">
        <v>122</v>
      </c>
      <c r="E8" s="25"/>
      <c r="F8" s="25"/>
      <c r="G8" s="31"/>
      <c r="H8" s="112">
        <f>SUM(H7)</f>
        <v>909.01111515171999</v>
      </c>
      <c r="I8" s="112">
        <f>SUM(I7:I7)</f>
        <v>909.01111515171999</v>
      </c>
      <c r="J8" s="107" t="s">
        <v>193</v>
      </c>
      <c r="K8" s="24"/>
    </row>
    <row r="9" spans="1:11" ht="20.100000000000001" customHeight="1" x14ac:dyDescent="0.25">
      <c r="A9" s="17" t="str">
        <f>HYPERLINK("#'Input - Dairy'!A1", "Dairy")</f>
        <v>Dairy</v>
      </c>
      <c r="C9" s="24"/>
      <c r="D9" s="1"/>
      <c r="E9" s="111"/>
      <c r="F9" s="111"/>
      <c r="G9" s="56"/>
      <c r="H9" s="111"/>
      <c r="I9" s="111"/>
      <c r="J9" s="56"/>
      <c r="K9" s="24"/>
    </row>
    <row r="10" spans="1:11" ht="20.100000000000001" customHeight="1" x14ac:dyDescent="0.25">
      <c r="A10" s="17"/>
      <c r="C10" s="24"/>
      <c r="D10" s="1"/>
      <c r="E10" s="111"/>
      <c r="F10" s="111"/>
      <c r="G10" s="56"/>
      <c r="H10" s="111"/>
      <c r="I10" s="111"/>
      <c r="J10" s="56"/>
      <c r="K10" s="24"/>
    </row>
    <row r="11" spans="1:11" ht="20.100000000000001" customHeight="1" x14ac:dyDescent="0.25">
      <c r="A11" s="19" t="s">
        <v>72</v>
      </c>
      <c r="C11" s="24"/>
      <c r="D11" s="111"/>
      <c r="E11" s="111"/>
      <c r="F11" s="111"/>
      <c r="G11" s="111"/>
      <c r="H11" s="111"/>
      <c r="I11" s="111"/>
      <c r="J11" s="111"/>
      <c r="K11" s="24"/>
    </row>
    <row r="12" spans="1:11" ht="20.100000000000001" customHeight="1" x14ac:dyDescent="0.25">
      <c r="A12" s="17" t="str">
        <f>HYPERLINK("#'3.3.1.1-2 Enteric Methane'!A1", "3.3.1.1-2 Enteric Methane")</f>
        <v>3.3.1.1-2 Enteric Methane</v>
      </c>
      <c r="C12" s="24"/>
      <c r="D12" s="111"/>
      <c r="E12" s="111"/>
      <c r="F12" s="111"/>
      <c r="G12" s="111"/>
      <c r="H12" s="111"/>
      <c r="I12" s="111"/>
      <c r="J12" s="111"/>
      <c r="K12" s="24"/>
    </row>
    <row r="13" spans="1:11" ht="20.100000000000001" customHeight="1" x14ac:dyDescent="0.25">
      <c r="A13" s="17"/>
      <c r="C13" s="24"/>
      <c r="D13" s="111"/>
      <c r="E13" s="111"/>
      <c r="F13" s="111"/>
      <c r="G13" s="111"/>
      <c r="H13" s="111"/>
      <c r="I13" s="111"/>
      <c r="J13" s="111"/>
      <c r="K13" s="24"/>
    </row>
    <row r="14" spans="1:11" ht="20.100000000000001" customHeight="1" x14ac:dyDescent="0.25">
      <c r="A14" s="18" t="s">
        <v>2</v>
      </c>
      <c r="C14" s="24"/>
      <c r="D14" s="111"/>
      <c r="E14" s="111"/>
      <c r="F14" s="111"/>
      <c r="G14" s="111"/>
      <c r="H14" s="111"/>
      <c r="I14" s="111"/>
      <c r="J14" s="111"/>
      <c r="K14" s="24"/>
    </row>
    <row r="15" spans="1:11" ht="20.100000000000001" customHeight="1" x14ac:dyDescent="0.25">
      <c r="A15" s="17" t="str">
        <f>HYPERLINK("#'Constants - Dairy'!A1", "Constants - Dairy")</f>
        <v>Constants - Dairy</v>
      </c>
      <c r="C15" s="24"/>
      <c r="D15" s="111"/>
      <c r="E15" s="111"/>
      <c r="F15" s="111"/>
      <c r="G15" s="111"/>
      <c r="H15" s="111"/>
      <c r="I15" s="111"/>
      <c r="J15" s="111"/>
      <c r="K15" s="24"/>
    </row>
    <row r="16" spans="1:11" ht="20.100000000000001" customHeight="1" x14ac:dyDescent="0.25">
      <c r="A16" s="17" t="str">
        <f>HYPERLINK("#'Constants - Livestock'!A1", "Constants - Livestock")</f>
        <v>Constants - Livestock</v>
      </c>
      <c r="C16" s="24"/>
      <c r="D16" s="1"/>
      <c r="E16" s="1"/>
      <c r="F16" s="1"/>
      <c r="G16" s="1"/>
      <c r="H16" s="1"/>
      <c r="I16" s="1"/>
      <c r="J16" s="1"/>
      <c r="K16" s="24"/>
    </row>
    <row r="17" spans="1:11" ht="20.100000000000001" customHeight="1" x14ac:dyDescent="0.25">
      <c r="A17" s="17" t="str">
        <f>HYPERLINK("#'Constants - Common'!A1", "Constants - Common")</f>
        <v>Constants - Common</v>
      </c>
      <c r="C17" s="24"/>
      <c r="D17" s="1"/>
      <c r="E17" s="1"/>
      <c r="F17" s="1"/>
      <c r="G17" s="1"/>
      <c r="H17" s="1"/>
      <c r="I17" s="1"/>
      <c r="J17" s="1"/>
      <c r="K17" s="24"/>
    </row>
    <row r="18" spans="1:11" ht="20.100000000000001" customHeight="1" x14ac:dyDescent="0.25">
      <c r="A18" s="17" t="str">
        <f>HYPERLINK("#'Acknowledgements'!A1", "Acknowledgements")</f>
        <v>Acknowledgements</v>
      </c>
      <c r="C18" s="24"/>
      <c r="D18" s="1"/>
      <c r="E18" s="1"/>
      <c r="F18" s="1"/>
      <c r="G18" s="1"/>
      <c r="H18" s="1"/>
      <c r="I18" s="1"/>
      <c r="J18" s="1"/>
      <c r="K18" s="24"/>
    </row>
    <row r="19" spans="1:11" ht="20.100000000000001" customHeight="1" x14ac:dyDescent="0.25">
      <c r="C19" s="24"/>
      <c r="D19" s="1"/>
      <c r="E19" s="1"/>
      <c r="F19" s="1"/>
      <c r="G19" s="1"/>
      <c r="H19" s="1"/>
      <c r="I19" s="1"/>
      <c r="J19" s="1"/>
      <c r="K19" s="24"/>
    </row>
    <row r="20" spans="1:11" ht="20.100000000000001" customHeight="1" x14ac:dyDescent="0.25">
      <c r="C20" s="24"/>
      <c r="D20" s="1"/>
      <c r="E20" s="1"/>
      <c r="F20" s="1"/>
      <c r="G20" s="1"/>
      <c r="H20" s="1"/>
      <c r="I20" s="1"/>
      <c r="J20" s="1"/>
      <c r="K20" s="24"/>
    </row>
    <row r="21" spans="1:11" ht="20.100000000000001" customHeight="1" x14ac:dyDescent="0.25">
      <c r="C21" s="24"/>
      <c r="D21" s="1"/>
      <c r="E21" s="1"/>
      <c r="F21" s="1"/>
      <c r="G21" s="1"/>
      <c r="H21" s="1"/>
      <c r="I21" s="1"/>
      <c r="J21" s="1"/>
      <c r="K21" s="24"/>
    </row>
    <row r="22" spans="1:11" ht="20.100000000000001" customHeight="1" x14ac:dyDescent="0.25">
      <c r="C22" s="24"/>
      <c r="D22" s="1"/>
      <c r="E22" s="1"/>
      <c r="F22" s="1"/>
      <c r="G22" s="1"/>
      <c r="H22" s="1"/>
      <c r="I22" s="1"/>
      <c r="J22" s="1"/>
      <c r="K22" s="24"/>
    </row>
    <row r="23" spans="1:11" ht="20.100000000000001" customHeight="1" x14ac:dyDescent="0.25">
      <c r="C23" s="24"/>
      <c r="D23" s="1"/>
      <c r="E23" s="1"/>
      <c r="F23" s="1"/>
      <c r="G23" s="1"/>
      <c r="H23" s="1"/>
      <c r="I23" s="1"/>
      <c r="J23" s="1"/>
      <c r="K23" s="24"/>
    </row>
    <row r="24" spans="1:11" ht="20.100000000000001" customHeight="1" x14ac:dyDescent="0.25">
      <c r="C24" s="24"/>
      <c r="D24" s="1"/>
      <c r="E24" s="1"/>
      <c r="F24" s="1"/>
      <c r="G24" s="1"/>
      <c r="H24" s="26"/>
      <c r="I24" s="24"/>
      <c r="J24" s="24"/>
      <c r="K24" s="24"/>
    </row>
    <row r="25" spans="1:11" ht="20.100000000000001" customHeight="1" x14ac:dyDescent="0.3">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0"/>
      <c r="J38" s="110"/>
      <c r="K38" s="24"/>
    </row>
    <row r="39" spans="3:11" ht="20.100000000000001" customHeight="1" x14ac:dyDescent="0.25">
      <c r="C39" s="24"/>
      <c r="D39" s="1"/>
      <c r="E39" s="1"/>
      <c r="F39" s="1"/>
      <c r="G39" s="1"/>
      <c r="H39" s="1"/>
      <c r="I39" s="110"/>
      <c r="J39" s="110"/>
      <c r="K39" s="24"/>
    </row>
    <row r="40" spans="3:11" ht="20.100000000000001" customHeight="1" x14ac:dyDescent="0.25">
      <c r="C40" s="24"/>
      <c r="D40" s="1"/>
      <c r="E40" s="1"/>
      <c r="F40" s="1"/>
      <c r="G40" s="1"/>
      <c r="H40" s="1"/>
      <c r="I40" s="110"/>
      <c r="J40" s="110"/>
      <c r="K40" s="24"/>
    </row>
    <row r="41" spans="3:11" ht="20.100000000000001" customHeight="1" x14ac:dyDescent="0.25">
      <c r="C41" s="24"/>
      <c r="D41" s="1"/>
      <c r="E41" s="1"/>
      <c r="F41" s="1"/>
      <c r="G41" s="1"/>
      <c r="H41" s="1"/>
      <c r="I41" s="110"/>
      <c r="J41" s="110"/>
      <c r="K41" s="24"/>
    </row>
    <row r="42" spans="3:11" ht="20.100000000000001" customHeight="1" x14ac:dyDescent="0.25">
      <c r="C42" s="24"/>
      <c r="D42" s="1"/>
      <c r="E42" s="1"/>
      <c r="F42" s="1"/>
      <c r="G42" s="1"/>
      <c r="H42" s="1"/>
      <c r="I42" s="110"/>
      <c r="J42" s="110"/>
      <c r="K42" s="24"/>
    </row>
    <row r="43" spans="3:11" ht="20.100000000000001" customHeight="1" x14ac:dyDescent="0.25">
      <c r="C43" s="24"/>
      <c r="D43" s="1"/>
      <c r="E43" s="1"/>
      <c r="F43" s="1"/>
      <c r="G43" s="1"/>
      <c r="H43" s="1"/>
      <c r="I43" s="110"/>
      <c r="J43" s="110"/>
      <c r="K43" s="24"/>
    </row>
    <row r="44" spans="3:11" ht="20.100000000000001" customHeight="1" x14ac:dyDescent="0.25">
      <c r="C44" s="24"/>
      <c r="D44" s="1"/>
      <c r="E44" s="1"/>
      <c r="F44" s="1"/>
      <c r="G44" s="1"/>
      <c r="H44" s="1"/>
      <c r="I44" s="110"/>
      <c r="J44" s="110"/>
      <c r="K44" s="24"/>
    </row>
    <row r="45" spans="3:11" ht="20.100000000000001" customHeight="1" x14ac:dyDescent="0.25">
      <c r="C45" s="24"/>
      <c r="D45" s="1"/>
      <c r="E45" s="1"/>
      <c r="F45" s="1"/>
      <c r="G45" s="1"/>
      <c r="H45" s="1"/>
      <c r="I45" s="110"/>
      <c r="J45" s="110"/>
      <c r="K45" s="24"/>
    </row>
    <row r="46" spans="3:11" ht="20.100000000000001" customHeight="1" x14ac:dyDescent="0.25">
      <c r="C46" s="24"/>
      <c r="D46" s="1"/>
      <c r="E46" s="1"/>
      <c r="F46" s="1"/>
      <c r="G46" s="1"/>
      <c r="H46" s="1"/>
      <c r="I46" s="110"/>
      <c r="J46" s="110"/>
      <c r="K46" s="24"/>
    </row>
    <row r="47" spans="3:11" ht="20.100000000000001" customHeight="1" x14ac:dyDescent="0.25">
      <c r="C47" s="24"/>
      <c r="D47" s="1"/>
      <c r="E47" s="1"/>
      <c r="F47" s="1"/>
      <c r="G47" s="1"/>
      <c r="H47" s="1"/>
      <c r="I47" s="110"/>
      <c r="J47" s="110"/>
      <c r="K47" s="24"/>
    </row>
    <row r="48" spans="3:11" ht="20.100000000000001" customHeight="1" x14ac:dyDescent="0.25">
      <c r="C48" s="24"/>
      <c r="D48" s="1"/>
      <c r="E48" s="1"/>
      <c r="F48" s="1"/>
      <c r="G48" s="1"/>
      <c r="H48" s="1"/>
      <c r="I48" s="110"/>
      <c r="J48" s="110"/>
      <c r="K48" s="24"/>
    </row>
    <row r="49" spans="3:11" ht="20.100000000000001" customHeight="1" x14ac:dyDescent="0.25">
      <c r="C49" s="24"/>
      <c r="D49" s="1"/>
      <c r="E49" s="1"/>
      <c r="F49" s="1"/>
      <c r="G49" s="1"/>
      <c r="H49" s="110"/>
      <c r="I49" s="110"/>
      <c r="J49" s="110"/>
      <c r="K49" s="24"/>
    </row>
    <row r="50" spans="3:11" ht="20.100000000000001" customHeight="1" x14ac:dyDescent="0.25">
      <c r="C50" s="24"/>
      <c r="D50" s="1"/>
      <c r="E50" s="1"/>
      <c r="F50" s="1"/>
      <c r="G50" s="1"/>
      <c r="H50" s="110"/>
      <c r="I50" s="110"/>
      <c r="J50" s="110"/>
      <c r="K50" s="24"/>
    </row>
    <row r="51" spans="3:11" ht="20.100000000000001" customHeight="1" x14ac:dyDescent="0.25">
      <c r="C51" s="24"/>
      <c r="D51" s="1"/>
      <c r="E51" s="1"/>
      <c r="F51" s="1"/>
      <c r="G51" s="1"/>
      <c r="H51" s="110"/>
      <c r="I51" s="110"/>
      <c r="J51" s="110"/>
      <c r="K51" s="24"/>
    </row>
    <row r="52" spans="3:11" ht="20.100000000000001" customHeight="1" x14ac:dyDescent="0.25">
      <c r="C52" s="24"/>
      <c r="D52" s="1"/>
      <c r="E52" s="1"/>
      <c r="F52" s="1"/>
      <c r="G52" s="1"/>
      <c r="H52" s="110"/>
      <c r="I52" s="110"/>
      <c r="J52" s="110"/>
      <c r="K52" s="24"/>
    </row>
    <row r="53" spans="3:11" ht="20.100000000000001" customHeight="1" x14ac:dyDescent="0.25">
      <c r="C53" s="24"/>
      <c r="D53" s="1"/>
      <c r="E53" s="1"/>
      <c r="F53" s="1"/>
      <c r="G53" s="1"/>
      <c r="H53" s="110"/>
      <c r="I53" s="110"/>
      <c r="J53" s="110"/>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9" t="e" vm="1">
        <v>#VALUE!</v>
      </c>
      <c r="C1" s="12" t="s">
        <v>86</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1"/>
      <c r="D4" s="71"/>
      <c r="E4" s="71"/>
      <c r="F4" s="71"/>
      <c r="G4" s="71"/>
      <c r="H4" s="71"/>
      <c r="I4" s="71"/>
      <c r="J4" s="71"/>
      <c r="K4" s="71"/>
    </row>
    <row r="5" spans="1:24" ht="20.100000000000001" customHeight="1" x14ac:dyDescent="0.25">
      <c r="A5" s="17" t="str">
        <f>HYPERLINK("#'Results'!A1", "Results")</f>
        <v>Results</v>
      </c>
      <c r="D5" s="6" t="s">
        <v>13</v>
      </c>
      <c r="N5" s="43"/>
    </row>
    <row r="6" spans="1:24" ht="20.100000000000001" customHeight="1" x14ac:dyDescent="0.25">
      <c r="D6" s="14"/>
      <c r="N6" s="44"/>
    </row>
    <row r="7" spans="1:24" ht="20.100000000000001" customHeight="1" x14ac:dyDescent="0.25">
      <c r="A7" s="20" t="s">
        <v>1</v>
      </c>
      <c r="D7" s="1" t="s">
        <v>5</v>
      </c>
      <c r="E7" s="35" t="s">
        <v>4</v>
      </c>
      <c r="F7" s="2"/>
    </row>
    <row r="8" spans="1:24" ht="20.100000000000001" customHeight="1" x14ac:dyDescent="0.25">
      <c r="A8" s="21" t="str">
        <f>HYPERLINK("#'Input - Site'!A1", "Site")</f>
        <v>Site</v>
      </c>
      <c r="D8" s="10" t="s">
        <v>70</v>
      </c>
      <c r="E8" s="35" t="s">
        <v>71</v>
      </c>
    </row>
    <row r="9" spans="1:24" ht="20.100000000000001" customHeight="1" x14ac:dyDescent="0.25">
      <c r="A9" s="17" t="str">
        <f>HYPERLINK("#'Input - Dairy'!A1", "Dairy")</f>
        <v>Dairy</v>
      </c>
      <c r="N9" s="45"/>
    </row>
    <row r="10" spans="1:24" ht="20.100000000000001" customHeight="1" x14ac:dyDescent="0.25">
      <c r="A10" s="17"/>
      <c r="D10" s="96" t="s">
        <v>85</v>
      </c>
      <c r="E10" s="94"/>
      <c r="F10" s="97"/>
      <c r="G10" s="91"/>
      <c r="N10" s="45"/>
    </row>
    <row r="11" spans="1:24" ht="20.100000000000001" customHeight="1" x14ac:dyDescent="0.25">
      <c r="A11" s="19" t="s">
        <v>72</v>
      </c>
      <c r="N11" s="46"/>
    </row>
    <row r="12" spans="1:24" ht="20.100000000000001" customHeight="1" x14ac:dyDescent="0.25">
      <c r="A12" s="17" t="str">
        <f>HYPERLINK("#'3.3.1.1-2 Enteric Methane'!A1", "3.3.1.1-2 Enteric Methane")</f>
        <v>3.3.1.1-2 Enteric Methane</v>
      </c>
      <c r="D12" s="10" t="s">
        <v>91</v>
      </c>
      <c r="E12" s="65">
        <v>45292</v>
      </c>
      <c r="F12" s="2" t="s">
        <v>68</v>
      </c>
    </row>
    <row r="13" spans="1:24" ht="20.100000000000001" customHeight="1" x14ac:dyDescent="0.25">
      <c r="A13" s="17"/>
      <c r="D13" s="10" t="s">
        <v>92</v>
      </c>
      <c r="E13" s="72">
        <f>DATE(YEAR(E12)+1,MONTH(E12),DAY(E12))-1</f>
        <v>45657</v>
      </c>
      <c r="F13" s="2" t="s">
        <v>15</v>
      </c>
      <c r="N13" s="40"/>
      <c r="O13" s="40"/>
    </row>
    <row r="14" spans="1:24" ht="20.100000000000001" customHeight="1" x14ac:dyDescent="0.25">
      <c r="A14" s="18" t="s">
        <v>2</v>
      </c>
      <c r="N14" s="40"/>
      <c r="O14" s="40"/>
    </row>
    <row r="15" spans="1:24" ht="20.100000000000001" customHeight="1" x14ac:dyDescent="0.25">
      <c r="A15" s="17" t="str">
        <f>HYPERLINK("#'Constants - Dairy'!A1", "Constants - Dairy")</f>
        <v>Constants - Dairy</v>
      </c>
      <c r="N15" s="40"/>
      <c r="O15" s="40"/>
    </row>
    <row r="16" spans="1:24" ht="20.100000000000001" customHeight="1" x14ac:dyDescent="0.25">
      <c r="A16" s="17" t="str">
        <f>HYPERLINK("#'Constants - Livestock'!A1", "Constants - Livestock")</f>
        <v>Constants - Livestock</v>
      </c>
      <c r="D16" s="6" t="s">
        <v>12</v>
      </c>
      <c r="N16" s="40"/>
      <c r="O16" s="40"/>
    </row>
    <row r="17" spans="1:25" ht="20.100000000000001" customHeight="1" x14ac:dyDescent="0.25">
      <c r="A17" s="17" t="str">
        <f>HYPERLINK("#'Constants - Common'!A1", "Constants - Common")</f>
        <v>Constants - Common</v>
      </c>
    </row>
    <row r="18" spans="1:25" ht="20.100000000000001" customHeight="1" x14ac:dyDescent="0.25">
      <c r="A18" s="17" t="str">
        <f>HYPERLINK("#'Acknowledgements'!A1", "Acknowledgements")</f>
        <v>Acknowledgements</v>
      </c>
      <c r="D18" s="98" t="s">
        <v>14</v>
      </c>
      <c r="E18" s="93"/>
      <c r="F18" s="93"/>
      <c r="G18" s="89"/>
    </row>
    <row r="19" spans="1:25" ht="20.100000000000001" customHeight="1" x14ac:dyDescent="0.25">
      <c r="A19"/>
      <c r="D19" s="95" t="s">
        <v>69</v>
      </c>
      <c r="E19" s="92"/>
      <c r="F19" s="92"/>
      <c r="G19" s="90"/>
      <c r="N19" s="43"/>
    </row>
    <row r="20" spans="1:25" ht="20.100000000000001" customHeight="1" x14ac:dyDescent="0.25">
      <c r="A20"/>
      <c r="D20" s="1"/>
      <c r="E20" s="33"/>
      <c r="F20" s="2"/>
      <c r="N20" s="44"/>
    </row>
    <row r="21" spans="1:25" ht="20.100000000000001" customHeight="1" x14ac:dyDescent="0.25">
      <c r="A21"/>
      <c r="D21" s="1" t="s">
        <v>6</v>
      </c>
      <c r="E21" s="42" t="s">
        <v>95</v>
      </c>
      <c r="F21" s="2" t="s">
        <v>9</v>
      </c>
    </row>
    <row r="22" spans="1:25" ht="20.100000000000001" customHeight="1" x14ac:dyDescent="0.25">
      <c r="A22"/>
      <c r="D22" s="1" t="s">
        <v>23</v>
      </c>
      <c r="E22" s="42" t="s">
        <v>32</v>
      </c>
      <c r="F22" s="2" t="s">
        <v>9</v>
      </c>
      <c r="G22" s="1"/>
    </row>
    <row r="23" spans="1:25" ht="20.100000000000001" customHeight="1" x14ac:dyDescent="0.25">
      <c r="A23"/>
      <c r="D23" s="1" t="s">
        <v>7</v>
      </c>
      <c r="E23" s="42" t="s">
        <v>90</v>
      </c>
      <c r="F23" s="2" t="s">
        <v>9</v>
      </c>
    </row>
    <row r="24" spans="1:25" ht="20.100000000000001" customHeight="1" x14ac:dyDescent="0.25">
      <c r="A24"/>
      <c r="D24" s="1" t="s">
        <v>37</v>
      </c>
      <c r="E24" s="35">
        <v>307.7</v>
      </c>
      <c r="F24" s="2" t="s">
        <v>51</v>
      </c>
    </row>
    <row r="25" spans="1:25" ht="20.100000000000001" customHeight="1" x14ac:dyDescent="0.25">
      <c r="A25"/>
      <c r="D25" s="1" t="s">
        <v>59</v>
      </c>
      <c r="E25" s="35">
        <v>18</v>
      </c>
      <c r="F25" s="2" t="s">
        <v>10</v>
      </c>
      <c r="N25" s="44"/>
    </row>
    <row r="26" spans="1:25" ht="20.100000000000001" customHeight="1" x14ac:dyDescent="0.25">
      <c r="A26"/>
      <c r="D26" s="1" t="s">
        <v>60</v>
      </c>
      <c r="E26" s="35">
        <v>601</v>
      </c>
      <c r="F26" s="2" t="s">
        <v>11</v>
      </c>
    </row>
    <row r="27" spans="1:25" ht="20.100000000000001" customHeight="1" x14ac:dyDescent="0.25">
      <c r="A27"/>
      <c r="D27" s="10" t="s">
        <v>61</v>
      </c>
      <c r="E27" s="35">
        <v>1326</v>
      </c>
      <c r="F27" s="2" t="s">
        <v>11</v>
      </c>
    </row>
    <row r="28" spans="1:25" ht="20.100000000000001" customHeight="1" x14ac:dyDescent="0.25">
      <c r="A28"/>
      <c r="D28" s="1" t="s">
        <v>62</v>
      </c>
      <c r="E28" s="35">
        <v>7</v>
      </c>
      <c r="F28" s="2" t="s">
        <v>52</v>
      </c>
    </row>
    <row r="29" spans="1:25" ht="20.100000000000001" customHeight="1" x14ac:dyDescent="0.25">
      <c r="A29"/>
      <c r="D29" s="10" t="s">
        <v>58</v>
      </c>
      <c r="E29" s="54">
        <f>E26/E27</f>
        <v>0.45324283559577677</v>
      </c>
      <c r="F29" s="2"/>
    </row>
    <row r="30" spans="1:25" ht="20.100000000000001" customHeight="1" x14ac:dyDescent="0.25">
      <c r="A30"/>
      <c r="D30" s="10" t="s">
        <v>33</v>
      </c>
      <c r="E30" s="54" t="str">
        <f>Common_InputFunctions.Utility_LookupItemFromMinMax(E26,Table_SourceData_RainfallZones[Min rainfall],Table_SourceData_RainfallZones[Max rainfall],Table_SourceData_RainfallZones[Rainfall Zone])</f>
        <v>High rainfall</v>
      </c>
      <c r="G30" s="34"/>
      <c r="L30" s="51"/>
      <c r="M30" s="51"/>
      <c r="N30" s="51"/>
      <c r="O30" s="51"/>
      <c r="P30" s="51"/>
      <c r="Q30" s="51"/>
      <c r="R30" s="51"/>
      <c r="S30" s="51"/>
      <c r="T30" s="51"/>
      <c r="U30" s="51"/>
      <c r="V30" s="51"/>
      <c r="W30" s="51"/>
      <c r="X30" s="51"/>
      <c r="Y30" s="51"/>
    </row>
    <row r="31" spans="1:25" ht="20.100000000000001" customHeight="1" x14ac:dyDescent="0.25">
      <c r="A31"/>
      <c r="D31" s="1" t="s">
        <v>8</v>
      </c>
      <c r="E31" s="54"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49"/>
      <c r="M31" s="49"/>
      <c r="N31" s="49"/>
      <c r="O31" s="49"/>
      <c r="P31" s="49"/>
      <c r="Q31" s="49"/>
      <c r="R31" s="49"/>
      <c r="S31" s="49"/>
      <c r="T31" s="49"/>
      <c r="U31" s="49"/>
      <c r="V31" s="49"/>
      <c r="W31" s="49"/>
      <c r="X31" s="49"/>
      <c r="Y31" s="49"/>
    </row>
    <row r="32" spans="1:25" ht="20.100000000000001" customHeight="1" x14ac:dyDescent="0.25">
      <c r="A32"/>
      <c r="D32" s="1" t="s">
        <v>87</v>
      </c>
      <c r="E32" s="54" t="str">
        <f>Common_InputFunctions.Utility_LookupValueInTable($E$31,Table_SourceData_WetDryZones[Climate zone],Table_SourceData_WetDryZones[Wet or Dry Zone])</f>
        <v>Dry climate zone</v>
      </c>
      <c r="F32" s="1"/>
      <c r="G32" s="33"/>
      <c r="L32" s="49"/>
      <c r="M32" s="49"/>
      <c r="N32" s="49"/>
      <c r="O32" s="49"/>
      <c r="P32" s="49"/>
      <c r="Q32" s="49"/>
      <c r="R32" s="49"/>
      <c r="S32" s="49"/>
      <c r="T32" s="49"/>
      <c r="U32" s="49"/>
      <c r="V32" s="49"/>
      <c r="W32" s="49"/>
      <c r="X32" s="49"/>
      <c r="Y32" s="49"/>
    </row>
    <row r="33" spans="1:25" ht="20.100000000000001" customHeight="1" x14ac:dyDescent="0.25">
      <c r="A33"/>
      <c r="D33" s="1" t="s">
        <v>50</v>
      </c>
      <c r="E33" s="54" t="str">
        <f>Common_InputFunctions.Utility_LookupItemFromMinMax(E25,Table_SourceData_TemperatureZones[Min MAT],Table_SourceData_TemperatureZones[Max MAT],Table_SourceData_TemperatureZones[Temperature Zone])</f>
        <v>Temperate</v>
      </c>
      <c r="G33" s="73"/>
      <c r="L33" s="49"/>
      <c r="M33" s="49"/>
      <c r="N33" s="49"/>
      <c r="O33" s="49"/>
      <c r="P33" s="49"/>
      <c r="Q33" s="49"/>
      <c r="R33" s="49"/>
      <c r="S33" s="49"/>
      <c r="T33" s="49"/>
      <c r="U33" s="49"/>
      <c r="V33" s="49"/>
      <c r="W33" s="49"/>
      <c r="X33" s="49"/>
      <c r="Y33" s="49"/>
    </row>
    <row r="34" spans="1:25" ht="20.100000000000001" customHeight="1" x14ac:dyDescent="0.25">
      <c r="A34"/>
      <c r="J34" s="62"/>
      <c r="K34" s="76"/>
      <c r="L34" s="49"/>
      <c r="M34" s="49"/>
      <c r="N34" s="49"/>
      <c r="O34" s="49"/>
      <c r="P34" s="49"/>
      <c r="Q34" s="49"/>
      <c r="R34" s="49"/>
      <c r="S34" s="49"/>
      <c r="T34" s="49"/>
      <c r="U34" s="49"/>
      <c r="V34" s="49"/>
      <c r="W34" s="49"/>
      <c r="X34" s="49"/>
      <c r="Y34" s="49"/>
    </row>
    <row r="35" spans="1:25" ht="20.100000000000001" customHeight="1" x14ac:dyDescent="0.25">
      <c r="A35"/>
      <c r="J35" s="62"/>
      <c r="K35" s="76"/>
      <c r="L35" s="49"/>
      <c r="M35" s="49"/>
      <c r="N35" s="49"/>
      <c r="O35" s="49"/>
      <c r="P35" s="49"/>
      <c r="Q35" s="49"/>
      <c r="R35" s="49"/>
      <c r="S35" s="49"/>
      <c r="T35" s="49"/>
      <c r="U35" s="49"/>
      <c r="V35" s="49"/>
      <c r="W35" s="49"/>
      <c r="X35" s="49"/>
      <c r="Y35" s="49"/>
    </row>
    <row r="36" spans="1:25" ht="20.100000000000001" customHeight="1" x14ac:dyDescent="0.25">
      <c r="A36"/>
      <c r="D36" s="74"/>
      <c r="E36" s="74"/>
      <c r="F36" s="75"/>
      <c r="G36" s="62"/>
      <c r="H36" s="62"/>
      <c r="I36" s="63"/>
      <c r="J36" s="62"/>
      <c r="K36" s="76"/>
      <c r="L36" s="49"/>
      <c r="M36" s="49"/>
      <c r="N36" s="49"/>
      <c r="O36" s="49"/>
      <c r="P36" s="49"/>
      <c r="Q36" s="49"/>
      <c r="R36" s="49"/>
      <c r="S36" s="49"/>
      <c r="T36" s="49"/>
      <c r="U36" s="49"/>
      <c r="V36" s="49"/>
      <c r="W36" s="49"/>
      <c r="X36" s="49"/>
      <c r="Y36" s="49"/>
    </row>
    <row r="37" spans="1:25" ht="20.100000000000001" customHeight="1" x14ac:dyDescent="0.25">
      <c r="A37"/>
      <c r="D37" s="74"/>
      <c r="E37" s="74"/>
      <c r="F37" s="75"/>
      <c r="G37" s="62"/>
      <c r="H37" s="62"/>
      <c r="I37" s="63"/>
      <c r="J37" s="62"/>
      <c r="K37" s="76"/>
      <c r="L37" s="49"/>
      <c r="M37" s="49"/>
      <c r="N37" s="49"/>
      <c r="O37" s="49"/>
      <c r="P37" s="49"/>
      <c r="Q37" s="49"/>
      <c r="R37" s="49"/>
      <c r="S37" s="49"/>
      <c r="T37" s="49"/>
      <c r="U37" s="49"/>
      <c r="V37" s="49"/>
      <c r="W37" s="49"/>
      <c r="X37" s="49"/>
      <c r="Y37" s="49"/>
    </row>
    <row r="38" spans="1:25" ht="20.100000000000001" customHeight="1" x14ac:dyDescent="0.25">
      <c r="A38"/>
      <c r="D38" s="74"/>
      <c r="E38" s="74"/>
      <c r="F38" s="75"/>
      <c r="G38" s="62"/>
      <c r="H38" s="62"/>
      <c r="I38" s="63"/>
      <c r="J38" s="62"/>
      <c r="K38" s="76"/>
      <c r="L38" s="49"/>
      <c r="M38" s="49"/>
      <c r="N38" s="49"/>
      <c r="O38" s="49"/>
      <c r="P38" s="49"/>
      <c r="Q38" s="49"/>
      <c r="R38" s="49"/>
      <c r="S38" s="49"/>
      <c r="T38" s="49"/>
      <c r="U38" s="49"/>
      <c r="V38" s="49"/>
      <c r="W38" s="49"/>
      <c r="X38" s="49"/>
      <c r="Y38" s="49"/>
    </row>
    <row r="39" spans="1:25" ht="20.100000000000001" customHeight="1" x14ac:dyDescent="0.25">
      <c r="A39"/>
      <c r="D39" s="74"/>
      <c r="E39" s="74"/>
      <c r="F39" s="75"/>
      <c r="G39" s="62"/>
      <c r="H39" s="62"/>
      <c r="I39" s="63"/>
      <c r="J39" s="62"/>
      <c r="K39" s="76"/>
      <c r="L39" s="49"/>
      <c r="M39" s="49"/>
      <c r="N39" s="49"/>
      <c r="O39" s="49"/>
      <c r="P39" s="49"/>
      <c r="Q39" s="49"/>
      <c r="R39" s="49"/>
      <c r="S39" s="49"/>
      <c r="T39" s="49"/>
      <c r="U39" s="49"/>
      <c r="V39" s="49"/>
      <c r="W39" s="49"/>
      <c r="X39" s="49"/>
      <c r="Y39" s="49"/>
    </row>
    <row r="40" spans="1:25" ht="20.100000000000001" customHeight="1" x14ac:dyDescent="0.25">
      <c r="A40"/>
      <c r="D40" s="77"/>
      <c r="E40" s="77"/>
      <c r="F40" s="77"/>
      <c r="G40" s="78"/>
      <c r="H40" s="79"/>
      <c r="I40" s="79"/>
      <c r="J40" s="79"/>
      <c r="K40" s="79"/>
      <c r="L40" s="52"/>
      <c r="M40" s="52"/>
      <c r="N40" s="52"/>
      <c r="O40" s="52"/>
      <c r="P40" s="52"/>
      <c r="Q40" s="52"/>
      <c r="R40" s="52"/>
      <c r="S40" s="52"/>
      <c r="T40" s="52"/>
      <c r="U40" s="52"/>
      <c r="V40" s="52"/>
      <c r="W40" s="52"/>
      <c r="X40" s="52"/>
      <c r="Y40" s="52"/>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0"/>
      <c r="E47" s="80"/>
      <c r="F47" s="80"/>
      <c r="G47" s="80"/>
      <c r="H47" s="80"/>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1"/>
      <c r="E51" s="82"/>
      <c r="F51" s="82"/>
      <c r="G51" s="82"/>
      <c r="H51" s="83"/>
    </row>
    <row r="52" spans="4:8" ht="20.100000000000001" customHeight="1" x14ac:dyDescent="0.25"/>
    <row r="53" spans="4:8" ht="20.100000000000001" customHeight="1" x14ac:dyDescent="0.25"/>
    <row r="54" spans="4:8" ht="20.100000000000001" customHeight="1" x14ac:dyDescent="0.25">
      <c r="G54" s="84"/>
    </row>
    <row r="55" spans="4:8" ht="20.100000000000001" customHeight="1" x14ac:dyDescent="0.25">
      <c r="D55" s="6"/>
    </row>
    <row r="56" spans="4:8" ht="20.100000000000001" customHeight="1" x14ac:dyDescent="0.25"/>
    <row r="57" spans="4:8" ht="20.100000000000001" customHeight="1" x14ac:dyDescent="0.25">
      <c r="D57" s="23"/>
      <c r="F57" s="85"/>
    </row>
    <row r="58" spans="4:8" ht="20.100000000000001" customHeight="1" x14ac:dyDescent="0.25">
      <c r="D58" s="1"/>
      <c r="E58" s="86"/>
    </row>
    <row r="59" spans="4:8" ht="20.100000000000001" customHeight="1" x14ac:dyDescent="0.25">
      <c r="D59" s="1"/>
      <c r="E59" s="86"/>
    </row>
    <row r="60" spans="4:8" ht="20.100000000000001" customHeight="1" x14ac:dyDescent="0.25">
      <c r="D60" s="1"/>
      <c r="E60" s="87"/>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6"/>
    </row>
    <row r="65" spans="4:9" ht="20.100000000000001" customHeight="1" x14ac:dyDescent="0.25">
      <c r="D65" s="1"/>
      <c r="E65" s="86"/>
    </row>
    <row r="66" spans="4:9" ht="20.100000000000001" customHeight="1" x14ac:dyDescent="0.25">
      <c r="D66" s="1"/>
      <c r="E66" s="87"/>
    </row>
    <row r="67" spans="4:9" ht="20.100000000000001" customHeight="1" x14ac:dyDescent="0.25"/>
    <row r="68" spans="4:9" ht="20.100000000000001" customHeight="1" x14ac:dyDescent="0.25"/>
    <row r="69" spans="4:9" ht="20.100000000000001" customHeight="1" x14ac:dyDescent="0.25">
      <c r="D69" s="61"/>
      <c r="E69" s="61"/>
      <c r="F69" s="61"/>
      <c r="G69" s="61"/>
      <c r="H69" s="61"/>
      <c r="I69" s="61"/>
    </row>
    <row r="70" spans="4:9" ht="20.100000000000001" customHeight="1" x14ac:dyDescent="0.25">
      <c r="D70" s="61"/>
      <c r="E70" s="61"/>
      <c r="F70" s="61"/>
      <c r="G70" s="61"/>
      <c r="H70" s="61"/>
      <c r="I70" s="61"/>
    </row>
    <row r="71" spans="4:9" ht="20.100000000000001" customHeight="1" x14ac:dyDescent="0.25">
      <c r="D71" s="61"/>
      <c r="E71" s="61"/>
      <c r="F71" s="61"/>
      <c r="G71" s="61"/>
      <c r="H71" s="61"/>
      <c r="I71" s="61"/>
    </row>
    <row r="72" spans="4:9" ht="20.100000000000001" customHeight="1" x14ac:dyDescent="0.25">
      <c r="D72" s="61"/>
      <c r="E72" s="61"/>
      <c r="F72" s="61"/>
      <c r="G72" s="61"/>
      <c r="H72" s="61"/>
      <c r="I72" s="61"/>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8"/>
    </row>
    <row r="79" spans="4:9" ht="20.100000000000001" customHeight="1" x14ac:dyDescent="0.25">
      <c r="D79" s="88"/>
    </row>
    <row r="80" spans="4:9" ht="20.100000000000001" customHeight="1" x14ac:dyDescent="0.25">
      <c r="D80" s="88"/>
    </row>
    <row r="81" spans="4:4" ht="20.100000000000001" customHeight="1" x14ac:dyDescent="0.25">
      <c r="D81" s="88"/>
    </row>
    <row r="82" spans="4:4" ht="20.100000000000001" customHeight="1" x14ac:dyDescent="0.25">
      <c r="D82" s="88"/>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workbookViewId="0">
      <selection activeCell="D52" sqref="D52"/>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8" customWidth="1"/>
    <col min="17" max="22" width="30.7109375" style="58" customWidth="1"/>
    <col min="23" max="23" width="4.7109375" style="58" customWidth="1"/>
  </cols>
  <sheetData>
    <row r="1" spans="1:23" s="69" customFormat="1" ht="30" customHeight="1" x14ac:dyDescent="0.35">
      <c r="A1" s="69" t="e" vm="1">
        <v>#VALUE!</v>
      </c>
      <c r="C1" s="69" t="s">
        <v>149</v>
      </c>
      <c r="O1" s="58"/>
      <c r="P1" s="58"/>
      <c r="Q1" s="58"/>
      <c r="R1" s="58"/>
      <c r="S1" s="58"/>
      <c r="T1" s="58"/>
      <c r="U1" s="58"/>
      <c r="V1" s="58"/>
      <c r="W1" s="58"/>
    </row>
    <row r="2" spans="1:23" s="9" customFormat="1" ht="20.100000000000001" customHeight="1" x14ac:dyDescent="0.25">
      <c r="O2" s="58"/>
      <c r="P2" s="58"/>
      <c r="Q2" s="58"/>
      <c r="R2" s="58"/>
      <c r="S2" s="58"/>
      <c r="T2" s="58"/>
      <c r="U2" s="58"/>
      <c r="V2" s="58"/>
      <c r="W2" s="58"/>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96</v>
      </c>
      <c r="N5" s="3"/>
      <c r="R5" s="7"/>
    </row>
    <row r="6" spans="1:23" ht="20.100000000000001" customHeight="1" x14ac:dyDescent="0.25">
      <c r="A6" s="16"/>
      <c r="N6" s="3"/>
      <c r="R6" s="7"/>
    </row>
    <row r="7" spans="1:23" ht="20.100000000000001" customHeight="1" x14ac:dyDescent="0.25">
      <c r="A7" s="20" t="s">
        <v>1</v>
      </c>
      <c r="D7" s="1" t="s">
        <v>127</v>
      </c>
      <c r="E7" s="42" t="s">
        <v>165</v>
      </c>
      <c r="F7" s="2" t="s">
        <v>9</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4"/>
      <c r="E9" s="41" t="s">
        <v>128</v>
      </c>
      <c r="F9" s="41" t="s">
        <v>145</v>
      </c>
      <c r="G9" s="41" t="s">
        <v>146</v>
      </c>
      <c r="H9" s="41" t="s">
        <v>147</v>
      </c>
      <c r="I9" s="41" t="s">
        <v>148</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2">
        <v>100</v>
      </c>
      <c r="F10" s="102">
        <v>100</v>
      </c>
      <c r="G10" s="102">
        <v>100</v>
      </c>
      <c r="H10" s="102">
        <v>100</v>
      </c>
      <c r="I10" s="102">
        <v>100</v>
      </c>
      <c r="J10" s="2" t="s">
        <v>98</v>
      </c>
      <c r="K10" s="2"/>
      <c r="L10" s="2"/>
      <c r="M10" s="2"/>
      <c r="R10" s="7"/>
    </row>
    <row r="11" spans="1:23" ht="20.100000000000001" customHeight="1" x14ac:dyDescent="0.25">
      <c r="A11" s="19" t="s">
        <v>72</v>
      </c>
      <c r="R11" s="7"/>
    </row>
    <row r="12" spans="1:23" ht="20.100000000000001" customHeight="1" x14ac:dyDescent="0.25">
      <c r="A12" s="17" t="str">
        <f>HYPERLINK("#'3.3.1.1-2 Enteric Methane'!A1", "3.3.1.1-2 Enteric Methane")</f>
        <v>3.3.1.1-2 Enteric Methane</v>
      </c>
      <c r="D12" s="50" t="s">
        <v>162</v>
      </c>
      <c r="R12" s="7"/>
    </row>
    <row r="13" spans="1:23" ht="20.100000000000001" customHeight="1" x14ac:dyDescent="0.25">
      <c r="A13" s="17"/>
      <c r="D13" s="64" t="s">
        <v>158</v>
      </c>
      <c r="E13" s="41" t="s">
        <v>128</v>
      </c>
      <c r="F13" s="41" t="s">
        <v>145</v>
      </c>
      <c r="G13" s="41" t="s">
        <v>146</v>
      </c>
      <c r="H13" s="41" t="s">
        <v>147</v>
      </c>
      <c r="I13" s="41" t="s">
        <v>148</v>
      </c>
      <c r="R13" s="40"/>
    </row>
    <row r="14" spans="1:23" ht="20.100000000000001" customHeight="1" x14ac:dyDescent="0.25">
      <c r="A14" s="18" t="s">
        <v>2</v>
      </c>
      <c r="D14" s="1" t="s">
        <v>163</v>
      </c>
      <c r="E14" s="54" cm="1">
        <f t="array" ref="E14">Common_InputFunctions.Utility_LookupValueInTableNumber($E$7, Table_SourceData_Dairy_WjCowsHeifers[Breed],Table_SourceData_Dairy_WjCowsHeifers[Milking cows])</f>
        <v>550</v>
      </c>
      <c r="F14" s="54" cm="1">
        <f t="array" ref="F14">Common_InputFunctions.Utility_LookupValueInTableNumber($E$7, Table_SourceData_Dairy_WjCowsHeifers[Breed],Table_SourceData_Dairy_WjCowsHeifers[Heifers &gt; 1])</f>
        <v>380</v>
      </c>
      <c r="G14" s="54" cm="1">
        <f t="array" ref="G14">Common_InputFunctions.Utility_LookupValueInTableNumber($E$7, Table_SourceData_Dairy_WjCowsHeifers[Breed],Table_SourceData_Dairy_WjCowsHeifers[Heifers &lt; 1 (weaned)])</f>
        <v>155</v>
      </c>
      <c r="H14" s="54" cm="1">
        <f t="array" ref="H14">Table_SourceData_Dairy_WjBulls[Bulls &gt; 1]</f>
        <v>600</v>
      </c>
      <c r="I14" s="54" cm="1">
        <f t="array" ref="I14">Table_SourceData_Dairy_WjBulls[Bulls &lt; 1 (weaned)]</f>
        <v>225</v>
      </c>
      <c r="J14" s="2" t="s">
        <v>150</v>
      </c>
      <c r="K14" s="2"/>
      <c r="L14" s="2"/>
      <c r="M14" s="2"/>
      <c r="R14" s="40"/>
    </row>
    <row r="15" spans="1:23" ht="20.100000000000001" customHeight="1" x14ac:dyDescent="0.25">
      <c r="A15" s="17" t="str">
        <f>HYPERLINK("#'Constants - Dairy'!A1", "Constants - Dairy")</f>
        <v>Constants - Dairy</v>
      </c>
      <c r="D15" s="1" t="s">
        <v>164</v>
      </c>
      <c r="E15" s="54" cm="1">
        <f t="array" ref="E15">Table_SourceData_Dairy_LWGj[Milking cows]</f>
        <v>1.6E-2</v>
      </c>
      <c r="F15" s="54" cm="1">
        <f t="array" ref="F15">Table_SourceData_Dairy_LWGj[Heifers &gt; 1]</f>
        <v>0.6</v>
      </c>
      <c r="G15" s="54" cm="1">
        <f t="array" ref="G15">Table_SourceData_Dairy_LWGj[Heifers &lt; 1 (weaned)]</f>
        <v>0.56999999999999995</v>
      </c>
      <c r="H15" s="54" cm="1">
        <f t="array" ref="H15">Table_SourceData_Dairy_LWGj[Bulls &gt; 1]</f>
        <v>0.1</v>
      </c>
      <c r="I15" s="54" cm="1">
        <f t="array" ref="I15">Table_SourceData_Dairy_LWGj[Bulls &lt; 1 (weaned)]</f>
        <v>0.8</v>
      </c>
      <c r="J15" s="2" t="s">
        <v>151</v>
      </c>
      <c r="K15" s="2"/>
      <c r="L15" s="2"/>
      <c r="M15" s="2"/>
      <c r="R15" s="40"/>
    </row>
    <row r="16" spans="1:23" ht="20.100000000000001" customHeight="1" x14ac:dyDescent="0.25">
      <c r="A16" s="17" t="str">
        <f>HYPERLINK("#'Constants - Livestock'!A1", "Constants - Livestock")</f>
        <v>Constants - Livestock</v>
      </c>
      <c r="R16" s="40"/>
    </row>
    <row r="17" spans="1:18" ht="20.100000000000001" customHeight="1" x14ac:dyDescent="0.25">
      <c r="A17" s="17" t="str">
        <f>HYPERLINK("#'Constants - Common'!A1", "Constants - Common")</f>
        <v>Constants - Common</v>
      </c>
      <c r="D17" s="64" t="s">
        <v>157</v>
      </c>
      <c r="E17" s="41" t="s">
        <v>128</v>
      </c>
      <c r="F17" s="41" t="s">
        <v>145</v>
      </c>
      <c r="G17" s="41" t="s">
        <v>146</v>
      </c>
      <c r="H17" s="41" t="s">
        <v>147</v>
      </c>
      <c r="I17" s="41" t="s">
        <v>148</v>
      </c>
      <c r="R17" s="7"/>
    </row>
    <row r="18" spans="1:18" ht="20.100000000000001" customHeight="1" x14ac:dyDescent="0.25">
      <c r="A18" s="17" t="str">
        <f>HYPERLINK("#'Acknowledgements'!A1", "Acknowledgements")</f>
        <v>Acknowledgements</v>
      </c>
      <c r="D18" s="1" t="s">
        <v>163</v>
      </c>
      <c r="E18" s="67" cm="1">
        <f t="array" ref="E18">Common_InputFunctions.Utility_LookupValueInTableNumber($E$7, Table_SourceData_Dairy_WjCowsHeifers[Breed],Table_SourceData_Dairy_WjCowsHeifers[Milking cows])</f>
        <v>550</v>
      </c>
      <c r="F18" s="67" cm="1">
        <f t="array" ref="F18">Common_InputFunctions.Utility_LookupValueInTableNumber($E$7, Table_SourceData_Dairy_WjCowsHeifers[Breed],Table_SourceData_Dairy_WjCowsHeifers[Heifers &gt; 1])</f>
        <v>380</v>
      </c>
      <c r="G18" s="67" cm="1">
        <f t="array" ref="G18">Common_InputFunctions.Utility_LookupValueInTableNumber($E$7, Table_SourceData_Dairy_WjCowsHeifers[Breed],Table_SourceData_Dairy_WjCowsHeifers[Heifers &lt; 1 (weaned)])</f>
        <v>155</v>
      </c>
      <c r="H18" s="67" cm="1">
        <f t="array" ref="H18">Table_SourceData_Dairy_WjBulls[Bulls &gt; 1]</f>
        <v>600</v>
      </c>
      <c r="I18" s="67" cm="1">
        <f t="array" ref="I18">Table_SourceData_Dairy_WjBulls[Bulls &lt; 1 (weaned)]</f>
        <v>225</v>
      </c>
      <c r="J18" s="2" t="s">
        <v>150</v>
      </c>
      <c r="K18" s="2"/>
      <c r="L18" s="2"/>
      <c r="M18" s="2"/>
      <c r="R18" s="7"/>
    </row>
    <row r="19" spans="1:18" ht="20.100000000000001" customHeight="1" x14ac:dyDescent="0.25">
      <c r="D19" s="1" t="s">
        <v>164</v>
      </c>
      <c r="E19" s="67" cm="1">
        <f t="array" ref="E19">Table_SourceData_Dairy_LWGj[Milking cows]</f>
        <v>1.6E-2</v>
      </c>
      <c r="F19" s="67" cm="1">
        <f t="array" ref="F19">Table_SourceData_Dairy_LWGj[Heifers &gt; 1]</f>
        <v>0.6</v>
      </c>
      <c r="G19" s="67" cm="1">
        <f t="array" ref="G19">Table_SourceData_Dairy_LWGj[Heifers &lt; 1 (weaned)]</f>
        <v>0.56999999999999995</v>
      </c>
      <c r="H19" s="67" cm="1">
        <f t="array" ref="H19">Table_SourceData_Dairy_LWGj[Bulls &gt; 1]</f>
        <v>0.1</v>
      </c>
      <c r="I19" s="67" cm="1">
        <f t="array" ref="I19">Table_SourceData_Dairy_LWGj[Bulls &lt; 1 (weaned)]</f>
        <v>0.8</v>
      </c>
      <c r="J19" s="2" t="s">
        <v>151</v>
      </c>
      <c r="K19" s="2"/>
      <c r="L19" s="2"/>
      <c r="M19" s="2"/>
      <c r="R19" s="7"/>
    </row>
    <row r="20" spans="1:18" ht="20.100000000000001" customHeight="1" x14ac:dyDescent="0.25">
      <c r="R20" s="7"/>
    </row>
    <row r="21" spans="1:18" ht="20.100000000000001" customHeight="1" x14ac:dyDescent="0.25">
      <c r="D21" s="50" t="s">
        <v>97</v>
      </c>
      <c r="R21" s="7"/>
    </row>
    <row r="22" spans="1:18" ht="20.100000000000001" customHeight="1" x14ac:dyDescent="0.25">
      <c r="R22" s="7"/>
    </row>
    <row r="23" spans="1:18" ht="20.100000000000001" customHeight="1" x14ac:dyDescent="0.25">
      <c r="D23" s="64" t="s">
        <v>158</v>
      </c>
      <c r="E23" s="41" t="s">
        <v>128</v>
      </c>
      <c r="F23" s="41" t="s">
        <v>145</v>
      </c>
      <c r="G23" s="41" t="s">
        <v>146</v>
      </c>
      <c r="H23" s="41" t="s">
        <v>147</v>
      </c>
      <c r="I23" s="41" t="s">
        <v>148</v>
      </c>
      <c r="R23" s="7"/>
    </row>
    <row r="24" spans="1:18" ht="20.100000000000001" customHeight="1" x14ac:dyDescent="0.25">
      <c r="D24" s="1" t="str">
        <f>"Average duration of stay between " &amp; TEXT('Input - Site'!$E$12, "dd mmm yy") &amp; " and " &amp; TEXT('Input - Site'!$E$13, "dd mmm yy") &amp; " weaned livestock"</f>
        <v>Average duration of stay between 01 Jan 24 and 31 Dec 24 weaned livestock</v>
      </c>
      <c r="E24" s="54" cm="1">
        <f t="array" ref="E24">Common_InputFunctions.Utility_LookupValueInTableNumber(E23,Table_SourceData_Dairy_Duration[Animal class j],Table_SourceData_Dairy_Duration[Duration (weaned)])</f>
        <v>365</v>
      </c>
      <c r="F24" s="54" cm="1">
        <f t="array" ref="F24">Common_InputFunctions.Utility_LookupValueInTableNumber(F23,Table_SourceData_Dairy_Duration[Animal class j],Table_SourceData_Dairy_Duration[Duration (weaned)])</f>
        <v>365</v>
      </c>
      <c r="G24" s="54" cm="1">
        <f t="array" ref="G24">Common_InputFunctions.Utility_LookupValueInTableNumber(G23,Table_SourceData_Dairy_Duration[Animal class j],Table_SourceData_Dairy_Duration[Duration (weaned)])</f>
        <v>281</v>
      </c>
      <c r="H24" s="54" cm="1">
        <f t="array" ref="H24">Common_InputFunctions.Utility_LookupValueInTableNumber(H23,Table_SourceData_Dairy_Duration[Animal class j],Table_SourceData_Dairy_Duration[Duration (weaned)])</f>
        <v>365</v>
      </c>
      <c r="I24" s="54" cm="1">
        <f t="array" ref="I24">Common_InputFunctions.Utility_LookupValueInTableNumber(I23,Table_SourceData_Dairy_Duration[Animal class j],Table_SourceData_Dairy_Duration[Duration (weaned)])</f>
        <v>281</v>
      </c>
      <c r="J24" s="2" t="s">
        <v>52</v>
      </c>
      <c r="K24" s="2"/>
      <c r="L24" s="2"/>
      <c r="M24" s="2"/>
      <c r="R24" s="7"/>
    </row>
    <row r="25" spans="1:18" ht="20.100000000000001" customHeight="1" x14ac:dyDescent="0.25">
      <c r="D25" s="1" t="str">
        <f>"Average duration of stay between " &amp; TEXT('Input - Site'!$E$12, "dd mmm yy") &amp; " and " &amp; TEXT('Input - Site'!$E$13, "dd mmm yy") &amp; " pre-weaned livestock"</f>
        <v>Average duration of stay between 01 Jan 24 and 31 Dec 24 pre-weaned livestock</v>
      </c>
      <c r="E25" s="54" cm="1">
        <f t="array" ref="E25">Common_InputFunctions.Utility_LookupValueInTableNumber(E23,Table_SourceData_Dairy_Duration[Animal class j],Table_SourceData_Dairy_Duration[Duration (pre-weaned)])</f>
        <v>0</v>
      </c>
      <c r="F25" s="54" cm="1">
        <f t="array" ref="F25">Common_InputFunctions.Utility_LookupValueInTableNumber(F23,Table_SourceData_Dairy_Duration[Animal class j],Table_SourceData_Dairy_Duration[Duration (pre-weaned)])</f>
        <v>0</v>
      </c>
      <c r="G25" s="54" cm="1">
        <f t="array" ref="G25">Common_InputFunctions.Utility_LookupValueInTableNumber(G23,Table_SourceData_Dairy_Duration[Animal class j],Table_SourceData_Dairy_Duration[Duration (pre-weaned)])</f>
        <v>84</v>
      </c>
      <c r="H25" s="54" cm="1">
        <f t="array" ref="H25">Common_InputFunctions.Utility_LookupValueInTableNumber(H23,Table_SourceData_Dairy_Duration[Animal class j],Table_SourceData_Dairy_Duration[Duration (pre-weaned)])</f>
        <v>0</v>
      </c>
      <c r="I25" s="54" cm="1">
        <f t="array" ref="I25">Common_InputFunctions.Utility_LookupValueInTableNumber(I23,Table_SourceData_Dairy_Duration[Animal class j],Table_SourceData_Dairy_Duration[Duration (pre-weaned)])</f>
        <v>84</v>
      </c>
      <c r="J25" s="2" t="s">
        <v>52</v>
      </c>
      <c r="K25" s="2"/>
      <c r="L25" s="2"/>
      <c r="M25" s="2"/>
      <c r="R25" s="7"/>
    </row>
    <row r="26" spans="1:18" ht="20.100000000000001" customHeight="1" x14ac:dyDescent="0.25">
      <c r="R26" s="7"/>
    </row>
    <row r="27" spans="1:18" ht="20.100000000000001" customHeight="1" x14ac:dyDescent="0.25">
      <c r="D27" s="64" t="s">
        <v>157</v>
      </c>
      <c r="E27" s="41" t="s">
        <v>128</v>
      </c>
      <c r="F27" s="41" t="s">
        <v>145</v>
      </c>
      <c r="G27" s="41" t="s">
        <v>146</v>
      </c>
      <c r="H27" s="41" t="s">
        <v>147</v>
      </c>
      <c r="I27" s="41" t="s">
        <v>148</v>
      </c>
      <c r="R27" s="7"/>
    </row>
    <row r="28" spans="1:18" ht="20.100000000000001" customHeight="1" x14ac:dyDescent="0.25">
      <c r="D28" s="1" t="str">
        <f>"Average duration of stay between " &amp; TEXT('Input - Site'!$E$12, "dd mmm yy") &amp; " and " &amp; TEXT('Input - Site'!$E$13, "dd mmm yy") &amp; " weaned livestock"</f>
        <v>Average duration of stay between 01 Jan 24 and 31 Dec 24 weaned livestock</v>
      </c>
      <c r="E28" s="67" cm="1">
        <f t="array" ref="E28">Common_InputFunctions.Utility_LookupValueInTableNumber(E27,Table_SourceData_Dairy_Duration[Animal class j],Table_SourceData_Dairy_Duration[Duration (weaned)])</f>
        <v>365</v>
      </c>
      <c r="F28" s="67" cm="1">
        <f t="array" ref="F28">Common_InputFunctions.Utility_LookupValueInTableNumber(F27,Table_SourceData_Dairy_Duration[Animal class j],Table_SourceData_Dairy_Duration[Duration (weaned)])</f>
        <v>365</v>
      </c>
      <c r="G28" s="67" cm="1">
        <f t="array" ref="G28">Common_InputFunctions.Utility_LookupValueInTableNumber(G27,Table_SourceData_Dairy_Duration[Animal class j],Table_SourceData_Dairy_Duration[Duration (weaned)])</f>
        <v>281</v>
      </c>
      <c r="H28" s="67" cm="1">
        <f t="array" ref="H28">Common_InputFunctions.Utility_LookupValueInTableNumber(H27,Table_SourceData_Dairy_Duration[Animal class j],Table_SourceData_Dairy_Duration[Duration (weaned)])</f>
        <v>365</v>
      </c>
      <c r="I28" s="67" cm="1">
        <f t="array" ref="I28">Common_InputFunctions.Utility_LookupValueInTableNumber(I27,Table_SourceData_Dairy_Duration[Animal class j],Table_SourceData_Dairy_Duration[Duration (weaned)])</f>
        <v>281</v>
      </c>
      <c r="J28" s="2" t="s">
        <v>52</v>
      </c>
      <c r="K28" s="2"/>
      <c r="L28" s="2"/>
      <c r="M28" s="2"/>
      <c r="R28" s="7"/>
    </row>
    <row r="29" spans="1:18" ht="20.100000000000001" customHeight="1" x14ac:dyDescent="0.25">
      <c r="D29" s="1" t="str">
        <f>"Average duration of stay between " &amp; TEXT('Input - Site'!$E$12, "dd mmm yy") &amp; " and " &amp; TEXT('Input - Site'!$E$13, "dd mmm yy") &amp; " pre-weaned livestock"</f>
        <v>Average duration of stay between 01 Jan 24 and 31 Dec 24 pre-weaned livestock</v>
      </c>
      <c r="E29" s="54">
        <f>365-E28</f>
        <v>0</v>
      </c>
      <c r="F29" s="54">
        <f t="shared" ref="F29:I29" si="0">365-F28</f>
        <v>0</v>
      </c>
      <c r="G29" s="54">
        <f t="shared" si="0"/>
        <v>84</v>
      </c>
      <c r="H29" s="54">
        <f t="shared" si="0"/>
        <v>0</v>
      </c>
      <c r="I29" s="54">
        <f t="shared" si="0"/>
        <v>84</v>
      </c>
      <c r="J29" s="2" t="s">
        <v>52</v>
      </c>
      <c r="K29" s="2"/>
      <c r="L29" s="2"/>
      <c r="M29" s="2"/>
      <c r="R29" s="7"/>
    </row>
    <row r="30" spans="1:18" ht="20.100000000000001" customHeight="1" x14ac:dyDescent="0.25">
      <c r="A30" s="17"/>
      <c r="R30" s="7"/>
    </row>
    <row r="31" spans="1:18" ht="20.100000000000001" customHeight="1" x14ac:dyDescent="0.25">
      <c r="A31" s="68"/>
      <c r="R31" s="7"/>
    </row>
    <row r="32" spans="1:18" ht="20.100000000000001" customHeight="1" x14ac:dyDescent="0.25">
      <c r="A32" s="68"/>
      <c r="C32" s="48"/>
      <c r="D32" s="48"/>
      <c r="E32" s="48"/>
      <c r="F32" s="48"/>
      <c r="G32" s="48"/>
      <c r="H32" s="48"/>
      <c r="I32" s="48"/>
      <c r="J32" s="48"/>
      <c r="K32" s="48"/>
      <c r="L32" s="48"/>
      <c r="M32" s="48"/>
      <c r="N32" s="48"/>
      <c r="R32" s="7"/>
    </row>
    <row r="33" spans="1:18" ht="20.100000000000001" customHeight="1" x14ac:dyDescent="0.25">
      <c r="A33" s="17"/>
      <c r="D33" s="6" t="s">
        <v>160</v>
      </c>
      <c r="R33" s="7"/>
    </row>
    <row r="34" spans="1:18" ht="20.100000000000001" customHeight="1" x14ac:dyDescent="0.25">
      <c r="D34" s="50"/>
      <c r="R34" s="7"/>
    </row>
    <row r="35" spans="1:18" ht="20.100000000000001" customHeight="1" x14ac:dyDescent="0.25">
      <c r="D35" s="64" t="s">
        <v>158</v>
      </c>
      <c r="E35" s="41" t="s">
        <v>128</v>
      </c>
      <c r="F35" s="41" t="s">
        <v>145</v>
      </c>
      <c r="G35" s="41" t="s">
        <v>146</v>
      </c>
      <c r="H35" s="41" t="s">
        <v>147</v>
      </c>
      <c r="I35" s="41" t="s">
        <v>148</v>
      </c>
      <c r="R35" s="7"/>
    </row>
    <row r="36" spans="1:18" ht="20.100000000000001" customHeight="1" x14ac:dyDescent="0.25">
      <c r="D36" s="1" t="s">
        <v>159</v>
      </c>
      <c r="E36" s="54" cm="1">
        <f t="array" ref="E36">Common_InputFunctions.Utility_LookupValueInTableNumber(E35,Table_SourceData_Dairy_Duration[Animal class j],Table_SourceData_Dairy_Duration[Duration (weaned)])</f>
        <v>365</v>
      </c>
      <c r="F36" s="54" cm="1">
        <f t="array" ref="F36">Common_InputFunctions.Utility_LookupValueInTableNumber(F35,Table_SourceData_Dairy_Duration[Animal class j],Table_SourceData_Dairy_Duration[Duration (weaned)])</f>
        <v>365</v>
      </c>
      <c r="G36" s="54" cm="1">
        <f t="array" ref="G36">Common_InputFunctions.Utility_LookupValueInTableNumber(G35,Table_SourceData_Dairy_Duration[Animal class j],Table_SourceData_Dairy_Duration[Duration (weaned)])</f>
        <v>281</v>
      </c>
      <c r="H36" s="54" cm="1">
        <f t="array" ref="H36">Common_InputFunctions.Utility_LookupValueInTableNumber(H35,Table_SourceData_Dairy_Duration[Animal class j],Table_SourceData_Dairy_Duration[Duration (weaned)])</f>
        <v>365</v>
      </c>
      <c r="I36" s="54" cm="1">
        <f t="array" ref="I36">Common_InputFunctions.Utility_LookupValueInTableNumber(I35,Table_SourceData_Dairy_Duration[Animal class j],Table_SourceData_Dairy_Duration[Duration (weaned)])</f>
        <v>281</v>
      </c>
      <c r="J36" s="2" t="s">
        <v>161</v>
      </c>
      <c r="K36" s="2"/>
      <c r="L36" s="2"/>
      <c r="M36" s="2"/>
      <c r="R36" s="7"/>
    </row>
    <row r="37" spans="1:18" ht="20.100000000000001" customHeight="1" x14ac:dyDescent="0.25">
      <c r="D37" s="1" t="s">
        <v>16</v>
      </c>
      <c r="E37" s="54">
        <f>'Constants - Dairy'!$D$160</f>
        <v>0.75</v>
      </c>
      <c r="F37" s="54">
        <f>'Constants - Dairy'!$D$160</f>
        <v>0.75</v>
      </c>
      <c r="G37" s="54">
        <f>'Constants - Dairy'!$D$160</f>
        <v>0.75</v>
      </c>
      <c r="H37" s="54">
        <f>'Constants - Dairy'!$D$160</f>
        <v>0.75</v>
      </c>
      <c r="I37" s="54">
        <f>'Constants - Dairy'!$D$160</f>
        <v>0.75</v>
      </c>
      <c r="J37" s="2" t="s">
        <v>93</v>
      </c>
      <c r="K37" s="2"/>
      <c r="L37" s="2"/>
      <c r="M37" s="2"/>
      <c r="R37" s="7"/>
    </row>
    <row r="38" spans="1:18" ht="20.100000000000001" customHeight="1" x14ac:dyDescent="0.25">
      <c r="D38" s="1" t="s">
        <v>101</v>
      </c>
      <c r="E38" s="54">
        <f>'Constants - Dairy'!$D$153</f>
        <v>0.2</v>
      </c>
      <c r="F38" s="54">
        <f>'Constants - Dairy'!$D$153</f>
        <v>0.2</v>
      </c>
      <c r="G38" s="54">
        <f>'Constants - Dairy'!$D$153</f>
        <v>0.2</v>
      </c>
      <c r="H38" s="54">
        <f>'Constants - Dairy'!$D$153</f>
        <v>0.2</v>
      </c>
      <c r="I38" s="54">
        <f>'Constants - Dairy'!$D$153</f>
        <v>0.2</v>
      </c>
      <c r="J38" s="2" t="s">
        <v>93</v>
      </c>
      <c r="K38" s="2"/>
      <c r="L38" s="2"/>
      <c r="M38" s="2"/>
      <c r="R38" s="7"/>
    </row>
    <row r="39" spans="1:18" ht="20.100000000000001" customHeight="1" x14ac:dyDescent="0.25">
      <c r="A39" s="17"/>
      <c r="R39" s="7"/>
    </row>
    <row r="40" spans="1:18" ht="20.100000000000001" customHeight="1" x14ac:dyDescent="0.25">
      <c r="D40" s="64" t="s">
        <v>157</v>
      </c>
      <c r="E40" s="41" t="s">
        <v>128</v>
      </c>
      <c r="F40" s="41" t="s">
        <v>145</v>
      </c>
      <c r="G40" s="41" t="s">
        <v>146</v>
      </c>
      <c r="H40" s="41" t="s">
        <v>147</v>
      </c>
      <c r="I40" s="41" t="s">
        <v>148</v>
      </c>
      <c r="R40" s="7"/>
    </row>
    <row r="41" spans="1:18" ht="20.100000000000001" customHeight="1" x14ac:dyDescent="0.25">
      <c r="A41" s="47"/>
      <c r="D41" s="1" t="s">
        <v>159</v>
      </c>
      <c r="E41" s="67" cm="1">
        <f t="array" ref="E41">Common_InputFunctions.Utility_LookupValueInTableNumber(E40,Table_SourceData_Dairy_Duration[Animal class j],Table_SourceData_Dairy_Duration[Duration (weaned)])</f>
        <v>365</v>
      </c>
      <c r="F41" s="67" cm="1">
        <f t="array" ref="F41">Common_InputFunctions.Utility_LookupValueInTableNumber(F40,Table_SourceData_Dairy_Duration[Animal class j],Table_SourceData_Dairy_Duration[Duration (weaned)])</f>
        <v>365</v>
      </c>
      <c r="G41" s="67" cm="1">
        <f t="array" ref="G41">Common_InputFunctions.Utility_LookupValueInTableNumber(G40,Table_SourceData_Dairy_Duration[Animal class j],Table_SourceData_Dairy_Duration[Duration (weaned)])</f>
        <v>281</v>
      </c>
      <c r="H41" s="67" cm="1">
        <f t="array" ref="H41">Common_InputFunctions.Utility_LookupValueInTableNumber(H40,Table_SourceData_Dairy_Duration[Animal class j],Table_SourceData_Dairy_Duration[Duration (weaned)])</f>
        <v>365</v>
      </c>
      <c r="I41" s="67" cm="1">
        <f t="array" ref="I41">Common_InputFunctions.Utility_LookupValueInTableNumber(I40,Table_SourceData_Dairy_Duration[Animal class j],Table_SourceData_Dairy_Duration[Duration (weaned)])</f>
        <v>281</v>
      </c>
      <c r="J41" s="2" t="s">
        <v>161</v>
      </c>
      <c r="K41" s="2"/>
      <c r="L41" s="2"/>
      <c r="M41" s="2"/>
      <c r="R41" s="7"/>
    </row>
    <row r="42" spans="1:18" ht="20.100000000000001" customHeight="1" x14ac:dyDescent="0.25">
      <c r="D42" s="1" t="s">
        <v>16</v>
      </c>
      <c r="E42" s="67">
        <v>0.75</v>
      </c>
      <c r="F42" s="67">
        <v>0.75</v>
      </c>
      <c r="G42" s="67">
        <v>0.75</v>
      </c>
      <c r="H42" s="67">
        <v>0.75</v>
      </c>
      <c r="I42" s="67">
        <v>0.75</v>
      </c>
      <c r="J42" s="2" t="s">
        <v>93</v>
      </c>
      <c r="K42" s="2"/>
      <c r="L42" s="2"/>
      <c r="M42" s="2"/>
      <c r="R42" s="7"/>
    </row>
    <row r="43" spans="1:18" ht="20.100000000000001" customHeight="1" x14ac:dyDescent="0.25">
      <c r="D43" s="1" t="s">
        <v>101</v>
      </c>
      <c r="E43" s="67">
        <v>0.2</v>
      </c>
      <c r="F43" s="67">
        <v>0.2</v>
      </c>
      <c r="G43" s="67">
        <v>0.2</v>
      </c>
      <c r="H43" s="67">
        <v>0.2</v>
      </c>
      <c r="I43" s="67">
        <v>0.2</v>
      </c>
      <c r="J43" s="2" t="s">
        <v>93</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152</v>
      </c>
      <c r="E47" s="3"/>
      <c r="F47" s="3"/>
      <c r="G47" s="3"/>
      <c r="H47" s="3"/>
      <c r="I47" s="3"/>
      <c r="J47" s="3"/>
      <c r="K47" s="3"/>
      <c r="L47" s="3"/>
      <c r="M47" s="3"/>
      <c r="R47" s="7"/>
    </row>
    <row r="48" spans="1:18" ht="20.100000000000001" customHeight="1" x14ac:dyDescent="0.25">
      <c r="G48" s="6"/>
      <c r="H48" s="6"/>
      <c r="I48" s="6"/>
      <c r="J48" s="117"/>
      <c r="K48" s="117"/>
      <c r="L48" s="117"/>
      <c r="M48" s="117"/>
      <c r="R48" s="7"/>
    </row>
    <row r="49" spans="4:18" ht="20.100000000000001" customHeight="1" x14ac:dyDescent="0.25">
      <c r="D49" s="1" t="s">
        <v>239</v>
      </c>
      <c r="E49" s="42" t="s">
        <v>252</v>
      </c>
      <c r="F49" s="2" t="s">
        <v>9</v>
      </c>
      <c r="H49" s="3"/>
      <c r="I49" s="3"/>
      <c r="J49" s="3"/>
      <c r="K49" s="3"/>
      <c r="L49" s="3"/>
      <c r="M49" s="3"/>
      <c r="R49" s="7"/>
    </row>
    <row r="50" spans="4:18" ht="20.100000000000001" customHeight="1" x14ac:dyDescent="0.25">
      <c r="R50" s="7"/>
    </row>
    <row r="51" spans="4:18" ht="20.100000000000001" customHeight="1" x14ac:dyDescent="0.25">
      <c r="E51" s="41" t="s">
        <v>128</v>
      </c>
      <c r="R51" s="7"/>
    </row>
    <row r="52" spans="4:18" ht="20.100000000000001" customHeight="1" x14ac:dyDescent="0.25">
      <c r="D52" s="1" t="s">
        <v>153</v>
      </c>
      <c r="E52" s="67">
        <v>20</v>
      </c>
      <c r="F52" s="2" t="str">
        <f>IF(E49="Litres of milk", "litres/head/day", "kg milk solids/head/day")</f>
        <v>litres/head/day</v>
      </c>
      <c r="R52" s="7"/>
    </row>
    <row r="53" spans="4:18" ht="20.100000000000001" customHeight="1" x14ac:dyDescent="0.25">
      <c r="E53" s="6"/>
      <c r="F53" s="6"/>
      <c r="R53" s="7"/>
    </row>
    <row r="54" spans="4:18" ht="20.100000000000001" customHeight="1" x14ac:dyDescent="0.25">
      <c r="D54" s="55" t="s">
        <v>249</v>
      </c>
      <c r="E54" s="41" t="s">
        <v>246</v>
      </c>
      <c r="F54" s="41" t="s">
        <v>247</v>
      </c>
      <c r="R54" s="7"/>
    </row>
    <row r="55" spans="4:18" ht="20.100000000000001" customHeight="1" x14ac:dyDescent="0.25">
      <c r="D55" s="1" t="s">
        <v>244</v>
      </c>
      <c r="E55" s="124">
        <f>'Constants - Dairy'!$D$221/100</f>
        <v>0.04</v>
      </c>
      <c r="F55" s="132">
        <f>'Constants - Dairy'!$D$221/100</f>
        <v>0.04</v>
      </c>
      <c r="G55" s="2" t="s">
        <v>248</v>
      </c>
      <c r="R55" s="7"/>
    </row>
    <row r="56" spans="4:18" ht="20.100000000000001" customHeight="1" x14ac:dyDescent="0.25">
      <c r="D56" s="1" t="s">
        <v>245</v>
      </c>
      <c r="E56" s="124">
        <f>'Constants - Dairy'!$D$227/100</f>
        <v>3.3000000000000002E-2</v>
      </c>
      <c r="F56" s="132">
        <f>'Constants - Dairy'!$D$227/100</f>
        <v>3.3000000000000002E-2</v>
      </c>
      <c r="G56" s="2" t="s">
        <v>248</v>
      </c>
      <c r="R56" s="7"/>
    </row>
    <row r="57" spans="4:18" ht="20.100000000000001" customHeight="1" x14ac:dyDescent="0.25">
      <c r="R57" s="7"/>
    </row>
    <row r="58" spans="4:18" ht="20.100000000000001" customHeight="1" x14ac:dyDescent="0.25">
      <c r="R58" s="7"/>
    </row>
    <row r="59" spans="4:18" ht="20.100000000000001" customHeight="1" x14ac:dyDescent="0.25">
      <c r="R59" s="7"/>
    </row>
    <row r="60" spans="4:18" ht="20.100000000000001" customHeight="1" x14ac:dyDescent="0.25">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row r="66" spans="18:18" ht="20.100000000000001" customHeight="1" x14ac:dyDescent="0.25"/>
    <row r="67" spans="18:18" ht="20.100000000000001" customHeight="1" x14ac:dyDescent="0.25"/>
    <row r="68" spans="18:18" ht="20.100000000000001" customHeight="1" x14ac:dyDescent="0.25"/>
    <row r="69" spans="18:18" ht="20.100000000000001" customHeight="1" x14ac:dyDescent="0.25"/>
    <row r="70" spans="18:18" ht="20.100000000000001" customHeight="1" x14ac:dyDescent="0.25"/>
    <row r="71" spans="18:18" ht="20.100000000000001" customHeight="1" x14ac:dyDescent="0.25"/>
    <row r="72" spans="18:18" ht="20.100000000000001" customHeight="1" x14ac:dyDescent="0.25"/>
    <row r="73" spans="18:18" ht="20.100000000000001" customHeight="1" x14ac:dyDescent="0.25"/>
    <row r="74" spans="18:18" ht="20.100000000000001" customHeight="1" x14ac:dyDescent="0.25"/>
    <row r="75" spans="18:18" ht="20.100000000000001" customHeight="1" x14ac:dyDescent="0.25"/>
    <row r="76" spans="18:18" ht="20.100000000000001" customHeight="1" x14ac:dyDescent="0.25"/>
    <row r="77" spans="18:18" ht="20.100000000000001" customHeight="1" x14ac:dyDescent="0.25"/>
    <row r="78" spans="18:18" ht="20.100000000000001" customHeight="1" x14ac:dyDescent="0.25"/>
    <row r="79" spans="18:18" ht="20.100000000000001" customHeight="1" x14ac:dyDescent="0.25"/>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8:18" ht="20.100000000000001" customHeight="1" x14ac:dyDescent="0.25">
      <c r="R97" s="7"/>
    </row>
    <row r="98" spans="18:18" ht="20.100000000000001" customHeight="1" x14ac:dyDescent="0.25">
      <c r="R98" s="7"/>
    </row>
    <row r="99" spans="18:18" ht="20.100000000000001" customHeight="1" x14ac:dyDescent="0.25">
      <c r="R99" s="7"/>
    </row>
    <row r="100" spans="18:18" ht="20.100000000000001" customHeight="1" x14ac:dyDescent="0.25">
      <c r="R100" s="7"/>
    </row>
    <row r="101" spans="18:18" ht="20.100000000000001" customHeight="1" x14ac:dyDescent="0.25">
      <c r="R101" s="7"/>
    </row>
    <row r="102" spans="18:18" ht="20.100000000000001" customHeight="1" x14ac:dyDescent="0.25">
      <c r="R102" s="7"/>
    </row>
    <row r="103" spans="18:18" ht="20.100000000000001" customHeight="1" x14ac:dyDescent="0.25">
      <c r="R103" s="7"/>
    </row>
    <row r="104" spans="18:18" ht="20.100000000000001" customHeight="1" x14ac:dyDescent="0.25">
      <c r="R104" s="7"/>
    </row>
    <row r="105" spans="18:18" ht="20.100000000000001" customHeight="1" x14ac:dyDescent="0.25">
      <c r="R105" s="7"/>
    </row>
    <row r="106" spans="18:18" ht="20.100000000000001" customHeight="1" x14ac:dyDescent="0.25">
      <c r="R106" s="7"/>
    </row>
    <row r="107" spans="18:18" ht="20.100000000000001" customHeight="1" x14ac:dyDescent="0.25"/>
    <row r="108" spans="18:18" ht="20.100000000000001" customHeight="1" x14ac:dyDescent="0.25"/>
    <row r="109" spans="18:18" ht="20.100000000000001" customHeight="1" x14ac:dyDescent="0.25"/>
    <row r="110" spans="18:18" ht="20.100000000000001" customHeight="1" x14ac:dyDescent="0.25"/>
    <row r="111" spans="18:18" ht="20.100000000000001" customHeight="1" x14ac:dyDescent="0.25"/>
    <row r="112" spans="18:18" ht="20.100000000000001" customHeight="1" x14ac:dyDescent="0.25"/>
    <row r="113" spans="11:13" ht="20.100000000000001" customHeight="1" x14ac:dyDescent="0.25"/>
    <row r="114" spans="11:13" ht="20.100000000000001" customHeight="1" x14ac:dyDescent="0.25"/>
    <row r="115" spans="11:13" ht="20.100000000000001" customHeight="1" x14ac:dyDescent="0.25"/>
    <row r="116" spans="11:13" ht="20.100000000000001" customHeight="1" x14ac:dyDescent="0.25"/>
    <row r="117" spans="11:13" ht="20.100000000000001" customHeight="1" x14ac:dyDescent="0.25"/>
    <row r="118" spans="11:13" ht="20.100000000000001" customHeight="1" x14ac:dyDescent="0.25"/>
    <row r="119" spans="11:13" ht="20.100000000000001" customHeight="1" x14ac:dyDescent="0.25"/>
    <row r="120" spans="11:13" ht="20.100000000000001" customHeight="1" x14ac:dyDescent="0.25"/>
    <row r="121" spans="11:13" ht="20.100000000000001" customHeight="1" x14ac:dyDescent="0.25"/>
    <row r="122" spans="11:13" ht="20.100000000000001" customHeight="1" x14ac:dyDescent="0.25"/>
    <row r="123" spans="11:13" ht="20.100000000000001" customHeight="1" x14ac:dyDescent="0.25">
      <c r="K123" s="2"/>
      <c r="L123" s="2"/>
      <c r="M123" s="2"/>
    </row>
    <row r="124" spans="11:13" ht="20.100000000000001" customHeight="1" x14ac:dyDescent="0.25"/>
    <row r="125" spans="11:13" ht="20.100000000000001" customHeight="1" x14ac:dyDescent="0.25"/>
    <row r="126" spans="11:13" ht="20.100000000000001" customHeight="1" x14ac:dyDescent="0.25"/>
    <row r="127" spans="11:13" ht="20.100000000000001" customHeight="1" x14ac:dyDescent="0.25"/>
    <row r="128" spans="11: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2"/>
      <c r="M137" s="2"/>
    </row>
    <row r="138" spans="12:13" ht="20.100000000000001" customHeight="1" x14ac:dyDescent="0.25">
      <c r="L138" s="2"/>
      <c r="M138" s="2"/>
    </row>
    <row r="139" spans="12:13" ht="20.100000000000001" customHeight="1" x14ac:dyDescent="0.25">
      <c r="L139" s="2"/>
      <c r="M139" s="2"/>
    </row>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5:J90 K89:M89 K95:M95 F98 J101:J106 K105:M105 K110:M110 K114:M114 K123:M123">
    <cfRule type="cellIs" dxfId="8" priority="30" operator="lessThan">
      <formula>0</formula>
    </cfRule>
  </conditionalFormatting>
  <conditionalFormatting sqref="E14:M15">
    <cfRule type="cellIs" dxfId="7" priority="2" operator="lessThan">
      <formula>0</formula>
    </cfRule>
  </conditionalFormatting>
  <conditionalFormatting sqref="E18:M19">
    <cfRule type="cellIs" dxfId="6" priority="1" operator="lessThan">
      <formula>0</formula>
    </cfRule>
  </conditionalFormatting>
  <conditionalFormatting sqref="E36:M38">
    <cfRule type="cellIs" dxfId="5" priority="6" operator="lessThan">
      <formula>0</formula>
    </cfRule>
  </conditionalFormatting>
  <conditionalFormatting sqref="E41:M43">
    <cfRule type="cellIs" dxfId="4" priority="3"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K65:M67">
    <cfRule type="cellIs" dxfId="1" priority="24" operator="lessThan">
      <formula>0</formula>
    </cfRule>
  </conditionalFormatting>
  <conditionalFormatting sqref="K70:M72">
    <cfRule type="cellIs" dxfId="0" priority="23" operator="lessThan">
      <formula>0</formula>
    </cfRule>
  </conditionalFormatting>
  <dataValidations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2CEBE667-943C-46F8-889E-3F0627762496}">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275"/>
  <sheetViews>
    <sheetView showGridLines="0" tabSelected="1" zoomScaleNormal="100" workbookViewId="0">
      <selection activeCell="G190" sqref="G19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9" t="e" vm="1">
        <v>#VALUE!</v>
      </c>
      <c r="C1" s="8" t="s">
        <v>220</v>
      </c>
      <c r="K1"/>
    </row>
    <row r="2" spans="1:19" s="9" customFormat="1" ht="20.100000000000001" customHeight="1" x14ac:dyDescent="0.25">
      <c r="K2"/>
    </row>
    <row r="3" spans="1:19" ht="20.100000000000001" customHeight="1" x14ac:dyDescent="0.25">
      <c r="A3" s="17" t="str">
        <f>HYPERLINK("#'Home'!A1", "Home")</f>
        <v>Home</v>
      </c>
      <c r="C3" s="4"/>
      <c r="D3" s="4" t="s">
        <v>104</v>
      </c>
      <c r="E3" s="4"/>
      <c r="F3" s="4"/>
      <c r="G3" s="4"/>
      <c r="H3" s="4"/>
      <c r="I3" s="4"/>
      <c r="J3" s="4"/>
      <c r="L3" s="4"/>
      <c r="M3" s="4" t="s">
        <v>105</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EntericMethane_Dairy_Equations.VEERG_3_3_1_1__6_MetabolisabilityOfDiet_Title()</f>
        <v>Metabolisability of diet</v>
      </c>
    </row>
    <row r="6" spans="1:19" ht="20.100000000000001" customHeight="1" x14ac:dyDescent="0.25">
      <c r="A6" s="16"/>
      <c r="D6" s="57"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A7" s="20" t="s">
        <v>1</v>
      </c>
      <c r="D7" s="5" t="str" cm="1">
        <f t="array" ref="D7">EntericMethane_Dairy_Equations.VEERG_3_3_1_1__6_MetabolisabilityOfDiet_Source()</f>
        <v>VEERG 2026: 3.3.1.1, Equation (6)</v>
      </c>
    </row>
    <row r="8" spans="1:19" ht="20.100000000000001" customHeight="1" x14ac:dyDescent="0.25">
      <c r="A8" s="17" t="str">
        <f>HYPERLINK("#'Input - Site'!A1", "Site")</f>
        <v>Site</v>
      </c>
      <c r="D8" s="13" t="s">
        <v>24</v>
      </c>
      <c r="E8" s="13" t="str" cm="1">
        <f t="array" aca="1" ref="E8" ca="1">Common_InputFunctions.Utility_DisplayFunctionName(D24)</f>
        <v>=EntericMethane_Dairy_Equations.VEERG_3_3_1_1__6_MetabolisabilityOfDietVariation</v>
      </c>
    </row>
    <row r="9" spans="1:19" ht="20.100000000000001" customHeight="1" x14ac:dyDescent="0.25">
      <c r="A9" s="17" t="str">
        <f>HYPERLINK("#'Input - Dairy'!A1", "Dairy")</f>
        <v>Dairy</v>
      </c>
    </row>
    <row r="10" spans="1:19" ht="20.100000000000001" customHeight="1" x14ac:dyDescent="0.25">
      <c r="A10" s="17"/>
    </row>
    <row r="11" spans="1:19" ht="20.100000000000001" customHeight="1" x14ac:dyDescent="0.25">
      <c r="A11" s="19" t="s">
        <v>72</v>
      </c>
      <c r="D11" s="55" t="s">
        <v>27</v>
      </c>
      <c r="E11" s="1" t="str" cm="1">
        <f t="array" ref="E11">EntericMethane_Dairy_Equations.VEERG_3_3_1_1__6_MetabolisabilityOfDiet_Variable()</f>
        <v>qm_j</v>
      </c>
    </row>
    <row r="12" spans="1:19" ht="20.100000000000001" customHeight="1" x14ac:dyDescent="0.25">
      <c r="A12" s="22" t="str">
        <f>HYPERLINK("#'3.3.1.1-2 Enteric Methane'!A1", "3.3.1.1-2 Enteric Methane")</f>
        <v>3.3.1.1-2 Enteric Methane</v>
      </c>
      <c r="D12" s="55" t="s">
        <v>17</v>
      </c>
      <c r="E12" s="56" t="str" cm="1">
        <f t="array" ref="E12">EntericMethane_Dairy_Equations.VEERG_3_3_1_1__6_MetabolisabilityOfDiet_Unit()</f>
        <v>fraction</v>
      </c>
    </row>
    <row r="13" spans="1:19" ht="20.100000000000001" customHeight="1" x14ac:dyDescent="0.25">
      <c r="A13" s="17"/>
    </row>
    <row r="14" spans="1:19" ht="20.100000000000001" customHeight="1" x14ac:dyDescent="0.25">
      <c r="A14" s="18" t="s">
        <v>2</v>
      </c>
      <c r="D14" s="122" t="str" cm="1">
        <f t="array" ref="D14:E14">_xlfn.CHOOSECOLS(EntericMethane_Dairy_Equations.VEERG_3_3_1_1__6_MetabolisabilityOfDiet_Arguments(), 1,2)</f>
        <v>DMD_j</v>
      </c>
      <c r="E14" s="122" t="str">
        <v>dry matter digestibility expressed as a fraction</v>
      </c>
      <c r="F14" s="122"/>
      <c r="G14" s="122" t="str" cm="1">
        <f t="array" ref="G14:H14">_xlfn.CHOOSECOLS(EntericMethane_Dairy_Equations.VEERG_3_3_1_1__6_MetabolisabilityOfDiet_Arguments(), 3,4)</f>
        <v>fraction</v>
      </c>
      <c r="H14" s="120" t="str">
        <v>Input</v>
      </c>
      <c r="I14" s="122" t="str">
        <f>"See " &amp; D16</f>
        <v>See M1_Table_DMD_j</v>
      </c>
    </row>
    <row r="15" spans="1:19" ht="20.100000000000001" customHeight="1" x14ac:dyDescent="0.25">
      <c r="A15" s="17" t="str">
        <f>HYPERLINK("#'Constants - Dairy'!A1", "Constants - Dairy")</f>
        <v>Constants - Dairy</v>
      </c>
    </row>
    <row r="16" spans="1:19" ht="20.100000000000001" customHeight="1" x14ac:dyDescent="0.25">
      <c r="A16" s="17" t="str">
        <f>HYPERLINK("#'Constants - Livestock'!A1", "Constants - Livestock")</f>
        <v>Constants - Livestock</v>
      </c>
      <c r="D16" s="101" t="s">
        <v>106</v>
      </c>
      <c r="M16" s="101" t="s">
        <v>108</v>
      </c>
    </row>
    <row r="17" spans="1:19" ht="20.100000000000001" customHeight="1" x14ac:dyDescent="0.25">
      <c r="A17" s="17" t="str">
        <f>HYPERLINK("#'Constants - Common'!A1", "Constants - Common")</f>
        <v>Constants - Common</v>
      </c>
      <c r="D17" s="100" t="s">
        <v>107</v>
      </c>
      <c r="M17" s="100" t="s">
        <v>187</v>
      </c>
    </row>
    <row r="18" spans="1:19" ht="20.100000000000001" customHeight="1" x14ac:dyDescent="0.25">
      <c r="A18" s="17" t="str">
        <f>HYPERLINK("#'Acknowledgements'!A1", "Acknowledgements")</f>
        <v>Acknowledgements</v>
      </c>
      <c r="D18" s="41" t="s">
        <v>128</v>
      </c>
      <c r="E18" s="41" t="s">
        <v>145</v>
      </c>
      <c r="F18" s="41" t="s">
        <v>146</v>
      </c>
      <c r="G18" s="41" t="s">
        <v>147</v>
      </c>
      <c r="H18" s="41" t="s">
        <v>148</v>
      </c>
      <c r="M18" s="41" t="s">
        <v>128</v>
      </c>
      <c r="N18" s="41" t="s">
        <v>145</v>
      </c>
      <c r="O18" s="41" t="s">
        <v>146</v>
      </c>
      <c r="P18" s="41" t="s">
        <v>147</v>
      </c>
      <c r="Q18" s="41" t="s">
        <v>148</v>
      </c>
    </row>
    <row r="19" spans="1:19" ht="20.100000000000001" customHeight="1" x14ac:dyDescent="0.25">
      <c r="D19" s="54">
        <f>'Input - Dairy'!$E$37</f>
        <v>0.75</v>
      </c>
      <c r="E19" s="54">
        <f>'Input - Dairy'!$F$37</f>
        <v>0.75</v>
      </c>
      <c r="F19" s="54">
        <f>'Input - Dairy'!$G$37</f>
        <v>0.75</v>
      </c>
      <c r="G19" s="54">
        <f>'Input - Dairy'!$H$37</f>
        <v>0.75</v>
      </c>
      <c r="H19" s="54">
        <f>'Input - Dairy'!$I$37</f>
        <v>0.75</v>
      </c>
      <c r="I19" s="2" t="s">
        <v>176</v>
      </c>
      <c r="M19" s="54">
        <f>'Input - Dairy'!$E$42</f>
        <v>0.75</v>
      </c>
      <c r="N19" s="54">
        <f>'Input - Dairy'!$F$42</f>
        <v>0.75</v>
      </c>
      <c r="O19" s="54">
        <f>'Input - Dairy'!$G$42</f>
        <v>0.75</v>
      </c>
      <c r="P19" s="54">
        <f>'Input - Dairy'!$H$42</f>
        <v>0.75</v>
      </c>
      <c r="Q19" s="54">
        <f>'Input - Dairy'!$I$42</f>
        <v>0.75</v>
      </c>
      <c r="R19" s="2" t="s">
        <v>176</v>
      </c>
    </row>
    <row r="20" spans="1:19" ht="20.100000000000001" customHeight="1" x14ac:dyDescent="0.25"/>
    <row r="21" spans="1:19" ht="20.100000000000001" customHeight="1" x14ac:dyDescent="0.25">
      <c r="D21" s="101" t="s">
        <v>177</v>
      </c>
      <c r="M21" s="101" t="s">
        <v>179</v>
      </c>
    </row>
    <row r="22" spans="1:19" ht="20.100000000000001" customHeight="1" x14ac:dyDescent="0.25">
      <c r="D22" s="100" t="s">
        <v>178</v>
      </c>
      <c r="M22" s="100" t="s">
        <v>180</v>
      </c>
    </row>
    <row r="23" spans="1:19" ht="20.100000000000001" customHeight="1" x14ac:dyDescent="0.25">
      <c r="D23" s="53" t="s">
        <v>128</v>
      </c>
      <c r="E23" s="53" t="s">
        <v>145</v>
      </c>
      <c r="F23" s="53" t="s">
        <v>146</v>
      </c>
      <c r="G23" s="53" t="s">
        <v>147</v>
      </c>
      <c r="H23" s="53" t="s">
        <v>148</v>
      </c>
      <c r="M23" s="53" t="s">
        <v>128</v>
      </c>
      <c r="N23" s="53" t="s">
        <v>145</v>
      </c>
      <c r="O23" s="53" t="s">
        <v>146</v>
      </c>
      <c r="P23" s="53" t="s">
        <v>147</v>
      </c>
      <c r="Q23" s="53" t="s">
        <v>148</v>
      </c>
    </row>
    <row r="24" spans="1:19" ht="20.100000000000001" customHeight="1" x14ac:dyDescent="0.25">
      <c r="D24" s="54" cm="1">
        <f t="array" ref="D24">EntericMethane_Dairy_Equations.VEERG_3_3_1_1__6_MetabolisabilityOfDietVariation(D19)</f>
        <v>0.5948500000000001</v>
      </c>
      <c r="E24" s="54" cm="1">
        <f t="array" ref="E24">EntericMethane_Dairy_Equations.VEERG_3_3_1_1__6_MetabolisabilityOfDietVariation(E19)</f>
        <v>0.5948500000000001</v>
      </c>
      <c r="F24" s="54" cm="1">
        <f t="array" ref="F24">EntericMethane_Dairy_Equations.VEERG_3_3_1_1__6_MetabolisabilityOfDietVariation(F19)</f>
        <v>0.5948500000000001</v>
      </c>
      <c r="G24" s="54" cm="1">
        <f t="array" ref="G24">EntericMethane_Dairy_Equations.VEERG_3_3_1_1__6_MetabolisabilityOfDietVariation(G19)</f>
        <v>0.5948500000000001</v>
      </c>
      <c r="H24" s="54" cm="1">
        <f t="array" ref="H24">EntericMethane_Dairy_Equations.VEERG_3_3_1_1__6_MetabolisabilityOfDietVariation(H19)</f>
        <v>0.5948500000000001</v>
      </c>
      <c r="I24" s="2" t="str">
        <f>$E$12</f>
        <v>fraction</v>
      </c>
      <c r="M24" s="54" cm="1">
        <f t="array" ref="M24">EntericMethane_Dairy_Equations.VEERG_3_3_1_1__6_MetabolisabilityOfDietVariation(M19)</f>
        <v>0.5948500000000001</v>
      </c>
      <c r="N24" s="54" cm="1">
        <f t="array" ref="N24">EntericMethane_Dairy_Equations.VEERG_3_3_1_1__6_MetabolisabilityOfDietVariation(N19)</f>
        <v>0.5948500000000001</v>
      </c>
      <c r="O24" s="54" cm="1">
        <f t="array" ref="O24">EntericMethane_Dairy_Equations.VEERG_3_3_1_1__6_MetabolisabilityOfDietVariation(O19)</f>
        <v>0.5948500000000001</v>
      </c>
      <c r="P24" s="54" cm="1">
        <f t="array" ref="P24">EntericMethane_Dairy_Equations.VEERG_3_3_1_1__6_MetabolisabilityOfDietVariation(P19)</f>
        <v>0.5948500000000001</v>
      </c>
      <c r="Q24" s="54" cm="1">
        <f t="array" ref="Q24">EntericMethane_Dairy_Equations.VEERG_3_3_1_1__6_MetabolisabilityOfDietVariation(Q19)</f>
        <v>0.5948500000000001</v>
      </c>
      <c r="R24" s="2" t="str">
        <f>$E$12</f>
        <v>fraction</v>
      </c>
    </row>
    <row r="25" spans="1:19" ht="20.100000000000001" customHeight="1" x14ac:dyDescent="0.25"/>
    <row r="26" spans="1:19" ht="20.100000000000001" customHeight="1" x14ac:dyDescent="0.25"/>
    <row r="27" spans="1:19" ht="20.100000000000001" customHeight="1" x14ac:dyDescent="0.25">
      <c r="C27" s="48"/>
      <c r="D27" s="48"/>
      <c r="E27" s="48"/>
      <c r="F27" s="48"/>
      <c r="G27" s="48"/>
      <c r="H27" s="48"/>
      <c r="I27" s="48"/>
      <c r="J27" s="48"/>
      <c r="L27" s="48"/>
      <c r="M27" s="48"/>
      <c r="N27" s="48"/>
      <c r="O27" s="48"/>
      <c r="P27" s="48"/>
      <c r="Q27" s="48"/>
      <c r="R27" s="48"/>
      <c r="S27" s="48"/>
    </row>
    <row r="28" spans="1:19" ht="20.100000000000001" customHeight="1" x14ac:dyDescent="0.25">
      <c r="D28" s="6" t="str" cm="1">
        <f t="array" ref="D28">EntericMethane_Dairy_Equations.VEERG_3_3_1_1__5_MilkProductionFromMilkSolids_Title()</f>
        <v>Milk production converted from milk solids</v>
      </c>
    </row>
    <row r="29" spans="1:19" ht="20.100000000000001" customHeight="1" x14ac:dyDescent="0.25">
      <c r="D29" s="5" t="str" cm="1">
        <f t="array" ref="D29">EntericMethane_Dairy_Equations.VEERG_3_3_1_1__5_MilkProductionFromMilkSolids_Source()</f>
        <v>VEERG 2026: 3.3.1.1, Equation (5)</v>
      </c>
    </row>
    <row r="30" spans="1:19" ht="20.100000000000001" customHeight="1" x14ac:dyDescent="0.25">
      <c r="D30" s="57"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D31" s="13" t="s">
        <v>24</v>
      </c>
      <c r="E31" s="13" t="str" cm="1">
        <f t="array" aca="1" ref="E31" ca="1">Common_InputFunctions.Utility_DisplayFunctionName(D50)</f>
        <v>=EntericMethane_Dairy_Equations.VEERG_3_3_1_1__5_MilkProductionFromMilkSolids</v>
      </c>
    </row>
    <row r="32" spans="1:19" ht="20.100000000000001" customHeight="1" x14ac:dyDescent="0.25"/>
    <row r="33" spans="4:18" ht="20.100000000000001" customHeight="1" x14ac:dyDescent="0.25"/>
    <row r="34" spans="4:18" ht="20.100000000000001" customHeight="1" x14ac:dyDescent="0.25">
      <c r="D34" s="55" t="s">
        <v>27</v>
      </c>
      <c r="E34" s="1" t="str" cm="1">
        <f t="array" ref="E34">EntericMethane_Dairy_Equations.VEERG_3_3_1_1__5_MilkProductionFromMilkSolids_Variable()</f>
        <v>MP_j</v>
      </c>
    </row>
    <row r="35" spans="4:18" ht="20.100000000000001" customHeight="1" x14ac:dyDescent="0.25">
      <c r="D35" s="55" t="s">
        <v>17</v>
      </c>
      <c r="E35" s="56" t="str" cm="1">
        <f t="array" ref="E35">EntericMethane_Dairy_Equations.VEERG_3_3_1_1__5_MilkProductionFromMilkSolids_Unit()</f>
        <v>L/head/day</v>
      </c>
    </row>
    <row r="36" spans="4:18" ht="20.100000000000001" customHeight="1" x14ac:dyDescent="0.25"/>
    <row r="37" spans="4:18" ht="20.100000000000001" customHeight="1" x14ac:dyDescent="0.25">
      <c r="D37" s="122" t="str" cm="1">
        <f t="array" ref="D37:E40">_xlfn.CHOOSECOLS(EntericMethane_Dairy_Equations.VEERG_3_3_1_1__5_MilkProductionFromMilkSolids_Arguments(),1,2)</f>
        <v>MPU</v>
      </c>
      <c r="E37" s="121" t="str">
        <v>input milk production unit</v>
      </c>
      <c r="F37" s="123"/>
      <c r="G37" s="122" t="str" cm="1">
        <f t="array" ref="G37:H40">_xlfn.CHOOSECOLS(EntericMethane_Dairy_Equations.VEERG_3_3_1_1__5_MilkProductionFromMilkSolids_Arguments(),3,4)</f>
        <v/>
      </c>
      <c r="H37" s="120" t="str">
        <v>Input</v>
      </c>
      <c r="I37" s="122" t="str">
        <f>'Input - Dairy'!$E$49</f>
        <v>Litres of milk</v>
      </c>
      <c r="M37" s="122" t="str" cm="1">
        <f t="array" ref="M37:N40">_xlfn.CHOOSECOLS(EntericMethane_Dairy_Equations.VEERG_3_3_1_1__5_MilkProductionFromMilkSolids_Arguments(),1,2)</f>
        <v>MPU</v>
      </c>
      <c r="N37" s="121" t="str">
        <v>input milk production unit</v>
      </c>
      <c r="O37" s="123"/>
      <c r="P37" s="122" t="str" cm="1">
        <f t="array" ref="P37:Q40">_xlfn.CHOOSECOLS(EntericMethane_Dairy_Equations.VEERG_3_3_1_1__5_MilkProductionFromMilkSolids_Arguments(),3,4)</f>
        <v/>
      </c>
      <c r="Q37" s="120" t="str">
        <v>Input</v>
      </c>
      <c r="R37" s="122"/>
    </row>
    <row r="38" spans="4:18" ht="20.100000000000001" customHeight="1" x14ac:dyDescent="0.25">
      <c r="D38" s="122" t="str">
        <v>MS_j</v>
      </c>
      <c r="E38" s="121" t="str">
        <v>daily production of milk solids</v>
      </c>
      <c r="F38" s="123"/>
      <c r="G38" s="122" t="str">
        <v>kg MS/head/day</v>
      </c>
      <c r="H38" s="120" t="str">
        <v>Input</v>
      </c>
      <c r="I38" s="119" t="str" cm="1">
        <f t="array" aca="1" ref="I38" ca="1">HYPERLINK(Common_InputFunctions.Utility_SourceHyperlink($D$42),$D$42)</f>
        <v>M1_Table_MS_j</v>
      </c>
      <c r="M38" s="122" t="str">
        <v>MS_j</v>
      </c>
      <c r="N38" s="121" t="str">
        <v>daily production of milk solids</v>
      </c>
      <c r="O38" s="123"/>
      <c r="P38" s="122" t="str">
        <v>kg MS/head/day</v>
      </c>
      <c r="Q38" s="120" t="str">
        <v>Input</v>
      </c>
      <c r="R38" s="119"/>
    </row>
    <row r="39" spans="4:18" ht="20.100000000000001" customHeight="1" x14ac:dyDescent="0.25">
      <c r="D39" s="122" t="str">
        <v>FC_j</v>
      </c>
      <c r="E39" s="121" t="str">
        <v>fat content in fat and protein corrected milk</v>
      </c>
      <c r="F39" s="123"/>
      <c r="G39" s="122" t="str">
        <v>per cent</v>
      </c>
      <c r="H39" s="118" t="str">
        <v>Constant</v>
      </c>
      <c r="I39" s="122">
        <f>'Input - Dairy'!$E$55*100</f>
        <v>4</v>
      </c>
      <c r="M39" s="122" t="str">
        <v>FC_j</v>
      </c>
      <c r="N39" s="121" t="str">
        <v>fat content in fat and protein corrected milk</v>
      </c>
      <c r="O39" s="123"/>
      <c r="P39" s="122" t="str">
        <v>per cent</v>
      </c>
      <c r="Q39" s="118" t="str">
        <v>Constant</v>
      </c>
      <c r="R39" s="122">
        <f>'Input - Dairy'!$F$55*100</f>
        <v>4</v>
      </c>
    </row>
    <row r="40" spans="4:18" ht="20.100000000000001" customHeight="1" x14ac:dyDescent="0.25">
      <c r="D40" s="122" t="str">
        <v>PC_j</v>
      </c>
      <c r="E40" s="122" t="str">
        <v>protein content in fat and protein corrected milk</v>
      </c>
      <c r="F40" s="122"/>
      <c r="G40" s="122" t="str">
        <v>per cent</v>
      </c>
      <c r="H40" s="118" t="str">
        <v>Constant</v>
      </c>
      <c r="I40" s="122">
        <f>'Input - Dairy'!$E$56*100</f>
        <v>3.3000000000000003</v>
      </c>
      <c r="M40" s="122" t="str">
        <v>PC_j</v>
      </c>
      <c r="N40" s="122" t="str">
        <v>protein content in fat and protein corrected milk</v>
      </c>
      <c r="O40" s="122"/>
      <c r="P40" s="122" t="str">
        <v>per cent</v>
      </c>
      <c r="Q40" s="118" t="str">
        <v>Constant</v>
      </c>
      <c r="R40" s="122">
        <f>'Input - Dairy'!$F$56*100</f>
        <v>3.3000000000000003</v>
      </c>
    </row>
    <row r="41" spans="4:18" ht="20.100000000000001" customHeight="1" x14ac:dyDescent="0.25"/>
    <row r="42" spans="4:18" ht="20.100000000000001" customHeight="1" x14ac:dyDescent="0.25">
      <c r="D42" s="101" t="s">
        <v>240</v>
      </c>
    </row>
    <row r="43" spans="4:18" ht="20.100000000000001" customHeight="1" x14ac:dyDescent="0.25">
      <c r="D43" s="100" t="s">
        <v>241</v>
      </c>
    </row>
    <row r="44" spans="4:18" ht="20.100000000000001" customHeight="1" x14ac:dyDescent="0.25">
      <c r="D44" s="41" t="s">
        <v>128</v>
      </c>
      <c r="E44" s="41" t="s">
        <v>145</v>
      </c>
      <c r="F44" s="41" t="s">
        <v>146</v>
      </c>
      <c r="G44" s="41" t="s">
        <v>147</v>
      </c>
      <c r="H44" s="41" t="s">
        <v>148</v>
      </c>
    </row>
    <row r="45" spans="4:18" ht="20.100000000000001" customHeight="1" x14ac:dyDescent="0.25">
      <c r="D45" s="54">
        <f>IF($I$37="Milk solids", 'Input - Dairy'!$E$52, 0)</f>
        <v>0</v>
      </c>
      <c r="E45" s="54">
        <v>0</v>
      </c>
      <c r="F45" s="54">
        <v>0</v>
      </c>
      <c r="G45" s="54">
        <v>0</v>
      </c>
      <c r="H45" s="54">
        <v>0</v>
      </c>
      <c r="I45" s="2" t="s">
        <v>183</v>
      </c>
    </row>
    <row r="46" spans="4:18" ht="20.100000000000001" customHeight="1" x14ac:dyDescent="0.25"/>
    <row r="47" spans="4:18" ht="20.100000000000001" customHeight="1" x14ac:dyDescent="0.25">
      <c r="D47" s="101" t="s">
        <v>242</v>
      </c>
      <c r="M47" s="101" t="s">
        <v>250</v>
      </c>
    </row>
    <row r="48" spans="4:18" ht="20.100000000000001" customHeight="1" x14ac:dyDescent="0.25">
      <c r="D48" s="100" t="s">
        <v>243</v>
      </c>
      <c r="M48" s="100" t="s">
        <v>251</v>
      </c>
    </row>
    <row r="49" spans="1:19" ht="20.100000000000001" customHeight="1" x14ac:dyDescent="0.25">
      <c r="D49" s="53" t="s">
        <v>128</v>
      </c>
      <c r="E49" s="53" t="s">
        <v>145</v>
      </c>
      <c r="F49" s="53" t="s">
        <v>146</v>
      </c>
      <c r="G49" s="53" t="s">
        <v>147</v>
      </c>
      <c r="H49" s="53" t="s">
        <v>148</v>
      </c>
      <c r="M49" s="53" t="s">
        <v>128</v>
      </c>
      <c r="N49" s="53" t="s">
        <v>145</v>
      </c>
      <c r="O49" s="53" t="s">
        <v>146</v>
      </c>
      <c r="P49" s="53" t="s">
        <v>147</v>
      </c>
      <c r="Q49" s="53" t="s">
        <v>148</v>
      </c>
    </row>
    <row r="50" spans="1:19" ht="20.100000000000001" customHeight="1" x14ac:dyDescent="0.25">
      <c r="D50" s="54" cm="1">
        <f t="array" ref="D50">EntericMethane_Dairy_Equations.VEERG_3_3_1_1__5_MilkProductionFromMilkSolids(D45,I39,I40)</f>
        <v>0</v>
      </c>
      <c r="E50" s="54">
        <v>0</v>
      </c>
      <c r="F50" s="54">
        <v>0</v>
      </c>
      <c r="G50" s="54">
        <v>0</v>
      </c>
      <c r="H50" s="54">
        <v>0</v>
      </c>
      <c r="I50" s="2" t="s">
        <v>183</v>
      </c>
      <c r="M50" s="54" cm="1">
        <f t="array" ref="M50">EntericMethane_Dairy_Equations.VEERG_3_3_1_1__5_MilkProductionFromMilkSolids(D45,R39,R40)</f>
        <v>0</v>
      </c>
      <c r="N50" s="54">
        <v>0</v>
      </c>
      <c r="O50" s="54">
        <v>0</v>
      </c>
      <c r="P50" s="54">
        <v>0</v>
      </c>
      <c r="Q50" s="54">
        <v>0</v>
      </c>
      <c r="R50" s="2" t="s">
        <v>183</v>
      </c>
    </row>
    <row r="51" spans="1:19" ht="20.100000000000001" customHeight="1" x14ac:dyDescent="0.25">
      <c r="A51" s="125" t="str">
        <f>HYPERLINK("#A1", "▲ Back to top")</f>
        <v>▲ Back to top</v>
      </c>
    </row>
    <row r="52" spans="1:19" ht="20.100000000000001" customHeight="1" x14ac:dyDescent="0.25"/>
    <row r="53" spans="1:19" ht="20.100000000000001" customHeight="1" x14ac:dyDescent="0.25">
      <c r="C53" s="48"/>
      <c r="D53" s="48"/>
      <c r="E53" s="48"/>
      <c r="F53" s="48"/>
      <c r="G53" s="48"/>
      <c r="H53" s="48"/>
      <c r="I53" s="48"/>
      <c r="J53" s="48"/>
      <c r="L53" s="48"/>
      <c r="M53" s="48"/>
      <c r="N53" s="48"/>
      <c r="O53" s="48"/>
      <c r="P53" s="48"/>
      <c r="Q53" s="48"/>
      <c r="R53" s="48"/>
      <c r="S53" s="48"/>
    </row>
    <row r="54" spans="1:19" ht="20.100000000000001" customHeight="1" x14ac:dyDescent="0.25">
      <c r="D54" s="6" t="str" cm="1">
        <f t="array" ref="D54">EntericMethane_Dairy_Equations.VEERG_3_3_1_1__4_AdditionalIntakeForMilkProduction_Title()</f>
        <v>Additional intake required for milk production</v>
      </c>
    </row>
    <row r="55" spans="1:19" ht="20.100000000000001" customHeight="1" x14ac:dyDescent="0.25">
      <c r="D55" s="5" t="str" cm="1">
        <f t="array" ref="D55">EntericMethane_Dairy_Equations.VEERG_3_3_1_1__4_AdditionalIntakeForMilkProduction_Source()</f>
        <v>VEERG 2026: 3.3.1.1, Equation (4)</v>
      </c>
    </row>
    <row r="56" spans="1:19" ht="20.100000000000001" customHeight="1" x14ac:dyDescent="0.25">
      <c r="D56" s="57" t="str" cm="1">
        <f t="array" ref="D56">EntericMethane_Dairy_Equations.VEERG_3_3_1_1__4_AdditionalIntakeForMilkProduction_Variation()</f>
        <v>VARATION ON SOURCE: Added milk production unit variable to allow for use of either milk solids or litres of milk.</v>
      </c>
    </row>
    <row r="57" spans="1:19" ht="20.100000000000001" customHeight="1" x14ac:dyDescent="0.25">
      <c r="D57" s="13" t="s">
        <v>24</v>
      </c>
      <c r="E57" s="13" t="str" cm="1">
        <f t="array" aca="1" ref="E57" ca="1">Common_InputFunctions.Utility_DisplayFunctionName(D80)</f>
        <v>=EntericMethane_Dairy_Equations.VEERG_3_3_1_1__4_AdditionalIntakeForMilkProduction</v>
      </c>
    </row>
    <row r="58" spans="1:19" ht="20.100000000000001" customHeight="1" x14ac:dyDescent="0.25">
      <c r="D58" s="6"/>
    </row>
    <row r="59" spans="1:19" ht="20.100000000000001" customHeight="1" x14ac:dyDescent="0.25"/>
    <row r="60" spans="1:19" ht="20.100000000000001" customHeight="1" x14ac:dyDescent="0.25"/>
    <row r="61" spans="1:19" ht="20.100000000000001" customHeight="1" x14ac:dyDescent="0.25">
      <c r="D61" s="55" t="s">
        <v>27</v>
      </c>
      <c r="E61" s="1" t="str" cm="1">
        <f t="array" ref="E61">EntericMethane_Dairy_Equations.VEERG_3_3_1_1__4_AdditionalIntakeForMilkProduction_Variable()</f>
        <v>MI_j</v>
      </c>
    </row>
    <row r="62" spans="1:19" ht="20.100000000000001" customHeight="1" x14ac:dyDescent="0.25">
      <c r="D62" s="55" t="s">
        <v>17</v>
      </c>
      <c r="E62" s="56" t="str" cm="1">
        <f t="array" ref="E62">EntericMethane_Dairy_Equations.VEERG_3_3_1_1__4_AdditionalIntakeForMilkProduction_Unit()</f>
        <v>kg DM/head/day</v>
      </c>
    </row>
    <row r="63" spans="1:19" ht="20.100000000000001" customHeight="1" x14ac:dyDescent="0.25"/>
    <row r="64" spans="1:19" ht="20.100000000000001" customHeight="1" x14ac:dyDescent="0.25">
      <c r="D64" s="122" t="str" cm="1">
        <f t="array" ref="D64:E70">_xlfn.CHOOSECOLS(EntericMethane_Dairy_Equations.VEERG_3_3_1_1__4_AdditionalIntakeForMilkProduction_Arguments(), 1,2)</f>
        <v>MPU</v>
      </c>
      <c r="E64" s="121" t="str">
        <v>input milk production unit</v>
      </c>
      <c r="F64" s="123"/>
      <c r="G64" s="122" t="str" cm="1">
        <f t="array" ref="G64:H70">_xlfn.CHOOSECOLS(EntericMethane_Dairy_Equations.VEERG_3_3_1_1__4_AdditionalIntakeForMilkProduction_Arguments(), 3,4)</f>
        <v/>
      </c>
      <c r="H64" s="120" t="str">
        <v>Input</v>
      </c>
      <c r="I64" s="122" t="str">
        <f>'Input - Dairy'!$E$49</f>
        <v>Litres of milk</v>
      </c>
    </row>
    <row r="65" spans="4:18" ht="20.100000000000001" customHeight="1" x14ac:dyDescent="0.25">
      <c r="D65" s="122" t="str">
        <v>MP_j</v>
      </c>
      <c r="E65" s="121" t="str">
        <v>milk production (if input as litres of milk)</v>
      </c>
      <c r="F65" s="123"/>
      <c r="G65" s="122" t="str">
        <v>L/head/day</v>
      </c>
      <c r="H65" s="120" t="str">
        <v>Input</v>
      </c>
      <c r="I65" s="119" t="str" cm="1">
        <f t="array" aca="1" ref="I65" ca="1">HYPERLINK(Common_InputFunctions.Utility_SourceHyperlink($D$72), $D$72)</f>
        <v>Table_MP_j</v>
      </c>
    </row>
    <row r="66" spans="4:18" ht="20.100000000000001" customHeight="1" x14ac:dyDescent="0.25">
      <c r="D66" s="122" t="str">
        <v>MP_j</v>
      </c>
      <c r="E66" s="121" t="str">
        <v>milk production (if input as milk solids)</v>
      </c>
      <c r="F66" s="123"/>
      <c r="G66" s="122" t="str">
        <v>L/head/day</v>
      </c>
      <c r="H66" s="118" t="str">
        <v>Calculated from 3.3.1.1 (5)</v>
      </c>
      <c r="I66" s="119" t="str" cm="1">
        <f t="array" aca="1" ref="I66" ca="1">HYPERLINK(Common_InputFunctions.Utility_SourceHyperlink($D$47),$D$47)</f>
        <v>M1_Table_MP_j_from_solids</v>
      </c>
    </row>
    <row r="67" spans="4:18" ht="20.100000000000001" customHeight="1" x14ac:dyDescent="0.25">
      <c r="D67" s="122" t="str">
        <v>NE</v>
      </c>
      <c r="E67" s="121" t="str">
        <v>net energy</v>
      </c>
      <c r="F67" s="123"/>
      <c r="G67" s="122" t="str">
        <v>MJ net energy/kg milk</v>
      </c>
      <c r="H67" s="118" t="str">
        <v>Constant</v>
      </c>
      <c r="I67" s="122">
        <f>'Constants - Dairy'!$D$167</f>
        <v>3.0539999999999998</v>
      </c>
    </row>
    <row r="68" spans="4:18" ht="20.100000000000001" customHeight="1" x14ac:dyDescent="0.25">
      <c r="D68" s="122" t="str">
        <v>GEC</v>
      </c>
      <c r="E68" s="121" t="str">
        <v>gross energy content</v>
      </c>
      <c r="F68" s="123"/>
      <c r="G68" s="122" t="str">
        <v>MJ/kgDM</v>
      </c>
      <c r="H68" s="118" t="str">
        <v>Constant</v>
      </c>
      <c r="I68" s="122">
        <f>'Constants - Dairy'!$D$174</f>
        <v>18.399999999999999</v>
      </c>
    </row>
    <row r="69" spans="4:18" ht="20.100000000000001" customHeight="1" x14ac:dyDescent="0.25">
      <c r="D69" s="122" t="str">
        <v>k</v>
      </c>
      <c r="E69" s="121" t="str">
        <v>efficiency of metabolizable energy use for milk production</v>
      </c>
      <c r="F69" s="123"/>
      <c r="G69" s="122" t="str">
        <v>fraction</v>
      </c>
      <c r="H69" s="118" t="str">
        <v>Constant</v>
      </c>
      <c r="I69" s="122">
        <f>'Constants - Dairy'!$D$181</f>
        <v>0.6</v>
      </c>
    </row>
    <row r="70" spans="4:18" ht="20.100000000000001" customHeight="1" x14ac:dyDescent="0.25">
      <c r="D70" s="122" t="str">
        <v>qm_j</v>
      </c>
      <c r="E70" s="121" t="str">
        <v>metabolisability of the diet</v>
      </c>
      <c r="F70" s="123"/>
      <c r="G70" s="122" t="str">
        <v>fraction</v>
      </c>
      <c r="H70" s="118" t="str">
        <v>Calculated from 3.3.1.1 (6)</v>
      </c>
      <c r="I70" s="119" t="str" cm="1">
        <f t="array" aca="1" ref="I70" ca="1">HYPERLINK(Common_InputFunctions.Utility_SourceHyperlink($D$21), $D$21)</f>
        <v>M1_Table_qm_j</v>
      </c>
    </row>
    <row r="71" spans="4:18" ht="20.100000000000001" customHeight="1" x14ac:dyDescent="0.25"/>
    <row r="72" spans="4:18" ht="20.100000000000001" customHeight="1" x14ac:dyDescent="0.25">
      <c r="D72" s="101" t="s">
        <v>186</v>
      </c>
    </row>
    <row r="73" spans="4:18" ht="20.100000000000001" customHeight="1" x14ac:dyDescent="0.25">
      <c r="D73" s="100" t="s">
        <v>152</v>
      </c>
    </row>
    <row r="74" spans="4:18" ht="20.100000000000001" customHeight="1" x14ac:dyDescent="0.25">
      <c r="D74" s="41" t="s">
        <v>128</v>
      </c>
      <c r="E74" s="41" t="s">
        <v>145</v>
      </c>
      <c r="F74" s="41" t="s">
        <v>146</v>
      </c>
      <c r="G74" s="41" t="s">
        <v>147</v>
      </c>
      <c r="H74" s="41" t="s">
        <v>148</v>
      </c>
    </row>
    <row r="75" spans="4:18" ht="20.100000000000001" customHeight="1" x14ac:dyDescent="0.25">
      <c r="D75" s="54">
        <f>IF(I64="Milk solids", 0, 'Input - Dairy'!$E$52)</f>
        <v>20</v>
      </c>
      <c r="E75" s="54">
        <v>0</v>
      </c>
      <c r="F75" s="54">
        <v>0</v>
      </c>
      <c r="G75" s="54">
        <v>0</v>
      </c>
      <c r="H75" s="54">
        <v>0</v>
      </c>
      <c r="I75" s="2" t="s">
        <v>183</v>
      </c>
    </row>
    <row r="76" spans="4:18" ht="20.100000000000001" customHeight="1" x14ac:dyDescent="0.25"/>
    <row r="77" spans="4:18" ht="20.100000000000001" customHeight="1" x14ac:dyDescent="0.25">
      <c r="D77" s="101" t="s">
        <v>181</v>
      </c>
      <c r="M77" s="101" t="s">
        <v>184</v>
      </c>
    </row>
    <row r="78" spans="4:18" ht="20.100000000000001" customHeight="1" x14ac:dyDescent="0.25">
      <c r="D78" s="100" t="s">
        <v>182</v>
      </c>
      <c r="M78" s="100" t="s">
        <v>185</v>
      </c>
    </row>
    <row r="79" spans="4:18" ht="20.100000000000001" customHeight="1" x14ac:dyDescent="0.25">
      <c r="D79" s="53" t="s">
        <v>128</v>
      </c>
      <c r="E79" s="53" t="s">
        <v>145</v>
      </c>
      <c r="F79" s="53" t="s">
        <v>146</v>
      </c>
      <c r="G79" s="53" t="s">
        <v>147</v>
      </c>
      <c r="H79" s="53" t="s">
        <v>148</v>
      </c>
      <c r="M79" s="53" t="s">
        <v>128</v>
      </c>
      <c r="N79" s="53" t="s">
        <v>145</v>
      </c>
      <c r="O79" s="53" t="s">
        <v>146</v>
      </c>
      <c r="P79" s="53" t="s">
        <v>147</v>
      </c>
      <c r="Q79" s="53" t="s">
        <v>148</v>
      </c>
    </row>
    <row r="80" spans="4:18" ht="20.100000000000001" customHeight="1" x14ac:dyDescent="0.25">
      <c r="D80" s="54" cm="1">
        <f t="array" ref="D80">EntericMethane_Dairy_Equations.VEERG_3_3_1_1__4_AdditionalIntakeForMilkProduction(IF(I64="Milk solids", D50, D75),$I$67,$I$68,$I$69,D24)</f>
        <v>9.5798721636071917</v>
      </c>
      <c r="E80" s="54" cm="1">
        <f t="array" ref="E80">EntericMethane_Dairy_Equations.VEERG_3_3_1_1__4_AdditionalIntakeForMilkProduction(E75, $I$67,$I$68,$I$69,E24)</f>
        <v>0</v>
      </c>
      <c r="F80" s="54" cm="1">
        <f t="array" ref="F80">EntericMethane_Dairy_Equations.VEERG_3_3_1_1__4_AdditionalIntakeForMilkProduction(F75, $I$67,$I$68,$I$69,F24)</f>
        <v>0</v>
      </c>
      <c r="G80" s="54" cm="1">
        <f t="array" ref="G80">EntericMethane_Dairy_Equations.VEERG_3_3_1_1__4_AdditionalIntakeForMilkProduction(G75, $I$67,$I$68,$I$69,G24)</f>
        <v>0</v>
      </c>
      <c r="H80" s="54" cm="1">
        <f t="array" ref="H80">EntericMethane_Dairy_Equations.VEERG_3_3_1_1__4_AdditionalIntakeForMilkProduction(H75, $I$67,$I$68,$I$69,H24)</f>
        <v>0</v>
      </c>
      <c r="I80" s="2" t="str">
        <f>$E$62</f>
        <v>kg DM/head/day</v>
      </c>
      <c r="M80" s="54" cm="1">
        <f t="array" ref="M80">EntericMethane_Dairy_Equations.VEERG_3_3_1_1__4_AdditionalIntakeForMilkProduction(IF(I64="Milk solids", M50, D75),$I$67,$I$68,$I$69,D24)</f>
        <v>9.5798721636071917</v>
      </c>
      <c r="N80" s="54" cm="1">
        <f t="array" ref="N80">EntericMethane_Dairy_Equations.VEERG_3_3_1_1__4_AdditionalIntakeForMilkProduction(E75, $I$67,$I$68,$I$69,N24)</f>
        <v>0</v>
      </c>
      <c r="O80" s="54" cm="1">
        <f t="array" ref="O80">EntericMethane_Dairy_Equations.VEERG_3_3_1_1__4_AdditionalIntakeForMilkProduction(F75, $I$67,$I$68,$I$69,O24)</f>
        <v>0</v>
      </c>
      <c r="P80" s="54" cm="1">
        <f t="array" ref="P80">EntericMethane_Dairy_Equations.VEERG_3_3_1_1__4_AdditionalIntakeForMilkProduction(G75, $I$67,$I$68,$I$69,P24)</f>
        <v>0</v>
      </c>
      <c r="Q80" s="54" cm="1">
        <f t="array" ref="Q80">EntericMethane_Dairy_Equations.VEERG_3_3_1_1__4_AdditionalIntakeForMilkProduction(H75, $I$67,$I$68,$I$69,Q24)</f>
        <v>0</v>
      </c>
      <c r="R80" s="2" t="str">
        <f>$E$62</f>
        <v>kg DM/head/day</v>
      </c>
    </row>
    <row r="81" spans="3:19" ht="20.100000000000001" customHeight="1" x14ac:dyDescent="0.25"/>
    <row r="82" spans="3:19" ht="20.100000000000001" customHeight="1" x14ac:dyDescent="0.25"/>
    <row r="83" spans="3:19" ht="20.100000000000001" customHeight="1" x14ac:dyDescent="0.25">
      <c r="C83" s="48"/>
      <c r="D83" s="48"/>
      <c r="E83" s="48"/>
      <c r="F83" s="48"/>
      <c r="G83" s="48"/>
      <c r="H83" s="48"/>
      <c r="I83" s="48"/>
      <c r="J83" s="48"/>
      <c r="L83" s="48"/>
      <c r="M83" s="48"/>
      <c r="N83" s="48"/>
      <c r="O83" s="48"/>
      <c r="P83" s="48"/>
      <c r="Q83" s="48"/>
      <c r="R83" s="48"/>
      <c r="S83" s="48"/>
    </row>
    <row r="84" spans="3:19" ht="20.100000000000001" customHeight="1" x14ac:dyDescent="0.25">
      <c r="D84" s="6" t="str" cm="1">
        <f t="array" ref="D84">EntericMethane_Dairy_Equations.VEERG_3_3_1_1__3_DryMatterFeedIntake_Title()</f>
        <v>Feed intake</v>
      </c>
    </row>
    <row r="85" spans="3:19" ht="20.100000000000001" customHeight="1" x14ac:dyDescent="0.25">
      <c r="D85" s="5" t="str" cm="1">
        <f t="array" ref="D85">EntericMethane_Dairy_Equations.VEERG_3_3_1_1__3_DryMatterFeedIntake_Source()</f>
        <v>VEERG 2026: 3.3.1.1, Equation (3)</v>
      </c>
    </row>
    <row r="86" spans="3:19" ht="20.100000000000001" customHeight="1" x14ac:dyDescent="0.25">
      <c r="D86" s="13" t="s">
        <v>24</v>
      </c>
      <c r="E86" s="13"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55" t="s">
        <v>27</v>
      </c>
      <c r="E89" s="1" t="str" cm="1">
        <f t="array" ref="E89">EntericMethane_Dairy_Equations.VEERG_3_3_1_1__3_DryMatterFeedIntake_Variable()</f>
        <v>I_j</v>
      </c>
    </row>
    <row r="90" spans="3:19" ht="20.100000000000001" customHeight="1" x14ac:dyDescent="0.25">
      <c r="D90" s="55" t="s">
        <v>17</v>
      </c>
      <c r="E90" s="56" t="str" cm="1">
        <f t="array" ref="E90">EntericMethane_Dairy_Equations.VEERG_3_3_1_1__3_DryMatterFeedIntake_Unit()</f>
        <v>kg DM/head/day</v>
      </c>
    </row>
    <row r="91" spans="3:19" ht="20.100000000000001" customHeight="1" x14ac:dyDescent="0.25"/>
    <row r="92" spans="3:19" ht="20.100000000000001" customHeight="1" x14ac:dyDescent="0.25">
      <c r="D92" s="122" t="str" cm="1">
        <f t="array" ref="D92:E95">_xlfn.CHOOSECOLS(EntericMethane_Dairy_Equations.VEERG_3_3_1_1__3_DryMatterFeedIntake_Arguments(),1,2)</f>
        <v>W_j</v>
      </c>
      <c r="E92" s="121" t="str">
        <v>liveweight</v>
      </c>
      <c r="F92" s="123"/>
      <c r="G92" s="122" t="str" cm="1">
        <f t="array" ref="G92:H95">_xlfn.CHOOSECOLS(EntericMethane_Dairy_Equations.VEERG_3_3_1_1__3_DryMatterFeedIntake_Arguments(),3,4)</f>
        <v>kg</v>
      </c>
      <c r="H92" s="120" t="str">
        <v>Input</v>
      </c>
      <c r="I92" s="119" t="str" cm="1">
        <f t="array" aca="1" ref="I92" ca="1">HYPERLINK(Common_InputFunctions.Utility_SourceHyperlink($D$97), $D$97)</f>
        <v>M1_Table_W_j</v>
      </c>
    </row>
    <row r="93" spans="3:19" ht="20.100000000000001" customHeight="1" x14ac:dyDescent="0.25">
      <c r="D93" s="122" t="str">
        <v>LWG_j</v>
      </c>
      <c r="E93" s="121" t="str">
        <v>liveweight gain</v>
      </c>
      <c r="F93" s="123"/>
      <c r="G93" s="122" t="str">
        <v>kg/head/day</v>
      </c>
      <c r="H93" s="120" t="str">
        <v>Input</v>
      </c>
      <c r="I93" s="119" t="str" cm="1">
        <f t="array" aca="1" ref="I93" ca="1">HYPERLINK(Common_InputFunctions.Utility_SourceHyperlink($D$102), $D$102)</f>
        <v>M1_Table_LWG_j</v>
      </c>
    </row>
    <row r="94" spans="3:19" ht="20.100000000000001" customHeight="1" x14ac:dyDescent="0.25">
      <c r="D94" s="122" t="str">
        <v>MR_j</v>
      </c>
      <c r="E94" s="121" t="str">
        <v>increase in metabolic rate when producing milk</v>
      </c>
      <c r="F94" s="123"/>
      <c r="G94" s="122" t="str">
        <v>fraction</v>
      </c>
      <c r="H94" s="118" t="str">
        <v>Constant</v>
      </c>
      <c r="I94" s="119" t="str" cm="1">
        <f t="array" aca="1" ref="I94" ca="1">HYPERLINK(Common_InputFunctions.Utility_SourceHyperlink($D$107), $D$107)</f>
        <v>Table_MR_j</v>
      </c>
    </row>
    <row r="95" spans="3:19" ht="20.100000000000001" customHeight="1" x14ac:dyDescent="0.25">
      <c r="D95" s="122" t="str">
        <v>MI_j</v>
      </c>
      <c r="E95" s="121" t="str">
        <v>additional intake required for milk production</v>
      </c>
      <c r="F95" s="123"/>
      <c r="G95" s="122" t="str">
        <v>kg DM/head/day</v>
      </c>
      <c r="H95" s="118" t="str">
        <v>Calculated from 3.3.1.1 (4)</v>
      </c>
      <c r="I95" s="119" t="str" cm="1">
        <f t="array" aca="1" ref="I95" ca="1">HYPERLINK(Common_InputFunctions.Utility_SourceHyperlink($D$77), $D$77)</f>
        <v>M1_Table_MI_j</v>
      </c>
    </row>
    <row r="96" spans="3:19" ht="20.100000000000001" customHeight="1" x14ac:dyDescent="0.25"/>
    <row r="97" spans="1:18" ht="20.100000000000001" customHeight="1" x14ac:dyDescent="0.25">
      <c r="D97" s="101" t="s">
        <v>166</v>
      </c>
      <c r="M97" s="101" t="s">
        <v>168</v>
      </c>
    </row>
    <row r="98" spans="1:18" ht="20.100000000000001" customHeight="1" x14ac:dyDescent="0.25">
      <c r="D98" s="100" t="s">
        <v>167</v>
      </c>
      <c r="M98" s="100" t="s">
        <v>169</v>
      </c>
    </row>
    <row r="99" spans="1:18" ht="20.100000000000001" customHeight="1" x14ac:dyDescent="0.25">
      <c r="D99" s="41" t="s">
        <v>128</v>
      </c>
      <c r="E99" s="41" t="s">
        <v>145</v>
      </c>
      <c r="F99" s="41" t="s">
        <v>146</v>
      </c>
      <c r="G99" s="41" t="s">
        <v>147</v>
      </c>
      <c r="H99" s="41" t="s">
        <v>148</v>
      </c>
      <c r="M99" s="41" t="s">
        <v>128</v>
      </c>
      <c r="N99" s="41" t="s">
        <v>145</v>
      </c>
      <c r="O99" s="41" t="s">
        <v>146</v>
      </c>
      <c r="P99" s="41" t="s">
        <v>147</v>
      </c>
      <c r="Q99" s="41" t="s">
        <v>148</v>
      </c>
    </row>
    <row r="100" spans="1:18" ht="20.100000000000001" customHeight="1" x14ac:dyDescent="0.25">
      <c r="D100" s="54">
        <f>'Input - Dairy'!$E$14</f>
        <v>550</v>
      </c>
      <c r="E100" s="54">
        <f>'Input - Dairy'!$F$14</f>
        <v>380</v>
      </c>
      <c r="F100" s="54">
        <f>'Input - Dairy'!$G$14</f>
        <v>155</v>
      </c>
      <c r="G100" s="54">
        <f>'Input - Dairy'!$H$14</f>
        <v>600</v>
      </c>
      <c r="H100" s="54">
        <f>'Input - Dairy'!$I$14</f>
        <v>225</v>
      </c>
      <c r="I100" s="2" t="s">
        <v>150</v>
      </c>
      <c r="M100" s="54">
        <f>'Input - Dairy'!$E$18</f>
        <v>550</v>
      </c>
      <c r="N100" s="54">
        <f>'Input - Dairy'!$F$18</f>
        <v>380</v>
      </c>
      <c r="O100" s="54">
        <f>'Input - Dairy'!$G$18</f>
        <v>155</v>
      </c>
      <c r="P100" s="54">
        <f>'Input - Dairy'!$H$18</f>
        <v>600</v>
      </c>
      <c r="Q100" s="54">
        <f>'Input - Dairy'!$I$18</f>
        <v>225</v>
      </c>
      <c r="R100" s="2" t="s">
        <v>150</v>
      </c>
    </row>
    <row r="101" spans="1:18" ht="20.100000000000001" customHeight="1" x14ac:dyDescent="0.25"/>
    <row r="102" spans="1:18" ht="20.100000000000001" customHeight="1" x14ac:dyDescent="0.25">
      <c r="D102" s="101" t="s">
        <v>170</v>
      </c>
      <c r="M102" s="101" t="s">
        <v>172</v>
      </c>
    </row>
    <row r="103" spans="1:18" ht="20.100000000000001" customHeight="1" x14ac:dyDescent="0.25">
      <c r="D103" s="100" t="s">
        <v>171</v>
      </c>
      <c r="M103" s="100" t="s">
        <v>173</v>
      </c>
    </row>
    <row r="104" spans="1:18" ht="20.100000000000001" customHeight="1" x14ac:dyDescent="0.25">
      <c r="D104" s="41" t="s">
        <v>128</v>
      </c>
      <c r="E104" s="41" t="s">
        <v>145</v>
      </c>
      <c r="F104" s="41" t="s">
        <v>146</v>
      </c>
      <c r="G104" s="41" t="s">
        <v>147</v>
      </c>
      <c r="H104" s="41" t="s">
        <v>148</v>
      </c>
      <c r="M104" s="41" t="s">
        <v>128</v>
      </c>
      <c r="N104" s="41" t="s">
        <v>145</v>
      </c>
      <c r="O104" s="41" t="s">
        <v>146</v>
      </c>
      <c r="P104" s="41" t="s">
        <v>147</v>
      </c>
      <c r="Q104" s="41" t="s">
        <v>148</v>
      </c>
    </row>
    <row r="105" spans="1:18" ht="20.100000000000001" customHeight="1" x14ac:dyDescent="0.25">
      <c r="A105" s="125" t="str">
        <f>HYPERLINK("#A1", "▲ Back to top")</f>
        <v>▲ Back to top</v>
      </c>
      <c r="D105" s="54">
        <f>'Input - Dairy'!$E$15</f>
        <v>1.6E-2</v>
      </c>
      <c r="E105" s="54">
        <f>'Input - Dairy'!$F$15</f>
        <v>0.6</v>
      </c>
      <c r="F105" s="54">
        <f>'Input - Dairy'!$G$15</f>
        <v>0.56999999999999995</v>
      </c>
      <c r="G105" s="54">
        <f>'Input - Dairy'!$H$15</f>
        <v>0.1</v>
      </c>
      <c r="H105" s="54">
        <f>'Input - Dairy'!$I$15</f>
        <v>0.8</v>
      </c>
      <c r="I105" s="2" t="s">
        <v>151</v>
      </c>
      <c r="M105" s="54">
        <f>'Input - Dairy'!$E$19</f>
        <v>1.6E-2</v>
      </c>
      <c r="N105" s="54">
        <f>'Input - Dairy'!$F$19</f>
        <v>0.6</v>
      </c>
      <c r="O105" s="54">
        <f>'Input - Dairy'!$G$19</f>
        <v>0.56999999999999995</v>
      </c>
      <c r="P105" s="54">
        <f>'Input - Dairy'!$H$19</f>
        <v>0.1</v>
      </c>
      <c r="Q105" s="54">
        <f>'Input - Dairy'!$I$19</f>
        <v>0.8</v>
      </c>
      <c r="R105" s="2" t="s">
        <v>151</v>
      </c>
    </row>
    <row r="106" spans="1:18" ht="20.100000000000001" customHeight="1" x14ac:dyDescent="0.25"/>
    <row r="107" spans="1:18" ht="20.100000000000001" customHeight="1" x14ac:dyDescent="0.25">
      <c r="D107" s="101" t="s">
        <v>174</v>
      </c>
    </row>
    <row r="108" spans="1:18" ht="20.100000000000001" customHeight="1" x14ac:dyDescent="0.25">
      <c r="D108" s="100" t="s">
        <v>175</v>
      </c>
    </row>
    <row r="109" spans="1:18" ht="20.100000000000001" customHeight="1" x14ac:dyDescent="0.25">
      <c r="D109" s="53" t="s">
        <v>128</v>
      </c>
      <c r="E109" s="53" t="s">
        <v>145</v>
      </c>
      <c r="F109" s="53" t="s">
        <v>146</v>
      </c>
      <c r="G109" s="53" t="s">
        <v>147</v>
      </c>
      <c r="H109" s="53" t="s">
        <v>148</v>
      </c>
    </row>
    <row r="110" spans="1:18" ht="20.100000000000001" customHeight="1" x14ac:dyDescent="0.25">
      <c r="D110" s="54">
        <f>'Constants - Dairy'!$E$108</f>
        <v>1.1000000000000001</v>
      </c>
      <c r="E110" s="54">
        <f>'Constants - Dairy'!$E$109</f>
        <v>1</v>
      </c>
      <c r="F110" s="54">
        <f>'Constants - Dairy'!$E$109</f>
        <v>1</v>
      </c>
      <c r="G110" s="54">
        <f>'Constants - Dairy'!$E$109</f>
        <v>1</v>
      </c>
      <c r="H110" s="54">
        <f>'Constants - Dairy'!$E$109</f>
        <v>1</v>
      </c>
      <c r="I110" s="2" t="s">
        <v>93</v>
      </c>
    </row>
    <row r="111" spans="1:18" ht="20.100000000000001" customHeight="1" x14ac:dyDescent="0.25"/>
    <row r="112" spans="1:18" ht="20.100000000000001" customHeight="1" x14ac:dyDescent="0.25">
      <c r="D112" s="101" t="s">
        <v>102</v>
      </c>
      <c r="M112" s="101" t="s">
        <v>103</v>
      </c>
    </row>
    <row r="113" spans="3:19" ht="20.100000000000001" customHeight="1" x14ac:dyDescent="0.25">
      <c r="D113" s="100" t="s">
        <v>189</v>
      </c>
      <c r="M113" s="100" t="s">
        <v>188</v>
      </c>
    </row>
    <row r="114" spans="3:19" ht="20.100000000000001" customHeight="1" x14ac:dyDescent="0.25">
      <c r="D114" s="53" t="s">
        <v>128</v>
      </c>
      <c r="E114" s="53" t="s">
        <v>145</v>
      </c>
      <c r="F114" s="53" t="s">
        <v>146</v>
      </c>
      <c r="G114" s="53" t="s">
        <v>147</v>
      </c>
      <c r="H114" s="53" t="s">
        <v>148</v>
      </c>
      <c r="M114" s="53" t="s">
        <v>128</v>
      </c>
      <c r="N114" s="53" t="s">
        <v>145</v>
      </c>
      <c r="O114" s="53" t="s">
        <v>146</v>
      </c>
      <c r="P114" s="53" t="s">
        <v>147</v>
      </c>
      <c r="Q114" s="53" t="s">
        <v>148</v>
      </c>
    </row>
    <row r="115" spans="3:19" ht="20.100000000000001" customHeight="1" x14ac:dyDescent="0.25">
      <c r="D115" s="54" cm="1">
        <f t="array" ref="D115">EntericMethane_Dairy_Equations.VEERG_3_3_1_1__3_DryMatterFeedIntake(D100,D105,D110,D80)</f>
        <v>18.834317684367193</v>
      </c>
      <c r="E115" s="54" cm="1">
        <f t="array" ref="E115">EntericMethane_Dairy_Equations.VEERG_3_3_1_1__3_DryMatterFeedIntake(E100,E105,E110,E80)</f>
        <v>7.4188685375999972</v>
      </c>
      <c r="F115" s="54" cm="1">
        <f t="array" ref="F115">EntericMethane_Dairy_Equations.VEERG_3_3_1_1__3_DryMatterFeedIntake(F100,F105,F110,F80)</f>
        <v>4.0231734662249998</v>
      </c>
      <c r="G115" s="54" cm="1">
        <f t="array" ref="G115">EntericMethane_Dairy_Equations.VEERG_3_3_1_1__3_DryMatterFeedIntake(G100,G105,G110,G80)</f>
        <v>9.0270202499999979</v>
      </c>
      <c r="H115" s="54" cm="1">
        <f t="array" ref="H115">EntericMethane_Dairy_Equations.VEERG_3_3_1_1__3_DryMatterFeedIntake(H100,H105,H110,H80)</f>
        <v>5.4143472656250013</v>
      </c>
      <c r="I115" s="2" t="str">
        <f>$E$90</f>
        <v>kg DM/head/day</v>
      </c>
      <c r="M115" s="54" cm="1">
        <f t="array" ref="M115">EntericMethane_Dairy_Equations.VEERG_3_3_1_1__3_DryMatterFeedIntake(M100,M105,D110,M80)</f>
        <v>18.834317684367193</v>
      </c>
      <c r="N115" s="54" cm="1">
        <f t="array" ref="N115">EntericMethane_Dairy_Equations.VEERG_3_3_1_1__3_DryMatterFeedIntake(N100,N105,E110,N80)</f>
        <v>7.4188685375999972</v>
      </c>
      <c r="O115" s="54" cm="1">
        <f t="array" ref="O115">EntericMethane_Dairy_Equations.VEERG_3_3_1_1__3_DryMatterFeedIntake(O100,O105,F110,O80)</f>
        <v>4.0231734662249998</v>
      </c>
      <c r="P115" s="54" cm="1">
        <f t="array" ref="P115">EntericMethane_Dairy_Equations.VEERG_3_3_1_1__3_DryMatterFeedIntake(P100,P105,G110,P80)</f>
        <v>9.0270202499999979</v>
      </c>
      <c r="Q115" s="54" cm="1">
        <f t="array" ref="Q115">EntericMethane_Dairy_Equations.VEERG_3_3_1_1__3_DryMatterFeedIntake(Q100,Q105,H110,Q80)</f>
        <v>5.4143472656250013</v>
      </c>
      <c r="R115" s="2" t="str">
        <f>$E$90</f>
        <v>kg DM/head/day</v>
      </c>
    </row>
    <row r="116" spans="3:19" ht="20.100000000000001" customHeight="1" x14ac:dyDescent="0.25"/>
    <row r="117" spans="3:19" ht="20.100000000000001" customHeight="1" x14ac:dyDescent="0.25"/>
    <row r="118" spans="3:19" ht="20.100000000000001" customHeight="1" x14ac:dyDescent="0.25">
      <c r="C118" s="48"/>
      <c r="D118" s="48"/>
      <c r="E118" s="48"/>
      <c r="F118" s="48"/>
      <c r="G118" s="48"/>
      <c r="H118" s="48"/>
      <c r="I118" s="48"/>
      <c r="J118" s="48"/>
      <c r="L118" s="48"/>
      <c r="M118" s="48"/>
      <c r="N118" s="48"/>
      <c r="O118" s="48"/>
      <c r="P118" s="48"/>
      <c r="Q118" s="48"/>
      <c r="R118" s="48"/>
      <c r="S118" s="48"/>
    </row>
    <row r="119" spans="3:19" ht="20.100000000000001" customHeight="1" x14ac:dyDescent="0.25">
      <c r="D119" s="50" t="str" cm="1">
        <f t="array" ref="D119">EntericMethane_Dairy_Equations.VEERG_3_3_1_1__2_DailyEntericMethaneProduction_Title()</f>
        <v>Daily production of enteric methane</v>
      </c>
    </row>
    <row r="120" spans="3:19" ht="20.100000000000001" customHeight="1" x14ac:dyDescent="0.25">
      <c r="D120" s="5" t="str" cm="1">
        <f t="array" ref="D120">EntericMethane_Dairy_Equations.VEERG_3_3_1_1__2_DailyEntericMethaneProduction_Source()</f>
        <v>VEERG 2026: 3.3.1.1, Equation (2)</v>
      </c>
    </row>
    <row r="121" spans="3:19" ht="20.100000000000001" customHeight="1" x14ac:dyDescent="0.25">
      <c r="D121" s="13" t="s">
        <v>24</v>
      </c>
      <c r="E121" s="13"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55" t="s">
        <v>27</v>
      </c>
      <c r="E124" s="1" t="str" cm="1">
        <f t="array" ref="E124">EntericMethane_Dairy_Equations.VEERG_3_3_1_1__2_DailyEntericMethaneProduction_Variable()</f>
        <v>M_j</v>
      </c>
    </row>
    <row r="125" spans="3:19" ht="20.100000000000001" customHeight="1" x14ac:dyDescent="0.25">
      <c r="D125" s="55" t="s">
        <v>17</v>
      </c>
      <c r="E125" s="56"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22" t="str" cm="1">
        <f t="array" ref="D127:G127">EntericMethane_Dairy_Equations.VEERG_3_3_1_1__2_DailyEntericMethaneProduction_Arguments()</f>
        <v>I_j</v>
      </c>
      <c r="E127" s="122" t="str">
        <v>dry matter feed intake</v>
      </c>
      <c r="F127" s="122" t="str">
        <v>kg DM/head/day</v>
      </c>
      <c r="G127" s="118" t="str">
        <v>Calculated from 3.3.1.1 (3)</v>
      </c>
      <c r="H127" s="119" t="str" cm="1">
        <f t="array" aca="1" ref="H127" ca="1">HYPERLINK(Common_InputFunctions.Utility_SourceHyperlink($D$112),$D$112)</f>
        <v>M1_Table_I_j</v>
      </c>
    </row>
    <row r="128" spans="3:19" ht="20.100000000000001" customHeight="1" x14ac:dyDescent="0.25"/>
    <row r="129" spans="3:19" ht="20.100000000000001" customHeight="1" x14ac:dyDescent="0.25">
      <c r="D129" s="101" t="s">
        <v>221</v>
      </c>
      <c r="M129" s="101" t="s">
        <v>223</v>
      </c>
    </row>
    <row r="130" spans="3:19" ht="20.100000000000001" customHeight="1" x14ac:dyDescent="0.25">
      <c r="D130" s="100" t="s">
        <v>222</v>
      </c>
      <c r="M130" s="100" t="s">
        <v>224</v>
      </c>
    </row>
    <row r="131" spans="3:19" ht="20.100000000000001" customHeight="1" x14ac:dyDescent="0.25">
      <c r="D131" s="53" t="s">
        <v>128</v>
      </c>
      <c r="E131" s="53" t="s">
        <v>145</v>
      </c>
      <c r="F131" s="53" t="s">
        <v>146</v>
      </c>
      <c r="G131" s="53" t="s">
        <v>147</v>
      </c>
      <c r="H131" s="53" t="s">
        <v>148</v>
      </c>
      <c r="M131" s="53" t="s">
        <v>128</v>
      </c>
      <c r="N131" s="53" t="s">
        <v>145</v>
      </c>
      <c r="O131" s="53" t="s">
        <v>146</v>
      </c>
      <c r="P131" s="53" t="s">
        <v>147</v>
      </c>
      <c r="Q131" s="53" t="s">
        <v>148</v>
      </c>
    </row>
    <row r="132" spans="3:19" ht="20.100000000000001" customHeight="1" x14ac:dyDescent="0.25">
      <c r="D132" s="54" cm="1">
        <f t="array" ref="D132">EntericMethane_Dairy_Equations.VEERG_3_3_1_1__2_DailyEntericMethaneProduction(D115)</f>
        <v>0.38987037606640085</v>
      </c>
      <c r="E132" s="54" cm="1">
        <f t="array" ref="E132">EntericMethane_Dairy_Equations.VEERG_3_3_1_1__2_DailyEntericMethaneProduction(E115)</f>
        <v>0.15357057872831995</v>
      </c>
      <c r="F132" s="54" cm="1">
        <f t="array" ref="F132">EntericMethane_Dairy_Equations.VEERG_3_3_1_1__2_DailyEntericMethaneProduction(F115)</f>
        <v>8.3279690750857505E-2</v>
      </c>
      <c r="G132" s="54" cm="1">
        <f t="array" ref="G132">EntericMethane_Dairy_Equations.VEERG_3_3_1_1__2_DailyEntericMethaneProduction(G115)</f>
        <v>0.18685931917499995</v>
      </c>
      <c r="H132" s="54" cm="1">
        <f t="array" ref="H132">EntericMethane_Dairy_Equations.VEERG_3_3_1_1__2_DailyEntericMethaneProduction(H115)</f>
        <v>0.11207698839843752</v>
      </c>
      <c r="I132" s="2" t="str">
        <f>$E$125</f>
        <v>kg CH4/head/day</v>
      </c>
      <c r="M132" s="54" cm="1">
        <f t="array" ref="M132">EntericMethane_Dairy_Equations.VEERG_3_3_1_1__2_DailyEntericMethaneProduction(M115)</f>
        <v>0.38987037606640085</v>
      </c>
      <c r="N132" s="54" cm="1">
        <f t="array" ref="N132">EntericMethane_Dairy_Equations.VEERG_3_3_1_1__2_DailyEntericMethaneProduction(N115)</f>
        <v>0.15357057872831995</v>
      </c>
      <c r="O132" s="54" cm="1">
        <f t="array" ref="O132">EntericMethane_Dairy_Equations.VEERG_3_3_1_1__2_DailyEntericMethaneProduction(O115)</f>
        <v>8.3279690750857505E-2</v>
      </c>
      <c r="P132" s="54" cm="1">
        <f t="array" ref="P132">EntericMethane_Dairy_Equations.VEERG_3_3_1_1__2_DailyEntericMethaneProduction(P115)</f>
        <v>0.18685931917499995</v>
      </c>
      <c r="Q132" s="54" cm="1">
        <f t="array" ref="Q132">EntericMethane_Dairy_Equations.VEERG_3_3_1_1__2_DailyEntericMethaneProduction(Q115)</f>
        <v>0.11207698839843752</v>
      </c>
      <c r="R132" s="2" t="str">
        <f>$E$125</f>
        <v>kg CH4/head/day</v>
      </c>
    </row>
    <row r="133" spans="3:19" ht="20.100000000000001" customHeight="1" x14ac:dyDescent="0.25"/>
    <row r="134" spans="3:19" ht="20.100000000000001" customHeight="1" x14ac:dyDescent="0.25"/>
    <row r="135" spans="3:19" ht="20.100000000000001" customHeight="1" x14ac:dyDescent="0.25">
      <c r="C135" s="48"/>
      <c r="D135" s="48"/>
      <c r="E135" s="48"/>
      <c r="F135" s="48"/>
      <c r="G135" s="48"/>
      <c r="H135" s="48"/>
      <c r="I135" s="48"/>
      <c r="J135" s="48"/>
      <c r="L135" s="48"/>
      <c r="M135" s="48"/>
      <c r="N135" s="48"/>
      <c r="O135" s="48"/>
      <c r="P135" s="48"/>
      <c r="Q135" s="48"/>
      <c r="R135" s="48"/>
      <c r="S135" s="48"/>
    </row>
    <row r="136" spans="3:19" ht="20.100000000000001" customHeight="1" x14ac:dyDescent="0.25">
      <c r="D136" s="50"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5" t="str" cm="1">
        <f t="array" ref="D137">EntericMethane_Dairy_Equations.VEERG_3_3_1_1__1_TotalAnnualMethaneFromEntericFermentation_Source()</f>
        <v>VEERG 2026: 3.3.1.1, Equation (1)</v>
      </c>
    </row>
    <row r="138" spans="3:19" ht="20.100000000000001" customHeight="1" x14ac:dyDescent="0.25">
      <c r="D138" s="57"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3" t="s">
        <v>24</v>
      </c>
      <c r="E139" s="13"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1:9" ht="20.100000000000001" customHeight="1" x14ac:dyDescent="0.25">
      <c r="D145" s="55" t="s">
        <v>27</v>
      </c>
      <c r="E145" s="1" t="str" cm="1">
        <f t="array" ref="E145">EntericMethane_Dairy_Equations.VEERG_3_3_1_1__1_TotalAnnualMethaneFromEntericFermentation_Variable()</f>
        <v>E_enteric</v>
      </c>
    </row>
    <row r="146" spans="1:9" ht="20.100000000000001" customHeight="1" x14ac:dyDescent="0.25">
      <c r="D146" s="55" t="s">
        <v>17</v>
      </c>
      <c r="E146" s="56" t="str" cm="1">
        <f t="array" ref="E146">EntericMethane_Dairy_Equations.VEERG_3_3_1_1__1_TotalAnnualMethaneFromEntericFermentation_Unit()</f>
        <v>t CH4</v>
      </c>
    </row>
    <row r="147" spans="1:9" ht="20.100000000000001" customHeight="1" x14ac:dyDescent="0.25"/>
    <row r="148" spans="1:9" ht="20.100000000000001" customHeight="1" x14ac:dyDescent="0.25">
      <c r="D148" s="122" t="str" cm="1">
        <f t="array" ref="D148:E155">_xlfn.CHOOSECOLS(EntericMethane_Dairy_Equations.VEERG_3_3_1_1__1_TotalAnnualMethaneFromEntericFermentation_Arguments(),1,2)</f>
        <v>N_j124</v>
      </c>
      <c r="E148" s="121" t="str">
        <v>number of dairy cattle in classes j=1,2,4</v>
      </c>
      <c r="F148" s="123"/>
      <c r="G148" s="122" t="str" cm="1">
        <f t="array" ref="G148:H155">_xlfn.CHOOSECOLS(EntericMethane_Dairy_Equations.VEERG_3_3_1_1__1_TotalAnnualMethaneFromEntericFermentation_Arguments(),3,4)</f>
        <v>head</v>
      </c>
      <c r="H148" s="120" t="str">
        <v>Input</v>
      </c>
      <c r="I148" s="119" t="str" cm="1">
        <f t="array" aca="1" ref="I148" ca="1">HYPERLINK(Common_InputFunctions.Utility_SourceHyperlink($D$157),$D$157)</f>
        <v>Table_N_j</v>
      </c>
    </row>
    <row r="149" spans="1:9" ht="20.100000000000001" customHeight="1" x14ac:dyDescent="0.25">
      <c r="D149" s="122" t="str">
        <v>M_j124</v>
      </c>
      <c r="E149" s="121" t="str">
        <v>daily enteric methane production for classes j=1,2,4</v>
      </c>
      <c r="F149" s="123"/>
      <c r="G149" s="122" t="str">
        <v>kg CH4/head/day</v>
      </c>
      <c r="H149" s="118" t="str">
        <v>Calculated from 3.3.1.1 (2)</v>
      </c>
      <c r="I149" s="119" t="str" cm="1">
        <f t="array" aca="1" ref="I149" ca="1">HYPERLINK(Common_InputFunctions.Utility_SourceHyperlink($D$129),$D$129)</f>
        <v>M1_Table_M_j</v>
      </c>
    </row>
    <row r="150" spans="1:9" ht="20.100000000000001" customHeight="1" x14ac:dyDescent="0.25">
      <c r="D150" s="122" t="str">
        <v>D_j124</v>
      </c>
      <c r="E150" s="121" t="str">
        <v>duration of stay on the farm for classes j=1,2,4</v>
      </c>
      <c r="F150" s="123"/>
      <c r="G150" s="122" t="str">
        <v>days</v>
      </c>
      <c r="H150" s="120" t="str">
        <v>Input</v>
      </c>
      <c r="I150" s="119" t="str" cm="1">
        <f t="array" aca="1" ref="I150" ca="1">HYPERLINK(Common_InputFunctions.Utility_SourceHyperlink($D$162),$D$162)</f>
        <v>M1_Table_D_j</v>
      </c>
    </row>
    <row r="151" spans="1:9" ht="20.100000000000001" customHeight="1" x14ac:dyDescent="0.25">
      <c r="A151" s="125" t="str">
        <f>HYPERLINK("#A1", "▲ Back to top")</f>
        <v>▲ Back to top</v>
      </c>
      <c r="D151" s="122" t="str">
        <v>N_j35</v>
      </c>
      <c r="E151" s="121" t="str">
        <v>number of dairy cattle in classes j=3,5</v>
      </c>
      <c r="F151" s="123"/>
      <c r="G151" s="122" t="str">
        <v>head</v>
      </c>
      <c r="H151" s="120" t="str">
        <v>Input</v>
      </c>
      <c r="I151" s="119" t="str" cm="1">
        <f t="array" aca="1" ref="I151" ca="1">HYPERLINK(Common_InputFunctions.Utility_SourceHyperlink($D$157),$D$157)</f>
        <v>Table_N_j</v>
      </c>
    </row>
    <row r="152" spans="1:9" ht="20.100000000000001" customHeight="1" x14ac:dyDescent="0.25">
      <c r="D152" s="122" t="str">
        <v>M_j35</v>
      </c>
      <c r="E152" s="121" t="str">
        <v>daily enteric methane production for weaned classes j=3,5</v>
      </c>
      <c r="F152" s="123"/>
      <c r="G152" s="122" t="str">
        <v>kg CH4/head/day</v>
      </c>
      <c r="H152" s="118" t="str">
        <v>Calculated from 3.3.1.1 (2)</v>
      </c>
      <c r="I152" s="119" t="str" cm="1">
        <f t="array" aca="1" ref="I152" ca="1">HYPERLINK(Common_InputFunctions.Utility_SourceHyperlink($D$129),$D$129)</f>
        <v>M1_Table_M_j</v>
      </c>
    </row>
    <row r="153" spans="1:9" ht="20.100000000000001" customHeight="1" x14ac:dyDescent="0.25">
      <c r="D153" s="122" t="str">
        <v>D_j35</v>
      </c>
      <c r="E153" s="121" t="str">
        <v>duration of stay on the farm for weaned classes j=3,5</v>
      </c>
      <c r="F153" s="123"/>
      <c r="G153" s="122" t="str">
        <v>days</v>
      </c>
      <c r="H153" s="120" t="str">
        <v>Input</v>
      </c>
      <c r="I153" s="119" t="str" cm="1">
        <f t="array" aca="1" ref="I153" ca="1">HYPERLINK(Common_InputFunctions.Utility_SourceHyperlink($D$162),$D$162)</f>
        <v>M1_Table_D_j</v>
      </c>
    </row>
    <row r="154" spans="1:9" ht="20.100000000000001" customHeight="1" x14ac:dyDescent="0.25">
      <c r="D154" s="122" t="str">
        <v>DPW_j35</v>
      </c>
      <c r="E154" s="121" t="str">
        <v>duration of stay on the farm for pre-weaned heifer and bull calves</v>
      </c>
      <c r="F154" s="123"/>
      <c r="G154" s="122" t="str">
        <v>days</v>
      </c>
      <c r="H154" s="120" t="str">
        <v>Input</v>
      </c>
      <c r="I154" s="119" t="str" cm="1">
        <f t="array" aca="1" ref="I154" ca="1">HYPERLINK(Common_InputFunctions.Utility_SourceHyperlink($D$167),$D$167)</f>
        <v>M1_Table_DPW_j-3-5</v>
      </c>
    </row>
    <row r="155" spans="1:9" ht="20.100000000000001" customHeight="1" x14ac:dyDescent="0.25">
      <c r="D155" s="122" t="str">
        <v>MPW_ENTERIC_j35</v>
      </c>
      <c r="E155" s="122" t="str">
        <v>daily methane production for pre-weaned heifer and bull calves</v>
      </c>
      <c r="F155" s="122"/>
      <c r="G155" s="122" t="str">
        <v>kg CH4/head/day</v>
      </c>
      <c r="H155" s="118" t="str">
        <v>Constant</v>
      </c>
      <c r="I155" s="119" t="str" cm="1">
        <f t="array" aca="1" ref="I155" ca="1">HYPERLINK(Common_InputFunctions.Utility_SourceHyperlink($D$172),$D$172)</f>
        <v>M1_Table_MPW_j-3-5</v>
      </c>
    </row>
    <row r="156" spans="1:9" ht="20.100000000000001" customHeight="1" x14ac:dyDescent="0.25"/>
    <row r="157" spans="1:9" ht="20.100000000000001" customHeight="1" x14ac:dyDescent="0.25">
      <c r="D157" s="101" t="s">
        <v>99</v>
      </c>
    </row>
    <row r="158" spans="1:9" ht="20.100000000000001" customHeight="1" x14ac:dyDescent="0.25">
      <c r="D158" s="100" t="s">
        <v>225</v>
      </c>
    </row>
    <row r="159" spans="1:9" ht="20.100000000000001" customHeight="1" x14ac:dyDescent="0.25">
      <c r="D159" s="41" t="s">
        <v>128</v>
      </c>
      <c r="E159" s="41" t="s">
        <v>145</v>
      </c>
      <c r="F159" s="41" t="s">
        <v>146</v>
      </c>
      <c r="G159" s="41" t="s">
        <v>147</v>
      </c>
      <c r="H159" s="41" t="s">
        <v>148</v>
      </c>
    </row>
    <row r="160" spans="1:9" ht="20.100000000000001" customHeight="1" x14ac:dyDescent="0.25">
      <c r="D160" s="54">
        <f>'Input - Dairy'!E10</f>
        <v>100</v>
      </c>
      <c r="E160" s="54">
        <f>'Input - Dairy'!F10</f>
        <v>100</v>
      </c>
      <c r="F160" s="54">
        <f>'Input - Dairy'!G10</f>
        <v>100</v>
      </c>
      <c r="G160" s="54">
        <f>'Input - Dairy'!H10</f>
        <v>100</v>
      </c>
      <c r="H160" s="54">
        <f>'Input - Dairy'!I10</f>
        <v>100</v>
      </c>
      <c r="I160" s="56" t="str">
        <f>$G$148</f>
        <v>head</v>
      </c>
    </row>
    <row r="161" spans="4:18" ht="20.100000000000001" customHeight="1" x14ac:dyDescent="0.25"/>
    <row r="162" spans="4:18" ht="20.100000000000001" customHeight="1" x14ac:dyDescent="0.25">
      <c r="D162" s="101" t="s">
        <v>190</v>
      </c>
      <c r="M162" s="101" t="s">
        <v>191</v>
      </c>
    </row>
    <row r="163" spans="4:18" ht="20.100000000000001" customHeight="1" x14ac:dyDescent="0.25">
      <c r="D163" s="100" t="s">
        <v>226</v>
      </c>
      <c r="M163" s="100" t="s">
        <v>228</v>
      </c>
    </row>
    <row r="164" spans="4:18" ht="20.100000000000001" customHeight="1" x14ac:dyDescent="0.25">
      <c r="D164" s="41" t="s">
        <v>128</v>
      </c>
      <c r="E164" s="41" t="s">
        <v>145</v>
      </c>
      <c r="F164" s="41" t="s">
        <v>146</v>
      </c>
      <c r="G164" s="41" t="s">
        <v>147</v>
      </c>
      <c r="H164" s="41" t="s">
        <v>148</v>
      </c>
      <c r="M164" s="41" t="s">
        <v>128</v>
      </c>
      <c r="N164" s="41" t="s">
        <v>145</v>
      </c>
      <c r="O164" s="41" t="s">
        <v>146</v>
      </c>
      <c r="P164" s="41" t="s">
        <v>147</v>
      </c>
      <c r="Q164" s="41" t="s">
        <v>148</v>
      </c>
    </row>
    <row r="165" spans="4:18" ht="20.100000000000001" customHeight="1" x14ac:dyDescent="0.25">
      <c r="D165" s="54">
        <f>'Input - Dairy'!E24</f>
        <v>365</v>
      </c>
      <c r="E165" s="54">
        <f>'Input - Dairy'!F24</f>
        <v>365</v>
      </c>
      <c r="F165" s="54">
        <f>'Input - Dairy'!G24</f>
        <v>281</v>
      </c>
      <c r="G165" s="54">
        <f>'Input - Dairy'!H24</f>
        <v>365</v>
      </c>
      <c r="H165" s="54">
        <f>'Input - Dairy'!I24</f>
        <v>281</v>
      </c>
      <c r="I165" s="56" t="str">
        <f>$G$150</f>
        <v>days</v>
      </c>
      <c r="M165" s="54">
        <f>'Input - Dairy'!E28</f>
        <v>365</v>
      </c>
      <c r="N165" s="54">
        <f>'Input - Dairy'!F28</f>
        <v>365</v>
      </c>
      <c r="O165" s="54">
        <f>'Input - Dairy'!G28</f>
        <v>281</v>
      </c>
      <c r="P165" s="54">
        <f>'Input - Dairy'!H28</f>
        <v>365</v>
      </c>
      <c r="Q165" s="54">
        <f>'Input - Dairy'!I28</f>
        <v>281</v>
      </c>
      <c r="R165" s="56" t="str">
        <f>$G$150</f>
        <v>days</v>
      </c>
    </row>
    <row r="166" spans="4:18" ht="20.100000000000001" customHeight="1" x14ac:dyDescent="0.25"/>
    <row r="167" spans="4:18" ht="20.100000000000001" customHeight="1" x14ac:dyDescent="0.25">
      <c r="D167" s="101" t="s">
        <v>231</v>
      </c>
      <c r="M167" s="101" t="s">
        <v>229</v>
      </c>
    </row>
    <row r="168" spans="4:18" ht="20.100000000000001" customHeight="1" x14ac:dyDescent="0.25">
      <c r="D168" s="100" t="s">
        <v>227</v>
      </c>
      <c r="M168" s="100" t="s">
        <v>230</v>
      </c>
    </row>
    <row r="169" spans="4:18" ht="20.100000000000001" customHeight="1" x14ac:dyDescent="0.25">
      <c r="D169" s="41" t="s">
        <v>128</v>
      </c>
      <c r="E169" s="41" t="s">
        <v>145</v>
      </c>
      <c r="F169" s="41" t="s">
        <v>146</v>
      </c>
      <c r="G169" s="41" t="s">
        <v>147</v>
      </c>
      <c r="H169" s="41" t="s">
        <v>148</v>
      </c>
      <c r="M169" s="41" t="s">
        <v>128</v>
      </c>
      <c r="N169" s="41" t="s">
        <v>145</v>
      </c>
      <c r="O169" s="41" t="s">
        <v>146</v>
      </c>
      <c r="P169" s="41" t="s">
        <v>147</v>
      </c>
      <c r="Q169" s="41" t="s">
        <v>148</v>
      </c>
    </row>
    <row r="170" spans="4:18" ht="20.100000000000001" customHeight="1" x14ac:dyDescent="0.25">
      <c r="D170" s="54">
        <f>'Input - Dairy'!E25</f>
        <v>0</v>
      </c>
      <c r="E170" s="54">
        <f>'Input - Dairy'!F29</f>
        <v>0</v>
      </c>
      <c r="F170" s="54">
        <f>'Input - Dairy'!G29</f>
        <v>84</v>
      </c>
      <c r="G170" s="54">
        <f>'Input - Dairy'!H29</f>
        <v>0</v>
      </c>
      <c r="H170" s="54">
        <f>'Input - Dairy'!I29</f>
        <v>84</v>
      </c>
      <c r="I170" s="56" t="str">
        <f>$G$150</f>
        <v>days</v>
      </c>
      <c r="M170" s="54">
        <f>'Input - Dairy'!E29</f>
        <v>0</v>
      </c>
      <c r="N170" s="54">
        <f>'Input - Dairy'!F29</f>
        <v>0</v>
      </c>
      <c r="O170" s="54">
        <f>'Input - Dairy'!G29</f>
        <v>84</v>
      </c>
      <c r="P170" s="54">
        <f>'Input - Dairy'!H29</f>
        <v>0</v>
      </c>
      <c r="Q170" s="54">
        <f>'Input - Dairy'!I29</f>
        <v>84</v>
      </c>
      <c r="R170" s="56" t="str">
        <f>$G$150</f>
        <v>days</v>
      </c>
    </row>
    <row r="171" spans="4:18" ht="20.100000000000001" customHeight="1" x14ac:dyDescent="0.25"/>
    <row r="172" spans="4:18" ht="20.100000000000001" customHeight="1" x14ac:dyDescent="0.25">
      <c r="D172" s="101" t="s">
        <v>232</v>
      </c>
    </row>
    <row r="173" spans="4:18" ht="20.100000000000001" customHeight="1" x14ac:dyDescent="0.25">
      <c r="D173" s="100" t="s">
        <v>227</v>
      </c>
    </row>
    <row r="174" spans="4:18" ht="20.100000000000001" customHeight="1" x14ac:dyDescent="0.25">
      <c r="D174" s="53" t="s">
        <v>146</v>
      </c>
      <c r="E174" s="53" t="s">
        <v>148</v>
      </c>
    </row>
    <row r="175" spans="4:18" ht="20.100000000000001" customHeight="1" x14ac:dyDescent="0.25">
      <c r="D175" s="54">
        <f>'Constants - Dairy'!$E$99</f>
        <v>1.7600000000000001E-2</v>
      </c>
      <c r="E175" s="54">
        <f>'Constants - Dairy'!$E$100</f>
        <v>2.0400000000000001E-2</v>
      </c>
      <c r="F175" s="56" t="str">
        <f>G155</f>
        <v>kg CH4/head/day</v>
      </c>
    </row>
    <row r="176" spans="4:18" ht="20.100000000000001" customHeight="1" x14ac:dyDescent="0.25"/>
    <row r="177" spans="1:18" ht="20.100000000000001" customHeight="1" x14ac:dyDescent="0.25">
      <c r="D177" s="101" t="s">
        <v>233</v>
      </c>
      <c r="M177" s="101" t="s">
        <v>233</v>
      </c>
    </row>
    <row r="178" spans="1:18" ht="20.100000000000001" customHeight="1" x14ac:dyDescent="0.25">
      <c r="A178" s="125" t="str">
        <f>HYPERLINK("#A1", "▲ Back to top")</f>
        <v>▲ Back to top</v>
      </c>
      <c r="D178" s="100" t="s">
        <v>234</v>
      </c>
      <c r="M178" s="100" t="s">
        <v>234</v>
      </c>
    </row>
    <row r="179" spans="1:18" ht="20.100000000000001" customHeight="1" x14ac:dyDescent="0.25">
      <c r="D179" s="53" t="s">
        <v>128</v>
      </c>
      <c r="E179" s="53" t="s">
        <v>145</v>
      </c>
      <c r="F179" s="53" t="s">
        <v>146</v>
      </c>
      <c r="G179" s="53" t="s">
        <v>147</v>
      </c>
      <c r="H179" s="53" t="s">
        <v>148</v>
      </c>
      <c r="M179" s="53" t="s">
        <v>128</v>
      </c>
      <c r="N179" s="53" t="s">
        <v>145</v>
      </c>
      <c r="O179" s="53" t="s">
        <v>146</v>
      </c>
      <c r="P179" s="53" t="s">
        <v>147</v>
      </c>
      <c r="Q179" s="53" t="s">
        <v>148</v>
      </c>
    </row>
    <row r="180" spans="1:18" ht="20.100000000000001" customHeight="1" x14ac:dyDescent="0.25">
      <c r="D180" s="54" cm="1">
        <f t="array" ref="D180">EntericMethane_Dairy_Equations.VEERG_3_3_1_1__1_TotalAnnualMethaneFromEntericFermentationVariation(D160,D132,D165,0,0,0,0,0)</f>
        <v>14.230268726423633</v>
      </c>
      <c r="E180" s="54" cm="1">
        <f t="array" ref="E180">EntericMethane_Dairy_Equations.VEERG_3_3_1_1__1_TotalAnnualMethaneFromEntericFermentationVariation(E160,E132,E165,0,0,0,0,0)</f>
        <v>5.6053261235836782</v>
      </c>
      <c r="F180" s="54" cm="1">
        <f t="array" ref="F180">EntericMethane_Dairy_Equations.VEERG_3_3_1_1__1_TotalAnnualMethaneFromEntericFermentationVariation(0,0,0,F160,F132,F165,F170,$D$175)</f>
        <v>2.487999310099096</v>
      </c>
      <c r="G180" s="54" cm="1">
        <f t="array" ref="G180">EntericMethane_Dairy_Equations.VEERG_3_3_1_1__1_TotalAnnualMethaneFromEntericFermentationVariation(G160,G132,G165,0,0,0,0,0)</f>
        <v>6.8203651498874986</v>
      </c>
      <c r="H180" s="54" cm="1">
        <f t="array" ref="H180">EntericMethane_Dairy_Equations.VEERG_3_3_1_1__1_TotalAnnualMethaneFromEntericFermentationVariation(0,0,0,H160,H132,H165,H170,$E$175)</f>
        <v>3.3207233739960946</v>
      </c>
      <c r="I180" s="56" t="str">
        <f>$E$146</f>
        <v>t CH4</v>
      </c>
      <c r="M180" s="54" cm="1">
        <f t="array" ref="M180">EntericMethane_Dairy_Equations.VEERG_3_3_1_1__1_TotalAnnualMethaneFromEntericFermentationVariation(D160,M132,M165,0,0,0,0,0)</f>
        <v>14.230268726423633</v>
      </c>
      <c r="N180" s="54" cm="1">
        <f t="array" ref="N180">EntericMethane_Dairy_Equations.VEERG_3_3_1_1__1_TotalAnnualMethaneFromEntericFermentationVariation(E160,N132,N165,0,0,0,0,0)</f>
        <v>5.6053261235836782</v>
      </c>
      <c r="O180" s="54" cm="1">
        <f t="array" ref="O180">EntericMethane_Dairy_Equations.VEERG_3_3_1_1__1_TotalAnnualMethaneFromEntericFermentationVariation(0,0,0,F160,O132,O165,O170,$D$175)</f>
        <v>2.487999310099096</v>
      </c>
      <c r="P180" s="54" cm="1">
        <f t="array" ref="P180">EntericMethane_Dairy_Equations.VEERG_3_3_1_1__1_TotalAnnualMethaneFromEntericFermentationVariation(G160,P132,P165,0,0,0,0,0)</f>
        <v>6.8203651498874986</v>
      </c>
      <c r="Q180" s="54" cm="1">
        <f t="array" ref="Q180">EntericMethane_Dairy_Equations.VEERG_3_3_1_1__1_TotalAnnualMethaneFromEntericFermentationVariation(0,0,0,H160,Q132,Q165,Q170,$E$175)</f>
        <v>3.3207233739960946</v>
      </c>
      <c r="R180" s="56" t="str">
        <f>$E$146</f>
        <v>t CH4</v>
      </c>
    </row>
    <row r="181" spans="1:18" ht="20.100000000000001" customHeight="1" x14ac:dyDescent="0.25"/>
    <row r="182" spans="1:18" ht="20.100000000000001" customHeight="1" x14ac:dyDescent="0.25">
      <c r="D182" s="103" t="s">
        <v>235</v>
      </c>
      <c r="E182" s="104">
        <f>SUM(D180:H180)</f>
        <v>32.464682683989999</v>
      </c>
      <c r="F182" s="105" t="str">
        <f>$E$146</f>
        <v>t CH4</v>
      </c>
      <c r="M182" s="103" t="s">
        <v>235</v>
      </c>
      <c r="N182" s="104">
        <f>SUM(M180:Q180)</f>
        <v>32.464682683989999</v>
      </c>
      <c r="O182" s="105" t="str">
        <f>$E$146</f>
        <v>t CH4</v>
      </c>
    </row>
    <row r="183" spans="1:18" ht="20.100000000000001" customHeight="1" x14ac:dyDescent="0.25"/>
    <row r="184" spans="1:18" ht="20.100000000000001" customHeight="1" x14ac:dyDescent="0.25">
      <c r="D184" s="59" t="str" cm="1">
        <f t="array" ref="D184:E185">Common_Equations.Common_ConvertCH4ToCO2e_Arguments()</f>
        <v>ECH4</v>
      </c>
      <c r="E184" s="60" t="str">
        <v>Methane emissions (t CH4)</v>
      </c>
      <c r="F184" s="106"/>
      <c r="G184" s="54">
        <f>E182</f>
        <v>32.464682683989999</v>
      </c>
      <c r="M184" s="59" t="str" cm="1">
        <f t="array" ref="M184:N185">Common_Equations.Common_ConvertCH4ToCO2e_Arguments()</f>
        <v>ECH4</v>
      </c>
      <c r="N184" s="60" t="str">
        <v>Methane emissions (t CH4)</v>
      </c>
      <c r="O184" s="106"/>
      <c r="P184" s="54">
        <f>N182</f>
        <v>32.464682683989999</v>
      </c>
    </row>
    <row r="185" spans="1:18" ht="20.100000000000001" customHeight="1" x14ac:dyDescent="0.25">
      <c r="D185" s="59" t="str">
        <v>GWPCH4</v>
      </c>
      <c r="E185" s="60" t="str">
        <v>Global warming potential for methane (t CO2-e / t CH4)</v>
      </c>
      <c r="F185" s="106"/>
      <c r="G185" s="54">
        <f>Common_InputFunctions.Utility_LookupValueInTableNumber("CH4",Table_GWPData[Gas],Table_GWPData[CO2-e factor])</f>
        <v>28</v>
      </c>
      <c r="M185" s="59" t="str">
        <v>GWPCH4</v>
      </c>
      <c r="N185" s="60" t="str">
        <v>Global warming potential for methane (t CO2-e / t CH4)</v>
      </c>
      <c r="O185" s="106"/>
      <c r="P185" s="54">
        <f>Common_InputFunctions.Utility_LookupValueInTableNumber("CH4",Table_GWPData[Gas],Table_GWPData[CO2-e factor])</f>
        <v>28</v>
      </c>
    </row>
    <row r="186" spans="1:18" ht="20.100000000000001" customHeight="1" x14ac:dyDescent="0.25"/>
    <row r="187" spans="1:18" ht="20.100000000000001" customHeight="1" x14ac:dyDescent="0.25">
      <c r="D187" s="48" t="s">
        <v>100</v>
      </c>
      <c r="E187" s="48" cm="1">
        <f t="array" ref="E187">Common_Equations.Common_ConvertN2OToCO2e(G184,G185)</f>
        <v>909.01111515171999</v>
      </c>
      <c r="F187" s="107" t="str" cm="1">
        <f t="array" ref="F187">Common_Equations.Common_ConvertN2OToCO2e_Unit()</f>
        <v>t CO2e</v>
      </c>
      <c r="M187" s="48" t="s">
        <v>100</v>
      </c>
      <c r="N187" s="48" cm="1">
        <f t="array" ref="N187">Common_Equations.Common_ConvertN2OToCO2e(P184,P185)</f>
        <v>909.01111515171999</v>
      </c>
      <c r="O187" s="107"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5"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5" t="str">
        <f>HYPERLINK("#A1", "▲ Back to top")</f>
        <v>▲ Back to top</v>
      </c>
    </row>
  </sheetData>
  <dataValidations disablePrompts="1"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2" zoomScale="85" zoomScaleNormal="85" workbookViewId="0">
      <selection activeCell="D225" sqref="D22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238</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125</v>
      </c>
      <c r="G5" s="6" t="s">
        <v>126</v>
      </c>
      <c r="J5" s="6" t="s">
        <v>116</v>
      </c>
      <c r="M5" s="1"/>
    </row>
    <row r="6" spans="1:21" ht="20.100000000000001" customHeight="1" x14ac:dyDescent="0.25">
      <c r="A6" s="16"/>
      <c r="M6" s="1"/>
    </row>
    <row r="7" spans="1:21" ht="20.100000000000001" customHeight="1" x14ac:dyDescent="0.25">
      <c r="A7" s="20" t="s">
        <v>1</v>
      </c>
      <c r="D7" s="99" t="s">
        <v>65</v>
      </c>
      <c r="E7" s="39" t="s">
        <v>76</v>
      </c>
      <c r="G7" s="39" t="s">
        <v>115</v>
      </c>
      <c r="J7" s="39" t="s">
        <v>113</v>
      </c>
      <c r="M7" s="1"/>
    </row>
    <row r="8" spans="1:21" ht="20.100000000000001" customHeight="1" x14ac:dyDescent="0.25">
      <c r="A8" s="17" t="str">
        <f>HYPERLINK("#'Input - Site'!A1", "Site")</f>
        <v>Site</v>
      </c>
      <c r="D8" s="39" t="str">
        <f>'Constants - Livestock'!$E$9</f>
        <v>Anaerobic lagoon</v>
      </c>
      <c r="E8" s="39" t="str">
        <f>'Constants - Livestock'!$F$9</f>
        <v>Anaerobic lagoon (m=1)</v>
      </c>
      <c r="G8" s="39" t="str">
        <f>'Constants - Common'!$F$187</f>
        <v>Pasture</v>
      </c>
      <c r="J8" s="39" t="s">
        <v>117</v>
      </c>
      <c r="M8" s="1"/>
    </row>
    <row r="9" spans="1:21" ht="20.100000000000001" customHeight="1" x14ac:dyDescent="0.25">
      <c r="A9" s="17" t="str">
        <f>HYPERLINK("#'Input - Dairy'!A1", "Dairy")</f>
        <v>Dairy</v>
      </c>
      <c r="D9" s="39" t="str">
        <f>'Constants - Livestock'!$E$12</f>
        <v>Sump and dispersal system</v>
      </c>
      <c r="E9" s="39" t="str">
        <f>'Constants - Livestock'!$F$12</f>
        <v>Sump and dispersal system (m=3a)</v>
      </c>
      <c r="G9" s="1" t="str">
        <f>'Constants - Common'!$F$188</f>
        <v>Crop</v>
      </c>
      <c r="J9" s="39" t="s">
        <v>118</v>
      </c>
      <c r="M9" s="1"/>
    </row>
    <row r="10" spans="1:21" ht="20.100000000000001" customHeight="1" x14ac:dyDescent="0.25">
      <c r="A10" s="17"/>
      <c r="D10" s="39" t="str">
        <f>'Constants - Livestock'!$E$13</f>
        <v>Drains to paddock</v>
      </c>
      <c r="E10" s="39" t="str">
        <f>'Constants - Livestock'!$F$13</f>
        <v>Drains to paddock (m=3b)</v>
      </c>
      <c r="J10" s="1" t="s">
        <v>119</v>
      </c>
      <c r="M10" s="1"/>
    </row>
    <row r="11" spans="1:21" ht="20.100000000000001" customHeight="1" x14ac:dyDescent="0.25">
      <c r="A11" s="19" t="s">
        <v>72</v>
      </c>
      <c r="D11" s="39" t="str">
        <f>'Constants - Livestock'!$E$14</f>
        <v>Solid storage</v>
      </c>
      <c r="E11" s="39" t="str">
        <f>'Constants - Livestock'!$F$14</f>
        <v>Solid storage (m=4)</v>
      </c>
      <c r="J11" s="1" t="s">
        <v>120</v>
      </c>
      <c r="M11" s="1"/>
    </row>
    <row r="12" spans="1:21" ht="20.100000000000001" customHeight="1" x14ac:dyDescent="0.25">
      <c r="A12" s="17" t="str">
        <f>HYPERLINK("#'3.3.1.1-2 Enteric Methane'!A1", "3.3.1.1-2 Enteric Methane")</f>
        <v>3.3.1.1-2 Enteric Methane</v>
      </c>
      <c r="J12" s="1" t="s">
        <v>121</v>
      </c>
      <c r="M12" s="1"/>
    </row>
    <row r="13" spans="1:21" ht="20.100000000000001" customHeight="1" x14ac:dyDescent="0.25">
      <c r="A13" s="17"/>
      <c r="M13" s="1"/>
    </row>
    <row r="14" spans="1:21" ht="20.100000000000001" customHeight="1" x14ac:dyDescent="0.25">
      <c r="A14" s="18" t="s">
        <v>2</v>
      </c>
      <c r="M14" s="1"/>
    </row>
    <row r="15" spans="1:21" ht="20.100000000000001" customHeight="1" x14ac:dyDescent="0.25">
      <c r="A15" s="70" t="str">
        <f>HYPERLINK("#'Constants - Dairy'!A1", "Constants - Dairy")</f>
        <v>Constants - Dairy</v>
      </c>
      <c r="M15" s="1"/>
    </row>
    <row r="16" spans="1:21" ht="20.100000000000001" customHeight="1" x14ac:dyDescent="0.25">
      <c r="A16" s="17" t="str">
        <f>HYPERLINK("#'Constants - Livestock'!A1", "Constants - Livestock")</f>
        <v>Constants - Livestock</v>
      </c>
      <c r="D16" s="6" t="str" cm="1">
        <f t="array" ref="D16">SourceData_Dairy.SourceData_Dairy_LiveweightCowsAndHeifers_Title()</f>
        <v>Table A.1.3.1: Dairy cattle - Liveweight (kg) - Cows and Heifers (Wj)</v>
      </c>
      <c r="M16" s="1"/>
    </row>
    <row r="17" spans="1:13" ht="20.100000000000001" customHeight="1" x14ac:dyDescent="0.25">
      <c r="A17" s="17" t="str">
        <f>HYPERLINK("#'Constants - Common'!A1", "Constants - Common")</f>
        <v>Constants - Common</v>
      </c>
      <c r="D17" s="5" t="str" cm="1">
        <f t="array" ref="D17">SourceData_Dairy.SourceData_Dairy_LiveweightCowsAndHeifers_Source()</f>
        <v>VEERG 2026: Table A.1.3.1</v>
      </c>
      <c r="M17" s="1"/>
    </row>
    <row r="18" spans="1:13" ht="20.100000000000001" customHeight="1" x14ac:dyDescent="0.25">
      <c r="A18" s="17" t="str">
        <f>HYPERLINK("#'Acknowledgements'!A1", "Acknowledgements")</f>
        <v>Acknowledgements</v>
      </c>
      <c r="D18" s="1" t="str" cm="1">
        <f t="array" ref="D18">SourceData_Dairy.SourceData_Dairy_LiveweightCowsAndHeifers_Variable()</f>
        <v>Wj</v>
      </c>
      <c r="M18" s="1"/>
    </row>
    <row r="19" spans="1:13" ht="20.100000000000001" customHeight="1" x14ac:dyDescent="0.25">
      <c r="D19" s="56" t="str" cm="1">
        <f t="array" ref="D19">SourceData_Dairy.SourceData_Dairy_LiveweightCowsAndHeifers_Unit()</f>
        <v>kg</v>
      </c>
      <c r="M19" s="1"/>
    </row>
    <row r="20" spans="1:13" ht="20.100000000000001" customHeight="1" x14ac:dyDescent="0.25">
      <c r="D20" s="57"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D21" s="39" t="s">
        <v>127</v>
      </c>
      <c r="E21" s="39" t="s">
        <v>128</v>
      </c>
      <c r="F21" s="39" t="s">
        <v>129</v>
      </c>
      <c r="G21" s="39" t="s">
        <v>130</v>
      </c>
      <c r="M21" s="1"/>
    </row>
    <row r="22" spans="1:13" ht="20.100000000000001" customHeight="1" x14ac:dyDescent="0.25">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6" t="str" cm="1">
        <f t="array" ref="D37">SourceData_Dairy.SourceData_Dairy_LiveweightBulls_Unit()</f>
        <v>kg</v>
      </c>
      <c r="M37" s="1"/>
    </row>
    <row r="38" spans="4:13" ht="20.100000000000001" customHeight="1" x14ac:dyDescent="0.25">
      <c r="D38" s="39" t="s">
        <v>127</v>
      </c>
      <c r="E38" s="39" t="s">
        <v>132</v>
      </c>
      <c r="F38" s="39" t="s">
        <v>131</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6" t="str" cm="1">
        <f t="array" ref="D45">SourceData_Dairy.SourceData_Dairy_LiveweightGain_Unit()</f>
        <v>kg</v>
      </c>
      <c r="M45" s="1"/>
    </row>
    <row r="46" spans="4:13" ht="20.100000000000001" customHeight="1" x14ac:dyDescent="0.25">
      <c r="D46" s="39" t="s">
        <v>128</v>
      </c>
      <c r="E46" s="39" t="s">
        <v>129</v>
      </c>
      <c r="F46" s="39" t="s">
        <v>130</v>
      </c>
      <c r="G46" s="39" t="s">
        <v>132</v>
      </c>
      <c r="H46" s="39" t="s">
        <v>131</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6" t="str" cm="1">
        <f t="array" ref="D53">SourceData_Dairy.SourceData_Dairy_ReferenceWeights_Unit()</f>
        <v>kg</v>
      </c>
      <c r="M53" s="1"/>
    </row>
    <row r="54" spans="1:13" ht="20.100000000000001" customHeight="1" x14ac:dyDescent="0.25">
      <c r="D54" s="116" t="s">
        <v>128</v>
      </c>
      <c r="E54" s="116" t="s">
        <v>129</v>
      </c>
      <c r="F54" s="116" t="s">
        <v>130</v>
      </c>
      <c r="G54" s="116" t="s">
        <v>132</v>
      </c>
      <c r="H54" s="116" t="s">
        <v>131</v>
      </c>
      <c r="M54" s="1"/>
    </row>
    <row r="55" spans="1:13" ht="20.100000000000001" customHeight="1" x14ac:dyDescent="0.25">
      <c r="A55" s="125"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6" t="str" cm="1">
        <f t="array" ref="D61">SourceData_Dairy.SourceData_Dairy_PreWeanedCalves_Unit()</f>
        <v>kg/day</v>
      </c>
      <c r="M61" s="1"/>
    </row>
    <row r="62" spans="1:13" ht="20.100000000000001" customHeight="1" x14ac:dyDescent="0.25">
      <c r="D62" s="39" t="s">
        <v>133</v>
      </c>
      <c r="E62" s="39" t="s">
        <v>134</v>
      </c>
      <c r="F62" s="39" t="s">
        <v>135</v>
      </c>
      <c r="G62" s="39" t="s">
        <v>136</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6" t="str" cm="1">
        <f t="array" ref="D70">SourceData_Dairy.SourceData_Dairy_MCF_Unit()</f>
        <v>fraction</v>
      </c>
      <c r="M70" s="1"/>
    </row>
    <row r="71" spans="1:22" ht="20.100000000000001" customHeight="1" x14ac:dyDescent="0.25">
      <c r="D71" s="57" t="str" cm="1">
        <f t="array" ref="D71">SourceData_Dairy.SourceData_Dairy_MCF_Variation()</f>
        <v>VARIATION OF SOURCE: Added 'NIR reference' column to aid lookup</v>
      </c>
      <c r="M71" s="1"/>
      <c r="V71" s="1"/>
    </row>
    <row r="72" spans="1:22" ht="20.100000000000001" customHeight="1" x14ac:dyDescent="0.25">
      <c r="D72" s="39" t="s">
        <v>94</v>
      </c>
      <c r="E72" s="39" t="s">
        <v>77</v>
      </c>
      <c r="F72" s="39" t="s">
        <v>78</v>
      </c>
      <c r="G72" s="39" t="s">
        <v>79</v>
      </c>
      <c r="H72" s="39" t="s">
        <v>80</v>
      </c>
      <c r="I72" s="39" t="s">
        <v>81</v>
      </c>
      <c r="J72" s="39" t="s">
        <v>82</v>
      </c>
      <c r="K72" s="39" t="s">
        <v>83</v>
      </c>
      <c r="L72" s="39" t="s">
        <v>84</v>
      </c>
      <c r="M72" s="39" t="s">
        <v>144</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25"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6" t="str" cm="1">
        <f t="array" ref="D84">SourceData_Dairy.SourceData_Dairy_NitrousOxideEFsAndFracGASM_Unit()</f>
        <v>kg N2O-N/kg N excreted</v>
      </c>
      <c r="M84" s="1"/>
    </row>
    <row r="85" spans="4:22" ht="20.100000000000001" customHeight="1" x14ac:dyDescent="0.25">
      <c r="D85" s="57" t="str" cm="1">
        <f t="array" ref="D85">SourceData_Dairy.SourceData_Dairy_NitrousOxideEFsAndFracGASM_Variation()</f>
        <v>VARIATION OF SOURCE: Added 'NIR reference' column to aid lookup</v>
      </c>
      <c r="M85" s="1"/>
      <c r="V85" s="1"/>
    </row>
    <row r="86" spans="4:22" ht="20.100000000000001" customHeight="1" x14ac:dyDescent="0.25">
      <c r="D86" s="39" t="s">
        <v>94</v>
      </c>
      <c r="E86" s="39" t="s">
        <v>137</v>
      </c>
      <c r="F86" s="39" t="s">
        <v>138</v>
      </c>
      <c r="G86" s="39" t="s">
        <v>144</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6" t="str" cm="1">
        <f t="array" ref="D97">SourceData_Dairy.SourceData_Dairy_MethaneProductionPreWeanedCalves_Unit()</f>
        <v>kg CH4/head/day</v>
      </c>
      <c r="M97" s="1"/>
    </row>
    <row r="98" spans="1:13" ht="20.100000000000001" customHeight="1" x14ac:dyDescent="0.25">
      <c r="D98" s="39" t="s">
        <v>133</v>
      </c>
      <c r="E98" s="39" t="s">
        <v>139</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25"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6" t="str" cm="1">
        <f t="array" ref="D106">SourceData_Dairy.SourceData_Dairy_IncreasedMetabolicRateMilk_Unit()</f>
        <v/>
      </c>
      <c r="M106" s="1"/>
    </row>
    <row r="107" spans="1:13" ht="20.100000000000001" customHeight="1" x14ac:dyDescent="0.25">
      <c r="D107" s="39" t="s">
        <v>133</v>
      </c>
      <c r="E107" s="39" t="s">
        <v>140</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6" t="str" cm="1">
        <f t="array" ref="D115">SourceData_Dairy.SourceData_Dairy_FractionVolatileSolidsVoidedMMS_Unit()</f>
        <v>fraction</v>
      </c>
      <c r="M115" s="1"/>
      <c r="V115" s="1"/>
    </row>
    <row r="116" spans="4:22" ht="20.100000000000001" customHeight="1" x14ac:dyDescent="0.25">
      <c r="D116" s="39" t="s">
        <v>141</v>
      </c>
      <c r="E116" s="39" t="s">
        <v>114</v>
      </c>
      <c r="F116" s="39" t="s">
        <v>142</v>
      </c>
      <c r="G116" s="39" t="s">
        <v>143</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6" t="str" cm="1">
        <f t="array" ref="D126">SourceData_Dairy.SourceData_Dairy_EFNitrousOxidePerMMS_Unit()</f>
        <v>kg N2O-N/kg N</v>
      </c>
      <c r="M126" s="1"/>
      <c r="V126" s="1"/>
    </row>
    <row r="127" spans="4:22" ht="20.100000000000001" customHeight="1" x14ac:dyDescent="0.25">
      <c r="D127" s="57" t="str" cm="1">
        <f t="array" ref="D127">SourceData_Dairy.SourceData_Dairy_EFNitrousOxidePerMMS_Variation()</f>
        <v>VARIATION OF SOURCE: Added 'NIR reference' column to aid lookup</v>
      </c>
      <c r="M127" s="1"/>
      <c r="V127" s="1"/>
    </row>
    <row r="128" spans="4:22" ht="20.100000000000001" customHeight="1" x14ac:dyDescent="0.25">
      <c r="D128" s="39" t="s">
        <v>94</v>
      </c>
      <c r="E128" s="39" t="s">
        <v>137</v>
      </c>
      <c r="F128" s="39" t="s">
        <v>144</v>
      </c>
      <c r="G128" s="108" t="s">
        <v>156</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25"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6" t="str" cm="1">
        <f t="array" ref="D139">SourceData_Dairy.SourceData_Dairy_DurationOfStay_Unit()</f>
        <v>days</v>
      </c>
      <c r="M139" s="24"/>
    </row>
    <row r="140" spans="1:22" ht="20.100000000000001" customHeight="1" x14ac:dyDescent="0.25">
      <c r="D140" s="57"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133</v>
      </c>
      <c r="E141" s="39" t="s">
        <v>154</v>
      </c>
      <c r="F141" s="39" t="s">
        <v>155</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6" t="str" cm="1">
        <f t="array" ref="D152">SourceData_Dairy.SourceData_Dairy_CrudeProtein_Unit()</f>
        <v>fraction</v>
      </c>
      <c r="M152" s="24"/>
    </row>
    <row r="153" spans="4:13" ht="20.100000000000001" customHeight="1" x14ac:dyDescent="0.25">
      <c r="D153" s="55"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6" t="str" cm="1">
        <f t="array" ref="D159">SourceData_Dairy.SourceData_Dairy_DryMatterDigestibility_Unit()</f>
        <v>fraction</v>
      </c>
      <c r="M159" s="24"/>
    </row>
    <row r="160" spans="4:13" ht="20.100000000000001" customHeight="1" x14ac:dyDescent="0.25">
      <c r="D160" s="55"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6" t="str" cm="1">
        <f t="array" ref="D166">SourceData_Dairy.SourceData_Dairy_NetEnergy_Unit()</f>
        <v>MJ net energy / kg milk</v>
      </c>
      <c r="M166" s="24"/>
    </row>
    <row r="167" spans="1:13" x14ac:dyDescent="0.25">
      <c r="D167" s="55"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6" t="str" cm="1">
        <f t="array" ref="D173">SourceData_Dairy.SourceData_Dairy_GrossEnergyContent_Unit()</f>
        <v>MJ / kgDM</v>
      </c>
      <c r="M173" s="24"/>
    </row>
    <row r="174" spans="1:13" x14ac:dyDescent="0.25">
      <c r="A174" s="125" t="str">
        <f>HYPERLINK("#A1", "▲ Back to top")</f>
        <v>▲ Back to top</v>
      </c>
      <c r="D174" s="55"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6" t="str" cm="1">
        <f t="array" ref="D180">SourceData_Dairy.SourceData_Dairy_EfficiencyOfUseOfMetabolizableEnergy_Unit()</f>
        <v>fraction</v>
      </c>
      <c r="M180" s="24"/>
    </row>
    <row r="181" spans="4:13" x14ac:dyDescent="0.25">
      <c r="D181" s="55"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6" t="str" cm="1">
        <f t="array" ref="D187">SourceData_Dairy.SourceData_Dairy_AshContent_Unit()</f>
        <v>fraction</v>
      </c>
      <c r="M187" s="24"/>
    </row>
    <row r="188" spans="4:13" x14ac:dyDescent="0.25">
      <c r="D188" s="55"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6" t="str" cm="1">
        <f t="array" ref="D194">SourceData_Dairy.SourceData_Dairy_MethaneEmissionsPotential_Unit()</f>
        <v>m3 CH4/kgVS</v>
      </c>
      <c r="M194" s="24"/>
    </row>
    <row r="195" spans="4:13" x14ac:dyDescent="0.25">
      <c r="D195" s="55"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6" t="str" cm="1">
        <f t="array" ref="D201">SourceData_Dairy.SourceData_Dairy_EmissionFactorForLeachingAndRunoff_Unit()</f>
        <v>kg N2O-N/kg N</v>
      </c>
      <c r="M201" s="24"/>
    </row>
    <row r="202" spans="4:13" x14ac:dyDescent="0.25">
      <c r="D202" s="55"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6" t="str" cm="1">
        <f t="array" ref="D208">SourceData_Dairy.SourceData_Dairy_FractionOfNitrogenLostThroughLeachingAndRunoff_Unit()</f>
        <v>Dimensionless</v>
      </c>
      <c r="M208" s="24"/>
    </row>
    <row r="209" spans="1:13" x14ac:dyDescent="0.25">
      <c r="D209" s="55" cm="1">
        <f t="array" ref="D209">SourceData_Dairy.SourceData_Dairy_FractionOfNitrogenLostThroughLeachingAndRunoff_Data()</f>
        <v>0.02</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6" t="str" cm="1">
        <f t="array" ref="D214">SourceData_Dairy.SourceData_Dairy_FracGASMSoil_Unit()</f>
        <v>(kg NH3-N + NOx-N)/kg N</v>
      </c>
      <c r="M214" s="24"/>
    </row>
    <row r="215" spans="1:13" x14ac:dyDescent="0.25">
      <c r="A215" s="125" t="str">
        <f>HYPERLINK("#A1", "▲ Back to top")</f>
        <v>▲ Back to top</v>
      </c>
      <c r="D215" s="55" cm="1">
        <f t="array" ref="D215">SourceData_Dairy.SourceData_Dairy_FracGASMSoil_Data()</f>
        <v>0.21</v>
      </c>
      <c r="M215" s="24"/>
    </row>
    <row r="216" spans="1:13" x14ac:dyDescent="0.25">
      <c r="M216" s="24"/>
    </row>
    <row r="217" spans="1:13" ht="23.25" x14ac:dyDescent="0.25">
      <c r="D217" s="6" t="str" cm="1">
        <f t="array" ref="D217">SourceData_Dairy.SourceData_Dairy_FatContentInMilk_Title()</f>
        <v>Fat content in fat and protein corrected milk</v>
      </c>
      <c r="M217" s="24"/>
    </row>
    <row r="218" spans="1:13" x14ac:dyDescent="0.25">
      <c r="D218" s="5" t="str" cm="1">
        <f t="array" ref="D218">SourceData_Dairy.SourceData_Dairy_FatContentInMilk_Source()</f>
        <v>VEERG 2026: 3.3.2.2 DATA (METHOD 1 AND 2 OPTIONS)</v>
      </c>
      <c r="M218" s="24"/>
    </row>
    <row r="219" spans="1:13" x14ac:dyDescent="0.25">
      <c r="D219" s="1" t="str" cm="1">
        <f t="array" ref="D219">SourceData_Dairy.SourceData_Dairy_FatContentInMilk_Variable()</f>
        <v>FC_j</v>
      </c>
      <c r="M219" s="24"/>
    </row>
    <row r="220" spans="1:13" x14ac:dyDescent="0.25">
      <c r="D220" s="56" t="str" cm="1">
        <f t="array" ref="D220">SourceData_Dairy.SourceData_Dairy_FatContentInMilk_Unit()</f>
        <v>percent</v>
      </c>
      <c r="M220" s="24"/>
    </row>
    <row r="221" spans="1:13" x14ac:dyDescent="0.25">
      <c r="D221" s="55" cm="1">
        <f t="array" ref="D221">SourceData_Dairy.SourceData_Dairy_FatContentInMilk_Data()</f>
        <v>4</v>
      </c>
      <c r="M221" s="24"/>
    </row>
    <row r="222" spans="1:13" x14ac:dyDescent="0.25">
      <c r="M222" s="24"/>
    </row>
    <row r="223" spans="1:13" ht="23.25" x14ac:dyDescent="0.25">
      <c r="D223" s="6" t="str" cm="1">
        <f t="array" ref="D223">SourceData_Dairy.SourceData_Dairy_ProteinContentInMilk_Title()</f>
        <v>Protein content in fat and protein corrected milk</v>
      </c>
      <c r="M223" s="24"/>
    </row>
    <row r="224" spans="1:13" x14ac:dyDescent="0.25">
      <c r="D224" s="5" t="str" cm="1">
        <f t="array" ref="D224">SourceData_Dairy.SourceData_Dairy_ProteinContentInMilk_Source()</f>
        <v>VEERG 2026: 3.3.2.2 DATA (METHOD 1 AND 2 OPTIONS)</v>
      </c>
      <c r="M224" s="24"/>
    </row>
    <row r="225" spans="4:13" x14ac:dyDescent="0.25">
      <c r="D225" s="1" t="str" cm="1">
        <f t="array" ref="D225">SourceData_Dairy.SourceData_Dairy_ProteinContentInMilk_Variable()</f>
        <v>PC_j</v>
      </c>
      <c r="M225" s="24"/>
    </row>
    <row r="226" spans="4:13" x14ac:dyDescent="0.25">
      <c r="D226" s="56" t="str" cm="1">
        <f t="array" ref="D226">SourceData_Dairy.SourceData_Dairy_ProteinContentInMilk_Unit()</f>
        <v>percent</v>
      </c>
      <c r="M226" s="24"/>
    </row>
    <row r="227" spans="4:13" x14ac:dyDescent="0.25">
      <c r="D227" s="55" cm="1">
        <f t="array" ref="D227">SourceData_Dairy.SourceData_Dairy_ProteinContentInMilk_Data()</f>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1202-1887-4293-9408-079FA11C6DF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73</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19</v>
      </c>
      <c r="E6" s="39" t="s">
        <v>20</v>
      </c>
      <c r="F6" s="39" t="s">
        <v>21</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22</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25</v>
      </c>
      <c r="E36" s="39" t="s">
        <v>26</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25</v>
      </c>
      <c r="E47" s="39" t="s">
        <v>28</v>
      </c>
      <c r="F47" s="39" t="s">
        <v>29</v>
      </c>
      <c r="G47" s="39" t="s">
        <v>30</v>
      </c>
      <c r="H47" s="39" t="s">
        <v>31</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7" t="str" cm="1">
        <f t="array" ref="D59:D61">"⚠️" &amp; Common_SourceData.Common_SourceData_WetAndDryZones_Variation()</f>
        <v>⚠️VARIATION OF SOURCE DATA:</v>
      </c>
    </row>
    <row r="60" spans="4:8" ht="20.100000000000001" customHeight="1" x14ac:dyDescent="0.25">
      <c r="D60" s="57" t="str">
        <v>⚠️Added warm / cool temperate moist / dry - low frost and high temp classes to accommodate climate scenarios excluded by VEERG criteria.</v>
      </c>
    </row>
    <row r="61" spans="4:8" ht="20.100000000000001" customHeight="1" x14ac:dyDescent="0.25">
      <c r="D61" s="57" t="str">
        <v>⚠️Fixed typo - Changed 'Fry' to 'Dry'.</v>
      </c>
    </row>
    <row r="62" spans="4:8" ht="20.100000000000001" customHeight="1" x14ac:dyDescent="0.25"/>
    <row r="63" spans="4:8" ht="20.100000000000001" customHeight="1" x14ac:dyDescent="0.25">
      <c r="D63" s="39" t="s">
        <v>8</v>
      </c>
      <c r="E63" s="39" t="s">
        <v>46</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7" t="str" cm="1">
        <f t="array" ref="D83:D87">"⚠️" &amp; Common_SourceData.Common_SourceData_ClimateZones_Variation()</f>
        <v>⚠️VARIATION OF SOURCE DATA:</v>
      </c>
    </row>
    <row r="84" spans="4:20" ht="20.100000000000001" customHeight="1" x14ac:dyDescent="0.25">
      <c r="D84" s="57" t="str">
        <v>⚠️Added warm / cool temperate moist / dry - low frost and high temp classes to accommodate climate scenarios excluded by VEERG criteria.</v>
      </c>
    </row>
    <row r="85" spans="4:20" ht="20.100000000000001" customHeight="1" x14ac:dyDescent="0.25">
      <c r="D85" s="57" t="str">
        <v>⚠️Fixed typo in MAT value for warm temperate dry - changed 10 to 11.</v>
      </c>
    </row>
    <row r="86" spans="4:20" ht="20.100000000000001" customHeight="1" x14ac:dyDescent="0.25">
      <c r="D86" s="57" t="str">
        <v>⚠️Added min and max columns for MAT, MAP, frost days per year, elevation, MAP:PET to calculate zones from real climate data.</v>
      </c>
    </row>
    <row r="87" spans="4:20" ht="20.100000000000001" customHeight="1" x14ac:dyDescent="0.25">
      <c r="D87" s="57" t="str">
        <v>⚠️GAF accepts rainfall as a proxy for precipitation.</v>
      </c>
    </row>
    <row r="88" spans="4:20" ht="20.100000000000001" customHeight="1" x14ac:dyDescent="0.25"/>
    <row r="89" spans="4:20" ht="20.100000000000001" customHeight="1" x14ac:dyDescent="0.25">
      <c r="D89" s="39" t="s">
        <v>8</v>
      </c>
      <c r="E89" s="39" t="s">
        <v>34</v>
      </c>
      <c r="F89" s="39" t="s">
        <v>35</v>
      </c>
      <c r="G89" s="39" t="s">
        <v>36</v>
      </c>
      <c r="H89" s="39" t="s">
        <v>37</v>
      </c>
      <c r="I89" s="39" t="s">
        <v>38</v>
      </c>
      <c r="J89" s="39" t="s">
        <v>39</v>
      </c>
      <c r="K89" s="39" t="s">
        <v>40</v>
      </c>
      <c r="L89" s="39" t="s">
        <v>41</v>
      </c>
      <c r="M89" s="39" t="s">
        <v>42</v>
      </c>
      <c r="N89" s="39" t="s">
        <v>43</v>
      </c>
      <c r="O89" s="39" t="s">
        <v>47</v>
      </c>
      <c r="P89" s="39" t="s">
        <v>44</v>
      </c>
      <c r="Q89" s="39" t="s">
        <v>48</v>
      </c>
      <c r="R89" s="39" t="s">
        <v>45</v>
      </c>
      <c r="S89" s="39" t="s">
        <v>49</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c r="D98" s="56" t="str" cm="1">
        <f t="array" ref="D98:D101">Common_SourceData.Common_SourceData_ClimateZones_Appendices()</f>
        <v>Note:</v>
      </c>
    </row>
    <row r="99" spans="4:20" ht="20.100000000000001" customHeight="1" x14ac:dyDescent="0.25">
      <c r="D99" s="56" t="str">
        <v>MAT = mean annual temperature</v>
      </c>
    </row>
    <row r="100" spans="4:20" ht="20.100000000000001" customHeight="1" x14ac:dyDescent="0.25">
      <c r="D100" s="56" t="str">
        <v>MAP = mean annual precipitation</v>
      </c>
    </row>
    <row r="101" spans="4:20" ht="20.100000000000001" customHeight="1" x14ac:dyDescent="0.25">
      <c r="D101" s="56" t="str">
        <v>PET = potential evapotranspiration</v>
      </c>
    </row>
    <row r="102" spans="4:20" ht="20.100000000000001" customHeight="1" x14ac:dyDescent="0.25">
      <c r="D102" s="56"/>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7"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53</v>
      </c>
      <c r="E109" s="39" t="s">
        <v>34</v>
      </c>
      <c r="F109" s="39" t="s">
        <v>54</v>
      </c>
      <c r="G109" s="39" t="s">
        <v>55</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7"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56</v>
      </c>
      <c r="E119" s="39" t="s">
        <v>57</v>
      </c>
      <c r="F119" s="39" t="s">
        <v>41</v>
      </c>
      <c r="G119" s="39" t="s">
        <v>42</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63</v>
      </c>
      <c r="E127" s="39" t="s">
        <v>64</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88</v>
      </c>
      <c r="E134" t="s">
        <v>89</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7"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192</v>
      </c>
      <c r="E142" s="39" t="s">
        <v>89</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66</v>
      </c>
      <c r="E153" s="39" t="s">
        <v>67</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6"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6" t="str" cm="1">
        <f t="array" ref="D180">Common_SourceData.Common_SourceData_EFN2O_Unit()</f>
        <v>(kg N2O-N / kg N</v>
      </c>
    </row>
    <row r="181" spans="4:68" ht="20.100000000000001" customHeight="1" x14ac:dyDescent="0.25">
      <c r="D181" s="57" t="str" cm="1">
        <f t="array" ref="D181:D185">Common_SourceData.Common_SourceData_EFN2O_Variation()</f>
        <v>VARIATION OF SOURCE DATA:</v>
      </c>
    </row>
    <row r="182" spans="4:68" ht="20.100000000000001" customHeight="1" x14ac:dyDescent="0.25">
      <c r="D182" s="57" t="str">
        <v>Removed duplicate 'Aquaculture' row.</v>
      </c>
    </row>
    <row r="183" spans="4:68" ht="20.100000000000001" customHeight="1" x14ac:dyDescent="0.25">
      <c r="D183" s="57" t="str">
        <v>Removed asterisks to aid lookup.</v>
      </c>
    </row>
    <row r="184" spans="4:68" ht="20.100000000000001" customHeight="1" x14ac:dyDescent="0.25">
      <c r="D184" s="57" t="str">
        <v>Added 'production system only', 'rainfall zone' and 'irrigation method' columns to aid lookup.</v>
      </c>
    </row>
    <row r="185" spans="4:68" ht="20.100000000000001" customHeight="1" x14ac:dyDescent="0.25">
      <c r="D185" s="57" t="str">
        <v>Duplicated 'non-irrigated pasture' row with same EF for low and high rainfall zones to aid lookup.</v>
      </c>
    </row>
    <row r="186" spans="4:68" ht="20.100000000000001" customHeight="1" x14ac:dyDescent="0.25">
      <c r="D186" s="39" t="s">
        <v>110</v>
      </c>
      <c r="E186" s="39" t="s">
        <v>111</v>
      </c>
      <c r="F186" s="39" t="s">
        <v>112</v>
      </c>
      <c r="G186" s="39" t="s">
        <v>113</v>
      </c>
      <c r="H186" s="39" t="s">
        <v>33</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7" t="str" cm="1">
        <f t="array" ref="D204">Common_SourceData.Common_SourceData_EFPastureRangeAndPaddock_Variation()</f>
        <v>VARIATION FROM SOURCE DATA: Changed 'Dry climate zones' to singular 'Dry climate zone' to aid lookup.</v>
      </c>
    </row>
    <row r="205" spans="4:8" x14ac:dyDescent="0.25">
      <c r="D205" s="56" t="str" cm="1">
        <f t="array" ref="D205">Common_SourceData.Common_SourceData_EFPastureRangeAndPaddock_Unit()</f>
        <v>kg N2O - N / kg N</v>
      </c>
    </row>
    <row r="206" spans="4:8" x14ac:dyDescent="0.25">
      <c r="D206" s="39" t="s">
        <v>8</v>
      </c>
      <c r="E206" s="39" t="s">
        <v>194</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199</v>
      </c>
      <c r="E212" s="39" t="s">
        <v>200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50</v>
      </c>
      <c r="E231" s="39" t="s">
        <v>202</v>
      </c>
      <c r="F231" s="38" t="s">
        <v>203</v>
      </c>
      <c r="G231" s="39" t="s">
        <v>204</v>
      </c>
      <c r="H231" s="39" t="s">
        <v>205</v>
      </c>
      <c r="I231" s="39" t="s">
        <v>206</v>
      </c>
      <c r="J231" s="39" t="s">
        <v>207</v>
      </c>
      <c r="K231" s="39" t="s">
        <v>208</v>
      </c>
      <c r="L231" s="39" t="s">
        <v>209</v>
      </c>
      <c r="M231" s="39" t="s">
        <v>210</v>
      </c>
      <c r="N231" s="39" t="s">
        <v>211</v>
      </c>
      <c r="O231" s="39" t="s">
        <v>212</v>
      </c>
      <c r="P231" s="39" t="s">
        <v>213</v>
      </c>
      <c r="Q231" s="39" t="s">
        <v>214</v>
      </c>
      <c r="R231" s="39" t="s">
        <v>215</v>
      </c>
      <c r="S231" s="39" t="s">
        <v>216</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E24" sqref="E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6" t="e" vm="1">
        <v>#VALUE!</v>
      </c>
      <c r="C1" s="8" t="s">
        <v>74</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c r="D5" s="6" t="str" cm="1">
        <f t="array" ref="D5">CommonLivestock_SourceData.SourceData_Livestock_Common_SymbolsMMS_Title()</f>
        <v>Table 5.12 Additional symbols used in algorithms for manure related emissions</v>
      </c>
      <c r="E5" s="3"/>
      <c r="F5" s="3"/>
      <c r="G5" s="3"/>
    </row>
    <row r="6" spans="1:13" ht="20.100000000000001" customHeight="1" x14ac:dyDescent="0.25">
      <c r="A6" s="16"/>
      <c r="D6" s="3" t="str" cm="1">
        <f t="array" ref="D6">CommonLivestock_SourceData.SourceData_Livestock_Common_SymbolsMMS_Vairable()</f>
        <v>MMS</v>
      </c>
      <c r="E6" s="3"/>
      <c r="F6" s="3"/>
      <c r="G6" s="3"/>
      <c r="H6" s="3"/>
    </row>
    <row r="7" spans="1:13" ht="20.100000000000001" customHeight="1" x14ac:dyDescent="0.25">
      <c r="A7" s="20" t="s">
        <v>1</v>
      </c>
      <c r="D7" s="5" t="str" cm="1">
        <f t="array" ref="D7">CommonLivestock_SourceData.SourceData_Livestock_Common_SymbolsMMS_Source()</f>
        <v>National Inventory Report 2023 Volume 1: Table 5.12</v>
      </c>
      <c r="E7" s="3"/>
      <c r="F7" s="3"/>
      <c r="G7" s="3"/>
      <c r="H7" s="3"/>
    </row>
    <row r="8" spans="1:13" ht="20.100000000000001" customHeight="1" x14ac:dyDescent="0.25">
      <c r="A8" s="17" t="str">
        <f>HYPERLINK("#'Input - Site'!A1", "Site")</f>
        <v>Site</v>
      </c>
      <c r="D8" s="38" t="s">
        <v>75</v>
      </c>
      <c r="E8" s="39" t="s">
        <v>18</v>
      </c>
      <c r="F8" s="39" t="s">
        <v>76</v>
      </c>
      <c r="G8" s="3"/>
      <c r="H8" s="3"/>
    </row>
    <row r="9" spans="1:13" ht="20.100000000000001" customHeight="1" x14ac:dyDescent="0.25">
      <c r="A9" s="17" t="str">
        <f>HYPERLINK("#'Input - Dairy'!A1", "Dairy")</f>
        <v>Dairy</v>
      </c>
      <c r="D9" s="38" t="str" cm="1">
        <f t="array" ref="D9">Common_InputFunctions.Utility_DisplayArrayInTable(CommonLivestock_SourceData.SourceData_Livestock_Common_SymbolsMMS_Data(), Table_Data_MMSSymbols[[#Headers],[Symbol]], 0)</f>
        <v>1</v>
      </c>
      <c r="E9" s="38" t="str" cm="1">
        <f t="array" ref="E9">Common_InputFunctions.Utility_DisplayArrayInTable(CommonLivestock_SourceData.SourceData_Livestock_Common_SymbolsMMS_Data(), Table_Data_MMSSymbols[[#Headers],[Symbol]], 0)</f>
        <v>Anaerobic lagoon</v>
      </c>
      <c r="F9" s="38" t="str" cm="1">
        <f t="array" ref="F9">Common_InputFunctions.Utility_DisplayArrayInTable(CommonLivestock_SourceData.SourceData_Livestock_Common_SymbolsMMS_Data(), Table_Data_MMSSymbols[[#Headers],[Symbol]], 0)</f>
        <v>Anaerobic lagoon (m=1)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2</v>
      </c>
      <c r="E10" s="38" t="str" cm="1">
        <f t="array" ref="E10">Common_InputFunctions.Utility_DisplayArrayInTable(CommonLivestock_SourceData.SourceData_Livestock_Common_SymbolsMMS_Data(), Table_Data_MMSSymbols[[#Headers],[Symbol]], 0)</f>
        <v>Liquid systems</v>
      </c>
      <c r="F10" s="38" t="str" cm="1">
        <f t="array" ref="F10">Common_InputFunctions.Utility_DisplayArrayInTable(CommonLivestock_SourceData.SourceData_Livestock_Common_SymbolsMMS_Data(), Table_Data_MMSSymbols[[#Headers],[Symbol]], 0)</f>
        <v>Liquid systems (m=2)</v>
      </c>
      <c r="G10" s="3"/>
    </row>
    <row r="11" spans="1:13" ht="20.100000000000001" customHeight="1" x14ac:dyDescent="0.25">
      <c r="A11" s="19" t="s">
        <v>72</v>
      </c>
      <c r="D11" s="39" t="str" cm="1">
        <f t="array" ref="D11">Common_InputFunctions.Utility_DisplayArrayInTable(CommonLivestock_SourceData.SourceData_Livestock_Common_SymbolsMMS_Data(), Table_Data_MMSSymbols[[#Headers],[Symbol]], 0)</f>
        <v>3</v>
      </c>
      <c r="E11" s="39" t="str" cm="1">
        <f t="array" ref="E11">Common_InputFunctions.Utility_DisplayArrayInTable(CommonLivestock_SourceData.SourceData_Livestock_Common_SymbolsMMS_Data(), Table_Data_MMSSymbols[[#Headers],[Symbol]], 0)</f>
        <v>Daily spread</v>
      </c>
      <c r="F11" s="39" t="str" cm="1">
        <f t="array" ref="F11">Common_InputFunctions.Utility_DisplayArrayInTable(CommonLivestock_SourceData.SourceData_Livestock_Common_SymbolsMMS_Data(), Table_Data_MMSSymbols[[#Headers],[Symbol]], 0)</f>
        <v>Daily spread (m=3)</v>
      </c>
      <c r="G11" s="3"/>
    </row>
    <row r="12" spans="1:13" ht="20.100000000000001" customHeight="1" x14ac:dyDescent="0.25">
      <c r="A12" s="17" t="str">
        <f>HYPERLINK("#'3.3.1.1-2 Enteric Methane'!A1", "3.3.1.1-2 Enteric Methane")</f>
        <v>3.3.1.1-2 Enteric Methane</v>
      </c>
      <c r="D12" s="39" t="str" cm="1">
        <f t="array" ref="D12">Common_InputFunctions.Utility_DisplayArrayInTable(CommonLivestock_SourceData.SourceData_Livestock_Common_SymbolsMMS_Data(), Table_Data_MMSSymbols[[#Headers],[Symbol]], 0)</f>
        <v>3a</v>
      </c>
      <c r="E12" s="39" t="str" cm="1">
        <f t="array" ref="E12">Common_InputFunctions.Utility_DisplayArrayInTable(CommonLivestock_SourceData.SourceData_Livestock_Common_SymbolsMMS_Data(), Table_Data_MMSSymbols[[#Headers],[Symbol]], 0)</f>
        <v>Sump and dispersal system</v>
      </c>
      <c r="F12" s="39" t="str" cm="1">
        <f t="array" ref="F12">Common_InputFunctions.Utility_DisplayArrayInTable(CommonLivestock_SourceData.SourceData_Livestock_Common_SymbolsMMS_Data(), Table_Data_MMSSymbols[[#Headers],[Symbol]], 0)</f>
        <v>Sump and dispersal system (m=3a)</v>
      </c>
      <c r="G12" s="3"/>
    </row>
    <row r="13" spans="1:13" ht="20.100000000000001" customHeight="1" x14ac:dyDescent="0.25">
      <c r="A13" s="17"/>
      <c r="D13" s="39" t="str" cm="1">
        <f t="array" ref="D13">Common_InputFunctions.Utility_DisplayArrayInTable(CommonLivestock_SourceData.SourceData_Livestock_Common_SymbolsMMS_Data(), Table_Data_MMSSymbols[[#Headers],[Symbol]], 0)</f>
        <v>3b</v>
      </c>
      <c r="E13" s="39" t="str" cm="1">
        <f t="array" ref="E13">Common_InputFunctions.Utility_DisplayArrayInTable(CommonLivestock_SourceData.SourceData_Livestock_Common_SymbolsMMS_Data(), Table_Data_MMSSymbols[[#Headers],[Symbol]], 0)</f>
        <v>Drains to paddock</v>
      </c>
      <c r="F13" s="39" t="str" cm="1">
        <f t="array" ref="F13">Common_InputFunctions.Utility_DisplayArrayInTable(CommonLivestock_SourceData.SourceData_Livestock_Common_SymbolsMMS_Data(), Table_Data_MMSSymbols[[#Headers],[Symbol]], 0)</f>
        <v>Drains to paddock (m=3b)</v>
      </c>
      <c r="G13" s="3"/>
    </row>
    <row r="14" spans="1:13" ht="20.100000000000001" customHeight="1" x14ac:dyDescent="0.25">
      <c r="A14" s="18" t="s">
        <v>2</v>
      </c>
      <c r="D14" s="39" t="str" cm="1">
        <f t="array" ref="D14">Common_InputFunctions.Utility_DisplayArrayInTable(CommonLivestock_SourceData.SourceData_Livestock_Common_SymbolsMMS_Data(), Table_Data_MMSSymbols[[#Headers],[Symbol]], 0)</f>
        <v>4</v>
      </c>
      <c r="E14" s="39" t="str" cm="1">
        <f t="array" ref="E14">Common_InputFunctions.Utility_DisplayArrayInTable(CommonLivestock_SourceData.SourceData_Livestock_Common_SymbolsMMS_Data(), Table_Data_MMSSymbols[[#Headers],[Symbol]], 0)</f>
        <v>Solid storage</v>
      </c>
      <c r="F14" s="39" t="str" cm="1">
        <f t="array" ref="F14">Common_InputFunctions.Utility_DisplayArrayInTable(CommonLivestock_SourceData.SourceData_Livestock_Common_SymbolsMMS_Data(), Table_Data_MMSSymbols[[#Headers],[Symbol]], 0)</f>
        <v>Solid storage (m=4)</v>
      </c>
      <c r="G14" s="3"/>
    </row>
    <row r="15" spans="1:13" ht="20.100000000000001" customHeight="1" x14ac:dyDescent="0.25">
      <c r="A15" s="17" t="str">
        <f>HYPERLINK("#'Constants - Dairy'!A1", "Constants - Dairy")</f>
        <v>Constants - Dairy</v>
      </c>
      <c r="D15" s="39" t="str" cm="1">
        <f t="array" ref="D15">Common_InputFunctions.Utility_DisplayArrayInTable(CommonLivestock_SourceData.SourceData_Livestock_Common_SymbolsMMS_Data(), Table_Data_MMSSymbols[[#Headers],[Symbol]], 0)</f>
        <v>5</v>
      </c>
      <c r="E15" s="39" t="str" cm="1">
        <f t="array" ref="E15">Common_InputFunctions.Utility_DisplayArrayInTable(CommonLivestock_SourceData.SourceData_Livestock_Common_SymbolsMMS_Data(), Table_Data_MMSSymbols[[#Headers],[Symbol]], 0)</f>
        <v>Drylot (feed pad)</v>
      </c>
      <c r="F15" s="39" t="str" cm="1">
        <f t="array" ref="F15">Common_InputFunctions.Utility_DisplayArrayInTable(CommonLivestock_SourceData.SourceData_Livestock_Common_SymbolsMMS_Data(), Table_Data_MMSSymbols[[#Headers],[Symbol]], 0)</f>
        <v>Drylot (feed pad) (m=5)</v>
      </c>
      <c r="G15" s="3"/>
    </row>
    <row r="16" spans="1:13" ht="20.100000000000001" customHeight="1" x14ac:dyDescent="0.25">
      <c r="A16" s="70" t="str">
        <f>HYPERLINK("#'Constants - Livestock'!A1", "Constants - Livestock")</f>
        <v>Constants - Livestock</v>
      </c>
      <c r="D16" s="39" t="str" cm="1">
        <f t="array" ref="D16">Common_InputFunctions.Utility_DisplayArrayInTable(CommonLivestock_SourceData.SourceData_Livestock_Common_SymbolsMMS_Data(), Table_Data_MMSSymbols[[#Headers],[Symbol]], 0)</f>
        <v>6</v>
      </c>
      <c r="E16" s="39" t="str" cm="1">
        <f t="array" ref="E16">Common_InputFunctions.Utility_DisplayArrayInTable(CommonLivestock_SourceData.SourceData_Livestock_Common_SymbolsMMS_Data(), Table_Data_MMSSymbols[[#Headers],[Symbol]], 0)</f>
        <v>Composting (passive windrow)</v>
      </c>
      <c r="F16" s="39" t="str" cm="1">
        <f t="array" ref="F16">Common_InputFunctions.Utility_DisplayArrayInTable(CommonLivestock_SourceData.SourceData_Livestock_Common_SymbolsMMS_Data(), Table_Data_MMSSymbols[[#Headers],[Symbol]], 0)</f>
        <v>Composting (passive windrow) (m=6)</v>
      </c>
      <c r="G16" s="3"/>
    </row>
    <row r="17" spans="1:8" ht="20.100000000000001" customHeight="1" x14ac:dyDescent="0.25">
      <c r="A17" s="17" t="str">
        <f>HYPERLINK("#'Constants - Common'!A1", "Constants - Common")</f>
        <v>Constants - Common</v>
      </c>
      <c r="D17" s="39" t="str" cm="1">
        <f t="array" ref="D17">Common_InputFunctions.Utility_DisplayArrayInTable(CommonLivestock_SourceData.SourceData_Livestock_Common_SymbolsMMS_Data(), Table_Data_MMSSymbols[[#Headers],[Symbol]], 0)</f>
        <v>7</v>
      </c>
      <c r="E17" s="39" t="str" cm="1">
        <f t="array" ref="E17">Common_InputFunctions.Utility_DisplayArrayInTable(CommonLivestock_SourceData.SourceData_Livestock_Common_SymbolsMMS_Data(), Table_Data_MMSSymbols[[#Headers],[Symbol]], 0)</f>
        <v>Digester / covered lagoons</v>
      </c>
      <c r="F17" s="39" t="str" cm="1">
        <f t="array" ref="F17">Common_InputFunctions.Utility_DisplayArrayInTable(CommonLivestock_SourceData.SourceData_Livestock_Common_SymbolsMMS_Data(), Table_Data_MMSSymbols[[#Headers],[Symbol]], 0)</f>
        <v>Digester / covered lagoons (m=7)</v>
      </c>
      <c r="G17" s="3"/>
    </row>
    <row r="18" spans="1:8" ht="20.100000000000001" customHeight="1" x14ac:dyDescent="0.25">
      <c r="A18" s="17" t="str">
        <f>HYPERLINK("#'Acknowledgements'!A1", "Acknowledgements")</f>
        <v>Acknowledgements</v>
      </c>
      <c r="D18" s="39" t="str" cm="1">
        <f t="array" ref="D18">Common_InputFunctions.Utility_DisplayArrayInTable(CommonLivestock_SourceData.SourceData_Livestock_Common_SymbolsMMS_Data(), Table_Data_MMSSymbols[[#Headers],[Symbol]], 0)</f>
        <v>8</v>
      </c>
      <c r="E18" s="39" t="str" cm="1">
        <f t="array" ref="E18">Common_InputFunctions.Utility_DisplayArrayInTable(CommonLivestock_SourceData.SourceData_Livestock_Common_SymbolsMMS_Data(), Table_Data_MMSSymbols[[#Headers],[Symbol]], 0)</f>
        <v>Deep litter</v>
      </c>
      <c r="F18" s="39" t="str" cm="1">
        <f t="array" ref="F18">Common_InputFunctions.Utility_DisplayArrayInTable(CommonLivestock_SourceData.SourceData_Livestock_Common_SymbolsMMS_Data(), Table_Data_MMSSymbols[[#Headers],[Symbol]], 0)</f>
        <v>Deep litter (m=8)</v>
      </c>
      <c r="G18" s="3"/>
    </row>
    <row r="19" spans="1:8" ht="20.100000000000001" customHeight="1" x14ac:dyDescent="0.25">
      <c r="D19" s="39" t="str" cm="1">
        <f t="array" ref="D19">Common_InputFunctions.Utility_DisplayArrayInTable(CommonLivestock_SourceData.SourceData_Livestock_Common_SymbolsMMS_Data(), Table_Data_MMSSymbols[[#Headers],[Symbol]], 0)</f>
        <v>9</v>
      </c>
      <c r="E19" s="39" t="str" cm="1">
        <f t="array" ref="E19">Common_InputFunctions.Utility_DisplayArrayInTable(CommonLivestock_SourceData.SourceData_Livestock_Common_SymbolsMMS_Data(), Table_Data_MMSSymbols[[#Headers],[Symbol]], 0)</f>
        <v>Pit storage</v>
      </c>
      <c r="F19" s="39" t="str" cm="1">
        <f t="array" ref="F19">Common_InputFunctions.Utility_DisplayArrayInTable(CommonLivestock_SourceData.SourceData_Livestock_Common_SymbolsMMS_Data(), Table_Data_MMSSymbols[[#Headers],[Symbol]], 0)</f>
        <v>Pit storage (m=9)</v>
      </c>
      <c r="G19" s="3"/>
    </row>
    <row r="20" spans="1:8" ht="20.100000000000001" customHeight="1" x14ac:dyDescent="0.25">
      <c r="D20" s="39" t="str" cm="1">
        <f t="array" ref="D20">Common_InputFunctions.Utility_DisplayArrayInTable(CommonLivestock_SourceData.SourceData_Livestock_Common_SymbolsMMS_Data(), Table_Data_MMSSymbols[[#Headers],[Symbol]], 0)</f>
        <v>10</v>
      </c>
      <c r="E20" s="39" t="str" cm="1">
        <f t="array" ref="E20">Common_InputFunctions.Utility_DisplayArrayInTable(CommonLivestock_SourceData.SourceData_Livestock_Common_SymbolsMMS_Data(), Table_Data_MMSSymbols[[#Headers],[Symbol]], 0)</f>
        <v>Poultry manure with bedding</v>
      </c>
      <c r="F20" s="39" t="str" cm="1">
        <f t="array" ref="F20">Common_InputFunctions.Utility_DisplayArrayInTable(CommonLivestock_SourceData.SourceData_Livestock_Common_SymbolsMMS_Data(), Table_Data_MMSSymbols[[#Headers],[Symbol]], 0)</f>
        <v>Poultry manure with bedding (m=10)</v>
      </c>
      <c r="G20" s="3"/>
    </row>
    <row r="21" spans="1:8" ht="20.100000000000001" customHeight="1" x14ac:dyDescent="0.25">
      <c r="D21" s="39" t="str" cm="1">
        <f t="array" ref="D21">Common_InputFunctions.Utility_DisplayArrayInTable(CommonLivestock_SourceData.SourceData_Livestock_Common_SymbolsMMS_Data(), Table_Data_MMSSymbols[[#Headers],[Symbol]], 0)</f>
        <v>11</v>
      </c>
      <c r="E21" s="39" t="str" cm="1">
        <f t="array" ref="E21">Common_InputFunctions.Utility_DisplayArrayInTable(CommonLivestock_SourceData.SourceData_Livestock_Common_SymbolsMMS_Data(), Table_Data_MMSSymbols[[#Headers],[Symbol]], 0)</f>
        <v>Poultry manure without bedding</v>
      </c>
      <c r="F21" s="39" t="str" cm="1">
        <f t="array" ref="F21">Common_InputFunctions.Utility_DisplayArrayInTable(CommonLivestock_SourceData.SourceData_Livestock_Common_SymbolsMMS_Data(), Table_Data_MMSSymbols[[#Headers],[Symbol]], 0)</f>
        <v>Poultry manure without bedding (m=11)</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11a</v>
      </c>
      <c r="E22" s="39" t="str" cm="1">
        <f t="array" ref="E22">Common_InputFunctions.Utility_DisplayArrayInTable(CommonLivestock_SourceData.SourceData_Livestock_Common_SymbolsMMS_Data(), Table_Data_MMSSymbols[[#Headers],[Symbol]], 0)</f>
        <v>Belt manure removal</v>
      </c>
      <c r="F22" s="39" t="str" cm="1">
        <f t="array" ref="F22">Common_InputFunctions.Utility_DisplayArrayInTable(CommonLivestock_SourceData.SourceData_Livestock_Common_SymbolsMMS_Data(), Table_Data_MMSSymbols[[#Headers],[Symbol]], 0)</f>
        <v>Belt manure removal (m=11a)</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11b</v>
      </c>
      <c r="E23" s="39" t="str" cm="1">
        <f t="array" ref="E23">Common_InputFunctions.Utility_DisplayArrayInTable(CommonLivestock_SourceData.SourceData_Livestock_Common_SymbolsMMS_Data(), Table_Data_MMSSymbols[[#Headers],[Symbol]], 0)</f>
        <v>Manure stored in house</v>
      </c>
      <c r="F23" s="39" t="str" cm="1">
        <f t="array" ref="F23">Common_InputFunctions.Utility_DisplayArrayInTable(CommonLivestock_SourceData.SourceData_Livestock_Common_SymbolsMMS_Data(), Table_Data_MMSSymbols[[#Headers],[Symbol]], 0)</f>
        <v>Manure stored in house (m=11b)</v>
      </c>
      <c r="G23" s="3"/>
    </row>
    <row r="24" spans="1:8" ht="20.100000000000001" customHeight="1" x14ac:dyDescent="0.25">
      <c r="D24" s="39" t="str" cm="1">
        <f t="array" ref="D24">Common_InputFunctions.Utility_DisplayArrayInTable(CommonLivestock_SourceData.SourceData_Livestock_Common_SymbolsMMS_Data(), Table_Data_MMSSymbols[[#Headers],[Symbol]], 0)</f>
        <v>12</v>
      </c>
      <c r="E24" s="39" t="str" cm="1">
        <f t="array" ref="E24">Common_InputFunctions.Utility_DisplayArrayInTable(CommonLivestock_SourceData.SourceData_Livestock_Common_SymbolsMMS_Data(), Table_Data_MMSSymbols[[#Headers],[Symbol]], 0)</f>
        <v>Direct processing</v>
      </c>
      <c r="F24" s="39" t="str" cm="1">
        <f t="array" ref="F24">Common_InputFunctions.Utility_DisplayArrayInTable(CommonLivestock_SourceData.SourceData_Livestock_Common_SymbolsMMS_Data(), Table_Data_MMSSymbols[[#Headers],[Symbol]], 0)</f>
        <v>Direct processing (m=12)</v>
      </c>
      <c r="G24" s="3"/>
    </row>
    <row r="25" spans="1:8" ht="20.100000000000001" customHeight="1" x14ac:dyDescent="0.25">
      <c r="D25" s="39" t="str" cm="1">
        <f t="array" ref="D25">Common_InputFunctions.Utility_DisplayArrayInTable(CommonLivestock_SourceData.SourceData_Livestock_Common_SymbolsMMS_Data(), Table_Data_MMSSymbols[[#Headers],[Symbol]], 0)</f>
        <v>13</v>
      </c>
      <c r="E25" s="39" t="str" cm="1">
        <f t="array" ref="E25">Common_InputFunctions.Utility_DisplayArrayInTable(CommonLivestock_SourceData.SourceData_Livestock_Common_SymbolsMMS_Data(), Table_Data_MMSSymbols[[#Headers],[Symbol]], 0)</f>
        <v>Direct application</v>
      </c>
      <c r="F25" s="39" t="str" cm="1">
        <f t="array" ref="F25">Common_InputFunctions.Utility_DisplayArrayInTable(CommonLivestock_SourceData.SourceData_Livestock_Common_SymbolsMMS_Data(), Table_Data_MMSSymbols[[#Headers],[Symbol]], 0)</f>
        <v>Direct application (m=13)</v>
      </c>
      <c r="G25" s="3"/>
    </row>
    <row r="26" spans="1:8" ht="20.100000000000001" customHeight="1" x14ac:dyDescent="0.25">
      <c r="D26" s="39" t="str" cm="1">
        <f t="array" ref="D26">Common_InputFunctions.Utility_DisplayArrayInTable(CommonLivestock_SourceData.SourceData_Livestock_Common_SymbolsMMS_Data(), Table_Data_MMSSymbols[[#Headers],[Symbol]], 0)</f>
        <v>14</v>
      </c>
      <c r="E26" s="39" t="str" cm="1">
        <f t="array" ref="E26">Common_InputFunctions.Utility_DisplayArrayInTable(CommonLivestock_SourceData.SourceData_Livestock_Common_SymbolsMMS_Data(), Table_Data_MMSSymbols[[#Headers],[Symbol]], 0)</f>
        <v>Pasture range and paddock</v>
      </c>
      <c r="F26" s="39" t="str" cm="1">
        <f t="array" ref="F26">Common_InputFunctions.Utility_DisplayArrayInTable(CommonLivestock_SourceData.SourceData_Livestock_Common_SymbolsMMS_Data(), Table_Data_MMSSymbols[[#Headers],[Symbol]], 0)</f>
        <v>Pasture range and paddock (m=14)</v>
      </c>
      <c r="G26" s="3"/>
    </row>
    <row r="27" spans="1:8" ht="20.100000000000001" customHeight="1" x14ac:dyDescent="0.25"/>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ABpAG0AZQBuAHMAaQBvAG4AbABlAHMAcw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JwBEAFAAVwAn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Home</vt:lpstr>
      <vt:lpstr>Overview</vt:lpstr>
      <vt:lpstr>Results</vt:lpstr>
      <vt:lpstr>Input - Site</vt:lpstr>
      <vt:lpstr>Input - Dairy</vt:lpstr>
      <vt:lpstr>3.3.1.1-2 Enteric Methane</vt:lpstr>
      <vt:lpstr>Constants - Dairy</vt:lpstr>
      <vt:lpstr>Constants - Common</vt:lpstr>
      <vt:lpstr>Constants - Livestock</vt:lpstr>
      <vt:lpstr>Acknowledgements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2026-06-04T05:11:56Z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