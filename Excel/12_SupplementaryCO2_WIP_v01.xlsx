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9CAC798-A118-4685-9E97-399403AFA411}" xr6:coauthVersionLast="47" xr6:coauthVersionMax="47" xr10:uidLastSave="{00000000-0000-0000-0000-000000000000}"/>
  <bookViews>
    <workbookView xWindow="1470" yWindow="735" windowWidth="34815" windowHeight="18060" activeTab="1"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11" r:id="rId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69" l="1"/>
  <c r="A11" i="69"/>
  <c r="A8" i="69"/>
  <c r="A5" i="69"/>
  <c r="A4" i="69"/>
  <c r="A3" i="69"/>
  <c r="A14" i="70"/>
  <c r="A11" i="70"/>
  <c r="A8" i="70"/>
  <c r="A5" i="70"/>
  <c r="A4" i="70"/>
  <c r="A3" i="70"/>
  <c r="A14" i="13"/>
  <c r="A11" i="13"/>
  <c r="A8" i="13"/>
  <c r="A5" i="13"/>
  <c r="A4" i="13"/>
  <c r="A3" i="13"/>
  <c r="A8" i="118"/>
  <c r="A11" i="118"/>
  <c r="E9" i="13"/>
  <c r="F10" i="13"/>
  <c r="E10" i="13"/>
  <c r="F15" i="69"/>
  <c r="E15" i="69" a="1"/>
  <c r="E15" i="69" s="1"/>
  <c r="I13" i="69"/>
  <c r="G13" i="69" a="1"/>
  <c r="G13" i="69" s="1"/>
  <c r="D13" i="69" a="1"/>
  <c r="D13" i="69" s="1"/>
  <c r="E11" i="69" a="1"/>
  <c r="E11" i="69" s="1"/>
  <c r="E10" i="69" a="1"/>
  <c r="E10" i="69" s="1"/>
  <c r="D6" i="69" a="1"/>
  <c r="D6" i="69" s="1"/>
  <c r="D5" i="69" a="1"/>
  <c r="D5" i="69" s="1"/>
  <c r="E7" i="69" a="1"/>
  <c r="E7" i="69" l="1"/>
  <c r="F9" i="13" l="1"/>
  <c r="A14" i="118" l="1"/>
  <c r="A5" i="118"/>
  <c r="A4" i="118"/>
  <c r="A3" i="118"/>
  <c r="E259" i="111" l="1" a="1"/>
  <c r="E259" i="111" s="1"/>
  <c r="D259" i="111" a="1"/>
  <c r="D259" i="111" s="1"/>
  <c r="E258" i="111" a="1"/>
  <c r="E258" i="111" s="1"/>
  <c r="D258" i="111" a="1"/>
  <c r="D258" i="111" s="1"/>
  <c r="D256" i="111" a="1"/>
  <c r="D256" i="111" s="1"/>
  <c r="D255" i="111" a="1"/>
  <c r="D255" i="111" s="1"/>
  <c r="D254" i="111" a="1"/>
  <c r="D254" i="111" s="1"/>
  <c r="D253" i="111" a="1"/>
  <c r="D253" i="111" s="1"/>
  <c r="S250" i="111" l="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H50" i="111" l="1"/>
  <c r="H51" i="111"/>
  <c r="H49" i="111"/>
  <c r="H53" i="111"/>
  <c r="H48" i="111"/>
  <c r="H54" i="111"/>
  <c r="H52" i="1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<sst xmlns="http://schemas.openxmlformats.org/spreadsheetml/2006/main" count="116" uniqueCount="98">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</sst>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i/>
      <sz val="16"/>
      <color theme="1" tint="0.34998626667073579"/>
      <name val="Times New Roman"/>
      <family val="1"/>
    </font>
    <font>
      <b/>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6" fillId="13" borderId="15" xfId="39" applyBorder="1">
      <alignment horizontal="left" vertical="center"/>
    </xf>
    <xf numFmtId="0" fontId="36" fillId="13" borderId="14" xfId="39" applyBorder="1">
      <alignment horizontal="left" vertical="center"/>
    </xf>
    <xf numFmtId="0" fontId="36" fillId="13" borderId="16" xfId="39" applyBorder="1">
      <alignment horizontal="left" vertical="center"/>
    </xf>
    <xf numFmtId="0" fontId="2" fillId="0" borderId="2" xfId="14">
      <alignment horizontal="center" vertical="center"/>
    </xf>
    <xf numFmtId="0" fontId="50" fillId="4" borderId="1" xfId="8" applyFont="1" applyBorder="1">
      <alignment horizontal="left" vertical="center"/>
    </xf>
    <xf numFmtId="0" fontId="48" fillId="4" borderId="1" xfId="8" applyFont="1" applyBorder="1">
      <alignment horizontal="left" vertical="center"/>
    </xf>
    <xf numFmtId="0" fontId="49" fillId="4" borderId="1" xfId="53" applyFont="1" applyBorder="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Equation table" pivot="0" count="6" xr9:uid="{B247698E-E41D-4CCD-AA0A-C14817E9DE65}">
      <tableStyleElement type="wholeTable" dxfId="55"/>
      <tableStyleElement type="headerRow" dxfId="54"/>
      <tableStyleElement type="totalRow" dxfId="53"/>
      <tableStyleElement type="firstColumn" dxfId="52"/>
      <tableStyleElement type="firstRowStripe" dxfId="51"/>
      <tableStyleElement type="secondRowStripe" dxfId="5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400" b="0" i="0" u="none" strike="noStrike">
              <a:solidFill>
                <a:srgbClr val="0C769E"/>
              </a:solidFill>
              <a:latin typeface="Times New Roman"/>
              <a:cs typeface="Times New Roman"/>
            </a:rPr>
            <a:t>12.1.1-2 Supplementary CO2</a:t>
          </a:fld>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1000" b="1" i="0" u="none" strike="noStrike">
              <a:solidFill>
                <a:srgbClr val="0C769E"/>
              </a:solidFill>
              <a:latin typeface="Times New Roman"/>
              <a:cs typeface="Times New Roman"/>
            </a:rPr>
            <a:t>Emissions from the use of supplementary CO2</a:t>
          </a:fld>
          <a:endParaRPr lang="en-AU" sz="10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𝑄</m:t>
                    </m:r>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𝐸=𝑄×10^(−3)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9:E11" totalsRowDxfId="49"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48" dataCellStyle="Input text" totalsRowCellStyle="Input select"/>
    <tableColumn id="4" xr3:uid="{9DFFE0DC-C289-47FB-8F0C-2D2F480EEE4C}" name="Amount used (kg)" totalsRowDxfId="47"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3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3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2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2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2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1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tabSelected="1"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6" t="s">
        <v>97</v>
      </c>
      <c r="D1" s="57"/>
      <c r="E1" s="57"/>
      <c r="F1" s="57"/>
      <c r="G1" s="57"/>
      <c r="H1" s="57"/>
      <c r="I1" s="57"/>
      <c r="J1" s="57"/>
      <c r="K1" s="57"/>
      <c r="L1" s="57"/>
      <c r="M1" s="57"/>
      <c r="N1" s="57"/>
      <c r="O1" s="57"/>
      <c r="P1" s="57"/>
    </row>
    <row r="2" spans="1:17" ht="20.100000000000001" customHeight="1" x14ac:dyDescent="0.25">
      <c r="A2" s="8"/>
      <c r="C2" s="57"/>
      <c r="D2" s="57"/>
      <c r="E2" s="57"/>
      <c r="F2" s="57"/>
      <c r="G2" s="57"/>
      <c r="H2" s="57"/>
      <c r="I2" s="57"/>
      <c r="J2" s="57"/>
      <c r="K2" s="57"/>
      <c r="L2" s="57"/>
      <c r="M2" s="57"/>
      <c r="N2" s="57"/>
      <c r="O2" s="57"/>
      <c r="P2" s="57"/>
      <c r="Q2" s="58"/>
    </row>
    <row r="3" spans="1:17" ht="20.100000000000001" customHeight="1" x14ac:dyDescent="0.25">
      <c r="A3" s="13" t="str">
        <f>HYPERLINK("#'Home'!A1", "Home")</f>
        <v>Home</v>
      </c>
      <c r="C3" s="59"/>
      <c r="D3" s="59"/>
      <c r="E3" s="59"/>
      <c r="F3" s="59"/>
      <c r="G3" s="59"/>
      <c r="H3" s="59"/>
      <c r="I3" s="59"/>
      <c r="J3" s="59"/>
      <c r="K3" s="59"/>
      <c r="L3" s="59"/>
      <c r="M3" s="59"/>
      <c r="N3" s="59"/>
      <c r="O3" s="59"/>
      <c r="P3" s="59"/>
    </row>
    <row r="4" spans="1:17" ht="20.100000000000001" customHeight="1" x14ac:dyDescent="0.25">
      <c r="A4" s="44" t="str">
        <f>HYPERLINK("#'Overview'!A1", "Overview")</f>
        <v>Overview</v>
      </c>
    </row>
    <row r="5" spans="1:17" ht="20.100000000000001" customHeight="1" x14ac:dyDescent="0.25">
      <c r="A5" s="13" t="str">
        <f>HYPERLINK("#'Results'!A1", "Results")</f>
        <v>Results</v>
      </c>
      <c r="D5" s="42" t="s">
        <v>83</v>
      </c>
      <c r="E5" s="36"/>
      <c r="F5" s="36"/>
      <c r="G5" s="36"/>
      <c r="H5" s="36"/>
      <c r="I5" s="36"/>
      <c r="J5" s="36"/>
      <c r="K5" s="36"/>
      <c r="L5" s="36"/>
      <c r="M5" s="36"/>
      <c r="N5" s="36"/>
      <c r="O5" s="33"/>
    </row>
    <row r="6" spans="1:17" ht="20.100000000000001" customHeight="1" x14ac:dyDescent="0.25">
      <c r="A6" s="12"/>
      <c r="D6" s="60" t="s">
        <v>84</v>
      </c>
      <c r="E6" s="35"/>
      <c r="F6" s="35"/>
      <c r="G6" s="35"/>
      <c r="H6" s="35"/>
      <c r="I6" s="35"/>
      <c r="J6" s="35"/>
      <c r="K6" s="35"/>
      <c r="L6" s="35"/>
      <c r="M6" s="35"/>
      <c r="N6" s="35"/>
      <c r="O6" s="34"/>
    </row>
    <row r="7" spans="1:17" ht="20.100000000000001" customHeight="1" x14ac:dyDescent="0.25">
      <c r="A7" s="16" t="s">
        <v>1</v>
      </c>
    </row>
    <row r="8" spans="1:17" ht="20.100000000000001" customHeight="1" x14ac:dyDescent="0.25">
      <c r="A8" s="13" t="str">
        <f>HYPERLINK("#'Input - CO2 Use'!A1", "CO2 Use")</f>
        <v>CO2 Use</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HYPERLINK("#'12.1.1-2 Supplementary CO2'!A1", "12.1.1-2 Supplementary CO2")</f>
        <v>12.1.1-2 Supplementary CO2</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Common'!A1", "Constants - Common")</f>
        <v>Constants - Common</v>
      </c>
      <c r="O14" s="1" t="s">
        <v>86</v>
      </c>
    </row>
    <row r="15" spans="1:17" ht="20.100000000000001" customHeight="1" x14ac:dyDescent="0.25"/>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c r="A22" s="13"/>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6" t="s">
        <v>96</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4" t="str">
        <f>HYPERLINK("#'Results'!A1", "Results")</f>
        <v>Results</v>
      </c>
      <c r="C5" s="18"/>
      <c r="D5" s="21"/>
      <c r="E5" s="22"/>
      <c r="F5" s="22"/>
      <c r="G5" s="22"/>
      <c r="H5" s="18"/>
    </row>
    <row r="6" spans="1:8" ht="20.100000000000001" customHeight="1" x14ac:dyDescent="0.25">
      <c r="A6" s="12"/>
      <c r="C6" s="18"/>
      <c r="D6" s="17" t="s">
        <v>80</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CO2 Use'!A1", "CO2 Use")</f>
        <v>CO2 Use</v>
      </c>
      <c r="C8" s="18"/>
      <c r="D8" s="40" t="s">
        <v>50</v>
      </c>
      <c r="E8" s="40" t="s">
        <v>60</v>
      </c>
      <c r="F8" s="40" t="s">
        <v>61</v>
      </c>
      <c r="G8" s="40" t="s">
        <v>56</v>
      </c>
      <c r="H8" s="18"/>
    </row>
    <row r="9" spans="1:8" ht="20.100000000000001" customHeight="1" x14ac:dyDescent="0.25">
      <c r="A9" s="13"/>
      <c r="C9" s="18"/>
      <c r="D9" s="1" t="s">
        <v>88</v>
      </c>
      <c r="E9" s="55">
        <f>'12.1.1-2 Supplementary CO2'!E15</f>
        <v>0.2</v>
      </c>
      <c r="F9" s="55">
        <f>E9</f>
        <v>0.2</v>
      </c>
      <c r="G9" s="29" t="s">
        <v>95</v>
      </c>
      <c r="H9" s="18"/>
    </row>
    <row r="10" spans="1:8" ht="20.100000000000001" customHeight="1" x14ac:dyDescent="0.3">
      <c r="A10" s="15" t="s">
        <v>45</v>
      </c>
      <c r="C10" s="18"/>
      <c r="D10" s="24" t="s">
        <v>55</v>
      </c>
      <c r="E10" s="39">
        <f>SUM(E1:E1)</f>
        <v>0</v>
      </c>
      <c r="F10" s="39">
        <f>SUM(F1:F1)</f>
        <v>0</v>
      </c>
      <c r="G10" s="37" t="s">
        <v>95</v>
      </c>
      <c r="H10" s="18"/>
    </row>
    <row r="11" spans="1:8" ht="20.100000000000001" customHeight="1" x14ac:dyDescent="0.25">
      <c r="A11" s="13" t="str">
        <f>HYPERLINK("#'12.1.1-2 Supplementary CO2'!A1", "12.1.1-2 Supplementary CO2")</f>
        <v>12.1.1-2 Supplementary CO2</v>
      </c>
      <c r="C11" s="18"/>
      <c r="D11" s="1"/>
      <c r="E11" s="1"/>
      <c r="F11" s="1"/>
      <c r="G11" s="1"/>
      <c r="H11" s="18"/>
    </row>
    <row r="12" spans="1:8" ht="20.100000000000001" customHeight="1" x14ac:dyDescent="0.25">
      <c r="A12" s="13"/>
      <c r="C12" s="18"/>
      <c r="D12" s="1"/>
      <c r="E12" s="1"/>
      <c r="F12" s="1"/>
      <c r="G12" s="1"/>
      <c r="H12" s="18"/>
    </row>
    <row r="13" spans="1:8" ht="20.100000000000001" customHeight="1" x14ac:dyDescent="0.25">
      <c r="A13" s="14" t="s">
        <v>2</v>
      </c>
      <c r="C13" s="18"/>
      <c r="D13" s="1"/>
      <c r="E13" s="41"/>
      <c r="F13" s="29"/>
      <c r="G13" s="1"/>
      <c r="H13" s="18"/>
    </row>
    <row r="14" spans="1:8" ht="20.100000000000001" customHeight="1" x14ac:dyDescent="0.25">
      <c r="A14" s="13" t="str">
        <f>HYPERLINK("#'Constants - Common'!A1", "Constants - Common")</f>
        <v>Constants - Common</v>
      </c>
      <c r="C14" s="18"/>
      <c r="D14" s="1"/>
      <c r="E14" s="41"/>
      <c r="F14" s="29"/>
      <c r="G14" s="1"/>
      <c r="H14" s="18"/>
    </row>
    <row r="15" spans="1:8" ht="20.100000000000001" customHeight="1" x14ac:dyDescent="0.25">
      <c r="C15" s="18"/>
      <c r="D15" s="1"/>
      <c r="E15" s="1"/>
      <c r="F15" s="1"/>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41"/>
      <c r="F21" s="29"/>
      <c r="G21" s="1"/>
      <c r="H21" s="18"/>
    </row>
    <row r="22" spans="1:8" ht="20.100000000000001" customHeight="1" x14ac:dyDescent="0.25">
      <c r="C22" s="18"/>
      <c r="D22" s="1"/>
      <c r="E22" s="41"/>
      <c r="F22" s="29"/>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G351"/>
  <sheetViews>
    <sheetView showGridLines="0" zoomScaleNormal="100" workbookViewId="0">
      <selection activeCell="A5" sqref="A5"/>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32" customFormat="1" ht="30" customHeight="1" x14ac:dyDescent="0.35">
      <c r="A1" s="32" t="e" vm="1">
        <v>#VALUE!</v>
      </c>
      <c r="C1" s="32" t="s">
        <v>87</v>
      </c>
    </row>
    <row r="2" spans="1:7" s="8" customFormat="1" ht="20.100000000000001" customHeight="1" x14ac:dyDescent="0.25"/>
    <row r="3" spans="1:7" ht="20.100000000000001" customHeight="1" x14ac:dyDescent="0.25">
      <c r="A3" s="13" t="str">
        <f>HYPERLINK("#'Home'!A1", "Home")</f>
        <v>Home</v>
      </c>
      <c r="C3" s="11"/>
      <c r="D3" s="11"/>
      <c r="E3" s="11"/>
      <c r="F3" s="11"/>
      <c r="G3" s="11"/>
    </row>
    <row r="4" spans="1:7" ht="20.100000000000001" customHeight="1" x14ac:dyDescent="0.25">
      <c r="A4" s="13" t="str">
        <f>HYPERLINK("#'Overview'!A1", "Overview")</f>
        <v>Overview</v>
      </c>
    </row>
    <row r="5" spans="1:7" ht="20.100000000000001" customHeight="1" x14ac:dyDescent="0.25">
      <c r="A5" s="13" t="str">
        <f>HYPERLINK("#'Results'!A1", "Results")</f>
        <v>Results</v>
      </c>
      <c r="D5" s="5" t="s">
        <v>93</v>
      </c>
      <c r="E5" s="2"/>
      <c r="F5" s="2"/>
    </row>
    <row r="6" spans="1:7" ht="20.100000000000001" customHeight="1" x14ac:dyDescent="0.25">
      <c r="A6" s="12"/>
      <c r="D6" s="18"/>
      <c r="E6" s="18"/>
      <c r="F6" s="18"/>
    </row>
    <row r="7" spans="1:7" ht="20.100000000000001" customHeight="1" x14ac:dyDescent="0.25">
      <c r="A7" s="16" t="s">
        <v>1</v>
      </c>
      <c r="D7" s="64" t="s">
        <v>85</v>
      </c>
      <c r="E7" s="65"/>
      <c r="F7" s="63"/>
    </row>
    <row r="8" spans="1:7" ht="20.100000000000001" customHeight="1" x14ac:dyDescent="0.25">
      <c r="A8" s="43" t="str">
        <f>HYPERLINK("#'Input - CO2 Use'!A1", "CO2 Use")</f>
        <v>CO2 Use</v>
      </c>
      <c r="D8" s="18"/>
      <c r="E8" s="18"/>
      <c r="F8" s="18"/>
    </row>
    <row r="9" spans="1:7" ht="20.100000000000001" customHeight="1" x14ac:dyDescent="0.25">
      <c r="A9" s="13"/>
      <c r="D9" s="46" t="s">
        <v>90</v>
      </c>
      <c r="E9" s="46" t="s">
        <v>89</v>
      </c>
      <c r="F9" s="18"/>
    </row>
    <row r="10" spans="1:7" ht="20.100000000000001" customHeight="1" x14ac:dyDescent="0.25">
      <c r="A10" s="15" t="s">
        <v>45</v>
      </c>
      <c r="D10" s="66" t="s">
        <v>91</v>
      </c>
      <c r="E10" s="62">
        <v>100</v>
      </c>
    </row>
    <row r="11" spans="1:7" ht="20.100000000000001" customHeight="1" x14ac:dyDescent="0.25">
      <c r="A11" s="13" t="str">
        <f>HYPERLINK("#'12.1.1-2 Supplementary CO2'!A1", "12.1.1-2 Supplementary CO2")</f>
        <v>12.1.1-2 Supplementary CO2</v>
      </c>
      <c r="D11" s="66" t="s">
        <v>92</v>
      </c>
      <c r="E11" s="62">
        <v>100</v>
      </c>
    </row>
    <row r="12" spans="1:7" ht="20.100000000000001" customHeight="1" x14ac:dyDescent="0.25">
      <c r="A12" s="13"/>
    </row>
    <row r="13" spans="1:7" ht="20.100000000000001" customHeight="1" x14ac:dyDescent="0.25">
      <c r="A13" s="14" t="s">
        <v>2</v>
      </c>
    </row>
    <row r="14" spans="1:7" ht="20.100000000000001" customHeight="1" x14ac:dyDescent="0.25">
      <c r="A14" s="13" t="str">
        <f>HYPERLINK("#'Constants - Common'!A1", "Constants - Common")</f>
        <v>Constants - Common</v>
      </c>
    </row>
    <row r="15" spans="1:7" ht="20.100000000000001" customHeight="1" x14ac:dyDescent="0.25"/>
    <row r="16" spans="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1"/>
    </row>
    <row r="32" spans="1:1" ht="20.100000000000001" customHeight="1" x14ac:dyDescent="0.25">
      <c r="A32" s="31"/>
    </row>
    <row r="33" spans="1:7" ht="20.100000000000001" customHeight="1" x14ac:dyDescent="0.25">
      <c r="A33" s="13"/>
    </row>
    <row r="34" spans="1:7" ht="20.100000000000001" customHeight="1" x14ac:dyDescent="0.25"/>
    <row r="35" spans="1:7" ht="20.100000000000001" customHeight="1" x14ac:dyDescent="0.25"/>
    <row r="36" spans="1:7" ht="20.100000000000001" customHeight="1" x14ac:dyDescent="0.25"/>
    <row r="37" spans="1:7" ht="20.100000000000001" customHeight="1" x14ac:dyDescent="0.25"/>
    <row r="38" spans="1:7" ht="20.100000000000001" customHeight="1" x14ac:dyDescent="0.25">
      <c r="C38" s="48"/>
      <c r="G38" s="48"/>
    </row>
    <row r="39" spans="1:7" ht="20.100000000000001" customHeight="1" x14ac:dyDescent="0.25">
      <c r="A39" s="13"/>
      <c r="C39" s="48"/>
      <c r="G39" s="48"/>
    </row>
    <row r="40" spans="1:7" s="49" customFormat="1" ht="20.100000000000001" customHeight="1" x14ac:dyDescent="0.25">
      <c r="C40" s="1"/>
      <c r="D40" s="1"/>
      <c r="E40" s="1"/>
      <c r="F40" s="1"/>
      <c r="G40" s="1"/>
    </row>
    <row r="41" spans="1:7" s="49" customFormat="1" ht="20.100000000000001" customHeight="1" x14ac:dyDescent="0.25">
      <c r="A41" s="50"/>
      <c r="C41" s="1"/>
      <c r="D41" s="1"/>
      <c r="E41" s="1"/>
      <c r="F41" s="1"/>
      <c r="G41" s="1"/>
    </row>
    <row r="42" spans="1:7" ht="20.100000000000001" customHeight="1" x14ac:dyDescent="0.25"/>
    <row r="43" spans="1:7" ht="20.100000000000001" customHeight="1" x14ac:dyDescent="0.25"/>
    <row r="44" spans="1:7" ht="20.100000000000001" customHeight="1" x14ac:dyDescent="0.25">
      <c r="A44" s="54"/>
    </row>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38"/>
    </row>
  </sheetData>
  <phoneticPr fontId="21" type="noConversion"/>
  <conditionalFormatting sqref="F47 F210 E200">
    <cfRule type="cellIs" dxfId="10" priority="62" operator="lessThan">
      <formula>0</formula>
    </cfRule>
  </conditionalFormatting>
  <conditionalFormatting sqref="F126:F127">
    <cfRule type="cellIs" dxfId="9" priority="21" operator="lessThan">
      <formula>0</formula>
    </cfRule>
  </conditionalFormatting>
  <conditionalFormatting sqref="F138:F139">
    <cfRule type="cellIs" dxfId="8" priority="20" operator="lessThan">
      <formula>0</formula>
    </cfRule>
  </conditionalFormatting>
  <conditionalFormatting sqref="F150:F151">
    <cfRule type="cellIs" dxfId="7" priority="19" operator="lessThan">
      <formula>0</formula>
    </cfRule>
  </conditionalFormatting>
  <conditionalFormatting sqref="F162:F163">
    <cfRule type="cellIs" dxfId="6" priority="18" operator="lessThan">
      <formula>0</formula>
    </cfRule>
  </conditionalFormatting>
  <conditionalFormatting sqref="F250:F251">
    <cfRule type="cellIs" dxfId="5" priority="93" operator="lessThan">
      <formula>0</formula>
    </cfRule>
  </conditionalFormatting>
  <conditionalFormatting sqref="F255:F256">
    <cfRule type="cellIs" dxfId="4" priority="92" operator="lessThan">
      <formula>0</formula>
    </cfRule>
  </conditionalFormatting>
  <conditionalFormatting sqref="F260:F261">
    <cfRule type="cellIs" dxfId="3" priority="91" operator="lessThan">
      <formula>0</formula>
    </cfRule>
  </conditionalFormatting>
  <conditionalFormatting sqref="F284:F285">
    <cfRule type="cellIs" dxfId="2" priority="85" operator="lessThan">
      <formula>0</formula>
    </cfRule>
  </conditionalFormatting>
  <conditionalFormatting sqref="F289:F290">
    <cfRule type="cellIs" dxfId="1" priority="84" operator="lessThan">
      <formula>0</formula>
    </cfRule>
  </conditionalFormatting>
  <conditionalFormatting sqref="F294:F295">
    <cfRule type="cellIs" dxfId="0"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32" t="e" vm="1">
        <v>#VALUE!</v>
      </c>
      <c r="C1" s="7" t="s">
        <v>88</v>
      </c>
    </row>
    <row r="2" spans="1:16" s="8" customFormat="1" ht="20.100000000000001" customHeight="1" x14ac:dyDescent="0.25"/>
    <row r="3" spans="1:16" ht="20.100000000000001" customHeight="1" x14ac:dyDescent="0.25">
      <c r="A3" s="13" t="str">
        <f>HYPERLINK("#'Home'!A1", "Home")</f>
        <v>Home</v>
      </c>
      <c r="C3" s="3"/>
      <c r="D3" s="3" t="s">
        <v>49</v>
      </c>
      <c r="E3" s="3"/>
      <c r="F3" s="3"/>
      <c r="G3" s="3"/>
      <c r="H3" s="3"/>
      <c r="I3" s="3"/>
      <c r="J3" s="3"/>
      <c r="K3" s="3"/>
      <c r="L3" s="3"/>
      <c r="M3" s="3"/>
      <c r="N3" s="3"/>
      <c r="O3" s="3"/>
      <c r="P3" s="3"/>
    </row>
    <row r="4" spans="1:16" ht="20.100000000000001" customHeight="1" x14ac:dyDescent="0.25">
      <c r="A4" s="13" t="str">
        <f>HYPERLINK("#'Overview'!A1", "Overview")</f>
        <v>Overview</v>
      </c>
    </row>
    <row r="5" spans="1:16" ht="20.100000000000001" customHeight="1" x14ac:dyDescent="0.25">
      <c r="A5" s="13" t="str">
        <f>HYPERLINK("#'Results'!A1", "Results")</f>
        <v>Results</v>
      </c>
      <c r="D5" s="5" t="str" cm="1">
        <f t="array" ref="D5">SupplementaryCO2_Equations.VEERG_12_1_1_1__1_EmissionsFromSupplementaryCO2_Title()</f>
        <v>Emissions from the use of supplementary CO2</v>
      </c>
      <c r="O5" s="45"/>
    </row>
    <row r="6" spans="1:16" ht="20.100000000000001" customHeight="1" x14ac:dyDescent="0.25">
      <c r="A6" s="12"/>
      <c r="D6" s="4" t="str" cm="1">
        <f t="array" ref="D6">SupplementaryCO2_Equations.VEERG_12_1_1_1__1_EmissionsFromSupplementaryCO2_Source()</f>
        <v>VEERG 2026: 12.1.1.1, Equation (1)</v>
      </c>
      <c r="O6" s="45"/>
    </row>
    <row r="7" spans="1:16" ht="20.100000000000001" customHeight="1" x14ac:dyDescent="0.25">
      <c r="A7" s="16" t="s">
        <v>1</v>
      </c>
      <c r="D7" s="10" t="s">
        <v>10</v>
      </c>
      <c r="E7" s="10" t="str" cm="1">
        <f t="array" aca="1" ref="E7" ca="1">Common_InputFunctions.Utility_DisplayFunctionName(E15)</f>
        <v>=SupplementaryCO2_Equations.VEERG_12_1_1_1__1_EmissionsFromSupplementaryCO2</v>
      </c>
      <c r="O7" s="45"/>
    </row>
    <row r="8" spans="1:16" ht="20.100000000000001" customHeight="1" x14ac:dyDescent="0.25">
      <c r="A8" s="13" t="str">
        <f>HYPERLINK("#'Input - CO2 Use'!A1", "CO2 Use")</f>
        <v>CO2 Use</v>
      </c>
      <c r="O8" s="45"/>
    </row>
    <row r="9" spans="1:16" ht="20.100000000000001" customHeight="1" x14ac:dyDescent="0.25">
      <c r="A9" s="13"/>
      <c r="G9" s="4"/>
      <c r="O9" s="45"/>
    </row>
    <row r="10" spans="1:16" ht="20.100000000000001" customHeight="1" x14ac:dyDescent="0.25">
      <c r="A10" s="15" t="s">
        <v>45</v>
      </c>
      <c r="D10" s="28" t="s">
        <v>13</v>
      </c>
      <c r="E10" s="1" t="str" cm="1">
        <f t="array" ref="E10">SupplementaryCO2_Equations.VEERG_12_1_1_1__1_EmissionsFromSupplementaryCO2_Variable()</f>
        <v>E</v>
      </c>
      <c r="O10" s="45"/>
    </row>
    <row r="11" spans="1:16" ht="20.100000000000001" customHeight="1" x14ac:dyDescent="0.25">
      <c r="A11" s="61" t="str">
        <f>HYPERLINK("#'12.1.1-2 Supplementary CO2'!A1", "12.1.1-2 Supplementary CO2")</f>
        <v>12.1.1-2 Supplementary CO2</v>
      </c>
      <c r="D11" s="28" t="s">
        <v>5</v>
      </c>
      <c r="E11" s="29" t="str" cm="1">
        <f t="array" ref="E11">SupplementaryCO2_Equations.VEERG_12_1_1_1__1_EmissionsFromSupplementaryCO2_Unit()</f>
        <v>t CO2e</v>
      </c>
      <c r="O11" s="45"/>
    </row>
    <row r="12" spans="1:16" ht="20.100000000000001" customHeight="1" x14ac:dyDescent="0.25">
      <c r="A12" s="13"/>
    </row>
    <row r="13" spans="1:16" ht="20.100000000000001" customHeight="1" x14ac:dyDescent="0.25">
      <c r="A13" s="14" t="s">
        <v>2</v>
      </c>
      <c r="D13" s="51" t="str" cm="1">
        <f t="array" ref="D13:E13">_xlfn.CHOOSECOLS(SupplementaryCO2_Equations.VEERG_12_1_1_1__1_EmissionsFromSupplementaryCO2_Arguments(), 1,2)</f>
        <v>Q</v>
      </c>
      <c r="E13" s="53" t="str">
        <v>quantity of supplementary CO2 used within the operations</v>
      </c>
      <c r="F13" s="52"/>
      <c r="G13" s="51" t="str" cm="1">
        <f t="array" ref="G13:H13">_xlfn.CHOOSECOLS(SupplementaryCO2_Equations.VEERG_12_1_1_1__1_EmissionsFromSupplementaryCO2_Arguments(), 3,4)</f>
        <v>kg CO2</v>
      </c>
      <c r="H13" s="47" t="str">
        <v>Input</v>
      </c>
      <c r="I13" s="51">
        <f>SUM(Table_Input_Fuel[Amount used (kg)])</f>
        <v>200</v>
      </c>
    </row>
    <row r="14" spans="1:16" ht="20.100000000000001" customHeight="1" x14ac:dyDescent="0.25">
      <c r="A14" s="13" t="str">
        <f>HYPERLINK("#'Constants - Common'!A1", "Constants - Common")</f>
        <v>Constants - Common</v>
      </c>
      <c r="O14" s="45"/>
    </row>
    <row r="15" spans="1:16" ht="20.100000000000001" customHeight="1" x14ac:dyDescent="0.25">
      <c r="D15" s="67" t="s">
        <v>94</v>
      </c>
      <c r="E15" s="68" cm="1">
        <f t="array" ref="E15">SupplementaryCO2_Equations.VEERG_12_1_1_1__1_EmissionsFromSupplementaryCO2(I13)</f>
        <v>0.2</v>
      </c>
      <c r="F15" s="69" t="str">
        <f>E11</f>
        <v>t CO2e</v>
      </c>
      <c r="O15" s="45"/>
    </row>
    <row r="16" spans="1:16" ht="20.100000000000001" customHeight="1" x14ac:dyDescent="0.25">
      <c r="O16" s="45"/>
    </row>
    <row r="17" spans="1:15" ht="20.100000000000001" customHeight="1" x14ac:dyDescent="0.25">
      <c r="L17" s="45"/>
      <c r="M17" s="45"/>
      <c r="N17" s="45"/>
      <c r="O17" s="45"/>
    </row>
    <row r="18" spans="1:15" ht="20.100000000000001" customHeight="1" x14ac:dyDescent="0.25">
      <c r="L18" s="45"/>
      <c r="M18" s="45"/>
      <c r="N18" s="45"/>
      <c r="O18" s="45"/>
    </row>
    <row r="19" spans="1:15" ht="20.100000000000001" customHeight="1" x14ac:dyDescent="0.25">
      <c r="L19" s="45"/>
      <c r="M19" s="45"/>
      <c r="N19" s="45"/>
      <c r="O19" s="45"/>
    </row>
    <row r="20" spans="1:15" ht="20.100000000000001" customHeight="1" x14ac:dyDescent="0.25">
      <c r="A20" s="13"/>
      <c r="L20" s="45"/>
      <c r="M20" s="45"/>
      <c r="N20" s="45"/>
      <c r="O20" s="45"/>
    </row>
    <row r="21" spans="1:15" ht="20.100000000000001" customHeight="1" x14ac:dyDescent="0.25">
      <c r="A21" s="13"/>
      <c r="O21" s="45"/>
    </row>
    <row r="22" spans="1:15" ht="20.100000000000001" customHeight="1" x14ac:dyDescent="0.25"/>
    <row r="23" spans="1:15" ht="20.100000000000001" customHeight="1" x14ac:dyDescent="0.25">
      <c r="A23" s="13"/>
    </row>
    <row r="24" spans="1:15" ht="20.100000000000001" customHeight="1" x14ac:dyDescent="0.25"/>
    <row r="25" spans="1:15" ht="20.100000000000001" customHeight="1" x14ac:dyDescent="0.25"/>
    <row r="26" spans="1:15" ht="20.100000000000001" customHeight="1" x14ac:dyDescent="0.25"/>
    <row r="27" spans="1:15" ht="20.100000000000001" customHeight="1" x14ac:dyDescent="0.25"/>
    <row r="28" spans="1:15" ht="20.100000000000001" customHeight="1" x14ac:dyDescent="0.25"/>
    <row r="29" spans="1:15" ht="20.100000000000001" customHeight="1" x14ac:dyDescent="0.25"/>
    <row r="30" spans="1:15" ht="20.100000000000001" customHeight="1" x14ac:dyDescent="0.25"/>
    <row r="31" spans="1:15" ht="20.100000000000001" customHeight="1" x14ac:dyDescent="0.25"/>
    <row r="32" spans="1:15" ht="20.100000000000001" customHeight="1" x14ac:dyDescent="0.25"/>
    <row r="33" spans="1:1" ht="20.100000000000001" customHeight="1" x14ac:dyDescent="0.25"/>
    <row r="34" spans="1:1" ht="20.100000000000001" customHeight="1" x14ac:dyDescent="0.25"/>
    <row r="35" spans="1:1" ht="20.100000000000001" customHeight="1" x14ac:dyDescent="0.25"/>
    <row r="36" spans="1:1" ht="20.100000000000001" customHeight="1" x14ac:dyDescent="0.25"/>
    <row r="37" spans="1:1" ht="20.100000000000001" customHeight="1" x14ac:dyDescent="0.25">
      <c r="A37" s="54"/>
    </row>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c r="A69" s="54"/>
    </row>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spans="1:1" ht="20.100000000000001" customHeight="1" x14ac:dyDescent="0.25"/>
    <row r="82" spans="1:1" ht="20.100000000000001" customHeight="1" x14ac:dyDescent="0.25"/>
    <row r="83" spans="1:1" ht="20.100000000000001" customHeight="1" x14ac:dyDescent="0.25">
      <c r="A83" s="54"/>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zoomScale="85" zoomScaleNormal="85" workbookViewId="0"/>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0" t="str" cm="1">
        <f t="array" ref="D59:D61">"⚠️" &amp; Common_SourceData.Common_SourceData_WetAndDryZones_Variation()</f>
        <v>⚠️VARIATION OF SOURCE DATA:</v>
      </c>
    </row>
    <row r="60" spans="4:8" ht="20.100000000000001" customHeight="1" x14ac:dyDescent="0.25">
      <c r="D60" s="30" t="str">
        <v>⚠️Added warm / cool temperate moist / dry - low frost and high temp classes to accommodate climate scenarios excluded by VEERG criteria.</v>
      </c>
    </row>
    <row r="61" spans="4:8" ht="20.100000000000001" customHeight="1" x14ac:dyDescent="0.25">
      <c r="D61" s="30"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0" t="str" cm="1">
        <f t="array" ref="D83:D87">"⚠️" &amp; Common_SourceData.Common_SourceData_ClimateZones_Variation()</f>
        <v>⚠️VARIATION OF SOURCE DATA:</v>
      </c>
    </row>
    <row r="84" spans="4:20" ht="20.100000000000001" customHeight="1" x14ac:dyDescent="0.25">
      <c r="D84" s="30" t="str">
        <v>⚠️Added warm / cool temperate moist / dry - low frost and high temp classes to accommodate climate scenarios excluded by VEERG criteria.</v>
      </c>
    </row>
    <row r="85" spans="4:20" ht="20.100000000000001" customHeight="1" x14ac:dyDescent="0.25">
      <c r="D85" s="30" t="str">
        <v>⚠️Fixed typo in MAT value for warm temperate dry - changed 10 to 11.</v>
      </c>
    </row>
    <row r="86" spans="4:20" ht="20.100000000000001" customHeight="1" x14ac:dyDescent="0.25">
      <c r="D86" s="30" t="str">
        <v>⚠️Added min and max columns for MAT, MAP, frost days per year, elevation, MAP:PET to calculate zones from real climate data.</v>
      </c>
    </row>
    <row r="87" spans="4:20" ht="20.100000000000001" customHeight="1" x14ac:dyDescent="0.25">
      <c r="D87" s="30"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c r="D98" s="29" t="str" cm="1">
        <f t="array" ref="D98:D101">Common_SourceData.Common_SourceData_ClimateZones_Appendices()</f>
        <v>Note:</v>
      </c>
    </row>
    <row r="99" spans="4:20" ht="20.100000000000001" customHeight="1" x14ac:dyDescent="0.25">
      <c r="D99" s="29" t="str">
        <v>MAT = mean annual temperature</v>
      </c>
    </row>
    <row r="100" spans="4:20" ht="20.100000000000001" customHeight="1" x14ac:dyDescent="0.25">
      <c r="D100" s="29" t="str">
        <v>MAP = mean annual precipitation</v>
      </c>
    </row>
    <row r="101" spans="4:20" ht="20.100000000000001" customHeight="1" x14ac:dyDescent="0.25">
      <c r="D101" s="29" t="str">
        <v>PET = potential evapotranspiration</v>
      </c>
    </row>
    <row r="102" spans="4:20" ht="20.100000000000001" customHeight="1" x14ac:dyDescent="0.25">
      <c r="D102" s="29"/>
    </row>
    <row r="103" spans="4:20" ht="20.100000000000001" customHeight="1" x14ac:dyDescent="0.25"/>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0"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7" t="s">
        <v>39</v>
      </c>
      <c r="E119" s="27" t="s">
        <v>40</v>
      </c>
      <c r="F119" s="27" t="s">
        <v>26</v>
      </c>
      <c r="G119" s="27" t="s">
        <v>27</v>
      </c>
      <c r="BN119" s="6"/>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0"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7" t="s">
        <v>58</v>
      </c>
      <c r="E142" s="27" t="s">
        <v>48</v>
      </c>
      <c r="BN142" s="6"/>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7" t="s">
        <v>43</v>
      </c>
      <c r="E153" s="27" t="s">
        <v>44</v>
      </c>
      <c r="BC153" s="2"/>
      <c r="BD153" s="2"/>
      <c r="BE153" s="2"/>
      <c r="BF153" s="2"/>
      <c r="BG153" s="2"/>
      <c r="BH153" s="2"/>
      <c r="BI153" s="2"/>
      <c r="BJ153" s="2"/>
      <c r="BK153" s="2"/>
      <c r="BL153" s="2"/>
      <c r="BM153" s="2"/>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29"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29" t="str" cm="1">
        <f t="array" ref="D180">Common_SourceData.Common_SourceData_EFN2O_Unit()</f>
        <v>(kg N2O-N / kg N</v>
      </c>
    </row>
    <row r="181" spans="4:68" ht="20.100000000000001" customHeight="1" x14ac:dyDescent="0.25">
      <c r="D181" s="30" t="str" cm="1">
        <f t="array" ref="D181:D185">Common_SourceData.Common_SourceData_EFN2O_Variation()</f>
        <v>VARIATION OF SOURCE DATA:</v>
      </c>
    </row>
    <row r="182" spans="4:68" ht="20.100000000000001" customHeight="1" x14ac:dyDescent="0.25">
      <c r="D182" s="30" t="str">
        <v>Removed duplicate 'Aquaculture' row.</v>
      </c>
    </row>
    <row r="183" spans="4:68" ht="20.100000000000001" customHeight="1" x14ac:dyDescent="0.25">
      <c r="D183" s="30" t="str">
        <v>Removed asterisks to aid lookup.</v>
      </c>
    </row>
    <row r="184" spans="4:68" ht="20.100000000000001" customHeight="1" x14ac:dyDescent="0.25">
      <c r="D184" s="30" t="str">
        <v>Added 'production system only', 'rainfall zone' and 'irrigation method' columns to aid lookup.</v>
      </c>
    </row>
    <row r="185" spans="4:68" ht="20.100000000000001" customHeight="1" x14ac:dyDescent="0.25">
      <c r="D185" s="30"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0" t="str" cm="1">
        <f t="array" ref="D204">Common_SourceData.Common_SourceData_EFPastureRangeAndPaddock_Variation()</f>
        <v>VARIATION FROM SOURCE DATA: Changed 'Dry climate zones' to singular 'Dry climate zone' to aid lookup.</v>
      </c>
    </row>
    <row r="205" spans="4:8" x14ac:dyDescent="0.25">
      <c r="D205" s="29"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57</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29"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TAHUAcABwAGwAZQBtAGUAbgB0AGEAcgB5AEMATwAyAF8ARQBxAHUAYQB0AGkAbwBuAHMAIgAsACIAdABlAHgAdAAiADoAIgAvACoAXABuAD0APQA9AD0APQA9AD0APQA9AD0APQA9AD0APQA9AD0APQA9AD0APQA9AD0APQA9AD0APQA9AD0APQA9AD0APQA9AD0APQA9AD0APQA9AD0APQA9AD0APQA9AD0APQA9AD0APQA9AD0APQA9AD0APQA9AD0APQA9AD0APQA9AD0APQA9AD0APQA9AD0APQA9AD0APQA9AD0AXABuADEAMgAuADEAOgAgAFMAdQBwAHAAbABlAG0AZQBuAHQAYQByAHkAIABDAE8AMgBcAG4APQA9AD0APQA9AD0APQA9AD0APQA9AD0APQA9AD0APQA9AD0APQA9AD0APQA9AD0APQA9AD0APQA9AD0APQA9AD0APQA9AD0APQA9AD0APQA9AD0APQA9AD0APQA9AD0APQA9AD0APQA9AD0APQA9AD0APQA9AD0APQA9AD0APQA9AD0APQA9AD0APQA9AD0APQA9AD0APQBcAG4AMQAyAC4AMQAuADEALgAxACAATQBlAHQAaABvAGQAIAAxACAALQAgAFMAdQBwAHAAbABlAG0AZQBuAHQAYQByAHkAIABDAE8AMg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MgBfADEAXwAxAF8AMQBfAF8AMQBfAEUAbQBpAHMAcwBpAG8AbgBzAEYAcgBvAG0AUwB1AHAAcABsAGUAbQBlAG4AdABhAHIAeQBDAE8AMgBcAG4ARQBtAGkAcwBzAGkAbwBuAHMAIABmAHIAbwBtACAAdABoAGUAIAB1AHMAZQAgAG8AZgAgAHMAdQBwAHAAbABlAG0AZQBuAHQAYQByAHkAIABDAE8AMgBcAG4ARQBcAG4AdAAgAEMATwAyAGUAXABuAEUAPQBRAFwAXAB0AGkAbQBlAHMAIAAxADAAXgB7AC0AMwB9AFwAbgBRACAAPQAgAHEAdQBhAG4AdABpAHQAeQAgAG8AZgAgAHMAdQBwAHAAbABlAG0AZQBuAHQAYQByAHkAIABDAE8AMgAgAHUAcwBlAGQAIAB3AGkAdABoAGkAbgAgAHQAaABlACAAbwBwAGUAcgBhAHQAaQBvAG4AcwAgACgAawBnACAAQwBPADIAKQBcAG4ALQAtAC0ALQAtAC0ALQAtAC0ALQAtAC0ALQAtAC0ALQAtAC0ALQAtAC0ALQAtAC0ALQAtAC0ALQAtAC0ALQAtAC0ALQAtAC0ALQAtAFwAbgAqAC8AXABuAFwAbgBWAEUARQBSAEcAXwAxADIAXwAxAF8AMQBfADEAXwBfADEAXwBFAG0AaQBzAHMAaQBvAG4AcwBGAHIAbwBtAFMAdQBwAHAAbABlAG0AZQBuAHQAYQByAHkAQwBPADIAXABuACAAIAA9AEwAQQBNAEIARABBACgAXABuACAAIAAgACAAUQAsAFwAbgAgACAAIAAgAFEAIAAqACAAMQAwACAAXgAgAC0AMwBcAG4AIAAgACkAOwBcAG4AXABuAFYARQBFAFIARwBfADEAMgBfADEAXwAxAF8AMQBfAF8AMQBfAEUAbQBpAHMAcwBpAG8AbgBzAEYAcgBvAG0AUwB1AHAAcABsAGUAbQBlAG4AdABhAHIAeQBDAE8AMgBfAFQAaQB0AGwAZQBcAG4AIAAgAD0ATABBAE0AQgBEAEEAKABcACIARQBtAGkAcwBzAGkAbwBuAHMAIABmAHIAbwBtACAAdABoAGUAIAB1AHMAZQAgAG8AZgAgAHMAdQBwAHAAbABlAG0AZQBuAHQAYQByAHkAIABDAE8AMgBcACIAKQA7AFwAbgBcAG4AVgBFAEUAUgBHAF8AMQAyAF8AMQBfADEAXwAxAF8AXwAxAF8ARQBtAGkAcwBzAGkAbwBuAHMARgByAG8AbQBTAHUAcABwAGwAZQBtAGUAbgB0AGEAcgB5AEMATwAyAF8AVgBhAHIAaQBhAGIAbABlAFwAbgAgACAAPQBMAEEATQBCAEQAQQAoAFwAIgBFAFwAIgApADsAXABuAFwAbgBWAEUARQBSAEcAXwAxADIAXwAxAF8AMQBfADEAXwBfADEAXwBFAG0AaQBzAHMAaQBvAG4AcwBGAHIAbwBtAFMAdQBwAHAAbABlAG0AZQBuAHQAYQByAHkAQwBPADIAXwBVAG4AaQB0AFwAbgAgACAAPQBMAEEATQBCAEQAQQAoAFwAIgB0ACAAQwBPADIAZQBcACIAKQA7AFwAbgBcAG4AVgBFAEUAUgBHAF8AMQAyAF8AMQBfADEAXwAxAF8AXwAxAF8ARQBtAGkAcwBzAGkAbwBuAHMARgByAG8AbQBTAHUAcABwAGwAZQBtAGUAbgB0AGEAcgB5AEMATwAyAF8AUwBvAHUAcgBjAGUAXABuACAAIAA9AEwAQQBNAEIARABBACgAXAAiAFYARQBFAFIARwAgADIAMAAyADYAOgAgADEAMgAuADEALgAxAC4AMQAsACAARQBxAHUAYQB0AGkAbwBuACAAKAAxACkAXAAiACkAOwBcAG4AXABuAFYARQBFAFIARwBfADEAMgBfADEAXwAxAF8AMQBfAF8AMQBfAEUAbQBpAHMAcwBpAG8AbgBzAEYAcgBvAG0AUwB1AHAAcABsAGUAbQBlAG4AdABhAHIAeQBDAE8AMgBfAE4ASQBSAFIAZQBmAGUAcgBlAG4AYwBlAFwAbgAgACAAPQBMAEEATQBCAEQAQQAoAFwAIgBcACIAKQA7AFwAbgBcAG4AVgBFAEUAUgBHAF8AMQAyAF8AMQBfADEAXwAxAF8AXwAxAF8ARQBtAGkAcwBzAGkAbwBuAHMARgByAG8AbQBTAHUAcABwAGwAZQBtAGUAbgB0AGEAcgB5AEMATwAyAF8ATABhAHQAZQB4AEUAcQB1AGEAdABpAG8AbgBcAG4AIAAgAD0ATABBAE0AQgBEAEEAKABcACIARQA9AFEAXABcAHQAaQBtAGUAcwAgADEAMABeAHsALQAzAH0AXAAiACkAOwBcAG4AXABuAFYARQBFAFIARwBfADEAMgBfADEAXwAxAF8AMQBfAF8AMQBfAEUAbQBpAHMAcwBpAG8AbgBzAEYAcgBvAG0AUwB1AHAAcABsAGUAbQBlAG4AdABhAHIAeQBDAE8AMgBfAEEAcgBnAHUAbQBlAG4AdABzAFwAbgAgACAAPQBMAEEATQBCAEQAQQAoAFwAbgAgACAAIAAgAE0AQQBLAEUAQQBSAFIAQQBZACgAMQAsACAANAAsAFwAbgAgACAAIAAgACAAIABMAEEATQBCAEQAQQAoAHIALABjACwAXABuACAAIAAgACAAIAAgACAAIABJAE4ARABFAFgAKAB7AFwAbgAgACAAIAAgACAAIAAgACAAIAAgAFwAIgBRAFwAIgAsACAAXAAiAHEAdQBhAG4AdABpAHQAeQAgAG8AZgAgAHMAdQBwAHAAbABlAG0AZQBuAHQAYQByAHkAIABDAE8AMgAgAHUAcwBlAGQAIAB3AGkAdABoAGkAbgAgAHQAaABlACAAbwBwAGUAcgBhAHQAaQBvAG4AcwBcACIALAAgAFwAIgBrAGcAIABDAE8AMgBcACIALAAgAFwAIgBJAG4AcAB1AHQAXAAiAFwAbgAgACAAIAAgACAAIAAgACAAfQAsACAAcgAsACAAYwApAFwAbgAgACAAIAAgACAAIAApAFwAbgAgACAAIAAgACkAXABuACAAIAApADs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MAdQBwAHAAbABlAG0AZQBuAHQAYQByAHkAQwBPADIAXwBFAHEAdQBhAHQAaQBvAG4AcwAuAFYARQBFAFIARwBfADEAMgBfADEAXwAxAF8AMQBfAF8AMQBfAEUAbQBpAHMAcwBpAG8AbgBzAEYAcgBvAG0AUwB1AHAAcABsAGUAbQBlAG4AdABhAHIAeQBDAE8AMgAiACwAIgBTAHUAcABwAGwAZQBtAGUAbgB0AGEAcgB5AEMATwAyAF8ARQBxAHUAYQB0AGkAbwBuAHMALgBWAEUARQBSAEcAXwAxADIAXwAxAF8AMQBfADEAXwBfADEAXwBFAG0AaQBzAHMAaQBvAG4AcwBGAHIAbwBtAFMAdQBwAHAAbABlAG0AZQBuAHQAYQByAHkAQwBPADIAXwBUAGkAdABsAGUAIgAsACIAUwB1AHAAcABsAGUAbQBlAG4AdABhAHIAeQBDAE8AMgBfAEUAcQB1AGEAdABpAG8AbgBzAC4AVgBFAEUAUgBHAF8AMQAyAF8AMQBfADEAXwAxAF8AXwAxAF8ARQBtAGkAcwBzAGkAbwBuAHMARgByAG8AbQBTAHUAcABwAGwAZQBtAGUAbgB0AGEAcgB5AEMATwAyAF8AVgBhAHIAaQBhAGIAbABlACIALAAiAFMAdQBwAHAAbABlAG0AZQBuAHQAYQByAHkAQwBPADIAXwBFAHEAdQBhAHQAaQBvAG4AcwAuAFYARQBFAFIARwBfADEAMgBfADEAXwAxAF8AMQBfAF8AMQBfAEUAbQBpAHMAcwBpAG8AbgBzAEYAcgBvAG0AUwB1AHAAcABsAGUAbQBlAG4AdABhAHIAeQBDAE8AMgBfAFUAbgBpAHQAIgAsACIAUwB1AHAAcABsAGUAbQBlAG4AdABhAHIAeQBDAE8AMgBfAEUAcQB1AGEAdABpAG8AbgBzAC4AVgBFAEUAUgBHAF8AMQAyAF8AMQBfADEAXwAxAF8AXwAxAF8ARQBtAGkAcwBzAGkAbwBuAHMARgByAG8AbQBTAHUAcABwAGwAZQBtAGUAbgB0AGEAcgB5AEMATwAyAF8AUwBvAHUAcgBjAGUAIgAsACIAUwB1AHAAcABsAGUAbQBlAG4AdABhAHIAeQBDAE8AMgBfAEUAcQB1AGEAdABpAG8AbgBzAC4AVgBFAEUAUgBHAF8AMQAyAF8AMQBfADEAXwAxAF8AXwAxAF8ARQBtAGkAcwBzAGkAbwBuAHMARgByAG8AbQBTAHUAcABwAGwAZQBtAGUAbgB0AGEAcgB5AEMATwAyAF8ATgBJAFIAUgBlAGYAZQByAGUAbgBjAGUAIgAsACIAUwB1AHAAcABsAGUAbQBlAG4AdABhAHIAeQBDAE8AMgBfAEUAcQB1AGEAdABpAG8AbgBzAC4AVgBFAEUAUgBHAF8AMQAyAF8AMQBfADEAXwAxAF8AXwAxAF8ARQBtAGkAcwBzAGkAbwBuAHMARgByAG8AbQBTAHUAcABwAGwAZQBtAGUAbgB0AGEAcgB5AEMATwAyAF8ATABhAHQAZQB4AEUAcQB1AGEAdABpAG8AbgAiACwAIgBTAHUAcABwAGwAZQBtAGUAbgB0AGEAcgB5AEMATwAyAF8ARQBxAHUAYQB0AGkAbwBuAHMALgBWAEUARQBSAEcAXwAxADIAXwAxAF8AMQBfADEAXwBfADEAXwBFAG0AaQBzAHMAaQBvAG4AcwBGAHIAbwBtAFMAdQBwAHAAbABlAG0AZQBuAHQAYQByAHkAQwBPADI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Overview</vt:lpstr>
      <vt:lpstr>Results</vt:lpstr>
      <vt:lpstr>Input - CO2 Use</vt:lpstr>
      <vt:lpstr>12.1.1-2 Supplementary CO2</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2026-05-20T04:51:06Z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